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F50641B1-8FB1-454A-896F-C7F27C77D792}" xr6:coauthVersionLast="47" xr6:coauthVersionMax="47" xr10:uidLastSave="{00000000-0000-0000-0000-000000000000}"/>
  <bookViews>
    <workbookView xWindow="-120" yWindow="-120" windowWidth="20730" windowHeight="11160" tabRatio="602" activeTab="3" xr2:uid="{00000000-000D-0000-FFFF-FFFF00000000}"/>
  </bookViews>
  <sheets>
    <sheet name="RESUMEN TOTAL" sheetId="2" r:id="rId1"/>
    <sheet name="AUXILIAR" sheetId="14" r:id="rId2"/>
    <sheet name="paradas" sheetId="26" r:id="rId3"/>
    <sheet name="informe" sheetId="24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K3" i="25"/>
  <c r="D64" i="24" s="1"/>
  <c r="J3" i="25"/>
  <c r="D53" i="24" s="1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<sst xmlns="http://schemas.openxmlformats.org/spreadsheetml/2006/main" count="5745" uniqueCount="2289">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</sst>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5" zoomScaleNormal="55" workbookViewId="0">
      <pane xSplit="12" ySplit="7" topLeftCell="S212" activePane="bottomRight" state="frozen"/>
      <selection pane="topRight" activeCell="M1" sqref="M1"/>
      <selection pane="bottomLeft" activeCell="A5" sqref="A5"/>
      <selection pane="bottomRight" activeCell="H216" sqref="H21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21</v>
      </c>
      <c r="J8" s="147" t="s">
        <v>1667</v>
      </c>
      <c r="K8" s="31">
        <f t="shared" ref="K8:K85" si="6">COUNTIF(M8:AN8,"APAGADO")</f>
        <v>7</v>
      </c>
      <c r="L8" s="32">
        <f t="shared" ref="L8:L85" si="7">(I8)/(K8+I8)</f>
        <v>0.75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 t="s">
        <v>2288</v>
      </c>
      <c r="R8" s="70" t="s">
        <v>2288</v>
      </c>
      <c r="S8" s="70" t="s">
        <v>2288</v>
      </c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21</v>
      </c>
      <c r="J9" s="147" t="s">
        <v>1668</v>
      </c>
      <c r="K9" s="31">
        <f t="shared" si="6"/>
        <v>7</v>
      </c>
      <c r="L9" s="32">
        <f t="shared" si="7"/>
        <v>0.75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 t="s">
        <v>2288</v>
      </c>
      <c r="R9" s="70" t="s">
        <v>2288</v>
      </c>
      <c r="S9" s="70" t="s">
        <v>2288</v>
      </c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21</v>
      </c>
      <c r="J14" s="147" t="s">
        <v>1673</v>
      </c>
      <c r="K14" s="31">
        <f t="shared" si="6"/>
        <v>7</v>
      </c>
      <c r="L14" s="32">
        <f t="shared" si="7"/>
        <v>0.75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 t="s">
        <v>2288</v>
      </c>
      <c r="R14" s="70" t="s">
        <v>2288</v>
      </c>
      <c r="S14" s="70" t="s">
        <v>2288</v>
      </c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1677</v>
      </c>
      <c r="K19" s="31">
        <f t="shared" si="6"/>
        <v>7</v>
      </c>
      <c r="L19" s="32">
        <f t="shared" si="7"/>
        <v>0.75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 t="s">
        <v>2288</v>
      </c>
      <c r="R19" s="70" t="s">
        <v>2288</v>
      </c>
      <c r="S19" s="70" t="s">
        <v>2288</v>
      </c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21</v>
      </c>
      <c r="J20" s="147" t="s">
        <v>1678</v>
      </c>
      <c r="K20" s="31">
        <f t="shared" si="6"/>
        <v>7</v>
      </c>
      <c r="L20" s="32">
        <f t="shared" si="7"/>
        <v>0.75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 t="s">
        <v>2288</v>
      </c>
      <c r="R20" s="70" t="s">
        <v>2288</v>
      </c>
      <c r="S20" s="70" t="s">
        <v>2288</v>
      </c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21</v>
      </c>
      <c r="J34" s="147" t="s">
        <v>1689</v>
      </c>
      <c r="K34" s="134">
        <f t="shared" si="6"/>
        <v>7</v>
      </c>
      <c r="L34" s="135">
        <f t="shared" si="7"/>
        <v>0.75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 t="s">
        <v>2288</v>
      </c>
      <c r="R34" s="136" t="s">
        <v>2288</v>
      </c>
      <c r="S34" s="136" t="s">
        <v>2288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21</v>
      </c>
      <c r="J36" s="87" t="s">
        <v>2157</v>
      </c>
      <c r="K36" s="142">
        <f t="shared" si="6"/>
        <v>7</v>
      </c>
      <c r="L36" s="143">
        <f t="shared" si="7"/>
        <v>0.75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 t="s">
        <v>2288</v>
      </c>
      <c r="R36" s="70" t="s">
        <v>2288</v>
      </c>
      <c r="S36" s="70" t="s">
        <v>2288</v>
      </c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21</v>
      </c>
      <c r="J89" s="147" t="s">
        <v>1733</v>
      </c>
      <c r="K89" s="31">
        <f t="shared" si="9"/>
        <v>7</v>
      </c>
      <c r="L89" s="32">
        <f t="shared" si="10"/>
        <v>0.75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 t="s">
        <v>2288</v>
      </c>
      <c r="R89" s="70" t="s">
        <v>2288</v>
      </c>
      <c r="S89" s="70" t="s">
        <v>2288</v>
      </c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21</v>
      </c>
      <c r="J99" s="147" t="s">
        <v>1743</v>
      </c>
      <c r="K99" s="142">
        <f t="shared" si="9"/>
        <v>7</v>
      </c>
      <c r="L99" s="143">
        <f t="shared" si="10"/>
        <v>0.75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 t="s">
        <v>2288</v>
      </c>
      <c r="R99" s="70" t="s">
        <v>2288</v>
      </c>
      <c r="S99" s="70" t="s">
        <v>2288</v>
      </c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21</v>
      </c>
      <c r="J112" s="147" t="s">
        <v>1756</v>
      </c>
      <c r="K112" s="142">
        <f t="shared" si="9"/>
        <v>7</v>
      </c>
      <c r="L112" s="143">
        <f t="shared" si="10"/>
        <v>0.75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 t="s">
        <v>2288</v>
      </c>
      <c r="R112" s="70" t="s">
        <v>2288</v>
      </c>
      <c r="S112" s="70" t="s">
        <v>2288</v>
      </c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21</v>
      </c>
      <c r="J113" s="147" t="s">
        <v>1755</v>
      </c>
      <c r="K113" s="142">
        <f t="shared" si="9"/>
        <v>7</v>
      </c>
      <c r="L113" s="143">
        <f t="shared" si="10"/>
        <v>0.75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 t="s">
        <v>2288</v>
      </c>
      <c r="R113" s="70" t="s">
        <v>2288</v>
      </c>
      <c r="S113" s="70" t="s">
        <v>2288</v>
      </c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21</v>
      </c>
      <c r="J120" s="147" t="s">
        <v>1763</v>
      </c>
      <c r="K120" s="142">
        <f t="shared" si="9"/>
        <v>7</v>
      </c>
      <c r="L120" s="143">
        <f t="shared" si="10"/>
        <v>0.75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 t="s">
        <v>2288</v>
      </c>
      <c r="R120" s="70" t="s">
        <v>2288</v>
      </c>
      <c r="S120" s="70" t="s">
        <v>2288</v>
      </c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24</v>
      </c>
      <c r="J127" s="148" t="s">
        <v>1770</v>
      </c>
      <c r="K127" s="142">
        <f t="shared" si="9"/>
        <v>4</v>
      </c>
      <c r="L127" s="143">
        <f t="shared" si="10"/>
        <v>0.8571428571428571</v>
      </c>
      <c r="M127" s="70"/>
      <c r="N127" s="70" t="s">
        <v>2288</v>
      </c>
      <c r="O127" s="70"/>
      <c r="P127" s="70"/>
      <c r="Q127" s="70" t="s">
        <v>2288</v>
      </c>
      <c r="R127" s="70" t="s">
        <v>2288</v>
      </c>
      <c r="S127" s="70" t="s">
        <v>2288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24</v>
      </c>
      <c r="J130" s="147" t="s">
        <v>1773</v>
      </c>
      <c r="K130" s="31">
        <f t="shared" si="9"/>
        <v>4</v>
      </c>
      <c r="L130" s="32">
        <f t="shared" si="10"/>
        <v>0.8571428571428571</v>
      </c>
      <c r="M130" s="70" t="s">
        <v>2288</v>
      </c>
      <c r="N130" s="70" t="s">
        <v>2288</v>
      </c>
      <c r="O130" s="70"/>
      <c r="P130" s="70"/>
      <c r="Q130" s="70" t="s">
        <v>2288</v>
      </c>
      <c r="R130" s="70" t="s">
        <v>2288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26</v>
      </c>
      <c r="J131" s="147" t="s">
        <v>1774</v>
      </c>
      <c r="K131" s="31">
        <f t="shared" si="9"/>
        <v>2</v>
      </c>
      <c r="L131" s="32">
        <f t="shared" si="10"/>
        <v>0.9285714285714286</v>
      </c>
      <c r="M131" s="70" t="s">
        <v>2288</v>
      </c>
      <c r="N131" s="70"/>
      <c r="O131" s="70"/>
      <c r="P131" s="70"/>
      <c r="Q131" s="70"/>
      <c r="R131" s="70"/>
      <c r="S131" s="70" t="s">
        <v>2288</v>
      </c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1784</v>
      </c>
      <c r="K145" s="31">
        <f t="shared" si="9"/>
        <v>6</v>
      </c>
      <c r="L145" s="32">
        <f t="shared" si="10"/>
        <v>0.7857142857142857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 t="s">
        <v>2288</v>
      </c>
      <c r="R145" s="70" t="s">
        <v>2288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26</v>
      </c>
      <c r="J151" s="87"/>
      <c r="K151" s="31">
        <f t="shared" si="9"/>
        <v>2</v>
      </c>
      <c r="L151" s="32">
        <f t="shared" si="10"/>
        <v>0.9285714285714286</v>
      </c>
      <c r="M151" s="70"/>
      <c r="N151" s="70"/>
      <c r="O151" s="70"/>
      <c r="P151" s="70"/>
      <c r="Q151" s="70" t="s">
        <v>2288</v>
      </c>
      <c r="R151" s="70" t="s">
        <v>2288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22</v>
      </c>
      <c r="J156" s="87"/>
      <c r="K156" s="31">
        <f t="shared" si="9"/>
        <v>6</v>
      </c>
      <c r="L156" s="32">
        <f t="shared" si="10"/>
        <v>0.7857142857142857</v>
      </c>
      <c r="M156" s="70" t="s">
        <v>2288</v>
      </c>
      <c r="N156" s="70" t="s">
        <v>2288</v>
      </c>
      <c r="O156" s="70" t="s">
        <v>2288</v>
      </c>
      <c r="P156" s="70"/>
      <c r="Q156" s="70" t="s">
        <v>2288</v>
      </c>
      <c r="R156" s="70" t="s">
        <v>2288</v>
      </c>
      <c r="S156" s="70" t="s">
        <v>2288</v>
      </c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22</v>
      </c>
      <c r="J157" s="87"/>
      <c r="K157" s="31">
        <f t="shared" si="9"/>
        <v>6</v>
      </c>
      <c r="L157" s="32">
        <f t="shared" si="10"/>
        <v>0.7857142857142857</v>
      </c>
      <c r="M157" s="70" t="s">
        <v>2288</v>
      </c>
      <c r="N157" s="70" t="s">
        <v>2288</v>
      </c>
      <c r="O157" s="70" t="s">
        <v>2288</v>
      </c>
      <c r="P157" s="70"/>
      <c r="Q157" s="70" t="s">
        <v>2288</v>
      </c>
      <c r="R157" s="70" t="s">
        <v>2288</v>
      </c>
      <c r="S157" s="70" t="s">
        <v>2288</v>
      </c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1797</v>
      </c>
      <c r="K164" s="31">
        <f t="shared" si="12"/>
        <v>6</v>
      </c>
      <c r="L164" s="32">
        <f t="shared" si="13"/>
        <v>0.7857142857142857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 t="s">
        <v>2288</v>
      </c>
      <c r="R164" s="70" t="s">
        <v>2288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1798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2288</v>
      </c>
      <c r="P165" s="70" t="s">
        <v>2288</v>
      </c>
      <c r="Q165" s="70" t="s">
        <v>2288</v>
      </c>
      <c r="R165" s="70" t="s">
        <v>2288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1799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2288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1800</v>
      </c>
      <c r="K167" s="31">
        <f t="shared" si="12"/>
        <v>4</v>
      </c>
      <c r="L167" s="32">
        <f t="shared" si="13"/>
        <v>0.8571428571428571</v>
      </c>
      <c r="M167" s="70" t="s">
        <v>2288</v>
      </c>
      <c r="N167" s="70" t="s">
        <v>2288</v>
      </c>
      <c r="O167" s="70"/>
      <c r="P167" s="70"/>
      <c r="Q167" s="70" t="s">
        <v>2288</v>
      </c>
      <c r="R167" s="70" t="s">
        <v>2288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23</v>
      </c>
      <c r="J168" s="147" t="s">
        <v>1801</v>
      </c>
      <c r="K168" s="31">
        <f t="shared" si="12"/>
        <v>5</v>
      </c>
      <c r="L168" s="32">
        <f t="shared" si="13"/>
        <v>0.8214285714285714</v>
      </c>
      <c r="M168" s="70" t="s">
        <v>2288</v>
      </c>
      <c r="N168" s="70" t="s">
        <v>2288</v>
      </c>
      <c r="O168" s="70"/>
      <c r="P168" s="70"/>
      <c r="Q168" s="70" t="s">
        <v>2288</v>
      </c>
      <c r="R168" s="70" t="s">
        <v>2288</v>
      </c>
      <c r="S168" s="70" t="s">
        <v>2288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21</v>
      </c>
      <c r="J169" s="147" t="s">
        <v>1802</v>
      </c>
      <c r="K169" s="31">
        <f t="shared" si="12"/>
        <v>7</v>
      </c>
      <c r="L169" s="32">
        <f t="shared" si="13"/>
        <v>0.75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 t="s">
        <v>2288</v>
      </c>
      <c r="R169" s="70" t="s">
        <v>2288</v>
      </c>
      <c r="S169" s="70" t="s">
        <v>2288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1812</v>
      </c>
      <c r="K180" s="31">
        <f t="shared" si="12"/>
        <v>6</v>
      </c>
      <c r="L180" s="32">
        <f t="shared" si="13"/>
        <v>0.7857142857142857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 t="s">
        <v>2288</v>
      </c>
      <c r="R180" s="70" t="s">
        <v>2288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1813</v>
      </c>
      <c r="K181" s="31">
        <f t="shared" si="12"/>
        <v>6</v>
      </c>
      <c r="L181" s="32">
        <f t="shared" si="13"/>
        <v>0.7857142857142857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 t="s">
        <v>2288</v>
      </c>
      <c r="R181" s="70" t="s">
        <v>2288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1814</v>
      </c>
      <c r="K182" s="31">
        <f t="shared" si="12"/>
        <v>6</v>
      </c>
      <c r="L182" s="32">
        <f t="shared" si="13"/>
        <v>0.7857142857142857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 t="s">
        <v>2288</v>
      </c>
      <c r="R182" s="70" t="s">
        <v>2288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1815</v>
      </c>
      <c r="K183" s="31">
        <f t="shared" si="12"/>
        <v>6</v>
      </c>
      <c r="L183" s="32">
        <f t="shared" si="13"/>
        <v>0.7857142857142857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 t="s">
        <v>2288</v>
      </c>
      <c r="R183" s="70" t="s">
        <v>2288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21</v>
      </c>
      <c r="J187" s="147" t="s">
        <v>1818</v>
      </c>
      <c r="K187" s="31">
        <f t="shared" si="12"/>
        <v>7</v>
      </c>
      <c r="L187" s="32">
        <f t="shared" si="13"/>
        <v>0.75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 t="s">
        <v>2288</v>
      </c>
      <c r="R187" s="70" t="s">
        <v>2288</v>
      </c>
      <c r="S187" s="70" t="s">
        <v>2288</v>
      </c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21</v>
      </c>
      <c r="J193" s="87"/>
      <c r="K193" s="138">
        <f t="shared" si="12"/>
        <v>7</v>
      </c>
      <c r="L193" s="139">
        <f t="shared" si="13"/>
        <v>0.75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 t="s">
        <v>2288</v>
      </c>
      <c r="R193" s="140" t="s">
        <v>2288</v>
      </c>
      <c r="S193" s="140" t="s">
        <v>2288</v>
      </c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21</v>
      </c>
      <c r="J194" s="147" t="s">
        <v>1822</v>
      </c>
      <c r="K194" s="142">
        <f t="shared" si="12"/>
        <v>7</v>
      </c>
      <c r="L194" s="143">
        <f t="shared" si="13"/>
        <v>0.75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 t="s">
        <v>2288</v>
      </c>
      <c r="R194" s="70" t="s">
        <v>2288</v>
      </c>
      <c r="S194" s="70" t="s">
        <v>2288</v>
      </c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22</v>
      </c>
      <c r="J195" s="147" t="s">
        <v>1823</v>
      </c>
      <c r="K195" s="142">
        <f t="shared" si="12"/>
        <v>6</v>
      </c>
      <c r="L195" s="143">
        <f t="shared" si="13"/>
        <v>0.7857142857142857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 t="s">
        <v>2288</v>
      </c>
      <c r="R195" s="70" t="s">
        <v>2288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2288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22</v>
      </c>
      <c r="J200" s="147" t="s">
        <v>1827</v>
      </c>
      <c r="K200" s="142">
        <f t="shared" si="12"/>
        <v>6</v>
      </c>
      <c r="L200" s="143">
        <f t="shared" si="13"/>
        <v>0.7857142857142857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 t="s">
        <v>2288</v>
      </c>
      <c r="R200" s="70"/>
      <c r="S200" s="70" t="s">
        <v>2288</v>
      </c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1828</v>
      </c>
      <c r="K201" s="31">
        <f t="shared" si="12"/>
        <v>6</v>
      </c>
      <c r="L201" s="32">
        <f t="shared" si="13"/>
        <v>0.7857142857142857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 t="s">
        <v>2288</v>
      </c>
      <c r="R201" s="70" t="s">
        <v>2288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21</v>
      </c>
      <c r="J211" s="147" t="s">
        <v>1837</v>
      </c>
      <c r="K211" s="142">
        <f t="shared" si="12"/>
        <v>7</v>
      </c>
      <c r="L211" s="143">
        <f t="shared" si="13"/>
        <v>0.75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 t="s">
        <v>2288</v>
      </c>
      <c r="R211" s="70" t="s">
        <v>2288</v>
      </c>
      <c r="S211" s="70" t="s">
        <v>2288</v>
      </c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21</v>
      </c>
      <c r="J218" s="151" t="s">
        <v>2276</v>
      </c>
      <c r="K218" s="142">
        <f t="shared" si="12"/>
        <v>7</v>
      </c>
      <c r="L218" s="143">
        <f t="shared" si="13"/>
        <v>0.75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 t="s">
        <v>2288</v>
      </c>
      <c r="R218" s="70" t="s">
        <v>2288</v>
      </c>
      <c r="S218" s="70" t="s">
        <v>2288</v>
      </c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21</v>
      </c>
      <c r="J219" s="87"/>
      <c r="K219" s="31">
        <f t="shared" si="12"/>
        <v>7</v>
      </c>
      <c r="L219" s="32">
        <f t="shared" si="13"/>
        <v>0.75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 t="s">
        <v>2288</v>
      </c>
      <c r="R219" s="70" t="s">
        <v>2288</v>
      </c>
      <c r="S219" s="70" t="s">
        <v>2288</v>
      </c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21</v>
      </c>
      <c r="J220" s="87"/>
      <c r="K220" s="31">
        <f t="shared" si="12"/>
        <v>7</v>
      </c>
      <c r="L220" s="32">
        <f t="shared" si="13"/>
        <v>0.75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 t="s">
        <v>2288</v>
      </c>
      <c r="R220" s="70" t="s">
        <v>2288</v>
      </c>
      <c r="S220" s="70" t="s">
        <v>2288</v>
      </c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21</v>
      </c>
      <c r="J232" s="147" t="s">
        <v>1852</v>
      </c>
      <c r="K232" s="31">
        <f t="shared" si="12"/>
        <v>7</v>
      </c>
      <c r="L232" s="32">
        <f t="shared" si="13"/>
        <v>0.75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 t="s">
        <v>2288</v>
      </c>
      <c r="R232" s="70" t="s">
        <v>2288</v>
      </c>
      <c r="S232" s="70" t="s">
        <v>2288</v>
      </c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 t="s">
        <v>2288</v>
      </c>
      <c r="S233" s="70" t="s">
        <v>2288</v>
      </c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21</v>
      </c>
      <c r="J234" s="147" t="s">
        <v>1854</v>
      </c>
      <c r="K234" s="31">
        <f t="shared" si="12"/>
        <v>7</v>
      </c>
      <c r="L234" s="32">
        <f t="shared" si="13"/>
        <v>0.75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 t="s">
        <v>2288</v>
      </c>
      <c r="R234" s="70" t="s">
        <v>2288</v>
      </c>
      <c r="S234" s="70" t="s">
        <v>2288</v>
      </c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 t="s">
        <v>2288</v>
      </c>
      <c r="S235" s="70" t="s">
        <v>2288</v>
      </c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 t="s">
        <v>2288</v>
      </c>
      <c r="S236" s="70" t="s">
        <v>2288</v>
      </c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23</v>
      </c>
      <c r="J241" s="147" t="s">
        <v>1861</v>
      </c>
      <c r="K241" s="31">
        <f t="shared" si="15"/>
        <v>5</v>
      </c>
      <c r="L241" s="32">
        <f t="shared" si="16"/>
        <v>0.8214285714285714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 t="s">
        <v>2288</v>
      </c>
      <c r="S241" s="70" t="s">
        <v>2288</v>
      </c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 t="s">
        <v>2288</v>
      </c>
      <c r="S242" s="70" t="s">
        <v>2288</v>
      </c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2288</v>
      </c>
      <c r="S243" s="70" t="s">
        <v>2288</v>
      </c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1864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2288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 t="s">
        <v>2288</v>
      </c>
      <c r="S245" s="70" t="s">
        <v>2288</v>
      </c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23</v>
      </c>
      <c r="J246" s="147" t="s">
        <v>1866</v>
      </c>
      <c r="K246" s="31">
        <f t="shared" si="15"/>
        <v>5</v>
      </c>
      <c r="L246" s="32">
        <f t="shared" si="16"/>
        <v>0.8214285714285714</v>
      </c>
      <c r="M246" s="70"/>
      <c r="N246" s="70"/>
      <c r="O246" s="70" t="s">
        <v>2288</v>
      </c>
      <c r="P246" s="70" t="s">
        <v>2288</v>
      </c>
      <c r="Q246" s="70" t="s">
        <v>2288</v>
      </c>
      <c r="R246" s="70" t="s">
        <v>2288</v>
      </c>
      <c r="S246" s="70" t="s">
        <v>2288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1873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2288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26</v>
      </c>
      <c r="J260" s="147" t="s">
        <v>1876</v>
      </c>
      <c r="K260" s="31">
        <f t="shared" si="15"/>
        <v>2</v>
      </c>
      <c r="L260" s="32">
        <f t="shared" si="16"/>
        <v>0.9285714285714286</v>
      </c>
      <c r="M260" s="70"/>
      <c r="N260" s="70"/>
      <c r="O260" s="70"/>
      <c r="P260" s="70"/>
      <c r="Q260" s="70"/>
      <c r="R260" s="70" t="s">
        <v>2288</v>
      </c>
      <c r="S260" s="70" t="s">
        <v>2288</v>
      </c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26</v>
      </c>
      <c r="J262" s="147" t="s">
        <v>1864</v>
      </c>
      <c r="K262" s="31">
        <f t="shared" si="15"/>
        <v>2</v>
      </c>
      <c r="L262" s="32">
        <f t="shared" si="16"/>
        <v>0.9285714285714286</v>
      </c>
      <c r="M262" s="70"/>
      <c r="N262" s="70"/>
      <c r="O262" s="70"/>
      <c r="P262" s="70"/>
      <c r="Q262" s="70"/>
      <c r="R262" s="70" t="s">
        <v>2288</v>
      </c>
      <c r="S262" s="70" t="s">
        <v>2288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22</v>
      </c>
      <c r="J264" s="147" t="s">
        <v>1879</v>
      </c>
      <c r="K264" s="31">
        <f t="shared" si="15"/>
        <v>6</v>
      </c>
      <c r="L264" s="32">
        <f t="shared" si="16"/>
        <v>0.7857142857142857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 t="s">
        <v>2288</v>
      </c>
      <c r="R264" s="70" t="s">
        <v>2288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 t="s">
        <v>2288</v>
      </c>
      <c r="S266" s="70" t="s">
        <v>2288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21</v>
      </c>
      <c r="J281" s="147" t="s">
        <v>1893</v>
      </c>
      <c r="K281" s="31">
        <f t="shared" si="15"/>
        <v>7</v>
      </c>
      <c r="L281" s="32">
        <f t="shared" si="16"/>
        <v>0.75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 t="s">
        <v>2288</v>
      </c>
      <c r="R281" s="70" t="s">
        <v>2288</v>
      </c>
      <c r="S281" s="70" t="s">
        <v>2288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26</v>
      </c>
      <c r="J284" s="147" t="s">
        <v>1896</v>
      </c>
      <c r="K284" s="142">
        <f t="shared" si="15"/>
        <v>2</v>
      </c>
      <c r="L284" s="143">
        <f t="shared" si="16"/>
        <v>0.9285714285714286</v>
      </c>
      <c r="M284" s="70"/>
      <c r="N284" s="70"/>
      <c r="O284" s="70"/>
      <c r="P284" s="70"/>
      <c r="Q284" s="70"/>
      <c r="R284" s="70" t="s">
        <v>2288</v>
      </c>
      <c r="S284" s="70" t="s">
        <v>2288</v>
      </c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21</v>
      </c>
      <c r="J296" s="147" t="s">
        <v>1907</v>
      </c>
      <c r="K296" s="31">
        <f t="shared" si="15"/>
        <v>7</v>
      </c>
      <c r="L296" s="32">
        <f t="shared" si="16"/>
        <v>0.75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 t="s">
        <v>2288</v>
      </c>
      <c r="R296" s="70" t="s">
        <v>2288</v>
      </c>
      <c r="S296" s="70" t="s">
        <v>2288</v>
      </c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2288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1910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2288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21</v>
      </c>
      <c r="J308" s="147" t="s">
        <v>1918</v>
      </c>
      <c r="K308" s="142">
        <f t="shared" si="15"/>
        <v>7</v>
      </c>
      <c r="L308" s="143">
        <f t="shared" si="16"/>
        <v>0.75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 t="s">
        <v>2288</v>
      </c>
      <c r="R308" s="70" t="s">
        <v>2288</v>
      </c>
      <c r="S308" s="70" t="s">
        <v>2288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21</v>
      </c>
      <c r="J310" s="147" t="s">
        <v>1919</v>
      </c>
      <c r="K310" s="31">
        <f t="shared" ref="K310:K380" si="18">COUNTIF(M310:AN310,"APAGADO")</f>
        <v>7</v>
      </c>
      <c r="L310" s="32">
        <f t="shared" ref="L310:L380" si="19">(I310)/(K310+I310)</f>
        <v>0.75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 t="s">
        <v>2288</v>
      </c>
      <c r="R310" s="70" t="s">
        <v>2288</v>
      </c>
      <c r="S310" s="70" t="s">
        <v>2288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22</v>
      </c>
      <c r="J311" s="147" t="s">
        <v>1920</v>
      </c>
      <c r="K311" s="142">
        <f t="shared" si="18"/>
        <v>6</v>
      </c>
      <c r="L311" s="143">
        <f t="shared" si="19"/>
        <v>0.7857142857142857</v>
      </c>
      <c r="M311" s="70"/>
      <c r="N311" s="70" t="s">
        <v>2288</v>
      </c>
      <c r="O311" s="70" t="s">
        <v>2288</v>
      </c>
      <c r="P311" s="70" t="s">
        <v>2288</v>
      </c>
      <c r="Q311" s="70" t="s">
        <v>2288</v>
      </c>
      <c r="R311" s="70" t="s">
        <v>2288</v>
      </c>
      <c r="S311" s="70" t="s">
        <v>2288</v>
      </c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22</v>
      </c>
      <c r="J312" s="87" t="s">
        <v>2197</v>
      </c>
      <c r="K312" s="142">
        <f t="shared" si="18"/>
        <v>6</v>
      </c>
      <c r="L312" s="143">
        <f t="shared" si="19"/>
        <v>0.7857142857142857</v>
      </c>
      <c r="M312" s="70"/>
      <c r="N312" s="70" t="s">
        <v>2288</v>
      </c>
      <c r="O312" s="70" t="s">
        <v>2288</v>
      </c>
      <c r="P312" s="70" t="s">
        <v>2288</v>
      </c>
      <c r="Q312" s="70" t="s">
        <v>2288</v>
      </c>
      <c r="R312" s="70" t="s">
        <v>2288</v>
      </c>
      <c r="S312" s="70" t="s">
        <v>2288</v>
      </c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22</v>
      </c>
      <c r="J313" s="147" t="s">
        <v>1921</v>
      </c>
      <c r="K313" s="142">
        <f t="shared" si="18"/>
        <v>6</v>
      </c>
      <c r="L313" s="143">
        <f t="shared" si="19"/>
        <v>0.7857142857142857</v>
      </c>
      <c r="M313" s="70"/>
      <c r="N313" s="70" t="s">
        <v>2288</v>
      </c>
      <c r="O313" s="70" t="s">
        <v>2288</v>
      </c>
      <c r="P313" s="70" t="s">
        <v>2288</v>
      </c>
      <c r="Q313" s="70" t="s">
        <v>2288</v>
      </c>
      <c r="R313" s="70" t="s">
        <v>2288</v>
      </c>
      <c r="S313" s="70" t="s">
        <v>2288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21</v>
      </c>
      <c r="J314" s="147" t="s">
        <v>1922</v>
      </c>
      <c r="K314" s="31">
        <f t="shared" si="18"/>
        <v>7</v>
      </c>
      <c r="L314" s="32">
        <f t="shared" si="19"/>
        <v>0.75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 t="s">
        <v>2288</v>
      </c>
      <c r="R314" s="70" t="s">
        <v>2288</v>
      </c>
      <c r="S314" s="70" t="s">
        <v>2288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23</v>
      </c>
      <c r="J315" s="147" t="s">
        <v>1923</v>
      </c>
      <c r="K315" s="31">
        <f t="shared" si="18"/>
        <v>5</v>
      </c>
      <c r="L315" s="32">
        <f t="shared" si="19"/>
        <v>0.8214285714285714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 t="s">
        <v>2288</v>
      </c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23</v>
      </c>
      <c r="J316" s="147" t="s">
        <v>1924</v>
      </c>
      <c r="K316" s="31">
        <f t="shared" si="18"/>
        <v>5</v>
      </c>
      <c r="L316" s="32">
        <f t="shared" si="19"/>
        <v>0.8214285714285714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 t="s">
        <v>2288</v>
      </c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 t="s">
        <v>2288</v>
      </c>
      <c r="S350" s="70" t="s">
        <v>2288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21</v>
      </c>
      <c r="J375" s="73"/>
      <c r="K375" s="31">
        <f t="shared" si="18"/>
        <v>7</v>
      </c>
      <c r="L375" s="32">
        <f t="shared" si="19"/>
        <v>0.75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 t="s">
        <v>2288</v>
      </c>
      <c r="R375" s="70" t="s">
        <v>2288</v>
      </c>
      <c r="S375" s="70" t="s">
        <v>2288</v>
      </c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24</v>
      </c>
      <c r="J378" s="147" t="s">
        <v>1975</v>
      </c>
      <c r="K378" s="31">
        <f t="shared" si="18"/>
        <v>4</v>
      </c>
      <c r="L378" s="32">
        <f t="shared" si="19"/>
        <v>0.8571428571428571</v>
      </c>
      <c r="M378" s="70" t="s">
        <v>2288</v>
      </c>
      <c r="N378" s="70" t="s">
        <v>2288</v>
      </c>
      <c r="O378" s="70"/>
      <c r="P378" s="70"/>
      <c r="Q378" s="70"/>
      <c r="R378" s="70" t="s">
        <v>2288</v>
      </c>
      <c r="S378" s="70" t="s">
        <v>2288</v>
      </c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24</v>
      </c>
      <c r="J379" s="147" t="s">
        <v>1976</v>
      </c>
      <c r="K379" s="31">
        <f t="shared" si="18"/>
        <v>4</v>
      </c>
      <c r="L379" s="32">
        <f t="shared" si="19"/>
        <v>0.8571428571428571</v>
      </c>
      <c r="M379" s="70" t="s">
        <v>2288</v>
      </c>
      <c r="N379" s="70" t="s">
        <v>2288</v>
      </c>
      <c r="O379" s="70"/>
      <c r="P379" s="70"/>
      <c r="Q379" s="70"/>
      <c r="R379" s="70" t="s">
        <v>2288</v>
      </c>
      <c r="S379" s="70" t="s">
        <v>2288</v>
      </c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24</v>
      </c>
      <c r="J380" s="147" t="s">
        <v>1977</v>
      </c>
      <c r="K380" s="31">
        <f t="shared" si="18"/>
        <v>4</v>
      </c>
      <c r="L380" s="32">
        <f t="shared" si="19"/>
        <v>0.8571428571428571</v>
      </c>
      <c r="M380" s="70" t="s">
        <v>2288</v>
      </c>
      <c r="N380" s="70" t="s">
        <v>2288</v>
      </c>
      <c r="O380" s="70"/>
      <c r="P380" s="70"/>
      <c r="Q380" s="70"/>
      <c r="R380" s="70" t="s">
        <v>2288</v>
      </c>
      <c r="S380" s="70" t="s">
        <v>2288</v>
      </c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24</v>
      </c>
      <c r="J381" s="147" t="s">
        <v>1978</v>
      </c>
      <c r="K381" s="31">
        <f t="shared" ref="K381:K462" si="21">COUNTIF(M381:AN381,"APAGADO")</f>
        <v>4</v>
      </c>
      <c r="L381" s="32">
        <f t="shared" ref="L381:L462" si="22">(I381)/(K381+I381)</f>
        <v>0.8571428571428571</v>
      </c>
      <c r="M381" s="70" t="s">
        <v>2288</v>
      </c>
      <c r="N381" s="70" t="s">
        <v>2288</v>
      </c>
      <c r="O381" s="70"/>
      <c r="P381" s="70"/>
      <c r="Q381" s="70"/>
      <c r="R381" s="70" t="s">
        <v>2288</v>
      </c>
      <c r="S381" s="70" t="s">
        <v>2288</v>
      </c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24</v>
      </c>
      <c r="J382" s="147" t="s">
        <v>1979</v>
      </c>
      <c r="K382" s="31">
        <f t="shared" si="21"/>
        <v>4</v>
      </c>
      <c r="L382" s="32">
        <f t="shared" si="22"/>
        <v>0.8571428571428571</v>
      </c>
      <c r="M382" s="70" t="s">
        <v>2288</v>
      </c>
      <c r="N382" s="70" t="s">
        <v>2288</v>
      </c>
      <c r="O382" s="70"/>
      <c r="P382" s="70"/>
      <c r="Q382" s="70"/>
      <c r="R382" s="70" t="s">
        <v>2288</v>
      </c>
      <c r="S382" s="70" t="s">
        <v>2288</v>
      </c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 t="s">
        <v>2288</v>
      </c>
      <c r="N383" s="70" t="s">
        <v>2288</v>
      </c>
      <c r="O383" s="70"/>
      <c r="P383" s="70"/>
      <c r="Q383" s="70"/>
      <c r="R383" s="70" t="s">
        <v>2288</v>
      </c>
      <c r="S383" s="70" t="s">
        <v>2288</v>
      </c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 t="s">
        <v>2288</v>
      </c>
      <c r="N384" s="70" t="s">
        <v>2288</v>
      </c>
      <c r="O384" s="70"/>
      <c r="P384" s="70"/>
      <c r="Q384" s="70"/>
      <c r="R384" s="70" t="s">
        <v>2288</v>
      </c>
      <c r="S384" s="70" t="s">
        <v>2288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24</v>
      </c>
      <c r="J385" s="147" t="s">
        <v>1982</v>
      </c>
      <c r="K385" s="31">
        <f t="shared" si="21"/>
        <v>4</v>
      </c>
      <c r="L385" s="32">
        <f t="shared" si="22"/>
        <v>0.8571428571428571</v>
      </c>
      <c r="M385" s="70" t="s">
        <v>2288</v>
      </c>
      <c r="N385" s="70" t="s">
        <v>2288</v>
      </c>
      <c r="O385" s="70"/>
      <c r="P385" s="70"/>
      <c r="Q385" s="70"/>
      <c r="R385" s="70" t="s">
        <v>2288</v>
      </c>
      <c r="S385" s="70" t="s">
        <v>2288</v>
      </c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24</v>
      </c>
      <c r="J386" s="147" t="s">
        <v>1983</v>
      </c>
      <c r="K386" s="31">
        <f t="shared" si="21"/>
        <v>4</v>
      </c>
      <c r="L386" s="32">
        <f t="shared" si="22"/>
        <v>0.8571428571428571</v>
      </c>
      <c r="M386" s="70" t="s">
        <v>2288</v>
      </c>
      <c r="N386" s="70" t="s">
        <v>2288</v>
      </c>
      <c r="O386" s="70"/>
      <c r="P386" s="70"/>
      <c r="Q386" s="70"/>
      <c r="R386" s="70" t="s">
        <v>2288</v>
      </c>
      <c r="S386" s="70" t="s">
        <v>2288</v>
      </c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24</v>
      </c>
      <c r="J387" s="147" t="s">
        <v>1984</v>
      </c>
      <c r="K387" s="31">
        <f t="shared" si="21"/>
        <v>4</v>
      </c>
      <c r="L387" s="32">
        <f t="shared" si="22"/>
        <v>0.8571428571428571</v>
      </c>
      <c r="M387" s="70" t="s">
        <v>2288</v>
      </c>
      <c r="N387" s="70" t="s">
        <v>2288</v>
      </c>
      <c r="O387" s="70"/>
      <c r="P387" s="70"/>
      <c r="Q387" s="70"/>
      <c r="R387" s="70" t="s">
        <v>2288</v>
      </c>
      <c r="S387" s="70" t="s">
        <v>2288</v>
      </c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21</v>
      </c>
      <c r="J388" s="147" t="s">
        <v>1985</v>
      </c>
      <c r="K388" s="31">
        <f t="shared" si="21"/>
        <v>7</v>
      </c>
      <c r="L388" s="32">
        <f t="shared" si="22"/>
        <v>0.75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 t="s">
        <v>2288</v>
      </c>
      <c r="R388" s="70" t="s">
        <v>2288</v>
      </c>
      <c r="S388" s="70" t="s">
        <v>2288</v>
      </c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21</v>
      </c>
      <c r="J389" s="147" t="s">
        <v>1986</v>
      </c>
      <c r="K389" s="31">
        <f t="shared" si="21"/>
        <v>7</v>
      </c>
      <c r="L389" s="32">
        <f t="shared" si="22"/>
        <v>0.75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 t="s">
        <v>2288</v>
      </c>
      <c r="R389" s="70" t="s">
        <v>2288</v>
      </c>
      <c r="S389" s="70" t="s">
        <v>2288</v>
      </c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22</v>
      </c>
      <c r="J393" s="87"/>
      <c r="K393" s="31">
        <f t="shared" si="21"/>
        <v>6</v>
      </c>
      <c r="L393" s="32">
        <f t="shared" si="22"/>
        <v>0.7857142857142857</v>
      </c>
      <c r="M393" s="70"/>
      <c r="N393" s="70" t="s">
        <v>2288</v>
      </c>
      <c r="O393" s="70" t="s">
        <v>2288</v>
      </c>
      <c r="P393" s="84" t="s">
        <v>2288</v>
      </c>
      <c r="Q393" s="84" t="s">
        <v>2288</v>
      </c>
      <c r="R393" s="84" t="s">
        <v>2288</v>
      </c>
      <c r="S393" s="84" t="s">
        <v>2288</v>
      </c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23</v>
      </c>
      <c r="J395" s="87"/>
      <c r="K395" s="31">
        <f t="shared" si="21"/>
        <v>5</v>
      </c>
      <c r="L395" s="32">
        <f t="shared" si="22"/>
        <v>0.8214285714285714</v>
      </c>
      <c r="M395" s="70" t="s">
        <v>2288</v>
      </c>
      <c r="N395" s="70" t="s">
        <v>2288</v>
      </c>
      <c r="O395" s="70"/>
      <c r="P395" s="70"/>
      <c r="Q395" s="70" t="s">
        <v>2288</v>
      </c>
      <c r="R395" s="70" t="s">
        <v>2288</v>
      </c>
      <c r="S395" s="70" t="s">
        <v>2288</v>
      </c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2288</v>
      </c>
      <c r="S397" s="70" t="s">
        <v>2288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2288</v>
      </c>
      <c r="S398" s="70" t="s">
        <v>2288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21</v>
      </c>
      <c r="J399" s="147" t="s">
        <v>1991</v>
      </c>
      <c r="K399" s="87">
        <f t="shared" si="21"/>
        <v>7</v>
      </c>
      <c r="L399" s="88">
        <f t="shared" si="22"/>
        <v>0.75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 t="s">
        <v>2288</v>
      </c>
      <c r="R399" s="89" t="s">
        <v>2288</v>
      </c>
      <c r="S399" s="89" t="s">
        <v>2288</v>
      </c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2288</v>
      </c>
      <c r="P400" s="70"/>
      <c r="Q400" s="70"/>
      <c r="R400" s="70" t="s">
        <v>2288</v>
      </c>
      <c r="S400" s="70" t="s">
        <v>2288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21</v>
      </c>
      <c r="J401" s="147" t="s">
        <v>1992</v>
      </c>
      <c r="K401" s="31">
        <f t="shared" si="21"/>
        <v>7</v>
      </c>
      <c r="L401" s="32">
        <f t="shared" si="22"/>
        <v>0.75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 t="s">
        <v>2288</v>
      </c>
      <c r="R401" s="70" t="s">
        <v>2288</v>
      </c>
      <c r="S401" s="70" t="s">
        <v>2288</v>
      </c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21</v>
      </c>
      <c r="J402" s="147" t="s">
        <v>1993</v>
      </c>
      <c r="K402" s="31">
        <f t="shared" si="21"/>
        <v>7</v>
      </c>
      <c r="L402" s="32">
        <f t="shared" si="22"/>
        <v>0.75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 t="s">
        <v>2288</v>
      </c>
      <c r="R402" s="70" t="s">
        <v>2288</v>
      </c>
      <c r="S402" s="70" t="s">
        <v>2288</v>
      </c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 t="s">
        <v>2288</v>
      </c>
      <c r="R405" s="70" t="s">
        <v>2288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 t="s">
        <v>2288</v>
      </c>
      <c r="R406" s="70" t="s">
        <v>2288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1998</v>
      </c>
      <c r="K413" s="142">
        <f t="shared" si="21"/>
        <v>5</v>
      </c>
      <c r="L413" s="143">
        <f t="shared" si="22"/>
        <v>0.8214285714285714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 t="s">
        <v>2288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21</v>
      </c>
      <c r="J415" s="87"/>
      <c r="K415" s="31">
        <f t="shared" si="21"/>
        <v>7</v>
      </c>
      <c r="L415" s="32">
        <f t="shared" si="22"/>
        <v>0.75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 t="s">
        <v>2288</v>
      </c>
      <c r="R415" s="70" t="s">
        <v>2288</v>
      </c>
      <c r="S415" s="70" t="s">
        <v>2288</v>
      </c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2000</v>
      </c>
      <c r="K416" s="142">
        <f t="shared" si="21"/>
        <v>5</v>
      </c>
      <c r="L416" s="143">
        <f t="shared" si="22"/>
        <v>0.8214285714285714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 t="s">
        <v>2288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2003</v>
      </c>
      <c r="K420" s="31">
        <f t="shared" si="21"/>
        <v>5</v>
      </c>
      <c r="L420" s="32">
        <f t="shared" si="22"/>
        <v>0.8214285714285714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 t="s">
        <v>2288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2004</v>
      </c>
      <c r="K421" s="31">
        <f t="shared" si="21"/>
        <v>5</v>
      </c>
      <c r="L421" s="32">
        <f t="shared" si="22"/>
        <v>0.8214285714285714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 t="s">
        <v>2288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23</v>
      </c>
      <c r="J429" s="147" t="s">
        <v>2011</v>
      </c>
      <c r="K429" s="31">
        <f t="shared" si="21"/>
        <v>5</v>
      </c>
      <c r="L429" s="32">
        <f t="shared" si="22"/>
        <v>0.8214285714285714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 t="s">
        <v>2288</v>
      </c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23</v>
      </c>
      <c r="J430" s="147" t="s">
        <v>2012</v>
      </c>
      <c r="K430" s="31">
        <f t="shared" si="21"/>
        <v>5</v>
      </c>
      <c r="L430" s="32">
        <f t="shared" si="22"/>
        <v>0.8214285714285714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 t="s">
        <v>2288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21</v>
      </c>
      <c r="J434" s="147" t="s">
        <v>2015</v>
      </c>
      <c r="K434" s="31">
        <f t="shared" si="21"/>
        <v>7</v>
      </c>
      <c r="L434" s="32">
        <f t="shared" si="22"/>
        <v>0.75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 t="s">
        <v>2288</v>
      </c>
      <c r="R434" s="70" t="s">
        <v>2288</v>
      </c>
      <c r="S434" s="70" t="s">
        <v>2288</v>
      </c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21</v>
      </c>
      <c r="J436" s="147" t="s">
        <v>2017</v>
      </c>
      <c r="K436" s="31">
        <f t="shared" si="21"/>
        <v>7</v>
      </c>
      <c r="L436" s="32">
        <f t="shared" si="22"/>
        <v>0.75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 t="s">
        <v>2288</v>
      </c>
      <c r="R436" s="70" t="s">
        <v>2288</v>
      </c>
      <c r="S436" s="70" t="s">
        <v>2288</v>
      </c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21</v>
      </c>
      <c r="J441" s="147" t="s">
        <v>2018</v>
      </c>
      <c r="K441" s="31">
        <f t="shared" si="21"/>
        <v>7</v>
      </c>
      <c r="L441" s="32">
        <f t="shared" si="22"/>
        <v>0.75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 t="s">
        <v>2288</v>
      </c>
      <c r="R441" s="70" t="s">
        <v>2288</v>
      </c>
      <c r="S441" s="70" t="s">
        <v>2288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21</v>
      </c>
      <c r="J442" s="147" t="s">
        <v>2019</v>
      </c>
      <c r="K442" s="31">
        <f t="shared" si="21"/>
        <v>7</v>
      </c>
      <c r="L442" s="32">
        <f t="shared" si="22"/>
        <v>0.75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 t="s">
        <v>2288</v>
      </c>
      <c r="R442" s="70" t="s">
        <v>2288</v>
      </c>
      <c r="S442" s="70" t="s">
        <v>2288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23</v>
      </c>
      <c r="J446" s="147" t="s">
        <v>2023</v>
      </c>
      <c r="K446" s="31">
        <f t="shared" si="21"/>
        <v>5</v>
      </c>
      <c r="L446" s="32">
        <f t="shared" si="22"/>
        <v>0.8214285714285714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 t="s">
        <v>2288</v>
      </c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23</v>
      </c>
      <c r="J447" s="147" t="s">
        <v>2024</v>
      </c>
      <c r="K447" s="31">
        <f t="shared" si="21"/>
        <v>5</v>
      </c>
      <c r="L447" s="32">
        <f t="shared" si="22"/>
        <v>0.8214285714285714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 t="s">
        <v>2288</v>
      </c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21</v>
      </c>
      <c r="J448" s="147" t="s">
        <v>2025</v>
      </c>
      <c r="K448" s="31">
        <f t="shared" si="21"/>
        <v>7</v>
      </c>
      <c r="L448" s="32">
        <f t="shared" si="22"/>
        <v>0.75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 t="s">
        <v>2288</v>
      </c>
      <c r="R448" s="70" t="s">
        <v>2288</v>
      </c>
      <c r="S448" s="70" t="s">
        <v>2288</v>
      </c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21</v>
      </c>
      <c r="J456" s="147" t="s">
        <v>2027</v>
      </c>
      <c r="K456" s="142">
        <f t="shared" si="21"/>
        <v>7</v>
      </c>
      <c r="L456" s="143">
        <f t="shared" si="22"/>
        <v>0.75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 t="s">
        <v>2288</v>
      </c>
      <c r="R456" s="70" t="s">
        <v>2288</v>
      </c>
      <c r="S456" s="70" t="s">
        <v>2288</v>
      </c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21</v>
      </c>
      <c r="J457" s="147" t="s">
        <v>2028</v>
      </c>
      <c r="K457" s="142">
        <f t="shared" si="21"/>
        <v>7</v>
      </c>
      <c r="L457" s="143">
        <f t="shared" si="22"/>
        <v>0.75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 t="s">
        <v>2288</v>
      </c>
      <c r="R457" s="70" t="s">
        <v>2288</v>
      </c>
      <c r="S457" s="70" t="s">
        <v>2288</v>
      </c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21</v>
      </c>
      <c r="J458" s="87"/>
      <c r="K458" s="142">
        <f t="shared" si="21"/>
        <v>7</v>
      </c>
      <c r="L458" s="143">
        <f t="shared" si="22"/>
        <v>0.75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 t="s">
        <v>2288</v>
      </c>
      <c r="R458" s="70" t="s">
        <v>2288</v>
      </c>
      <c r="S458" s="70" t="s">
        <v>2288</v>
      </c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21</v>
      </c>
      <c r="J459" s="153" t="s">
        <v>2146</v>
      </c>
      <c r="K459" s="142">
        <f t="shared" si="21"/>
        <v>7</v>
      </c>
      <c r="L459" s="143">
        <f t="shared" si="22"/>
        <v>0.75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 t="s">
        <v>2288</v>
      </c>
      <c r="R459" s="70" t="s">
        <v>2288</v>
      </c>
      <c r="S459" s="70" t="s">
        <v>2288</v>
      </c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21</v>
      </c>
      <c r="J460" s="153"/>
      <c r="K460" s="142">
        <f t="shared" si="21"/>
        <v>7</v>
      </c>
      <c r="L460" s="143">
        <f t="shared" si="22"/>
        <v>0.75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 t="s">
        <v>2288</v>
      </c>
      <c r="R460" s="70" t="s">
        <v>2288</v>
      </c>
      <c r="S460" s="70" t="s">
        <v>2288</v>
      </c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26</v>
      </c>
      <c r="J461" s="147" t="s">
        <v>2029</v>
      </c>
      <c r="K461" s="31">
        <f t="shared" si="21"/>
        <v>2</v>
      </c>
      <c r="L461" s="32">
        <f t="shared" si="22"/>
        <v>0.9285714285714286</v>
      </c>
      <c r="M461" s="70"/>
      <c r="N461" s="70"/>
      <c r="O461" s="70"/>
      <c r="P461" s="70"/>
      <c r="Q461" s="70"/>
      <c r="R461" s="70" t="s">
        <v>2288</v>
      </c>
      <c r="S461" s="70" t="s">
        <v>2288</v>
      </c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/>
      <c r="N462" s="70"/>
      <c r="O462" s="70"/>
      <c r="P462" s="70"/>
      <c r="Q462" s="70"/>
      <c r="R462" s="70" t="s">
        <v>2288</v>
      </c>
      <c r="S462" s="70" t="s">
        <v>2288</v>
      </c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2288</v>
      </c>
      <c r="S481" s="70" t="s">
        <v>2288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2288</v>
      </c>
      <c r="S482" s="70" t="s">
        <v>2288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26</v>
      </c>
      <c r="J483" s="87"/>
      <c r="K483" s="31">
        <f t="shared" si="24"/>
        <v>2</v>
      </c>
      <c r="L483" s="32">
        <f t="shared" si="25"/>
        <v>0.9285714285714286</v>
      </c>
      <c r="M483" s="70"/>
      <c r="N483" s="70"/>
      <c r="O483" s="70"/>
      <c r="P483" s="70"/>
      <c r="Q483" s="70"/>
      <c r="R483" s="70" t="s">
        <v>2288</v>
      </c>
      <c r="S483" s="70" t="s">
        <v>2288</v>
      </c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2288</v>
      </c>
      <c r="S484" s="70" t="s">
        <v>2288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2288</v>
      </c>
      <c r="S485" s="70" t="s">
        <v>2288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23</v>
      </c>
      <c r="J496" s="147" t="s">
        <v>2055</v>
      </c>
      <c r="K496" s="31">
        <f t="shared" si="24"/>
        <v>5</v>
      </c>
      <c r="L496" s="32">
        <f t="shared" si="25"/>
        <v>0.8214285714285714</v>
      </c>
      <c r="M496" s="70" t="s">
        <v>2288</v>
      </c>
      <c r="N496" s="70" t="s">
        <v>2288</v>
      </c>
      <c r="O496" s="70"/>
      <c r="P496" s="70"/>
      <c r="Q496" s="70" t="s">
        <v>2288</v>
      </c>
      <c r="R496" s="70" t="s">
        <v>2288</v>
      </c>
      <c r="S496" s="70" t="s">
        <v>2288</v>
      </c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23</v>
      </c>
      <c r="J503" s="147" t="s">
        <v>2062</v>
      </c>
      <c r="K503" s="31">
        <f t="shared" si="24"/>
        <v>5</v>
      </c>
      <c r="L503" s="32">
        <f t="shared" si="25"/>
        <v>0.8214285714285714</v>
      </c>
      <c r="M503" s="70" t="s">
        <v>2288</v>
      </c>
      <c r="N503" s="70" t="s">
        <v>2288</v>
      </c>
      <c r="O503" s="70"/>
      <c r="P503" s="70"/>
      <c r="Q503" s="70" t="s">
        <v>2288</v>
      </c>
      <c r="R503" s="70" t="s">
        <v>2288</v>
      </c>
      <c r="S503" s="70" t="s">
        <v>2288</v>
      </c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23</v>
      </c>
      <c r="J508" s="147" t="s">
        <v>2067</v>
      </c>
      <c r="K508" s="31">
        <f t="shared" si="24"/>
        <v>5</v>
      </c>
      <c r="L508" s="32">
        <f t="shared" si="25"/>
        <v>0.8214285714285714</v>
      </c>
      <c r="M508" s="70" t="s">
        <v>2288</v>
      </c>
      <c r="N508" s="70" t="s">
        <v>2288</v>
      </c>
      <c r="O508" s="70"/>
      <c r="P508" s="70"/>
      <c r="Q508" s="70" t="s">
        <v>2288</v>
      </c>
      <c r="R508" s="70" t="s">
        <v>2288</v>
      </c>
      <c r="S508" s="70" t="s">
        <v>2288</v>
      </c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21</v>
      </c>
      <c r="J510" s="147" t="s">
        <v>2069</v>
      </c>
      <c r="K510" s="31">
        <f t="shared" si="24"/>
        <v>7</v>
      </c>
      <c r="L510" s="32">
        <f t="shared" si="25"/>
        <v>0.75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 t="s">
        <v>2288</v>
      </c>
      <c r="R510" s="70" t="s">
        <v>2288</v>
      </c>
      <c r="S510" s="70" t="s">
        <v>2288</v>
      </c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23</v>
      </c>
      <c r="J511" s="147" t="s">
        <v>2070</v>
      </c>
      <c r="K511" s="31">
        <f t="shared" si="24"/>
        <v>5</v>
      </c>
      <c r="L511" s="32">
        <f t="shared" si="25"/>
        <v>0.8214285714285714</v>
      </c>
      <c r="M511" s="70" t="s">
        <v>2288</v>
      </c>
      <c r="N511" s="70" t="s">
        <v>2288</v>
      </c>
      <c r="O511" s="70"/>
      <c r="P511" s="70"/>
      <c r="Q511" s="70" t="s">
        <v>2288</v>
      </c>
      <c r="R511" s="70" t="s">
        <v>2288</v>
      </c>
      <c r="S511" s="70" t="s">
        <v>2288</v>
      </c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23</v>
      </c>
      <c r="J514" s="147" t="s">
        <v>2072</v>
      </c>
      <c r="K514" s="31">
        <f t="shared" si="24"/>
        <v>5</v>
      </c>
      <c r="L514" s="32">
        <f t="shared" si="25"/>
        <v>0.8214285714285714</v>
      </c>
      <c r="M514" s="70" t="s">
        <v>2288</v>
      </c>
      <c r="N514" s="70" t="s">
        <v>2288</v>
      </c>
      <c r="O514" s="70"/>
      <c r="P514" s="70"/>
      <c r="Q514" s="70" t="s">
        <v>2288</v>
      </c>
      <c r="R514" s="70" t="s">
        <v>2288</v>
      </c>
      <c r="S514" s="70" t="s">
        <v>2288</v>
      </c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24</v>
      </c>
      <c r="J515" s="147" t="s">
        <v>2073</v>
      </c>
      <c r="K515" s="31">
        <f t="shared" si="24"/>
        <v>4</v>
      </c>
      <c r="L515" s="32">
        <f t="shared" si="25"/>
        <v>0.8571428571428571</v>
      </c>
      <c r="M515" s="70" t="s">
        <v>2288</v>
      </c>
      <c r="N515" s="70" t="s">
        <v>2288</v>
      </c>
      <c r="O515" s="70"/>
      <c r="P515" s="70"/>
      <c r="Q515" s="70"/>
      <c r="R515" s="70" t="s">
        <v>2288</v>
      </c>
      <c r="S515" s="70" t="s">
        <v>2288</v>
      </c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21</v>
      </c>
      <c r="J520" s="147" t="s">
        <v>2078</v>
      </c>
      <c r="K520" s="142">
        <f t="shared" si="24"/>
        <v>7</v>
      </c>
      <c r="L520" s="143">
        <f t="shared" si="25"/>
        <v>0.75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 t="s">
        <v>2288</v>
      </c>
      <c r="R520" s="70" t="s">
        <v>2288</v>
      </c>
      <c r="S520" s="70" t="s">
        <v>2288</v>
      </c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22</v>
      </c>
      <c r="J523" s="147" t="s">
        <v>2081</v>
      </c>
      <c r="K523" s="142">
        <f t="shared" si="24"/>
        <v>6</v>
      </c>
      <c r="L523" s="143">
        <f t="shared" si="25"/>
        <v>0.7857142857142857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 t="s">
        <v>2288</v>
      </c>
      <c r="R523" s="70" t="s">
        <v>2288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21</v>
      </c>
      <c r="J540" s="147" t="s">
        <v>2200</v>
      </c>
      <c r="K540" s="31">
        <f t="shared" si="27"/>
        <v>7</v>
      </c>
      <c r="L540" s="32">
        <f t="shared" si="28"/>
        <v>0.75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 t="s">
        <v>2288</v>
      </c>
      <c r="R540" s="70" t="s">
        <v>2288</v>
      </c>
      <c r="S540" s="70" t="s">
        <v>2288</v>
      </c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21</v>
      </c>
      <c r="J547" s="87"/>
      <c r="K547" s="142">
        <f t="shared" si="27"/>
        <v>7</v>
      </c>
      <c r="L547" s="143">
        <f t="shared" si="28"/>
        <v>0.75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 t="s">
        <v>2288</v>
      </c>
      <c r="R547" s="70" t="s">
        <v>2288</v>
      </c>
      <c r="S547" s="70" t="s">
        <v>2288</v>
      </c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21</v>
      </c>
      <c r="J548" s="87" t="s">
        <v>2189</v>
      </c>
      <c r="K548" s="142">
        <f t="shared" si="27"/>
        <v>7</v>
      </c>
      <c r="L548" s="143">
        <f t="shared" si="28"/>
        <v>0.75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 t="s">
        <v>2288</v>
      </c>
      <c r="R548" s="70" t="s">
        <v>2288</v>
      </c>
      <c r="S548" s="70" t="s">
        <v>2288</v>
      </c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22</v>
      </c>
      <c r="J549" s="87" t="s">
        <v>2185</v>
      </c>
      <c r="K549" s="31">
        <f t="shared" si="27"/>
        <v>6</v>
      </c>
      <c r="L549" s="32">
        <f t="shared" si="28"/>
        <v>0.7857142857142857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 t="s">
        <v>2288</v>
      </c>
      <c r="R549" s="70" t="s">
        <v>2288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2099</v>
      </c>
      <c r="K550" s="31">
        <f t="shared" si="27"/>
        <v>5</v>
      </c>
      <c r="L550" s="32">
        <f t="shared" si="28"/>
        <v>0.8214285714285714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 t="s">
        <v>2288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22</v>
      </c>
      <c r="J551" s="87" t="s">
        <v>2186</v>
      </c>
      <c r="K551" s="31">
        <f t="shared" si="27"/>
        <v>6</v>
      </c>
      <c r="L551" s="32">
        <f t="shared" si="28"/>
        <v>0.7857142857142857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 t="s">
        <v>2288</v>
      </c>
      <c r="R551" s="70" t="s">
        <v>2288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2100</v>
      </c>
      <c r="K552" s="31">
        <f t="shared" si="27"/>
        <v>5</v>
      </c>
      <c r="L552" s="32">
        <f t="shared" si="28"/>
        <v>0.8214285714285714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 t="s">
        <v>2288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21</v>
      </c>
      <c r="J559" s="147" t="s">
        <v>2105</v>
      </c>
      <c r="K559" s="31">
        <f t="shared" si="27"/>
        <v>7</v>
      </c>
      <c r="L559" s="32">
        <f t="shared" si="28"/>
        <v>0.75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 t="s">
        <v>2288</v>
      </c>
      <c r="R559" s="70" t="s">
        <v>2288</v>
      </c>
      <c r="S559" s="70" t="s">
        <v>2288</v>
      </c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21</v>
      </c>
      <c r="J577" s="147" t="s">
        <v>2116</v>
      </c>
      <c r="K577" s="142">
        <f t="shared" si="27"/>
        <v>7</v>
      </c>
      <c r="L577" s="143">
        <f t="shared" si="28"/>
        <v>0.75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 t="s">
        <v>2288</v>
      </c>
      <c r="R577" s="70" t="s">
        <v>2288</v>
      </c>
      <c r="S577" s="70" t="s">
        <v>2288</v>
      </c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52" zoomScale="84" zoomScaleNormal="84" workbookViewId="0">
      <selection activeCell="B67" sqref="B67:F7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62</v>
      </c>
      <c r="E21" s="114">
        <f>D21/C21</f>
        <v>0.22962962962962963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.75" thickBot="1" x14ac:dyDescent="0.3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54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25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25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25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25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25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.75" thickBot="1" x14ac:dyDescent="0.3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f>COUNTIFS('RESUMEN TOTAL'!Q8:Q689,"=APAGADO",'RESUMEN TOTAL'!C8:C689,"=BONOMO")</f>
        <v>34</v>
      </c>
      <c r="K3" s="46">
        <f>COUNTIFS('RESUMEN TOTAL'!R8:R689,"=APAGADO",'RESUMEN TOTAL'!C8:C689,"=BONOMO")</f>
        <v>58</v>
      </c>
      <c r="L3" s="46">
        <v>56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f t="shared" si="0"/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v>62</v>
      </c>
      <c r="H5" s="46">
        <v>0</v>
      </c>
      <c r="I5" s="46">
        <f>COUNTIFS('RESUMEN TOTAL'!P10:P691,"=APAGADO",'RESUMEN TOTAL'!C10:C691,"=COSEIDI")</f>
        <v>54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0.22962962962962963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informe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2026-01-07T11:21:40Z</dcterms:modified>
</cp:coreProperties>
</file>