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A8829553-282A-45EB-BF8E-B0D0B7055011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3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AI2" i="26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<sst xmlns="http://schemas.openxmlformats.org/spreadsheetml/2006/main" count="5031" uniqueCount="2288">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</sst>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51" zoomScaleNormal="51" workbookViewId="0">
      <pane xSplit="12" ySplit="7" topLeftCell="M8" activePane="bottomRight" state="frozen"/>
      <selection pane="topRight" activeCell="M1" sqref="M1"/>
      <selection pane="bottomLeft" activeCell="A5" sqref="A5"/>
      <selection pane="bottomRight" activeCell="AN14" sqref="AN14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0</v>
      </c>
      <c r="N3" s="126">
        <f t="shared" si="4"/>
        <v>0</v>
      </c>
      <c r="O3" s="126">
        <f t="shared" si="4"/>
        <v>0</v>
      </c>
      <c r="P3" s="126">
        <f t="shared" si="4"/>
        <v>0</v>
      </c>
      <c r="Q3" s="126">
        <f t="shared" si="4"/>
        <v>0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0</v>
      </c>
      <c r="N4" s="10">
        <f>COUNTIFS(N8:N689, "=APAGADO",F8:F689,"=Fibra Optica")</f>
        <v>0</v>
      </c>
      <c r="O4" s="10">
        <f>COUNTIFS(O8:O689, "=APAGADO",F8:F689,"=Fibra Optica")</f>
        <v>0</v>
      </c>
      <c r="P4" s="10">
        <f>COUNTIFS(P8:P689, "=APAGADO",F8:F689,"=Fibra Optica")</f>
        <v>0</v>
      </c>
      <c r="Q4" s="10">
        <f>COUNTIFS(Q8:Q689, "=APAGADO",F8:F689,"=Fibra Optica")</f>
        <v>0</v>
      </c>
      <c r="R4" s="10">
        <f>COUNTIFS(R8:R689, "=APAGADO",F8:F689,"=Fibra Optica")</f>
        <v>0</v>
      </c>
      <c r="S4" s="10">
        <f>COUNTIFS(S8:S689, "=APAGADO",F8:F689,"=Fibra Optica")</f>
        <v>0</v>
      </c>
      <c r="T4" s="10">
        <f>COUNTIFS(T8:T689, "=APAGADO",F8:F689,"=Fibra Optica")</f>
        <v>0</v>
      </c>
      <c r="U4" s="10">
        <f>COUNTIFS(U8:U689, "=APAGADO",F8:F689,"=Fibra Optica")</f>
        <v>0</v>
      </c>
      <c r="V4" s="10">
        <f>COUNTIFS(V8:V689, "=APAGADO",F8:F689,"=Fibra Optica")</f>
        <v>0</v>
      </c>
      <c r="W4" s="10">
        <f>COUNTIFS(W8:W689, "=APAGADO",F8:F689,"=Fibra Optica")</f>
        <v>0</v>
      </c>
      <c r="X4" s="10">
        <f>COUNTIFS(X8:X689, "=APAGADO",F8:F689,"=Fibra Optica")</f>
        <v>0</v>
      </c>
      <c r="Y4" s="10">
        <f>COUNTIFS(Y8:Y689, "=APAGADO",F8:F689,"=Fibra Optica")</f>
        <v>0</v>
      </c>
      <c r="Z4" s="10">
        <f>COUNTIFS(Z8:Z689, "=APAGADO",F8:F689,"=Fibra Optica")</f>
        <v>0</v>
      </c>
      <c r="AA4" s="10">
        <f>COUNTIFS(AA8:AA689, "=APAGADO",F8:F689,"=Fibra Optica")</f>
        <v>0</v>
      </c>
      <c r="AB4" s="10">
        <f>COUNTIFS(AB8:AB689, "=APAGADO",F8:F689,"=Fibra Optica")</f>
        <v>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0</v>
      </c>
      <c r="N5" s="130">
        <f>COUNTIFS(N8:N689, "=APAGADO",F8:F689,"=RADIO")</f>
        <v>0</v>
      </c>
      <c r="O5" s="130">
        <f>COUNTIFS(O8:O689, "=APAGADO",F8:F689,"=RADIO")</f>
        <v>0</v>
      </c>
      <c r="P5" s="130">
        <f>COUNTIFS(P8:P689, "=APAGADO",F8:F689,"=RADIO")</f>
        <v>0</v>
      </c>
      <c r="Q5" s="130">
        <f>COUNTIFS(Q8:Q689, "=APAGADO",F8:F689,"=RADIO")</f>
        <v>0</v>
      </c>
      <c r="R5" s="130">
        <f>COUNTIFS(R8:R689, "=APAGADO",F8:F689,"=RADIO")</f>
        <v>0</v>
      </c>
      <c r="S5" s="130">
        <f>COUNTIFS(S8:S689, "=APAGADO",F8:F689,"=RADIO")</f>
        <v>0</v>
      </c>
      <c r="T5" s="130">
        <f>COUNTIFS(T8:T689, "=APAGADO",F8:F689,"=RADIO")</f>
        <v>0</v>
      </c>
      <c r="U5" s="130">
        <f>COUNTIFS(U8:U689, "=APAGADO",F8:F689,"=RADIO")</f>
        <v>0</v>
      </c>
      <c r="V5" s="130">
        <f>COUNTIFS(V8:V689, "=APAGADO",F8:F689,"=RADIO")</f>
        <v>0</v>
      </c>
      <c r="W5" s="130">
        <f>COUNTIFS(W8:W689, "=APAGADO",F8:F689,"=RADIO")</f>
        <v>0</v>
      </c>
      <c r="X5" s="130">
        <f>COUNTIFS(X8:X689, "=APAGADO",F8:F689,"=RADIO")</f>
        <v>0</v>
      </c>
      <c r="Y5" s="130">
        <f>COUNTIFS(Y8:Y689, "=APAGADO",F8:F689,"=RADIO")</f>
        <v>0</v>
      </c>
      <c r="Z5" s="130">
        <f>COUNTIFS(Z8:Z689, "=APAGADO",F8:F689,"=RADIO")</f>
        <v>0</v>
      </c>
      <c r="AA5" s="130">
        <f>COUNTIFS(AA8:AA689, "=APAGADO",F8:F689,"=RADIO")</f>
        <v>0</v>
      </c>
      <c r="AB5" s="130">
        <f>COUNTIFS(AB8:AB689, "=APAGADO",F8:F689,"=RADIO")</f>
        <v>0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0</v>
      </c>
      <c r="N6" s="10">
        <f>COUNTIFS(N8:N689, "=APAGADO",F8:F689,"=PTO A FO")</f>
        <v>0</v>
      </c>
      <c r="O6" s="10">
        <f>COUNTIFS(O8:O689, "=APAGADO",F8:F689,"=PTO A FO")</f>
        <v>0</v>
      </c>
      <c r="P6" s="10">
        <f>COUNTIFS(P8:P689, "=APAGADO",F8:F689,"=PTO A FO")</f>
        <v>0</v>
      </c>
      <c r="Q6" s="10">
        <f>COUNTIFS(Q8:Q689, "=APAGADO",F8:F689,"=PTO A FO")</f>
        <v>0</v>
      </c>
      <c r="R6" s="10">
        <f>COUNTIFS(R8:R689, "=APAGADO",F8:F689,"=PTO A FO")</f>
        <v>0</v>
      </c>
      <c r="S6" s="10">
        <f>COUNTIFS(S8:S689, "=APAGADO",F8:F689,"=PTO A FO")</f>
        <v>0</v>
      </c>
      <c r="T6" s="10">
        <f>COUNTIFS(T8:T689, "=APAGADO",F8:F689,"=PTO A FO")</f>
        <v>0</v>
      </c>
      <c r="U6" s="10">
        <f>COUNTIFS(U8:U689, "=APAGADO",F8:F689,"=PTO A FO")</f>
        <v>0</v>
      </c>
      <c r="V6" s="10">
        <f>COUNTIFS(V8:V689, "=APAGADO",F8:F689,"=PTO A FO")</f>
        <v>0</v>
      </c>
      <c r="W6" s="10">
        <f>COUNTIFS(W8:W689, "=APAGADO",F8:F689,"=PTO A FO")</f>
        <v>0</v>
      </c>
      <c r="X6" s="10">
        <f>COUNTIFS(X8:X689, "=APAGADO",F8:F689,"=PTO A FO")</f>
        <v>0</v>
      </c>
      <c r="Y6" s="10">
        <f>COUNTIFS(Y8:Y689, "=APAGADO",F8:F689,"=PTO A FO")</f>
        <v>0</v>
      </c>
      <c r="Z6" s="10">
        <f>COUNTIFS(Z8:Z689, "=APAGADO",F8:F689,"=PTO A FO")</f>
        <v>0</v>
      </c>
      <c r="AA6" s="10">
        <f>COUNTIFS(AA8:AA689, "=APAGADO",F8:F689,"=PTO A FO")</f>
        <v>0</v>
      </c>
      <c r="AB6" s="10">
        <f>COUNTIFS(AB8:AB689, "=APAGADO",F8:F689,"=PTO A FO")</f>
        <v>0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28</v>
      </c>
      <c r="J8" s="147" t="s">
        <v>1667</v>
      </c>
      <c r="K8" s="31">
        <f t="shared" ref="K8:K85" si="6">COUNTIF(M8:AN8,"APAGADO")</f>
        <v>0</v>
      </c>
      <c r="L8" s="32">
        <f t="shared" ref="L8:L85" si="7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28</v>
      </c>
      <c r="J9" s="147" t="s">
        <v>1668</v>
      </c>
      <c r="K9" s="31">
        <f t="shared" si="6"/>
        <v>0</v>
      </c>
      <c r="L9" s="32">
        <f t="shared" si="7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28</v>
      </c>
      <c r="J14" s="147" t="s">
        <v>1673</v>
      </c>
      <c r="K14" s="31">
        <f t="shared" si="6"/>
        <v>0</v>
      </c>
      <c r="L14" s="32">
        <f t="shared" si="7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28</v>
      </c>
      <c r="J17" s="150" t="s">
        <v>1676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28</v>
      </c>
      <c r="J19" s="147" t="s">
        <v>1677</v>
      </c>
      <c r="K19" s="31">
        <f t="shared" si="6"/>
        <v>0</v>
      </c>
      <c r="L19" s="32">
        <f t="shared" si="7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28</v>
      </c>
      <c r="J20" s="147" t="s">
        <v>1678</v>
      </c>
      <c r="K20" s="31">
        <f t="shared" si="6"/>
        <v>0</v>
      </c>
      <c r="L20" s="32">
        <f t="shared" si="7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28</v>
      </c>
      <c r="J34" s="147" t="s">
        <v>1689</v>
      </c>
      <c r="K34" s="134">
        <f t="shared" si="6"/>
        <v>0</v>
      </c>
      <c r="L34" s="135">
        <f t="shared" si="7"/>
        <v>1</v>
      </c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28</v>
      </c>
      <c r="J35" s="87" t="s">
        <v>2163</v>
      </c>
      <c r="K35" s="142">
        <f t="shared" si="6"/>
        <v>0</v>
      </c>
      <c r="L35" s="143">
        <f t="shared" si="7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28</v>
      </c>
      <c r="J36" s="87" t="s">
        <v>2157</v>
      </c>
      <c r="K36" s="142">
        <f t="shared" si="6"/>
        <v>0</v>
      </c>
      <c r="L36" s="143">
        <f t="shared" si="7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2245</v>
      </c>
      <c r="C44" t="s">
        <v>1063</v>
      </c>
      <c r="D44" t="s">
        <v>2250</v>
      </c>
      <c r="E44" s="30" t="s">
        <v>73</v>
      </c>
      <c r="F44" s="30" t="s">
        <v>28</v>
      </c>
      <c r="G44" s="30"/>
      <c r="H44" s="85" t="s">
        <v>2246</v>
      </c>
      <c r="I44" s="31">
        <f t="shared" si="5"/>
        <v>28</v>
      </c>
      <c r="J44" s="153" t="s">
        <v>2247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2248</v>
      </c>
      <c r="C45" t="s">
        <v>1063</v>
      </c>
      <c r="D45" t="s">
        <v>2249</v>
      </c>
      <c r="E45" s="30" t="s">
        <v>73</v>
      </c>
      <c r="F45" s="30" t="s">
        <v>28</v>
      </c>
      <c r="G45" s="30"/>
      <c r="H45" s="85" t="s">
        <v>2251</v>
      </c>
      <c r="I45" s="31">
        <f t="shared" si="5"/>
        <v>28</v>
      </c>
      <c r="J45" s="153" t="s">
        <v>2252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28</v>
      </c>
      <c r="J89" s="147" t="s">
        <v>1733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28</v>
      </c>
      <c r="J99" s="147" t="s">
        <v>1743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1750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28</v>
      </c>
      <c r="J120" s="147" t="s">
        <v>1763</v>
      </c>
      <c r="K120" s="142">
        <f t="shared" si="9"/>
        <v>0</v>
      </c>
      <c r="L120" s="143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28</v>
      </c>
      <c r="J127" s="148" t="s">
        <v>1770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1771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28</v>
      </c>
      <c r="J130" s="147" t="s">
        <v>1773</v>
      </c>
      <c r="K130" s="31">
        <f t="shared" si="9"/>
        <v>0</v>
      </c>
      <c r="L130" s="32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2222</v>
      </c>
      <c r="C143" s="85" t="s">
        <v>1062</v>
      </c>
      <c r="D143" s="73" t="s">
        <v>2223</v>
      </c>
      <c r="E143" s="85" t="s">
        <v>19</v>
      </c>
      <c r="F143" s="85" t="s">
        <v>1301</v>
      </c>
      <c r="G143" s="85"/>
      <c r="H143" s="85" t="s">
        <v>2224</v>
      </c>
      <c r="I143" s="142">
        <f t="shared" si="8"/>
        <v>28</v>
      </c>
      <c r="J143" s="147" t="s">
        <v>2225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2260</v>
      </c>
      <c r="C144" s="85" t="s">
        <v>1062</v>
      </c>
      <c r="D144" s="73" t="s">
        <v>2261</v>
      </c>
      <c r="E144" s="85" t="s">
        <v>19</v>
      </c>
      <c r="F144" s="30" t="s">
        <v>28</v>
      </c>
      <c r="G144" s="85"/>
      <c r="H144" s="85" t="s">
        <v>2262</v>
      </c>
      <c r="I144" s="142">
        <f t="shared" si="8"/>
        <v>28</v>
      </c>
      <c r="J144" s="147" t="s">
        <v>2263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28</v>
      </c>
      <c r="J145" s="147" t="s">
        <v>1784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28</v>
      </c>
      <c r="J151" s="87"/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28</v>
      </c>
      <c r="J162" s="147" t="s">
        <v>1795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28</v>
      </c>
      <c r="J168" s="147" t="s">
        <v>1801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28</v>
      </c>
      <c r="J169" s="147" t="s">
        <v>1802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28</v>
      </c>
      <c r="J180" s="147" t="s">
        <v>1812</v>
      </c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28</v>
      </c>
      <c r="J181" s="147" t="s">
        <v>1813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28</v>
      </c>
      <c r="J182" s="147" t="s">
        <v>1814</v>
      </c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28</v>
      </c>
      <c r="J183" s="147" t="s">
        <v>1815</v>
      </c>
      <c r="K183" s="31">
        <f t="shared" si="12"/>
        <v>0</v>
      </c>
      <c r="L183" s="32">
        <f t="shared" si="13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2236</v>
      </c>
      <c r="C189" s="85" t="s">
        <v>1063</v>
      </c>
      <c r="D189" s="73" t="s">
        <v>2237</v>
      </c>
      <c r="E189" s="85" t="s">
        <v>19</v>
      </c>
      <c r="F189" s="85" t="s">
        <v>1301</v>
      </c>
      <c r="G189" s="85"/>
      <c r="H189" s="85" t="s">
        <v>2238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28</v>
      </c>
      <c r="J193" s="87"/>
      <c r="K193" s="138">
        <f t="shared" si="12"/>
        <v>0</v>
      </c>
      <c r="L193" s="139">
        <f t="shared" si="13"/>
        <v>1</v>
      </c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28</v>
      </c>
      <c r="J194" s="147" t="s">
        <v>1822</v>
      </c>
      <c r="K194" s="142">
        <f t="shared" si="12"/>
        <v>0</v>
      </c>
      <c r="L194" s="143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28</v>
      </c>
      <c r="J195" s="147" t="s">
        <v>1823</v>
      </c>
      <c r="K195" s="142">
        <f t="shared" si="12"/>
        <v>0</v>
      </c>
      <c r="L195" s="143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28</v>
      </c>
      <c r="J197" s="147" t="s">
        <v>1825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1826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28</v>
      </c>
      <c r="J200" s="147" t="s">
        <v>1827</v>
      </c>
      <c r="K200" s="142">
        <f t="shared" si="12"/>
        <v>0</v>
      </c>
      <c r="L200" s="143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28</v>
      </c>
      <c r="J201" s="147" t="s">
        <v>1828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1832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1833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28</v>
      </c>
      <c r="J211" s="147" t="s">
        <v>1837</v>
      </c>
      <c r="K211" s="142">
        <f t="shared" si="12"/>
        <v>0</v>
      </c>
      <c r="L211" s="143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1842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2273</v>
      </c>
      <c r="C218" t="s">
        <v>1062</v>
      </c>
      <c r="D218" t="s">
        <v>2274</v>
      </c>
      <c r="E218" s="30" t="s">
        <v>15</v>
      </c>
      <c r="F218" s="85" t="s">
        <v>1301</v>
      </c>
      <c r="G218" s="30"/>
      <c r="H218" s="30" t="s">
        <v>2275</v>
      </c>
      <c r="I218" s="142">
        <f t="shared" si="11"/>
        <v>28</v>
      </c>
      <c r="J218" s="151" t="s">
        <v>2276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28</v>
      </c>
      <c r="J219" s="87"/>
      <c r="K219" s="31">
        <f t="shared" si="12"/>
        <v>0</v>
      </c>
      <c r="L219" s="32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28</v>
      </c>
      <c r="J220" s="87"/>
      <c r="K220" s="31">
        <f t="shared" si="12"/>
        <v>0</v>
      </c>
      <c r="L220" s="32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2283</v>
      </c>
      <c r="C231" s="73" t="s">
        <v>1063</v>
      </c>
      <c r="D231" s="73" t="s">
        <v>2284</v>
      </c>
      <c r="E231" s="85" t="s">
        <v>15</v>
      </c>
      <c r="F231" s="85" t="s">
        <v>1301</v>
      </c>
      <c r="G231" s="85"/>
      <c r="H231" s="85" t="s">
        <v>2285</v>
      </c>
      <c r="I231" s="142">
        <f t="shared" si="11"/>
        <v>28</v>
      </c>
      <c r="J231" s="147" t="s">
        <v>2286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28</v>
      </c>
      <c r="J232" s="147" t="s">
        <v>1852</v>
      </c>
      <c r="K232" s="31">
        <f t="shared" si="12"/>
        <v>0</v>
      </c>
      <c r="L232" s="3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28</v>
      </c>
      <c r="J233" s="147" t="s">
        <v>1853</v>
      </c>
      <c r="K233" s="31">
        <f t="shared" si="12"/>
        <v>0</v>
      </c>
      <c r="L233" s="3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28</v>
      </c>
      <c r="J234" s="147" t="s">
        <v>1854</v>
      </c>
      <c r="K234" s="31">
        <f t="shared" si="12"/>
        <v>0</v>
      </c>
      <c r="L234" s="32">
        <f t="shared" si="13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28</v>
      </c>
      <c r="J235" s="147" t="s">
        <v>1855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28</v>
      </c>
      <c r="J236" s="147" t="s">
        <v>1856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1857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1859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1860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28</v>
      </c>
      <c r="J241" s="147" t="s">
        <v>1861</v>
      </c>
      <c r="K241" s="31">
        <f t="shared" si="15"/>
        <v>0</v>
      </c>
      <c r="L241" s="32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28</v>
      </c>
      <c r="J242" s="147" t="s">
        <v>1862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28</v>
      </c>
      <c r="J243" s="147" t="s">
        <v>1863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28</v>
      </c>
      <c r="J244" s="147" t="s">
        <v>1864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28</v>
      </c>
      <c r="J245" s="147" t="s">
        <v>1865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28</v>
      </c>
      <c r="J246" s="147" t="s">
        <v>1866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2259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1822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28</v>
      </c>
      <c r="J257" s="147" t="s">
        <v>1873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1874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28</v>
      </c>
      <c r="J260" s="147" t="s">
        <v>1876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28</v>
      </c>
      <c r="J262" s="147" t="s">
        <v>1864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28</v>
      </c>
      <c r="J264" s="147" t="s">
        <v>1879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28</v>
      </c>
      <c r="J266" s="147" t="s">
        <v>1881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2213</v>
      </c>
      <c r="B273" t="s">
        <v>2214</v>
      </c>
      <c r="C273" t="s">
        <v>1063</v>
      </c>
      <c r="D273" t="s">
        <v>2215</v>
      </c>
      <c r="E273" s="30" t="s">
        <v>19</v>
      </c>
      <c r="F273" s="85" t="s">
        <v>1301</v>
      </c>
      <c r="G273" s="30"/>
      <c r="H273" s="30" t="s">
        <v>2216</v>
      </c>
      <c r="I273" s="142">
        <f t="shared" si="14"/>
        <v>28</v>
      </c>
      <c r="J273" s="147" t="s">
        <v>2217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2213</v>
      </c>
      <c r="B274" t="s">
        <v>2218</v>
      </c>
      <c r="C274" t="s">
        <v>1063</v>
      </c>
      <c r="D274" t="s">
        <v>2220</v>
      </c>
      <c r="E274" s="30" t="s">
        <v>19</v>
      </c>
      <c r="F274" s="85" t="s">
        <v>1301</v>
      </c>
      <c r="G274" s="30"/>
      <c r="H274" s="30" t="s">
        <v>2219</v>
      </c>
      <c r="I274" s="142">
        <f t="shared" si="14"/>
        <v>28</v>
      </c>
      <c r="J274" s="147" t="s">
        <v>2221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28</v>
      </c>
      <c r="J281" s="147" t="s">
        <v>1893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1895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1901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1902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28</v>
      </c>
      <c r="J296" s="147" t="s">
        <v>1907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1908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28</v>
      </c>
      <c r="J298" s="147" t="s">
        <v>1909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28</v>
      </c>
      <c r="J308" s="147" t="s">
        <v>1918</v>
      </c>
      <c r="K308" s="142">
        <f t="shared" si="15"/>
        <v>0</v>
      </c>
      <c r="L308" s="143">
        <f t="shared" si="16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28</v>
      </c>
      <c r="J310" s="147" t="s">
        <v>1919</v>
      </c>
      <c r="K310" s="31">
        <f t="shared" ref="K310:K380" si="18">COUNTIF(M310:AN310,"APAGADO")</f>
        <v>0</v>
      </c>
      <c r="L310" s="32">
        <f t="shared" ref="L310:L380" si="19">(I310)/(K310+I310)</f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28</v>
      </c>
      <c r="J311" s="147" t="s">
        <v>1920</v>
      </c>
      <c r="K311" s="142">
        <f t="shared" si="18"/>
        <v>0</v>
      </c>
      <c r="L311" s="143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28</v>
      </c>
      <c r="J312" s="87" t="s">
        <v>2197</v>
      </c>
      <c r="K312" s="142">
        <f t="shared" si="18"/>
        <v>0</v>
      </c>
      <c r="L312" s="143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28</v>
      </c>
      <c r="J313" s="147" t="s">
        <v>1921</v>
      </c>
      <c r="K313" s="142">
        <f t="shared" si="18"/>
        <v>0</v>
      </c>
      <c r="L313" s="143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28</v>
      </c>
      <c r="J314" s="147" t="s">
        <v>1922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28</v>
      </c>
      <c r="J315" s="147" t="s">
        <v>1923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28</v>
      </c>
      <c r="J316" s="147" t="s">
        <v>1924</v>
      </c>
      <c r="K316" s="31">
        <f t="shared" si="18"/>
        <v>0</v>
      </c>
      <c r="L316" s="32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1925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1926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1927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1934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1935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1936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1937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2257</v>
      </c>
      <c r="C330" t="s">
        <v>1063</v>
      </c>
      <c r="D330" s="68" t="s">
        <v>2239</v>
      </c>
      <c r="E330" s="85" t="s">
        <v>15</v>
      </c>
      <c r="F330" s="30" t="s">
        <v>28</v>
      </c>
      <c r="G330" s="30"/>
      <c r="H330" s="30" t="s">
        <v>2258</v>
      </c>
      <c r="I330" s="31">
        <f t="shared" si="17"/>
        <v>28</v>
      </c>
      <c r="J330" s="153" t="s">
        <v>2240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2241</v>
      </c>
      <c r="C331" t="s">
        <v>1063</v>
      </c>
      <c r="D331" s="68" t="s">
        <v>2242</v>
      </c>
      <c r="E331" s="85" t="s">
        <v>15</v>
      </c>
      <c r="F331" s="30" t="s">
        <v>28</v>
      </c>
      <c r="G331" s="30"/>
      <c r="H331" s="30" t="s">
        <v>2243</v>
      </c>
      <c r="I331" s="31">
        <f t="shared" si="17"/>
        <v>28</v>
      </c>
      <c r="J331" s="147" t="s">
        <v>2244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28</v>
      </c>
      <c r="J333" s="147" t="s">
        <v>1939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28</v>
      </c>
      <c r="J348" s="87"/>
      <c r="K348" s="142">
        <f t="shared" si="18"/>
        <v>0</v>
      </c>
      <c r="L348" s="143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28</v>
      </c>
      <c r="J349" s="87"/>
      <c r="K349" s="142">
        <f t="shared" si="18"/>
        <v>0</v>
      </c>
      <c r="L349" s="143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28</v>
      </c>
      <c r="J350" s="147" t="s">
        <v>1952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1953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1954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2234</v>
      </c>
      <c r="I353" s="31">
        <f t="shared" si="17"/>
        <v>28</v>
      </c>
      <c r="J353" s="147" t="s">
        <v>1955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2235</v>
      </c>
      <c r="I354" s="31">
        <f t="shared" si="17"/>
        <v>28</v>
      </c>
      <c r="J354" s="147" t="s">
        <v>1956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1957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1958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1959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1960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1968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1969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1970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1971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1972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28</v>
      </c>
      <c r="J375" s="73"/>
      <c r="K375" s="31">
        <f t="shared" si="18"/>
        <v>0</v>
      </c>
      <c r="L375" s="32">
        <f t="shared" si="19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28</v>
      </c>
      <c r="J376" s="147" t="s">
        <v>1973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28</v>
      </c>
      <c r="J378" s="147" t="s">
        <v>1975</v>
      </c>
      <c r="K378" s="31">
        <f t="shared" si="18"/>
        <v>0</v>
      </c>
      <c r="L378" s="32">
        <f t="shared" si="19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28</v>
      </c>
      <c r="J379" s="147" t="s">
        <v>1976</v>
      </c>
      <c r="K379" s="31">
        <f t="shared" si="18"/>
        <v>0</v>
      </c>
      <c r="L379" s="32">
        <f t="shared" si="19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28</v>
      </c>
      <c r="J380" s="147" t="s">
        <v>1977</v>
      </c>
      <c r="K380" s="31">
        <f t="shared" si="18"/>
        <v>0</v>
      </c>
      <c r="L380" s="32">
        <f t="shared" si="19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28</v>
      </c>
      <c r="J381" s="147" t="s">
        <v>1978</v>
      </c>
      <c r="K381" s="31">
        <f t="shared" ref="K381:K462" si="21">COUNTIF(M381:AN381,"APAGADO")</f>
        <v>0</v>
      </c>
      <c r="L381" s="32">
        <f t="shared" ref="L381:L462" si="22">(I381)/(K381+I381)</f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28</v>
      </c>
      <c r="J382" s="147" t="s">
        <v>1979</v>
      </c>
      <c r="K382" s="31">
        <f t="shared" si="21"/>
        <v>0</v>
      </c>
      <c r="L382" s="32">
        <f t="shared" si="22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28</v>
      </c>
      <c r="J383" s="147" t="s">
        <v>1980</v>
      </c>
      <c r="K383" s="31">
        <f t="shared" si="21"/>
        <v>0</v>
      </c>
      <c r="L383" s="32">
        <f t="shared" si="22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28</v>
      </c>
      <c r="J384" s="147" t="s">
        <v>1981</v>
      </c>
      <c r="K384" s="31">
        <f t="shared" si="21"/>
        <v>0</v>
      </c>
      <c r="L384" s="32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28</v>
      </c>
      <c r="J385" s="147" t="s">
        <v>1982</v>
      </c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28</v>
      </c>
      <c r="J386" s="147" t="s">
        <v>1983</v>
      </c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28</v>
      </c>
      <c r="J387" s="147" t="s">
        <v>1984</v>
      </c>
      <c r="K387" s="31">
        <f t="shared" si="21"/>
        <v>0</v>
      </c>
      <c r="L387" s="32">
        <f t="shared" si="22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28</v>
      </c>
      <c r="J388" s="147" t="s">
        <v>1985</v>
      </c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28</v>
      </c>
      <c r="J389" s="147" t="s">
        <v>1986</v>
      </c>
      <c r="K389" s="31">
        <f t="shared" si="21"/>
        <v>0</v>
      </c>
      <c r="L389" s="32">
        <f t="shared" si="22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28</v>
      </c>
      <c r="J393" s="87"/>
      <c r="K393" s="31">
        <f t="shared" si="21"/>
        <v>0</v>
      </c>
      <c r="L393" s="32">
        <f t="shared" si="22"/>
        <v>1</v>
      </c>
      <c r="M393" s="70"/>
      <c r="N393" s="70"/>
      <c r="O393" s="70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2280</v>
      </c>
      <c r="C394" t="s">
        <v>1062</v>
      </c>
      <c r="D394" t="s">
        <v>2281</v>
      </c>
      <c r="E394" s="30" t="s">
        <v>19</v>
      </c>
      <c r="F394" s="85" t="s">
        <v>1301</v>
      </c>
      <c r="G394" s="30"/>
      <c r="H394" s="85" t="s">
        <v>2282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28</v>
      </c>
      <c r="J395" s="87"/>
      <c r="K395" s="31">
        <f t="shared" si="21"/>
        <v>0</v>
      </c>
      <c r="L395" s="32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28</v>
      </c>
      <c r="J397" s="87"/>
      <c r="K397" s="31">
        <f t="shared" si="21"/>
        <v>0</v>
      </c>
      <c r="L397" s="32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28</v>
      </c>
      <c r="J398" s="87"/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28</v>
      </c>
      <c r="J399" s="147" t="s">
        <v>1991</v>
      </c>
      <c r="K399" s="87">
        <f t="shared" si="21"/>
        <v>0</v>
      </c>
      <c r="L399" s="88">
        <f t="shared" si="22"/>
        <v>1</v>
      </c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28</v>
      </c>
      <c r="J400" s="87"/>
      <c r="K400" s="31">
        <f t="shared" si="21"/>
        <v>0</v>
      </c>
      <c r="L400" s="32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28</v>
      </c>
      <c r="J401" s="147" t="s">
        <v>1992</v>
      </c>
      <c r="K401" s="31">
        <f t="shared" si="21"/>
        <v>0</v>
      </c>
      <c r="L401" s="32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28</v>
      </c>
      <c r="J402" s="147" t="s">
        <v>1993</v>
      </c>
      <c r="K402" s="31">
        <f t="shared" si="21"/>
        <v>0</v>
      </c>
      <c r="L402" s="32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28</v>
      </c>
      <c r="J407" s="87" t="s">
        <v>2152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2272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2272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2272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2272</v>
      </c>
      <c r="B412" s="73" t="s">
        <v>2268</v>
      </c>
      <c r="C412" s="73" t="s">
        <v>1063</v>
      </c>
      <c r="D412" s="73" t="s">
        <v>2269</v>
      </c>
      <c r="E412" s="92" t="s">
        <v>19</v>
      </c>
      <c r="F412" s="85" t="s">
        <v>1301</v>
      </c>
      <c r="G412" s="85"/>
      <c r="H412" s="85" t="s">
        <v>2270</v>
      </c>
      <c r="I412" s="142">
        <f t="shared" si="20"/>
        <v>28</v>
      </c>
      <c r="J412" s="147" t="s">
        <v>2271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28</v>
      </c>
      <c r="J413" s="147" t="s">
        <v>1998</v>
      </c>
      <c r="K413" s="142">
        <f t="shared" si="21"/>
        <v>0</v>
      </c>
      <c r="L413" s="143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1999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28</v>
      </c>
      <c r="J415" s="87"/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28</v>
      </c>
      <c r="J416" s="147" t="s">
        <v>2000</v>
      </c>
      <c r="K416" s="142">
        <f t="shared" si="21"/>
        <v>0</v>
      </c>
      <c r="L416" s="143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28</v>
      </c>
      <c r="J419" s="73" t="s">
        <v>2002</v>
      </c>
      <c r="K419" s="142">
        <f t="shared" si="21"/>
        <v>0</v>
      </c>
      <c r="L419" s="143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28</v>
      </c>
      <c r="J420" s="147" t="s">
        <v>2003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28</v>
      </c>
      <c r="J421" s="147" t="s">
        <v>2004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28</v>
      </c>
      <c r="J422" s="147" t="s">
        <v>2005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28</v>
      </c>
      <c r="J423" s="147" t="s">
        <v>2006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2253</v>
      </c>
      <c r="C424" s="73" t="s">
        <v>1063</v>
      </c>
      <c r="D424" s="73" t="s">
        <v>2254</v>
      </c>
      <c r="E424" s="85" t="s">
        <v>1114</v>
      </c>
      <c r="F424" s="85"/>
      <c r="G424" s="85"/>
      <c r="H424" s="85" t="s">
        <v>2255</v>
      </c>
      <c r="I424" s="31">
        <f t="shared" si="20"/>
        <v>28</v>
      </c>
      <c r="J424" s="14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2009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2010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28</v>
      </c>
      <c r="J429" s="147" t="s">
        <v>2011</v>
      </c>
      <c r="K429" s="31">
        <f t="shared" si="21"/>
        <v>0</v>
      </c>
      <c r="L429" s="32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28</v>
      </c>
      <c r="J430" s="147" t="s">
        <v>2012</v>
      </c>
      <c r="K430" s="31">
        <f t="shared" si="21"/>
        <v>0</v>
      </c>
      <c r="L430" s="32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28</v>
      </c>
      <c r="J434" s="147" t="s">
        <v>2015</v>
      </c>
      <c r="K434" s="31">
        <f t="shared" si="21"/>
        <v>0</v>
      </c>
      <c r="L434" s="32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28</v>
      </c>
      <c r="J436" s="147" t="s">
        <v>2017</v>
      </c>
      <c r="K436" s="31">
        <f t="shared" si="21"/>
        <v>0</v>
      </c>
      <c r="L436" s="32">
        <f t="shared" si="22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28</v>
      </c>
      <c r="J441" s="147" t="s">
        <v>2018</v>
      </c>
      <c r="K441" s="31">
        <f t="shared" si="21"/>
        <v>0</v>
      </c>
      <c r="L441" s="32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28</v>
      </c>
      <c r="J442" s="147" t="s">
        <v>2019</v>
      </c>
      <c r="K442" s="31">
        <f t="shared" si="21"/>
        <v>0</v>
      </c>
      <c r="L442" s="32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28</v>
      </c>
      <c r="J446" s="147" t="s">
        <v>2023</v>
      </c>
      <c r="K446" s="31">
        <f t="shared" si="21"/>
        <v>0</v>
      </c>
      <c r="L446" s="32">
        <f t="shared" si="22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28</v>
      </c>
      <c r="J447" s="147" t="s">
        <v>2024</v>
      </c>
      <c r="K447" s="31">
        <f t="shared" si="21"/>
        <v>0</v>
      </c>
      <c r="L447" s="32">
        <f t="shared" si="22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28</v>
      </c>
      <c r="J448" s="147" t="s">
        <v>2025</v>
      </c>
      <c r="K448" s="31">
        <f t="shared" si="21"/>
        <v>0</v>
      </c>
      <c r="L448" s="32">
        <f t="shared" si="22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2026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28</v>
      </c>
      <c r="J456" s="147" t="s">
        <v>2027</v>
      </c>
      <c r="K456" s="142">
        <f t="shared" si="21"/>
        <v>0</v>
      </c>
      <c r="L456" s="143">
        <f t="shared" si="22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28</v>
      </c>
      <c r="J457" s="147" t="s">
        <v>2028</v>
      </c>
      <c r="K457" s="142">
        <f t="shared" si="21"/>
        <v>0</v>
      </c>
      <c r="L457" s="143">
        <f t="shared" si="22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28</v>
      </c>
      <c r="J458" s="87"/>
      <c r="K458" s="142">
        <f t="shared" si="21"/>
        <v>0</v>
      </c>
      <c r="L458" s="143">
        <f t="shared" si="22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2287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28</v>
      </c>
      <c r="J460" s="153"/>
      <c r="K460" s="142">
        <f t="shared" si="21"/>
        <v>0</v>
      </c>
      <c r="L460" s="143">
        <f t="shared" si="22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28</v>
      </c>
      <c r="J461" s="147" t="s">
        <v>2029</v>
      </c>
      <c r="K461" s="31">
        <f t="shared" si="21"/>
        <v>0</v>
      </c>
      <c r="L461" s="32">
        <f t="shared" si="22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28</v>
      </c>
      <c r="J462" s="147" t="s">
        <v>2030</v>
      </c>
      <c r="K462" s="31">
        <f t="shared" si="21"/>
        <v>0</v>
      </c>
      <c r="L462" s="32">
        <f t="shared" si="22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28</v>
      </c>
      <c r="J481" s="87"/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28</v>
      </c>
      <c r="J482" s="87"/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28</v>
      </c>
      <c r="J483" s="87"/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28</v>
      </c>
      <c r="J484" s="87"/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28</v>
      </c>
      <c r="J485" s="87"/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2045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2050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2256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28</v>
      </c>
      <c r="J496" s="147" t="s">
        <v>2055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28</v>
      </c>
      <c r="J503" s="147" t="s">
        <v>2062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2064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2065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28</v>
      </c>
      <c r="J508" s="147" t="s">
        <v>2067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28</v>
      </c>
      <c r="J510" s="147" t="s">
        <v>2069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28</v>
      </c>
      <c r="J511" s="147" t="s">
        <v>2070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28</v>
      </c>
      <c r="J514" s="147" t="s">
        <v>2072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28</v>
      </c>
      <c r="J515" s="147" t="s">
        <v>2073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2076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2077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28</v>
      </c>
      <c r="J520" s="147" t="s">
        <v>2078</v>
      </c>
      <c r="K520" s="142">
        <f t="shared" si="24"/>
        <v>0</v>
      </c>
      <c r="L520" s="143">
        <f t="shared" si="25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2079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28</v>
      </c>
      <c r="J523" s="147" t="s">
        <v>2081</v>
      </c>
      <c r="K523" s="142">
        <f t="shared" si="24"/>
        <v>0</v>
      </c>
      <c r="L523" s="143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2226</v>
      </c>
      <c r="C524" s="85" t="s">
        <v>1063</v>
      </c>
      <c r="D524" s="73" t="s">
        <v>2227</v>
      </c>
      <c r="E524" s="30" t="s">
        <v>73</v>
      </c>
      <c r="F524" s="85" t="s">
        <v>1301</v>
      </c>
      <c r="G524" s="85"/>
      <c r="H524" s="85" t="s">
        <v>2228</v>
      </c>
      <c r="I524" s="142">
        <f t="shared" si="23"/>
        <v>28</v>
      </c>
      <c r="J524" s="147" t="s">
        <v>2229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2230</v>
      </c>
      <c r="C525" s="85" t="s">
        <v>1063</v>
      </c>
      <c r="D525" s="73" t="s">
        <v>2231</v>
      </c>
      <c r="E525" s="85" t="s">
        <v>15</v>
      </c>
      <c r="F525" s="85" t="s">
        <v>1301</v>
      </c>
      <c r="G525" s="85"/>
      <c r="H525" s="85" t="s">
        <v>2232</v>
      </c>
      <c r="I525" s="142">
        <f t="shared" si="23"/>
        <v>28</v>
      </c>
      <c r="J525" s="147" t="s">
        <v>2233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2082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2083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28</v>
      </c>
      <c r="J530" s="147" t="s">
        <v>2086</v>
      </c>
      <c r="K530" s="31">
        <f t="shared" si="24"/>
        <v>0</v>
      </c>
      <c r="L530" s="32">
        <f t="shared" si="25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28</v>
      </c>
      <c r="J531" s="147" t="s">
        <v>2087</v>
      </c>
      <c r="K531" s="31">
        <f t="shared" si="24"/>
        <v>0</v>
      </c>
      <c r="L531" s="32">
        <f t="shared" si="25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28</v>
      </c>
      <c r="J532" s="73"/>
      <c r="K532" s="31">
        <f t="shared" si="24"/>
        <v>0</v>
      </c>
      <c r="L532" s="32">
        <f t="shared" si="25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28</v>
      </c>
      <c r="J533" s="147" t="s">
        <v>2088</v>
      </c>
      <c r="K533" s="31">
        <f t="shared" si="24"/>
        <v>0</v>
      </c>
      <c r="L533" s="32">
        <f t="shared" si="25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28</v>
      </c>
      <c r="J539" s="147" t="s">
        <v>2094</v>
      </c>
      <c r="K539" s="142">
        <f t="shared" si="27"/>
        <v>0</v>
      </c>
      <c r="L539" s="143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28</v>
      </c>
      <c r="J540" s="147" t="s">
        <v>2200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28</v>
      </c>
      <c r="J542" s="147" t="s">
        <v>2095</v>
      </c>
      <c r="K542" s="142">
        <f t="shared" si="27"/>
        <v>0</v>
      </c>
      <c r="L542" s="143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28</v>
      </c>
      <c r="J543" s="147" t="s">
        <v>2096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28</v>
      </c>
      <c r="J544" s="147" t="s">
        <v>2097</v>
      </c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28</v>
      </c>
      <c r="J545" s="147" t="s">
        <v>2098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28</v>
      </c>
      <c r="J547" s="87"/>
      <c r="K547" s="142">
        <f t="shared" si="27"/>
        <v>0</v>
      </c>
      <c r="L547" s="143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28</v>
      </c>
      <c r="J548" s="87" t="s">
        <v>2189</v>
      </c>
      <c r="K548" s="142">
        <f t="shared" si="27"/>
        <v>0</v>
      </c>
      <c r="L548" s="143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28</v>
      </c>
      <c r="J549" s="87" t="s">
        <v>2185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28</v>
      </c>
      <c r="J550" s="147" t="s">
        <v>2099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28</v>
      </c>
      <c r="J551" s="87" t="s">
        <v>2186</v>
      </c>
      <c r="K551" s="31">
        <f t="shared" si="27"/>
        <v>0</v>
      </c>
      <c r="L551" s="32">
        <f t="shared" si="28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28</v>
      </c>
      <c r="J552" s="147" t="s">
        <v>2100</v>
      </c>
      <c r="K552" s="31">
        <f t="shared" si="27"/>
        <v>0</v>
      </c>
      <c r="L552" s="32">
        <f t="shared" si="28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28</v>
      </c>
      <c r="J553" s="147" t="s">
        <v>2101</v>
      </c>
      <c r="K553" s="142">
        <f t="shared" si="27"/>
        <v>0</v>
      </c>
      <c r="L553" s="143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28</v>
      </c>
      <c r="J559" s="147" t="s">
        <v>2105</v>
      </c>
      <c r="K559" s="31">
        <f t="shared" si="27"/>
        <v>0</v>
      </c>
      <c r="L559" s="32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28</v>
      </c>
      <c r="J562" s="147" t="s">
        <v>2108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28</v>
      </c>
      <c r="J563" s="147" t="s">
        <v>2109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28</v>
      </c>
      <c r="J564" s="87" t="s">
        <v>2203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2264</v>
      </c>
      <c r="C565" s="73" t="s">
        <v>1063</v>
      </c>
      <c r="D565" s="73" t="s">
        <v>2265</v>
      </c>
      <c r="E565" s="85" t="s">
        <v>15</v>
      </c>
      <c r="F565" s="85" t="s">
        <v>1301</v>
      </c>
      <c r="G565" s="85"/>
      <c r="H565" s="85" t="s">
        <v>2266</v>
      </c>
      <c r="I565" s="142">
        <f t="shared" si="26"/>
        <v>28</v>
      </c>
      <c r="J565" s="87" t="s">
        <v>2267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2277</v>
      </c>
      <c r="C566" s="73" t="s">
        <v>1063</v>
      </c>
      <c r="D566" s="73" t="s">
        <v>2278</v>
      </c>
      <c r="E566" s="85" t="s">
        <v>15</v>
      </c>
      <c r="F566" s="85"/>
      <c r="G566" s="85"/>
      <c r="H566" s="85" t="s">
        <v>2279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28</v>
      </c>
      <c r="J577" s="147" t="s">
        <v>2116</v>
      </c>
      <c r="K577" s="142">
        <f t="shared" si="27"/>
        <v>0</v>
      </c>
      <c r="L577" s="143">
        <f t="shared" si="28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zoomScale="84" zoomScaleNormal="84" workbookViewId="0">
      <selection activeCell="H327" sqref="H32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0</v>
      </c>
      <c r="D3" s="54"/>
      <c r="E3" s="55">
        <f>C3/C2</f>
        <v>0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0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25">
      <c r="A14" t="s">
        <v>1477</v>
      </c>
      <c r="B14" s="53" t="s">
        <v>6</v>
      </c>
      <c r="C14" s="66">
        <f>'RESUMEN TOTAL'!N3</f>
        <v>0</v>
      </c>
      <c r="D14" s="54"/>
      <c r="E14" s="55">
        <f>C14/C13</f>
        <v>0</v>
      </c>
      <c r="F14" s="155"/>
    </row>
    <row r="15" spans="1:6" x14ac:dyDescent="0.25">
      <c r="B15" s="53" t="s">
        <v>1243</v>
      </c>
      <c r="C15" s="67">
        <v>0</v>
      </c>
      <c r="D15" s="103">
        <v>0</v>
      </c>
      <c r="E15" s="55">
        <f>D15/C13</f>
        <v>0</v>
      </c>
      <c r="F15" s="155"/>
    </row>
    <row r="16" spans="1:6" x14ac:dyDescent="0.25">
      <c r="B16" s="53" t="s">
        <v>1244</v>
      </c>
      <c r="C16" s="67">
        <v>0</v>
      </c>
      <c r="D16" s="103">
        <f>D15-C16</f>
        <v>0</v>
      </c>
      <c r="E16" s="55">
        <f>D16/C13</f>
        <v>0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0</v>
      </c>
      <c r="D17" s="103">
        <f>D16-C17</f>
        <v>0</v>
      </c>
      <c r="E17" s="55">
        <f>D17/C13</f>
        <v>0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v>304</v>
      </c>
      <c r="D20" s="115">
        <f>Hoja1!G3</f>
        <v>0</v>
      </c>
      <c r="E20" s="105">
        <f>D20/C20</f>
        <v>0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0</v>
      </c>
      <c r="E21" s="114">
        <f>D21/C21</f>
        <v>0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25">
      <c r="A25" t="s">
        <v>1470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0</v>
      </c>
      <c r="E26" s="55">
        <f>D26/C24</f>
        <v>0</v>
      </c>
      <c r="F26" s="155"/>
    </row>
    <row r="27" spans="1:6" x14ac:dyDescent="0.25">
      <c r="B27" s="53" t="s">
        <v>1244</v>
      </c>
      <c r="C27" s="67">
        <v>0</v>
      </c>
      <c r="D27" s="103">
        <f>D26-C27</f>
        <v>0</v>
      </c>
      <c r="E27" s="55">
        <f>D27/C24</f>
        <v>0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0</v>
      </c>
      <c r="D28" s="103">
        <f>D27-C28</f>
        <v>0</v>
      </c>
      <c r="E28" s="55">
        <f>D28/C24</f>
        <v>0</v>
      </c>
      <c r="F28" s="155"/>
    </row>
    <row r="29" spans="1:6" ht="15.75" thickBot="1" x14ac:dyDescent="0.3">
      <c r="B29" s="56"/>
      <c r="C29" s="131">
        <v>0</v>
      </c>
      <c r="D29" s="104">
        <f>D28-C29</f>
        <v>0</v>
      </c>
      <c r="E29" s="74">
        <f>D29/C24</f>
        <v>0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25">
      <c r="A36" t="s">
        <v>1469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5"/>
    </row>
    <row r="37" spans="1:6" x14ac:dyDescent="0.25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25">
      <c r="A47" t="s">
        <v>1471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1243</v>
      </c>
      <c r="C48" s="67">
        <v>0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1244</v>
      </c>
      <c r="C49" s="67">
        <v>0</v>
      </c>
      <c r="D49" s="103">
        <v>0</v>
      </c>
      <c r="E49" s="55">
        <f>D49/C46</f>
        <v>0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0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v>304</v>
      </c>
      <c r="D53" s="115">
        <f>Hoja1!J3</f>
        <v>0</v>
      </c>
      <c r="E53" s="105">
        <v>0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0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25">
      <c r="A58" t="s">
        <v>1472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1243</v>
      </c>
      <c r="C59" s="67">
        <v>0</v>
      </c>
      <c r="D59" s="103">
        <v>0</v>
      </c>
      <c r="E59" s="55">
        <f>D59/C57</f>
        <v>0</v>
      </c>
      <c r="F59" s="155"/>
    </row>
    <row r="60" spans="1:6" x14ac:dyDescent="0.25">
      <c r="B60" s="53" t="s">
        <v>1244</v>
      </c>
      <c r="C60" s="67">
        <v>0</v>
      </c>
      <c r="D60" s="103">
        <v>0</v>
      </c>
      <c r="E60" s="55">
        <f>D60/C57</f>
        <v>0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0</v>
      </c>
      <c r="D61" s="103">
        <v>0</v>
      </c>
      <c r="E61" s="55">
        <f>D61/C57</f>
        <v>0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v>304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25">
      <c r="A69" t="s">
        <v>1473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1243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1244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/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v>304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v>304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25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25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v>304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1244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v>304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0</v>
      </c>
      <c r="E131" s="114">
        <v>0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0</v>
      </c>
      <c r="D136" s="103">
        <v>0</v>
      </c>
      <c r="E136" s="55">
        <f>D136/C134</f>
        <v>0</v>
      </c>
      <c r="F136" s="155"/>
    </row>
    <row r="137" spans="2:6" x14ac:dyDescent="0.25">
      <c r="B137" s="53" t="s">
        <v>1244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v>304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1244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v>304</v>
      </c>
      <c r="D152" s="115">
        <v>0</v>
      </c>
      <c r="E152" s="105">
        <v>0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0</v>
      </c>
      <c r="E153" s="114"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v>304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25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25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25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25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6.5" thickTop="1" thickBot="1" x14ac:dyDescent="0.3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25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25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>
        <f>'RESUMEN TOTAL'!M89</f>
        <v>0</v>
      </c>
      <c r="G68" s="70">
        <f>'RESUMEN TOTAL'!N89</f>
        <v>0</v>
      </c>
      <c r="H68" s="70">
        <f>'RESUMEN TOTAL'!O89</f>
        <v>0</v>
      </c>
      <c r="I68" s="70">
        <f>'RESUMEN TOTAL'!P89</f>
        <v>0</v>
      </c>
      <c r="J68" s="70">
        <f>'RESUMEN TOTAL'!Q89</f>
        <v>0</v>
      </c>
      <c r="K68" s="70">
        <f>'RESUMEN TOTAL'!R89</f>
        <v>0</v>
      </c>
      <c r="L68" s="70">
        <f>'RESUMEN TOTAL'!S89</f>
        <v>0</v>
      </c>
      <c r="M68" s="70">
        <f>'RESUMEN TOTAL'!T89</f>
        <v>0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>
        <f>'RESUMEN TOTAL'!M99</f>
        <v>0</v>
      </c>
      <c r="G78" s="70">
        <f>'RESUMEN TOTAL'!N99</f>
        <v>0</v>
      </c>
      <c r="H78" s="70">
        <f>'RESUMEN TOTAL'!O99</f>
        <v>0</v>
      </c>
      <c r="I78" s="70">
        <f>'RESUMEN TOTAL'!P99</f>
        <v>0</v>
      </c>
      <c r="J78" s="70">
        <f>'RESUMEN TOTAL'!Q99</f>
        <v>0</v>
      </c>
      <c r="K78" s="70">
        <f>'RESUMEN TOTAL'!R99</f>
        <v>0</v>
      </c>
      <c r="L78" s="70">
        <f>'RESUMEN TOTAL'!S99</f>
        <v>0</v>
      </c>
      <c r="M78" s="70">
        <f>'RESUMEN TOTAL'!T99</f>
        <v>0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>
        <f>'RESUMEN TOTAL'!M120</f>
        <v>0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>
        <f>'RESUMEN TOTAL'!R127</f>
        <v>0</v>
      </c>
      <c r="L106" s="70">
        <f>'RESUMEN TOTAL'!S127</f>
        <v>0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>
        <f>'RESUMEN TOTAL'!P130</f>
        <v>0</v>
      </c>
      <c r="J109" s="70">
        <f>'RESUMEN TOTAL'!Q130</f>
        <v>0</v>
      </c>
      <c r="K109" s="70">
        <f>'RESUMEN TOTAL'!R130</f>
        <v>0</v>
      </c>
      <c r="L109" s="70">
        <f>'RESUMEN TOTAL'!S130</f>
        <v>0</v>
      </c>
      <c r="M109" s="70">
        <f>'RESUMEN TOTAL'!T130</f>
        <v>0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>
        <f>'RESUMEN TOTAL'!M145</f>
        <v>0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>
        <f>'RESUMEN TOTAL'!Q151</f>
        <v>0</v>
      </c>
      <c r="K117" s="70">
        <f>'RESUMEN TOTAL'!R151</f>
        <v>0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>
        <f>'RESUMEN TOTAL'!M183</f>
        <v>0</v>
      </c>
      <c r="G143" s="70">
        <f>'RESUMEN TOTAL'!N183</f>
        <v>0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>
        <f>'RESUMEN TOTAL'!M193</f>
        <v>0</v>
      </c>
      <c r="G148" s="70">
        <f>'RESUMEN TOTAL'!N193</f>
        <v>0</v>
      </c>
      <c r="H148" s="70">
        <f>'RESUMEN TOTAL'!O193</f>
        <v>0</v>
      </c>
      <c r="I148" s="70">
        <f>'RESUMEN TOTAL'!P193</f>
        <v>0</v>
      </c>
      <c r="J148" s="70">
        <f>'RESUMEN TOTAL'!Q193</f>
        <v>0</v>
      </c>
      <c r="K148" s="70">
        <f>'RESUMEN TOTAL'!R193</f>
        <v>0</v>
      </c>
      <c r="L148" s="70">
        <f>'RESUMEN TOTAL'!S193</f>
        <v>0</v>
      </c>
      <c r="M148" s="70">
        <f>'RESUMEN TOTAL'!T193</f>
        <v>0</v>
      </c>
      <c r="N148" s="70">
        <f>'RESUMEN TOTAL'!U193</f>
        <v>0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>
        <f>'RESUMEN TOTAL'!M195</f>
        <v>0</v>
      </c>
      <c r="G150" s="70">
        <f>'RESUMEN TOTAL'!N195</f>
        <v>0</v>
      </c>
      <c r="H150" s="70">
        <f>'RESUMEN TOTAL'!O195</f>
        <v>0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>
        <f>'RESUMEN TOTAL'!O200</f>
        <v>0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>
        <f>'RESUMEN TOTAL'!M201</f>
        <v>0</v>
      </c>
      <c r="G156" s="70">
        <f>'RESUMEN TOTAL'!N201</f>
        <v>0</v>
      </c>
      <c r="H156" s="70">
        <f>'RESUMEN TOTAL'!O201</f>
        <v>0</v>
      </c>
      <c r="I156" s="70">
        <f>'RESUMEN TOTAL'!P201</f>
        <v>0</v>
      </c>
      <c r="J156" s="70">
        <f>'RESUMEN TOTAL'!Q201</f>
        <v>0</v>
      </c>
      <c r="K156" s="70">
        <f>'RESUMEN TOTAL'!R201</f>
        <v>0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>
        <f>'RESUMEN TOTAL'!M219</f>
        <v>0</v>
      </c>
      <c r="G170" s="70">
        <f>'RESUMEN TOTAL'!N219</f>
        <v>0</v>
      </c>
      <c r="H170" s="70">
        <f>'RESUMEN TOTAL'!O219</f>
        <v>0</v>
      </c>
      <c r="I170" s="70">
        <f>'RESUMEN TOTAL'!P219</f>
        <v>0</v>
      </c>
      <c r="J170" s="70">
        <f>'RESUMEN TOTAL'!Q219</f>
        <v>0</v>
      </c>
      <c r="K170" s="70">
        <f>'RESUMEN TOTAL'!R219</f>
        <v>0</v>
      </c>
      <c r="L170" s="70">
        <f>'RESUMEN TOTAL'!S219</f>
        <v>0</v>
      </c>
      <c r="M170" s="70">
        <f>'RESUMEN TOTAL'!T219</f>
        <v>0</v>
      </c>
      <c r="N170" s="70">
        <f>'RESUMEN TOTAL'!U219</f>
        <v>0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>
        <f>'RESUMEN TOTAL'!M220</f>
        <v>0</v>
      </c>
      <c r="G171" s="70">
        <f>'RESUMEN TOTAL'!N220</f>
        <v>0</v>
      </c>
      <c r="H171" s="70">
        <f>'RESUMEN TOTAL'!O220</f>
        <v>0</v>
      </c>
      <c r="I171" s="70">
        <f>'RESUMEN TOTAL'!P220</f>
        <v>0</v>
      </c>
      <c r="J171" s="70">
        <f>'RESUMEN TOTAL'!Q220</f>
        <v>0</v>
      </c>
      <c r="K171" s="70">
        <f>'RESUMEN TOTAL'!R220</f>
        <v>0</v>
      </c>
      <c r="L171" s="70">
        <f>'RESUMEN TOTAL'!S220</f>
        <v>0</v>
      </c>
      <c r="M171" s="70">
        <f>'RESUMEN TOTAL'!T220</f>
        <v>0</v>
      </c>
      <c r="N171" s="70">
        <f>'RESUMEN TOTAL'!U220</f>
        <v>0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>
        <f>'RESUMEN TOTAL'!M232</f>
        <v>0</v>
      </c>
      <c r="G179" s="70">
        <f>'RESUMEN TOTAL'!N232</f>
        <v>0</v>
      </c>
      <c r="H179" s="70">
        <f>'RESUMEN TOTAL'!O232</f>
        <v>0</v>
      </c>
      <c r="I179" s="70">
        <f>'RESUMEN TOTAL'!P232</f>
        <v>0</v>
      </c>
      <c r="J179" s="70">
        <f>'RESUMEN TOTAL'!Q232</f>
        <v>0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>
        <f>'RESUMEN TOTAL'!M234</f>
        <v>0</v>
      </c>
      <c r="G181" s="70">
        <f>'RESUMEN TOTAL'!N234</f>
        <v>0</v>
      </c>
      <c r="H181" s="70">
        <f>'RESUMEN TOTAL'!O234</f>
        <v>0</v>
      </c>
      <c r="I181" s="70">
        <f>'RESUMEN TOTAL'!P234</f>
        <v>0</v>
      </c>
      <c r="J181" s="70">
        <f>'RESUMEN TOTAL'!Q234</f>
        <v>0</v>
      </c>
      <c r="K181" s="70">
        <f>'RESUMEN TOTAL'!R234</f>
        <v>0</v>
      </c>
      <c r="L181" s="70">
        <f>'RESUMEN TOTAL'!S234</f>
        <v>0</v>
      </c>
      <c r="M181" s="70">
        <f>'RESUMEN TOTAL'!T234</f>
        <v>0</v>
      </c>
      <c r="N181" s="70">
        <f>'RESUMEN TOTAL'!U234</f>
        <v>0</v>
      </c>
      <c r="O181" s="70">
        <f>'RESUMEN TOTAL'!V234</f>
        <v>0</v>
      </c>
      <c r="P181" s="70">
        <f>'RESUMEN TOTAL'!W234</f>
        <v>0</v>
      </c>
      <c r="Q181" s="70">
        <f>'RESUMEN TOTAL'!X234</f>
        <v>0</v>
      </c>
      <c r="R181" s="70">
        <f>'RESUMEN TOTAL'!Y234</f>
        <v>0</v>
      </c>
      <c r="S181" s="70">
        <f>'RESUMEN TOTAL'!Z234</f>
        <v>0</v>
      </c>
      <c r="T181" s="70">
        <f>'RESUMEN TOTAL'!AA234</f>
        <v>0</v>
      </c>
      <c r="U181" s="70">
        <f>'RESUMEN TOTAL'!AB234</f>
        <v>0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>
        <f>'RESUMEN TOTAL'!S257</f>
        <v>0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>
        <f>'RESUMEN TOTAL'!M281</f>
        <v>0</v>
      </c>
      <c r="G224" s="70">
        <f>'RESUMEN TOTAL'!N281</f>
        <v>0</v>
      </c>
      <c r="H224" s="70">
        <f>'RESUMEN TOTAL'!O281</f>
        <v>0</v>
      </c>
      <c r="I224" s="70">
        <f>'RESUMEN TOTAL'!P281</f>
        <v>0</v>
      </c>
      <c r="J224" s="70">
        <f>'RESUMEN TOTAL'!Q281</f>
        <v>0</v>
      </c>
      <c r="K224" s="70">
        <f>'RESUMEN TOTAL'!R281</f>
        <v>0</v>
      </c>
      <c r="L224" s="70">
        <f>'RESUMEN TOTAL'!S281</f>
        <v>0</v>
      </c>
      <c r="M224" s="70">
        <f>'RESUMEN TOTAL'!T281</f>
        <v>0</v>
      </c>
      <c r="N224" s="70">
        <f>'RESUMEN TOTAL'!U281</f>
        <v>0</v>
      </c>
      <c r="O224" s="70">
        <f>'RESUMEN TOTAL'!V281</f>
        <v>0</v>
      </c>
      <c r="P224" s="70">
        <f>'RESUMEN TOTAL'!W281</f>
        <v>0</v>
      </c>
      <c r="Q224" s="70">
        <f>'RESUMEN TOTAL'!X281</f>
        <v>0</v>
      </c>
      <c r="R224" s="70">
        <f>'RESUMEN TOTAL'!Y281</f>
        <v>0</v>
      </c>
      <c r="S224" s="70">
        <f>'RESUMEN TOTAL'!Z281</f>
        <v>0</v>
      </c>
      <c r="T224" s="70">
        <f>'RESUMEN TOTAL'!AA281</f>
        <v>0</v>
      </c>
      <c r="U224" s="70">
        <f>'RESUMEN TOTAL'!AB281</f>
        <v>0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>
        <f>'RESUMEN TOTAL'!M296</f>
        <v>0</v>
      </c>
      <c r="G236" s="70">
        <f>'RESUMEN TOTAL'!N296</f>
        <v>0</v>
      </c>
      <c r="H236" s="70">
        <f>'RESUMEN TOTAL'!O296</f>
        <v>0</v>
      </c>
      <c r="I236" s="70">
        <f>'RESUMEN TOTAL'!P296</f>
        <v>0</v>
      </c>
      <c r="J236" s="70">
        <f>'RESUMEN TOTAL'!Q296</f>
        <v>0</v>
      </c>
      <c r="K236" s="70">
        <f>'RESUMEN TOTAL'!R296</f>
        <v>0</v>
      </c>
      <c r="L236" s="70">
        <f>'RESUMEN TOTAL'!S296</f>
        <v>0</v>
      </c>
      <c r="M236" s="70">
        <f>'RESUMEN TOTAL'!T296</f>
        <v>0</v>
      </c>
      <c r="N236" s="70">
        <f>'RESUMEN TOTAL'!U296</f>
        <v>0</v>
      </c>
      <c r="O236" s="70">
        <f>'RESUMEN TOTAL'!V296</f>
        <v>0</v>
      </c>
      <c r="P236" s="70">
        <f>'RESUMEN TOTAL'!W296</f>
        <v>0</v>
      </c>
      <c r="Q236" s="70">
        <f>'RESUMEN TOTAL'!X296</f>
        <v>0</v>
      </c>
      <c r="R236" s="70">
        <f>'RESUMEN TOTAL'!Y296</f>
        <v>0</v>
      </c>
      <c r="S236" s="70">
        <f>'RESUMEN TOTAL'!Z296</f>
        <v>0</v>
      </c>
      <c r="T236" s="70">
        <f>'RESUMEN TOTAL'!AA296</f>
        <v>0</v>
      </c>
      <c r="U236" s="70">
        <f>'RESUMEN TOTAL'!AB296</f>
        <v>0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>
        <f>'RESUMEN TOTAL'!M308</f>
        <v>0</v>
      </c>
      <c r="G248" s="70">
        <f>'RESUMEN TOTAL'!N308</f>
        <v>0</v>
      </c>
      <c r="H248" s="70">
        <f>'RESUMEN TOTAL'!O308</f>
        <v>0</v>
      </c>
      <c r="I248" s="70">
        <f>'RESUMEN TOTAL'!P308</f>
        <v>0</v>
      </c>
      <c r="J248" s="70">
        <f>'RESUMEN TOTAL'!Q308</f>
        <v>0</v>
      </c>
      <c r="K248" s="70">
        <f>'RESUMEN TOTAL'!R308</f>
        <v>0</v>
      </c>
      <c r="L248" s="70">
        <f>'RESUMEN TOTAL'!S308</f>
        <v>0</v>
      </c>
      <c r="M248" s="70">
        <f>'RESUMEN TOTAL'!T308</f>
        <v>0</v>
      </c>
      <c r="N248" s="70">
        <f>'RESUMEN TOTAL'!U308</f>
        <v>0</v>
      </c>
      <c r="O248" s="70">
        <f>'RESUMEN TOTAL'!V308</f>
        <v>0</v>
      </c>
      <c r="P248" s="70">
        <f>'RESUMEN TOTAL'!W308</f>
        <v>0</v>
      </c>
      <c r="Q248" s="70">
        <f>'RESUMEN TOTAL'!X308</f>
        <v>0</v>
      </c>
      <c r="R248" s="70">
        <f>'RESUMEN TOTAL'!Y308</f>
        <v>0</v>
      </c>
      <c r="S248" s="70">
        <f>'RESUMEN TOTAL'!Z308</f>
        <v>0</v>
      </c>
      <c r="T248" s="70">
        <f>'RESUMEN TOTAL'!AA308</f>
        <v>0</v>
      </c>
      <c r="U248" s="70">
        <f>'RESUMEN TOTAL'!AB308</f>
        <v>0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>
        <f>'RESUMEN TOTAL'!M310</f>
        <v>0</v>
      </c>
      <c r="G250" s="70">
        <f>'RESUMEN TOTAL'!N310</f>
        <v>0</v>
      </c>
      <c r="H250" s="70">
        <f>'RESUMEN TOTAL'!O310</f>
        <v>0</v>
      </c>
      <c r="I250" s="70">
        <f>'RESUMEN TOTAL'!P310</f>
        <v>0</v>
      </c>
      <c r="J250" s="70">
        <f>'RESUMEN TOTAL'!Q310</f>
        <v>0</v>
      </c>
      <c r="K250" s="70">
        <f>'RESUMEN TOTAL'!R310</f>
        <v>0</v>
      </c>
      <c r="L250" s="70">
        <f>'RESUMEN TOTAL'!S310</f>
        <v>0</v>
      </c>
      <c r="M250" s="70">
        <f>'RESUMEN TOTAL'!T310</f>
        <v>0</v>
      </c>
      <c r="N250" s="70">
        <f>'RESUMEN TOTAL'!U310</f>
        <v>0</v>
      </c>
      <c r="O250" s="70">
        <f>'RESUMEN TOTAL'!V310</f>
        <v>0</v>
      </c>
      <c r="P250" s="70">
        <f>'RESUMEN TOTAL'!W310</f>
        <v>0</v>
      </c>
      <c r="Q250" s="70">
        <f>'RESUMEN TOTAL'!X310</f>
        <v>0</v>
      </c>
      <c r="R250" s="70">
        <f>'RESUMEN TOTAL'!Y310</f>
        <v>0</v>
      </c>
      <c r="S250" s="70">
        <f>'RESUMEN TOTAL'!Z310</f>
        <v>0</v>
      </c>
      <c r="T250" s="70">
        <f>'RESUMEN TOTAL'!AA310</f>
        <v>0</v>
      </c>
      <c r="U250" s="70">
        <f>'RESUMEN TOTAL'!AB310</f>
        <v>0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>
        <f>'RESUMEN TOTAL'!N311</f>
        <v>0</v>
      </c>
      <c r="H251" s="70">
        <f>'RESUMEN TOTAL'!O311</f>
        <v>0</v>
      </c>
      <c r="I251" s="70">
        <f>'RESUMEN TOTAL'!P311</f>
        <v>0</v>
      </c>
      <c r="J251" s="70">
        <f>'RESUMEN TOTAL'!Q311</f>
        <v>0</v>
      </c>
      <c r="K251" s="70">
        <f>'RESUMEN TOTAL'!R311</f>
        <v>0</v>
      </c>
      <c r="L251" s="70">
        <f>'RESUMEN TOTAL'!S311</f>
        <v>0</v>
      </c>
      <c r="M251" s="70">
        <f>'RESUMEN TOTAL'!T311</f>
        <v>0</v>
      </c>
      <c r="N251" s="70">
        <f>'RESUMEN TOTAL'!U311</f>
        <v>0</v>
      </c>
      <c r="O251" s="70">
        <f>'RESUMEN TOTAL'!V311</f>
        <v>0</v>
      </c>
      <c r="P251" s="70">
        <f>'RESUMEN TOTAL'!W311</f>
        <v>0</v>
      </c>
      <c r="Q251" s="70">
        <f>'RESUMEN TOTAL'!X311</f>
        <v>0</v>
      </c>
      <c r="R251" s="70">
        <f>'RESUMEN TOTAL'!Y311</f>
        <v>0</v>
      </c>
      <c r="S251" s="70">
        <f>'RESUMEN TOTAL'!Z311</f>
        <v>0</v>
      </c>
      <c r="T251" s="70">
        <f>'RESUMEN TOTAL'!AA311</f>
        <v>0</v>
      </c>
      <c r="U251" s="70">
        <f>'RESUMEN TOTAL'!AB311</f>
        <v>0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>
        <f>'RESUMEN TOTAL'!N312</f>
        <v>0</v>
      </c>
      <c r="H252" s="70">
        <f>'RESUMEN TOTAL'!O312</f>
        <v>0</v>
      </c>
      <c r="I252" s="70">
        <f>'RESUMEN TOTAL'!P312</f>
        <v>0</v>
      </c>
      <c r="J252" s="70">
        <f>'RESUMEN TOTAL'!Q312</f>
        <v>0</v>
      </c>
      <c r="K252" s="70">
        <f>'RESUMEN TOTAL'!R312</f>
        <v>0</v>
      </c>
      <c r="L252" s="70">
        <f>'RESUMEN TOTAL'!S312</f>
        <v>0</v>
      </c>
      <c r="M252" s="70">
        <f>'RESUMEN TOTAL'!T312</f>
        <v>0</v>
      </c>
      <c r="N252" s="70">
        <f>'RESUMEN TOTAL'!U312</f>
        <v>0</v>
      </c>
      <c r="O252" s="70">
        <f>'RESUMEN TOTAL'!V312</f>
        <v>0</v>
      </c>
      <c r="P252" s="70">
        <f>'RESUMEN TOTAL'!W312</f>
        <v>0</v>
      </c>
      <c r="Q252" s="70">
        <f>'RESUMEN TOTAL'!X312</f>
        <v>0</v>
      </c>
      <c r="R252" s="70">
        <f>'RESUMEN TOTAL'!Y312</f>
        <v>0</v>
      </c>
      <c r="S252" s="70">
        <f>'RESUMEN TOTAL'!Z312</f>
        <v>0</v>
      </c>
      <c r="T252" s="70">
        <f>'RESUMEN TOTAL'!AA312</f>
        <v>0</v>
      </c>
      <c r="U252" s="70">
        <f>'RESUMEN TOTAL'!AB312</f>
        <v>0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>
        <f>'RESUMEN TOTAL'!N313</f>
        <v>0</v>
      </c>
      <c r="H253" s="70">
        <f>'RESUMEN TOTAL'!O313</f>
        <v>0</v>
      </c>
      <c r="I253" s="70">
        <f>'RESUMEN TOTAL'!P313</f>
        <v>0</v>
      </c>
      <c r="J253" s="70">
        <f>'RESUMEN TOTAL'!Q313</f>
        <v>0</v>
      </c>
      <c r="K253" s="70">
        <f>'RESUMEN TOTAL'!R313</f>
        <v>0</v>
      </c>
      <c r="L253" s="70">
        <f>'RESUMEN TOTAL'!S313</f>
        <v>0</v>
      </c>
      <c r="M253" s="70">
        <f>'RESUMEN TOTAL'!T313</f>
        <v>0</v>
      </c>
      <c r="N253" s="70">
        <f>'RESUMEN TOTAL'!U313</f>
        <v>0</v>
      </c>
      <c r="O253" s="70">
        <f>'RESUMEN TOTAL'!V313</f>
        <v>0</v>
      </c>
      <c r="P253" s="70">
        <f>'RESUMEN TOTAL'!W313</f>
        <v>0</v>
      </c>
      <c r="Q253" s="70">
        <f>'RESUMEN TOTAL'!X313</f>
        <v>0</v>
      </c>
      <c r="R253" s="70">
        <f>'RESUMEN TOTAL'!Y313</f>
        <v>0</v>
      </c>
      <c r="S253" s="70">
        <f>'RESUMEN TOTAL'!Z313</f>
        <v>0</v>
      </c>
      <c r="T253" s="70">
        <f>'RESUMEN TOTAL'!AA313</f>
        <v>0</v>
      </c>
      <c r="U253" s="70">
        <f>'RESUMEN TOTAL'!AB313</f>
        <v>0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>
        <f>'RESUMEN TOTAL'!N314</f>
        <v>0</v>
      </c>
      <c r="H254" s="70">
        <f>'RESUMEN TOTAL'!O314</f>
        <v>0</v>
      </c>
      <c r="I254" s="70">
        <f>'RESUMEN TOTAL'!P314</f>
        <v>0</v>
      </c>
      <c r="J254" s="70">
        <f>'RESUMEN TOTAL'!Q314</f>
        <v>0</v>
      </c>
      <c r="K254" s="70">
        <f>'RESUMEN TOTAL'!R314</f>
        <v>0</v>
      </c>
      <c r="L254" s="70">
        <f>'RESUMEN TOTAL'!S314</f>
        <v>0</v>
      </c>
      <c r="M254" s="70">
        <f>'RESUMEN TOTAL'!T314</f>
        <v>0</v>
      </c>
      <c r="N254" s="70">
        <f>'RESUMEN TOTAL'!U314</f>
        <v>0</v>
      </c>
      <c r="O254" s="70">
        <f>'RESUMEN TOTAL'!V314</f>
        <v>0</v>
      </c>
      <c r="P254" s="70">
        <f>'RESUMEN TOTAL'!W314</f>
        <v>0</v>
      </c>
      <c r="Q254" s="70">
        <f>'RESUMEN TOTAL'!X314</f>
        <v>0</v>
      </c>
      <c r="R254" s="70">
        <f>'RESUMEN TOTAL'!Y314</f>
        <v>0</v>
      </c>
      <c r="S254" s="70">
        <f>'RESUMEN TOTAL'!Z314</f>
        <v>0</v>
      </c>
      <c r="T254" s="70">
        <f>'RESUMEN TOTAL'!AA314</f>
        <v>0</v>
      </c>
      <c r="U254" s="70">
        <f>'RESUMEN TOTAL'!AB314</f>
        <v>0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>
        <f>'RESUMEN TOTAL'!P315</f>
        <v>0</v>
      </c>
      <c r="J255" s="70">
        <f>'RESUMEN TOTAL'!Q315</f>
        <v>0</v>
      </c>
      <c r="K255" s="70">
        <f>'RESUMEN TOTAL'!R315</f>
        <v>0</v>
      </c>
      <c r="L255" s="70">
        <f>'RESUMEN TOTAL'!S315</f>
        <v>0</v>
      </c>
      <c r="M255" s="70">
        <f>'RESUMEN TOTAL'!T315</f>
        <v>0</v>
      </c>
      <c r="N255" s="70">
        <f>'RESUMEN TOTAL'!U315</f>
        <v>0</v>
      </c>
      <c r="O255" s="70">
        <f>'RESUMEN TOTAL'!V315</f>
        <v>0</v>
      </c>
      <c r="P255" s="70">
        <f>'RESUMEN TOTAL'!W315</f>
        <v>0</v>
      </c>
      <c r="Q255" s="70">
        <f>'RESUMEN TOTAL'!X315</f>
        <v>0</v>
      </c>
      <c r="R255" s="70">
        <f>'RESUMEN TOTAL'!Y315</f>
        <v>0</v>
      </c>
      <c r="S255" s="70">
        <f>'RESUMEN TOTAL'!Z315</f>
        <v>0</v>
      </c>
      <c r="T255" s="70">
        <f>'RESUMEN TOTAL'!AA315</f>
        <v>0</v>
      </c>
      <c r="U255" s="70">
        <f>'RESUMEN TOTAL'!AB315</f>
        <v>0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>
        <f>'RESUMEN TOTAL'!P316</f>
        <v>0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>
        <f>'RESUMEN TOTAL'!AB316</f>
        <v>0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>
        <f>'RESUMEN TOTAL'!X348</f>
        <v>0</v>
      </c>
      <c r="R279" s="70">
        <f>'RESUMEN TOTAL'!Y348</f>
        <v>0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>
        <f>'RESUMEN TOTAL'!X349</f>
        <v>0</v>
      </c>
      <c r="R280" s="70">
        <f>'RESUMEN TOTAL'!Y349</f>
        <v>0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>
        <f>'RESUMEN TOTAL'!N375</f>
        <v>0</v>
      </c>
      <c r="H301" s="70">
        <f>'RESUMEN TOTAL'!O375</f>
        <v>0</v>
      </c>
      <c r="I301" s="70">
        <f>'RESUMEN TOTAL'!P375</f>
        <v>0</v>
      </c>
      <c r="J301" s="70">
        <f>'RESUMEN TOTAL'!Q375</f>
        <v>0</v>
      </c>
      <c r="K301" s="70">
        <f>'RESUMEN TOTAL'!R375</f>
        <v>0</v>
      </c>
      <c r="L301" s="70">
        <f>'RESUMEN TOTAL'!S375</f>
        <v>0</v>
      </c>
      <c r="M301" s="70">
        <f>'RESUMEN TOTAL'!T375</f>
        <v>0</v>
      </c>
      <c r="N301" s="70">
        <f>'RESUMEN TOTAL'!U375</f>
        <v>0</v>
      </c>
      <c r="O301" s="70">
        <f>'RESUMEN TOTAL'!V375</f>
        <v>0</v>
      </c>
      <c r="P301" s="70">
        <f>'RESUMEN TOTAL'!W375</f>
        <v>0</v>
      </c>
      <c r="Q301" s="70">
        <f>'RESUMEN TOTAL'!X375</f>
        <v>0</v>
      </c>
      <c r="R301" s="70">
        <f>'RESUMEN TOTAL'!Y375</f>
        <v>0</v>
      </c>
      <c r="S301" s="70">
        <f>'RESUMEN TOTAL'!Z375</f>
        <v>0</v>
      </c>
      <c r="T301" s="70">
        <f>'RESUMEN TOTAL'!AA375</f>
        <v>0</v>
      </c>
      <c r="U301" s="70">
        <f>'RESUMEN TOTAL'!AB375</f>
        <v>0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>
        <f>'RESUMEN TOTAL'!R383</f>
        <v>0</v>
      </c>
      <c r="L309" s="70">
        <f>'RESUMEN TOTAL'!S383</f>
        <v>0</v>
      </c>
      <c r="M309" s="70">
        <f>'RESUMEN TOTAL'!T383</f>
        <v>0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>
        <f>'RESUMEN TOTAL'!R384</f>
        <v>0</v>
      </c>
      <c r="L310" s="70">
        <f>'RESUMEN TOTAL'!S384</f>
        <v>0</v>
      </c>
      <c r="M310" s="70">
        <f>'RESUMEN TOTAL'!T384</f>
        <v>0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>
        <f>'RESUMEN TOTAL'!M388</f>
        <v>0</v>
      </c>
      <c r="G314" s="70">
        <f>'RESUMEN TOTAL'!N388</f>
        <v>0</v>
      </c>
      <c r="H314" s="70">
        <f>'RESUMEN TOTAL'!O388</f>
        <v>0</v>
      </c>
      <c r="I314" s="70">
        <f>'RESUMEN TOTAL'!P388</f>
        <v>0</v>
      </c>
      <c r="J314" s="70">
        <f>'RESUMEN TOTAL'!Q388</f>
        <v>0</v>
      </c>
      <c r="K314" s="70">
        <f>'RESUMEN TOTAL'!R388</f>
        <v>0</v>
      </c>
      <c r="L314" s="70">
        <f>'RESUMEN TOTAL'!S388</f>
        <v>0</v>
      </c>
      <c r="M314" s="70">
        <f>'RESUMEN TOTAL'!T388</f>
        <v>0</v>
      </c>
      <c r="N314" s="70">
        <f>'RESUMEN TOTAL'!U388</f>
        <v>0</v>
      </c>
      <c r="O314" s="70">
        <f>'RESUMEN TOTAL'!V388</f>
        <v>0</v>
      </c>
      <c r="P314" s="70">
        <f>'RESUMEN TOTAL'!W388</f>
        <v>0</v>
      </c>
      <c r="Q314" s="70">
        <f>'RESUMEN TOTAL'!X388</f>
        <v>0</v>
      </c>
      <c r="R314" s="70">
        <f>'RESUMEN TOTAL'!Y388</f>
        <v>0</v>
      </c>
      <c r="S314" s="70">
        <f>'RESUMEN TOTAL'!Z388</f>
        <v>0</v>
      </c>
      <c r="T314" s="70">
        <f>'RESUMEN TOTAL'!AA388</f>
        <v>0</v>
      </c>
      <c r="U314" s="70">
        <f>'RESUMEN TOTAL'!AB388</f>
        <v>0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>
        <f>'RESUMEN TOTAL'!M389</f>
        <v>0</v>
      </c>
      <c r="G315" s="70">
        <f>'RESUMEN TOTAL'!N389</f>
        <v>0</v>
      </c>
      <c r="H315" s="70">
        <f>'RESUMEN TOTAL'!O389</f>
        <v>0</v>
      </c>
      <c r="I315" s="70">
        <f>'RESUMEN TOTAL'!P389</f>
        <v>0</v>
      </c>
      <c r="J315" s="70">
        <f>'RESUMEN TOTAL'!Q389</f>
        <v>0</v>
      </c>
      <c r="K315" s="70">
        <f>'RESUMEN TOTAL'!R389</f>
        <v>0</v>
      </c>
      <c r="L315" s="70">
        <f>'RESUMEN TOTAL'!S389</f>
        <v>0</v>
      </c>
      <c r="M315" s="70">
        <f>'RESUMEN TOTAL'!T389</f>
        <v>0</v>
      </c>
      <c r="N315" s="70">
        <f>'RESUMEN TOTAL'!U389</f>
        <v>0</v>
      </c>
      <c r="O315" s="70">
        <f>'RESUMEN TOTAL'!V389</f>
        <v>0</v>
      </c>
      <c r="P315" s="70">
        <f>'RESUMEN TOTAL'!W389</f>
        <v>0</v>
      </c>
      <c r="Q315" s="70">
        <f>'RESUMEN TOTAL'!X389</f>
        <v>0</v>
      </c>
      <c r="R315" s="70">
        <f>'RESUMEN TOTAL'!Y389</f>
        <v>0</v>
      </c>
      <c r="S315" s="70">
        <f>'RESUMEN TOTAL'!Z389</f>
        <v>0</v>
      </c>
      <c r="T315" s="70">
        <f>'RESUMEN TOTAL'!AA389</f>
        <v>0</v>
      </c>
      <c r="U315" s="70">
        <f>'RESUMEN TOTAL'!AB389</f>
        <v>0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>
        <f>'RESUMEN TOTAL'!M395</f>
        <v>0</v>
      </c>
      <c r="G316" s="70">
        <f>'RESUMEN TOTAL'!N395</f>
        <v>0</v>
      </c>
      <c r="H316" s="70">
        <f>'RESUMEN TOTAL'!O395</f>
        <v>0</v>
      </c>
      <c r="I316" s="70">
        <f>'RESUMEN TOTAL'!P395</f>
        <v>0</v>
      </c>
      <c r="J316" s="70">
        <f>'RESUMEN TOTAL'!Q395</f>
        <v>0</v>
      </c>
      <c r="K316" s="70">
        <f>'RESUMEN TOTAL'!R395</f>
        <v>0</v>
      </c>
      <c r="L316" s="70">
        <f>'RESUMEN TOTAL'!S395</f>
        <v>0</v>
      </c>
      <c r="M316" s="70">
        <f>'RESUMEN TOTAL'!T395</f>
        <v>0</v>
      </c>
      <c r="N316" s="70">
        <f>'RESUMEN TOTAL'!U395</f>
        <v>0</v>
      </c>
      <c r="O316" s="70">
        <f>'RESUMEN TOTAL'!V395</f>
        <v>0</v>
      </c>
      <c r="P316" s="70">
        <f>'RESUMEN TOTAL'!W395</f>
        <v>0</v>
      </c>
      <c r="Q316" s="70">
        <f>'RESUMEN TOTAL'!X395</f>
        <v>0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>
        <f>'RESUMEN TOTAL'!R397</f>
        <v>0</v>
      </c>
      <c r="L318" s="70">
        <f>'RESUMEN TOTAL'!S397</f>
        <v>0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>
        <f>'RESUMEN TOTAL'!R398</f>
        <v>0</v>
      </c>
      <c r="L319" s="70">
        <f>'RESUMEN TOTAL'!S398</f>
        <v>0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>
        <f>'RESUMEN TOTAL'!M399</f>
        <v>0</v>
      </c>
      <c r="G320" s="70">
        <f>'RESUMEN TOTAL'!N399</f>
        <v>0</v>
      </c>
      <c r="H320" s="70">
        <f>'RESUMEN TOTAL'!O399</f>
        <v>0</v>
      </c>
      <c r="I320" s="70">
        <f>'RESUMEN TOTAL'!P399</f>
        <v>0</v>
      </c>
      <c r="J320" s="70">
        <f>'RESUMEN TOTAL'!Q399</f>
        <v>0</v>
      </c>
      <c r="K320" s="70">
        <f>'RESUMEN TOTAL'!R399</f>
        <v>0</v>
      </c>
      <c r="L320" s="70">
        <f>'RESUMEN TOTAL'!S399</f>
        <v>0</v>
      </c>
      <c r="M320" s="70">
        <f>'RESUMEN TOTAL'!T399</f>
        <v>0</v>
      </c>
      <c r="N320" s="70">
        <f>'RESUMEN TOTAL'!U399</f>
        <v>0</v>
      </c>
      <c r="O320" s="70">
        <f>'RESUMEN TOTAL'!V399</f>
        <v>0</v>
      </c>
      <c r="P320" s="70">
        <f>'RESUMEN TOTAL'!W399</f>
        <v>0</v>
      </c>
      <c r="Q320" s="70">
        <f>'RESUMEN TOTAL'!X399</f>
        <v>0</v>
      </c>
      <c r="R320" s="70">
        <f>'RESUMEN TOTAL'!Y399</f>
        <v>0</v>
      </c>
      <c r="S320" s="70">
        <f>'RESUMEN TOTAL'!Z399</f>
        <v>0</v>
      </c>
      <c r="T320" s="70">
        <f>'RESUMEN TOTAL'!AA399</f>
        <v>0</v>
      </c>
      <c r="U320" s="70">
        <f>'RESUMEN TOTAL'!AB399</f>
        <v>0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>
        <f>'RESUMEN TOTAL'!R400</f>
        <v>0</v>
      </c>
      <c r="L321" s="70">
        <f>'RESUMEN TOTAL'!S400</f>
        <v>0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>
        <f>'RESUMEN TOTAL'!M401</f>
        <v>0</v>
      </c>
      <c r="G322" s="70">
        <f>'RESUMEN TOTAL'!N401</f>
        <v>0</v>
      </c>
      <c r="H322" s="70">
        <f>'RESUMEN TOTAL'!P401</f>
        <v>0</v>
      </c>
      <c r="I322" s="70">
        <v>0</v>
      </c>
      <c r="J322" s="70">
        <f>'RESUMEN TOTAL'!Q401</f>
        <v>0</v>
      </c>
      <c r="K322" s="70">
        <f>'RESUMEN TOTAL'!R401</f>
        <v>0</v>
      </c>
      <c r="L322" s="70">
        <f>'RESUMEN TOTAL'!S401</f>
        <v>0</v>
      </c>
      <c r="M322" s="70">
        <f>'RESUMEN TOTAL'!T401</f>
        <v>0</v>
      </c>
      <c r="N322" s="70">
        <f>'RESUMEN TOTAL'!U401</f>
        <v>0</v>
      </c>
      <c r="O322" s="70">
        <f>'RESUMEN TOTAL'!V401</f>
        <v>0</v>
      </c>
      <c r="P322" s="70">
        <f>'RESUMEN TOTAL'!W401</f>
        <v>0</v>
      </c>
      <c r="Q322" s="70">
        <f>'RESUMEN TOTAL'!X401</f>
        <v>0</v>
      </c>
      <c r="R322" s="70">
        <f>'RESUMEN TOTAL'!Y401</f>
        <v>0</v>
      </c>
      <c r="S322" s="70">
        <f>'RESUMEN TOTAL'!Z401</f>
        <v>0</v>
      </c>
      <c r="T322" s="70">
        <f>'RESUMEN TOTAL'!AA401</f>
        <v>0</v>
      </c>
      <c r="U322" s="70">
        <f>'RESUMEN TOTAL'!AB401</f>
        <v>0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>
        <f>'RESUMEN TOTAL'!M402</f>
        <v>0</v>
      </c>
      <c r="G323" s="70">
        <f>'RESUMEN TOTAL'!N402</f>
        <v>0</v>
      </c>
      <c r="H323" s="70">
        <f>'RESUMEN TOTAL'!P402</f>
        <v>0</v>
      </c>
      <c r="I323" s="70">
        <v>0</v>
      </c>
      <c r="J323" s="70">
        <f>'RESUMEN TOTAL'!Q402</f>
        <v>0</v>
      </c>
      <c r="K323" s="70">
        <f>'RESUMEN TOTAL'!R402</f>
        <v>0</v>
      </c>
      <c r="L323" s="70">
        <f>'RESUMEN TOTAL'!S402</f>
        <v>0</v>
      </c>
      <c r="M323" s="70">
        <f>'RESUMEN TOTAL'!T402</f>
        <v>0</v>
      </c>
      <c r="N323" s="70">
        <f>'RESUMEN TOTAL'!U402</f>
        <v>0</v>
      </c>
      <c r="O323" s="70">
        <f>'RESUMEN TOTAL'!V402</f>
        <v>0</v>
      </c>
      <c r="P323" s="70">
        <f>'RESUMEN TOTAL'!W402</f>
        <v>0</v>
      </c>
      <c r="Q323" s="70">
        <f>'RESUMEN TOTAL'!X402</f>
        <v>0</v>
      </c>
      <c r="R323" s="70">
        <f>'RESUMEN TOTAL'!Y402</f>
        <v>0</v>
      </c>
      <c r="S323" s="70">
        <f>'RESUMEN TOTAL'!Z402</f>
        <v>0</v>
      </c>
      <c r="T323" s="70">
        <f>'RESUMEN TOTAL'!AA402</f>
        <v>0</v>
      </c>
      <c r="U323" s="70">
        <f>'RESUMEN TOTAL'!AB402</f>
        <v>0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>
        <f>'RESUMEN TOTAL'!P413</f>
        <v>0</v>
      </c>
      <c r="J327" s="70">
        <f>'RESUMEN TOTAL'!Q413</f>
        <v>0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>
        <f>'RESUMEN TOTAL'!M415</f>
        <v>0</v>
      </c>
      <c r="G329" s="70">
        <f>'RESUMEN TOTAL'!N415</f>
        <v>0</v>
      </c>
      <c r="H329" s="70">
        <f>'RESUMEN TOTAL'!O415</f>
        <v>0</v>
      </c>
      <c r="I329" s="70">
        <f>'RESUMEN TOTAL'!P415</f>
        <v>0</v>
      </c>
      <c r="J329" s="70">
        <f>'RESUMEN TOTAL'!Q415</f>
        <v>0</v>
      </c>
      <c r="K329" s="70">
        <f>'RESUMEN TOTAL'!R415</f>
        <v>0</v>
      </c>
      <c r="L329" s="70">
        <f>'RESUMEN TOTAL'!S415</f>
        <v>0</v>
      </c>
      <c r="M329" s="70">
        <f>'RESUMEN TOTAL'!T415</f>
        <v>0</v>
      </c>
      <c r="N329" s="70">
        <f>'RESUMEN TOTAL'!U415</f>
        <v>0</v>
      </c>
      <c r="O329" s="70">
        <f>'RESUMEN TOTAL'!V415</f>
        <v>0</v>
      </c>
      <c r="P329" s="70">
        <f>'RESUMEN TOTAL'!W415</f>
        <v>0</v>
      </c>
      <c r="Q329" s="70">
        <f>'RESUMEN TOTAL'!X415</f>
        <v>0</v>
      </c>
      <c r="R329" s="70">
        <f>'RESUMEN TOTAL'!Y415</f>
        <v>0</v>
      </c>
      <c r="S329" s="70">
        <f>'RESUMEN TOTAL'!Z415</f>
        <v>0</v>
      </c>
      <c r="T329" s="70">
        <f>'RESUMEN TOTAL'!AA415</f>
        <v>0</v>
      </c>
      <c r="U329" s="70">
        <f>'RESUMEN TOTAL'!AB415</f>
        <v>0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>
        <f>'RESUMEN TOTAL'!Q416</f>
        <v>0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>
        <f>'RESUMEN TOTAL'!X419</f>
        <v>0</v>
      </c>
      <c r="R333" s="70">
        <f>'RESUMEN TOTAL'!Y419</f>
        <v>0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>
        <f>'RESUMEN TOTAL'!M420</f>
        <v>0</v>
      </c>
      <c r="G334" s="70">
        <f>'RESUMEN TOTAL'!N420</f>
        <v>0</v>
      </c>
      <c r="H334" s="70">
        <f>'RESUMEN TOTAL'!P420</f>
        <v>0</v>
      </c>
      <c r="I334" s="70">
        <v>0</v>
      </c>
      <c r="J334" s="70">
        <f>'RESUMEN TOTAL'!Q420</f>
        <v>0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>
        <f>'RESUMEN TOTAL'!M421</f>
        <v>0</v>
      </c>
      <c r="G335" s="70">
        <f>'RESUMEN TOTAL'!N421</f>
        <v>0</v>
      </c>
      <c r="H335" s="70">
        <f>'RESUMEN TOTAL'!P421</f>
        <v>0</v>
      </c>
      <c r="I335" s="70">
        <v>0</v>
      </c>
      <c r="J335" s="70">
        <f>'RESUMEN TOTAL'!Q421</f>
        <v>0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>
        <f>'RESUMEN TOTAL'!AB421</f>
        <v>0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>
        <f>'RESUMEN TOTAL'!P429</f>
        <v>0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>
        <f>'RESUMEN TOTAL'!X429</f>
        <v>0</v>
      </c>
      <c r="R340" s="70">
        <f>'RESUMEN TOTAL'!Y429</f>
        <v>0</v>
      </c>
      <c r="S340" s="70">
        <f>'RESUMEN TOTAL'!Z429</f>
        <v>0</v>
      </c>
      <c r="T340" s="70">
        <f>'RESUMEN TOTAL'!AA429</f>
        <v>0</v>
      </c>
      <c r="U340" s="70">
        <f>'RESUMEN TOTAL'!AB429</f>
        <v>0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>
        <f>'RESUMEN TOTAL'!P430</f>
        <v>0</v>
      </c>
      <c r="J341" s="70">
        <f>'RESUMEN TOTAL'!Q430</f>
        <v>0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>
        <f>'RESUMEN TOTAL'!X430</f>
        <v>0</v>
      </c>
      <c r="R341" s="70">
        <f>'RESUMEN TOTAL'!Y430</f>
        <v>0</v>
      </c>
      <c r="S341" s="70">
        <f>'RESUMEN TOTAL'!Z430</f>
        <v>0</v>
      </c>
      <c r="T341" s="70">
        <f>'RESUMEN TOTAL'!AA430</f>
        <v>0</v>
      </c>
      <c r="U341" s="70">
        <f>'RESUMEN TOTAL'!AB430</f>
        <v>0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>
        <f>'RESUMEN TOTAL'!M434</f>
        <v>0</v>
      </c>
      <c r="G345" s="70">
        <f>'RESUMEN TOTAL'!N434</f>
        <v>0</v>
      </c>
      <c r="H345" s="70">
        <f>'RESUMEN TOTAL'!O434</f>
        <v>0</v>
      </c>
      <c r="I345" s="70">
        <f>'RESUMEN TOTAL'!P434</f>
        <v>0</v>
      </c>
      <c r="J345" s="70">
        <f>'RESUMEN TOTAL'!Q434</f>
        <v>0</v>
      </c>
      <c r="K345" s="70">
        <f>'RESUMEN TOTAL'!R434</f>
        <v>0</v>
      </c>
      <c r="L345" s="70">
        <f>'RESUMEN TOTAL'!S434</f>
        <v>0</v>
      </c>
      <c r="M345" s="70">
        <f>'RESUMEN TOTAL'!T434</f>
        <v>0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>
        <f>'RESUMEN TOTAL'!M436</f>
        <v>0</v>
      </c>
      <c r="G347" s="70">
        <f>'RESUMEN TOTAL'!N436</f>
        <v>0</v>
      </c>
      <c r="H347" s="70">
        <f>'RESUMEN TOTAL'!O436</f>
        <v>0</v>
      </c>
      <c r="I347" s="70">
        <f>'RESUMEN TOTAL'!P436</f>
        <v>0</v>
      </c>
      <c r="J347" s="70">
        <f>'RESUMEN TOTAL'!Q436</f>
        <v>0</v>
      </c>
      <c r="K347" s="70">
        <f>'RESUMEN TOTAL'!R436</f>
        <v>0</v>
      </c>
      <c r="L347" s="70">
        <f>'RESUMEN TOTAL'!S436</f>
        <v>0</v>
      </c>
      <c r="M347" s="70">
        <f>'RESUMEN TOTAL'!T436</f>
        <v>0</v>
      </c>
      <c r="N347" s="70">
        <f>'RESUMEN TOTAL'!U436</f>
        <v>0</v>
      </c>
      <c r="O347" s="70">
        <f>'RESUMEN TOTAL'!V436</f>
        <v>0</v>
      </c>
      <c r="P347" s="70">
        <f>'RESUMEN TOTAL'!W436</f>
        <v>0</v>
      </c>
      <c r="Q347" s="70">
        <f>'RESUMEN TOTAL'!X436</f>
        <v>0</v>
      </c>
      <c r="R347" s="70">
        <f>'RESUMEN TOTAL'!Y436</f>
        <v>0</v>
      </c>
      <c r="S347" s="70">
        <f>'RESUMEN TOTAL'!Z436</f>
        <v>0</v>
      </c>
      <c r="T347" s="70">
        <f>'RESUMEN TOTAL'!AA436</f>
        <v>0</v>
      </c>
      <c r="U347" s="70">
        <f>'RESUMEN TOTAL'!AB436</f>
        <v>0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>
        <f>'RESUMEN TOTAL'!P441</f>
        <v>0</v>
      </c>
      <c r="J352" s="70">
        <f>'RESUMEN TOTAL'!Q441</f>
        <v>0</v>
      </c>
      <c r="K352" s="70">
        <f>'RESUMEN TOTAL'!R441</f>
        <v>0</v>
      </c>
      <c r="L352" s="70">
        <f>'RESUMEN TOTAL'!S441</f>
        <v>0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>
        <f>'RESUMEN TOTAL'!X441</f>
        <v>0</v>
      </c>
      <c r="R352" s="70">
        <f>'RESUMEN TOTAL'!Y441</f>
        <v>0</v>
      </c>
      <c r="S352" s="70">
        <f>'RESUMEN TOTAL'!Z441</f>
        <v>0</v>
      </c>
      <c r="T352" s="70">
        <f>'RESUMEN TOTAL'!AA441</f>
        <v>0</v>
      </c>
      <c r="U352" s="70">
        <f>'RESUMEN TOTAL'!AB441</f>
        <v>0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>
        <f>'RESUMEN TOTAL'!M442</f>
        <v>0</v>
      </c>
      <c r="G353" s="70">
        <f>'RESUMEN TOTAL'!N442</f>
        <v>0</v>
      </c>
      <c r="H353" s="70">
        <f>'RESUMEN TOTAL'!O442</f>
        <v>0</v>
      </c>
      <c r="I353" s="70">
        <f>'RESUMEN TOTAL'!P442</f>
        <v>0</v>
      </c>
      <c r="J353" s="70">
        <f>'RESUMEN TOTAL'!Q442</f>
        <v>0</v>
      </c>
      <c r="K353" s="70">
        <f>'RESUMEN TOTAL'!R442</f>
        <v>0</v>
      </c>
      <c r="L353" s="70">
        <f>'RESUMEN TOTAL'!S442</f>
        <v>0</v>
      </c>
      <c r="M353" s="70">
        <f>'RESUMEN TOTAL'!T442</f>
        <v>0</v>
      </c>
      <c r="N353" s="70">
        <f>'RESUMEN TOTAL'!U442</f>
        <v>0</v>
      </c>
      <c r="O353" s="70">
        <f>'RESUMEN TOTAL'!V442</f>
        <v>0</v>
      </c>
      <c r="P353" s="70">
        <f>'RESUMEN TOTAL'!W442</f>
        <v>0</v>
      </c>
      <c r="Q353" s="70">
        <f>'RESUMEN TOTAL'!X442</f>
        <v>0</v>
      </c>
      <c r="R353" s="70">
        <f>'RESUMEN TOTAL'!Y442</f>
        <v>0</v>
      </c>
      <c r="S353" s="70">
        <f>'RESUMEN TOTAL'!Z442</f>
        <v>0</v>
      </c>
      <c r="T353" s="70">
        <f>'RESUMEN TOTAL'!AA442</f>
        <v>0</v>
      </c>
      <c r="U353" s="70">
        <f>'RESUMEN TOTAL'!AB442</f>
        <v>0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>
        <f>'RESUMEN TOTAL'!P446</f>
        <v>0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>
        <f>'RESUMEN TOTAL'!X446</f>
        <v>0</v>
      </c>
      <c r="R357" s="70">
        <f>'RESUMEN TOTAL'!Y446</f>
        <v>0</v>
      </c>
      <c r="S357" s="70">
        <f>'RESUMEN TOTAL'!Z446</f>
        <v>0</v>
      </c>
      <c r="T357" s="70">
        <f>'RESUMEN TOTAL'!AA446</f>
        <v>0</v>
      </c>
      <c r="U357" s="70">
        <f>'RESUMEN TOTAL'!AB446</f>
        <v>0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>
        <f>'RESUMEN TOTAL'!P447</f>
        <v>0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>
        <f>'RESUMEN TOTAL'!X447</f>
        <v>0</v>
      </c>
      <c r="R358" s="70">
        <f>'RESUMEN TOTAL'!Y447</f>
        <v>0</v>
      </c>
      <c r="S358" s="70">
        <f>'RESUMEN TOTAL'!Z447</f>
        <v>0</v>
      </c>
      <c r="T358" s="70">
        <f>'RESUMEN TOTAL'!AA447</f>
        <v>0</v>
      </c>
      <c r="U358" s="70">
        <f>'RESUMEN TOTAL'!AB447</f>
        <v>0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>
        <f>'RESUMEN TOTAL'!M448</f>
        <v>0</v>
      </c>
      <c r="G359" s="70">
        <f>'RESUMEN TOTAL'!N448</f>
        <v>0</v>
      </c>
      <c r="H359" s="70">
        <f>'RESUMEN TOTAL'!O448</f>
        <v>0</v>
      </c>
      <c r="I359" s="70">
        <f>'RESUMEN TOTAL'!P448</f>
        <v>0</v>
      </c>
      <c r="J359" s="70">
        <f>'RESUMEN TOTAL'!Q448</f>
        <v>0</v>
      </c>
      <c r="K359" s="70">
        <f>'RESUMEN TOTAL'!R448</f>
        <v>0</v>
      </c>
      <c r="L359" s="70">
        <f>'RESUMEN TOTAL'!S448</f>
        <v>0</v>
      </c>
      <c r="M359" s="70">
        <f>'RESUMEN TOTAL'!T448</f>
        <v>0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>
        <f>'RESUMEN TOTAL'!M456</f>
        <v>0</v>
      </c>
      <c r="G361" s="70">
        <f>'RESUMEN TOTAL'!N456</f>
        <v>0</v>
      </c>
      <c r="H361" s="70">
        <f>'RESUMEN TOTAL'!O456</f>
        <v>0</v>
      </c>
      <c r="I361" s="70">
        <f>'RESUMEN TOTAL'!P456</f>
        <v>0</v>
      </c>
      <c r="J361" s="70">
        <f>'RESUMEN TOTAL'!Q456</f>
        <v>0</v>
      </c>
      <c r="K361" s="70">
        <f>'RESUMEN TOTAL'!R456</f>
        <v>0</v>
      </c>
      <c r="L361" s="70">
        <f>'RESUMEN TOTAL'!S456</f>
        <v>0</v>
      </c>
      <c r="M361" s="70">
        <f>'RESUMEN TOTAL'!T456</f>
        <v>0</v>
      </c>
      <c r="N361" s="70">
        <f>'RESUMEN TOTAL'!U456</f>
        <v>0</v>
      </c>
      <c r="O361" s="70">
        <f>'RESUMEN TOTAL'!V456</f>
        <v>0</v>
      </c>
      <c r="P361" s="70">
        <f>'RESUMEN TOTAL'!W456</f>
        <v>0</v>
      </c>
      <c r="Q361" s="70">
        <f>'RESUMEN TOTAL'!X456</f>
        <v>0</v>
      </c>
      <c r="R361" s="70">
        <f>'RESUMEN TOTAL'!Y456</f>
        <v>0</v>
      </c>
      <c r="S361" s="70">
        <f>'RESUMEN TOTAL'!Z456</f>
        <v>0</v>
      </c>
      <c r="T361" s="70">
        <f>'RESUMEN TOTAL'!AA456</f>
        <v>0</v>
      </c>
      <c r="U361" s="70">
        <f>'RESUMEN TOTAL'!AB456</f>
        <v>0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>
        <f>'RESUMEN TOTAL'!M457</f>
        <v>0</v>
      </c>
      <c r="G362" s="70">
        <f>'RESUMEN TOTAL'!N457</f>
        <v>0</v>
      </c>
      <c r="H362" s="70">
        <f>'RESUMEN TOTAL'!O457</f>
        <v>0</v>
      </c>
      <c r="I362" s="70">
        <f>'RESUMEN TOTAL'!P457</f>
        <v>0</v>
      </c>
      <c r="J362" s="70">
        <f>'RESUMEN TOTAL'!Q457</f>
        <v>0</v>
      </c>
      <c r="K362" s="70">
        <f>'RESUMEN TOTAL'!R457</f>
        <v>0</v>
      </c>
      <c r="L362" s="70">
        <f>'RESUMEN TOTAL'!S457</f>
        <v>0</v>
      </c>
      <c r="M362" s="70">
        <f>'RESUMEN TOTAL'!T457</f>
        <v>0</v>
      </c>
      <c r="N362" s="70">
        <f>'RESUMEN TOTAL'!U457</f>
        <v>0</v>
      </c>
      <c r="O362" s="70">
        <f>'RESUMEN TOTAL'!V457</f>
        <v>0</v>
      </c>
      <c r="P362" s="70">
        <f>'RESUMEN TOTAL'!W457</f>
        <v>0</v>
      </c>
      <c r="Q362" s="70">
        <f>'RESUMEN TOTAL'!X457</f>
        <v>0</v>
      </c>
      <c r="R362" s="70">
        <f>'RESUMEN TOTAL'!Y457</f>
        <v>0</v>
      </c>
      <c r="S362" s="70">
        <f>'RESUMEN TOTAL'!Z457</f>
        <v>0</v>
      </c>
      <c r="T362" s="70">
        <f>'RESUMEN TOTAL'!AA457</f>
        <v>0</v>
      </c>
      <c r="U362" s="70">
        <f>'RESUMEN TOTAL'!AB457</f>
        <v>0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>
        <f>'RESUMEN TOTAL'!M458</f>
        <v>0</v>
      </c>
      <c r="G363" s="70">
        <f>'RESUMEN TOTAL'!N458</f>
        <v>0</v>
      </c>
      <c r="H363" s="70">
        <f>'RESUMEN TOTAL'!O458</f>
        <v>0</v>
      </c>
      <c r="I363" s="70">
        <f>'RESUMEN TOTAL'!P458</f>
        <v>0</v>
      </c>
      <c r="J363" s="70">
        <f>'RESUMEN TOTAL'!Q458</f>
        <v>0</v>
      </c>
      <c r="K363" s="70">
        <f>'RESUMEN TOTAL'!R458</f>
        <v>0</v>
      </c>
      <c r="L363" s="70">
        <f>'RESUMEN TOTAL'!S458</f>
        <v>0</v>
      </c>
      <c r="M363" s="70">
        <f>'RESUMEN TOTAL'!T458</f>
        <v>0</v>
      </c>
      <c r="N363" s="70">
        <f>'RESUMEN TOTAL'!U458</f>
        <v>0</v>
      </c>
      <c r="O363" s="70">
        <f>'RESUMEN TOTAL'!V458</f>
        <v>0</v>
      </c>
      <c r="P363" s="70">
        <f>'RESUMEN TOTAL'!W458</f>
        <v>0</v>
      </c>
      <c r="Q363" s="70">
        <f>'RESUMEN TOTAL'!X458</f>
        <v>0</v>
      </c>
      <c r="R363" s="70">
        <f>'RESUMEN TOTAL'!Y458</f>
        <v>0</v>
      </c>
      <c r="S363" s="70">
        <f>'RESUMEN TOTAL'!Z458</f>
        <v>0</v>
      </c>
      <c r="T363" s="70">
        <f>'RESUMEN TOTAL'!AA458</f>
        <v>0</v>
      </c>
      <c r="U363" s="70">
        <f>'RESUMEN TOTAL'!AB458</f>
        <v>0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>
        <f>'RESUMEN TOTAL'!R481</f>
        <v>0</v>
      </c>
      <c r="L378" s="70">
        <f>'RESUMEN TOTAL'!S481</f>
        <v>0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>
        <f>'RESUMEN TOTAL'!R482</f>
        <v>0</v>
      </c>
      <c r="L379" s="70">
        <f>'RESUMEN TOTAL'!S482</f>
        <v>0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>
        <f>'RESUMEN TOTAL'!R483</f>
        <v>0</v>
      </c>
      <c r="L380" s="70">
        <f>'RESUMEN TOTAL'!S483</f>
        <v>0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>
        <f>'RESUMEN TOTAL'!R484</f>
        <v>0</v>
      </c>
      <c r="L381" s="70">
        <f>'RESUMEN TOTAL'!S484</f>
        <v>0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>
        <f>'RESUMEN TOTAL'!R485</f>
        <v>0</v>
      </c>
      <c r="L382" s="70">
        <f>'RESUMEN TOTAL'!S485</f>
        <v>0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>
        <f>'RESUMEN TOTAL'!M496</f>
        <v>0</v>
      </c>
      <c r="G393" s="70">
        <f>'RESUMEN TOTAL'!N496</f>
        <v>0</v>
      </c>
      <c r="H393" s="70">
        <f>'RESUMEN TOTAL'!O496</f>
        <v>0</v>
      </c>
      <c r="I393" s="70">
        <f>'RESUMEN TOTAL'!P496</f>
        <v>0</v>
      </c>
      <c r="J393" s="70">
        <f>'RESUMEN TOTAL'!Q496</f>
        <v>0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>
        <f>'RESUMEN TOTAL'!M503</f>
        <v>0</v>
      </c>
      <c r="G400" s="70">
        <f>'RESUMEN TOTAL'!N503</f>
        <v>0</v>
      </c>
      <c r="H400" s="70">
        <f>'RESUMEN TOTAL'!O503</f>
        <v>0</v>
      </c>
      <c r="I400" s="70">
        <f>'RESUMEN TOTAL'!P503</f>
        <v>0</v>
      </c>
      <c r="J400" s="70">
        <f>'RESUMEN TOTAL'!Q503</f>
        <v>0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>
        <f>'RESUMEN TOTAL'!M508</f>
        <v>0</v>
      </c>
      <c r="G405" s="70">
        <f>'RESUMEN TOTAL'!N508</f>
        <v>0</v>
      </c>
      <c r="H405" s="70">
        <f>'RESUMEN TOTAL'!O508</f>
        <v>0</v>
      </c>
      <c r="I405" s="70">
        <f>'RESUMEN TOTAL'!P508</f>
        <v>0</v>
      </c>
      <c r="J405" s="70">
        <f>'RESUMEN TOTAL'!Q508</f>
        <v>0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>
        <f>'RESUMEN TOTAL'!M510</f>
        <v>0</v>
      </c>
      <c r="G407" s="70">
        <f>'RESUMEN TOTAL'!N510</f>
        <v>0</v>
      </c>
      <c r="H407" s="70">
        <f>'RESUMEN TOTAL'!O510</f>
        <v>0</v>
      </c>
      <c r="I407" s="70">
        <f>'RESUMEN TOTAL'!P510</f>
        <v>0</v>
      </c>
      <c r="J407" s="70">
        <f>'RESUMEN TOTAL'!Q510</f>
        <v>0</v>
      </c>
      <c r="K407" s="70">
        <f>'RESUMEN TOTAL'!R510</f>
        <v>0</v>
      </c>
      <c r="L407" s="70">
        <f>'RESUMEN TOTAL'!S510</f>
        <v>0</v>
      </c>
      <c r="M407" s="70">
        <f>'RESUMEN TOTAL'!T510</f>
        <v>0</v>
      </c>
      <c r="N407" s="70">
        <f>'RESUMEN TOTAL'!U510</f>
        <v>0</v>
      </c>
      <c r="O407" s="70">
        <f>'RESUMEN TOTAL'!V510</f>
        <v>0</v>
      </c>
      <c r="P407" s="70">
        <f>'RESUMEN TOTAL'!W510</f>
        <v>0</v>
      </c>
      <c r="Q407" s="70">
        <f>'RESUMEN TOTAL'!X510</f>
        <v>0</v>
      </c>
      <c r="R407" s="70">
        <f>'RESUMEN TOTAL'!Y510</f>
        <v>0</v>
      </c>
      <c r="S407" s="70">
        <f>'RESUMEN TOTAL'!Z510</f>
        <v>0</v>
      </c>
      <c r="T407" s="70">
        <f>'RESUMEN TOTAL'!AA510</f>
        <v>0</v>
      </c>
      <c r="U407" s="70">
        <f>'RESUMEN TOTAL'!AB510</f>
        <v>0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>
        <f>'RESUMEN TOTAL'!M511</f>
        <v>0</v>
      </c>
      <c r="G408" s="70">
        <f>'RESUMEN TOTAL'!N511</f>
        <v>0</v>
      </c>
      <c r="H408" s="70">
        <f>'RESUMEN TOTAL'!O511</f>
        <v>0</v>
      </c>
      <c r="I408" s="70">
        <f>'RESUMEN TOTAL'!P511</f>
        <v>0</v>
      </c>
      <c r="J408" s="70">
        <f>'RESUMEN TOTAL'!Q511</f>
        <v>0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>
        <f>'RESUMEN TOTAL'!M514</f>
        <v>0</v>
      </c>
      <c r="G411" s="70">
        <f>'RESUMEN TOTAL'!N514</f>
        <v>0</v>
      </c>
      <c r="H411" s="70">
        <f>'RESUMEN TOTAL'!O514</f>
        <v>0</v>
      </c>
      <c r="I411" s="70">
        <f>'RESUMEN TOTAL'!P514</f>
        <v>0</v>
      </c>
      <c r="J411" s="70">
        <f>'RESUMEN TOTAL'!Q514</f>
        <v>0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>
        <f>'RESUMEN TOTAL'!M515</f>
        <v>0</v>
      </c>
      <c r="G412" s="70">
        <f>'RESUMEN TOTAL'!N515</f>
        <v>0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>
        <f>'RESUMEN TOTAL'!M520</f>
        <v>0</v>
      </c>
      <c r="G417" s="70">
        <f>'RESUMEN TOTAL'!N520</f>
        <v>0</v>
      </c>
      <c r="H417" s="70">
        <f>'RESUMEN TOTAL'!O520</f>
        <v>0</v>
      </c>
      <c r="I417" s="70">
        <f>'RESUMEN TOTAL'!P520</f>
        <v>0</v>
      </c>
      <c r="J417" s="70">
        <f>'RESUMEN TOTAL'!Q520</f>
        <v>0</v>
      </c>
      <c r="K417" s="70">
        <f>'RESUMEN TOTAL'!R520</f>
        <v>0</v>
      </c>
      <c r="L417" s="70">
        <f>'RESUMEN TOTAL'!S520</f>
        <v>0</v>
      </c>
      <c r="M417" s="70">
        <f>'RESUMEN TOTAL'!T520</f>
        <v>0</v>
      </c>
      <c r="N417" s="70">
        <f>'RESUMEN TOTAL'!U520</f>
        <v>0</v>
      </c>
      <c r="O417" s="70">
        <f>'RESUMEN TOTAL'!V520</f>
        <v>0</v>
      </c>
      <c r="P417" s="70">
        <f>'RESUMEN TOTAL'!W520</f>
        <v>0</v>
      </c>
      <c r="Q417" s="70">
        <f>'RESUMEN TOTAL'!X520</f>
        <v>0</v>
      </c>
      <c r="R417" s="70">
        <f>'RESUMEN TOTAL'!Y520</f>
        <v>0</v>
      </c>
      <c r="S417" s="70">
        <f>'RESUMEN TOTAL'!Z520</f>
        <v>0</v>
      </c>
      <c r="T417" s="70">
        <f>'RESUMEN TOTAL'!AA520</f>
        <v>0</v>
      </c>
      <c r="U417" s="70">
        <f>'RESUMEN TOTAL'!AB520</f>
        <v>0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>
        <f>'RESUMEN TOTAL'!M530</f>
        <v>0</v>
      </c>
      <c r="G422" s="70">
        <f>'RESUMEN TOTAL'!N530</f>
        <v>0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>
        <f>'RESUMEN TOTAL'!M531</f>
        <v>0</v>
      </c>
      <c r="G423" s="70">
        <f>'RESUMEN TOTAL'!N531</f>
        <v>0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>
        <f>'RESUMEN TOTAL'!M532</f>
        <v>0</v>
      </c>
      <c r="G424" s="70">
        <f>'RESUMEN TOTAL'!N532</f>
        <v>0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>
        <f>'RESUMEN TOTAL'!M533</f>
        <v>0</v>
      </c>
      <c r="G425" s="70">
        <f>'RESUMEN TOTAL'!N533</f>
        <v>0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>
        <f>'RESUMEN TOTAL'!X539</f>
        <v>0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>
        <f>'RESUMEN TOTAL'!M540</f>
        <v>0</v>
      </c>
      <c r="G431" s="70">
        <f>'RESUMEN TOTAL'!N540</f>
        <v>0</v>
      </c>
      <c r="H431" s="70">
        <f>'RESUMEN TOTAL'!O540</f>
        <v>0</v>
      </c>
      <c r="I431" s="70">
        <f>'RESUMEN TOTAL'!P540</f>
        <v>0</v>
      </c>
      <c r="J431" s="70">
        <f>'RESUMEN TOTAL'!Q540</f>
        <v>0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>
        <f>'RESUMEN TOTAL'!X542</f>
        <v>0</v>
      </c>
      <c r="R432" s="70">
        <f>'RESUMEN TOTAL'!Y542</f>
        <v>0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>
        <f>'RESUMEN TOTAL'!X543</f>
        <v>0</v>
      </c>
      <c r="R433" s="70">
        <f>'RESUMEN TOTAL'!Y543</f>
        <v>0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>
        <f>'RESUMEN TOTAL'!X544</f>
        <v>0</v>
      </c>
      <c r="R434" s="70">
        <f>'RESUMEN TOTAL'!Y544</f>
        <v>0</v>
      </c>
      <c r="S434" s="70">
        <f>'RESUMEN TOTAL'!Z544</f>
        <v>0</v>
      </c>
      <c r="T434" s="70">
        <f>'RESUMEN TOTAL'!AA544</f>
        <v>0</v>
      </c>
      <c r="U434" s="70">
        <f>'RESUMEN TOTAL'!AB544</f>
        <v>0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>
        <f>'RESUMEN TOTAL'!X545</f>
        <v>0</v>
      </c>
      <c r="R435" s="70">
        <f>'RESUMEN TOTAL'!Y545</f>
        <v>0</v>
      </c>
      <c r="S435" s="70">
        <f>'RESUMEN TOTAL'!Z545</f>
        <v>0</v>
      </c>
      <c r="T435" s="70">
        <f>'RESUMEN TOTAL'!AA545</f>
        <v>0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>
        <f>'RESUMEN TOTAL'!M549</f>
        <v>0</v>
      </c>
      <c r="G436" s="70">
        <f>'RESUMEN TOTAL'!N549</f>
        <v>0</v>
      </c>
      <c r="H436" s="70">
        <f>'RESUMEN TOTAL'!O549</f>
        <v>0</v>
      </c>
      <c r="I436" s="70">
        <f>'RESUMEN TOTAL'!P549</f>
        <v>0</v>
      </c>
      <c r="J436" s="70">
        <f>'RESUMEN TOTAL'!Q549</f>
        <v>0</v>
      </c>
      <c r="K436" s="70">
        <f>'RESUMEN TOTAL'!R549</f>
        <v>0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>
        <f>'RESUMEN TOTAL'!X549</f>
        <v>0</v>
      </c>
      <c r="R436" s="70">
        <f>'RESUMEN TOTAL'!Y549</f>
        <v>0</v>
      </c>
      <c r="S436" s="70">
        <f>'RESUMEN TOTAL'!Z549</f>
        <v>0</v>
      </c>
      <c r="T436" s="70">
        <f>'RESUMEN TOTAL'!AA549</f>
        <v>0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>
        <f>'RESUMEN TOTAL'!M550</f>
        <v>0</v>
      </c>
      <c r="G437" s="70">
        <f>'RESUMEN TOTAL'!N550</f>
        <v>0</v>
      </c>
      <c r="H437" s="70">
        <f>'RESUMEN TOTAL'!O550</f>
        <v>0</v>
      </c>
      <c r="I437" s="70">
        <f>'RESUMEN TOTAL'!P550</f>
        <v>0</v>
      </c>
      <c r="J437" s="70">
        <f>'RESUMEN TOTAL'!Q550</f>
        <v>0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>
        <f>'RESUMEN TOTAL'!M551</f>
        <v>0</v>
      </c>
      <c r="G438" s="70">
        <f>'RESUMEN TOTAL'!N551</f>
        <v>0</v>
      </c>
      <c r="H438" s="70">
        <f>'RESUMEN TOTAL'!O551</f>
        <v>0</v>
      </c>
      <c r="I438" s="70">
        <f>'RESUMEN TOTAL'!P551</f>
        <v>0</v>
      </c>
      <c r="J438" s="70">
        <f>'RESUMEN TOTAL'!Q551</f>
        <v>0</v>
      </c>
      <c r="K438" s="70">
        <f>'RESUMEN TOTAL'!R551</f>
        <v>0</v>
      </c>
      <c r="L438" s="70">
        <f>'RESUMEN TOTAL'!S551</f>
        <v>0</v>
      </c>
      <c r="M438" s="70">
        <f>'RESUMEN TOTAL'!T551</f>
        <v>0</v>
      </c>
      <c r="N438" s="70">
        <f>'RESUMEN TOTAL'!U551</f>
        <v>0</v>
      </c>
      <c r="O438" s="70">
        <f>'RESUMEN TOTAL'!V551</f>
        <v>0</v>
      </c>
      <c r="P438" s="70">
        <f>'RESUMEN TOTAL'!W551</f>
        <v>0</v>
      </c>
      <c r="Q438" s="70">
        <f>'RESUMEN TOTAL'!X551</f>
        <v>0</v>
      </c>
      <c r="R438" s="70">
        <f>'RESUMEN TOTAL'!Y551</f>
        <v>0</v>
      </c>
      <c r="S438" s="70">
        <f>'RESUMEN TOTAL'!Z551</f>
        <v>0</v>
      </c>
      <c r="T438" s="70">
        <f>'RESUMEN TOTAL'!AA551</f>
        <v>0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>
        <f>'RESUMEN TOTAL'!M552</f>
        <v>0</v>
      </c>
      <c r="G439" s="70">
        <f>'RESUMEN TOTAL'!N552</f>
        <v>0</v>
      </c>
      <c r="H439" s="70">
        <f>'RESUMEN TOTAL'!O552</f>
        <v>0</v>
      </c>
      <c r="I439" s="70">
        <f>'RESUMEN TOTAL'!P552</f>
        <v>0</v>
      </c>
      <c r="J439" s="70">
        <f>'RESUMEN TOTAL'!Q552</f>
        <v>0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>
        <f>'RESUMEN TOTAL'!M553</f>
        <v>0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>
        <f>'RESUMEN TOTAL'!M559</f>
        <v>0</v>
      </c>
      <c r="G445" s="70">
        <f>'RESUMEN TOTAL'!N559</f>
        <v>0</v>
      </c>
      <c r="H445" s="70">
        <f>'RESUMEN TOTAL'!O559</f>
        <v>0</v>
      </c>
      <c r="I445" s="70">
        <f>'RESUMEN TOTAL'!P559</f>
        <v>0</v>
      </c>
      <c r="J445" s="70">
        <f>'RESUMEN TOTAL'!Q559</f>
        <v>0</v>
      </c>
      <c r="K445" s="70">
        <f>'RESUMEN TOTAL'!R559</f>
        <v>0</v>
      </c>
      <c r="L445" s="70">
        <f>'RESUMEN TOTAL'!S559</f>
        <v>0</v>
      </c>
      <c r="M445" s="70">
        <f>'RESUMEN TOTAL'!T559</f>
        <v>0</v>
      </c>
      <c r="N445" s="70">
        <f>'RESUMEN TOTAL'!U559</f>
        <v>0</v>
      </c>
      <c r="O445" s="70">
        <f>'RESUMEN TOTAL'!V559</f>
        <v>0</v>
      </c>
      <c r="P445" s="70">
        <f>'RESUMEN TOTAL'!W559</f>
        <v>0</v>
      </c>
      <c r="Q445" s="70">
        <f>'RESUMEN TOTAL'!X559</f>
        <v>0</v>
      </c>
      <c r="R445" s="70">
        <f>'RESUMEN TOTAL'!Y559</f>
        <v>0</v>
      </c>
      <c r="S445" s="70">
        <f>'RESUMEN TOTAL'!Z559</f>
        <v>0</v>
      </c>
      <c r="T445" s="70">
        <f>'RESUMEN TOTAL'!AA559</f>
        <v>0</v>
      </c>
      <c r="U445" s="70">
        <f>'RESUMEN TOTAL'!AB559</f>
        <v>0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>
        <f>'RESUMEN TOTAL'!X564</f>
        <v>0</v>
      </c>
      <c r="R450" s="70">
        <f>'RESUMEN TOTAL'!Y564</f>
        <v>0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>
        <f>'RESUMEN TOTAL'!M577</f>
        <v>0</v>
      </c>
      <c r="G460" s="70">
        <f>'RESUMEN TOTAL'!N577</f>
        <v>0</v>
      </c>
      <c r="H460" s="70">
        <f>'RESUMEN TOTAL'!O577</f>
        <v>0</v>
      </c>
      <c r="I460" s="70">
        <f>'RESUMEN TOTAL'!P577</f>
        <v>0</v>
      </c>
      <c r="J460" s="70">
        <f>'RESUMEN TOTAL'!Q577</f>
        <v>0</v>
      </c>
      <c r="K460" s="70">
        <f>'RESUMEN TOTAL'!R577</f>
        <v>0</v>
      </c>
      <c r="L460" s="70">
        <f>'RESUMEN TOTAL'!S577</f>
        <v>0</v>
      </c>
      <c r="M460" s="70">
        <f>'RESUMEN TOTAL'!T577</f>
        <v>0</v>
      </c>
      <c r="N460" s="70">
        <f>'RESUMEN TOTAL'!U577</f>
        <v>0</v>
      </c>
      <c r="O460" s="70">
        <f>'RESUMEN TOTAL'!V577</f>
        <v>0</v>
      </c>
      <c r="P460" s="70">
        <f>'RESUMEN TOTAL'!W577</f>
        <v>0</v>
      </c>
      <c r="Q460" s="70">
        <f>'RESUMEN TOTAL'!X577</f>
        <v>0</v>
      </c>
      <c r="R460" s="70">
        <f>'RESUMEN TOTAL'!Y577</f>
        <v>0</v>
      </c>
      <c r="S460" s="70">
        <f>'RESUMEN TOTAL'!Z577</f>
        <v>0</v>
      </c>
      <c r="T460" s="70">
        <f>'RESUMEN TOTAL'!AA577</f>
        <v>0</v>
      </c>
      <c r="U460" s="70">
        <f>'RESUMEN TOTAL'!AB577</f>
        <v>0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abSelected="1" topLeftCell="M1" zoomScale="90" zoomScaleNormal="90" workbookViewId="0">
      <selection activeCell="AF7" sqref="AF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TOTAL'!N8:N689,"=APAGADO",'RESUMEN TOTAL'!C8:C689,"=BONOMO")</f>
        <v>0</v>
      </c>
      <c r="H3" s="46">
        <v>0</v>
      </c>
      <c r="I3" s="46">
        <v>0</v>
      </c>
      <c r="J3" s="46">
        <f>COUNTIFS('RESUMEN TOTAL'!Q8:Q689,"=APAGADO",'RESUMEN TOTAL'!C8:C689,"=BONOMO")</f>
        <v>0</v>
      </c>
      <c r="K3" s="46">
        <f>COUNTIFS('RESUMEN TOTAL'!R8:R689,"=APAGADO",'RESUMEN TOTAL'!C8:C689,"=BONOMO")</f>
        <v>0</v>
      </c>
      <c r="L3" s="46">
        <v>0</v>
      </c>
      <c r="M3" s="46">
        <v>0</v>
      </c>
      <c r="N3" s="46">
        <f>COUNTIFS('RESUMEN TOTAL'!U8:U689,"=APAGADO",'RESUMEN TOTAL'!C8:C689,"=BONOMO")</f>
        <v>0</v>
      </c>
      <c r="O3" s="46">
        <f>COUNTIFS('RESUMEN TOTAL'!V8:V689,"=APAGADO",'RESUMEN TOTAL'!C8:C689,"=BONOMO")</f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0</v>
      </c>
      <c r="R3" s="46">
        <f>COUNTIFS('RESUMEN TOTAL'!Y8:Y689,"=APAGADO",'RESUMEN TOTAL'!C8:C689,"=BONOMO")</f>
        <v>0</v>
      </c>
      <c r="S3" s="46">
        <f>COUNTIFS('RESUMEN TOTAL'!Z8:Z689,"=APAGADO",'RESUMEN TOTAL'!C8:C689,"=BONOMO")</f>
        <v>0</v>
      </c>
      <c r="T3" s="46">
        <f>COUNTIFS('RESUMEN TOTAL'!AA8:AA689,"=APAGADO",'RESUMEN TOTAL'!C8:C689,"=BONOMO")</f>
        <v>0</v>
      </c>
      <c r="U3" s="46">
        <f>COUNTIFS('RESUMEN TOTAL'!AB8:AB689,"=APAGADO",'RESUMEN TOTAL'!C8:C689,"=BONOMO")</f>
        <v>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0</v>
      </c>
      <c r="G5" s="46">
        <f>COUNTIFS('RESUMEN TOTAL'!N8:N689,"=APAGADO",'RESUMEN TOTAL'!C8:C689,"=COSEIDI")</f>
        <v>0</v>
      </c>
      <c r="H5" s="46">
        <v>0</v>
      </c>
      <c r="I5" s="46">
        <f>COUNTIFS('RESUMEN TOTAL'!P10:P691,"=APAGADO",'RESUMEN TOTAL'!C10:C691,"=COSEIDI")</f>
        <v>0</v>
      </c>
      <c r="J5" s="46">
        <f>COUNTIFS('RESUMEN TOTAL'!Q10:Q691,"=APAGADO",'RESUMEN TOTAL'!C10:C691,"=COSEIDI")</f>
        <v>0</v>
      </c>
      <c r="K5" s="46">
        <f>COUNTIFS('RESUMEN TOTAL'!R10:R691,"=APAGADO",'RESUMEN TOTAL'!C10:C691,"=COSEIDI")</f>
        <v>0</v>
      </c>
      <c r="L5" s="46">
        <f>COUNTIFS('RESUMEN TOTAL'!S10:S691,"=APAGADO",'RESUMEN TOTAL'!C10:C691,"=COSEIDI")</f>
        <v>0</v>
      </c>
      <c r="M5" s="46">
        <v>0</v>
      </c>
      <c r="N5" s="46">
        <f>COUNTIFS('RESUMEN TOTAL'!U10:U691,"=APAGADO",'RESUMEN TOTAL'!C10:C691,"=COSEIDI")</f>
        <v>0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0</v>
      </c>
      <c r="R5" s="46">
        <f>COUNTIFS('RESUMEN TOTAL'!Y10:Y691,"=APAGADO",'RESUMEN TOTAL'!C10:C691,"=COSEIDI")</f>
        <v>0</v>
      </c>
      <c r="S5" s="46">
        <f>COUNTIFS('RESUMEN TOTAL'!Z10:Z691,"=APAGADO",'RESUMEN TOTAL'!C10:C691,"=COSEIDI")</f>
        <v>0</v>
      </c>
      <c r="T5" s="46">
        <v>0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</v>
      </c>
      <c r="H6" s="50">
        <v>0</v>
      </c>
      <c r="I6" s="50">
        <v>0</v>
      </c>
      <c r="J6" s="50">
        <v>0</v>
      </c>
      <c r="K6" s="50">
        <f t="shared" ref="K6:AH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2025-12-29T15:01:47Z</dcterms:modified>
</cp:coreProperties>
</file>