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8_{CFA5C6F9-6DBE-4D82-A901-695CC64A2AED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9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<sst xmlns="http://schemas.openxmlformats.org/spreadsheetml/2006/main" count="6937" uniqueCount="2513">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</sst>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7"/>
  <sheetViews>
    <sheetView tabSelected="1" topLeftCell="G1" zoomScale="140" zoomScaleNormal="140" zoomScaleSheetLayoutView="140" workbookViewId="0">
      <pane xSplit="12" ySplit="7" topLeftCell="AO323" activePane="bottomRight" state="frozen"/>
      <selection activeCell="G1" sqref="G1"/>
      <selection pane="topRight" activeCell="S1" sqref="S1"/>
      <selection pane="bottomLeft" activeCell="G8" sqref="G8"/>
      <selection pane="bottomRight" activeCell="AP327" sqref="AP32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7109375" style="30" customWidth="1"/>
    <col min="8" max="8" width="10.42578125" style="30" hidden="1" customWidth="1"/>
    <col min="9" max="9" width="34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hidden="1" customWidth="1"/>
    <col min="14" max="14" width="11.42578125" style="65" hidden="1" customWidth="1"/>
    <col min="15" max="15" width="16.28515625" hidden="1" customWidth="1"/>
    <col min="16" max="16" width="17.5703125" hidden="1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0</v>
      </c>
      <c r="AT4" s="10">
        <f>COUNTIFS(AT8:AT715, "=APAGADO",K8:K715,"=Fibra Optica")</f>
        <v>0</v>
      </c>
      <c r="AU4" s="10">
        <f>COUNTIFS(AU8:AU715, "=APAGADO",L8:L715,"=Fibra Optica")</f>
        <v>0</v>
      </c>
      <c r="AV4" s="10">
        <f>COUNTIFS(AV8:AV715, "=APAGADO",M8:M715,"=Fibra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0</v>
      </c>
      <c r="AT5" s="127">
        <f>COUNTIFS(AT8:AT715, "=APAGADO",K8:K715,"=RADIO")</f>
        <v>0</v>
      </c>
      <c r="AU5" s="127">
        <f>COUNTIFS(AU8:AU715, "=APAGADO",L8:L715,"=RADIO")</f>
        <v>0</v>
      </c>
      <c r="AV5" s="127">
        <f>COUNTIFS(AV8:AV715, "=APAGADO",M8:M715,"=RADIO")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0</v>
      </c>
      <c r="AT6" s="10">
        <f>COUNTIFS(AT8:AT715, "=APAGADO",K8:K715,"=PTO A FO")</f>
        <v>0</v>
      </c>
      <c r="AU6" s="10">
        <f>COUNTIFS(AU8:AU715, "=APAGADO",L8:L715,"=PTO A FO")</f>
        <v>0</v>
      </c>
      <c r="AV6" s="10">
        <f>COUNTIFS(AV8:AV715, "=APAGADO",M8:M715,"=PTO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hidden="1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4">COUNTIF(S8:AT8,"")</f>
        <v>28</v>
      </c>
      <c r="P8" s="136" t="s">
        <v>1622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4"/>
        <v>28</v>
      </c>
      <c r="P9" s="136" t="s">
        <v>1623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4"/>
        <v>28</v>
      </c>
      <c r="P10" s="136" t="s">
        <v>1625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4"/>
        <v>28</v>
      </c>
      <c r="P11" s="136" t="s">
        <v>1627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4"/>
        <v>28</v>
      </c>
      <c r="P12" s="136" t="s">
        <v>1628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4"/>
        <v>28</v>
      </c>
      <c r="P13" s="136" t="s">
        <v>1629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4"/>
        <v>28</v>
      </c>
      <c r="P14" s="136" t="s">
        <v>2098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4"/>
        <v>27</v>
      </c>
      <c r="P15" s="136" t="s">
        <v>1620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4"/>
        <v>27</v>
      </c>
      <c r="P16" s="136" t="s">
        <v>1621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4"/>
        <v>28</v>
      </c>
      <c r="P17" s="136" t="s">
        <v>1624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4"/>
        <v>27</v>
      </c>
      <c r="P18" s="136" t="s">
        <v>1626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4"/>
        <v>28</v>
      </c>
      <c r="P19" s="136" t="s">
        <v>1630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4"/>
        <v>28</v>
      </c>
      <c r="P20" s="136" t="s">
        <v>1631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4"/>
        <v>28</v>
      </c>
      <c r="P21" s="136" t="s">
        <v>1632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4"/>
        <v>28</v>
      </c>
      <c r="P22" s="136" t="s">
        <v>2254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4"/>
        <v>28</v>
      </c>
      <c r="P23" s="136" t="s">
        <v>1633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4"/>
        <v>28</v>
      </c>
      <c r="P24" s="136" t="s">
        <v>1640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4"/>
        <v>28</v>
      </c>
      <c r="P25" s="136" t="s">
        <v>2099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4"/>
        <v>28</v>
      </c>
      <c r="P26" s="136" t="s">
        <v>2100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4"/>
        <v>28</v>
      </c>
      <c r="P27" s="136" t="s">
        <v>2101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4"/>
        <v>28</v>
      </c>
      <c r="P28" s="136" t="s">
        <v>2229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7">COUNTIF(S30:AT30,"")</f>
        <v>24</v>
      </c>
      <c r="P30" s="136" t="s">
        <v>1634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7"/>
        <v>24</v>
      </c>
      <c r="P31" s="136" t="s">
        <v>1635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7"/>
        <v>19</v>
      </c>
      <c r="P32" s="136" t="s">
        <v>1636</v>
      </c>
      <c r="Q32" s="31">
        <f t="shared" si="8"/>
        <v>9</v>
      </c>
      <c r="R32" s="32">
        <f t="shared" si="9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7"/>
        <v>19</v>
      </c>
      <c r="P33" s="136" t="s">
        <v>1637</v>
      </c>
      <c r="Q33" s="31">
        <f t="shared" si="8"/>
        <v>9</v>
      </c>
      <c r="R33" s="32">
        <f t="shared" si="9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7"/>
        <v>26</v>
      </c>
      <c r="P34" s="136" t="s">
        <v>1638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7"/>
        <v>27</v>
      </c>
      <c r="P35" s="136" t="s">
        <v>1639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7"/>
        <v>27</v>
      </c>
      <c r="P36" s="136" t="s">
        <v>1642</v>
      </c>
      <c r="Q36" s="31">
        <f t="shared" si="8"/>
        <v>1</v>
      </c>
      <c r="R36" s="32">
        <f t="shared" si="9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7"/>
        <v>27</v>
      </c>
      <c r="P37" s="136" t="s">
        <v>1643</v>
      </c>
      <c r="Q37" s="31">
        <f t="shared" si="8"/>
        <v>1</v>
      </c>
      <c r="R37" s="32">
        <f t="shared" si="9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7"/>
        <v>26</v>
      </c>
      <c r="P38" s="136" t="s">
        <v>2104</v>
      </c>
      <c r="Q38" s="31">
        <f t="shared" si="8"/>
        <v>2</v>
      </c>
      <c r="R38" s="32">
        <f t="shared" si="9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hidden="1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7"/>
        <v>26</v>
      </c>
      <c r="P39" s="136" t="s">
        <v>2128</v>
      </c>
      <c r="Q39" s="31">
        <f t="shared" si="8"/>
        <v>2</v>
      </c>
      <c r="R39" s="32">
        <f t="shared" si="9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hidden="1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7"/>
        <v>26</v>
      </c>
      <c r="P40" s="136" t="s">
        <v>2129</v>
      </c>
      <c r="Q40" s="31">
        <f t="shared" si="8"/>
        <v>2</v>
      </c>
      <c r="R40" s="32">
        <f t="shared" si="9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hidden="1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7"/>
        <v>27</v>
      </c>
      <c r="P41" s="136" t="s">
        <v>2130</v>
      </c>
      <c r="Q41" s="31">
        <f t="shared" si="8"/>
        <v>1</v>
      </c>
      <c r="R41" s="32">
        <f t="shared" si="9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7"/>
        <v>23</v>
      </c>
      <c r="P42" s="136" t="s">
        <v>2172</v>
      </c>
      <c r="Q42" s="31">
        <f t="shared" si="8"/>
        <v>5</v>
      </c>
      <c r="R42" s="32">
        <f t="shared" si="9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7"/>
        <v>23</v>
      </c>
      <c r="P43" s="136" t="s">
        <v>2176</v>
      </c>
      <c r="Q43" s="31">
        <f t="shared" si="8"/>
        <v>5</v>
      </c>
      <c r="R43" s="32">
        <f t="shared" si="9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7"/>
        <v>28</v>
      </c>
      <c r="P44" s="136" t="s">
        <v>1648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7"/>
        <v>28</v>
      </c>
      <c r="P45" s="136" t="s">
        <v>1654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7"/>
        <v>28</v>
      </c>
      <c r="P46" s="136" t="s">
        <v>1655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7"/>
        <v>27</v>
      </c>
      <c r="P47" s="136" t="s">
        <v>1677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7"/>
        <v>28</v>
      </c>
      <c r="P48" s="136" t="s">
        <v>1690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7"/>
        <v>28</v>
      </c>
      <c r="P49" s="136" t="s">
        <v>1691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7"/>
        <v>28</v>
      </c>
      <c r="P50" s="136" t="s">
        <v>1693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7"/>
        <v>28</v>
      </c>
      <c r="P51" s="136" t="s">
        <v>1694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7"/>
        <v>28</v>
      </c>
      <c r="P52" s="136" t="s">
        <v>1695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7"/>
        <v>28</v>
      </c>
      <c r="P53" s="136" t="s">
        <v>1696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7"/>
        <v>28</v>
      </c>
      <c r="P54" s="136" t="s">
        <v>1697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7"/>
        <v>28</v>
      </c>
      <c r="P55" s="136" t="s">
        <v>1698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7"/>
        <v>28</v>
      </c>
      <c r="P56" s="136" t="s">
        <v>1700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7"/>
        <v>27</v>
      </c>
      <c r="P57" s="136" t="s">
        <v>1701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7"/>
        <v>28</v>
      </c>
      <c r="P58" s="136" t="s">
        <v>1705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7"/>
        <v>28</v>
      </c>
      <c r="P59" s="136" t="s">
        <v>1709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7"/>
        <v>28</v>
      </c>
      <c r="P60" s="136" t="s">
        <v>1710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7"/>
        <v>28</v>
      </c>
      <c r="P61" s="136" t="s">
        <v>1711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0">COUNTIF(S62:AT62,"")</f>
        <v>28</v>
      </c>
      <c r="P62" s="136" t="s">
        <v>1714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0"/>
        <v>28</v>
      </c>
      <c r="P63" s="136" t="s">
        <v>1715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0"/>
        <v>27</v>
      </c>
      <c r="P64" s="136" t="s">
        <v>1716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0"/>
        <v>28</v>
      </c>
      <c r="P65" s="136" t="s">
        <v>1717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0"/>
        <v>27</v>
      </c>
      <c r="P66" s="136" t="s">
        <v>1718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0"/>
        <v>27</v>
      </c>
      <c r="P67" s="136" t="s">
        <v>1719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0"/>
        <v>27</v>
      </c>
      <c r="P68" s="136" t="s">
        <v>1720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0"/>
        <v>28</v>
      </c>
      <c r="P69" s="136" t="s">
        <v>1721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0"/>
        <v>28</v>
      </c>
      <c r="P70" s="136" t="s">
        <v>1723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0"/>
        <v>26</v>
      </c>
      <c r="P71" s="136" t="s">
        <v>1724</v>
      </c>
      <c r="Q71" s="31">
        <f t="shared" si="11"/>
        <v>2</v>
      </c>
      <c r="R71" s="32">
        <f t="shared" si="12"/>
        <v>0.9285714285714286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0"/>
        <v>28</v>
      </c>
      <c r="P72" s="136" t="s">
        <v>1725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0"/>
        <v>28</v>
      </c>
      <c r="P73" s="136" t="s">
        <v>1644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0"/>
        <v>28</v>
      </c>
      <c r="P74" s="136" t="s">
        <v>1645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0"/>
        <v>28</v>
      </c>
      <c r="P75" s="136" t="s">
        <v>2461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0"/>
        <v>28</v>
      </c>
      <c r="P76" s="136" t="s">
        <v>1647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0"/>
        <v>12</v>
      </c>
      <c r="P77" s="136" t="s">
        <v>2414</v>
      </c>
      <c r="Q77" s="31">
        <f t="shared" si="11"/>
        <v>16</v>
      </c>
      <c r="R77" s="32">
        <f t="shared" si="12"/>
        <v>0.42857142857142855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/>
      <c r="AT77" s="70"/>
      <c r="AU77" s="70"/>
      <c r="AV77" s="138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0"/>
        <v>28</v>
      </c>
      <c r="P78" s="136" t="s">
        <v>1649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0"/>
        <v>28</v>
      </c>
      <c r="P79" s="136" t="s">
        <v>1650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0"/>
        <v>28</v>
      </c>
      <c r="P80" s="136" t="s">
        <v>1651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0"/>
        <v>28</v>
      </c>
      <c r="P81" s="136" t="s">
        <v>1652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0"/>
        <v>28</v>
      </c>
      <c r="P82" s="136" t="s">
        <v>2239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0"/>
        <v>28</v>
      </c>
      <c r="P83" s="136" t="s">
        <v>1653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0"/>
        <v>28</v>
      </c>
      <c r="P84" s="136" t="s">
        <v>1656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0"/>
        <v>28</v>
      </c>
      <c r="P85" s="136" t="s">
        <v>1657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0"/>
        <v>28</v>
      </c>
      <c r="P86" s="136" t="s">
        <v>1658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0"/>
        <v>28</v>
      </c>
      <c r="P87" s="136" t="s">
        <v>1659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0"/>
        <v>28</v>
      </c>
      <c r="P88" s="136" t="s">
        <v>1660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0"/>
        <v>28</v>
      </c>
      <c r="P89" s="136" t="s">
        <v>1661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0"/>
        <v>28</v>
      </c>
      <c r="P90" s="136" t="s">
        <v>1662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0"/>
        <v>28</v>
      </c>
      <c r="P91" s="136" t="s">
        <v>2292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0"/>
        <v>28</v>
      </c>
      <c r="P92" s="136" t="s">
        <v>1663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0"/>
        <v>28</v>
      </c>
      <c r="P93" s="136" t="s">
        <v>1664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3">COUNTIF(S94:AT94,"")</f>
        <v>28</v>
      </c>
      <c r="P94" s="136" t="s">
        <v>1665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3"/>
        <v>28</v>
      </c>
      <c r="P95" s="136" t="s">
        <v>1666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3"/>
        <v>28</v>
      </c>
      <c r="P96" s="136" t="s">
        <v>2378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3"/>
        <v>28</v>
      </c>
      <c r="P97" s="136" t="s">
        <v>1667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3"/>
        <v>27</v>
      </c>
      <c r="P98" s="136" t="s">
        <v>1668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3"/>
        <v>28</v>
      </c>
      <c r="P99" s="136" t="s">
        <v>1669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3"/>
        <v>28</v>
      </c>
      <c r="P100" s="136" t="s">
        <v>1670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3"/>
        <v>27</v>
      </c>
      <c r="P101" s="136" t="s">
        <v>1671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3"/>
        <v>28</v>
      </c>
      <c r="P102" s="136" t="s">
        <v>1672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3"/>
        <v>28</v>
      </c>
      <c r="P103" s="136" t="s">
        <v>1673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3"/>
        <v>27</v>
      </c>
      <c r="P104" s="136" t="s">
        <v>1674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3"/>
        <v>27</v>
      </c>
      <c r="P105" s="136" t="s">
        <v>1675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3"/>
        <v>28</v>
      </c>
      <c r="P106" s="136" t="s">
        <v>1676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3"/>
        <v>28</v>
      </c>
      <c r="P107" s="136" t="s">
        <v>1678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3"/>
        <v>27</v>
      </c>
      <c r="P108" s="136" t="s">
        <v>1679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3"/>
        <v>28</v>
      </c>
      <c r="P109" s="136" t="s">
        <v>1680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3"/>
        <v>21</v>
      </c>
      <c r="P110" s="136" t="s">
        <v>1681</v>
      </c>
      <c r="Q110" s="31">
        <f t="shared" si="14"/>
        <v>7</v>
      </c>
      <c r="R110" s="32">
        <f t="shared" si="15"/>
        <v>0.75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/>
      <c r="AT110" s="70"/>
      <c r="AU110" s="70"/>
      <c r="AV110" s="138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3"/>
        <v>23</v>
      </c>
      <c r="P111" s="136" t="s">
        <v>1682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3"/>
        <v>28</v>
      </c>
      <c r="P112" s="136" t="s">
        <v>1683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3"/>
        <v>28</v>
      </c>
      <c r="P113" s="136" t="s">
        <v>1684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3"/>
        <v>28</v>
      </c>
      <c r="P114" s="136" t="s">
        <v>1685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3"/>
        <v>28</v>
      </c>
      <c r="P115" s="136" t="s">
        <v>1686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3"/>
        <v>28</v>
      </c>
      <c r="P116" s="136" t="s">
        <v>1687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3"/>
        <v>28</v>
      </c>
      <c r="P117" s="136" t="s">
        <v>1688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3"/>
        <v>27</v>
      </c>
      <c r="P118" s="136" t="s">
        <v>1689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3"/>
        <v>28</v>
      </c>
      <c r="P119" s="136" t="s">
        <v>1692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3"/>
        <v>28</v>
      </c>
      <c r="P120" s="136" t="s">
        <v>1699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3"/>
        <v>28</v>
      </c>
      <c r="P121" s="136" t="s">
        <v>1702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3"/>
        <v>28</v>
      </c>
      <c r="P122" s="136" t="s">
        <v>1703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3"/>
        <v>28</v>
      </c>
      <c r="P123" s="136" t="s">
        <v>1704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3"/>
        <v>28</v>
      </c>
      <c r="P124" s="136" t="s">
        <v>1705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3"/>
        <v>28</v>
      </c>
      <c r="P125" s="136" t="s">
        <v>1707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6">COUNTIF(S126:AT126,"")</f>
        <v>28</v>
      </c>
      <c r="P126" s="136" t="s">
        <v>1706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6"/>
        <v>28</v>
      </c>
      <c r="P127" s="136" t="s">
        <v>1708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6"/>
        <v>28</v>
      </c>
      <c r="P128" s="136" t="s">
        <v>1712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6"/>
        <v>28</v>
      </c>
      <c r="P129" s="136" t="s">
        <v>1713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6"/>
        <v>28</v>
      </c>
      <c r="P130" s="136" t="s">
        <v>1722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6"/>
        <v>12</v>
      </c>
      <c r="P131" s="136" t="s">
        <v>1726</v>
      </c>
      <c r="Q131" s="131">
        <f t="shared" si="17"/>
        <v>16</v>
      </c>
      <c r="R131" s="132">
        <f t="shared" si="18"/>
        <v>0.42857142857142855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/>
      <c r="AT131" s="70"/>
      <c r="AU131" s="70"/>
      <c r="AV131" s="138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6"/>
        <v>28</v>
      </c>
      <c r="P132" s="136" t="s">
        <v>1727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6"/>
        <v>28</v>
      </c>
      <c r="P133" s="136" t="s">
        <v>1728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6"/>
        <v>28</v>
      </c>
      <c r="P134" s="136" t="s">
        <v>1729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6"/>
        <v>28</v>
      </c>
      <c r="P135" s="136" t="s">
        <v>1730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6"/>
        <v>28</v>
      </c>
      <c r="P136" s="136" t="s">
        <v>1731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6"/>
        <v>28</v>
      </c>
      <c r="P137" s="136" t="s">
        <v>1732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6"/>
        <v>21</v>
      </c>
      <c r="P138" s="136" t="s">
        <v>2131</v>
      </c>
      <c r="Q138" s="131">
        <f t="shared" si="17"/>
        <v>7</v>
      </c>
      <c r="R138" s="132">
        <f t="shared" si="18"/>
        <v>0.75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6"/>
        <v>28</v>
      </c>
      <c r="P139" s="136" t="s">
        <v>1733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6"/>
        <v>28</v>
      </c>
      <c r="P140" s="136" t="s">
        <v>1734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6"/>
        <v>28</v>
      </c>
      <c r="P141" s="136" t="s">
        <v>2133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6"/>
        <v>28</v>
      </c>
      <c r="P142" s="136" t="s">
        <v>2156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6"/>
        <v>28</v>
      </c>
      <c r="P143" s="136" t="s">
        <v>2186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6"/>
        <v>28</v>
      </c>
      <c r="P144" s="136" t="s">
        <v>1735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6"/>
        <v>27</v>
      </c>
      <c r="P146" s="136" t="s">
        <v>1736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6"/>
        <v>28</v>
      </c>
      <c r="P147" s="136" t="s">
        <v>1737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6"/>
        <v>26</v>
      </c>
      <c r="P148" s="136" t="s">
        <v>1738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6"/>
        <v>16</v>
      </c>
      <c r="P149" s="136" t="s">
        <v>1739</v>
      </c>
      <c r="Q149" s="31">
        <f t="shared" si="17"/>
        <v>12</v>
      </c>
      <c r="R149" s="32">
        <f t="shared" si="18"/>
        <v>0.5714285714285714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/>
      <c r="AT149" s="70"/>
      <c r="AU149" s="70"/>
      <c r="AV149" s="138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6"/>
        <v>21</v>
      </c>
      <c r="P150" s="136" t="s">
        <v>1738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6"/>
        <v>26</v>
      </c>
      <c r="P151" s="136" t="s">
        <v>1740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19">COUNTIF(S153:AT153,"")</f>
        <v>28</v>
      </c>
      <c r="P153" s="136" t="s">
        <v>2103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19"/>
        <v>28</v>
      </c>
      <c r="P154" s="136" t="s">
        <v>1744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19"/>
        <v>28</v>
      </c>
      <c r="P155" s="136" t="s">
        <v>2297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19"/>
        <v>28</v>
      </c>
      <c r="P156" s="136" t="s">
        <v>2298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hidden="1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hidden="1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19"/>
        <v>28</v>
      </c>
      <c r="P158" s="136" t="s">
        <v>1743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hidden="1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19"/>
        <v>28</v>
      </c>
      <c r="P159" s="136" t="s">
        <v>1741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hidden="1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19"/>
        <v>28</v>
      </c>
      <c r="P160" s="136" t="s">
        <v>1742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hidden="1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19"/>
        <v>28</v>
      </c>
      <c r="P161" s="136" t="s">
        <v>2295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hidden="1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19"/>
        <v>28</v>
      </c>
      <c r="P162" s="136" t="s">
        <v>2296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hidden="1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19"/>
        <v>28</v>
      </c>
      <c r="P163" s="136" t="s">
        <v>2294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hidden="1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19"/>
        <v>27</v>
      </c>
      <c r="P164" s="136" t="s">
        <v>1746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hidden="1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19"/>
        <v>28</v>
      </c>
      <c r="P165" s="136" t="s">
        <v>2299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19"/>
        <v>27</v>
      </c>
      <c r="P166" s="136" t="s">
        <v>1745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19"/>
        <v>18</v>
      </c>
      <c r="P167" s="136" t="s">
        <v>1747</v>
      </c>
      <c r="Q167" s="31">
        <f t="shared" si="20"/>
        <v>10</v>
      </c>
      <c r="R167" s="32">
        <f t="shared" si="21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hidden="1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19"/>
        <v>23</v>
      </c>
      <c r="P168" s="136" t="s">
        <v>1748</v>
      </c>
      <c r="Q168" s="31">
        <f t="shared" si="20"/>
        <v>5</v>
      </c>
      <c r="R168" s="32">
        <f t="shared" si="21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hidden="1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19"/>
        <v>23</v>
      </c>
      <c r="P169" s="136" t="s">
        <v>1749</v>
      </c>
      <c r="Q169" s="31">
        <f t="shared" si="20"/>
        <v>5</v>
      </c>
      <c r="R169" s="32">
        <f t="shared" si="21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/>
      <c r="AV169" s="70"/>
    </row>
    <row r="170" spans="1:49" ht="15.75" hidden="1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19"/>
        <v>23</v>
      </c>
      <c r="P170" s="136" t="s">
        <v>1750</v>
      </c>
      <c r="Q170" s="31">
        <f t="shared" si="20"/>
        <v>5</v>
      </c>
      <c r="R170" s="32">
        <f t="shared" si="21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hidden="1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19"/>
        <v>23</v>
      </c>
      <c r="P171" s="136" t="s">
        <v>1751</v>
      </c>
      <c r="Q171" s="31">
        <f t="shared" si="20"/>
        <v>5</v>
      </c>
      <c r="R171" s="32">
        <f t="shared" si="21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/>
      <c r="AV171" s="70"/>
    </row>
    <row r="172" spans="1:49" ht="15.75" hidden="1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19"/>
        <v>12</v>
      </c>
      <c r="P172" s="140" t="s">
        <v>1752</v>
      </c>
      <c r="Q172" s="139">
        <f t="shared" si="20"/>
        <v>16</v>
      </c>
      <c r="R172" s="141">
        <f t="shared" si="21"/>
        <v>0.42857142857142855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/>
      <c r="AT172" s="70"/>
      <c r="AU172" s="70"/>
      <c r="AV172" s="138"/>
    </row>
    <row r="173" spans="1:49" s="69" customFormat="1" ht="15.75" hidden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hidden="1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19"/>
        <v>28</v>
      </c>
      <c r="P174" s="136" t="s">
        <v>2362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hidden="1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19"/>
        <v>26</v>
      </c>
      <c r="P175" s="136" t="s">
        <v>1764</v>
      </c>
      <c r="Q175" s="31">
        <f t="shared" si="20"/>
        <v>2</v>
      </c>
      <c r="R175" s="32">
        <f t="shared" si="21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hidden="1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19"/>
        <v>26</v>
      </c>
      <c r="P176" s="136" t="s">
        <v>2433</v>
      </c>
      <c r="Q176" s="31">
        <f t="shared" si="20"/>
        <v>2</v>
      </c>
      <c r="R176" s="32">
        <f t="shared" si="21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19"/>
        <v>27</v>
      </c>
      <c r="P177" s="136" t="s">
        <v>1765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19"/>
        <v>27</v>
      </c>
      <c r="P178" s="136" t="s">
        <v>1766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hidden="1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19"/>
        <v>27</v>
      </c>
      <c r="P179" s="136" t="s">
        <v>2363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19"/>
        <v>28</v>
      </c>
      <c r="P180" s="136" t="s">
        <v>1767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19"/>
        <v>28</v>
      </c>
      <c r="P181" s="136" t="s">
        <v>2364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hidden="1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19"/>
        <v>27</v>
      </c>
      <c r="P182" s="136" t="s">
        <v>1753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hidden="1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19"/>
        <v>20</v>
      </c>
      <c r="P183" s="136" t="s">
        <v>1754</v>
      </c>
      <c r="Q183" s="31">
        <f t="shared" si="20"/>
        <v>8</v>
      </c>
      <c r="R183" s="32">
        <f t="shared" si="21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hidden="1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19"/>
        <v>28</v>
      </c>
      <c r="P184" s="136" t="s">
        <v>1755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hidden="1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19"/>
        <v>27</v>
      </c>
      <c r="P185" s="136" t="s">
        <v>1756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19"/>
        <v>26</v>
      </c>
      <c r="P186" s="136" t="s">
        <v>1757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2">COUNTIF(S187:AT187,"")</f>
        <v>28</v>
      </c>
      <c r="P187" s="136" t="s">
        <v>1758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2"/>
        <v>27</v>
      </c>
      <c r="P188" s="136" t="s">
        <v>1759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2"/>
        <v>27</v>
      </c>
      <c r="P189" s="136" t="s">
        <v>1760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2"/>
        <v>27</v>
      </c>
      <c r="P190" s="136" t="s">
        <v>1761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hidden="1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2"/>
        <v>27</v>
      </c>
      <c r="P191" s="136" t="s">
        <v>1762</v>
      </c>
      <c r="Q191" s="31">
        <f t="shared" si="23"/>
        <v>1</v>
      </c>
      <c r="R191" s="32">
        <f t="shared" si="24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hidden="1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2"/>
        <v>27</v>
      </c>
      <c r="P192" s="136" t="s">
        <v>1763</v>
      </c>
      <c r="Q192" s="31">
        <f t="shared" si="23"/>
        <v>1</v>
      </c>
      <c r="R192" s="32">
        <f t="shared" si="24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hidden="1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2"/>
        <v>28</v>
      </c>
      <c r="P193" s="136" t="s">
        <v>2112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2"/>
        <v>27</v>
      </c>
      <c r="P194" s="136" t="s">
        <v>2112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hidden="1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2"/>
        <v>28</v>
      </c>
      <c r="P195" s="136" t="s">
        <v>1768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2"/>
        <v>23</v>
      </c>
      <c r="P196" s="136" t="s">
        <v>1769</v>
      </c>
      <c r="Q196" s="31">
        <f t="shared" si="23"/>
        <v>5</v>
      </c>
      <c r="R196" s="32">
        <f t="shared" si="24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hidden="1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2"/>
        <v>23</v>
      </c>
      <c r="P197" s="136" t="s">
        <v>1770</v>
      </c>
      <c r="Q197" s="31">
        <f t="shared" si="23"/>
        <v>5</v>
      </c>
      <c r="R197" s="32">
        <f t="shared" si="24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hidden="1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2"/>
        <v>12</v>
      </c>
      <c r="P198" s="140"/>
      <c r="Q198" s="139">
        <f t="shared" si="23"/>
        <v>16</v>
      </c>
      <c r="R198" s="141">
        <f t="shared" si="24"/>
        <v>0.42857142857142855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/>
      <c r="AT198" s="70"/>
      <c r="AU198" s="70"/>
      <c r="AV198" s="138"/>
      <c r="AW198" s="69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2"/>
        <v>28</v>
      </c>
      <c r="P199" s="136" t="s">
        <v>1776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2"/>
        <v>28</v>
      </c>
      <c r="P200" s="136" t="s">
        <v>1779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hidden="1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2"/>
        <v>28</v>
      </c>
      <c r="P201" s="136" t="s">
        <v>1781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2"/>
        <v>28</v>
      </c>
      <c r="P202" s="136" t="s">
        <v>1782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hidden="1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2"/>
        <v>28</v>
      </c>
      <c r="P203" s="136" t="s">
        <v>1783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2"/>
        <v>28</v>
      </c>
      <c r="P204" s="136" t="s">
        <v>1784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hidden="1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2"/>
        <v>28</v>
      </c>
      <c r="P205" s="136" t="s">
        <v>1785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2"/>
        <v>28</v>
      </c>
      <c r="P206" s="136" t="s">
        <v>1645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hidden="1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2"/>
        <v>28</v>
      </c>
      <c r="P207" s="136" t="s">
        <v>1786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hidden="1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hidden="1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5">COUNTIF(S209:AT209,"")</f>
        <v>27</v>
      </c>
      <c r="P209" s="136" t="s">
        <v>1771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hidden="1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5"/>
        <v>18</v>
      </c>
      <c r="P210" s="136" t="s">
        <v>1772</v>
      </c>
      <c r="Q210" s="131">
        <f t="shared" si="26"/>
        <v>10</v>
      </c>
      <c r="R210" s="132">
        <f t="shared" si="27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hidden="1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5"/>
        <v>28</v>
      </c>
      <c r="P211" s="136" t="s">
        <v>1773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hidden="1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5"/>
        <v>25</v>
      </c>
      <c r="P212" s="136" t="s">
        <v>1774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hidden="1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5"/>
        <v>24</v>
      </c>
      <c r="P213" s="136" t="s">
        <v>1775</v>
      </c>
      <c r="Q213" s="31">
        <f t="shared" si="26"/>
        <v>4</v>
      </c>
      <c r="R213" s="32">
        <f t="shared" si="27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5"/>
        <v>28</v>
      </c>
      <c r="P214" s="136" t="s">
        <v>2365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hidden="1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5"/>
        <v>20</v>
      </c>
      <c r="P215" s="136" t="s">
        <v>1777</v>
      </c>
      <c r="Q215" s="31">
        <f t="shared" si="26"/>
        <v>8</v>
      </c>
      <c r="R215" s="32">
        <f t="shared" si="27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hidden="1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5"/>
        <v>28</v>
      </c>
      <c r="P216" s="136" t="s">
        <v>1778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5"/>
        <v>28</v>
      </c>
      <c r="P217" s="136" t="s">
        <v>1780</v>
      </c>
      <c r="Q217" s="31">
        <f t="shared" si="26"/>
        <v>0</v>
      </c>
      <c r="R217" s="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hidden="1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5"/>
        <v>28</v>
      </c>
      <c r="P218" s="136" t="s">
        <v>1787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hidden="1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5"/>
        <v>28</v>
      </c>
      <c r="P219" s="136" t="s">
        <v>2147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hidden="1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5"/>
        <v>12</v>
      </c>
      <c r="P220" s="136" t="s">
        <v>1788</v>
      </c>
      <c r="Q220" s="31">
        <f t="shared" si="26"/>
        <v>16</v>
      </c>
      <c r="R220" s="32">
        <f t="shared" si="27"/>
        <v>0.42857142857142855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/>
      <c r="AT220" s="70"/>
      <c r="AU220" s="70"/>
      <c r="AV220" s="138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5"/>
        <v>27</v>
      </c>
      <c r="P221" s="136" t="s">
        <v>1789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5"/>
        <v>28</v>
      </c>
      <c r="P222" s="136" t="s">
        <v>1790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hidden="1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5"/>
        <v>28</v>
      </c>
      <c r="P223" s="136" t="s">
        <v>1791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5"/>
        <v>28</v>
      </c>
      <c r="P224" s="136" t="s">
        <v>2199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hidden="1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5"/>
        <v>28</v>
      </c>
      <c r="P225" s="136" t="s">
        <v>2366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5"/>
        <v>28</v>
      </c>
      <c r="P226" s="136" t="s">
        <v>2367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hidden="1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5"/>
        <v>27</v>
      </c>
      <c r="P227" s="136" t="s">
        <v>1792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5"/>
        <v>28</v>
      </c>
      <c r="P228" s="136" t="s">
        <v>1793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hidden="1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5"/>
        <v>28</v>
      </c>
      <c r="P229" s="136" t="s">
        <v>1794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hidden="1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5"/>
        <v>28</v>
      </c>
      <c r="P230" s="136" t="s">
        <v>1795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hidden="1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5"/>
        <v>23</v>
      </c>
      <c r="P231" s="136" t="s">
        <v>1796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/>
      <c r="AT231" s="70"/>
      <c r="AU231" s="70"/>
      <c r="AV231" s="70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5"/>
        <v>28</v>
      </c>
      <c r="P232" s="136" t="s">
        <v>1797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5"/>
        <v>28</v>
      </c>
      <c r="P233" s="136" t="s">
        <v>2415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hidden="1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5"/>
        <v>28</v>
      </c>
      <c r="P234" s="136" t="s">
        <v>2212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5"/>
        <v>28</v>
      </c>
      <c r="P235" s="136" t="s">
        <v>1798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5"/>
        <v>28</v>
      </c>
      <c r="P236" s="136" t="s">
        <v>2467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5"/>
        <v>28</v>
      </c>
      <c r="P237" s="136" t="s">
        <v>1799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5"/>
        <v>28</v>
      </c>
      <c r="P238" s="136" t="s">
        <v>2206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5"/>
        <v>28</v>
      </c>
      <c r="P239" s="136" t="s">
        <v>1800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5"/>
        <v>28</v>
      </c>
      <c r="P240" s="136" t="s">
        <v>1801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8">COUNTIF(S241:AT241,"")</f>
        <v>28</v>
      </c>
      <c r="P241" s="136" t="s">
        <v>1802</v>
      </c>
      <c r="Q241" s="31">
        <f t="shared" ref="Q241:Q265" si="29">COUNTIF(S241:AT241,"APAGADO")</f>
        <v>0</v>
      </c>
      <c r="R241" s="32">
        <f t="shared" ref="R241:R265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8"/>
        <v>28</v>
      </c>
      <c r="P242" s="136" t="s">
        <v>1803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8"/>
        <v>28</v>
      </c>
      <c r="P243" s="136" t="s">
        <v>1804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hidden="1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8"/>
        <v>28</v>
      </c>
      <c r="P244" s="136" t="s">
        <v>1805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8"/>
        <v>28</v>
      </c>
      <c r="P245" s="136" t="s">
        <v>1806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hidden="1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8"/>
        <v>27</v>
      </c>
      <c r="P246" s="136" t="s">
        <v>1807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8"/>
        <v>28</v>
      </c>
      <c r="P247" s="136" t="s">
        <v>1808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8"/>
        <v>28</v>
      </c>
      <c r="P248" s="136" t="s">
        <v>1809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8"/>
        <v>28</v>
      </c>
      <c r="P249" s="136" t="s">
        <v>1810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8"/>
        <v>28</v>
      </c>
      <c r="P250" s="136" t="s">
        <v>1811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8"/>
        <v>28</v>
      </c>
      <c r="P251" s="136" t="s">
        <v>1812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8"/>
        <v>28</v>
      </c>
      <c r="P252" s="136" t="s">
        <v>1813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8"/>
        <v>12</v>
      </c>
      <c r="P253" s="136" t="s">
        <v>1814</v>
      </c>
      <c r="Q253" s="31">
        <f t="shared" si="29"/>
        <v>16</v>
      </c>
      <c r="R253" s="32">
        <f t="shared" si="30"/>
        <v>0.42857142857142855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/>
      <c r="AT253" s="70"/>
      <c r="AU253" s="70"/>
      <c r="AV253" s="138"/>
    </row>
    <row r="254" spans="1:49" ht="15.75" hidden="1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8"/>
        <v>28</v>
      </c>
      <c r="P254" s="136" t="s">
        <v>2291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hidden="1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8"/>
        <v>15</v>
      </c>
      <c r="P255" s="136" t="s">
        <v>1771</v>
      </c>
      <c r="Q255" s="31">
        <f t="shared" si="29"/>
        <v>13</v>
      </c>
      <c r="R255" s="32">
        <f t="shared" si="30"/>
        <v>0.5357142857142857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/>
      <c r="AT255" s="70"/>
      <c r="AU255" s="70"/>
      <c r="AV255" s="70"/>
    </row>
    <row r="256" spans="1:49" ht="15.75" hidden="1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8"/>
        <v>12</v>
      </c>
      <c r="P256" s="140" t="s">
        <v>1815</v>
      </c>
      <c r="Q256" s="139">
        <f t="shared" si="29"/>
        <v>16</v>
      </c>
      <c r="R256" s="141">
        <f t="shared" si="30"/>
        <v>0.42857142857142855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/>
      <c r="AT256" s="70"/>
      <c r="AU256" s="70"/>
      <c r="AV256" s="138"/>
    </row>
    <row r="257" spans="1:49" s="88" customFormat="1" ht="15.75" hidden="1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8"/>
        <v>12</v>
      </c>
      <c r="P257" s="140" t="s">
        <v>2222</v>
      </c>
      <c r="Q257" s="139">
        <f t="shared" si="29"/>
        <v>16</v>
      </c>
      <c r="R257" s="141">
        <f t="shared" si="30"/>
        <v>0.42857142857142855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/>
      <c r="AT257" s="70"/>
      <c r="AU257" s="70"/>
      <c r="AV257" s="138"/>
      <c r="AW257"/>
    </row>
    <row r="258" spans="1:49" ht="15.75" hidden="1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8"/>
        <v>28</v>
      </c>
      <c r="P258" s="136" t="s">
        <v>2380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hidden="1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8"/>
        <v>28</v>
      </c>
      <c r="P259" s="136" t="s">
        <v>2381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hidden="1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8"/>
        <v>28</v>
      </c>
      <c r="P260" s="136" t="s">
        <v>2151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hidden="1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8"/>
        <v>28</v>
      </c>
      <c r="P261" s="136" t="s">
        <v>2153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hidden="1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hidden="1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8"/>
        <v>25</v>
      </c>
      <c r="P263" s="136" t="s">
        <v>2382</v>
      </c>
      <c r="Q263" s="31">
        <f t="shared" si="29"/>
        <v>3</v>
      </c>
      <c r="R263" s="32">
        <f t="shared" si="30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8"/>
        <v>27</v>
      </c>
      <c r="P264" s="136" t="s">
        <v>1816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8"/>
        <v>27</v>
      </c>
      <c r="P265" s="136" t="s">
        <v>1817</v>
      </c>
      <c r="Q265" s="31">
        <f t="shared" si="29"/>
        <v>1</v>
      </c>
      <c r="R265" s="32">
        <f t="shared" si="30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hidden="1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hidden="1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1">COUNTIF(S268:AT268,"")</f>
        <v>28</v>
      </c>
      <c r="P268" s="136" t="s">
        <v>1818</v>
      </c>
      <c r="Q268" s="131">
        <f t="shared" ref="Q268:Q335" si="32">COUNTIF(S268:AT268,"APAGADO")</f>
        <v>0</v>
      </c>
      <c r="R268" s="132">
        <f t="shared" ref="R268:R335" si="33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hidden="1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1"/>
        <v>28</v>
      </c>
      <c r="P269" s="136" t="s">
        <v>1819</v>
      </c>
      <c r="Q269" s="131">
        <f t="shared" si="32"/>
        <v>0</v>
      </c>
      <c r="R269" s="1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hidden="1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1"/>
        <v>28</v>
      </c>
      <c r="P270" s="136" t="s">
        <v>1820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hidden="1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1"/>
        <v>28</v>
      </c>
      <c r="P271" s="136" t="s">
        <v>2384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hidden="1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1"/>
        <v>28</v>
      </c>
      <c r="P272" s="136" t="s">
        <v>1821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hidden="1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1"/>
        <v>28</v>
      </c>
      <c r="P273" s="136" t="s">
        <v>1822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" hidden="1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1"/>
        <v>28</v>
      </c>
      <c r="P274" s="136" t="s">
        <v>1823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hidden="1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1"/>
        <v>27</v>
      </c>
      <c r="P275" s="136" t="s">
        <v>1825</v>
      </c>
      <c r="Q275" s="31">
        <f t="shared" si="32"/>
        <v>1</v>
      </c>
      <c r="R275" s="32">
        <f t="shared" si="33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hidden="1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1"/>
        <v>26</v>
      </c>
      <c r="P276" s="136" t="s">
        <v>1826</v>
      </c>
      <c r="Q276" s="31">
        <f t="shared" si="32"/>
        <v>2</v>
      </c>
      <c r="R276" s="32">
        <f t="shared" si="33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1"/>
        <v>26</v>
      </c>
      <c r="P277" s="136" t="s">
        <v>1828</v>
      </c>
      <c r="Q277" s="131">
        <f t="shared" si="32"/>
        <v>2</v>
      </c>
      <c r="R277" s="132">
        <f t="shared" si="33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1"/>
        <v>26</v>
      </c>
      <c r="P278" s="136" t="s">
        <v>1829</v>
      </c>
      <c r="Q278" s="31">
        <f t="shared" si="32"/>
        <v>2</v>
      </c>
      <c r="R278" s="32">
        <f t="shared" si="33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1"/>
        <v>28</v>
      </c>
      <c r="P279" s="136" t="s">
        <v>1824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1"/>
        <v>28</v>
      </c>
      <c r="P280" s="136" t="s">
        <v>1812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hidden="1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1"/>
        <v>25</v>
      </c>
      <c r="P281" s="136" t="s">
        <v>1827</v>
      </c>
      <c r="Q281" s="31">
        <f t="shared" si="32"/>
        <v>3</v>
      </c>
      <c r="R281" s="32">
        <f t="shared" si="33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hidden="1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1"/>
        <v>28</v>
      </c>
      <c r="P282" s="136" t="s">
        <v>1830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1"/>
        <v>27</v>
      </c>
      <c r="P283" s="136" t="s">
        <v>1831</v>
      </c>
      <c r="Q283" s="31">
        <f t="shared" si="32"/>
        <v>1</v>
      </c>
      <c r="R283" s="32">
        <f t="shared" si="33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hidden="1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1"/>
        <v>28</v>
      </c>
      <c r="P284" s="136" t="s">
        <v>1832</v>
      </c>
      <c r="Q284" s="31">
        <f t="shared" si="32"/>
        <v>0</v>
      </c>
      <c r="R284" s="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hidden="1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1"/>
        <v>27</v>
      </c>
      <c r="P285" s="136" t="s">
        <v>1833</v>
      </c>
      <c r="Q285" s="131">
        <f t="shared" si="32"/>
        <v>1</v>
      </c>
      <c r="R285" s="132">
        <f t="shared" si="33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hidden="1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1"/>
        <v>28</v>
      </c>
      <c r="P286" s="136" t="s">
        <v>1834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1"/>
        <v>28</v>
      </c>
      <c r="P287" s="136" t="s">
        <v>1835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hidden="1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hidden="1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hidden="1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1"/>
        <v>28</v>
      </c>
      <c r="P290" s="136" t="s">
        <v>1836</v>
      </c>
      <c r="Q290" s="31">
        <f t="shared" si="32"/>
        <v>0</v>
      </c>
      <c r="R290" s="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</row>
    <row r="291" spans="1:49" ht="15.75" hidden="1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1"/>
        <v>28</v>
      </c>
      <c r="P291" s="136" t="s">
        <v>1842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1"/>
        <v>28</v>
      </c>
      <c r="P292" s="136" t="s">
        <v>1837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hidden="1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1"/>
        <v>28</v>
      </c>
      <c r="P293" s="136" t="s">
        <v>1838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hidden="1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1"/>
        <v>27</v>
      </c>
      <c r="P294" s="136" t="s">
        <v>1839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1"/>
        <v>27</v>
      </c>
      <c r="P295" s="136" t="s">
        <v>1840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1"/>
        <v>27</v>
      </c>
      <c r="P296" s="136" t="s">
        <v>1646</v>
      </c>
      <c r="Q296" s="31">
        <f t="shared" si="32"/>
        <v>1</v>
      </c>
      <c r="R296" s="32">
        <f t="shared" si="33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1"/>
        <v>27</v>
      </c>
      <c r="P297" s="136" t="s">
        <v>1841</v>
      </c>
      <c r="Q297" s="31">
        <f t="shared" si="32"/>
        <v>1</v>
      </c>
      <c r="R297" s="32">
        <f t="shared" si="33"/>
        <v>0.9642857142857143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ht="15.75" hidden="1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1"/>
        <v>28</v>
      </c>
      <c r="P298" s="136" t="s">
        <v>1843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1"/>
        <v>28</v>
      </c>
      <c r="P299" s="136" t="s">
        <v>1844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hidden="1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1"/>
        <v>28</v>
      </c>
      <c r="P300" s="136" t="s">
        <v>1845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1"/>
        <v>28</v>
      </c>
      <c r="P301" s="136" t="s">
        <v>2134</v>
      </c>
      <c r="Q301" s="131">
        <f t="shared" si="32"/>
        <v>0</v>
      </c>
      <c r="R301" s="1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4.25" hidden="1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1"/>
        <v>28</v>
      </c>
      <c r="P302" s="143" t="s">
        <v>1641</v>
      </c>
      <c r="Q302" s="139">
        <f t="shared" si="32"/>
        <v>0</v>
      </c>
      <c r="R302" s="141">
        <f t="shared" si="33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hidden="1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1"/>
        <v>12</v>
      </c>
      <c r="P303" s="136" t="s">
        <v>2102</v>
      </c>
      <c r="Q303" s="131">
        <f t="shared" si="32"/>
        <v>16</v>
      </c>
      <c r="R303" s="132">
        <f t="shared" si="33"/>
        <v>0.42857142857142855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/>
      <c r="AT303" s="70"/>
      <c r="AU303" s="70"/>
      <c r="AV303" s="70"/>
      <c r="AW303"/>
    </row>
    <row r="304" spans="1:49" s="73" customFormat="1" ht="15.75" hidden="1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1"/>
        <v>12</v>
      </c>
      <c r="P304" s="136" t="s">
        <v>2096</v>
      </c>
      <c r="Q304" s="131">
        <f t="shared" si="32"/>
        <v>16</v>
      </c>
      <c r="R304" s="132">
        <f t="shared" si="33"/>
        <v>0.42857142857142855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/>
      <c r="AT304" s="70"/>
      <c r="AU304" s="70"/>
      <c r="AV304" s="70"/>
      <c r="AW304"/>
    </row>
    <row r="305" spans="1:49" ht="15.75" hidden="1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1"/>
        <v>25</v>
      </c>
      <c r="P305" s="136" t="s">
        <v>1846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1"/>
        <v>26</v>
      </c>
      <c r="P306" s="136" t="s">
        <v>1847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1"/>
        <v>26</v>
      </c>
      <c r="P307" s="136" t="s">
        <v>1848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1"/>
        <v>22</v>
      </c>
      <c r="P308" s="136" t="s">
        <v>1849</v>
      </c>
      <c r="Q308" s="31">
        <f t="shared" si="32"/>
        <v>6</v>
      </c>
      <c r="R308" s="32">
        <f t="shared" si="33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1"/>
        <v>24</v>
      </c>
      <c r="P309" s="136" t="s">
        <v>1850</v>
      </c>
      <c r="Q309" s="31">
        <f t="shared" si="32"/>
        <v>4</v>
      </c>
      <c r="R309" s="32">
        <f t="shared" si="33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hidden="1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1"/>
        <v>28</v>
      </c>
      <c r="P311" s="136" t="s">
        <v>1851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1"/>
        <v>27</v>
      </c>
      <c r="P312" s="136" t="s">
        <v>1852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1"/>
        <v>21</v>
      </c>
      <c r="P313" s="136" t="s">
        <v>1854</v>
      </c>
      <c r="Q313" s="31">
        <f t="shared" si="32"/>
        <v>7</v>
      </c>
      <c r="R313" s="32">
        <f t="shared" si="33"/>
        <v>0.75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/>
      <c r="AT313" s="70"/>
      <c r="AU313" s="70"/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1"/>
        <v>22</v>
      </c>
      <c r="P314" s="140" t="s">
        <v>1855</v>
      </c>
      <c r="Q314" s="31">
        <f t="shared" si="32"/>
        <v>6</v>
      </c>
      <c r="R314" s="157">
        <f t="shared" si="33"/>
        <v>0.7857142857142857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138"/>
      <c r="AT314" s="138"/>
      <c r="AU314" s="138"/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1"/>
        <v>22</v>
      </c>
      <c r="P315" s="136" t="s">
        <v>1856</v>
      </c>
      <c r="Q315" s="31">
        <f t="shared" si="32"/>
        <v>6</v>
      </c>
      <c r="R315" s="32">
        <f t="shared" si="33"/>
        <v>0.7857142857142857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1"/>
        <v>26</v>
      </c>
      <c r="P316" s="136" t="s">
        <v>1859</v>
      </c>
      <c r="Q316" s="31">
        <f t="shared" si="32"/>
        <v>2</v>
      </c>
      <c r="R316" s="32">
        <f t="shared" si="33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1"/>
        <v>26</v>
      </c>
      <c r="P317" s="136" t="s">
        <v>1857</v>
      </c>
      <c r="Q317" s="31">
        <f t="shared" si="32"/>
        <v>2</v>
      </c>
      <c r="R317" s="32">
        <f t="shared" si="33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1"/>
        <v>26</v>
      </c>
      <c r="P318" s="136" t="s">
        <v>1858</v>
      </c>
      <c r="Q318" s="31">
        <f t="shared" si="32"/>
        <v>2</v>
      </c>
      <c r="R318" s="32">
        <f t="shared" si="33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1"/>
        <v>27</v>
      </c>
      <c r="P319" s="136" t="s">
        <v>1860</v>
      </c>
      <c r="Q319" s="31">
        <f t="shared" si="32"/>
        <v>1</v>
      </c>
      <c r="R319" s="32">
        <f t="shared" si="33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1"/>
        <v>25</v>
      </c>
      <c r="P320" s="136" t="s">
        <v>1863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1"/>
        <v>28</v>
      </c>
      <c r="P321" s="136" t="s">
        <v>1864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1"/>
        <v>28</v>
      </c>
      <c r="P322" s="143"/>
      <c r="Q322" s="31">
        <f t="shared" si="32"/>
        <v>0</v>
      </c>
      <c r="R322" s="157">
        <f t="shared" si="33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1"/>
        <v>12</v>
      </c>
      <c r="P324" s="136" t="s">
        <v>1866</v>
      </c>
      <c r="Q324" s="131">
        <f t="shared" si="32"/>
        <v>16</v>
      </c>
      <c r="R324" s="132">
        <f t="shared" si="33"/>
        <v>0.42857142857142855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142"/>
      <c r="AT324" s="142"/>
      <c r="AU324" s="70"/>
      <c r="AV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1"/>
        <v>28</v>
      </c>
      <c r="P325" s="136" t="s">
        <v>2093</v>
      </c>
      <c r="Q325" s="131">
        <f t="shared" si="32"/>
        <v>0</v>
      </c>
      <c r="R325" s="1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1"/>
        <v>12</v>
      </c>
      <c r="P326" s="136" t="s">
        <v>2135</v>
      </c>
      <c r="Q326" s="131">
        <f t="shared" si="32"/>
        <v>16</v>
      </c>
      <c r="R326" s="132">
        <f t="shared" si="33"/>
        <v>0.42857142857142855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142"/>
      <c r="AT326" s="142"/>
      <c r="AU326" s="70"/>
      <c r="AV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1"/>
        <v>13</v>
      </c>
      <c r="P327" s="136" t="s">
        <v>1870</v>
      </c>
      <c r="Q327" s="31">
        <f t="shared" si="32"/>
        <v>15</v>
      </c>
      <c r="R327" s="32">
        <f t="shared" si="33"/>
        <v>0.4642857142857143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1"/>
        <v>26</v>
      </c>
      <c r="P328" s="136" t="s">
        <v>1871</v>
      </c>
      <c r="Q328" s="31">
        <f t="shared" si="32"/>
        <v>2</v>
      </c>
      <c r="R328" s="32">
        <f t="shared" si="33"/>
        <v>0.9285714285714286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1"/>
        <v>28</v>
      </c>
      <c r="P329" s="136" t="s">
        <v>1853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1"/>
        <v>27</v>
      </c>
      <c r="P330" s="136" t="s">
        <v>1861</v>
      </c>
      <c r="Q330" s="31">
        <f t="shared" si="32"/>
        <v>1</v>
      </c>
      <c r="R330" s="32">
        <f t="shared" si="33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1"/>
        <v>27</v>
      </c>
      <c r="P331" s="136" t="s">
        <v>1862</v>
      </c>
      <c r="Q331" s="31">
        <f t="shared" si="32"/>
        <v>1</v>
      </c>
      <c r="R331" s="32">
        <f t="shared" si="33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1"/>
        <v>28</v>
      </c>
      <c r="P332" s="136" t="s">
        <v>1865</v>
      </c>
      <c r="Q332" s="31">
        <f t="shared" si="32"/>
        <v>0</v>
      </c>
      <c r="R332" s="32">
        <f t="shared" si="33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1"/>
        <v>12</v>
      </c>
      <c r="P333" s="136" t="s">
        <v>1867</v>
      </c>
      <c r="Q333" s="31">
        <f t="shared" si="32"/>
        <v>16</v>
      </c>
      <c r="R333" s="32">
        <f t="shared" si="33"/>
        <v>0.42857142857142855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142"/>
      <c r="AT333" s="142"/>
      <c r="AU333" s="70"/>
      <c r="AV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1"/>
        <v>12</v>
      </c>
      <c r="P334" s="136" t="s">
        <v>1868</v>
      </c>
      <c r="Q334" s="131">
        <f t="shared" si="32"/>
        <v>16</v>
      </c>
      <c r="R334" s="132">
        <f t="shared" si="33"/>
        <v>0.42857142857142855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142"/>
      <c r="AT334" s="142"/>
      <c r="AU334" s="70"/>
      <c r="AV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1"/>
        <v>12</v>
      </c>
      <c r="P335" s="136" t="s">
        <v>1869</v>
      </c>
      <c r="Q335" s="131">
        <f t="shared" si="32"/>
        <v>16</v>
      </c>
      <c r="R335" s="132">
        <f t="shared" si="33"/>
        <v>0.42857142857142855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142"/>
      <c r="AT335" s="142"/>
      <c r="AU335" s="70"/>
      <c r="AV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4">COUNTIF(S336:AT336,"")</f>
        <v>26</v>
      </c>
      <c r="P336" s="136" t="s">
        <v>1872</v>
      </c>
      <c r="Q336" s="31">
        <f t="shared" ref="Q336:Q401" si="35">COUNTIF(S336:AT336,"APAGADO")</f>
        <v>2</v>
      </c>
      <c r="R336" s="32">
        <f t="shared" ref="R336:R401" si="36">(O336)/(Q336+O336)</f>
        <v>0.9285714285714286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4"/>
        <v>28</v>
      </c>
      <c r="P337" s="136" t="s">
        <v>1873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4"/>
        <v>20</v>
      </c>
      <c r="P338" s="136" t="s">
        <v>1874</v>
      </c>
      <c r="Q338" s="31">
        <f t="shared" si="35"/>
        <v>8</v>
      </c>
      <c r="R338" s="32">
        <f t="shared" si="36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4"/>
        <v>28</v>
      </c>
      <c r="P339" s="136" t="s">
        <v>1875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4"/>
        <v>27</v>
      </c>
      <c r="P340" s="136" t="s">
        <v>1876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4"/>
        <v>27</v>
      </c>
      <c r="P341" s="136" t="s">
        <v>1877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4"/>
        <v>27</v>
      </c>
      <c r="P342" s="136" t="s">
        <v>1878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4"/>
        <v>26</v>
      </c>
      <c r="P343" s="136" t="s">
        <v>1879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4"/>
        <v>18</v>
      </c>
      <c r="P344" s="136" t="s">
        <v>1880</v>
      </c>
      <c r="Q344" s="31">
        <f t="shared" si="35"/>
        <v>10</v>
      </c>
      <c r="R344" s="32">
        <f t="shared" si="36"/>
        <v>0.6428571428571429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/>
      <c r="AT344" s="70"/>
      <c r="AU344" s="70"/>
      <c r="AV344" s="70"/>
      <c r="AW344" s="73"/>
    </row>
    <row r="345" spans="1:49" ht="15.75" hidden="1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4"/>
        <v>18</v>
      </c>
      <c r="P345" s="136" t="s">
        <v>1881</v>
      </c>
      <c r="Q345" s="31">
        <f t="shared" si="35"/>
        <v>10</v>
      </c>
      <c r="R345" s="32">
        <f t="shared" si="36"/>
        <v>0.6428571428571429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/>
      <c r="AT345" s="70"/>
      <c r="AU345" s="70"/>
      <c r="AV345" s="70"/>
      <c r="AW345" s="73"/>
    </row>
    <row r="346" spans="1:49" ht="15.75" hidden="1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hidden="1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4"/>
        <v>21</v>
      </c>
      <c r="P347" s="136" t="s">
        <v>1882</v>
      </c>
      <c r="Q347" s="31">
        <f t="shared" si="35"/>
        <v>7</v>
      </c>
      <c r="R347" s="32">
        <f t="shared" si="36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hidden="1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4"/>
        <v>27</v>
      </c>
      <c r="P348" s="136" t="s">
        <v>1883</v>
      </c>
      <c r="Q348" s="31">
        <f t="shared" si="35"/>
        <v>1</v>
      </c>
      <c r="R348" s="32">
        <f t="shared" si="36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4"/>
        <v>27</v>
      </c>
      <c r="P349" s="136" t="s">
        <v>1884</v>
      </c>
      <c r="Q349" s="31">
        <f t="shared" si="35"/>
        <v>1</v>
      </c>
      <c r="R349" s="32">
        <f t="shared" si="36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4"/>
        <v>27</v>
      </c>
      <c r="P350" s="136" t="s">
        <v>1885</v>
      </c>
      <c r="Q350" s="31">
        <f t="shared" si="35"/>
        <v>1</v>
      </c>
      <c r="R350" s="32">
        <f t="shared" si="36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4"/>
        <v>27</v>
      </c>
      <c r="P351" s="136" t="s">
        <v>2167</v>
      </c>
      <c r="Q351" s="31">
        <f t="shared" si="35"/>
        <v>1</v>
      </c>
      <c r="R351" s="32">
        <f t="shared" si="36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4"/>
        <v>27</v>
      </c>
      <c r="P352" s="136" t="s">
        <v>2170</v>
      </c>
      <c r="Q352" s="31">
        <f t="shared" si="35"/>
        <v>1</v>
      </c>
      <c r="R352" s="32">
        <f t="shared" si="36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hidden="1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4"/>
        <v>27</v>
      </c>
      <c r="P353" s="136" t="s">
        <v>1890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hidden="1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4"/>
        <v>24</v>
      </c>
      <c r="P354" s="136" t="s">
        <v>1891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hidden="1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4"/>
        <v>27</v>
      </c>
      <c r="P355" s="136" t="s">
        <v>1892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hidden="1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4"/>
        <v>27</v>
      </c>
      <c r="P356" s="136" t="s">
        <v>1893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4"/>
        <v>24</v>
      </c>
      <c r="P357" s="136" t="s">
        <v>1894</v>
      </c>
      <c r="Q357" s="31">
        <f t="shared" si="35"/>
        <v>4</v>
      </c>
      <c r="R357" s="32">
        <f t="shared" si="36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hidden="1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4"/>
        <v>27</v>
      </c>
      <c r="P358" s="136" t="s">
        <v>1895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4"/>
        <v>27</v>
      </c>
      <c r="P359" s="136" t="s">
        <v>1896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4"/>
        <v>27</v>
      </c>
      <c r="P360" s="136" t="s">
        <v>1897</v>
      </c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4"/>
        <v>27</v>
      </c>
      <c r="P361" s="136" t="s">
        <v>1898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hidden="1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4"/>
        <v>27</v>
      </c>
      <c r="P362" s="136"/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hidden="1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4"/>
        <v>27</v>
      </c>
      <c r="P363" s="136"/>
      <c r="Q363" s="31">
        <f t="shared" si="35"/>
        <v>1</v>
      </c>
      <c r="R363" s="32">
        <f t="shared" si="36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hidden="1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4"/>
        <v>27</v>
      </c>
      <c r="P364" s="136" t="s">
        <v>1899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hidden="1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4"/>
        <v>27</v>
      </c>
      <c r="P366" s="136" t="s">
        <v>1886</v>
      </c>
      <c r="Q366" s="85">
        <f t="shared" si="35"/>
        <v>1</v>
      </c>
      <c r="R366" s="86">
        <f t="shared" si="36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4"/>
        <v>27</v>
      </c>
      <c r="P367" s="136" t="s">
        <v>1887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hidden="1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4"/>
        <v>27</v>
      </c>
      <c r="P368" s="136" t="s">
        <v>1888</v>
      </c>
      <c r="Q368" s="31">
        <f t="shared" si="35"/>
        <v>1</v>
      </c>
      <c r="R368" s="32">
        <f t="shared" si="36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hidden="1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4"/>
        <v>27</v>
      </c>
      <c r="P369" s="136" t="s">
        <v>1889</v>
      </c>
      <c r="Q369" s="31">
        <f t="shared" si="35"/>
        <v>1</v>
      </c>
      <c r="R369" s="32">
        <f t="shared" si="36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hidden="1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4"/>
        <v>28</v>
      </c>
      <c r="P370" s="136" t="s">
        <v>2385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hidden="1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4"/>
        <v>28</v>
      </c>
      <c r="P371" s="136" t="s">
        <v>2386</v>
      </c>
      <c r="Q371" s="131">
        <f t="shared" si="35"/>
        <v>0</v>
      </c>
      <c r="R371" s="1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hidden="1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4"/>
        <v>19</v>
      </c>
      <c r="P372" s="136" t="s">
        <v>1901</v>
      </c>
      <c r="Q372" s="131">
        <f t="shared" si="35"/>
        <v>9</v>
      </c>
      <c r="R372" s="132">
        <f t="shared" si="36"/>
        <v>0.6785714285714286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/>
      <c r="AT372" s="70"/>
      <c r="AU372" s="70"/>
      <c r="AV372" s="70"/>
    </row>
    <row r="373" spans="1:49" s="73" customFormat="1" ht="15.75" hidden="1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4"/>
        <v>18</v>
      </c>
      <c r="P373" s="136" t="s">
        <v>1902</v>
      </c>
      <c r="Q373" s="131">
        <f t="shared" si="35"/>
        <v>10</v>
      </c>
      <c r="R373" s="132">
        <f t="shared" si="36"/>
        <v>0.6428571428571429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/>
      <c r="AT373" s="70"/>
      <c r="AU373" s="70"/>
      <c r="AV373" s="70"/>
      <c r="AW373"/>
    </row>
    <row r="374" spans="1:49" s="73" customFormat="1" ht="15.75" hidden="1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4"/>
        <v>27</v>
      </c>
      <c r="P374" s="136" t="s">
        <v>1903</v>
      </c>
      <c r="Q374" s="31">
        <f t="shared" si="35"/>
        <v>1</v>
      </c>
      <c r="R374" s="32">
        <f t="shared" si="36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hidden="1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4"/>
        <v>27</v>
      </c>
      <c r="P375" s="136" t="s">
        <v>1904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hidden="1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4"/>
        <v>28</v>
      </c>
      <c r="P376" s="136" t="s">
        <v>1905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hidden="1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4"/>
        <v>28</v>
      </c>
      <c r="P377" s="136" t="s">
        <v>1906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hidden="1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4"/>
        <v>27</v>
      </c>
      <c r="P378" s="136" t="s">
        <v>1907</v>
      </c>
      <c r="Q378" s="31">
        <f t="shared" si="35"/>
        <v>1</v>
      </c>
      <c r="R378" s="32">
        <f t="shared" si="36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hidden="1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4"/>
        <v>27</v>
      </c>
      <c r="P379" s="136" t="s">
        <v>1908</v>
      </c>
      <c r="Q379" s="31">
        <f t="shared" si="35"/>
        <v>1</v>
      </c>
      <c r="R379" s="32">
        <f t="shared" si="36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hidden="1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4"/>
        <v>28</v>
      </c>
      <c r="P380" s="136" t="s">
        <v>1909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hidden="1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4"/>
        <v>28</v>
      </c>
      <c r="P381" s="136" t="s">
        <v>1910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hidden="1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4"/>
        <v>28</v>
      </c>
      <c r="P382" s="136" t="s">
        <v>1911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hidden="1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4"/>
        <v>28</v>
      </c>
      <c r="P383" s="136" t="s">
        <v>1912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hidden="1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4"/>
        <v>28</v>
      </c>
      <c r="P384" s="136" t="s">
        <v>1913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hidden="1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4"/>
        <v>27</v>
      </c>
      <c r="P385" s="136" t="s">
        <v>2088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/>
    </row>
    <row r="386" spans="1:49" s="73" customFormat="1" ht="15.75" hidden="1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4"/>
        <v>28</v>
      </c>
      <c r="P386" s="136" t="s">
        <v>1900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hidden="1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4"/>
        <v>27</v>
      </c>
      <c r="P387" s="136" t="s">
        <v>1914</v>
      </c>
      <c r="Q387" s="31">
        <f t="shared" si="35"/>
        <v>1</v>
      </c>
      <c r="R387" s="32">
        <f t="shared" si="36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hidden="1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4"/>
        <v>28</v>
      </c>
      <c r="P388" s="136" t="s">
        <v>1915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hidden="1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4"/>
        <v>28</v>
      </c>
      <c r="P389" s="136" t="s">
        <v>2387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4"/>
        <v>28</v>
      </c>
      <c r="P390" s="136" t="s">
        <v>2118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hidden="1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4"/>
        <v>27</v>
      </c>
      <c r="P391" s="136" t="s">
        <v>2388</v>
      </c>
      <c r="Q391" s="31">
        <f t="shared" si="35"/>
        <v>1</v>
      </c>
      <c r="R391" s="32">
        <f t="shared" si="36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hidden="1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4"/>
        <v>28</v>
      </c>
      <c r="P392" s="136" t="s">
        <v>1916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4"/>
        <v>28</v>
      </c>
      <c r="P393" s="136" t="s">
        <v>1917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hidden="1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4"/>
        <v>28</v>
      </c>
      <c r="P394" s="136" t="s">
        <v>1918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hidden="1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4"/>
        <v>28</v>
      </c>
      <c r="P395" s="136" t="s">
        <v>1919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hidden="1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4"/>
        <v>27</v>
      </c>
      <c r="P396" s="136" t="s">
        <v>2253</v>
      </c>
      <c r="Q396" s="131">
        <f t="shared" si="35"/>
        <v>1</v>
      </c>
      <c r="R396" s="132">
        <f t="shared" si="36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hidden="1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4"/>
        <v>28</v>
      </c>
      <c r="P397" s="136" t="s">
        <v>1921</v>
      </c>
      <c r="Q397" s="85">
        <f t="shared" si="35"/>
        <v>0</v>
      </c>
      <c r="R397" s="86">
        <f t="shared" si="36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hidden="1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4"/>
        <v>28</v>
      </c>
      <c r="P398" s="136" t="s">
        <v>1922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hidden="1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4"/>
        <v>28</v>
      </c>
      <c r="P399" s="136" t="s">
        <v>1923</v>
      </c>
      <c r="Q399" s="31">
        <f t="shared" si="35"/>
        <v>0</v>
      </c>
      <c r="R399" s="32">
        <f t="shared" si="36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hidden="1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4"/>
        <v>28</v>
      </c>
      <c r="P400" s="136" t="s">
        <v>1924</v>
      </c>
      <c r="Q400" s="31">
        <f t="shared" si="35"/>
        <v>0</v>
      </c>
      <c r="R400" s="32">
        <f t="shared" si="36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hidden="1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4"/>
        <v>28</v>
      </c>
      <c r="P401" s="140" t="s">
        <v>1931</v>
      </c>
      <c r="Q401" s="139">
        <f t="shared" si="35"/>
        <v>0</v>
      </c>
      <c r="R401" s="141">
        <f t="shared" si="36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7">COUNTIF(S402:AT402,"")</f>
        <v>28</v>
      </c>
      <c r="P402" s="143" t="s">
        <v>1932</v>
      </c>
      <c r="Q402" s="31">
        <f t="shared" ref="Q402:Q465" si="38">COUNTIF(S402:AT402,"APAGADO")</f>
        <v>0</v>
      </c>
      <c r="R402" s="157">
        <f t="shared" ref="R402:R465" si="39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hidden="1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7"/>
        <v>28</v>
      </c>
      <c r="P403" s="136" t="s">
        <v>1933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hidden="1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7"/>
        <v>28</v>
      </c>
      <c r="P404" s="136" t="s">
        <v>1934</v>
      </c>
      <c r="Q404" s="131">
        <f t="shared" si="38"/>
        <v>0</v>
      </c>
      <c r="R404" s="132">
        <f t="shared" si="39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hidden="1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7"/>
        <v>28</v>
      </c>
      <c r="P405" s="136" t="s">
        <v>1935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hidden="1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7"/>
        <v>28</v>
      </c>
      <c r="P406" s="136" t="s">
        <v>1936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hidden="1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7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hidden="1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7"/>
        <v>28</v>
      </c>
      <c r="P408" s="136" t="s">
        <v>2392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147"/>
      <c r="AU408" s="147"/>
      <c r="AV408" s="70"/>
    </row>
    <row r="409" spans="1:49" ht="15.75" hidden="1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hidden="1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7"/>
        <v>28</v>
      </c>
      <c r="P410" s="143" t="s">
        <v>1925</v>
      </c>
      <c r="Q410" s="139">
        <f t="shared" si="38"/>
        <v>0</v>
      </c>
      <c r="R410" s="141">
        <f t="shared" si="39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hidden="1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7"/>
        <v>28</v>
      </c>
      <c r="P411" s="143" t="s">
        <v>1926</v>
      </c>
      <c r="Q411" s="139">
        <f t="shared" si="38"/>
        <v>0</v>
      </c>
      <c r="R411" s="141">
        <f t="shared" si="39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hidden="1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7"/>
        <v>28</v>
      </c>
      <c r="P412" s="136" t="s">
        <v>1927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hidden="1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7"/>
        <v>28</v>
      </c>
      <c r="P413" s="136" t="s">
        <v>1928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hidden="1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7"/>
        <v>28</v>
      </c>
      <c r="P414" s="136" t="s">
        <v>1929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hidden="1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7"/>
        <v>28</v>
      </c>
      <c r="P415" s="136" t="s">
        <v>1930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hidden="1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7"/>
        <v>12</v>
      </c>
      <c r="P416" s="140"/>
      <c r="Q416" s="139">
        <f t="shared" si="38"/>
        <v>16</v>
      </c>
      <c r="R416" s="141">
        <f t="shared" si="39"/>
        <v>0.42857142857142855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/>
      <c r="AT416" s="70"/>
      <c r="AU416" s="70"/>
      <c r="AV416" s="70"/>
    </row>
    <row r="417" spans="1:49" s="69" customFormat="1" ht="15.75" hidden="1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7"/>
        <v>25</v>
      </c>
      <c r="P417" s="136" t="s">
        <v>1937</v>
      </c>
      <c r="Q417" s="131">
        <f t="shared" si="38"/>
        <v>3</v>
      </c>
      <c r="R417" s="132">
        <f t="shared" si="39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hidden="1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7"/>
        <v>27</v>
      </c>
      <c r="P418" s="136" t="s">
        <v>2393</v>
      </c>
      <c r="Q418" s="31">
        <f t="shared" si="38"/>
        <v>1</v>
      </c>
      <c r="R418" s="32">
        <f t="shared" si="39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hidden="1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7"/>
        <v>28</v>
      </c>
      <c r="P419" s="136" t="s">
        <v>2394</v>
      </c>
      <c r="Q419" s="31">
        <f t="shared" si="38"/>
        <v>0</v>
      </c>
      <c r="R419" s="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hidden="1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7"/>
        <v>12</v>
      </c>
      <c r="P420" s="136" t="s">
        <v>1938</v>
      </c>
      <c r="Q420" s="85">
        <f t="shared" si="38"/>
        <v>16</v>
      </c>
      <c r="R420" s="86">
        <f t="shared" si="39"/>
        <v>0.42857142857142855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87"/>
      <c r="AT420" s="70"/>
      <c r="AU420" s="70"/>
      <c r="AV420" s="70"/>
      <c r="AW420" s="73"/>
    </row>
    <row r="421" spans="1:49" s="73" customFormat="1" ht="15.75" hidden="1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7"/>
        <v>27</v>
      </c>
      <c r="P421" s="136" t="s">
        <v>1842</v>
      </c>
      <c r="Q421" s="31">
        <f t="shared" si="38"/>
        <v>1</v>
      </c>
      <c r="R421" s="32">
        <f t="shared" si="39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hidden="1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7"/>
        <v>12</v>
      </c>
      <c r="P422" s="136" t="s">
        <v>1939</v>
      </c>
      <c r="Q422" s="31">
        <f t="shared" si="38"/>
        <v>16</v>
      </c>
      <c r="R422" s="32">
        <f t="shared" si="39"/>
        <v>0.42857142857142855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/>
      <c r="AT422" s="70"/>
      <c r="AU422" s="70"/>
      <c r="AV422" s="70"/>
    </row>
    <row r="423" spans="1:49" ht="15.75" hidden="1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7"/>
        <v>12</v>
      </c>
      <c r="P423" s="136" t="s">
        <v>1940</v>
      </c>
      <c r="Q423" s="31">
        <f t="shared" si="38"/>
        <v>16</v>
      </c>
      <c r="R423" s="32">
        <f t="shared" si="39"/>
        <v>0.42857142857142855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/>
      <c r="AT423" s="70"/>
      <c r="AU423" s="70"/>
      <c r="AV423" s="70"/>
    </row>
    <row r="424" spans="1:49" ht="15.75" hidden="1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7"/>
        <v>15</v>
      </c>
      <c r="P424" s="136" t="s">
        <v>1941</v>
      </c>
      <c r="Q424" s="131">
        <f t="shared" si="38"/>
        <v>13</v>
      </c>
      <c r="R424" s="132">
        <f t="shared" si="39"/>
        <v>0.5357142857142857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/>
      <c r="AT424" s="70"/>
      <c r="AU424" s="70"/>
      <c r="AV424" s="70"/>
    </row>
    <row r="425" spans="1:49" s="73" customFormat="1" ht="15.75" hidden="1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7"/>
        <v>15</v>
      </c>
      <c r="P425" s="136" t="s">
        <v>1942</v>
      </c>
      <c r="Q425" s="131">
        <f t="shared" si="38"/>
        <v>13</v>
      </c>
      <c r="R425" s="132">
        <f t="shared" si="39"/>
        <v>0.5357142857142857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/>
      <c r="AT425" s="70"/>
      <c r="AU425" s="70"/>
      <c r="AV425" s="70"/>
      <c r="AW425"/>
    </row>
    <row r="426" spans="1:49" s="73" customFormat="1" ht="17.25" hidden="1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7"/>
        <v>28</v>
      </c>
      <c r="P426" s="136" t="s">
        <v>2289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7"/>
        <v>28</v>
      </c>
      <c r="P427" s="136" t="s">
        <v>2290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7"/>
        <v>28</v>
      </c>
      <c r="P428" s="136" t="s">
        <v>2092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7"/>
        <v>24</v>
      </c>
      <c r="P429" s="136" t="s">
        <v>2091</v>
      </c>
      <c r="Q429" s="131">
        <f t="shared" si="38"/>
        <v>4</v>
      </c>
      <c r="R429" s="132">
        <f t="shared" si="39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7"/>
        <v>28</v>
      </c>
      <c r="P430" s="136" t="s">
        <v>2139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hidden="1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7"/>
        <v>28</v>
      </c>
      <c r="P431" s="136" t="s">
        <v>1943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hidden="1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7"/>
        <v>28</v>
      </c>
      <c r="P432" s="136" t="s">
        <v>1944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hidden="1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7"/>
        <v>28</v>
      </c>
      <c r="P433" s="136" t="s">
        <v>2194</v>
      </c>
      <c r="Q433" s="131">
        <f t="shared" si="38"/>
        <v>0</v>
      </c>
      <c r="R433" s="132">
        <f t="shared" si="39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hidden="1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7"/>
        <v>28</v>
      </c>
      <c r="P434" s="136" t="s">
        <v>2471</v>
      </c>
      <c r="Q434" s="31">
        <f t="shared" si="38"/>
        <v>0</v>
      </c>
      <c r="R434" s="32">
        <f t="shared" si="39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hidden="1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7"/>
        <v>27</v>
      </c>
      <c r="P435" s="136" t="s">
        <v>1947</v>
      </c>
      <c r="Q435" s="131">
        <f t="shared" si="38"/>
        <v>1</v>
      </c>
      <c r="R435" s="132">
        <f t="shared" si="39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hidden="1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7"/>
        <v>27</v>
      </c>
      <c r="P436" s="136" t="s">
        <v>2395</v>
      </c>
      <c r="Q436" s="31">
        <f t="shared" si="38"/>
        <v>1</v>
      </c>
      <c r="R436" s="32">
        <f t="shared" si="39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hidden="1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7"/>
        <v>22</v>
      </c>
      <c r="P437" s="136" t="s">
        <v>1949</v>
      </c>
      <c r="Q437" s="131">
        <f t="shared" si="38"/>
        <v>6</v>
      </c>
      <c r="R437" s="132">
        <f t="shared" si="39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5.75" hidden="1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7"/>
        <v>28</v>
      </c>
      <c r="P438" s="136" t="s">
        <v>1950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hidden="1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7"/>
        <v>28</v>
      </c>
      <c r="P439" s="136" t="s">
        <v>1951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hidden="1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7"/>
        <v>27</v>
      </c>
      <c r="P440" s="136" t="s">
        <v>1945</v>
      </c>
      <c r="Q440" s="131">
        <f t="shared" si="38"/>
        <v>1</v>
      </c>
      <c r="R440" s="1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hidden="1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7"/>
        <v>12</v>
      </c>
      <c r="P441" s="136" t="s">
        <v>1946</v>
      </c>
      <c r="Q441" s="131">
        <f t="shared" si="38"/>
        <v>16</v>
      </c>
      <c r="R441" s="132">
        <f t="shared" si="39"/>
        <v>0.42857142857142855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/>
      <c r="AT441" s="70"/>
      <c r="AU441" s="70"/>
      <c r="AV441" s="70"/>
      <c r="AW441"/>
    </row>
    <row r="442" spans="1:49" ht="15.75" hidden="1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7"/>
        <v>28</v>
      </c>
      <c r="P442" s="136" t="s">
        <v>1948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hidden="1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7"/>
        <v>25</v>
      </c>
      <c r="P443" s="136" t="s">
        <v>1920</v>
      </c>
      <c r="Q443" s="31">
        <f t="shared" si="38"/>
        <v>3</v>
      </c>
      <c r="R443" s="32">
        <f t="shared" si="39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hidden="1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7"/>
        <v>27</v>
      </c>
      <c r="P444" s="136" t="s">
        <v>1952</v>
      </c>
      <c r="Q444" s="31">
        <f t="shared" si="38"/>
        <v>1</v>
      </c>
      <c r="R444" s="32">
        <f t="shared" si="39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hidden="1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7"/>
        <v>27</v>
      </c>
      <c r="P445" s="136" t="s">
        <v>1953</v>
      </c>
      <c r="Q445" s="31">
        <f t="shared" si="38"/>
        <v>1</v>
      </c>
      <c r="R445" s="32">
        <f t="shared" si="39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7"/>
        <v>27</v>
      </c>
      <c r="P446" s="136" t="s">
        <v>2402</v>
      </c>
      <c r="Q446" s="31">
        <f t="shared" si="38"/>
        <v>1</v>
      </c>
      <c r="R446" s="32">
        <f t="shared" si="39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7"/>
        <v>28</v>
      </c>
      <c r="P447" s="136" t="s">
        <v>1956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hidden="1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7"/>
        <v>28</v>
      </c>
      <c r="P448" s="136" t="s">
        <v>1957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7"/>
        <v>28</v>
      </c>
      <c r="P449" s="136" t="s">
        <v>1954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7"/>
        <v>28</v>
      </c>
      <c r="P450" s="136" t="s">
        <v>1955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7"/>
        <v>28</v>
      </c>
      <c r="P451" s="136" t="s">
        <v>1961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hidden="1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7"/>
        <v>28</v>
      </c>
      <c r="P452" s="136" t="s">
        <v>1964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hidden="1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7"/>
        <v>27</v>
      </c>
      <c r="P453" s="143"/>
      <c r="Q453" s="139">
        <f t="shared" si="38"/>
        <v>1</v>
      </c>
      <c r="R453" s="141">
        <f t="shared" si="39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hidden="1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7"/>
        <v>26</v>
      </c>
      <c r="P454" s="136" t="s">
        <v>1965</v>
      </c>
      <c r="Q454" s="31">
        <f t="shared" si="38"/>
        <v>2</v>
      </c>
      <c r="R454" s="32">
        <f t="shared" si="39"/>
        <v>0.9285714285714286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129"/>
      <c r="AW454"/>
    </row>
    <row r="455" spans="1:49" ht="15.75" hidden="1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7"/>
        <v>26</v>
      </c>
      <c r="P455" s="136" t="s">
        <v>1966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7"/>
        <v>24</v>
      </c>
      <c r="P456" s="136" t="s">
        <v>1970</v>
      </c>
      <c r="Q456" s="31">
        <f t="shared" si="38"/>
        <v>4</v>
      </c>
      <c r="R456" s="32">
        <f t="shared" si="39"/>
        <v>0.8571428571428571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88"/>
    </row>
    <row r="457" spans="1:49" ht="15.75" hidden="1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7"/>
        <v>24</v>
      </c>
      <c r="P457" s="136" t="s">
        <v>1971</v>
      </c>
      <c r="Q457" s="31">
        <f t="shared" si="38"/>
        <v>4</v>
      </c>
      <c r="R457" s="32">
        <f t="shared" si="39"/>
        <v>0.8571428571428571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hidden="1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7"/>
        <v>26</v>
      </c>
      <c r="P458" s="136" t="s">
        <v>1958</v>
      </c>
      <c r="Q458" s="31">
        <f t="shared" si="38"/>
        <v>2</v>
      </c>
      <c r="R458" s="32">
        <f t="shared" si="39"/>
        <v>0.9285714285714286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7"/>
        <v>26</v>
      </c>
      <c r="P459" s="136" t="s">
        <v>1959</v>
      </c>
      <c r="Q459" s="31">
        <f t="shared" si="38"/>
        <v>2</v>
      </c>
      <c r="R459" s="32">
        <f t="shared" si="39"/>
        <v>0.9285714285714286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69" customFormat="1" ht="15.75" hidden="1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7"/>
        <v>28</v>
      </c>
      <c r="P460" s="136" t="s">
        <v>1960</v>
      </c>
      <c r="Q460" s="131">
        <f t="shared" si="38"/>
        <v>0</v>
      </c>
      <c r="R460" s="1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hidden="1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7"/>
        <v>26</v>
      </c>
      <c r="P461" s="136" t="s">
        <v>2396</v>
      </c>
      <c r="Q461" s="31">
        <f t="shared" si="38"/>
        <v>2</v>
      </c>
      <c r="R461" s="32">
        <f t="shared" si="39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hidden="1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7"/>
        <v>28</v>
      </c>
      <c r="P462" s="136" t="s">
        <v>1962</v>
      </c>
      <c r="Q462" s="31">
        <f t="shared" si="38"/>
        <v>0</v>
      </c>
      <c r="R462" s="32">
        <f t="shared" si="39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hidden="1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7"/>
        <v>28</v>
      </c>
      <c r="P463" s="136" t="s">
        <v>1963</v>
      </c>
      <c r="Q463" s="31">
        <f t="shared" si="38"/>
        <v>0</v>
      </c>
      <c r="R463" s="32">
        <f t="shared" si="39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hidden="1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7"/>
        <v>27</v>
      </c>
      <c r="P464" s="136" t="s">
        <v>2397</v>
      </c>
      <c r="Q464" s="31">
        <f t="shared" si="38"/>
        <v>1</v>
      </c>
      <c r="R464" s="32">
        <f t="shared" si="39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hidden="1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7"/>
        <v>12</v>
      </c>
      <c r="P465" s="140"/>
      <c r="Q465" s="139">
        <f t="shared" si="38"/>
        <v>16</v>
      </c>
      <c r="R465" s="141">
        <f t="shared" si="39"/>
        <v>0.42857142857142855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142"/>
      <c r="AT465" s="142"/>
      <c r="AU465" s="142"/>
      <c r="AV465" s="142"/>
    </row>
    <row r="466" spans="1:49" s="73" customFormat="1" ht="15.75" hidden="1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0">COUNTIF(S466:AT466,"")</f>
        <v>28</v>
      </c>
      <c r="P466" s="136" t="s">
        <v>2398</v>
      </c>
      <c r="Q466" s="31">
        <f t="shared" ref="Q466:Q529" si="41">COUNTIF(S466:AT466,"APAGADO")</f>
        <v>0</v>
      </c>
      <c r="R466" s="32">
        <f t="shared" ref="R466:R529" si="42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0"/>
        <v>27</v>
      </c>
      <c r="P467" s="136" t="s">
        <v>1967</v>
      </c>
      <c r="Q467" s="131">
        <f t="shared" si="41"/>
        <v>1</v>
      </c>
      <c r="R467" s="132">
        <f t="shared" si="42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hidden="1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0"/>
        <v>12</v>
      </c>
      <c r="P468" s="136" t="s">
        <v>1968</v>
      </c>
      <c r="Q468" s="131">
        <f t="shared" si="41"/>
        <v>16</v>
      </c>
      <c r="R468" s="132">
        <f t="shared" si="42"/>
        <v>0.42857142857142855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/>
      <c r="AT468" s="70"/>
      <c r="AU468" s="70"/>
      <c r="AV468" s="70"/>
      <c r="AW468" s="73"/>
    </row>
    <row r="469" spans="1:49" ht="15.75" hidden="1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0"/>
        <v>12</v>
      </c>
      <c r="P469" s="136" t="s">
        <v>1969</v>
      </c>
      <c r="Q469" s="131">
        <f t="shared" si="41"/>
        <v>16</v>
      </c>
      <c r="R469" s="132">
        <f t="shared" si="42"/>
        <v>0.42857142857142855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/>
      <c r="AT469" s="70"/>
      <c r="AU469" s="70"/>
      <c r="AV469" s="70"/>
      <c r="AW469" s="73"/>
    </row>
    <row r="470" spans="1:49" ht="15.75" hidden="1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0"/>
        <v>28</v>
      </c>
      <c r="P470" s="136" t="s">
        <v>1972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hidden="1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0"/>
        <v>28</v>
      </c>
      <c r="P471" s="136" t="s">
        <v>1973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hidden="1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0"/>
        <v>28</v>
      </c>
      <c r="P472" s="136" t="s">
        <v>2399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0"/>
        <v>27</v>
      </c>
      <c r="P473" s="136" t="s">
        <v>2400</v>
      </c>
      <c r="Q473" s="31">
        <f t="shared" si="41"/>
        <v>1</v>
      </c>
      <c r="R473" s="32">
        <f t="shared" si="42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0"/>
        <v>27</v>
      </c>
      <c r="P474" s="136" t="s">
        <v>2403</v>
      </c>
      <c r="Q474" s="31">
        <f t="shared" si="41"/>
        <v>1</v>
      </c>
      <c r="R474" s="32">
        <f t="shared" si="42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hidden="1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0"/>
        <v>28</v>
      </c>
      <c r="P475" s="136" t="s">
        <v>2404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hidden="1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0"/>
        <v>28</v>
      </c>
      <c r="P476" s="136" t="s">
        <v>2405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hidden="1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0"/>
        <v>28</v>
      </c>
      <c r="P477" s="136" t="s">
        <v>2406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hidden="1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hidden="1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0"/>
        <v>12</v>
      </c>
      <c r="P479" s="136" t="s">
        <v>1974</v>
      </c>
      <c r="Q479" s="131">
        <f t="shared" si="41"/>
        <v>16</v>
      </c>
      <c r="R479" s="132">
        <f t="shared" si="42"/>
        <v>0.42857142857142855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0"/>
        <v>12</v>
      </c>
      <c r="P480" s="136" t="s">
        <v>1975</v>
      </c>
      <c r="Q480" s="131">
        <f t="shared" si="41"/>
        <v>16</v>
      </c>
      <c r="R480" s="132">
        <f t="shared" si="42"/>
        <v>0.42857142857142855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0"/>
        <v>12</v>
      </c>
      <c r="P481" s="136"/>
      <c r="Q481" s="131">
        <f t="shared" si="41"/>
        <v>16</v>
      </c>
      <c r="R481" s="132">
        <f t="shared" si="42"/>
        <v>0.42857142857142855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0"/>
        <v>28</v>
      </c>
      <c r="P482" s="136" t="s">
        <v>2087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0"/>
        <v>27</v>
      </c>
      <c r="P483" s="136" t="s">
        <v>1976</v>
      </c>
      <c r="Q483" s="31">
        <f t="shared" si="41"/>
        <v>1</v>
      </c>
      <c r="R483" s="32">
        <f t="shared" si="42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hidden="1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0"/>
        <v>22</v>
      </c>
      <c r="P484" s="136" t="s">
        <v>1977</v>
      </c>
      <c r="Q484" s="31">
        <f t="shared" si="41"/>
        <v>6</v>
      </c>
      <c r="R484" s="32">
        <f t="shared" si="42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hidden="1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0"/>
        <v>28</v>
      </c>
      <c r="P485" s="136" t="s">
        <v>1978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0"/>
        <v>27</v>
      </c>
      <c r="P486" s="136" t="s">
        <v>1979</v>
      </c>
      <c r="Q486" s="31">
        <f t="shared" si="41"/>
        <v>1</v>
      </c>
      <c r="R486" s="32">
        <f t="shared" si="42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0"/>
        <v>27</v>
      </c>
      <c r="P487" s="136" t="s">
        <v>1980</v>
      </c>
      <c r="Q487" s="31">
        <f t="shared" si="41"/>
        <v>1</v>
      </c>
      <c r="R487" s="32">
        <f t="shared" si="42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hidden="1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0"/>
        <v>28</v>
      </c>
      <c r="P488" s="136" t="s">
        <v>1981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0"/>
        <v>28</v>
      </c>
      <c r="P489" s="136" t="s">
        <v>1982</v>
      </c>
      <c r="Q489" s="131">
        <f t="shared" si="41"/>
        <v>0</v>
      </c>
      <c r="R489" s="1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0"/>
        <v>28</v>
      </c>
      <c r="P490" s="136" t="s">
        <v>1983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hidden="1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0"/>
        <v>28</v>
      </c>
      <c r="P491" s="136" t="s">
        <v>1984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hidden="1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0"/>
        <v>28</v>
      </c>
      <c r="P492" s="136" t="s">
        <v>1985</v>
      </c>
      <c r="Q492" s="131">
        <f t="shared" si="41"/>
        <v>0</v>
      </c>
      <c r="R492" s="1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hidden="1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0"/>
        <v>28</v>
      </c>
      <c r="P493" s="136" t="s">
        <v>1986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hidden="1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0"/>
        <v>28</v>
      </c>
      <c r="P494" s="136" t="s">
        <v>1987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hidden="1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0"/>
        <v>28</v>
      </c>
      <c r="P495" s="136" t="s">
        <v>1988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hidden="1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0"/>
        <v>28</v>
      </c>
      <c r="P496" s="136" t="s">
        <v>1989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hidden="1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0"/>
        <v>28</v>
      </c>
      <c r="P497" s="136" t="s">
        <v>1990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hidden="1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0"/>
        <v>28</v>
      </c>
      <c r="P498" s="136" t="s">
        <v>2105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hidden="1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0"/>
        <v>28</v>
      </c>
      <c r="P499" s="136" t="s">
        <v>2106</v>
      </c>
      <c r="Q499" s="85">
        <f t="shared" si="41"/>
        <v>0</v>
      </c>
      <c r="R499" s="86">
        <f t="shared" si="42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hidden="1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0"/>
        <v>28</v>
      </c>
      <c r="P500" s="136" t="s">
        <v>2107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hidden="1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0"/>
        <v>28</v>
      </c>
      <c r="P501" s="136" t="s">
        <v>2108</v>
      </c>
      <c r="Q501" s="85">
        <f t="shared" si="41"/>
        <v>0</v>
      </c>
      <c r="R501" s="86">
        <f t="shared" si="42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hidden="1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0"/>
        <v>28</v>
      </c>
      <c r="P502" s="136" t="s">
        <v>2241</v>
      </c>
      <c r="Q502" s="85">
        <f t="shared" si="41"/>
        <v>0</v>
      </c>
      <c r="R502" s="86">
        <f t="shared" si="42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hidden="1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0"/>
        <v>26</v>
      </c>
      <c r="P503" s="136" t="s">
        <v>1991</v>
      </c>
      <c r="Q503" s="131">
        <f t="shared" si="41"/>
        <v>2</v>
      </c>
      <c r="R503" s="132">
        <f t="shared" si="42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0"/>
        <v>28</v>
      </c>
      <c r="P504" s="136" t="s">
        <v>2407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hidden="1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0"/>
        <v>28</v>
      </c>
      <c r="P505" s="136" t="s">
        <v>1993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0"/>
        <v>28</v>
      </c>
      <c r="P506" s="136" t="s">
        <v>1994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hidden="1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0"/>
        <v>27</v>
      </c>
      <c r="P507" s="136" t="s">
        <v>2408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0"/>
        <v>27</v>
      </c>
      <c r="P508" s="136" t="s">
        <v>2409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0"/>
        <v>27</v>
      </c>
      <c r="P509" s="136" t="s">
        <v>2410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0"/>
        <v>27</v>
      </c>
      <c r="P510" s="136" t="s">
        <v>2411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0"/>
        <v>25</v>
      </c>
      <c r="P511" s="136" t="s">
        <v>1992</v>
      </c>
      <c r="Q511" s="31">
        <f t="shared" si="41"/>
        <v>3</v>
      </c>
      <c r="R511" s="32">
        <f t="shared" si="42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0"/>
        <v>28</v>
      </c>
      <c r="P512" s="136" t="s">
        <v>1995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hidden="1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0"/>
        <v>28</v>
      </c>
      <c r="P513" s="136" t="s">
        <v>1996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hidden="1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0"/>
        <v>28</v>
      </c>
      <c r="P514" s="136" t="s">
        <v>1997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hidden="1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0"/>
        <v>28</v>
      </c>
      <c r="P515" s="136" t="s">
        <v>1998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hidden="1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0"/>
        <v>28</v>
      </c>
      <c r="P516" s="136" t="s">
        <v>1999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hidden="1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0"/>
        <v>28</v>
      </c>
      <c r="P517" s="136" t="s">
        <v>2009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0"/>
        <v>28</v>
      </c>
      <c r="P518" s="136" t="s">
        <v>2013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hidden="1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0"/>
        <v>28</v>
      </c>
      <c r="P519" s="136" t="s">
        <v>2014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0"/>
        <v>28</v>
      </c>
      <c r="P520" s="136" t="s">
        <v>2015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hidden="1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0"/>
        <v>27</v>
      </c>
      <c r="P521" s="136" t="s">
        <v>2016</v>
      </c>
      <c r="Q521" s="31">
        <f t="shared" si="41"/>
        <v>1</v>
      </c>
      <c r="R521" s="32">
        <f t="shared" si="42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hidden="1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0"/>
        <v>28</v>
      </c>
      <c r="P522" s="136" t="s">
        <v>2018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0"/>
        <v>28</v>
      </c>
      <c r="P523" s="136" t="s">
        <v>2019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hidden="1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0"/>
        <v>28</v>
      </c>
      <c r="P524" s="136" t="s">
        <v>2020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0"/>
        <v>27</v>
      </c>
      <c r="P525" s="136" t="s">
        <v>2023</v>
      </c>
      <c r="Q525" s="31">
        <f t="shared" si="41"/>
        <v>1</v>
      </c>
      <c r="R525" s="32">
        <f t="shared" si="42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0"/>
        <v>27</v>
      </c>
      <c r="P526" s="136" t="s">
        <v>2024</v>
      </c>
      <c r="Q526" s="31">
        <f t="shared" si="41"/>
        <v>1</v>
      </c>
      <c r="R526" s="32">
        <f t="shared" si="42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0"/>
        <v>28</v>
      </c>
      <c r="P527" s="136" t="s">
        <v>2025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0"/>
        <v>28</v>
      </c>
      <c r="P528" s="136" t="s">
        <v>2026</v>
      </c>
      <c r="Q528" s="131">
        <f t="shared" si="41"/>
        <v>0</v>
      </c>
      <c r="R528" s="132">
        <f t="shared" si="42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0"/>
        <v>28</v>
      </c>
      <c r="P529" s="136" t="s">
        <v>2027</v>
      </c>
      <c r="Q529" s="131">
        <f t="shared" si="41"/>
        <v>0</v>
      </c>
      <c r="R529" s="132">
        <f t="shared" si="42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3">COUNTIF(S530:AT530,"")</f>
        <v>27</v>
      </c>
      <c r="P530" s="136" t="s">
        <v>2000</v>
      </c>
      <c r="Q530" s="31">
        <f t="shared" ref="Q530:Q595" si="44">COUNTIF(S530:AT530,"APAGADO")</f>
        <v>1</v>
      </c>
      <c r="R530" s="32">
        <f t="shared" ref="R530:R595" si="45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3"/>
        <v>28</v>
      </c>
      <c r="P531" s="136" t="s">
        <v>2001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3"/>
        <v>28</v>
      </c>
      <c r="P532" s="136" t="s">
        <v>2002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3"/>
        <v>28</v>
      </c>
      <c r="P533" s="136" t="s">
        <v>2003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3"/>
        <v>28</v>
      </c>
      <c r="P534" s="136" t="s">
        <v>2004</v>
      </c>
      <c r="Q534" s="131">
        <f t="shared" si="44"/>
        <v>0</v>
      </c>
      <c r="R534" s="1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3"/>
        <v>28</v>
      </c>
      <c r="P535" s="136" t="s">
        <v>2005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hidden="1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3"/>
        <v>28</v>
      </c>
      <c r="P536" s="136" t="s">
        <v>2006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hidden="1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3"/>
        <v>12</v>
      </c>
      <c r="P537" s="136" t="s">
        <v>2007</v>
      </c>
      <c r="Q537" s="131">
        <f t="shared" si="44"/>
        <v>16</v>
      </c>
      <c r="R537" s="132">
        <f t="shared" si="45"/>
        <v>0.42857142857142855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/>
      <c r="AT537" s="70"/>
      <c r="AU537" s="70"/>
      <c r="AV537" s="70"/>
    </row>
    <row r="538" spans="1:49" ht="15.75" hidden="1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3"/>
        <v>28</v>
      </c>
      <c r="P538" s="136" t="s">
        <v>2008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hidden="1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3"/>
        <v>28</v>
      </c>
      <c r="P539" s="136" t="s">
        <v>2010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hidden="1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3"/>
        <v>12</v>
      </c>
      <c r="P540" s="136" t="s">
        <v>2011</v>
      </c>
      <c r="Q540" s="31">
        <f t="shared" si="44"/>
        <v>16</v>
      </c>
      <c r="R540" s="32">
        <f t="shared" si="45"/>
        <v>0.42857142857142855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3"/>
        <v>12</v>
      </c>
      <c r="P541" s="136" t="s">
        <v>2012</v>
      </c>
      <c r="Q541" s="31">
        <f t="shared" si="44"/>
        <v>16</v>
      </c>
      <c r="R541" s="32">
        <f t="shared" si="45"/>
        <v>0.42857142857142855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3"/>
        <v>28</v>
      </c>
      <c r="P542" s="136" t="s">
        <v>2017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hidden="1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3"/>
        <v>28</v>
      </c>
      <c r="P543" s="136" t="s">
        <v>2412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hidden="1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3"/>
        <v>28</v>
      </c>
      <c r="P544" s="136" t="s">
        <v>2021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hidden="1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3"/>
        <v>28</v>
      </c>
      <c r="P545" s="136" t="s">
        <v>2022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hidden="1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3"/>
        <v>28</v>
      </c>
      <c r="P546" s="136" t="s">
        <v>2028</v>
      </c>
      <c r="Q546" s="131">
        <f t="shared" si="44"/>
        <v>0</v>
      </c>
      <c r="R546" s="1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hidden="1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3"/>
        <v>12</v>
      </c>
      <c r="P547" s="136" t="s">
        <v>2159</v>
      </c>
      <c r="Q547" s="131">
        <f t="shared" si="44"/>
        <v>16</v>
      </c>
      <c r="R547" s="132">
        <f t="shared" si="45"/>
        <v>0.42857142857142855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3"/>
        <v>12</v>
      </c>
      <c r="P548" s="136" t="s">
        <v>2162</v>
      </c>
      <c r="Q548" s="131">
        <f t="shared" si="44"/>
        <v>16</v>
      </c>
      <c r="R548" s="132">
        <f t="shared" si="45"/>
        <v>0.42857142857142855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3"/>
        <v>28</v>
      </c>
      <c r="P549" s="136" t="s">
        <v>2029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hidden="1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3"/>
        <v>28</v>
      </c>
      <c r="P550" s="136" t="s">
        <v>2030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hidden="1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3"/>
        <v>26</v>
      </c>
      <c r="P551" s="136" t="s">
        <v>2460</v>
      </c>
      <c r="Q551" s="31">
        <f t="shared" si="44"/>
        <v>2</v>
      </c>
      <c r="R551" s="32">
        <f t="shared" si="45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hidden="1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3"/>
        <v>28</v>
      </c>
      <c r="P552" s="136" t="s">
        <v>2031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hidden="1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3"/>
        <v>28</v>
      </c>
      <c r="P553" s="136" t="s">
        <v>2032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hidden="1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3"/>
        <v>28</v>
      </c>
      <c r="P554" s="136" t="s">
        <v>2033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hidden="1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3"/>
        <v>28</v>
      </c>
      <c r="P555" s="136" t="s">
        <v>2034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hidden="1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3"/>
        <v>28</v>
      </c>
      <c r="P556" s="136" t="s">
        <v>2035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3"/>
        <v>28</v>
      </c>
      <c r="P557" s="136" t="s">
        <v>2122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hidden="1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3"/>
        <v>28</v>
      </c>
      <c r="P558" s="136" t="s">
        <v>2036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hidden="1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3"/>
        <v>27</v>
      </c>
      <c r="P559" s="136" t="s">
        <v>2037</v>
      </c>
      <c r="Q559" s="31">
        <f t="shared" si="44"/>
        <v>1</v>
      </c>
      <c r="R559" s="32">
        <f t="shared" si="45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3"/>
        <v>12</v>
      </c>
      <c r="P560" s="136" t="s">
        <v>2038</v>
      </c>
      <c r="Q560" s="131">
        <f t="shared" si="44"/>
        <v>16</v>
      </c>
      <c r="R560" s="132">
        <f t="shared" si="45"/>
        <v>0.42857142857142855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/>
      <c r="AT560" s="70"/>
      <c r="AU560" s="70"/>
      <c r="AV560" s="70"/>
      <c r="AW560"/>
    </row>
    <row r="561" spans="1:49" ht="15.75" hidden="1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3"/>
        <v>28</v>
      </c>
      <c r="P561" s="136" t="s">
        <v>2039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hidden="1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3"/>
        <v>28</v>
      </c>
      <c r="P562" s="136" t="s">
        <v>2040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3"/>
        <v>28</v>
      </c>
      <c r="P563" s="136" t="s">
        <v>2041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3"/>
        <v>28</v>
      </c>
      <c r="P564" s="136" t="s">
        <v>2137</v>
      </c>
      <c r="Q564" s="31">
        <f t="shared" si="44"/>
        <v>0</v>
      </c>
      <c r="R564" s="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hidden="1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3"/>
        <v>28</v>
      </c>
      <c r="P565" s="136" t="s">
        <v>2080</v>
      </c>
      <c r="Q565" s="31">
        <f t="shared" si="44"/>
        <v>0</v>
      </c>
      <c r="R565" s="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hidden="1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3"/>
        <v>28</v>
      </c>
      <c r="P566" s="136" t="s">
        <v>2084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hidden="1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3"/>
        <v>27</v>
      </c>
      <c r="P567" s="136" t="s">
        <v>2042</v>
      </c>
      <c r="Q567" s="131">
        <f t="shared" si="44"/>
        <v>1</v>
      </c>
      <c r="R567" s="132">
        <f t="shared" si="45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hidden="1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3"/>
        <v>20</v>
      </c>
      <c r="P568" s="136" t="s">
        <v>2043</v>
      </c>
      <c r="Q568" s="131">
        <f t="shared" si="44"/>
        <v>8</v>
      </c>
      <c r="R568" s="132">
        <f t="shared" si="45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hidden="1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3"/>
        <v>28</v>
      </c>
      <c r="P569" s="136" t="s">
        <v>2044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hidden="1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3"/>
        <v>28</v>
      </c>
      <c r="P570" s="136" t="s">
        <v>2045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hidden="1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3"/>
        <v>26</v>
      </c>
      <c r="P571" s="136" t="s">
        <v>2126</v>
      </c>
      <c r="Q571" s="131">
        <f t="shared" si="44"/>
        <v>2</v>
      </c>
      <c r="R571" s="132">
        <f t="shared" si="45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hidden="1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3"/>
        <v>17</v>
      </c>
      <c r="P572" s="136"/>
      <c r="Q572" s="131">
        <f t="shared" si="44"/>
        <v>11</v>
      </c>
      <c r="R572" s="132">
        <f t="shared" si="45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hidden="1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3"/>
        <v>28</v>
      </c>
      <c r="P573" s="136" t="s">
        <v>2127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hidden="1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hidden="1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3"/>
        <v>28</v>
      </c>
      <c r="P575" s="136" t="s">
        <v>2123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3"/>
        <v>28</v>
      </c>
      <c r="P576" s="136" t="s">
        <v>2046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hidden="1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3"/>
        <v>28</v>
      </c>
      <c r="P577" s="136" t="s">
        <v>2124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3"/>
        <v>28</v>
      </c>
      <c r="P578" s="136" t="s">
        <v>2047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hidden="1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3"/>
        <v>28</v>
      </c>
      <c r="P579" s="136" t="s">
        <v>2048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hidden="1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3"/>
        <v>28</v>
      </c>
      <c r="P580" s="136" t="s">
        <v>2125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hidden="1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3"/>
        <v>23</v>
      </c>
      <c r="P581" s="136" t="s">
        <v>2049</v>
      </c>
      <c r="Q581" s="31">
        <f t="shared" si="44"/>
        <v>5</v>
      </c>
      <c r="R581" s="32">
        <f t="shared" si="45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hidden="1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3"/>
        <v>23</v>
      </c>
      <c r="P582" s="136" t="s">
        <v>2050</v>
      </c>
      <c r="Q582" s="31">
        <f t="shared" si="44"/>
        <v>5</v>
      </c>
      <c r="R582" s="32">
        <f t="shared" si="45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hidden="1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3"/>
        <v>27</v>
      </c>
      <c r="P583" s="136" t="s">
        <v>2051</v>
      </c>
      <c r="Q583" s="31">
        <f t="shared" si="44"/>
        <v>1</v>
      </c>
      <c r="R583" s="32">
        <f t="shared" si="45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3"/>
        <v>12</v>
      </c>
      <c r="P584" s="136" t="s">
        <v>2052</v>
      </c>
      <c r="Q584" s="31">
        <f t="shared" si="44"/>
        <v>16</v>
      </c>
      <c r="R584" s="32">
        <f t="shared" si="45"/>
        <v>0.42857142857142855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3"/>
        <v>28</v>
      </c>
      <c r="P585" s="136" t="s">
        <v>2054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3"/>
        <v>24</v>
      </c>
      <c r="P586" s="136" t="s">
        <v>2055</v>
      </c>
      <c r="Q586" s="31">
        <f t="shared" si="44"/>
        <v>4</v>
      </c>
      <c r="R586" s="32">
        <f t="shared" si="45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3"/>
        <v>28</v>
      </c>
      <c r="P587" s="136" t="s">
        <v>2053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hidden="1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3"/>
        <v>24</v>
      </c>
      <c r="P588" s="136" t="s">
        <v>2056</v>
      </c>
      <c r="Q588" s="31">
        <f t="shared" si="44"/>
        <v>4</v>
      </c>
      <c r="R588" s="32">
        <f t="shared" si="45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3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3"/>
        <v>27</v>
      </c>
      <c r="P590" s="136" t="s">
        <v>2140</v>
      </c>
      <c r="Q590" s="131">
        <f t="shared" si="44"/>
        <v>1</v>
      </c>
      <c r="R590" s="132">
        <f t="shared" si="45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3"/>
        <v>28</v>
      </c>
      <c r="P591" s="136" t="s">
        <v>2190</v>
      </c>
      <c r="Q591" s="131">
        <f t="shared" si="44"/>
        <v>0</v>
      </c>
      <c r="R591" s="1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hidden="1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3"/>
        <v>28</v>
      </c>
      <c r="P592" s="136" t="s">
        <v>2413</v>
      </c>
      <c r="Q592" s="131">
        <f t="shared" si="44"/>
        <v>0</v>
      </c>
      <c r="R592" s="1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hidden="1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3"/>
        <v>26</v>
      </c>
      <c r="P593" s="136" t="s">
        <v>2142</v>
      </c>
      <c r="Q593" s="31">
        <f t="shared" si="44"/>
        <v>2</v>
      </c>
      <c r="R593" s="32">
        <f t="shared" si="45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hidden="1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3"/>
        <v>28</v>
      </c>
      <c r="P594" s="136" t="s">
        <v>2143</v>
      </c>
      <c r="Q594" s="31">
        <f t="shared" si="44"/>
        <v>0</v>
      </c>
      <c r="R594" s="32">
        <f t="shared" si="45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hidden="1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3"/>
        <v>28</v>
      </c>
      <c r="P595" s="136" t="s">
        <v>2058</v>
      </c>
      <c r="Q595" s="31">
        <f t="shared" si="44"/>
        <v>0</v>
      </c>
      <c r="R595" s="32">
        <f t="shared" si="45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hidden="1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6">COUNTIF(S596:AT596,"")</f>
        <v>28</v>
      </c>
      <c r="P596" s="136" t="s">
        <v>2057</v>
      </c>
      <c r="Q596" s="31">
        <f t="shared" ref="Q596:Q607" si="47">COUNTIF(S596:AT596,"APAGADO")</f>
        <v>0</v>
      </c>
      <c r="R596" s="32">
        <f t="shared" ref="R596:R607" si="48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hidden="1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6"/>
        <v>28</v>
      </c>
      <c r="P597" s="136" t="s">
        <v>2059</v>
      </c>
      <c r="Q597" s="31">
        <f t="shared" si="47"/>
        <v>0</v>
      </c>
      <c r="R597" s="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hidden="1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6"/>
        <v>28</v>
      </c>
      <c r="P598" s="136" t="s">
        <v>2141</v>
      </c>
      <c r="Q598" s="31">
        <f t="shared" si="47"/>
        <v>0</v>
      </c>
      <c r="R598" s="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hidden="1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6"/>
        <v>28</v>
      </c>
      <c r="P599" s="136" t="s">
        <v>2063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hidden="1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6"/>
        <v>28</v>
      </c>
      <c r="P600" s="136" t="s">
        <v>2064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hidden="1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6"/>
        <v>28</v>
      </c>
      <c r="P601" s="136" t="s">
        <v>2065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hidden="1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6"/>
        <v>28</v>
      </c>
      <c r="P602" s="136" t="s">
        <v>2066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hidden="1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hidden="1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6"/>
        <v>28</v>
      </c>
      <c r="P604" s="136" t="s">
        <v>2216</v>
      </c>
      <c r="Q604" s="131">
        <f t="shared" si="47"/>
        <v>0</v>
      </c>
      <c r="R604" s="132">
        <f t="shared" si="48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hidden="1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6"/>
        <v>28</v>
      </c>
      <c r="P605" s="136" t="s">
        <v>2060</v>
      </c>
      <c r="Q605" s="131">
        <f t="shared" si="47"/>
        <v>0</v>
      </c>
      <c r="R605" s="132">
        <f t="shared" si="48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hidden="1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6"/>
        <v>26</v>
      </c>
      <c r="P606" s="136" t="s">
        <v>2061</v>
      </c>
      <c r="Q606" s="131">
        <f t="shared" si="47"/>
        <v>2</v>
      </c>
      <c r="R606" s="132">
        <f t="shared" si="48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hidden="1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6"/>
        <v>28</v>
      </c>
      <c r="P607" s="136" t="s">
        <v>2062</v>
      </c>
      <c r="Q607" s="131">
        <f t="shared" si="47"/>
        <v>0</v>
      </c>
      <c r="R607" s="132">
        <f t="shared" si="48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hidden="1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hidden="1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hidden="1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hidden="1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hidden="1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hidden="1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hidden="1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hidden="1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43" priority="2801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42" priority="2802" operator="equal">
      <formula>$H$284</formula>
    </cfRule>
  </conditionalFormatting>
  <conditionalFormatting sqref="H1:H608">
    <cfRule type="cellIs" dxfId="241" priority="2798" operator="equal">
      <formula>"IPCOMS"</formula>
    </cfRule>
  </conditionalFormatting>
  <conditionalFormatting sqref="I20:I21">
    <cfRule type="cellIs" dxfId="240" priority="5464" operator="equal">
      <formula>$H$305</formula>
    </cfRule>
    <cfRule type="cellIs" dxfId="239" priority="5465" operator="equal">
      <formula>$H$284</formula>
    </cfRule>
  </conditionalFormatting>
  <conditionalFormatting sqref="I165:I166 I226:I227 I263 I287:I292 I302:I304 I412:I416 I428:I430 I433:I434 H690:H1048576 I20:I21">
    <cfRule type="cellIs" dxfId="238" priority="5010" operator="equal">
      <formula>"IPCOMS"</formula>
    </cfRule>
  </conditionalFormatting>
  <conditionalFormatting sqref="J1:J578 J594:J608 J690:J1048576">
    <cfRule type="containsText" dxfId="237" priority="5471" operator="containsText" text="domo">
      <formula>NOT(ISERROR(SEARCH("domo",J1)))</formula>
    </cfRule>
  </conditionalFormatting>
  <conditionalFormatting sqref="J1:J589">
    <cfRule type="cellIs" dxfId="236" priority="2803" operator="equal">
      <formula>$J$10</formula>
    </cfRule>
  </conditionalFormatting>
  <conditionalFormatting sqref="J34:J35 J158:N234 J238:N410 J435:N578">
    <cfRule type="containsText" dxfId="235" priority="4938" operator="containsText" text="Radio">
      <formula>NOT(ISERROR(SEARCH("Radio",J34)))</formula>
    </cfRule>
  </conditionalFormatting>
  <conditionalFormatting sqref="J135:J148 L148:N148">
    <cfRule type="containsText" dxfId="234" priority="4952" operator="containsText" text="Radio">
      <formula>NOT(ISERROR(SEARCH("Radio",J135)))</formula>
    </cfRule>
  </conditionalFormatting>
  <conditionalFormatting sqref="J412:J416">
    <cfRule type="containsText" dxfId="233" priority="4971" operator="containsText" text="Radio">
      <formula>NOT(ISERROR(SEARCH("Radio",J412)))</formula>
    </cfRule>
  </conditionalFormatting>
  <conditionalFormatting sqref="J580">
    <cfRule type="containsText" dxfId="232" priority="5411" operator="containsText" text="fija">
      <formula>NOT(ISERROR(SEARCH("fija",J580)))</formula>
    </cfRule>
    <cfRule type="containsText" dxfId="231" priority="5413" operator="containsText" text="Radio">
      <formula>NOT(ISERROR(SEARCH("Radio",J580)))</formula>
    </cfRule>
    <cfRule type="containsText" dxfId="230" priority="5412" operator="containsText" text="domo">
      <formula>NOT(ISERROR(SEARCH("domo",J580)))</formula>
    </cfRule>
  </conditionalFormatting>
  <conditionalFormatting sqref="J580:J581">
    <cfRule type="containsText" dxfId="229" priority="5407" operator="containsText" text="domo">
      <formula>NOT(ISERROR(SEARCH("domo",J580)))</formula>
    </cfRule>
    <cfRule type="containsText" dxfId="228" priority="5406" operator="containsText" text="fija">
      <formula>NOT(ISERROR(SEARCH("fija",J580)))</formula>
    </cfRule>
  </conditionalFormatting>
  <conditionalFormatting sqref="J581">
    <cfRule type="containsText" dxfId="227" priority="5408" operator="containsText" text="Radio">
      <formula>NOT(ISERROR(SEARCH("Radio",J581)))</formula>
    </cfRule>
    <cfRule type="containsText" dxfId="226" priority="5405" operator="containsText" text="domo">
      <formula>NOT(ISERROR(SEARCH("domo",J581)))</formula>
    </cfRule>
    <cfRule type="containsText" dxfId="225" priority="5404" operator="containsText" text="fija">
      <formula>NOT(ISERROR(SEARCH("fija",J581)))</formula>
    </cfRule>
  </conditionalFormatting>
  <conditionalFormatting sqref="J584">
    <cfRule type="containsText" dxfId="224" priority="5403" operator="containsText" text="Radio">
      <formula>NOT(ISERROR(SEARCH("Radio",J584)))</formula>
    </cfRule>
    <cfRule type="containsText" dxfId="223" priority="5401" operator="containsText" text="fija">
      <formula>NOT(ISERROR(SEARCH("fija",J584)))</formula>
    </cfRule>
    <cfRule type="containsText" dxfId="222" priority="5402" operator="containsText" text="domo">
      <formula>NOT(ISERROR(SEARCH("domo",J584)))</formula>
    </cfRule>
  </conditionalFormatting>
  <conditionalFormatting sqref="J584:J585">
    <cfRule type="containsText" dxfId="221" priority="5396" operator="containsText" text="fija">
      <formula>NOT(ISERROR(SEARCH("fija",J584)))</formula>
    </cfRule>
    <cfRule type="containsText" dxfId="220" priority="5397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219" priority="5398" operator="containsText" text="Radio">
      <formula>NOT(ISERROR(SEARCH("Radio",J48)))</formula>
    </cfRule>
  </conditionalFormatting>
  <conditionalFormatting sqref="J585:J586">
    <cfRule type="containsText" dxfId="218" priority="5391" operator="containsText" text="fija">
      <formula>NOT(ISERROR(SEARCH("fija",J585)))</formula>
    </cfRule>
    <cfRule type="containsText" dxfId="217" priority="5392" operator="containsText" text="domo">
      <formula>NOT(ISERROR(SEARCH("domo",J585)))</formula>
    </cfRule>
  </conditionalFormatting>
  <conditionalFormatting sqref="J586">
    <cfRule type="containsText" dxfId="216" priority="5393" operator="containsText" text="Radio">
      <formula>NOT(ISERROR(SEARCH("Radio",J586)))</formula>
    </cfRule>
  </conditionalFormatting>
  <conditionalFormatting sqref="J586:J587">
    <cfRule type="containsText" dxfId="215" priority="5386" operator="containsText" text="fija">
      <formula>NOT(ISERROR(SEARCH("fija",J586)))</formula>
    </cfRule>
    <cfRule type="containsText" dxfId="214" priority="5387" operator="containsText" text="domo">
      <formula>NOT(ISERROR(SEARCH("domo",J586)))</formula>
    </cfRule>
  </conditionalFormatting>
  <conditionalFormatting sqref="J587">
    <cfRule type="containsText" dxfId="213" priority="5385" operator="containsText" text="domo">
      <formula>NOT(ISERROR(SEARCH("domo",J587)))</formula>
    </cfRule>
    <cfRule type="containsText" dxfId="212" priority="5384" operator="containsText" text="fija">
      <formula>NOT(ISERROR(SEARCH("fija",J587)))</formula>
    </cfRule>
    <cfRule type="containsText" dxfId="211" priority="5388" operator="containsText" text="Radio">
      <formula>NOT(ISERROR(SEARCH("Radio",J587)))</formula>
    </cfRule>
  </conditionalFormatting>
  <conditionalFormatting sqref="J590:J608 J690:J1048576">
    <cfRule type="cellIs" dxfId="210" priority="5466" operator="equal">
      <formula>$J$10</formula>
    </cfRule>
  </conditionalFormatting>
  <conditionalFormatting sqref="J592">
    <cfRule type="containsText" dxfId="209" priority="5682" operator="containsText" text="fija">
      <formula>NOT(ISERROR(SEARCH("fija",J592)))</formula>
    </cfRule>
    <cfRule type="containsText" dxfId="208" priority="5683" operator="containsText" text="domo">
      <formula>NOT(ISERROR(SEARCH("domo",J592)))</formula>
    </cfRule>
  </conditionalFormatting>
  <conditionalFormatting sqref="J594:J608 J690:J1048576 J1:J578">
    <cfRule type="containsText" dxfId="207" priority="5470" operator="containsText" text="fija">
      <formula>NOT(ISERROR(SEARCH("fija",J1)))</formula>
    </cfRule>
  </conditionalFormatting>
  <conditionalFormatting sqref="J595:J598">
    <cfRule type="containsText" dxfId="206" priority="5414" operator="containsText" text="fija">
      <formula>NOT(ISERROR(SEARCH("fija",J595)))</formula>
    </cfRule>
    <cfRule type="containsText" dxfId="205" priority="5415" operator="containsText" text="domo">
      <formula>NOT(ISERROR(SEARCH("domo",J595)))</formula>
    </cfRule>
  </conditionalFormatting>
  <conditionalFormatting sqref="J235:K235">
    <cfRule type="containsText" dxfId="204" priority="4973" operator="containsText" text="Radio">
      <formula>NOT(ISERROR(SEARCH("Radio",J235)))</formula>
    </cfRule>
  </conditionalFormatting>
  <conditionalFormatting sqref="J37:L47">
    <cfRule type="containsText" dxfId="203" priority="4943" operator="containsText" text="Radio">
      <formula>NOT(ISERROR(SEARCH("Radio",J37)))</formula>
    </cfRule>
  </conditionalFormatting>
  <conditionalFormatting sqref="J1:N36">
    <cfRule type="containsText" dxfId="202" priority="5008" operator="containsText" text="Radio">
      <formula>NOT(ISERROR(SEARCH("Radio",J1)))</formula>
    </cfRule>
  </conditionalFormatting>
  <conditionalFormatting sqref="J149:N156 J157">
    <cfRule type="containsText" dxfId="201" priority="4946" operator="containsText" text="Radio">
      <formula>NOT(ISERROR(SEARCH("Radio",J149)))</formula>
    </cfRule>
  </conditionalFormatting>
  <conditionalFormatting sqref="J592:N592 K593">
    <cfRule type="containsText" dxfId="200" priority="5939" operator="containsText" text="Radio">
      <formula>NOT(ISERROR(SEARCH("Radio",J592)))</formula>
    </cfRule>
  </conditionalFormatting>
  <conditionalFormatting sqref="K1:K136 K163:K588 K690:K1048576">
    <cfRule type="cellIs" dxfId="199" priority="5012" operator="equal">
      <formula>"GPON"</formula>
    </cfRule>
    <cfRule type="cellIs" dxfId="198" priority="5011" operator="equal">
      <formula>"GPON"</formula>
    </cfRule>
  </conditionalFormatting>
  <conditionalFormatting sqref="K139">
    <cfRule type="cellIs" dxfId="197" priority="5004" operator="equal">
      <formula>"PTP A FO"</formula>
    </cfRule>
    <cfRule type="cellIs" dxfId="196" priority="5003" operator="equal">
      <formula>"PTP A FO"</formula>
    </cfRule>
    <cfRule type="cellIs" dxfId="195" priority="5002" operator="equal">
      <formula>$K$13</formula>
    </cfRule>
    <cfRule type="cellIs" dxfId="194" priority="5000" operator="equal">
      <formula>"GPON"</formula>
    </cfRule>
    <cfRule type="cellIs" dxfId="193" priority="4999" operator="equal">
      <formula>"GPON"</formula>
    </cfRule>
    <cfRule type="containsText" dxfId="192" priority="5001" operator="containsText" text="Radio">
      <formula>NOT(ISERROR(SEARCH("Radio",K139)))</formula>
    </cfRule>
  </conditionalFormatting>
  <conditionalFormatting sqref="K142:K149">
    <cfRule type="containsText" dxfId="191" priority="4976" operator="containsText" text="Radio">
      <formula>NOT(ISERROR(SEARCH("Radio",K142)))</formula>
    </cfRule>
    <cfRule type="cellIs" dxfId="190" priority="4979" operator="equal">
      <formula>"PTP A FO"</formula>
    </cfRule>
    <cfRule type="cellIs" dxfId="189" priority="4978" operator="equal">
      <formula>"PTP A FO"</formula>
    </cfRule>
    <cfRule type="cellIs" dxfId="188" priority="4977" operator="equal">
      <formula>$K$13</formula>
    </cfRule>
  </conditionalFormatting>
  <conditionalFormatting sqref="K142:K156">
    <cfRule type="cellIs" dxfId="187" priority="4945" operator="equal">
      <formula>"GPON"</formula>
    </cfRule>
    <cfRule type="cellIs" dxfId="186" priority="4944" operator="equal">
      <formula>"GPON"</formula>
    </cfRule>
  </conditionalFormatting>
  <conditionalFormatting sqref="K146:K147">
    <cfRule type="cellIs" dxfId="185" priority="4941" operator="equal">
      <formula>"PTP A FO"</formula>
    </cfRule>
    <cfRule type="cellIs" dxfId="184" priority="4940" operator="equal">
      <formula>$K$13</formula>
    </cfRule>
    <cfRule type="cellIs" dxfId="183" priority="4942" operator="equal">
      <formula>"PTP A FO"</formula>
    </cfRule>
    <cfRule type="containsText" dxfId="182" priority="4939" operator="containsText" text="Radio">
      <formula>NOT(ISERROR(SEARCH("Radio",K146)))</formula>
    </cfRule>
  </conditionalFormatting>
  <conditionalFormatting sqref="K157:K162">
    <cfRule type="cellIs" dxfId="181" priority="345" operator="equal">
      <formula>"GPON"</formula>
    </cfRule>
    <cfRule type="cellIs" dxfId="180" priority="346" operator="equal">
      <formula>"GPON"</formula>
    </cfRule>
  </conditionalFormatting>
  <conditionalFormatting sqref="K235:K237">
    <cfRule type="cellIs" dxfId="179" priority="4992" operator="equal">
      <formula>"PTP A FO"</formula>
    </cfRule>
    <cfRule type="cellIs" dxfId="178" priority="4991" operator="equal">
      <formula>"PTP A FO"</formula>
    </cfRule>
    <cfRule type="cellIs" dxfId="177" priority="4990" operator="equal">
      <formula>$K$13</formula>
    </cfRule>
  </conditionalFormatting>
  <conditionalFormatting sqref="K236:K237">
    <cfRule type="cellIs" dxfId="176" priority="4987" operator="equal">
      <formula>"PTP A FO"</formula>
    </cfRule>
    <cfRule type="cellIs" dxfId="175" priority="4986" operator="equal">
      <formula>$K$13</formula>
    </cfRule>
    <cfRule type="cellIs" dxfId="174" priority="4988" operator="equal">
      <formula>"PTP A FO"</formula>
    </cfRule>
  </conditionalFormatting>
  <conditionalFormatting sqref="K433:K434">
    <cfRule type="cellIs" dxfId="173" priority="4997" operator="equal">
      <formula>"PTP A FO"</formula>
    </cfRule>
    <cfRule type="cellIs" dxfId="172" priority="4998" operator="equal">
      <formula>"PTP A FO"</formula>
    </cfRule>
    <cfRule type="containsText" dxfId="171" priority="4995" operator="containsText" text="Radio">
      <formula>NOT(ISERROR(SEARCH("Radio",K433)))</formula>
    </cfRule>
    <cfRule type="cellIs" dxfId="170" priority="4996" operator="equal">
      <formula>$K$13</formula>
    </cfRule>
  </conditionalFormatting>
  <conditionalFormatting sqref="K579">
    <cfRule type="containsText" dxfId="169" priority="5061" operator="containsText" text="Radio">
      <formula>NOT(ISERROR(SEARCH("Radio",K579)))</formula>
    </cfRule>
    <cfRule type="cellIs" dxfId="168" priority="5062" operator="equal">
      <formula>"PTP A FO"</formula>
    </cfRule>
  </conditionalFormatting>
  <conditionalFormatting sqref="K589:K608">
    <cfRule type="cellIs" dxfId="167" priority="2800" operator="equal">
      <formula>"GPON"</formula>
    </cfRule>
    <cfRule type="cellIs" dxfId="166" priority="2799" operator="equal">
      <formula>"GPON"</formula>
    </cfRule>
  </conditionalFormatting>
  <conditionalFormatting sqref="K1:L134 K135:K136 K163:L234 K238:L432 K433:K434 K435:L578 K592:L592 K593 K594:L608 K690:L1048576">
    <cfRule type="cellIs" dxfId="165" priority="5663" operator="equal">
      <formula>"PTP A FO"</formula>
    </cfRule>
  </conditionalFormatting>
  <conditionalFormatting sqref="K1:L134 K135:K136 K163:L234 K238:L432 K433:K434 K435:L588 K590:L608 K690:L1048576">
    <cfRule type="cellIs" dxfId="164" priority="5468" operator="equal">
      <formula>"PTP A FO"</formula>
    </cfRule>
  </conditionalFormatting>
  <conditionalFormatting sqref="K1:L134 K135:K136 K238:L432 K433:K434 K590:L608 K690:L1048576 K435:L588 K163:L234">
    <cfRule type="cellIs" dxfId="163" priority="5467" operator="equal">
      <formula>$K$13</formula>
    </cfRule>
  </conditionalFormatting>
  <conditionalFormatting sqref="K149:L156 K158:L162">
    <cfRule type="cellIs" dxfId="162" priority="4948" operator="equal">
      <formula>"PTP A FO"</formula>
    </cfRule>
    <cfRule type="cellIs" dxfId="161" priority="4949" operator="equal">
      <formula>"PTP A FO"</formula>
    </cfRule>
    <cfRule type="cellIs" dxfId="160" priority="4947" operator="equal">
      <formula>$K$13</formula>
    </cfRule>
  </conditionalFormatting>
  <conditionalFormatting sqref="K157:L157">
    <cfRule type="containsText" dxfId="159" priority="347" operator="containsText" text="Radio">
      <formula>NOT(ISERROR(SEARCH("Radio",K157)))</formula>
    </cfRule>
    <cfRule type="cellIs" dxfId="158" priority="348" operator="equal">
      <formula>$K$13</formula>
    </cfRule>
    <cfRule type="cellIs" dxfId="157" priority="349" operator="equal">
      <formula>"PTP A FO"</formula>
    </cfRule>
    <cfRule type="cellIs" dxfId="156" priority="350" operator="equal">
      <formula>"PTP A FO"</formula>
    </cfRule>
  </conditionalFormatting>
  <conditionalFormatting sqref="K589:L589">
    <cfRule type="cellIs" dxfId="155" priority="2805" operator="equal">
      <formula>"PTP A FO"</formula>
    </cfRule>
    <cfRule type="cellIs" dxfId="154" priority="2804" operator="equal">
      <formula>$K$13</formula>
    </cfRule>
  </conditionalFormatting>
  <conditionalFormatting sqref="L148">
    <cfRule type="cellIs" dxfId="153" priority="4953" operator="equal">
      <formula>$K$13</formula>
    </cfRule>
    <cfRule type="cellIs" dxfId="152" priority="4954" operator="equal">
      <formula>"PTP A FO"</formula>
    </cfRule>
    <cfRule type="cellIs" dxfId="151" priority="4955" operator="equal">
      <formula>"PTP A FO"</formula>
    </cfRule>
  </conditionalFormatting>
  <conditionalFormatting sqref="M157:N157">
    <cfRule type="containsText" dxfId="150" priority="344" operator="containsText" text="Radio">
      <formula>NOT(ISERROR(SEARCH("Radio",M157)))</formula>
    </cfRule>
  </conditionalFormatting>
  <conditionalFormatting sqref="R7:R406 R408:R608">
    <cfRule type="cellIs" dxfId="149" priority="5899" operator="greaterThan">
      <formula>0.8</formula>
    </cfRule>
    <cfRule type="cellIs" dxfId="148" priority="5898" operator="lessThan">
      <formula>0.8</formula>
    </cfRule>
  </conditionalFormatting>
  <conditionalFormatting sqref="S36:T43">
    <cfRule type="cellIs" dxfId="147" priority="898" operator="equal">
      <formula>"APAGADO"</formula>
    </cfRule>
  </conditionalFormatting>
  <conditionalFormatting sqref="S426:T434">
    <cfRule type="cellIs" dxfId="146" priority="856" operator="equal">
      <formula>"APAGADO"</formula>
    </cfRule>
  </conditionalFormatting>
  <conditionalFormatting sqref="S353:U369">
    <cfRule type="cellIs" dxfId="145" priority="773" operator="equal">
      <formula>"APAGADO"</formula>
    </cfRule>
  </conditionalFormatting>
  <conditionalFormatting sqref="S412:U415">
    <cfRule type="cellIs" dxfId="144" priority="1994" operator="equal">
      <formula>"APAGADO"</formula>
    </cfRule>
  </conditionalFormatting>
  <conditionalFormatting sqref="S435:W435 Y435:AD435">
    <cfRule type="cellIs" dxfId="143" priority="3696" operator="equal">
      <formula>"APAGADO"</formula>
    </cfRule>
  </conditionalFormatting>
  <conditionalFormatting sqref="S416:Z417">
    <cfRule type="cellIs" dxfId="142" priority="586" operator="equal">
      <formula>"APAGADO"</formula>
    </cfRule>
  </conditionalFormatting>
  <conditionalFormatting sqref="S121:AA121">
    <cfRule type="cellIs" dxfId="141" priority="3789" operator="equal">
      <formula>"APAGADO"</formula>
    </cfRule>
  </conditionalFormatting>
  <conditionalFormatting sqref="S436:AD436">
    <cfRule type="cellIs" dxfId="140" priority="566" operator="equal">
      <formula>"APAGADO"</formula>
    </cfRule>
  </conditionalFormatting>
  <conditionalFormatting sqref="S333:AK336">
    <cfRule type="cellIs" dxfId="139" priority="245" operator="equal">
      <formula>"APAGADO"</formula>
    </cfRule>
  </conditionalFormatting>
  <conditionalFormatting sqref="S337:AT343 S346:AT352 S344:AO345 AQ344:AT345">
    <cfRule type="cellIs" dxfId="138" priority="35" operator="equal">
      <formula>"APAGADO"</formula>
    </cfRule>
  </conditionalFormatting>
  <conditionalFormatting sqref="S370:AT371 S374:AT406 S372:AO373 AQ372:AT373">
    <cfRule type="cellIs" dxfId="137" priority="69" operator="equal">
      <formula>"APAGADO"</formula>
    </cfRule>
  </conditionalFormatting>
  <conditionalFormatting sqref="S408:AT411">
    <cfRule type="cellIs" dxfId="136" priority="1341" operator="equal">
      <formula>"APAGADO"</formula>
    </cfRule>
  </conditionalFormatting>
  <conditionalFormatting sqref="S8:AV35">
    <cfRule type="cellIs" dxfId="135" priority="906" operator="equal">
      <formula>"APAGADO"</formula>
    </cfRule>
  </conditionalFormatting>
  <conditionalFormatting sqref="S44:AV76 S78:AV120 S77:AO77 AQ77:AV77">
    <cfRule type="cellIs" dxfId="134" priority="87" operator="equal">
      <formula>"APAGADO"</formula>
    </cfRule>
  </conditionalFormatting>
  <conditionalFormatting sqref="S122:AV130 S132:AV137 S131:AO131 AQ131:AV131 S139:AV148 S138:AO138 AQ138:AV138 S150:AV171 S149:AO149 AQ149:AV149 S173:AV197 S172:AO172 AQ172:AV172 S199:AV212 S198:AO198 AQ198:AV198 S214:AV219 S213:AO213 AQ213:AV213 S221:AV230 S220:AO220 AQ220:AV220 S232:AV234 S231:AO231 AQ231:AV231">
    <cfRule type="cellIs" dxfId="133" priority="80" operator="equal">
      <formula>"APAGADO"</formula>
    </cfRule>
  </conditionalFormatting>
  <conditionalFormatting sqref="S238:AV252 S254:AV254 S253:AO253 AQ253:AV253 S258:AV302 S255:AO257 AQ255:AV257 S305:AV323 S303:AO304 AQ303:AV304 S325:AV325 S324:AO324 AQ324:AV324 S328:AV332 S326:AO327 AQ326:AV327">
    <cfRule type="cellIs" dxfId="132" priority="39" operator="equal">
      <formula>"APAGADO"</formula>
    </cfRule>
  </conditionalFormatting>
  <conditionalFormatting sqref="S418:AV419 S421:AV421 S420:AO420 AQ420:AV420 S422:AO425 AQ422:AV425">
    <cfRule type="cellIs" dxfId="131" priority="63" operator="equal">
      <formula>"APAGADO"</formula>
    </cfRule>
  </conditionalFormatting>
  <conditionalFormatting sqref="S437:AV440 S442:AV467 S441:AO441 AQ441:AV441 S468:AO470 AQ468:AV470 S471:AV608">
    <cfRule type="cellIs" dxfId="6" priority="46" operator="equal">
      <formula>"APAGADO"</formula>
    </cfRule>
  </conditionalFormatting>
  <conditionalFormatting sqref="S690:AV766 AC690:AN1048576">
    <cfRule type="cellIs" dxfId="130" priority="5045" operator="equal">
      <formula>"apagado"</formula>
    </cfRule>
  </conditionalFormatting>
  <conditionalFormatting sqref="S690:AV1048576">
    <cfRule type="containsText" dxfId="129" priority="5595" operator="containsText" text="Caida">
      <formula>NOT(ISERROR(SEARCH("Caida",S690)))</formula>
    </cfRule>
    <cfRule type="notContainsText" dxfId="128" priority="5928" operator="notContains" text="Caida">
      <formula>ISERROR(SEARCH("Caida",S690))</formula>
    </cfRule>
  </conditionalFormatting>
  <conditionalFormatting sqref="U690:U1209">
    <cfRule type="cellIs" dxfId="127" priority="5250" operator="greaterThan">
      <formula>0.8</formula>
    </cfRule>
    <cfRule type="cellIs" dxfId="126" priority="5354" operator="equal">
      <formula>"APAGADO"</formula>
    </cfRule>
    <cfRule type="cellIs" dxfId="125" priority="5227" operator="greaterThan">
      <formula>0.8</formula>
    </cfRule>
    <cfRule type="notContainsText" dxfId="124" priority="5224" operator="notContains" text="Caida">
      <formula>ISERROR(SEARCH("Caida",U690))</formula>
    </cfRule>
    <cfRule type="containsText" dxfId="123" priority="5225" operator="containsText" text="Caida">
      <formula>NOT(ISERROR(SEARCH("Caida",U690)))</formula>
    </cfRule>
    <cfRule type="cellIs" dxfId="122" priority="5226" operator="lessThan">
      <formula>0.8</formula>
    </cfRule>
  </conditionalFormatting>
  <conditionalFormatting sqref="U690:U1048576">
    <cfRule type="cellIs" dxfId="121" priority="5244" operator="equal">
      <formula>$U$16</formula>
    </cfRule>
  </conditionalFormatting>
  <conditionalFormatting sqref="U37:W38">
    <cfRule type="cellIs" dxfId="120" priority="3757" operator="equal">
      <formula>"APAGADO"</formula>
    </cfRule>
  </conditionalFormatting>
  <conditionalFormatting sqref="U434:W434">
    <cfRule type="cellIs" dxfId="119" priority="1873" operator="equal">
      <formula>"APAGADO"</formula>
    </cfRule>
  </conditionalFormatting>
  <conditionalFormatting sqref="U39:AG40">
    <cfRule type="cellIs" dxfId="118" priority="1604" operator="equal">
      <formula>"APAGADO"</formula>
    </cfRule>
  </conditionalFormatting>
  <conditionalFormatting sqref="U36:AV36">
    <cfRule type="cellIs" dxfId="117" priority="1181" operator="equal">
      <formula>"APAGADO"</formula>
    </cfRule>
  </conditionalFormatting>
  <conditionalFormatting sqref="U41:AV43">
    <cfRule type="cellIs" dxfId="116" priority="618" operator="equal">
      <formula>"APAGADO"</formula>
    </cfRule>
  </conditionalFormatting>
  <conditionalFormatting sqref="U426:AV432">
    <cfRule type="cellIs" dxfId="115" priority="495" operator="equal">
      <formula>"APAGADO"</formula>
    </cfRule>
  </conditionalFormatting>
  <conditionalFormatting sqref="V236:W236">
    <cfRule type="cellIs" dxfId="114" priority="3769" operator="equal">
      <formula>"APAGADO"</formula>
    </cfRule>
  </conditionalFormatting>
  <conditionalFormatting sqref="V353:AT359">
    <cfRule type="cellIs" dxfId="113" priority="590" operator="equal">
      <formula>"APAGADO"</formula>
    </cfRule>
  </conditionalFormatting>
  <conditionalFormatting sqref="V361:AT369">
    <cfRule type="cellIs" dxfId="112" priority="1149" operator="equal">
      <formula>"APAGADO"</formula>
    </cfRule>
  </conditionalFormatting>
  <conditionalFormatting sqref="X434:X435">
    <cfRule type="cellIs" dxfId="111" priority="3625" operator="equal">
      <formula>"APAGADO"</formula>
    </cfRule>
  </conditionalFormatting>
  <conditionalFormatting sqref="X415:Z415">
    <cfRule type="cellIs" dxfId="110" priority="3344" operator="equal">
      <formula>"APAGADO"</formula>
    </cfRule>
  </conditionalFormatting>
  <conditionalFormatting sqref="X38:AG38">
    <cfRule type="cellIs" dxfId="109" priority="4821" operator="equal">
      <formula>"APAGADO"</formula>
    </cfRule>
  </conditionalFormatting>
  <conditionalFormatting sqref="X37:AJ37 AF235:AF237 V360:AH360 AJ360:AT360 AO690:AV1048576">
    <cfRule type="cellIs" dxfId="108" priority="5044" operator="equal">
      <formula>"APAGADO"</formula>
    </cfRule>
  </conditionalFormatting>
  <conditionalFormatting sqref="Y434:AO434">
    <cfRule type="cellIs" dxfId="107" priority="1267" operator="equal">
      <formula>"APAGADO"</formula>
    </cfRule>
  </conditionalFormatting>
  <conditionalFormatting sqref="Y407:AT407">
    <cfRule type="cellIs" dxfId="106" priority="3345" operator="equal">
      <formula>"APAGADO"</formula>
    </cfRule>
  </conditionalFormatting>
  <conditionalFormatting sqref="AA416:AP416">
    <cfRule type="cellIs" dxfId="105" priority="68" operator="equal">
      <formula>"APAGADO"</formula>
    </cfRule>
  </conditionalFormatting>
  <conditionalFormatting sqref="AA417:AU417">
    <cfRule type="cellIs" dxfId="104" priority="2585" operator="equal">
      <formula>"APAGADO"</formula>
    </cfRule>
  </conditionalFormatting>
  <conditionalFormatting sqref="AC121:AV121">
    <cfRule type="cellIs" dxfId="103" priority="3957" operator="equal">
      <formula>"APAGADO"</formula>
    </cfRule>
  </conditionalFormatting>
  <conditionalFormatting sqref="AD415:AI415">
    <cfRule type="cellIs" dxfId="102" priority="1698" operator="equal">
      <formula>"APAGADO"</formula>
    </cfRule>
  </conditionalFormatting>
  <conditionalFormatting sqref="AE435:AV436">
    <cfRule type="cellIs" dxfId="101" priority="490" operator="equal">
      <formula>"APAGADO"</formula>
    </cfRule>
  </conditionalFormatting>
  <conditionalFormatting sqref="AH236:AI236">
    <cfRule type="cellIs" dxfId="100" priority="4826" operator="equal">
      <formula>"APAGADO"</formula>
    </cfRule>
  </conditionalFormatting>
  <conditionalFormatting sqref="AH38:AV40">
    <cfRule type="cellIs" dxfId="99" priority="1030" operator="equal">
      <formula>"APAGADO"</formula>
    </cfRule>
  </conditionalFormatting>
  <conditionalFormatting sqref="AL334:AL336">
    <cfRule type="cellIs" dxfId="98" priority="195" operator="equal">
      <formula>"APAGADO"</formula>
    </cfRule>
  </conditionalFormatting>
  <conditionalFormatting sqref="AL333:AM333">
    <cfRule type="cellIs" dxfId="97" priority="203" operator="equal">
      <formula>"APAGADO"</formula>
    </cfRule>
  </conditionalFormatting>
  <conditionalFormatting sqref="AL236:AP236">
    <cfRule type="cellIs" dxfId="96" priority="4367" operator="equal">
      <formula>"APAGADO"</formula>
    </cfRule>
  </conditionalFormatting>
  <conditionalFormatting sqref="AL415:AP415">
    <cfRule type="cellIs" dxfId="95" priority="1391" operator="equal">
      <formula>"APAGADO"</formula>
    </cfRule>
  </conditionalFormatting>
  <conditionalFormatting sqref="AL37:AV37">
    <cfRule type="cellIs" dxfId="94" priority="3964" operator="equal">
      <formula>"APAGADO"</formula>
    </cfRule>
  </conditionalFormatting>
  <conditionalFormatting sqref="AM334:AM335">
    <cfRule type="cellIs" dxfId="93" priority="142" operator="equal">
      <formula>"APAGADO"</formula>
    </cfRule>
  </conditionalFormatting>
  <conditionalFormatting sqref="AM336:AT336">
    <cfRule type="cellIs" dxfId="92" priority="328" operator="equal">
      <formula>"APAGADO"</formula>
    </cfRule>
  </conditionalFormatting>
  <conditionalFormatting sqref="AN333:AO335 AQ333:AV335">
    <cfRule type="cellIs" dxfId="91" priority="36" operator="equal">
      <formula>"APAGADO"</formula>
    </cfRule>
  </conditionalFormatting>
  <conditionalFormatting sqref="AR416:AU416">
    <cfRule type="cellIs" dxfId="90" priority="1058" operator="equal">
      <formula>"APAGADO"</formula>
    </cfRule>
  </conditionalFormatting>
  <conditionalFormatting sqref="AR434:AU434">
    <cfRule type="cellIs" dxfId="89" priority="2159" operator="equal">
      <formula>"APAGADO"</formula>
    </cfRule>
  </conditionalFormatting>
  <conditionalFormatting sqref="AR236:AV236">
    <cfRule type="cellIs" dxfId="88" priority="3938" operator="equal">
      <formula>"APAGADO"</formula>
    </cfRule>
  </conditionalFormatting>
  <conditionalFormatting sqref="AU336:AV411">
    <cfRule type="cellIs" dxfId="87" priority="972" operator="equal">
      <formula>"APAGADO"</formula>
    </cfRule>
  </conditionalFormatting>
  <conditionalFormatting sqref="AV415:AV417">
    <cfRule type="cellIs" dxfId="86" priority="1008" operator="equal">
      <formula>"APAGADO"</formula>
    </cfRule>
  </conditionalFormatting>
  <conditionalFormatting sqref="AP77">
    <cfRule type="cellIs" dxfId="35" priority="34" operator="equal">
      <formula>"APAGADO"</formula>
    </cfRule>
  </conditionalFormatting>
  <conditionalFormatting sqref="AP131">
    <cfRule type="cellIs" dxfId="34" priority="33" operator="equal">
      <formula>"APAGADO"</formula>
    </cfRule>
  </conditionalFormatting>
  <conditionalFormatting sqref="AP138">
    <cfRule type="cellIs" dxfId="33" priority="32" operator="equal">
      <formula>"APAGADO"</formula>
    </cfRule>
  </conditionalFormatting>
  <conditionalFormatting sqref="AP149">
    <cfRule type="cellIs" dxfId="32" priority="31" operator="equal">
      <formula>"APAGADO"</formula>
    </cfRule>
  </conditionalFormatting>
  <conditionalFormatting sqref="AP172">
    <cfRule type="cellIs" dxfId="31" priority="30" operator="equal">
      <formula>"APAGADO"</formula>
    </cfRule>
  </conditionalFormatting>
  <conditionalFormatting sqref="AP198">
    <cfRule type="cellIs" dxfId="30" priority="29" operator="equal">
      <formula>"APAGADO"</formula>
    </cfRule>
  </conditionalFormatting>
  <conditionalFormatting sqref="AP213">
    <cfRule type="cellIs" dxfId="29" priority="28" operator="equal">
      <formula>"APAGADO"</formula>
    </cfRule>
  </conditionalFormatting>
  <conditionalFormatting sqref="AP220">
    <cfRule type="cellIs" dxfId="28" priority="27" operator="equal">
      <formula>"APAGADO"</formula>
    </cfRule>
  </conditionalFormatting>
  <conditionalFormatting sqref="AP231">
    <cfRule type="cellIs" dxfId="27" priority="26" operator="equal">
      <formula>"APAGADO"</formula>
    </cfRule>
  </conditionalFormatting>
  <conditionalFormatting sqref="AP253">
    <cfRule type="cellIs" dxfId="26" priority="25" operator="equal">
      <formula>"APAGADO"</formula>
    </cfRule>
  </conditionalFormatting>
  <conditionalFormatting sqref="AP255">
    <cfRule type="cellIs" dxfId="25" priority="24" operator="equal">
      <formula>"APAGADO"</formula>
    </cfRule>
  </conditionalFormatting>
  <conditionalFormatting sqref="AP256">
    <cfRule type="cellIs" dxfId="24" priority="23" operator="equal">
      <formula>"APAGADO"</formula>
    </cfRule>
  </conditionalFormatting>
  <conditionalFormatting sqref="AP257">
    <cfRule type="cellIs" dxfId="23" priority="22" operator="equal">
      <formula>"APAGADO"</formula>
    </cfRule>
  </conditionalFormatting>
  <conditionalFormatting sqref="AP303">
    <cfRule type="cellIs" dxfId="22" priority="21" operator="equal">
      <formula>"APAGADO"</formula>
    </cfRule>
  </conditionalFormatting>
  <conditionalFormatting sqref="AP304">
    <cfRule type="cellIs" dxfId="21" priority="20" operator="equal">
      <formula>"APAGADO"</formula>
    </cfRule>
  </conditionalFormatting>
  <conditionalFormatting sqref="AP344">
    <cfRule type="cellIs" dxfId="20" priority="19" operator="equal">
      <formula>"APAGADO"</formula>
    </cfRule>
  </conditionalFormatting>
  <conditionalFormatting sqref="AP345">
    <cfRule type="cellIs" dxfId="19" priority="18" operator="equal">
      <formula>"APAGADO"</formula>
    </cfRule>
  </conditionalFormatting>
  <conditionalFormatting sqref="AP372">
    <cfRule type="cellIs" dxfId="18" priority="17" operator="equal">
      <formula>"APAGADO"</formula>
    </cfRule>
  </conditionalFormatting>
  <conditionalFormatting sqref="AP373">
    <cfRule type="cellIs" dxfId="17" priority="16" operator="equal">
      <formula>"APAGADO"</formula>
    </cfRule>
  </conditionalFormatting>
  <conditionalFormatting sqref="AP420">
    <cfRule type="cellIs" dxfId="16" priority="15" operator="equal">
      <formula>"APAGADO"</formula>
    </cfRule>
  </conditionalFormatting>
  <conditionalFormatting sqref="AP422">
    <cfRule type="cellIs" dxfId="15" priority="14" operator="equal">
      <formula>"APAGADO"</formula>
    </cfRule>
  </conditionalFormatting>
  <conditionalFormatting sqref="AP423">
    <cfRule type="cellIs" dxfId="14" priority="13" operator="equal">
      <formula>"APAGADO"</formula>
    </cfRule>
  </conditionalFormatting>
  <conditionalFormatting sqref="AP425">
    <cfRule type="cellIs" dxfId="13" priority="12" operator="equal">
      <formula>"APAGADO"</formula>
    </cfRule>
  </conditionalFormatting>
  <conditionalFormatting sqref="AP424">
    <cfRule type="cellIs" dxfId="12" priority="11" operator="equal">
      <formula>"APAGADO"</formula>
    </cfRule>
  </conditionalFormatting>
  <conditionalFormatting sqref="AP441">
    <cfRule type="cellIs" dxfId="11" priority="10" operator="equal">
      <formula>"APAGADO"</formula>
    </cfRule>
  </conditionalFormatting>
  <conditionalFormatting sqref="AP468">
    <cfRule type="cellIs" dxfId="9" priority="9" operator="equal">
      <formula>"APAGADO"</formula>
    </cfRule>
  </conditionalFormatting>
  <conditionalFormatting sqref="AP470">
    <cfRule type="cellIs" dxfId="8" priority="8" operator="equal">
      <formula>"APAGADO"</formula>
    </cfRule>
  </conditionalFormatting>
  <conditionalFormatting sqref="AP469">
    <cfRule type="cellIs" dxfId="7" priority="7" operator="equal">
      <formula>"APAGADO"</formula>
    </cfRule>
  </conditionalFormatting>
  <conditionalFormatting sqref="AP324">
    <cfRule type="cellIs" dxfId="5" priority="6" operator="equal">
      <formula>"APAGADO"</formula>
    </cfRule>
  </conditionalFormatting>
  <conditionalFormatting sqref="AP333">
    <cfRule type="cellIs" dxfId="4" priority="5" operator="equal">
      <formula>"APAGADO"</formula>
    </cfRule>
  </conditionalFormatting>
  <conditionalFormatting sqref="AP334">
    <cfRule type="cellIs" dxfId="3" priority="4" operator="equal">
      <formula>"APAGADO"</formula>
    </cfRule>
  </conditionalFormatting>
  <conditionalFormatting sqref="AP335">
    <cfRule type="cellIs" dxfId="2" priority="3" operator="equal">
      <formula>"APAGADO"</formula>
    </cfRule>
  </conditionalFormatting>
  <conditionalFormatting sqref="AP326">
    <cfRule type="cellIs" dxfId="1" priority="2" operator="equal">
      <formula>"APAGADO"</formula>
    </cfRule>
  </conditionalFormatting>
  <conditionalFormatting sqref="AP327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>
        <f>'RESUMEN TOTAL'!AT408</f>
        <v>0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>
        <f>'RESUMEN TOTAL'!AS420</f>
        <v>0</v>
      </c>
      <c r="AG319" s="70">
        <f>'RESUMEN TOTAL'!AT420</f>
        <v>0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>
        <f>'RESUMEN TOTAL'!AS422</f>
        <v>0</v>
      </c>
      <c r="AG321" s="70">
        <f>'RESUMEN TOTAL'!AT422</f>
        <v>0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>
        <f>'RESUMEN TOTAL'!AS423</f>
        <v>0</v>
      </c>
      <c r="AG322" s="70">
        <f>'RESUMEN TOTAL'!AT423</f>
        <v>0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>
        <f>'RESUMEN TOTAL'!AS424</f>
        <v>0</v>
      </c>
      <c r="AG323" s="70">
        <f>'RESUMEN TOTAL'!AT424</f>
        <v>0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>
        <f>'RESUMEN TOTAL'!AS425</f>
        <v>0</v>
      </c>
      <c r="AG324" s="70">
        <f>'RESUMEN TOTAL'!AT425</f>
        <v>0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>
        <f>'RESUMEN TOTAL'!AS441</f>
        <v>0</v>
      </c>
      <c r="AG333" s="70">
        <f>'RESUMEN TOTAL'!AT441</f>
        <v>0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>
        <f>'RESUMEN TOTAL'!AS454</f>
        <v>0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>
        <f>'RESUMEN TOTAL'!AS455</f>
        <v>0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>
        <f>'RESUMEN TOTAL'!AS456</f>
        <v>0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>
        <f>'RESUMEN TOTAL'!AS457</f>
        <v>0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>
        <f>'RESUMEN TOTAL'!AS458</f>
        <v>0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>
        <f>'RESUMEN TOTAL'!AS459</f>
        <v>0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>
        <f>'RESUMEN TOTAL'!AS465</f>
        <v>0</v>
      </c>
      <c r="AG354" s="70">
        <f>'RESUMEN TOTAL'!AT465</f>
        <v>0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>
        <f>'RESUMEN TOTAL'!AS468</f>
        <v>0</v>
      </c>
      <c r="AG357" s="70">
        <f>'RESUMEN TOTAL'!AT468</f>
        <v>0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>
        <f>'RESUMEN TOTAL'!AS469</f>
        <v>0</v>
      </c>
      <c r="AG358" s="70">
        <f>'RESUMEN TOTAL'!AT469</f>
        <v>0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>
        <f>'RESUMEN TOTAL'!AS479</f>
        <v>0</v>
      </c>
      <c r="AG361" s="70">
        <f>'RESUMEN TOTAL'!AT479</f>
        <v>0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>
        <f>'RESUMEN TOTAL'!AS480</f>
        <v>0</v>
      </c>
      <c r="AG362" s="70">
        <f>'RESUMEN TOTAL'!AT480</f>
        <v>0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>
        <f>'RESUMEN TOTAL'!AS481</f>
        <v>0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>
        <f>'RESUMEN TOTAL'!AS537</f>
        <v>0</v>
      </c>
      <c r="AG411" s="70">
        <f>'RESUMEN TOTAL'!AT537</f>
        <v>0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>
        <f>'RESUMEN TOTAL'!AS540</f>
        <v>0</v>
      </c>
      <c r="AG414" s="70">
        <f>'RESUMEN TOTAL'!AT540</f>
        <v>0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>
        <f>'RESUMEN TOTAL'!AS541</f>
        <v>0</v>
      </c>
      <c r="AG415" s="70">
        <f>'RESUMEN TOTAL'!AT541</f>
        <v>0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>
        <f>'RESUMEN TOTAL'!AS560</f>
        <v>0</v>
      </c>
      <c r="AG428" s="70">
        <f>'RESUMEN TOTAL'!AT560</f>
        <v>0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>
        <f>'RESUMEN TOTAL'!AS584</f>
        <v>0</v>
      </c>
      <c r="AG446" s="70">
        <f>'RESUMEN TOTAL'!AT584</f>
        <v>0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85" priority="97" operator="containsText" text="fija">
      <formula>NOT(ISERROR(SEARCH("fija",D4)))</formula>
    </cfRule>
    <cfRule type="containsText" dxfId="84" priority="98" operator="containsText" text="domo">
      <formula>NOT(ISERROR(SEARCH("domo",D4)))</formula>
    </cfRule>
    <cfRule type="cellIs" dxfId="83" priority="924" operator="equal">
      <formula>$D$7</formula>
    </cfRule>
  </conditionalFormatting>
  <conditionalFormatting sqref="D439">
    <cfRule type="containsText" dxfId="82" priority="69" operator="containsText" text="Radio">
      <formula>NOT(ISERROR(SEARCH("Radio",D439)))</formula>
    </cfRule>
    <cfRule type="containsText" dxfId="81" priority="68" operator="containsText" text="domo">
      <formula>NOT(ISERROR(SEARCH("domo",D439)))</formula>
    </cfRule>
    <cfRule type="containsText" dxfId="80" priority="67" operator="containsText" text="fija">
      <formula>NOT(ISERROR(SEARCH("fija",D439)))</formula>
    </cfRule>
  </conditionalFormatting>
  <conditionalFormatting sqref="D439:D440">
    <cfRule type="containsText" dxfId="79" priority="65" operator="containsText" text="domo">
      <formula>NOT(ISERROR(SEARCH("domo",D439)))</formula>
    </cfRule>
    <cfRule type="containsText" dxfId="78" priority="64" operator="containsText" text="fija">
      <formula>NOT(ISERROR(SEARCH("fija",D439)))</formula>
    </cfRule>
  </conditionalFormatting>
  <conditionalFormatting sqref="D440">
    <cfRule type="containsText" dxfId="77" priority="66" operator="containsText" text="Radio">
      <formula>NOT(ISERROR(SEARCH("Radio",D440)))</formula>
    </cfRule>
    <cfRule type="containsText" dxfId="76" priority="63" operator="containsText" text="domo">
      <formula>NOT(ISERROR(SEARCH("domo",D440)))</formula>
    </cfRule>
    <cfRule type="containsText" dxfId="75" priority="62" operator="containsText" text="fija">
      <formula>NOT(ISERROR(SEARCH("fija",D440)))</formula>
    </cfRule>
  </conditionalFormatting>
  <conditionalFormatting sqref="D443">
    <cfRule type="containsText" dxfId="74" priority="59" operator="containsText" text="fija">
      <formula>NOT(ISERROR(SEARCH("fija",D443)))</formula>
    </cfRule>
    <cfRule type="containsText" dxfId="73" priority="61" operator="containsText" text="Radio">
      <formula>NOT(ISERROR(SEARCH("Radio",D443)))</formula>
    </cfRule>
    <cfRule type="containsText" dxfId="72" priority="60" operator="containsText" text="domo">
      <formula>NOT(ISERROR(SEARCH("domo",D443)))</formula>
    </cfRule>
  </conditionalFormatting>
  <conditionalFormatting sqref="D443:D444">
    <cfRule type="containsText" dxfId="71" priority="56" operator="containsText" text="fija">
      <formula>NOT(ISERROR(SEARCH("fija",D443)))</formula>
    </cfRule>
    <cfRule type="containsText" dxfId="70" priority="57" operator="containsText" text="domo">
      <formula>NOT(ISERROR(SEARCH("domo",D443)))</formula>
    </cfRule>
  </conditionalFormatting>
  <conditionalFormatting sqref="D444:D445">
    <cfRule type="containsText" dxfId="69" priority="54" operator="containsText" text="domo">
      <formula>NOT(ISERROR(SEARCH("domo",D444)))</formula>
    </cfRule>
    <cfRule type="containsText" dxfId="68" priority="53" operator="containsText" text="fija">
      <formula>NOT(ISERROR(SEARCH("fija",D444)))</formula>
    </cfRule>
  </conditionalFormatting>
  <conditionalFormatting sqref="D445">
    <cfRule type="containsText" dxfId="67" priority="55" operator="containsText" text="Radio">
      <formula>NOT(ISERROR(SEARCH("Radio",D445)))</formula>
    </cfRule>
  </conditionalFormatting>
  <conditionalFormatting sqref="D445:D446">
    <cfRule type="containsText" dxfId="66" priority="50" operator="containsText" text="fija">
      <formula>NOT(ISERROR(SEARCH("fija",D445)))</formula>
    </cfRule>
    <cfRule type="containsText" dxfId="65" priority="51" operator="containsText" text="domo">
      <formula>NOT(ISERROR(SEARCH("domo",D445)))</formula>
    </cfRule>
  </conditionalFormatting>
  <conditionalFormatting sqref="D446">
    <cfRule type="containsText" dxfId="64" priority="48" operator="containsText" text="fija">
      <formula>NOT(ISERROR(SEARCH("fija",D446)))</formula>
    </cfRule>
    <cfRule type="containsText" dxfId="63" priority="49" operator="containsText" text="domo">
      <formula>NOT(ISERROR(SEARCH("domo",D446)))</formula>
    </cfRule>
    <cfRule type="containsText" dxfId="62" priority="52" operator="containsText" text="Radio">
      <formula>NOT(ISERROR(SEARCH("Radio",D446)))</formula>
    </cfRule>
  </conditionalFormatting>
  <conditionalFormatting sqref="D448">
    <cfRule type="containsText" dxfId="61" priority="171" operator="containsText" text="fija">
      <formula>NOT(ISERROR(SEARCH("fija",D448)))</formula>
    </cfRule>
    <cfRule type="containsText" dxfId="60" priority="172" operator="containsText" text="domo">
      <formula>NOT(ISERROR(SEARCH("domo",D448)))</formula>
    </cfRule>
  </conditionalFormatting>
  <conditionalFormatting sqref="D451:D453">
    <cfRule type="containsText" dxfId="59" priority="70" operator="containsText" text="fija">
      <formula>NOT(ISERROR(SEARCH("fija",D451)))</formula>
    </cfRule>
    <cfRule type="containsText" dxfId="58" priority="71" operator="containsText" text="domo">
      <formula>NOT(ISERROR(SEARCH("domo",D451)))</formula>
    </cfRule>
  </conditionalFormatting>
  <conditionalFormatting sqref="D642">
    <cfRule type="containsText" dxfId="57" priority="1" operator="containsText" text="Radio">
      <formula>NOT(ISERROR(SEARCH("Radio",D642)))</formula>
    </cfRule>
  </conditionalFormatting>
  <conditionalFormatting sqref="D4:E641">
    <cfRule type="containsText" dxfId="56" priority="58" operator="containsText" text="Radio">
      <formula>NOT(ISERROR(SEARCH("Radio",D4)))</formula>
    </cfRule>
  </conditionalFormatting>
  <conditionalFormatting sqref="D448:E448 D458:E641">
    <cfRule type="containsText" dxfId="55" priority="193" operator="containsText" text="Radio">
      <formula>NOT(ISERROR(SEARCH("Radio",D448)))</formula>
    </cfRule>
  </conditionalFormatting>
  <conditionalFormatting sqref="E4:E665">
    <cfRule type="cellIs" dxfId="54" priority="169" operator="equal">
      <formula>"PTP A FO"</formula>
    </cfRule>
    <cfRule type="cellIs" dxfId="53" priority="927" operator="equal">
      <formula>$E$10</formula>
    </cfRule>
    <cfRule type="cellIs" dxfId="52" priority="928" operator="equal">
      <formula>"PTP A FO"</formula>
    </cfRule>
  </conditionalFormatting>
  <conditionalFormatting sqref="E438">
    <cfRule type="cellIs" dxfId="51" priority="11" operator="equal">
      <formula>"PTP A FO"</formula>
    </cfRule>
    <cfRule type="containsText" dxfId="50" priority="10" operator="containsText" text="Radio">
      <formula>NOT(ISERROR(SEARCH("Radio",E438)))</formula>
    </cfRule>
  </conditionalFormatting>
  <conditionalFormatting sqref="E642:E665">
    <cfRule type="containsText" dxfId="49" priority="3" operator="containsText" text="Radio">
      <formula>NOT(ISERROR(SEARCH("Radio",E642)))</formula>
    </cfRule>
  </conditionalFormatting>
  <conditionalFormatting sqref="F5:AJ643">
    <cfRule type="notContainsText" dxfId="48" priority="13" operator="notContains" text="Caida">
      <formula>ISERROR(SEARCH("Caida",F5))</formula>
    </cfRule>
    <cfRule type="cellIs" dxfId="47" priority="8" operator="equal">
      <formula>"apagado"</formula>
    </cfRule>
    <cfRule type="cellIs" dxfId="46" priority="16" operator="greaterThan">
      <formula>0.8</formula>
    </cfRule>
    <cfRule type="cellIs" dxfId="45" priority="12" operator="equal">
      <formula>"APAGADO"</formula>
    </cfRule>
    <cfRule type="cellIs" dxfId="44" priority="15" operator="lessThan">
      <formula>0.8</formula>
    </cfRule>
    <cfRule type="containsText" dxfId="43" priority="14" operator="containsText" text="Caida">
      <formula>NOT(ISERROR(SEARCH("Caida",F5)))</formula>
    </cfRule>
  </conditionalFormatting>
  <conditionalFormatting sqref="H4">
    <cfRule type="cellIs" dxfId="42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41" priority="5" operator="greaterThan">
      <formula>0.1</formula>
    </cfRule>
    <cfRule type="cellIs" dxfId="40" priority="6" operator="greaterThan">
      <formula>10</formula>
    </cfRule>
  </conditionalFormatting>
  <conditionalFormatting sqref="C5 F6:AJ6">
    <cfRule type="cellIs" dxfId="39" priority="3" operator="greaterThan">
      <formula>0.1</formula>
    </cfRule>
    <cfRule type="cellIs" dxfId="38" priority="4" operator="greaterThan">
      <formula>0.11</formula>
    </cfRule>
  </conditionalFormatting>
  <conditionalFormatting sqref="F4:AJ4">
    <cfRule type="cellIs" dxfId="37" priority="9" operator="greaterThan">
      <formula>0.1</formula>
    </cfRule>
    <cfRule type="cellIs" dxfId="36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5" zoomScaleNormal="100" workbookViewId="0">
      <selection activeCell="D301" sqref="D30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0.10333333333333333</v>
      </c>
      <c r="F304" s="160"/>
    </row>
    <row r="305" spans="2:6" x14ac:dyDescent="0.25">
      <c r="B305" s="53" t="s">
        <v>1212</v>
      </c>
      <c r="C305" s="67">
        <v>6</v>
      </c>
      <c r="D305" s="100">
        <f>C304-C305</f>
        <v>56</v>
      </c>
      <c r="E305" s="55">
        <f>D305/C303</f>
        <v>9.3333333333333338E-2</v>
      </c>
      <c r="F305" s="160"/>
    </row>
    <row r="306" spans="2:6" x14ac:dyDescent="0.25">
      <c r="B306" s="53" t="s">
        <v>1213</v>
      </c>
      <c r="C306" s="67">
        <v>9</v>
      </c>
      <c r="D306" s="100">
        <f>D305-C306</f>
        <v>47</v>
      </c>
      <c r="E306" s="55">
        <f>D306/C303</f>
        <v>7.8333333333333338E-2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42</v>
      </c>
      <c r="E311" s="111">
        <f>D311/C311</f>
        <v>0.14482758620689656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</v>
      </c>
      <c r="F315" s="160"/>
    </row>
    <row r="316" spans="2:6" x14ac:dyDescent="0.25">
      <c r="B316" s="53" t="s">
        <v>1212</v>
      </c>
      <c r="C316" s="67">
        <v>8</v>
      </c>
      <c r="D316" s="100">
        <f>C315-C316</f>
        <v>85</v>
      </c>
      <c r="E316" s="55">
        <f>D316/C314</f>
        <v>0.14166666666666666</v>
      </c>
      <c r="F316" s="160"/>
    </row>
    <row r="317" spans="2:6" x14ac:dyDescent="0.25">
      <c r="B317" s="53" t="s">
        <v>1213</v>
      </c>
      <c r="C317" s="67">
        <v>9</v>
      </c>
      <c r="D317" s="100">
        <f>D316-C318</f>
        <v>82</v>
      </c>
      <c r="E317" s="55">
        <f>D317/C314</f>
        <v>0.13666666666666666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0.13166666666666665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83</v>
      </c>
      <c r="E322" s="102">
        <f>D322/C322</f>
        <v>0.28620689655172415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1212</v>
      </c>
      <c r="C327" s="67">
        <v>9</v>
      </c>
      <c r="D327" s="100">
        <f>C326-C327</f>
        <v>-9</v>
      </c>
      <c r="E327" s="55">
        <f>D327/C325</f>
        <v>-1.4999999999999999E-2</v>
      </c>
      <c r="F327" s="160"/>
    </row>
    <row r="328" spans="2:6" x14ac:dyDescent="0.25">
      <c r="B328" s="53" t="s">
        <v>1213</v>
      </c>
      <c r="C328" s="67">
        <v>7</v>
      </c>
      <c r="D328" s="100">
        <f>D327-C328</f>
        <v>-16</v>
      </c>
      <c r="E328" s="55">
        <f>D328/C325</f>
        <v>-2.6666666666666668E-2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-0.03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52</v>
      </c>
      <c r="E333" s="111">
        <f>D333/C333</f>
        <v>0.1793103448275862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2026-07-27T19:20:43Z</dcterms:modified>
</cp:coreProperties>
</file>