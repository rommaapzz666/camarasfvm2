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8C3E08C1-D143-49EB-BCF4-39753F0C6E05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O3" i="25"/>
  <c r="D108" i="24" s="1"/>
  <c r="M3" i="25"/>
  <c r="D86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<sst xmlns="http://schemas.openxmlformats.org/spreadsheetml/2006/main" count="5128" uniqueCount="2239">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</sst>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tabSelected="1" zoomScale="55" zoomScaleNormal="55" workbookViewId="0">
      <pane xSplit="12" ySplit="7" topLeftCell="M329" activePane="bottomRight" state="frozen"/>
      <selection pane="topRight" activeCell="M1" sqref="M1"/>
      <selection pane="bottomLeft" activeCell="A5" sqref="A5"/>
      <selection pane="bottomRight" activeCell="H346" sqref="H34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0</v>
      </c>
      <c r="S4" s="10">
        <f>COUNTIFS(S8:S675, "=APAGADO",F8:F675,"=Fibra Optica")</f>
        <v>0</v>
      </c>
      <c r="T4" s="10">
        <f>COUNTIFS(T8:T675, "=APAGADO",F8:F675,"=Fibra Optica")</f>
        <v>0</v>
      </c>
      <c r="U4" s="10">
        <f>COUNTIFS(U8:U675, "=APAGADO",F8:F675,"=Fibra Optica")</f>
        <v>0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0</v>
      </c>
      <c r="S5" s="130">
        <f>COUNTIFS(S8:S675, "=APAGADO",F8:F675,"=RADIO")</f>
        <v>0</v>
      </c>
      <c r="T5" s="130">
        <f>COUNTIFS(T8:T675, "=APAGADO",F8:F675,"=RADIO")</f>
        <v>0</v>
      </c>
      <c r="U5" s="130">
        <f>COUNTIFS(U8:U675, "=APAGADO",F8:F675,"=RADIO")</f>
        <v>0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0</v>
      </c>
      <c r="S6" s="10">
        <f>COUNTIFS(S8:S675, "=APAGADO",F8:F675,"=PTO A FO")</f>
        <v>0</v>
      </c>
      <c r="T6" s="10">
        <f>COUNTIFS(T8:T675, "=APAGADO",F8:F675,"=PTO A FO")</f>
        <v>0</v>
      </c>
      <c r="U6" s="10">
        <f>COUNTIFS(U8:U675, "=APAGADO",F8:F675,"=PTO A FO")</f>
        <v>0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23</v>
      </c>
      <c r="J34" s="147" t="s">
        <v>1691</v>
      </c>
      <c r="K34" s="134">
        <f t="shared" si="5"/>
        <v>5</v>
      </c>
      <c r="L34" s="135">
        <f t="shared" si="6"/>
        <v>0.8214285714285714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1734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23</v>
      </c>
      <c r="J87" s="147" t="s">
        <v>1735</v>
      </c>
      <c r="K87" s="31">
        <f t="shared" si="8"/>
        <v>5</v>
      </c>
      <c r="L87" s="32">
        <f t="shared" si="9"/>
        <v>0.8214285714285714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23</v>
      </c>
      <c r="J97" s="147" t="s">
        <v>1745</v>
      </c>
      <c r="K97" s="142">
        <f t="shared" si="8"/>
        <v>5</v>
      </c>
      <c r="L97" s="143">
        <f t="shared" si="9"/>
        <v>0.8214285714285714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1752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23</v>
      </c>
      <c r="J116" s="147" t="s">
        <v>1763</v>
      </c>
      <c r="K116" s="31">
        <f t="shared" si="8"/>
        <v>5</v>
      </c>
      <c r="L116" s="32">
        <f t="shared" si="9"/>
        <v>0.8214285714285714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1772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26</v>
      </c>
      <c r="J128" s="147" t="s">
        <v>1775</v>
      </c>
      <c r="K128" s="31">
        <f t="shared" si="8"/>
        <v>2</v>
      </c>
      <c r="L128" s="32">
        <f t="shared" si="9"/>
        <v>0.9285714285714286</v>
      </c>
      <c r="M128" s="70" t="s">
        <v>2215</v>
      </c>
      <c r="N128" s="70"/>
      <c r="O128" s="70"/>
      <c r="P128" s="70"/>
      <c r="Q128" s="70" t="s">
        <v>2215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28</v>
      </c>
      <c r="J135" s="147" t="s">
        <v>1782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23</v>
      </c>
      <c r="J189" s="87"/>
      <c r="K189" s="138">
        <f t="shared" si="11"/>
        <v>5</v>
      </c>
      <c r="L189" s="139">
        <f t="shared" si="12"/>
        <v>0.8214285714285714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1825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28</v>
      </c>
      <c r="J193" s="147" t="s">
        <v>1827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26</v>
      </c>
      <c r="J197" s="147" t="s">
        <v>1830</v>
      </c>
      <c r="K197" s="31">
        <f t="shared" si="11"/>
        <v>2</v>
      </c>
      <c r="L197" s="32">
        <f t="shared" si="12"/>
        <v>0.9285714285714286</v>
      </c>
      <c r="M197" s="70"/>
      <c r="N197" s="70"/>
      <c r="O197" s="70"/>
      <c r="P197" s="70" t="s">
        <v>2215</v>
      </c>
      <c r="Q197" s="70" t="s">
        <v>2215</v>
      </c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26</v>
      </c>
      <c r="J214" s="87"/>
      <c r="K214" s="31">
        <f t="shared" si="11"/>
        <v>2</v>
      </c>
      <c r="L214" s="32">
        <f t="shared" si="12"/>
        <v>0.9285714285714286</v>
      </c>
      <c r="M214" s="70"/>
      <c r="N214" s="70"/>
      <c r="O214" s="70"/>
      <c r="P214" s="70" t="s">
        <v>2215</v>
      </c>
      <c r="Q214" s="70" t="s">
        <v>2215</v>
      </c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26</v>
      </c>
      <c r="J215" s="87"/>
      <c r="K215" s="31">
        <f t="shared" si="11"/>
        <v>2</v>
      </c>
      <c r="L215" s="32">
        <f t="shared" si="12"/>
        <v>0.9285714285714286</v>
      </c>
      <c r="M215" s="70"/>
      <c r="N215" s="70"/>
      <c r="O215" s="70"/>
      <c r="P215" s="70" t="s">
        <v>2215</v>
      </c>
      <c r="Q215" s="70" t="s">
        <v>2215</v>
      </c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28</v>
      </c>
      <c r="J227" s="147" t="s">
        <v>1855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28</v>
      </c>
      <c r="J229" s="147" t="s">
        <v>1857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28</v>
      </c>
      <c r="J230" s="147" t="s">
        <v>1858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28</v>
      </c>
      <c r="J240" s="147" t="s">
        <v>1868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23</v>
      </c>
      <c r="J241" s="87"/>
      <c r="K241" s="31">
        <f t="shared" si="14"/>
        <v>5</v>
      </c>
      <c r="L241" s="32">
        <f t="shared" si="15"/>
        <v>0.8214285714285714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28</v>
      </c>
      <c r="J260" s="147" t="s">
        <v>1883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23</v>
      </c>
      <c r="J271" s="147" t="s">
        <v>1892</v>
      </c>
      <c r="K271" s="31">
        <f t="shared" si="14"/>
        <v>5</v>
      </c>
      <c r="L271" s="32">
        <f t="shared" si="15"/>
        <v>0.8214285714285714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23</v>
      </c>
      <c r="J275" s="147" t="s">
        <v>1895</v>
      </c>
      <c r="K275" s="31">
        <f t="shared" si="14"/>
        <v>5</v>
      </c>
      <c r="L275" s="32">
        <f t="shared" si="15"/>
        <v>0.8214285714285714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23</v>
      </c>
      <c r="J290" s="147" t="s">
        <v>1909</v>
      </c>
      <c r="K290" s="31">
        <f t="shared" si="14"/>
        <v>5</v>
      </c>
      <c r="L290" s="32">
        <f t="shared" si="15"/>
        <v>0.8214285714285714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23</v>
      </c>
      <c r="J291" s="147" t="s">
        <v>1910</v>
      </c>
      <c r="K291" s="31">
        <f t="shared" si="14"/>
        <v>5</v>
      </c>
      <c r="L291" s="32">
        <f t="shared" si="15"/>
        <v>0.8214285714285714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23</v>
      </c>
      <c r="J302" s="147" t="s">
        <v>1920</v>
      </c>
      <c r="K302" s="142">
        <f t="shared" si="14"/>
        <v>5</v>
      </c>
      <c r="L302" s="143">
        <f t="shared" si="15"/>
        <v>0.8214285714285714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23</v>
      </c>
      <c r="J304" s="147" t="s">
        <v>1921</v>
      </c>
      <c r="K304" s="31">
        <f t="shared" ref="K304:K372" si="17">COUNTIF(M304:AN304,"APAGADO")</f>
        <v>5</v>
      </c>
      <c r="L304" s="32">
        <f t="shared" ref="L304:L372" si="18">(I304)/(K304+I304)</f>
        <v>0.8214285714285714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24</v>
      </c>
      <c r="J308" s="147" t="s">
        <v>1924</v>
      </c>
      <c r="K308" s="31">
        <f t="shared" si="17"/>
        <v>4</v>
      </c>
      <c r="L308" s="32">
        <f t="shared" si="18"/>
        <v>0.8571428571428571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23</v>
      </c>
      <c r="J343" s="147" t="s">
        <v>1955</v>
      </c>
      <c r="K343" s="142">
        <f t="shared" si="17"/>
        <v>5</v>
      </c>
      <c r="L343" s="143">
        <f t="shared" si="18"/>
        <v>0.8214285714285714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23</v>
      </c>
      <c r="J344" s="147" t="s">
        <v>1956</v>
      </c>
      <c r="K344" s="142">
        <f t="shared" si="17"/>
        <v>5</v>
      </c>
      <c r="L344" s="143">
        <f t="shared" si="18"/>
        <v>0.8214285714285714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25</v>
      </c>
      <c r="J346" s="147" t="s">
        <v>1958</v>
      </c>
      <c r="K346" s="31">
        <f t="shared" si="17"/>
        <v>3</v>
      </c>
      <c r="L346" s="32">
        <f t="shared" si="18"/>
        <v>0.8928571428571429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26</v>
      </c>
      <c r="J354" s="147" t="s">
        <v>1966</v>
      </c>
      <c r="K354" s="31">
        <f t="shared" si="17"/>
        <v>2</v>
      </c>
      <c r="L354" s="32">
        <f t="shared" si="18"/>
        <v>0.9285714285714286</v>
      </c>
      <c r="M354" s="70"/>
      <c r="N354" s="70"/>
      <c r="O354" s="70"/>
      <c r="P354" s="70" t="s">
        <v>2215</v>
      </c>
      <c r="Q354" s="70" t="s">
        <v>2215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23</v>
      </c>
      <c r="J367" s="73"/>
      <c r="K367" s="31">
        <f t="shared" si="17"/>
        <v>5</v>
      </c>
      <c r="L367" s="32">
        <f t="shared" si="18"/>
        <v>0.8214285714285714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23</v>
      </c>
      <c r="J380" s="147" t="s">
        <v>1987</v>
      </c>
      <c r="K380" s="31">
        <f t="shared" si="20"/>
        <v>5</v>
      </c>
      <c r="L380" s="32">
        <f t="shared" si="21"/>
        <v>0.8214285714285714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23</v>
      </c>
      <c r="J385" s="87"/>
      <c r="K385" s="31">
        <f t="shared" si="20"/>
        <v>5</v>
      </c>
      <c r="L385" s="32">
        <f t="shared" si="21"/>
        <v>0.8214285714285714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26</v>
      </c>
      <c r="J386" s="87"/>
      <c r="K386" s="31">
        <f t="shared" si="20"/>
        <v>2</v>
      </c>
      <c r="L386" s="32">
        <f t="shared" si="21"/>
        <v>0.9285714285714286</v>
      </c>
      <c r="M386" s="70"/>
      <c r="N386" s="70"/>
      <c r="O386" s="70"/>
      <c r="P386" s="70" t="s">
        <v>2215</v>
      </c>
      <c r="Q386" s="70" t="s">
        <v>2215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23</v>
      </c>
      <c r="J390" s="147" t="s">
        <v>1993</v>
      </c>
      <c r="K390" s="87">
        <f t="shared" si="20"/>
        <v>5</v>
      </c>
      <c r="L390" s="88">
        <f t="shared" si="21"/>
        <v>0.8214285714285714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23</v>
      </c>
      <c r="J392" s="147" t="s">
        <v>1994</v>
      </c>
      <c r="K392" s="31">
        <f t="shared" si="20"/>
        <v>5</v>
      </c>
      <c r="L392" s="32">
        <f t="shared" si="21"/>
        <v>0.8214285714285714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23</v>
      </c>
      <c r="J393" s="147" t="s">
        <v>1995</v>
      </c>
      <c r="K393" s="31">
        <f t="shared" si="20"/>
        <v>5</v>
      </c>
      <c r="L393" s="32">
        <f t="shared" si="21"/>
        <v>0.8214285714285714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23</v>
      </c>
      <c r="J405" s="87"/>
      <c r="K405" s="31">
        <f t="shared" si="20"/>
        <v>5</v>
      </c>
      <c r="L405" s="32">
        <f t="shared" si="21"/>
        <v>0.8214285714285714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24</v>
      </c>
      <c r="J419" s="147" t="s">
        <v>2014</v>
      </c>
      <c r="K419" s="31">
        <f t="shared" si="20"/>
        <v>4</v>
      </c>
      <c r="L419" s="32">
        <f t="shared" si="21"/>
        <v>0.8571428571428571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28</v>
      </c>
      <c r="J431" s="147" t="s">
        <v>2021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23</v>
      </c>
      <c r="J432" s="147" t="s">
        <v>2022</v>
      </c>
      <c r="K432" s="142">
        <f t="shared" si="20"/>
        <v>5</v>
      </c>
      <c r="L432" s="143">
        <f t="shared" si="21"/>
        <v>0.8214285714285714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28</v>
      </c>
      <c r="J433" s="147" t="s">
        <v>2023</v>
      </c>
      <c r="K433" s="142">
        <f t="shared" si="20"/>
        <v>0</v>
      </c>
      <c r="L433" s="143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28</v>
      </c>
      <c r="J434" s="147" t="s">
        <v>2024</v>
      </c>
      <c r="K434" s="142">
        <f t="shared" si="20"/>
        <v>0</v>
      </c>
      <c r="L434" s="143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23</v>
      </c>
      <c r="J438" s="147" t="s">
        <v>2028</v>
      </c>
      <c r="K438" s="31">
        <f t="shared" si="20"/>
        <v>5</v>
      </c>
      <c r="L438" s="32">
        <f t="shared" si="21"/>
        <v>0.8214285714285714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23</v>
      </c>
      <c r="J440" s="87"/>
      <c r="K440" s="31">
        <f t="shared" si="20"/>
        <v>5</v>
      </c>
      <c r="L440" s="32">
        <f t="shared" si="21"/>
        <v>0.8214285714285714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23</v>
      </c>
      <c r="J441" s="87"/>
      <c r="K441" s="31">
        <f t="shared" si="20"/>
        <v>5</v>
      </c>
      <c r="L441" s="32">
        <f t="shared" si="21"/>
        <v>0.8214285714285714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26</v>
      </c>
      <c r="J447" s="87"/>
      <c r="K447" s="142">
        <f t="shared" si="20"/>
        <v>2</v>
      </c>
      <c r="L447" s="143">
        <f t="shared" si="21"/>
        <v>0.9285714285714286</v>
      </c>
      <c r="M447" s="70"/>
      <c r="N447" s="70"/>
      <c r="O447" s="70"/>
      <c r="P447" s="70" t="s">
        <v>2215</v>
      </c>
      <c r="Q447" s="70" t="s">
        <v>2215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23</v>
      </c>
      <c r="J465" s="87" t="s">
        <v>2169</v>
      </c>
      <c r="K465" s="87">
        <f t="shared" si="23"/>
        <v>5</v>
      </c>
      <c r="L465" s="88">
        <f t="shared" si="24"/>
        <v>0.8214285714285714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27</v>
      </c>
      <c r="J479" s="147" t="s">
        <v>2052</v>
      </c>
      <c r="K479" s="31">
        <f t="shared" si="23"/>
        <v>1</v>
      </c>
      <c r="L479" s="32">
        <f t="shared" si="24"/>
        <v>0.9642857142857143</v>
      </c>
      <c r="M479" s="70"/>
      <c r="N479" s="70"/>
      <c r="O479" s="70"/>
      <c r="P479" s="70"/>
      <c r="Q479" s="70" t="s">
        <v>2215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23</v>
      </c>
      <c r="J493" s="147" t="s">
        <v>2066</v>
      </c>
      <c r="K493" s="31">
        <f t="shared" si="23"/>
        <v>5</v>
      </c>
      <c r="L493" s="32">
        <f t="shared" si="24"/>
        <v>0.8214285714285714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23</v>
      </c>
      <c r="J494" s="147" t="s">
        <v>2067</v>
      </c>
      <c r="K494" s="31">
        <f t="shared" si="23"/>
        <v>5</v>
      </c>
      <c r="L494" s="32">
        <f t="shared" si="24"/>
        <v>0.8214285714285714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23</v>
      </c>
      <c r="J508" s="147" t="s">
        <v>2080</v>
      </c>
      <c r="K508" s="142">
        <f t="shared" si="23"/>
        <v>5</v>
      </c>
      <c r="L508" s="143">
        <f t="shared" si="24"/>
        <v>0.8214285714285714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28</v>
      </c>
      <c r="J527" s="147" t="s">
        <v>2096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28</v>
      </c>
      <c r="J535" s="87"/>
      <c r="K535" s="142">
        <f t="shared" si="26"/>
        <v>0</v>
      </c>
      <c r="L535" s="143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28</v>
      </c>
      <c r="J545" s="147" t="s">
        <v>2105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23</v>
      </c>
      <c r="J547" s="147" t="s">
        <v>2107</v>
      </c>
      <c r="K547" s="31">
        <f t="shared" si="26"/>
        <v>5</v>
      </c>
      <c r="L547" s="32">
        <f t="shared" si="27"/>
        <v>0.8214285714285714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23</v>
      </c>
      <c r="J563" s="147" t="s">
        <v>2118</v>
      </c>
      <c r="K563" s="142">
        <f t="shared" si="26"/>
        <v>5</v>
      </c>
      <c r="L563" s="143">
        <f t="shared" si="27"/>
        <v>0.8214285714285714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0" zoomScale="90" zoomScaleNormal="90" workbookViewId="0">
      <selection activeCell="B45" sqref="B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>
        <f>'RESUMEN TOTAL'!R189</f>
        <v>0</v>
      </c>
      <c r="L148" s="70">
        <f>'RESUMEN TOTAL'!S189</f>
        <v>0</v>
      </c>
      <c r="M148" s="70">
        <f>'RESUMEN TOTAL'!T189</f>
        <v>0</v>
      </c>
      <c r="N148" s="70">
        <f>'RESUMEN TOTAL'!U189</f>
        <v>0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>
        <f>'RESUMEN TOTAL'!T193</f>
        <v>0</v>
      </c>
      <c r="N152" s="70">
        <f>'RESUMEN TOTAL'!U193</f>
        <v>0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>
        <f>'RESUMEN TOTAL'!R197</f>
        <v>0</v>
      </c>
      <c r="L156" s="70">
        <f>'RESUMEN TOTAL'!S197</f>
        <v>0</v>
      </c>
      <c r="M156" s="70">
        <f>'RESUMEN TOTAL'!T197</f>
        <v>0</v>
      </c>
      <c r="N156" s="70">
        <f>'RESUMEN TOTAL'!U197</f>
        <v>0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>
        <f>'RESUMEN TOTAL'!R214</f>
        <v>0</v>
      </c>
      <c r="L170" s="70">
        <f>'RESUMEN TOTAL'!S214</f>
        <v>0</v>
      </c>
      <c r="M170" s="70">
        <f>'RESUMEN TOTAL'!T214</f>
        <v>0</v>
      </c>
      <c r="N170" s="70">
        <f>'RESUMEN TOTAL'!U214</f>
        <v>0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>
        <f>'RESUMEN TOTAL'!R215</f>
        <v>0</v>
      </c>
      <c r="L171" s="70">
        <f>'RESUMEN TOTAL'!S215</f>
        <v>0</v>
      </c>
      <c r="M171" s="70">
        <f>'RESUMEN TOTAL'!T215</f>
        <v>0</v>
      </c>
      <c r="N171" s="70">
        <f>'RESUMEN TOTAL'!U215</f>
        <v>0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>
        <f>'RESUMEN TOTAL'!R227</f>
        <v>0</v>
      </c>
      <c r="L180" s="70">
        <f>'RESUMEN TOTAL'!S227</f>
        <v>0</v>
      </c>
      <c r="M180" s="70">
        <f>'RESUMEN TOTAL'!T227</f>
        <v>0</v>
      </c>
      <c r="N180" s="70">
        <f>'RESUMEN TOTAL'!U227</f>
        <v>0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>
        <f>'RESUMEN TOTAL'!R229</f>
        <v>0</v>
      </c>
      <c r="L182" s="70">
        <f>'RESUMEN TOTAL'!S229</f>
        <v>0</v>
      </c>
      <c r="M182" s="70">
        <f>'RESUMEN TOTAL'!T229</f>
        <v>0</v>
      </c>
      <c r="N182" s="70">
        <f>'RESUMEN TOTAL'!U229</f>
        <v>0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>
        <f>'RESUMEN TOTAL'!R230</f>
        <v>0</v>
      </c>
      <c r="L183" s="70">
        <f>'RESUMEN TOTAL'!S230</f>
        <v>0</v>
      </c>
      <c r="M183" s="70">
        <f>'RESUMEN TOTAL'!T230</f>
        <v>0</v>
      </c>
      <c r="N183" s="70">
        <f>'RESUMEN TOTAL'!U230</f>
        <v>0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>
        <f>'RESUMEN TOTAL'!R240</f>
        <v>0</v>
      </c>
      <c r="L193" s="70">
        <f>'RESUMEN TOTAL'!S240</f>
        <v>0</v>
      </c>
      <c r="M193" s="70">
        <f>'RESUMEN TOTAL'!T240</f>
        <v>0</v>
      </c>
      <c r="N193" s="70">
        <f>'RESUMEN TOTAL'!U240</f>
        <v>0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>
        <f>'RESUMEN TOTAL'!R241</f>
        <v>0</v>
      </c>
      <c r="L194" s="70">
        <f>'RESUMEN TOTAL'!S241</f>
        <v>0</v>
      </c>
      <c r="M194" s="70">
        <f>'RESUMEN TOTAL'!T241</f>
        <v>0</v>
      </c>
      <c r="N194" s="70">
        <f>'RESUMEN TOTAL'!U241</f>
        <v>0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>
        <f>'RESUMEN TOTAL'!R260</f>
        <v>0</v>
      </c>
      <c r="L213" s="70">
        <f>'RESUMEN TOTAL'!S260</f>
        <v>0</v>
      </c>
      <c r="M213" s="70">
        <f>'RESUMEN TOTAL'!T260</f>
        <v>0</v>
      </c>
      <c r="N213" s="70">
        <f>'RESUMEN TOTAL'!U260</f>
        <v>0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>
        <f>'RESUMEN TOTAL'!T271</f>
        <v>0</v>
      </c>
      <c r="N220" s="70">
        <f>'RESUMEN TOTAL'!U271</f>
        <v>0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>
        <f>'RESUMEN TOTAL'!R275</f>
        <v>0</v>
      </c>
      <c r="L224" s="70">
        <f>'RESUMEN TOTAL'!S275</f>
        <v>0</v>
      </c>
      <c r="M224" s="70">
        <f>'RESUMEN TOTAL'!T275</f>
        <v>0</v>
      </c>
      <c r="N224" s="70">
        <f>'RESUMEN TOTAL'!U275</f>
        <v>0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>
        <f>'RESUMEN TOTAL'!R290</f>
        <v>0</v>
      </c>
      <c r="L236" s="70">
        <f>'RESUMEN TOTAL'!S290</f>
        <v>0</v>
      </c>
      <c r="M236" s="70">
        <f>'RESUMEN TOTAL'!T290</f>
        <v>0</v>
      </c>
      <c r="N236" s="70">
        <f>'RESUMEN TOTAL'!U290</f>
        <v>0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>
        <f>'RESUMEN TOTAL'!R291</f>
        <v>0</v>
      </c>
      <c r="L237" s="70">
        <f>'RESUMEN TOTAL'!S291</f>
        <v>0</v>
      </c>
      <c r="M237" s="70">
        <f>'RESUMEN TOTAL'!T291</f>
        <v>0</v>
      </c>
      <c r="N237" s="70">
        <f>'RESUMEN TOTAL'!U291</f>
        <v>0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>
        <f>'RESUMEN TOTAL'!R302</f>
        <v>0</v>
      </c>
      <c r="L248" s="70">
        <f>'RESUMEN TOTAL'!S302</f>
        <v>0</v>
      </c>
      <c r="M248" s="70">
        <f>'RESUMEN TOTAL'!T302</f>
        <v>0</v>
      </c>
      <c r="N248" s="70">
        <f>'RESUMEN TOTAL'!U302</f>
        <v>0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>
        <f>'RESUMEN TOTAL'!R304</f>
        <v>0</v>
      </c>
      <c r="L250" s="70">
        <f>'RESUMEN TOTAL'!S304</f>
        <v>0</v>
      </c>
      <c r="M250" s="70">
        <f>'RESUMEN TOTAL'!T304</f>
        <v>0</v>
      </c>
      <c r="N250" s="70">
        <f>'RESUMEN TOTAL'!U304</f>
        <v>0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>
        <f>'RESUMEN TOTAL'!R308</f>
        <v>0</v>
      </c>
      <c r="L254" s="70">
        <f>'RESUMEN TOTAL'!S308</f>
        <v>0</v>
      </c>
      <c r="M254" s="70">
        <f>'RESUMEN TOTAL'!T308</f>
        <v>0</v>
      </c>
      <c r="N254" s="70">
        <f>'RESUMEN TOTAL'!U308</f>
        <v>0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>
        <f>'RESUMEN TOTAL'!R343</f>
        <v>0</v>
      </c>
      <c r="L282" s="70">
        <f>'RESUMEN TOTAL'!S343</f>
        <v>0</v>
      </c>
      <c r="M282" s="70">
        <f>'RESUMEN TOTAL'!T343</f>
        <v>0</v>
      </c>
      <c r="N282" s="70">
        <f>'RESUMEN TOTAL'!U343</f>
        <v>0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>
        <f>'RESUMEN TOTAL'!R344</f>
        <v>0</v>
      </c>
      <c r="L283" s="70">
        <f>'RESUMEN TOTAL'!S344</f>
        <v>0</v>
      </c>
      <c r="M283" s="70">
        <f>'RESUMEN TOTAL'!T344</f>
        <v>0</v>
      </c>
      <c r="N283" s="70">
        <f>'RESUMEN TOTAL'!U344</f>
        <v>0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>
        <f>'RESUMEN TOTAL'!R346</f>
        <v>0</v>
      </c>
      <c r="L285" s="70">
        <f>'RESUMEN TOTAL'!S346</f>
        <v>0</v>
      </c>
      <c r="M285" s="70">
        <f>'RESUMEN TOTAL'!T346</f>
        <v>0</v>
      </c>
      <c r="N285" s="70">
        <f>'RESUMEN TOTAL'!U346</f>
        <v>0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>
        <f>'RESUMEN TOTAL'!R367</f>
        <v>0</v>
      </c>
      <c r="L301" s="70">
        <f>'RESUMEN TOTAL'!S367</f>
        <v>0</v>
      </c>
      <c r="M301" s="70">
        <f>'RESUMEN TOTAL'!T367</f>
        <v>0</v>
      </c>
      <c r="N301" s="70">
        <f>'RESUMEN TOTAL'!U367</f>
        <v>0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>
        <f>'RESUMEN TOTAL'!R380</f>
        <v>0</v>
      </c>
      <c r="L314" s="70">
        <f>'RESUMEN TOTAL'!S380</f>
        <v>0</v>
      </c>
      <c r="M314" s="70">
        <f>'RESUMEN TOTAL'!T380</f>
        <v>0</v>
      </c>
      <c r="N314" s="70">
        <f>'RESUMEN TOTAL'!U380</f>
        <v>0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>
        <f>'RESUMEN TOTAL'!R386</f>
        <v>0</v>
      </c>
      <c r="L316" s="70">
        <f>'RESUMEN TOTAL'!S386</f>
        <v>0</v>
      </c>
      <c r="M316" s="70">
        <f>'RESUMEN TOTAL'!T386</f>
        <v>0</v>
      </c>
      <c r="N316" s="70">
        <f>'RESUMEN TOTAL'!U386</f>
        <v>0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>
        <f>'RESUMEN TOTAL'!R390</f>
        <v>0</v>
      </c>
      <c r="L320" s="70">
        <f>'RESUMEN TOTAL'!S390</f>
        <v>0</v>
      </c>
      <c r="M320" s="70">
        <f>'RESUMEN TOTAL'!T390</f>
        <v>0</v>
      </c>
      <c r="N320" s="70">
        <f>'RESUMEN TOTAL'!U390</f>
        <v>0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>
        <f>'RESUMEN TOTAL'!R392</f>
        <v>0</v>
      </c>
      <c r="L322" s="70">
        <f>'RESUMEN TOTAL'!S392</f>
        <v>0</v>
      </c>
      <c r="M322" s="70">
        <f>'RESUMEN TOTAL'!T392</f>
        <v>0</v>
      </c>
      <c r="N322" s="70">
        <f>'RESUMEN TOTAL'!U392</f>
        <v>0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>
        <f>'RESUMEN TOTAL'!R393</f>
        <v>0</v>
      </c>
      <c r="L323" s="70">
        <f>'RESUMEN TOTAL'!S393</f>
        <v>0</v>
      </c>
      <c r="M323" s="70">
        <f>'RESUMEN TOTAL'!T393</f>
        <v>0</v>
      </c>
      <c r="N323" s="70">
        <f>'RESUMEN TOTAL'!U393</f>
        <v>0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>
        <f>'RESUMEN TOTAL'!R405</f>
        <v>0</v>
      </c>
      <c r="L329" s="70">
        <f>'RESUMEN TOTAL'!S405</f>
        <v>0</v>
      </c>
      <c r="M329" s="70">
        <f>'RESUMEN TOTAL'!T405</f>
        <v>0</v>
      </c>
      <c r="N329" s="70">
        <f>'RESUMEN TOTAL'!U405</f>
        <v>0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>
        <f>'RESUMEN TOTAL'!R419</f>
        <v>0</v>
      </c>
      <c r="L341" s="70">
        <f>'RESUMEN TOTAL'!S419</f>
        <v>0</v>
      </c>
      <c r="M341" s="70">
        <f>'RESUMEN TOTAL'!T419</f>
        <v>0</v>
      </c>
      <c r="N341" s="70">
        <f>'RESUMEN TOTAL'!U419</f>
        <v>0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>
        <f>'RESUMEN TOTAL'!S431</f>
        <v>0</v>
      </c>
      <c r="M353" s="70">
        <f>'RESUMEN TOTAL'!T431</f>
        <v>0</v>
      </c>
      <c r="N353" s="70">
        <f>'RESUMEN TOTAL'!U431</f>
        <v>0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>
        <f>'RESUMEN TOTAL'!R432</f>
        <v>0</v>
      </c>
      <c r="L354" s="70">
        <f>'RESUMEN TOTAL'!S432</f>
        <v>0</v>
      </c>
      <c r="M354" s="70">
        <f>'RESUMEN TOTAL'!T432</f>
        <v>0</v>
      </c>
      <c r="N354" s="70">
        <f>'RESUMEN TOTAL'!U432</f>
        <v>0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>
        <f>'RESUMEN TOTAL'!T433</f>
        <v>0</v>
      </c>
      <c r="N355" s="70">
        <f>'RESUMEN TOTAL'!U433</f>
        <v>0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>
        <f>'RESUMEN TOTAL'!T434</f>
        <v>0</v>
      </c>
      <c r="N356" s="70">
        <f>'RESUMEN TOTAL'!U434</f>
        <v>0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>
        <f>'RESUMEN TOTAL'!R438</f>
        <v>0</v>
      </c>
      <c r="L360" s="70">
        <f>'RESUMEN TOTAL'!S438</f>
        <v>0</v>
      </c>
      <c r="M360" s="70">
        <f>'RESUMEN TOTAL'!T438</f>
        <v>0</v>
      </c>
      <c r="N360" s="70">
        <f>'RESUMEN TOTAL'!U438</f>
        <v>0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>
        <f>'RESUMEN TOTAL'!R447</f>
        <v>0</v>
      </c>
      <c r="L363" s="70">
        <f>'RESUMEN TOTAL'!S447</f>
        <v>0</v>
      </c>
      <c r="M363" s="70">
        <f>'RESUMEN TOTAL'!T447</f>
        <v>0</v>
      </c>
      <c r="N363" s="70">
        <f>'RESUMEN TOTAL'!U447</f>
        <v>0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>
        <f>'RESUMEN TOTAL'!R479</f>
        <v>0</v>
      </c>
      <c r="L388" s="70">
        <f>'RESUMEN TOTAL'!S479</f>
        <v>0</v>
      </c>
      <c r="M388" s="70">
        <f>'RESUMEN TOTAL'!T479</f>
        <v>0</v>
      </c>
      <c r="N388" s="70">
        <f>'RESUMEN TOTAL'!U479</f>
        <v>0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>
        <f>'RESUMEN TOTAL'!R493</f>
        <v>0</v>
      </c>
      <c r="L402" s="70">
        <f>'RESUMEN TOTAL'!S493</f>
        <v>0</v>
      </c>
      <c r="M402" s="70">
        <f>'RESUMEN TOTAL'!T493</f>
        <v>0</v>
      </c>
      <c r="N402" s="70">
        <f>'RESUMEN TOTAL'!U493</f>
        <v>0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>
        <f>'RESUMEN TOTAL'!R494</f>
        <v>0</v>
      </c>
      <c r="L403" s="70">
        <f>'RESUMEN TOTAL'!S494</f>
        <v>0</v>
      </c>
      <c r="M403" s="70">
        <f>'RESUMEN TOTAL'!T494</f>
        <v>0</v>
      </c>
      <c r="N403" s="70">
        <f>'RESUMEN TOTAL'!U494</f>
        <v>0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>
        <f>'RESUMEN TOTAL'!R508</f>
        <v>0</v>
      </c>
      <c r="L417" s="70">
        <f>'RESUMEN TOTAL'!S508</f>
        <v>0</v>
      </c>
      <c r="M417" s="70">
        <f>'RESUMEN TOTAL'!T508</f>
        <v>0</v>
      </c>
      <c r="N417" s="70">
        <f>'RESUMEN TOTAL'!U508</f>
        <v>0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>
        <f>'RESUMEN TOTAL'!U527</f>
        <v>0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>
        <f>'RESUMEN TOTAL'!S545</f>
        <v>0</v>
      </c>
      <c r="M443" s="70">
        <f>'RESUMEN TOTAL'!T545</f>
        <v>0</v>
      </c>
      <c r="N443" s="70">
        <f>'RESUMEN TOTAL'!U545</f>
        <v>0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>
        <f>'RESUMEN TOTAL'!R547</f>
        <v>0</v>
      </c>
      <c r="L445" s="70">
        <f>'RESUMEN TOTAL'!S547</f>
        <v>0</v>
      </c>
      <c r="M445" s="70">
        <f>'RESUMEN TOTAL'!T547</f>
        <v>0</v>
      </c>
      <c r="N445" s="70">
        <f>'RESUMEN TOTAL'!U547</f>
        <v>0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>
        <f>'RESUMEN TOTAL'!R563</f>
        <v>0</v>
      </c>
      <c r="L460" s="70">
        <f>'RESUMEN TOTAL'!S563</f>
        <v>0</v>
      </c>
      <c r="M460" s="70">
        <f>'RESUMEN TOTAL'!T563</f>
        <v>0</v>
      </c>
      <c r="N460" s="70">
        <f>'RESUMEN TOTAL'!U563</f>
        <v>0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0</v>
      </c>
      <c r="L3" s="46">
        <f>COUNTIFS('RESUMEN TOTAL'!S8:S675,"=APAGADO",'RESUMEN TOTAL'!C8:C675,"=BONOMO")</f>
        <v>0</v>
      </c>
      <c r="M3" s="46">
        <f>COUNTIFS('RESUMEN TOTAL'!T8:T675,"=APAGADO",'RESUMEN TOTAL'!C8:C675,"=BONOMO")</f>
        <v>0</v>
      </c>
      <c r="N3" s="46">
        <f>COUNTIFS('RESUMEN TOTAL'!U8:U675,"=APAGADO",'RESUMEN TOTAL'!C8:C675,"=BONOMO")</f>
        <v>0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0</v>
      </c>
      <c r="L5" s="46">
        <f>COUNTIFS('RESUMEN TOTAL'!S10:S677,"=APAGADO",'RESUMEN TOTAL'!C10:C677,"=COSEIDI")</f>
        <v>0</v>
      </c>
      <c r="M5" s="46">
        <f>COUNTIFS('RESUMEN TOTAL'!T10:T677,"=APAGADO",'RESUMEN TOTAL'!C10:C677,"=COSEIDI")</f>
        <v>0</v>
      </c>
      <c r="N5" s="46">
        <f>COUNTIFS('RESUMEN TOTAL'!U10:U677,"=APAGADO",'RESUMEN TOTAL'!C10:C677,"=COSEIDI")</f>
        <v>0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2025-11-05T18:59:25Z</dcterms:modified>
</cp:coreProperties>
</file>