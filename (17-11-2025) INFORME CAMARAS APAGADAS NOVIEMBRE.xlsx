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AFE17EC1-DF13-4894-A00D-E9B6C327E2A0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6" i="2" l="1"/>
  <c r="I186" i="2"/>
  <c r="K514" i="2"/>
  <c r="I514" i="2"/>
  <c r="K513" i="2"/>
  <c r="I513" i="2"/>
  <c r="K141" i="2"/>
  <c r="I141" i="2"/>
  <c r="L186" i="2" l="1"/>
  <c r="L513" i="2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<sst xmlns="http://schemas.openxmlformats.org/spreadsheetml/2006/main" count="5845" uniqueCount="2241">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</sst>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0.13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48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36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0.16053511705685619</c:v>
                      </c:pt>
                      <c:pt idx="16">
                        <c:v>0.15384615384615385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0.13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0.16053511705685619</c:v>
                </c:pt>
                <c:pt idx="16">
                  <c:v>0.15384615384615385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0.13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48</c:v>
                      </c:pt>
                      <c:pt idx="16">
                        <c:v>46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36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zoomScale="55" zoomScaleNormal="55" workbookViewId="0">
      <pane xSplit="12" ySplit="7" topLeftCell="AC391" activePane="bottomRight" state="frozen"/>
      <selection pane="topRight" activeCell="M1" sqref="M1"/>
      <selection pane="bottomLeft" activeCell="A5" sqref="A5"/>
      <selection pane="bottomRight" activeCell="B438" sqref="B433:B438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0.12752721617418353</v>
      </c>
      <c r="Z1" s="3"/>
      <c r="AA1" s="3">
        <f t="shared" ref="AA1:AP1" si="1">(AA3)/(AA2+AA3)</f>
        <v>8.7804878048780483E-2</v>
      </c>
      <c r="AB1" s="3">
        <f t="shared" si="1"/>
        <v>0.12616822429906541</v>
      </c>
      <c r="AC1" s="3">
        <f t="shared" si="1"/>
        <v>0.12752721617418353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81</v>
      </c>
      <c r="AC3" s="126">
        <f t="shared" si="3"/>
        <v>82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38</v>
      </c>
      <c r="Z4" s="10">
        <f>COUNTIFS(Z8:Z676, "=APAGADO",F8:F676,"=Fibra Optica")</f>
        <v>24</v>
      </c>
      <c r="AA4" s="10">
        <f>COUNTIFS(AA8:AA676, "=APAGADO",F8:F676,"=Fibra Optica")</f>
        <v>24</v>
      </c>
      <c r="AB4" s="10">
        <f>COUNTIFS(AB8:AB676, "=APAGADO",F8:F676,"=Fibra Optica")</f>
        <v>45</v>
      </c>
      <c r="AC4" s="10">
        <f>COUNTIFS(AC8:AC676, "=APAGADO",F8:F676,"=Fibra Optica")</f>
        <v>46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13</v>
      </c>
      <c r="Z5" s="130">
        <f>COUNTIFS(Z8:Z676, "=APAGADO",F8:F676,"=RADIO")</f>
        <v>15</v>
      </c>
      <c r="AA5" s="130">
        <f>COUNTIFS(AA8:AA676, "=APAGADO",F8:F676,"=RADIO")</f>
        <v>5</v>
      </c>
      <c r="AB5" s="130">
        <f>COUNTIFS(AB8:AB676, "=APAGADO",F8:F676,"=RADIO")</f>
        <v>6</v>
      </c>
      <c r="AC5" s="130">
        <f>COUNTIFS(AC8:AC676, "=APAGADO",F8:F676,"=RADIO")</f>
        <v>6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10</v>
      </c>
      <c r="Z6" s="10">
        <f>COUNTIFS(Z8:Z676, "=APAGADO",F8:F676,"=PTO A FO")</f>
        <v>8</v>
      </c>
      <c r="AA6" s="10">
        <f>COUNTIFS(AA8:AA676, "=APAGADO",F8:F676,"=PTO A FO")</f>
        <v>5</v>
      </c>
      <c r="AB6" s="10">
        <f>COUNTIFS(AB8:AB676, "=APAGADO",F8:F676,"=PTO A FO")</f>
        <v>10</v>
      </c>
      <c r="AC6" s="10">
        <f>COUNTIFS(AC8:AC676, "=APAGADO",F8:F676,"=PTO A FO")</f>
        <v>10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26</v>
      </c>
      <c r="J8" s="147" t="s">
        <v>1668</v>
      </c>
      <c r="K8" s="31">
        <f t="shared" ref="K8:K83" si="5">COUNTIF(M8:AN8,"APAGADO")</f>
        <v>2</v>
      </c>
      <c r="L8" s="32">
        <f t="shared" ref="L8:L83" si="6">(I8)/(K8+I8)</f>
        <v>0.9285714285714286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 t="s">
        <v>2214</v>
      </c>
      <c r="AC8" s="70" t="s">
        <v>2214</v>
      </c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26</v>
      </c>
      <c r="J9" s="147" t="s">
        <v>1669</v>
      </c>
      <c r="K9" s="31">
        <f t="shared" si="5"/>
        <v>2</v>
      </c>
      <c r="L9" s="32">
        <f t="shared" si="6"/>
        <v>0.9285714285714286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 t="s">
        <v>2214</v>
      </c>
      <c r="AC9" s="70" t="s">
        <v>2214</v>
      </c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26</v>
      </c>
      <c r="J14" s="147" t="s">
        <v>1674</v>
      </c>
      <c r="K14" s="31">
        <f t="shared" si="5"/>
        <v>2</v>
      </c>
      <c r="L14" s="32">
        <f t="shared" si="6"/>
        <v>0.9285714285714286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 t="s">
        <v>2214</v>
      </c>
      <c r="AC14" s="70" t="s">
        <v>2214</v>
      </c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26</v>
      </c>
      <c r="J21" s="147" t="s">
        <v>1680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 t="s">
        <v>2214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11</v>
      </c>
      <c r="J34" s="147" t="s">
        <v>1690</v>
      </c>
      <c r="K34" s="134">
        <f t="shared" si="5"/>
        <v>17</v>
      </c>
      <c r="L34" s="135">
        <f t="shared" si="6"/>
        <v>0.39285714285714285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 t="s">
        <v>2214</v>
      </c>
      <c r="AB34" s="136" t="s">
        <v>2214</v>
      </c>
      <c r="AC34" s="136" t="s">
        <v>2214</v>
      </c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27</v>
      </c>
      <c r="J36" s="87" t="s">
        <v>2158</v>
      </c>
      <c r="K36" s="142">
        <f t="shared" si="5"/>
        <v>1</v>
      </c>
      <c r="L36" s="143">
        <f t="shared" si="6"/>
        <v>0.9642857142857143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 t="s">
        <v>2214</v>
      </c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24</v>
      </c>
      <c r="J42" s="87" t="s">
        <v>2192</v>
      </c>
      <c r="K42" s="31">
        <f t="shared" si="5"/>
        <v>4</v>
      </c>
      <c r="L42" s="32">
        <f t="shared" si="6"/>
        <v>0.8571428571428571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2214</v>
      </c>
      <c r="AB42" s="70" t="s">
        <v>2214</v>
      </c>
      <c r="AC42" s="70" t="s">
        <v>2214</v>
      </c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13</v>
      </c>
      <c r="J87" s="147" t="s">
        <v>1734</v>
      </c>
      <c r="K87" s="31">
        <f t="shared" si="8"/>
        <v>15</v>
      </c>
      <c r="L87" s="32">
        <f t="shared" si="9"/>
        <v>0.4642857142857143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 t="s">
        <v>2214</v>
      </c>
      <c r="AA87" s="70" t="s">
        <v>2214</v>
      </c>
      <c r="AB87" s="70" t="s">
        <v>2214</v>
      </c>
      <c r="AC87" s="70" t="s">
        <v>2214</v>
      </c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11</v>
      </c>
      <c r="J97" s="147" t="s">
        <v>1744</v>
      </c>
      <c r="K97" s="142">
        <f t="shared" si="8"/>
        <v>17</v>
      </c>
      <c r="L97" s="143">
        <f t="shared" si="9"/>
        <v>0.39285714285714285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 t="s">
        <v>2214</v>
      </c>
      <c r="AA97" s="70" t="s">
        <v>2214</v>
      </c>
      <c r="AB97" s="70" t="s">
        <v>2214</v>
      </c>
      <c r="AC97" s="70" t="s">
        <v>2214</v>
      </c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25</v>
      </c>
      <c r="J103" s="147" t="s">
        <v>1750</v>
      </c>
      <c r="K103" s="31">
        <f t="shared" si="8"/>
        <v>3</v>
      </c>
      <c r="L103" s="32">
        <f t="shared" si="9"/>
        <v>0.8928571428571429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 t="s">
        <v>2214</v>
      </c>
      <c r="AC103" s="70" t="s">
        <v>2214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21</v>
      </c>
      <c r="J104" s="147" t="s">
        <v>1751</v>
      </c>
      <c r="K104" s="142">
        <f t="shared" si="8"/>
        <v>7</v>
      </c>
      <c r="L104" s="143">
        <f t="shared" si="9"/>
        <v>0.75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 t="s">
        <v>2214</v>
      </c>
      <c r="AA104" s="70" t="s">
        <v>2214</v>
      </c>
      <c r="AB104" s="70" t="s">
        <v>2214</v>
      </c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11</v>
      </c>
      <c r="J116" s="147" t="s">
        <v>1762</v>
      </c>
      <c r="K116" s="31">
        <f t="shared" si="8"/>
        <v>17</v>
      </c>
      <c r="L116" s="32">
        <f t="shared" si="9"/>
        <v>0.39285714285714285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 t="s">
        <v>2214</v>
      </c>
      <c r="AA116" s="70" t="s">
        <v>2214</v>
      </c>
      <c r="AB116" s="70" t="s">
        <v>2214</v>
      </c>
      <c r="AC116" s="70" t="s">
        <v>2214</v>
      </c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17</v>
      </c>
      <c r="J125" s="148" t="s">
        <v>1771</v>
      </c>
      <c r="K125" s="142">
        <f t="shared" si="8"/>
        <v>11</v>
      </c>
      <c r="L125" s="143">
        <f t="shared" si="9"/>
        <v>0.6071428571428571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 t="s">
        <v>2214</v>
      </c>
      <c r="AA125" s="70" t="s">
        <v>2214</v>
      </c>
      <c r="AB125" s="70" t="s">
        <v>2214</v>
      </c>
      <c r="AC125" s="70" t="s">
        <v>2214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22</v>
      </c>
      <c r="J128" s="147" t="s">
        <v>1774</v>
      </c>
      <c r="K128" s="31">
        <f t="shared" si="8"/>
        <v>6</v>
      </c>
      <c r="L128" s="32">
        <f t="shared" si="9"/>
        <v>0.7857142857142857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 t="s">
        <v>2214</v>
      </c>
      <c r="AC128" s="70" t="s">
        <v>2214</v>
      </c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26</v>
      </c>
      <c r="J174" s="87"/>
      <c r="K174" s="31">
        <f t="shared" si="11"/>
        <v>2</v>
      </c>
      <c r="L174" s="32">
        <f t="shared" si="12"/>
        <v>0.9285714285714286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 t="s">
        <v>2214</v>
      </c>
      <c r="Z174" s="70" t="s">
        <v>2214</v>
      </c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11</v>
      </c>
      <c r="J190" s="87"/>
      <c r="K190" s="138">
        <f t="shared" si="11"/>
        <v>17</v>
      </c>
      <c r="L190" s="139">
        <f t="shared" si="12"/>
        <v>0.39285714285714285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 t="s">
        <v>2214</v>
      </c>
      <c r="Z190" s="140" t="s">
        <v>2214</v>
      </c>
      <c r="AA190" s="140" t="s">
        <v>2214</v>
      </c>
      <c r="AB190" s="140" t="s">
        <v>2214</v>
      </c>
      <c r="AC190" s="140" t="s">
        <v>2214</v>
      </c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19</v>
      </c>
      <c r="J197" s="147" t="s">
        <v>1828</v>
      </c>
      <c r="K197" s="142">
        <f t="shared" si="11"/>
        <v>9</v>
      </c>
      <c r="L197" s="143">
        <f t="shared" si="12"/>
        <v>0.6785714285714286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 t="s">
        <v>2214</v>
      </c>
      <c r="Z197" s="70" t="s">
        <v>2214</v>
      </c>
      <c r="AA197" s="70"/>
      <c r="AB197" s="70" t="s">
        <v>2214</v>
      </c>
      <c r="AC197" s="70" t="s">
        <v>2214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14</v>
      </c>
      <c r="J198" s="147" t="s">
        <v>1829</v>
      </c>
      <c r="K198" s="31">
        <f t="shared" si="11"/>
        <v>14</v>
      </c>
      <c r="L198" s="32">
        <f t="shared" si="12"/>
        <v>0.5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 t="s">
        <v>2214</v>
      </c>
      <c r="Z198" s="70" t="s">
        <v>2214</v>
      </c>
      <c r="AA198" s="70" t="s">
        <v>2214</v>
      </c>
      <c r="AB198" s="70" t="s">
        <v>2214</v>
      </c>
      <c r="AC198" s="70" t="s">
        <v>2214</v>
      </c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17</v>
      </c>
      <c r="J215" s="87"/>
      <c r="K215" s="31">
        <f t="shared" si="11"/>
        <v>11</v>
      </c>
      <c r="L215" s="32">
        <f t="shared" si="12"/>
        <v>0.6071428571428571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 t="s">
        <v>2214</v>
      </c>
      <c r="AA215" s="70" t="s">
        <v>2214</v>
      </c>
      <c r="AB215" s="70" t="s">
        <v>2214</v>
      </c>
      <c r="AC215" s="70" t="s">
        <v>2214</v>
      </c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17</v>
      </c>
      <c r="J216" s="87"/>
      <c r="K216" s="31">
        <f t="shared" si="11"/>
        <v>11</v>
      </c>
      <c r="L216" s="32">
        <f t="shared" si="12"/>
        <v>0.6071428571428571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 t="s">
        <v>2214</v>
      </c>
      <c r="AA216" s="70" t="s">
        <v>2214</v>
      </c>
      <c r="AB216" s="70" t="s">
        <v>2214</v>
      </c>
      <c r="AC216" s="70" t="s">
        <v>2214</v>
      </c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27</v>
      </c>
      <c r="J227" s="147" t="s">
        <v>1853</v>
      </c>
      <c r="K227" s="31">
        <f t="shared" si="11"/>
        <v>1</v>
      </c>
      <c r="L227" s="32">
        <f t="shared" si="12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 t="s">
        <v>2214</v>
      </c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16</v>
      </c>
      <c r="J228" s="147" t="s">
        <v>1854</v>
      </c>
      <c r="K228" s="31">
        <f t="shared" si="11"/>
        <v>12</v>
      </c>
      <c r="L228" s="32">
        <f t="shared" si="12"/>
        <v>0.5714285714285714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 t="s">
        <v>2214</v>
      </c>
      <c r="Z228" s="70" t="s">
        <v>2214</v>
      </c>
      <c r="AA228" s="70" t="s">
        <v>2214</v>
      </c>
      <c r="AB228" s="70" t="s">
        <v>2214</v>
      </c>
      <c r="AC228" s="70" t="s">
        <v>2214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26</v>
      </c>
      <c r="J229" s="147" t="s">
        <v>1855</v>
      </c>
      <c r="K229" s="31">
        <f t="shared" si="11"/>
        <v>2</v>
      </c>
      <c r="L229" s="32">
        <f t="shared" si="12"/>
        <v>0.9285714285714286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2214</v>
      </c>
      <c r="AC229" s="70" t="s">
        <v>2214</v>
      </c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16</v>
      </c>
      <c r="J230" s="147" t="s">
        <v>1856</v>
      </c>
      <c r="K230" s="31">
        <f t="shared" si="11"/>
        <v>12</v>
      </c>
      <c r="L230" s="32">
        <f t="shared" si="12"/>
        <v>0.5714285714285714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 t="s">
        <v>2214</v>
      </c>
      <c r="Z230" s="70" t="s">
        <v>2214</v>
      </c>
      <c r="AA230" s="70" t="s">
        <v>2214</v>
      </c>
      <c r="AB230" s="70" t="s">
        <v>2214</v>
      </c>
      <c r="AC230" s="70" t="s">
        <v>2214</v>
      </c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16</v>
      </c>
      <c r="J231" s="147" t="s">
        <v>1857</v>
      </c>
      <c r="K231" s="31">
        <f t="shared" si="11"/>
        <v>12</v>
      </c>
      <c r="L231" s="32">
        <f t="shared" si="12"/>
        <v>0.5714285714285714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 t="s">
        <v>2214</v>
      </c>
      <c r="AB231" s="70" t="s">
        <v>2214</v>
      </c>
      <c r="AC231" s="70" t="s">
        <v>2214</v>
      </c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26</v>
      </c>
      <c r="J232" s="147" t="s">
        <v>1858</v>
      </c>
      <c r="K232" s="31">
        <f t="shared" si="11"/>
        <v>2</v>
      </c>
      <c r="L232" s="32">
        <f t="shared" si="12"/>
        <v>0.9285714285714286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 t="s">
        <v>2214</v>
      </c>
      <c r="AC232" s="70" t="s">
        <v>2214</v>
      </c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26</v>
      </c>
      <c r="J234" s="147" t="s">
        <v>1860</v>
      </c>
      <c r="K234" s="31">
        <f t="shared" si="11"/>
        <v>2</v>
      </c>
      <c r="L234" s="32">
        <f t="shared" si="12"/>
        <v>0.9285714285714286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 t="s">
        <v>2214</v>
      </c>
      <c r="AC234" s="70" t="s">
        <v>2214</v>
      </c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26</v>
      </c>
      <c r="J235" s="147" t="s">
        <v>1861</v>
      </c>
      <c r="K235" s="31">
        <f t="shared" ref="K235:K304" si="14">COUNTIF(M235:AN235,"APAGADO")</f>
        <v>2</v>
      </c>
      <c r="L235" s="32">
        <f t="shared" ref="L235:L304" si="15">(I235)/(K235+I235)</f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 t="s">
        <v>2214</v>
      </c>
      <c r="AC235" s="70" t="s">
        <v>2214</v>
      </c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26</v>
      </c>
      <c r="J236" s="147" t="s">
        <v>1862</v>
      </c>
      <c r="K236" s="31">
        <f t="shared" si="14"/>
        <v>2</v>
      </c>
      <c r="L236" s="32">
        <f t="shared" si="15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 t="s">
        <v>2214</v>
      </c>
      <c r="AC236" s="70" t="s">
        <v>2214</v>
      </c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26</v>
      </c>
      <c r="J237" s="147" t="s">
        <v>1863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 t="s">
        <v>2214</v>
      </c>
      <c r="AC237" s="70" t="s">
        <v>2214</v>
      </c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26</v>
      </c>
      <c r="J238" s="147" t="s">
        <v>1864</v>
      </c>
      <c r="K238" s="31">
        <f t="shared" si="14"/>
        <v>2</v>
      </c>
      <c r="L238" s="32">
        <f t="shared" si="15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 t="s">
        <v>2214</v>
      </c>
      <c r="AC238" s="70" t="s">
        <v>2214</v>
      </c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26</v>
      </c>
      <c r="J239" s="147" t="s">
        <v>1865</v>
      </c>
      <c r="K239" s="31">
        <f t="shared" si="14"/>
        <v>2</v>
      </c>
      <c r="L239" s="32">
        <f t="shared" si="15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 t="s">
        <v>2214</v>
      </c>
      <c r="AC239" s="70" t="s">
        <v>2214</v>
      </c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26</v>
      </c>
      <c r="J240" s="147" t="s">
        <v>1866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 t="s">
        <v>2214</v>
      </c>
      <c r="AC240" s="70" t="s">
        <v>2214</v>
      </c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18</v>
      </c>
      <c r="J241" s="147" t="s">
        <v>1867</v>
      </c>
      <c r="K241" s="31">
        <f t="shared" si="14"/>
        <v>10</v>
      </c>
      <c r="L241" s="32">
        <f t="shared" si="15"/>
        <v>0.6428571428571429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 t="s">
        <v>2214</v>
      </c>
      <c r="Z241" s="70" t="s">
        <v>2214</v>
      </c>
      <c r="AA241" s="70" t="s">
        <v>2214</v>
      </c>
      <c r="AB241" s="70" t="s">
        <v>2214</v>
      </c>
      <c r="AC241" s="70" t="s">
        <v>2214</v>
      </c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11</v>
      </c>
      <c r="J242" s="87"/>
      <c r="K242" s="31">
        <f t="shared" si="14"/>
        <v>17</v>
      </c>
      <c r="L242" s="32">
        <f t="shared" si="15"/>
        <v>0.39285714285714285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 t="s">
        <v>2214</v>
      </c>
      <c r="Z242" s="70" t="s">
        <v>2214</v>
      </c>
      <c r="AA242" s="70" t="s">
        <v>2214</v>
      </c>
      <c r="AB242" s="70" t="s">
        <v>2214</v>
      </c>
      <c r="AC242" s="70" t="s">
        <v>2214</v>
      </c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27</v>
      </c>
      <c r="J243" s="147" t="s">
        <v>1823</v>
      </c>
      <c r="K243" s="31">
        <f t="shared" si="14"/>
        <v>1</v>
      </c>
      <c r="L243" s="32">
        <f t="shared" si="15"/>
        <v>0.9642857142857143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 t="s">
        <v>2214</v>
      </c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27</v>
      </c>
      <c r="J245" s="87"/>
      <c r="K245" s="31">
        <f t="shared" si="14"/>
        <v>1</v>
      </c>
      <c r="L245" s="32">
        <f t="shared" si="15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 t="s">
        <v>2214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27</v>
      </c>
      <c r="J246" s="147" t="s">
        <v>1869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 t="s">
        <v>2214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27</v>
      </c>
      <c r="J247" s="147" t="s">
        <v>1870</v>
      </c>
      <c r="K247" s="31">
        <f t="shared" si="14"/>
        <v>1</v>
      </c>
      <c r="L247" s="32">
        <f t="shared" si="15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 t="s">
        <v>2214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26</v>
      </c>
      <c r="J251" s="87"/>
      <c r="K251" s="31">
        <f t="shared" si="14"/>
        <v>2</v>
      </c>
      <c r="L251" s="32">
        <f t="shared" si="15"/>
        <v>0.9285714285714286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 t="s">
        <v>2214</v>
      </c>
      <c r="Z251" s="70" t="s">
        <v>2214</v>
      </c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26</v>
      </c>
      <c r="J255" s="147" t="s">
        <v>1877</v>
      </c>
      <c r="K255" s="31">
        <f t="shared" si="14"/>
        <v>2</v>
      </c>
      <c r="L255" s="32">
        <f t="shared" si="15"/>
        <v>0.9285714285714286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 t="s">
        <v>2214</v>
      </c>
      <c r="AC255" s="70" t="s">
        <v>2214</v>
      </c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26</v>
      </c>
      <c r="J257" s="147" t="s">
        <v>1865</v>
      </c>
      <c r="K257" s="31">
        <f t="shared" si="14"/>
        <v>2</v>
      </c>
      <c r="L257" s="32">
        <f t="shared" si="15"/>
        <v>0.9285714285714286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 t="s">
        <v>2214</v>
      </c>
      <c r="AC257" s="70" t="s">
        <v>2214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18</v>
      </c>
      <c r="J261" s="147" t="s">
        <v>1882</v>
      </c>
      <c r="K261" s="31">
        <f t="shared" si="14"/>
        <v>10</v>
      </c>
      <c r="L261" s="32">
        <f t="shared" si="15"/>
        <v>0.6428571428571429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 t="s">
        <v>2214</v>
      </c>
      <c r="Z261" s="70" t="s">
        <v>2214</v>
      </c>
      <c r="AA261" s="70" t="s">
        <v>2214</v>
      </c>
      <c r="AB261" s="70" t="s">
        <v>2214</v>
      </c>
      <c r="AC261" s="70" t="s">
        <v>2214</v>
      </c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27</v>
      </c>
      <c r="J270" s="147" t="s">
        <v>1889</v>
      </c>
      <c r="K270" s="31">
        <f t="shared" si="14"/>
        <v>1</v>
      </c>
      <c r="L270" s="32">
        <f t="shared" si="15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 t="s">
        <v>2214</v>
      </c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20</v>
      </c>
      <c r="J272" s="147" t="s">
        <v>1891</v>
      </c>
      <c r="K272" s="31">
        <f t="shared" si="14"/>
        <v>8</v>
      </c>
      <c r="L272" s="32">
        <f t="shared" si="15"/>
        <v>0.7142857142857143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 t="s">
        <v>2214</v>
      </c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11</v>
      </c>
      <c r="J276" s="147" t="s">
        <v>1894</v>
      </c>
      <c r="K276" s="31">
        <f t="shared" si="14"/>
        <v>17</v>
      </c>
      <c r="L276" s="32">
        <f t="shared" si="15"/>
        <v>0.39285714285714285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 t="s">
        <v>2214</v>
      </c>
      <c r="Z276" s="70" t="s">
        <v>2214</v>
      </c>
      <c r="AA276" s="70" t="s">
        <v>2214</v>
      </c>
      <c r="AB276" s="70" t="s">
        <v>2214</v>
      </c>
      <c r="AC276" s="70" t="s">
        <v>2214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27</v>
      </c>
      <c r="J290" s="147" t="s">
        <v>1907</v>
      </c>
      <c r="K290" s="31">
        <f t="shared" si="14"/>
        <v>1</v>
      </c>
      <c r="L290" s="32">
        <f t="shared" si="15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 t="s">
        <v>2214</v>
      </c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11</v>
      </c>
      <c r="J291" s="147" t="s">
        <v>1908</v>
      </c>
      <c r="K291" s="31">
        <f t="shared" si="14"/>
        <v>17</v>
      </c>
      <c r="L291" s="32">
        <f t="shared" si="15"/>
        <v>0.39285714285714285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 t="s">
        <v>2214</v>
      </c>
      <c r="Z291" s="70" t="s">
        <v>2214</v>
      </c>
      <c r="AA291" s="70" t="s">
        <v>2214</v>
      </c>
      <c r="AB291" s="70" t="s">
        <v>2214</v>
      </c>
      <c r="AC291" s="70" t="s">
        <v>2214</v>
      </c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11</v>
      </c>
      <c r="J292" s="147" t="s">
        <v>1909</v>
      </c>
      <c r="K292" s="31">
        <f t="shared" si="14"/>
        <v>17</v>
      </c>
      <c r="L292" s="32">
        <f t="shared" si="15"/>
        <v>0.39285714285714285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 t="s">
        <v>2214</v>
      </c>
      <c r="Z292" s="70" t="s">
        <v>2214</v>
      </c>
      <c r="AA292" s="70" t="s">
        <v>2214</v>
      </c>
      <c r="AB292" s="70" t="s">
        <v>2214</v>
      </c>
      <c r="AC292" s="70" t="s">
        <v>2214</v>
      </c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11</v>
      </c>
      <c r="J303" s="147" t="s">
        <v>1919</v>
      </c>
      <c r="K303" s="142">
        <f t="shared" si="14"/>
        <v>17</v>
      </c>
      <c r="L303" s="143">
        <f t="shared" si="15"/>
        <v>0.39285714285714285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 t="s">
        <v>2214</v>
      </c>
      <c r="Z303" s="70" t="s">
        <v>2214</v>
      </c>
      <c r="AA303" s="70" t="s">
        <v>2214</v>
      </c>
      <c r="AB303" s="70" t="s">
        <v>2214</v>
      </c>
      <c r="AC303" s="70" t="s">
        <v>2214</v>
      </c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12</v>
      </c>
      <c r="J305" s="147" t="s">
        <v>1920</v>
      </c>
      <c r="K305" s="31">
        <f t="shared" ref="K305:K373" si="17">COUNTIF(M305:AN305,"APAGADO")</f>
        <v>16</v>
      </c>
      <c r="L305" s="32">
        <f t="shared" ref="L305:L373" si="18">(I305)/(K305+I305)</f>
        <v>0.42857142857142855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 t="s">
        <v>2214</v>
      </c>
      <c r="Z305" s="70" t="s">
        <v>2214</v>
      </c>
      <c r="AA305" s="70" t="s">
        <v>2214</v>
      </c>
      <c r="AB305" s="70"/>
      <c r="AC305" s="70" t="s">
        <v>2214</v>
      </c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23</v>
      </c>
      <c r="J306" s="147" t="s">
        <v>1921</v>
      </c>
      <c r="K306" s="142">
        <f t="shared" si="17"/>
        <v>5</v>
      </c>
      <c r="L306" s="143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 t="s">
        <v>2214</v>
      </c>
      <c r="AB306" s="70" t="s">
        <v>2214</v>
      </c>
      <c r="AC306" s="70" t="s">
        <v>2214</v>
      </c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24</v>
      </c>
      <c r="J307" s="87" t="s">
        <v>2198</v>
      </c>
      <c r="K307" s="142">
        <f t="shared" si="17"/>
        <v>4</v>
      </c>
      <c r="L307" s="143">
        <f t="shared" si="18"/>
        <v>0.8571428571428571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 t="s">
        <v>2214</v>
      </c>
      <c r="AB307" s="70"/>
      <c r="AC307" s="70" t="s">
        <v>2214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23</v>
      </c>
      <c r="J308" s="147" t="s">
        <v>1922</v>
      </c>
      <c r="K308" s="142">
        <f t="shared" si="17"/>
        <v>5</v>
      </c>
      <c r="L308" s="143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 t="s">
        <v>2214</v>
      </c>
      <c r="AB308" s="70" t="s">
        <v>2214</v>
      </c>
      <c r="AC308" s="70" t="s">
        <v>2214</v>
      </c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14</v>
      </c>
      <c r="J309" s="147" t="s">
        <v>1923</v>
      </c>
      <c r="K309" s="31">
        <f t="shared" si="17"/>
        <v>14</v>
      </c>
      <c r="L309" s="32">
        <f t="shared" si="18"/>
        <v>0.5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 t="s">
        <v>2214</v>
      </c>
      <c r="Z309" s="70" t="s">
        <v>2214</v>
      </c>
      <c r="AA309" s="70" t="s">
        <v>2214</v>
      </c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27</v>
      </c>
      <c r="J315" s="147" t="s">
        <v>1929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2214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27</v>
      </c>
      <c r="J316" s="147" t="s">
        <v>1930</v>
      </c>
      <c r="K316" s="31">
        <f t="shared" si="17"/>
        <v>1</v>
      </c>
      <c r="L316" s="32">
        <f t="shared" si="18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2214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27</v>
      </c>
      <c r="J317" s="147" t="s">
        <v>1931</v>
      </c>
      <c r="K317" s="31">
        <f t="shared" si="17"/>
        <v>1</v>
      </c>
      <c r="L317" s="32">
        <f t="shared" si="18"/>
        <v>0.9642857142857143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2214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27</v>
      </c>
      <c r="J318" s="147" t="s">
        <v>1932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27</v>
      </c>
      <c r="J319" s="147" t="s">
        <v>1933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27</v>
      </c>
      <c r="J320" s="147" t="s">
        <v>1934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27</v>
      </c>
      <c r="J325" s="147" t="s">
        <v>1939</v>
      </c>
      <c r="K325" s="87">
        <f t="shared" si="17"/>
        <v>1</v>
      </c>
      <c r="L325" s="88">
        <f t="shared" si="18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2214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27</v>
      </c>
      <c r="J326" s="147" t="s">
        <v>1940</v>
      </c>
      <c r="K326" s="31">
        <f t="shared" si="17"/>
        <v>1</v>
      </c>
      <c r="L326" s="32">
        <f t="shared" si="18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 t="s">
        <v>2214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27</v>
      </c>
      <c r="J327" s="147" t="s">
        <v>1941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 t="s">
        <v>2214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27</v>
      </c>
      <c r="J328" s="147" t="s">
        <v>1942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 t="s">
        <v>2214</v>
      </c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27</v>
      </c>
      <c r="J329" s="147" t="s">
        <v>1943</v>
      </c>
      <c r="K329" s="31">
        <f t="shared" si="17"/>
        <v>1</v>
      </c>
      <c r="L329" s="32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27</v>
      </c>
      <c r="J337" s="147" t="s">
        <v>1951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 t="s">
        <v>2214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27</v>
      </c>
      <c r="J338" s="87"/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2214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27</v>
      </c>
      <c r="J339" s="87"/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 t="s">
        <v>2214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27</v>
      </c>
      <c r="J340" s="147" t="s">
        <v>1952</v>
      </c>
      <c r="K340" s="31">
        <f t="shared" si="17"/>
        <v>1</v>
      </c>
      <c r="L340" s="32">
        <f t="shared" si="18"/>
        <v>0.9642857142857143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 t="s">
        <v>2214</v>
      </c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25</v>
      </c>
      <c r="J343" s="147" t="s">
        <v>1953</v>
      </c>
      <c r="K343" s="31">
        <f t="shared" si="17"/>
        <v>3</v>
      </c>
      <c r="L343" s="32">
        <f t="shared" si="18"/>
        <v>0.8928571428571429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 t="s">
        <v>2214</v>
      </c>
      <c r="AC343" s="70" t="s">
        <v>2214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11</v>
      </c>
      <c r="J344" s="147" t="s">
        <v>1954</v>
      </c>
      <c r="K344" s="142">
        <f t="shared" si="17"/>
        <v>17</v>
      </c>
      <c r="L344" s="143">
        <f t="shared" si="18"/>
        <v>0.39285714285714285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 t="s">
        <v>2214</v>
      </c>
      <c r="Z344" s="70" t="s">
        <v>2214</v>
      </c>
      <c r="AA344" s="70" t="s">
        <v>2214</v>
      </c>
      <c r="AB344" s="70" t="s">
        <v>2214</v>
      </c>
      <c r="AC344" s="70" t="s">
        <v>2214</v>
      </c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12</v>
      </c>
      <c r="J345" s="147" t="s">
        <v>1955</v>
      </c>
      <c r="K345" s="142">
        <f t="shared" si="17"/>
        <v>16</v>
      </c>
      <c r="L345" s="143">
        <f t="shared" si="18"/>
        <v>0.42857142857142855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 t="s">
        <v>2214</v>
      </c>
      <c r="AA345" s="70" t="s">
        <v>2214</v>
      </c>
      <c r="AB345" s="70" t="s">
        <v>2214</v>
      </c>
      <c r="AC345" s="70" t="s">
        <v>2214</v>
      </c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15</v>
      </c>
      <c r="J347" s="147" t="s">
        <v>1957</v>
      </c>
      <c r="K347" s="31">
        <f t="shared" si="17"/>
        <v>13</v>
      </c>
      <c r="L347" s="32">
        <f t="shared" si="18"/>
        <v>0.5357142857142857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 t="s">
        <v>2214</v>
      </c>
      <c r="Z347" s="70" t="s">
        <v>2214</v>
      </c>
      <c r="AA347" s="70" t="s">
        <v>2214</v>
      </c>
      <c r="AB347" s="70" t="s">
        <v>2214</v>
      </c>
      <c r="AC347" s="70" t="s">
        <v>2214</v>
      </c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26</v>
      </c>
      <c r="J348" s="147" t="s">
        <v>1958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 t="s">
        <v>2214</v>
      </c>
      <c r="AC348" s="70" t="s">
        <v>2214</v>
      </c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26</v>
      </c>
      <c r="J349" s="147" t="s">
        <v>1959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 t="s">
        <v>2214</v>
      </c>
      <c r="AC349" s="70" t="s">
        <v>2214</v>
      </c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26</v>
      </c>
      <c r="J350" s="147" t="s">
        <v>1960</v>
      </c>
      <c r="K350" s="31">
        <f t="shared" si="17"/>
        <v>2</v>
      </c>
      <c r="L350" s="32">
        <f t="shared" si="18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 t="s">
        <v>2214</v>
      </c>
      <c r="AC350" s="70" t="s">
        <v>2214</v>
      </c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26</v>
      </c>
      <c r="J351" s="147" t="s">
        <v>1961</v>
      </c>
      <c r="K351" s="31">
        <f t="shared" si="17"/>
        <v>2</v>
      </c>
      <c r="L351" s="32">
        <f t="shared" si="18"/>
        <v>0.9285714285714286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 t="s">
        <v>2214</v>
      </c>
      <c r="AC351" s="70" t="s">
        <v>2214</v>
      </c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17</v>
      </c>
      <c r="J355" s="147" t="s">
        <v>1965</v>
      </c>
      <c r="K355" s="31">
        <f t="shared" si="17"/>
        <v>11</v>
      </c>
      <c r="L355" s="32">
        <f t="shared" si="18"/>
        <v>0.6071428571428571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12</v>
      </c>
      <c r="J368" s="73"/>
      <c r="K368" s="31">
        <f t="shared" si="17"/>
        <v>16</v>
      </c>
      <c r="L368" s="32">
        <f t="shared" si="18"/>
        <v>0.42857142857142855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 t="s">
        <v>2214</v>
      </c>
      <c r="Z368" s="70" t="s">
        <v>2214</v>
      </c>
      <c r="AA368" s="70" t="s">
        <v>2214</v>
      </c>
      <c r="AB368" s="70" t="s">
        <v>2214</v>
      </c>
      <c r="AC368" s="70" t="s">
        <v>2214</v>
      </c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26</v>
      </c>
      <c r="J376" s="147" t="s">
        <v>1981</v>
      </c>
      <c r="K376" s="31">
        <f t="shared" si="20"/>
        <v>2</v>
      </c>
      <c r="L376" s="32">
        <f t="shared" si="21"/>
        <v>0.9285714285714286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 t="s">
        <v>2214</v>
      </c>
      <c r="AC376" s="70" t="s">
        <v>2214</v>
      </c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26</v>
      </c>
      <c r="J377" s="147" t="s">
        <v>1982</v>
      </c>
      <c r="K377" s="31">
        <f t="shared" si="20"/>
        <v>2</v>
      </c>
      <c r="L377" s="32">
        <f t="shared" si="21"/>
        <v>0.9285714285714286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 t="s">
        <v>2214</v>
      </c>
      <c r="AC377" s="70" t="s">
        <v>2214</v>
      </c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11</v>
      </c>
      <c r="J381" s="147" t="s">
        <v>1986</v>
      </c>
      <c r="K381" s="31">
        <f t="shared" si="20"/>
        <v>17</v>
      </c>
      <c r="L381" s="32">
        <f t="shared" si="21"/>
        <v>0.39285714285714285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 t="s">
        <v>2214</v>
      </c>
      <c r="Z381" s="70" t="s">
        <v>2214</v>
      </c>
      <c r="AA381" s="70" t="s">
        <v>2214</v>
      </c>
      <c r="AB381" s="70" t="s">
        <v>2214</v>
      </c>
      <c r="AC381" s="70" t="s">
        <v>2214</v>
      </c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11</v>
      </c>
      <c r="J386" s="87"/>
      <c r="K386" s="31">
        <f t="shared" si="20"/>
        <v>17</v>
      </c>
      <c r="L386" s="32">
        <f t="shared" si="21"/>
        <v>0.39285714285714285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 t="s">
        <v>2214</v>
      </c>
      <c r="Z386" s="84" t="s">
        <v>2214</v>
      </c>
      <c r="AA386" s="84" t="s">
        <v>2214</v>
      </c>
      <c r="AB386" s="84" t="s">
        <v>2214</v>
      </c>
      <c r="AC386" s="84" t="s">
        <v>2214</v>
      </c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18</v>
      </c>
      <c r="J387" s="87"/>
      <c r="K387" s="31">
        <f t="shared" si="20"/>
        <v>10</v>
      </c>
      <c r="L387" s="32">
        <f t="shared" si="21"/>
        <v>0.6428571428571429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 t="s">
        <v>2214</v>
      </c>
      <c r="AA387" s="70"/>
      <c r="AB387" s="70" t="s">
        <v>2214</v>
      </c>
      <c r="AC387" s="70" t="s">
        <v>2214</v>
      </c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11</v>
      </c>
      <c r="J391" s="147" t="s">
        <v>1992</v>
      </c>
      <c r="K391" s="87">
        <f t="shared" si="20"/>
        <v>17</v>
      </c>
      <c r="L391" s="88">
        <f t="shared" si="21"/>
        <v>0.39285714285714285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 t="s">
        <v>2214</v>
      </c>
      <c r="Z391" s="89" t="s">
        <v>2214</v>
      </c>
      <c r="AA391" s="89" t="s">
        <v>2214</v>
      </c>
      <c r="AB391" s="89" t="s">
        <v>2214</v>
      </c>
      <c r="AC391" s="89" t="s">
        <v>2214</v>
      </c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26</v>
      </c>
      <c r="J392" s="87"/>
      <c r="K392" s="31">
        <f t="shared" si="20"/>
        <v>2</v>
      </c>
      <c r="L392" s="32">
        <f t="shared" si="21"/>
        <v>0.9285714285714286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 t="s">
        <v>2214</v>
      </c>
      <c r="Z392" s="70" t="s">
        <v>2214</v>
      </c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11</v>
      </c>
      <c r="J393" s="147" t="s">
        <v>1993</v>
      </c>
      <c r="K393" s="31">
        <f t="shared" si="20"/>
        <v>17</v>
      </c>
      <c r="L393" s="32">
        <f t="shared" si="21"/>
        <v>0.39285714285714285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 t="s">
        <v>2214</v>
      </c>
      <c r="Z393" s="70" t="s">
        <v>2214</v>
      </c>
      <c r="AA393" s="70" t="s">
        <v>2214</v>
      </c>
      <c r="AB393" s="70" t="s">
        <v>2214</v>
      </c>
      <c r="AC393" s="70" t="s">
        <v>2214</v>
      </c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11</v>
      </c>
      <c r="J394" s="147" t="s">
        <v>1994</v>
      </c>
      <c r="K394" s="31">
        <f t="shared" si="20"/>
        <v>17</v>
      </c>
      <c r="L394" s="32">
        <f t="shared" si="21"/>
        <v>0.39285714285714285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 t="s">
        <v>2214</v>
      </c>
      <c r="Z394" s="70" t="s">
        <v>2214</v>
      </c>
      <c r="AA394" s="70" t="s">
        <v>2214</v>
      </c>
      <c r="AB394" s="70" t="s">
        <v>2214</v>
      </c>
      <c r="AC394" s="70" t="s">
        <v>2214</v>
      </c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12</v>
      </c>
      <c r="J406" s="87"/>
      <c r="K406" s="31">
        <f t="shared" si="20"/>
        <v>16</v>
      </c>
      <c r="L406" s="32">
        <f t="shared" si="21"/>
        <v>0.42857142857142855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 t="s">
        <v>2214</v>
      </c>
      <c r="Z406" s="70" t="s">
        <v>2214</v>
      </c>
      <c r="AA406" s="70" t="s">
        <v>2214</v>
      </c>
      <c r="AB406" s="70" t="s">
        <v>2214</v>
      </c>
      <c r="AC406" s="70" t="s">
        <v>2214</v>
      </c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12</v>
      </c>
      <c r="J420" s="147" t="s">
        <v>2013</v>
      </c>
      <c r="K420" s="31">
        <f t="shared" si="20"/>
        <v>16</v>
      </c>
      <c r="L420" s="32">
        <f t="shared" si="21"/>
        <v>0.42857142857142855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 t="s">
        <v>2214</v>
      </c>
      <c r="Z420" s="70" t="s">
        <v>2214</v>
      </c>
      <c r="AA420" s="70" t="s">
        <v>2214</v>
      </c>
      <c r="AB420" s="70" t="s">
        <v>2214</v>
      </c>
      <c r="AC420" s="70" t="s">
        <v>2214</v>
      </c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23</v>
      </c>
      <c r="J424" s="147" t="s">
        <v>2016</v>
      </c>
      <c r="K424" s="31">
        <f t="shared" si="20"/>
        <v>5</v>
      </c>
      <c r="L424" s="32">
        <f t="shared" si="21"/>
        <v>0.8214285714285714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 t="s">
        <v>2214</v>
      </c>
      <c r="Z424" s="70" t="s">
        <v>2214</v>
      </c>
      <c r="AA424" s="70" t="s">
        <v>2214</v>
      </c>
      <c r="AB424" s="70" t="s">
        <v>2214</v>
      </c>
      <c r="AC424" s="70" t="s">
        <v>2214</v>
      </c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23</v>
      </c>
      <c r="J426" s="147" t="s">
        <v>2018</v>
      </c>
      <c r="K426" s="31">
        <f t="shared" si="20"/>
        <v>5</v>
      </c>
      <c r="L426" s="32">
        <f t="shared" si="21"/>
        <v>0.8214285714285714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 t="s">
        <v>2214</v>
      </c>
      <c r="Z426" s="70" t="s">
        <v>2214</v>
      </c>
      <c r="AA426" s="70" t="s">
        <v>2214</v>
      </c>
      <c r="AB426" s="70" t="s">
        <v>2214</v>
      </c>
      <c r="AC426" s="70" t="s">
        <v>2214</v>
      </c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26</v>
      </c>
      <c r="J427" s="87"/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 t="s">
        <v>2214</v>
      </c>
      <c r="Z427" s="70" t="s">
        <v>2214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26</v>
      </c>
      <c r="J428" s="87"/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 t="s">
        <v>2214</v>
      </c>
      <c r="Z428" s="70" t="s">
        <v>2214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26</v>
      </c>
      <c r="J430" s="87"/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 t="s">
        <v>2214</v>
      </c>
      <c r="Z430" s="70" t="s">
        <v>2214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20</v>
      </c>
      <c r="J432" s="147" t="s">
        <v>2020</v>
      </c>
      <c r="K432" s="31">
        <f t="shared" si="20"/>
        <v>8</v>
      </c>
      <c r="L432" s="32">
        <f t="shared" si="21"/>
        <v>0.7142857142857143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 t="s">
        <v>2214</v>
      </c>
      <c r="Z432" s="70" t="s">
        <v>2214</v>
      </c>
      <c r="AA432" s="70" t="s">
        <v>2214</v>
      </c>
      <c r="AB432" s="70"/>
      <c r="AC432" s="70" t="s">
        <v>2214</v>
      </c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11</v>
      </c>
      <c r="J433" s="147" t="s">
        <v>2021</v>
      </c>
      <c r="K433" s="142">
        <f t="shared" si="20"/>
        <v>17</v>
      </c>
      <c r="L433" s="143">
        <f t="shared" si="21"/>
        <v>0.39285714285714285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 t="s">
        <v>2214</v>
      </c>
      <c r="Z433" s="70" t="s">
        <v>2214</v>
      </c>
      <c r="AA433" s="70" t="s">
        <v>2214</v>
      </c>
      <c r="AB433" s="70" t="s">
        <v>2214</v>
      </c>
      <c r="AC433" s="70" t="s">
        <v>2214</v>
      </c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23</v>
      </c>
      <c r="J438" s="147" t="s">
        <v>2026</v>
      </c>
      <c r="K438" s="31">
        <f t="shared" si="20"/>
        <v>5</v>
      </c>
      <c r="L438" s="32">
        <f t="shared" si="21"/>
        <v>0.8214285714285714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 t="s">
        <v>2214</v>
      </c>
      <c r="Z438" s="70" t="s">
        <v>2214</v>
      </c>
      <c r="AA438" s="70" t="s">
        <v>2214</v>
      </c>
      <c r="AB438" s="70" t="s">
        <v>2214</v>
      </c>
      <c r="AC438" s="70" t="s">
        <v>2214</v>
      </c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11</v>
      </c>
      <c r="J439" s="147" t="s">
        <v>2027</v>
      </c>
      <c r="K439" s="31">
        <f t="shared" si="20"/>
        <v>17</v>
      </c>
      <c r="L439" s="32">
        <f t="shared" si="21"/>
        <v>0.39285714285714285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 t="s">
        <v>2214</v>
      </c>
      <c r="Z439" s="70" t="s">
        <v>2214</v>
      </c>
      <c r="AA439" s="70" t="s">
        <v>2214</v>
      </c>
      <c r="AB439" s="70" t="s">
        <v>2214</v>
      </c>
      <c r="AC439" s="70" t="s">
        <v>2214</v>
      </c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23</v>
      </c>
      <c r="J446" s="147" t="s">
        <v>2028</v>
      </c>
      <c r="K446" s="142">
        <f t="shared" si="20"/>
        <v>5</v>
      </c>
      <c r="L446" s="143">
        <f t="shared" si="21"/>
        <v>0.8214285714285714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 t="s">
        <v>2214</v>
      </c>
      <c r="Z446" s="70" t="s">
        <v>2214</v>
      </c>
      <c r="AA446" s="70" t="s">
        <v>2214</v>
      </c>
      <c r="AB446" s="70" t="s">
        <v>2214</v>
      </c>
      <c r="AC446" s="70" t="s">
        <v>2214</v>
      </c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23</v>
      </c>
      <c r="J447" s="147" t="s">
        <v>2029</v>
      </c>
      <c r="K447" s="142">
        <f t="shared" si="20"/>
        <v>5</v>
      </c>
      <c r="L447" s="143">
        <f t="shared" si="21"/>
        <v>0.8214285714285714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 t="s">
        <v>2214</v>
      </c>
      <c r="Z447" s="70" t="s">
        <v>2214</v>
      </c>
      <c r="AA447" s="70" t="s">
        <v>2214</v>
      </c>
      <c r="AB447" s="70" t="s">
        <v>2214</v>
      </c>
      <c r="AC447" s="70" t="s">
        <v>2214</v>
      </c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14</v>
      </c>
      <c r="J448" s="87"/>
      <c r="K448" s="142">
        <f t="shared" si="20"/>
        <v>14</v>
      </c>
      <c r="L448" s="143">
        <f t="shared" si="21"/>
        <v>0.5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 t="s">
        <v>2214</v>
      </c>
      <c r="Z448" s="70" t="s">
        <v>2214</v>
      </c>
      <c r="AA448" s="70" t="s">
        <v>2214</v>
      </c>
      <c r="AB448" s="70" t="s">
        <v>2214</v>
      </c>
      <c r="AC448" s="70" t="s">
        <v>2214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26</v>
      </c>
      <c r="J450" s="147" t="s">
        <v>2030</v>
      </c>
      <c r="K450" s="31">
        <f t="shared" si="20"/>
        <v>2</v>
      </c>
      <c r="L450" s="32">
        <f t="shared" si="21"/>
        <v>0.9285714285714286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 t="s">
        <v>2214</v>
      </c>
      <c r="AC450" s="70" t="s">
        <v>2214</v>
      </c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26</v>
      </c>
      <c r="J451" s="147" t="s">
        <v>2031</v>
      </c>
      <c r="K451" s="31">
        <f t="shared" si="20"/>
        <v>2</v>
      </c>
      <c r="L451" s="32">
        <f t="shared" si="21"/>
        <v>0.9285714285714286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 t="s">
        <v>2214</v>
      </c>
      <c r="AC451" s="70" t="s">
        <v>2214</v>
      </c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11</v>
      </c>
      <c r="J466" s="87" t="s">
        <v>2168</v>
      </c>
      <c r="K466" s="87">
        <f t="shared" si="23"/>
        <v>17</v>
      </c>
      <c r="L466" s="88">
        <f t="shared" si="24"/>
        <v>0.39285714285714285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 t="s">
        <v>2214</v>
      </c>
      <c r="Z466" s="89" t="s">
        <v>2214</v>
      </c>
      <c r="AA466" s="89" t="s">
        <v>2214</v>
      </c>
      <c r="AB466" s="89" t="s">
        <v>2214</v>
      </c>
      <c r="AC466" s="89" t="s">
        <v>2214</v>
      </c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26</v>
      </c>
      <c r="J468" s="87" t="s">
        <v>2170</v>
      </c>
      <c r="K468" s="87">
        <f t="shared" si="23"/>
        <v>2</v>
      </c>
      <c r="L468" s="88">
        <f t="shared" si="24"/>
        <v>0.9285714285714286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 t="s">
        <v>2214</v>
      </c>
      <c r="AC468" s="89" t="s">
        <v>2214</v>
      </c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23</v>
      </c>
      <c r="J470" s="87"/>
      <c r="K470" s="31">
        <f t="shared" si="23"/>
        <v>5</v>
      </c>
      <c r="L470" s="32">
        <f t="shared" si="24"/>
        <v>0.8214285714285714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2214</v>
      </c>
      <c r="Z470" s="70" t="s">
        <v>2214</v>
      </c>
      <c r="AA470" s="70" t="s">
        <v>2214</v>
      </c>
      <c r="AB470" s="70" t="s">
        <v>2214</v>
      </c>
      <c r="AC470" s="70" t="s">
        <v>2214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15</v>
      </c>
      <c r="J480" s="147" t="s">
        <v>2051</v>
      </c>
      <c r="K480" s="31">
        <f t="shared" si="23"/>
        <v>13</v>
      </c>
      <c r="L480" s="32">
        <f t="shared" si="24"/>
        <v>0.5357142857142857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 t="s">
        <v>2214</v>
      </c>
      <c r="Z480" s="70" t="s">
        <v>2214</v>
      </c>
      <c r="AA480" s="70" t="s">
        <v>2214</v>
      </c>
      <c r="AB480" s="70" t="s">
        <v>2214</v>
      </c>
      <c r="AC480" s="70" t="s">
        <v>2214</v>
      </c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11</v>
      </c>
      <c r="J494" s="147" t="s">
        <v>2065</v>
      </c>
      <c r="K494" s="31">
        <f t="shared" si="23"/>
        <v>17</v>
      </c>
      <c r="L494" s="32">
        <f t="shared" si="24"/>
        <v>0.39285714285714285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 t="s">
        <v>2214</v>
      </c>
      <c r="Z494" s="70" t="s">
        <v>2214</v>
      </c>
      <c r="AA494" s="70" t="s">
        <v>2214</v>
      </c>
      <c r="AB494" s="70" t="s">
        <v>2214</v>
      </c>
      <c r="AC494" s="70" t="s">
        <v>2214</v>
      </c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17</v>
      </c>
      <c r="J495" s="147" t="s">
        <v>2066</v>
      </c>
      <c r="K495" s="31">
        <f t="shared" si="23"/>
        <v>11</v>
      </c>
      <c r="L495" s="32">
        <f t="shared" si="24"/>
        <v>0.6071428571428571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 t="s">
        <v>2214</v>
      </c>
      <c r="AC495" s="70" t="s">
        <v>2214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24</v>
      </c>
      <c r="J499" s="147" t="s">
        <v>2070</v>
      </c>
      <c r="K499" s="31">
        <f t="shared" si="23"/>
        <v>4</v>
      </c>
      <c r="L499" s="32">
        <f t="shared" si="24"/>
        <v>0.8571428571428571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 t="s">
        <v>2214</v>
      </c>
      <c r="Z499" s="70" t="s">
        <v>2214</v>
      </c>
      <c r="AA499" s="70"/>
      <c r="AB499" s="70" t="s">
        <v>2214</v>
      </c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26</v>
      </c>
      <c r="J501" s="73"/>
      <c r="K501" s="31">
        <f t="shared" si="23"/>
        <v>2</v>
      </c>
      <c r="L501" s="32">
        <f t="shared" si="24"/>
        <v>0.9285714285714286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 t="s">
        <v>2214</v>
      </c>
      <c r="Z501" s="70" t="s">
        <v>2214</v>
      </c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11</v>
      </c>
      <c r="J509" s="147" t="s">
        <v>2079</v>
      </c>
      <c r="K509" s="142">
        <f t="shared" si="23"/>
        <v>17</v>
      </c>
      <c r="L509" s="143">
        <f t="shared" si="24"/>
        <v>0.39285714285714285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 t="s">
        <v>2214</v>
      </c>
      <c r="Z509" s="70" t="s">
        <v>2214</v>
      </c>
      <c r="AA509" s="70" t="s">
        <v>2214</v>
      </c>
      <c r="AB509" s="70" t="s">
        <v>2214</v>
      </c>
      <c r="AC509" s="70" t="s">
        <v>2214</v>
      </c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27</v>
      </c>
      <c r="J521" s="73"/>
      <c r="K521" s="31">
        <f t="shared" si="23"/>
        <v>1</v>
      </c>
      <c r="L521" s="32">
        <f t="shared" si="24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 t="s">
        <v>2214</v>
      </c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11</v>
      </c>
      <c r="J548" s="147" t="s">
        <v>2106</v>
      </c>
      <c r="K548" s="31">
        <f t="shared" si="26"/>
        <v>17</v>
      </c>
      <c r="L548" s="32">
        <f t="shared" si="27"/>
        <v>0.39285714285714285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 t="s">
        <v>2214</v>
      </c>
      <c r="Z548" s="70" t="s">
        <v>2214</v>
      </c>
      <c r="AA548" s="70" t="s">
        <v>2214</v>
      </c>
      <c r="AB548" s="70" t="s">
        <v>2214</v>
      </c>
      <c r="AC548" s="70" t="s">
        <v>2214</v>
      </c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27</v>
      </c>
      <c r="J553" s="87" t="s">
        <v>2204</v>
      </c>
      <c r="K553" s="142">
        <f t="shared" si="26"/>
        <v>1</v>
      </c>
      <c r="L553" s="143">
        <f t="shared" si="27"/>
        <v>0.9642857142857143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 t="s">
        <v>2214</v>
      </c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26</v>
      </c>
      <c r="J554" s="87" t="s">
        <v>2205</v>
      </c>
      <c r="K554" s="31">
        <f t="shared" si="26"/>
        <v>2</v>
      </c>
      <c r="L554" s="32">
        <f t="shared" si="27"/>
        <v>0.9285714285714286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 t="s">
        <v>2214</v>
      </c>
      <c r="Z554" s="70" t="s">
        <v>2214</v>
      </c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26</v>
      </c>
      <c r="J555" s="87" t="s">
        <v>2206</v>
      </c>
      <c r="K555" s="31">
        <f t="shared" si="26"/>
        <v>2</v>
      </c>
      <c r="L555" s="32">
        <f t="shared" si="27"/>
        <v>0.9285714285714286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2214</v>
      </c>
      <c r="Z555" s="70" t="s">
        <v>2214</v>
      </c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13</v>
      </c>
      <c r="J564" s="147" t="s">
        <v>2117</v>
      </c>
      <c r="K564" s="142">
        <f t="shared" si="26"/>
        <v>15</v>
      </c>
      <c r="L564" s="143">
        <f t="shared" si="27"/>
        <v>0.4642857142857143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 t="s">
        <v>2214</v>
      </c>
      <c r="Z564" s="70" t="s">
        <v>2214</v>
      </c>
      <c r="AA564" s="70" t="s">
        <v>2214</v>
      </c>
      <c r="AB564" s="70" t="s">
        <v>2214</v>
      </c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C1:C260 D20:D21 D127:D141 D149 D157:D158 D208:D210 D214:D216 D221:D223 D252:D253 D260 C261:D261 C262:C568 D266:D269 D279:D281 D352:D357 D366 C367:D367 D383:D386 D398:D400 D403 D459:D462 D529:D530 C651:C1048576">
    <cfRule type="cellIs" dxfId="137" priority="522" operator="equal">
      <formula>$C$263</formula>
    </cfRule>
  </conditionalFormatting>
  <conditionalFormatting sqref="C1:C260 D20:D21 D157:D158 D214:D216 C261:D261 C262:C568 D266:D269 D279:D281 C367:D367 D383:D386 D398:D400 D403 C651:C1048576 D127:D141 D149 D208:D210 D221:D223 D252:D253 D260 D352:D357 D366 D459:D462 D529:D530">
    <cfRule type="cellIs" dxfId="136" priority="521" operator="equal">
      <formula>$C$282</formula>
    </cfRule>
  </conditionalFormatting>
  <conditionalFormatting sqref="C1:C568 D20:D21 D157:D158 D214 D266:D269 D279:D281 D383:D386 D398:D400 D403 C651:C1048576">
    <cfRule type="cellIs" dxfId="135" priority="67" operator="equal">
      <formula>"IPCOMS"</formula>
    </cfRule>
  </conditionalFormatting>
  <conditionalFormatting sqref="E1:E543 E556:E568 E651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8 E651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70" operator="containsText" text="Radio">
      <formula>NOT(ISERROR(SEARCH("Radio",E545)))</formula>
    </cfRule>
    <cfRule type="containsText" dxfId="127" priority="469" operator="containsText" text="domo">
      <formula>NOT(ISERROR(SEARCH("domo",E545)))</formula>
    </cfRule>
    <cfRule type="containsText" dxfId="126" priority="468" operator="containsText" text="fija">
      <formula>NOT(ISERROR(SEARCH("fija",E545)))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2" operator="containsText" text="domo">
      <formula>NOT(ISERROR(SEARCH("domo",E546)))</formula>
    </cfRule>
    <cfRule type="containsText" dxfId="122" priority="461" operator="containsText" text="fija">
      <formula>NOT(ISERROR(SEARCH("fija",E546)))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60" operator="containsText" text="Radio">
      <formula>NOT(ISERROR(SEARCH("Radio",E549)))</formula>
    </cfRule>
    <cfRule type="containsText" dxfId="119" priority="459" operator="containsText" text="domo">
      <formula>NOT(ISERROR(SEARCH("domo",E549)))</formula>
    </cfRule>
    <cfRule type="containsText" dxfId="118" priority="458" operator="containsText" text="fija">
      <formula>NOT(ISERROR(SEARCH("fija",E549)))</formula>
    </cfRule>
  </conditionalFormatting>
  <conditionalFormatting sqref="E549:E550">
    <cfRule type="containsText" dxfId="117" priority="454" operator="containsText" text="domo">
      <formula>NOT(ISERROR(SEARCH("domo",E549)))</formula>
    </cfRule>
    <cfRule type="containsText" dxfId="116" priority="453" operator="containsText" text="fija">
      <formula>NOT(ISERROR(SEARCH("fija",E549)))</formula>
    </cfRule>
  </conditionalFormatting>
  <conditionalFormatting sqref="E550 F35:G43 E44:H130 F131:F132 E155:H221 E223:F223 E224:H381 E382:F382 F383:F386 E387:H402 E403:F403 E404:H543 E556:H568 E651:H1048576 H382 G382:G386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9" operator="containsText" text="domo">
      <formula>NOT(ISERROR(SEARCH("domo",E550)))</formula>
    </cfRule>
    <cfRule type="containsText" dxfId="113" priority="448" operator="containsText" text="fija">
      <formula>NOT(ISERROR(SEARCH("fija",E550)))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4" operator="containsText" text="domo">
      <formula>NOT(ISERROR(SEARCH("domo",E551)))</formula>
    </cfRule>
    <cfRule type="containsText" dxfId="110" priority="443" operator="containsText" text="fija">
      <formula>NOT(ISERROR(SEARCH("fija",E551)))</formula>
    </cfRule>
  </conditionalFormatting>
  <conditionalFormatting sqref="E552">
    <cfRule type="containsText" dxfId="109" priority="445" operator="containsText" text="Radio">
      <formula>NOT(ISERROR(SEARCH("Radio",E552)))</formula>
    </cfRule>
    <cfRule type="containsText" dxfId="108" priority="442" operator="containsText" text="domo">
      <formula>NOT(ISERROR(SEARCH("domo",E552)))</formula>
    </cfRule>
    <cfRule type="containsText" dxfId="107" priority="441" operator="containsText" text="fija">
      <formula>NOT(ISERROR(SEARCH("fija",E552)))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2" operator="containsText" text="domo">
      <formula>NOT(ISERROR(SEARCH("domo",E557)))</formula>
    </cfRule>
    <cfRule type="containsText" dxfId="103" priority="471" operator="containsText" text="fija">
      <formula>NOT(ISERROR(SEARCH("fija",E557)))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155:F568 F651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2:F223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3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3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NOT(ISERROR(SEARCH("Radio",F403)))</formula>
    </cfRule>
  </conditionalFormatting>
  <conditionalFormatting sqref="F544">
    <cfRule type="cellIs" dxfId="74" priority="119" operator="equal">
      <formula>"PTP A FO"</formula>
    </cfRule>
    <cfRule type="containsText" dxfId="73" priority="118" operator="containsText" text="Radio">
      <formula>NOT(ISERROR(SEARCH("Radio",F544)))</formula>
    </cfRule>
  </conditionalFormatting>
  <conditionalFormatting sqref="F1:G130 F131:F132 F155:G221 F224:G402 F403 F404:G543 F554:G554 F555 F556:G568 F651:G1048576">
    <cfRule type="cellIs" dxfId="72" priority="720" operator="equal">
      <formula>"PTP A FO"</formula>
    </cfRule>
  </conditionalFormatting>
  <conditionalFormatting sqref="F1:G130 F131:F132 F155:G221 F224:G402 F403 F404:G568 F651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ISERROR(SEARCH("Caida",O651))</formula>
    </cfRule>
    <cfRule type="containsText" dxfId="53" priority="282" operator="containsText" text="Caida">
      <formula>NOT(ISERROR(SEARCH("Caida",O651)))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69" zoomScale="90" zoomScaleNormal="90" workbookViewId="0">
      <selection activeCell="B177" sqref="B177:F18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0.14616755793226383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0.13725490196078433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0.1319073083778966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0.10873440285204991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>
        <v>59</v>
      </c>
      <c r="E142" s="114">
        <f>D142/C142</f>
        <v>0.22605363984674329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0.12121212121212122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0.10873440285204991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0.10338680926916222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7.6648841354723704E-2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7.6648841354723704E-2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9.6256684491978606E-2</v>
      </c>
      <c r="F157" s="155"/>
    </row>
    <row r="158" spans="2:6" x14ac:dyDescent="0.25">
      <c r="B158" s="53" t="s">
        <v>1244</v>
      </c>
      <c r="C158" s="67"/>
      <c r="D158" s="103">
        <f>C157-C158</f>
        <v>54</v>
      </c>
      <c r="E158" s="55">
        <f>D158/C156</f>
        <v>9.6256684491978606E-2</v>
      </c>
      <c r="F158" s="155"/>
    </row>
    <row r="159" spans="2:6" x14ac:dyDescent="0.25">
      <c r="B159" s="53" t="s">
        <v>1245</v>
      </c>
      <c r="C159" s="67"/>
      <c r="D159" s="103">
        <f>D158-C159</f>
        <v>54</v>
      </c>
      <c r="E159" s="55">
        <f>D159/C156</f>
        <v>9.6256684491978606E-2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8.7344028520499106E-2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8.7344028520499106E-2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33</v>
      </c>
      <c r="E164" s="114">
        <f>D164/C164</f>
        <v>0.12643678160919541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0.14438502673796791</v>
      </c>
      <c r="F168" s="155"/>
    </row>
    <row r="169" spans="2:6" x14ac:dyDescent="0.25">
      <c r="B169" s="53" t="s">
        <v>1244</v>
      </c>
      <c r="C169" s="67"/>
      <c r="D169" s="103">
        <f>C168-C169</f>
        <v>81</v>
      </c>
      <c r="E169" s="55">
        <f>D169/C167</f>
        <v>0.14438502673796791</v>
      </c>
      <c r="F169" s="155"/>
    </row>
    <row r="170" spans="2:6" x14ac:dyDescent="0.25">
      <c r="B170" s="53" t="s">
        <v>1245</v>
      </c>
      <c r="C170" s="67"/>
      <c r="D170" s="103">
        <f>D169-C170</f>
        <v>81</v>
      </c>
      <c r="E170" s="55">
        <f>D170/C167</f>
        <v>0.14438502673796791</v>
      </c>
      <c r="F170" s="155"/>
    </row>
    <row r="171" spans="2:6" x14ac:dyDescent="0.25">
      <c r="B171" s="53" t="s">
        <v>16</v>
      </c>
      <c r="C171" s="94"/>
      <c r="D171" s="103">
        <f>D170-C171</f>
        <v>81</v>
      </c>
      <c r="E171" s="55">
        <f>D171/C167</f>
        <v>0.14438502673796791</v>
      </c>
      <c r="F171" s="155"/>
    </row>
    <row r="172" spans="2:6" ht="15.75" thickBot="1" x14ac:dyDescent="0.3">
      <c r="B172" s="56"/>
      <c r="C172" s="131"/>
      <c r="D172" s="104">
        <f>D171-C172</f>
        <v>81</v>
      </c>
      <c r="E172" s="74">
        <f>D172/C167</f>
        <v>0.14438502673796791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82</v>
      </c>
      <c r="D179" s="54"/>
      <c r="E179" s="55">
        <f>C179/C178</f>
        <v>0.14616755793226383</v>
      </c>
      <c r="F179" s="155"/>
    </row>
    <row r="180" spans="2:6" x14ac:dyDescent="0.25">
      <c r="B180" s="53" t="s">
        <v>1244</v>
      </c>
      <c r="C180" s="67">
        <v>8</v>
      </c>
      <c r="D180" s="103">
        <f>C179-C180</f>
        <v>74</v>
      </c>
      <c r="E180" s="55">
        <f>D180/C178</f>
        <v>0.1319073083778966</v>
      </c>
      <c r="F180" s="155"/>
    </row>
    <row r="181" spans="2:6" x14ac:dyDescent="0.25">
      <c r="B181" s="53" t="s">
        <v>1245</v>
      </c>
      <c r="C181" s="67">
        <v>3</v>
      </c>
      <c r="D181" s="103">
        <f>D180-C181</f>
        <v>71</v>
      </c>
      <c r="E181" s="55">
        <f>D181/C178</f>
        <v>0.12655971479500891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65</v>
      </c>
      <c r="E182" s="55">
        <f>D182/C178</f>
        <v>0.11586452762923351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0.11586452762923351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46</v>
      </c>
      <c r="E185" s="105">
        <v>0.15</v>
      </c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36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 t="str">
        <f>'RESUMEN TOTAL'!AB8</f>
        <v>APAGADO</v>
      </c>
      <c r="V5" s="70" t="str">
        <f>'RESUMEN TOTAL'!AC8</f>
        <v>APAGADO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 t="str">
        <f>'RESUMEN TOTAL'!AB9</f>
        <v>APAGADO</v>
      </c>
      <c r="V6" s="70" t="str">
        <f>'RESUMEN TOTAL'!AC9</f>
        <v>APAGADO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 t="str">
        <f>'RESUMEN TOTAL'!AB14</f>
        <v>APAGADO</v>
      </c>
      <c r="V11" s="70" t="str">
        <f>'RESUMEN TOTAL'!AC14</f>
        <v>APAGADO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 t="str">
        <f>'RESUMEN TOTAL'!Z87</f>
        <v>APAGADO</v>
      </c>
      <c r="T68" s="70" t="str">
        <f>'RESUMEN TOTAL'!AA87</f>
        <v>APAGADO</v>
      </c>
      <c r="U68" s="70" t="str">
        <f>'RESUMEN TOTAL'!AB87</f>
        <v>APAGADO</v>
      </c>
      <c r="V68" s="70" t="str">
        <f>'RESUMEN TOTAL'!AC87</f>
        <v>APAGADO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 t="str">
        <f>'RESUMEN TOTAL'!Z97</f>
        <v>APAGADO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 t="str">
        <f>'RESUMEN TOTAL'!AB103</f>
        <v>APAGADO</v>
      </c>
      <c r="V84" s="70" t="str">
        <f>'RESUMEN TOTAL'!AC103</f>
        <v>APAGADO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 t="str">
        <f>'RESUMEN TOTAL'!Z104</f>
        <v>APAGADO</v>
      </c>
      <c r="T85" s="70" t="str">
        <f>'RESUMEN TOTAL'!AA104</f>
        <v>APAGADO</v>
      </c>
      <c r="U85" s="70" t="str">
        <f>'RESUMEN TOTAL'!AB104</f>
        <v>APAGADO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 t="str">
        <f>'RESUMEN TOTAL'!Z116</f>
        <v>APAGADO</v>
      </c>
      <c r="T97" s="70" t="str">
        <f>'RESUMEN TOTAL'!AA116</f>
        <v>APAGADO</v>
      </c>
      <c r="U97" s="70" t="str">
        <f>'RESUMEN TOTAL'!AB116</f>
        <v>APAGADO</v>
      </c>
      <c r="V97" s="70" t="str">
        <f>'RESUMEN TOTAL'!AC116</f>
        <v>APAGADO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 t="str">
        <f>'RESUMEN TOTAL'!Z125</f>
        <v>APAGADO</v>
      </c>
      <c r="T106" s="70" t="str">
        <f>'RESUMEN TOTAL'!AA125</f>
        <v>APAGADO</v>
      </c>
      <c r="U106" s="70" t="str">
        <f>'RESUMEN TOTAL'!AB125</f>
        <v>APAGADO</v>
      </c>
      <c r="V106" s="70" t="str">
        <f>'RESUMEN TOTAL'!AC125</f>
        <v>APAGADO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 t="str">
        <f>'RESUMEN TOTAL'!Y174</f>
        <v>APAGADO</v>
      </c>
      <c r="S137" s="70" t="str">
        <f>'RESUMEN TOTAL'!Z174</f>
        <v>APAGADO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 t="str">
        <f>'RESUMEN TOTAL'!Y190</f>
        <v>APAGADO</v>
      </c>
      <c r="S148" s="70" t="str">
        <f>'RESUMEN TOTAL'!Z190</f>
        <v>APAGADO</v>
      </c>
      <c r="T148" s="70" t="str">
        <f>'RESUMEN TOTAL'!AA190</f>
        <v>APAGADO</v>
      </c>
      <c r="U148" s="70" t="str">
        <f>'RESUMEN TOTAL'!AB190</f>
        <v>APAGADO</v>
      </c>
      <c r="V148" s="70" t="str">
        <f>'RESUMEN TOTAL'!AC190</f>
        <v>APAGADO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 t="str">
        <f>'RESUMEN TOTAL'!Y197</f>
        <v>APAGADO</v>
      </c>
      <c r="S155" s="70" t="str">
        <f>'RESUMEN TOTAL'!Z197</f>
        <v>APAGADO</v>
      </c>
      <c r="T155" s="70">
        <f>'RESUMEN TOTAL'!AA197</f>
        <v>0</v>
      </c>
      <c r="U155" s="70" t="str">
        <f>'RESUMEN TOTAL'!AB197</f>
        <v>APAGADO</v>
      </c>
      <c r="V155" s="70" t="str">
        <f>'RESUMEN TOTAL'!AC197</f>
        <v>APAGADO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 t="str">
        <f>'RESUMEN TOTAL'!Y198</f>
        <v>APAGADO</v>
      </c>
      <c r="S156" s="70" t="str">
        <f>'RESUMEN TOTAL'!Z198</f>
        <v>APAGADO</v>
      </c>
      <c r="T156" s="70" t="str">
        <f>'RESUMEN TOTAL'!AA198</f>
        <v>APAGADO</v>
      </c>
      <c r="U156" s="70" t="str">
        <f>'RESUMEN TOTAL'!AB198</f>
        <v>APAGADO</v>
      </c>
      <c r="V156" s="70" t="str">
        <f>'RESUMEN TOTAL'!AC198</f>
        <v>APAGADO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 t="str">
        <f>'RESUMEN TOTAL'!Z215</f>
        <v>APAGADO</v>
      </c>
      <c r="T170" s="70" t="str">
        <f>'RESUMEN TOTAL'!AA215</f>
        <v>APAGADO</v>
      </c>
      <c r="U170" s="70" t="str">
        <f>'RESUMEN TOTAL'!AB215</f>
        <v>APAGADO</v>
      </c>
      <c r="V170" s="70" t="str">
        <f>'RESUMEN TOTAL'!AC215</f>
        <v>APAGADO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 t="str">
        <f>'RESUMEN TOTAL'!Z216</f>
        <v>APAGADO</v>
      </c>
      <c r="T171" s="70" t="str">
        <f>'RESUMEN TOTAL'!AA216</f>
        <v>APAGADO</v>
      </c>
      <c r="U171" s="70" t="str">
        <f>'RESUMEN TOTAL'!AB216</f>
        <v>APAGADO</v>
      </c>
      <c r="V171" s="70" t="str">
        <f>'RESUMEN TOTAL'!AC216</f>
        <v>APAGADO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 t="str">
        <f>'RESUMEN TOTAL'!AC227</f>
        <v>APAGADO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 t="str">
        <f>'RESUMEN TOTAL'!Y228</f>
        <v>APAGADO</v>
      </c>
      <c r="S180" s="70" t="str">
        <f>'RESUMEN TOTAL'!Z228</f>
        <v>APAGADO</v>
      </c>
      <c r="T180" s="70" t="str">
        <f>'RESUMEN TOTAL'!AA228</f>
        <v>APAGADO</v>
      </c>
      <c r="U180" s="70" t="str">
        <f>'RESUMEN TOTAL'!AB228</f>
        <v>APAGADO</v>
      </c>
      <c r="V180" s="70" t="str">
        <f>'RESUMEN TOTAL'!AC228</f>
        <v>APAGADO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 t="str">
        <f>'RESUMEN TOTAL'!AB229</f>
        <v>APAGADO</v>
      </c>
      <c r="V181" s="70" t="str">
        <f>'RESUMEN TOTAL'!AC229</f>
        <v>APAGADO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 t="str">
        <f>'RESUMEN TOTAL'!Y230</f>
        <v>APAGADO</v>
      </c>
      <c r="S182" s="70" t="str">
        <f>'RESUMEN TOTAL'!Z230</f>
        <v>APAGADO</v>
      </c>
      <c r="T182" s="70" t="str">
        <f>'RESUMEN TOTAL'!AA230</f>
        <v>APAGADO</v>
      </c>
      <c r="U182" s="70" t="str">
        <f>'RESUMEN TOTAL'!AB230</f>
        <v>APAGADO</v>
      </c>
      <c r="V182" s="70" t="str">
        <f>'RESUMEN TOTAL'!AC230</f>
        <v>APAGADO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 t="str">
        <f>'RESUMEN TOTAL'!Y231</f>
        <v>APAGADO</v>
      </c>
      <c r="S183" s="70" t="str">
        <f>'RESUMEN TOTAL'!Z231</f>
        <v>APAGADO</v>
      </c>
      <c r="T183" s="70" t="str">
        <f>'RESUMEN TOTAL'!AA231</f>
        <v>APAGADO</v>
      </c>
      <c r="U183" s="70" t="str">
        <f>'RESUMEN TOTAL'!AB231</f>
        <v>APAGADO</v>
      </c>
      <c r="V183" s="70" t="str">
        <f>'RESUMEN TOTAL'!AC231</f>
        <v>APAGADO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 t="str">
        <f>'RESUMEN TOTAL'!AB232</f>
        <v>APAGADO</v>
      </c>
      <c r="V184" s="70" t="str">
        <f>'RESUMEN TOTAL'!AC232</f>
        <v>APAGADO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 t="str">
        <f>'RESUMEN TOTAL'!AB234</f>
        <v>APAGADO</v>
      </c>
      <c r="V186" s="70" t="str">
        <f>'RESUMEN TOTAL'!AC234</f>
        <v>APAGADO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 t="str">
        <f>'RESUMEN TOTAL'!AB235</f>
        <v>APAGADO</v>
      </c>
      <c r="V187" s="70" t="str">
        <f>'RESUMEN TOTAL'!AC235</f>
        <v>APAGADO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 t="str">
        <f>'RESUMEN TOTAL'!AB236</f>
        <v>APAGADO</v>
      </c>
      <c r="V188" s="70" t="str">
        <f>'RESUMEN TOTAL'!AC236</f>
        <v>APAGADO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 t="str">
        <f>'RESUMEN TOTAL'!AB237</f>
        <v>APAGADO</v>
      </c>
      <c r="V189" s="70" t="str">
        <f>'RESUMEN TOTAL'!AC237</f>
        <v>APAGADO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 t="str">
        <f>'RESUMEN TOTAL'!AB238</f>
        <v>APAGADO</v>
      </c>
      <c r="V190" s="70" t="str">
        <f>'RESUMEN TOTAL'!AC238</f>
        <v>APAGADO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 t="str">
        <f>'RESUMEN TOTAL'!AB239</f>
        <v>APAGADO</v>
      </c>
      <c r="V191" s="70" t="str">
        <f>'RESUMEN TOTAL'!AC239</f>
        <v>APAGADO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 t="str">
        <f>'RESUMEN TOTAL'!AB240</f>
        <v>APAGADO</v>
      </c>
      <c r="V192" s="70" t="str">
        <f>'RESUMEN TOTAL'!AC240</f>
        <v>APAGADO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 t="str">
        <f>'RESUMEN TOTAL'!Y241</f>
        <v>APAGADO</v>
      </c>
      <c r="S193" s="70" t="str">
        <f>'RESUMEN TOTAL'!Z241</f>
        <v>APAGADO</v>
      </c>
      <c r="T193" s="70" t="str">
        <f>'RESUMEN TOTAL'!AA241</f>
        <v>APAGADO</v>
      </c>
      <c r="U193" s="70" t="str">
        <f>'RESUMEN TOTAL'!AB241</f>
        <v>APAGADO</v>
      </c>
      <c r="V193" s="70" t="str">
        <f>'RESUMEN TOTAL'!AC241</f>
        <v>APAGADO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 t="str">
        <f>'RESUMEN TOTAL'!Y242</f>
        <v>APAGADO</v>
      </c>
      <c r="S194" s="70" t="str">
        <f>'RESUMEN TOTAL'!Z242</f>
        <v>APAGADO</v>
      </c>
      <c r="T194" s="70" t="str">
        <f>'RESUMEN TOTAL'!AA242</f>
        <v>APAGADO</v>
      </c>
      <c r="U194" s="70" t="str">
        <f>'RESUMEN TOTAL'!AB242</f>
        <v>APAGADO</v>
      </c>
      <c r="V194" s="70" t="str">
        <f>'RESUMEN TOTAL'!AC242</f>
        <v>APAGADO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 t="str">
        <f>'RESUMEN TOTAL'!Z243</f>
        <v>APAGADO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 t="str">
        <f>'RESUMEN TOTAL'!Y245</f>
        <v>APAGADO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 t="str">
        <f>'RESUMEN TOTAL'!Y246</f>
        <v>APAGADO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 t="str">
        <f>'RESUMEN TOTAL'!Y247</f>
        <v>APAGADO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 t="str">
        <f>'RESUMEN TOTAL'!Y251</f>
        <v>APAGADO</v>
      </c>
      <c r="S203" s="70" t="str">
        <f>'RESUMEN TOTAL'!Z251</f>
        <v>APAGADO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 t="str">
        <f>'RESUMEN TOTAL'!AB255</f>
        <v>APAGADO</v>
      </c>
      <c r="V207" s="70" t="str">
        <f>'RESUMEN TOTAL'!AC255</f>
        <v>APAGADO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 t="str">
        <f>'RESUMEN TOTAL'!AB257</f>
        <v>APAGADO</v>
      </c>
      <c r="V209" s="70" t="str">
        <f>'RESUMEN TOTAL'!AC257</f>
        <v>APAGADO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 t="str">
        <f>'RESUMEN TOTAL'!Y261</f>
        <v>APAGADO</v>
      </c>
      <c r="S213" s="70" t="str">
        <f>'RESUMEN TOTAL'!Z261</f>
        <v>APAGADO</v>
      </c>
      <c r="T213" s="70" t="str">
        <f>'RESUMEN TOTAL'!AA261</f>
        <v>APAGADO</v>
      </c>
      <c r="U213" s="70" t="str">
        <f>'RESUMEN TOTAL'!AB261</f>
        <v>APAGADO</v>
      </c>
      <c r="V213" s="70" t="str">
        <f>'RESUMEN TOTAL'!AC261</f>
        <v>APAGADO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 t="str">
        <f>'RESUMEN TOTAL'!Z270</f>
        <v>APAGADO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 t="str">
        <f>'RESUMEN TOTAL'!Z272</f>
        <v>APAGADO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 t="str">
        <f>'RESUMEN TOTAL'!Y276</f>
        <v>APAGADO</v>
      </c>
      <c r="S224" s="70" t="str">
        <f>'RESUMEN TOTAL'!Z276</f>
        <v>APAGADO</v>
      </c>
      <c r="T224" s="70" t="str">
        <f>'RESUMEN TOTAL'!AA276</f>
        <v>APAGADO</v>
      </c>
      <c r="U224" s="70" t="str">
        <f>'RESUMEN TOTAL'!AB276</f>
        <v>APAGADO</v>
      </c>
      <c r="V224" s="70" t="str">
        <f>'RESUMEN TOTAL'!AC276</f>
        <v>APAGADO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 t="str">
        <f>'RESUMEN TOTAL'!AC290</f>
        <v>APAGADO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 t="str">
        <f>'RESUMEN TOTAL'!Y291</f>
        <v>APAGADO</v>
      </c>
      <c r="S236" s="70" t="str">
        <f>'RESUMEN TOTAL'!Z291</f>
        <v>APAGADO</v>
      </c>
      <c r="T236" s="70" t="str">
        <f>'RESUMEN TOTAL'!AA291</f>
        <v>APAGADO</v>
      </c>
      <c r="U236" s="70" t="str">
        <f>'RESUMEN TOTAL'!AB291</f>
        <v>APAGADO</v>
      </c>
      <c r="V236" s="70" t="str">
        <f>'RESUMEN TOTAL'!AC291</f>
        <v>APAGADO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 t="str">
        <f>'RESUMEN TOTAL'!Y292</f>
        <v>APAGADO</v>
      </c>
      <c r="S237" s="70" t="str">
        <f>'RESUMEN TOTAL'!Z292</f>
        <v>APAGADO</v>
      </c>
      <c r="T237" s="70" t="str">
        <f>'RESUMEN TOTAL'!AA292</f>
        <v>APAGADO</v>
      </c>
      <c r="U237" s="70" t="str">
        <f>'RESUMEN TOTAL'!AB292</f>
        <v>APAGADO</v>
      </c>
      <c r="V237" s="70" t="str">
        <f>'RESUMEN TOTAL'!AC292</f>
        <v>APAGADO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 t="str">
        <f>'RESUMEN TOTAL'!Y303</f>
        <v>APAGADO</v>
      </c>
      <c r="S248" s="70" t="str">
        <f>'RESUMEN TOTAL'!Z303</f>
        <v>APAGADO</v>
      </c>
      <c r="T248" s="70" t="str">
        <f>'RESUMEN TOTAL'!AA303</f>
        <v>APAGADO</v>
      </c>
      <c r="U248" s="70" t="str">
        <f>'RESUMEN TOTAL'!AB303</f>
        <v>APAGADO</v>
      </c>
      <c r="V248" s="70" t="str">
        <f>'RESUMEN TOTAL'!AC303</f>
        <v>APAGADO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 t="str">
        <f>'RESUMEN TOTAL'!Y305</f>
        <v>APAGADO</v>
      </c>
      <c r="S250" s="70" t="str">
        <f>'RESUMEN TOTAL'!Z305</f>
        <v>APAGADO</v>
      </c>
      <c r="T250" s="70" t="str">
        <f>'RESUMEN TOTAL'!AA305</f>
        <v>APAGADO</v>
      </c>
      <c r="U250" s="70">
        <f>'RESUMEN TOTAL'!AB305</f>
        <v>0</v>
      </c>
      <c r="V250" s="70" t="str">
        <f>'RESUMEN TOTAL'!AC305</f>
        <v>APAGADO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 t="str">
        <f>'RESUMEN TOTAL'!Y306</f>
        <v>APAGADO</v>
      </c>
      <c r="S251" s="70" t="str">
        <f>'RESUMEN TOTAL'!Z306</f>
        <v>APAGADO</v>
      </c>
      <c r="T251" s="70" t="str">
        <f>'RESUMEN TOTAL'!AA306</f>
        <v>APAGADO</v>
      </c>
      <c r="U251" s="70" t="str">
        <f>'RESUMEN TOTAL'!AB306</f>
        <v>APAGADO</v>
      </c>
      <c r="V251" s="70" t="str">
        <f>'RESUMEN TOTAL'!AC306</f>
        <v>APAGADO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 t="str">
        <f>'RESUMEN TOTAL'!Y307</f>
        <v>APAGADO</v>
      </c>
      <c r="S252" s="70" t="str">
        <f>'RESUMEN TOTAL'!Z307</f>
        <v>APAGADO</v>
      </c>
      <c r="T252" s="70" t="str">
        <f>'RESUMEN TOTAL'!AA307</f>
        <v>APAGADO</v>
      </c>
      <c r="U252" s="70">
        <f>'RESUMEN TOTAL'!AB307</f>
        <v>0</v>
      </c>
      <c r="V252" s="70" t="str">
        <f>'RESUMEN TOTAL'!AC307</f>
        <v>APAGADO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 t="str">
        <f>'RESUMEN TOTAL'!Y308</f>
        <v>APAGADO</v>
      </c>
      <c r="S253" s="70" t="str">
        <f>'RESUMEN TOTAL'!Z308</f>
        <v>APAGADO</v>
      </c>
      <c r="T253" s="70" t="str">
        <f>'RESUMEN TOTAL'!AA308</f>
        <v>APAGADO</v>
      </c>
      <c r="U253" s="70" t="str">
        <f>'RESUMEN TOTAL'!AB308</f>
        <v>APAGADO</v>
      </c>
      <c r="V253" s="70" t="str">
        <f>'RESUMEN TOTAL'!AC308</f>
        <v>APAGADO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 t="str">
        <f>'RESUMEN TOTAL'!Y309</f>
        <v>APAGADO</v>
      </c>
      <c r="S254" s="70" t="str">
        <f>'RESUMEN TOTAL'!Z309</f>
        <v>APAGADO</v>
      </c>
      <c r="T254" s="70" t="str">
        <f>'RESUMEN TOTAL'!AA309</f>
        <v>APAGADO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 t="str">
        <f>'RESUMEN TOTAL'!Y315</f>
        <v>APAGADO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 t="str">
        <f>'RESUMEN TOTAL'!Y316</f>
        <v>APAGADO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 t="str">
        <f>'RESUMEN TOTAL'!Y317</f>
        <v>APAGADO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 t="str">
        <f>'RESUMEN TOTAL'!Y318</f>
        <v>APAGADO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 t="str">
        <f>'RESUMEN TOTAL'!Y319</f>
        <v>APAGADO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 t="str">
        <f>'RESUMEN TOTAL'!Y320</f>
        <v>APAGADO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 t="str">
        <f>'RESUMEN TOTAL'!Y325</f>
        <v>APAGADO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 t="str">
        <f>'RESUMEN TOTAL'!Y326</f>
        <v>APAGADO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 t="str">
        <f>'RESUMEN TOTAL'!Y327</f>
        <v>APAGADO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 t="str">
        <f>'RESUMEN TOTAL'!Y328</f>
        <v>APAGADO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 t="str">
        <f>'RESUMEN TOTAL'!Y329</f>
        <v>APAGADO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 t="str">
        <f>'RESUMEN TOTAL'!Y337</f>
        <v>APAGADO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 t="str">
        <f>'RESUMEN TOTAL'!Y343</f>
        <v>APAGADO</v>
      </c>
      <c r="S281" s="70">
        <f>'RESUMEN TOTAL'!Z343</f>
        <v>0</v>
      </c>
      <c r="T281" s="70">
        <f>'RESUMEN TOTAL'!AA343</f>
        <v>0</v>
      </c>
      <c r="U281" s="70" t="str">
        <f>'RESUMEN TOTAL'!AB343</f>
        <v>APAGADO</v>
      </c>
      <c r="V281" s="70" t="str">
        <f>'RESUMEN TOTAL'!AC343</f>
        <v>APAGADO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 t="str">
        <f>'RESUMEN TOTAL'!Y344</f>
        <v>APAGADO</v>
      </c>
      <c r="S282" s="70" t="str">
        <f>'RESUMEN TOTAL'!Z344</f>
        <v>APAGADO</v>
      </c>
      <c r="T282" s="70" t="str">
        <f>'RESUMEN TOTAL'!AA344</f>
        <v>APAGADO</v>
      </c>
      <c r="U282" s="70" t="str">
        <f>'RESUMEN TOTAL'!AB344</f>
        <v>APAGADO</v>
      </c>
      <c r="V282" s="70" t="str">
        <f>'RESUMEN TOTAL'!AC344</f>
        <v>APAGADO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 t="str">
        <f>'RESUMEN TOTAL'!Z345</f>
        <v>APAGADO</v>
      </c>
      <c r="T283" s="70" t="str">
        <f>'RESUMEN TOTAL'!AA345</f>
        <v>APAGADO</v>
      </c>
      <c r="U283" s="70" t="str">
        <f>'RESUMEN TOTAL'!AB345</f>
        <v>APAGADO</v>
      </c>
      <c r="V283" s="70" t="str">
        <f>'RESUMEN TOTAL'!AC345</f>
        <v>APAGADO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 t="str">
        <f>'RESUMEN TOTAL'!Y347</f>
        <v>APAGADO</v>
      </c>
      <c r="S285" s="70" t="str">
        <f>'RESUMEN TOTAL'!Z347</f>
        <v>APAGADO</v>
      </c>
      <c r="T285" s="70" t="str">
        <f>'RESUMEN TOTAL'!AA347</f>
        <v>APAGADO</v>
      </c>
      <c r="U285" s="70" t="str">
        <f>'RESUMEN TOTAL'!AB347</f>
        <v>APAGADO</v>
      </c>
      <c r="V285" s="70" t="str">
        <f>'RESUMEN TOTAL'!AC347</f>
        <v>APAGADO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 t="str">
        <f>'RESUMEN TOTAL'!AB348</f>
        <v>APAGADO</v>
      </c>
      <c r="V286" s="70" t="str">
        <f>'RESUMEN TOTAL'!AC348</f>
        <v>APAGADO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 t="str">
        <f>'RESUMEN TOTAL'!AB349</f>
        <v>APAGADO</v>
      </c>
      <c r="V287" s="70" t="str">
        <f>'RESUMEN TOTAL'!AC349</f>
        <v>APAGADO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 t="str">
        <f>'RESUMEN TOTAL'!AB350</f>
        <v>APAGADO</v>
      </c>
      <c r="V288" s="70" t="str">
        <f>'RESUMEN TOTAL'!AC350</f>
        <v>APAGADO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 t="str">
        <f>'RESUMEN TOTAL'!AB351</f>
        <v>APAGADO</v>
      </c>
      <c r="V289" s="70" t="str">
        <f>'RESUMEN TOTAL'!AC351</f>
        <v>APAGADO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 t="str">
        <f>'RESUMEN TOTAL'!Y368</f>
        <v>APAGADO</v>
      </c>
      <c r="S301" s="70" t="str">
        <f>'RESUMEN TOTAL'!Z368</f>
        <v>APAGADO</v>
      </c>
      <c r="T301" s="70" t="str">
        <f>'RESUMEN TOTAL'!AA368</f>
        <v>APAGADO</v>
      </c>
      <c r="U301" s="70" t="str">
        <f>'RESUMEN TOTAL'!AB368</f>
        <v>APAGADO</v>
      </c>
      <c r="V301" s="70" t="str">
        <f>'RESUMEN TOTAL'!AC368</f>
        <v>APAGADO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 t="str">
        <f>'RESUMEN TOTAL'!AB376</f>
        <v>APAGADO</v>
      </c>
      <c r="V309" s="70" t="str">
        <f>'RESUMEN TOTAL'!AC376</f>
        <v>APAGADO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 t="str">
        <f>'RESUMEN TOTAL'!AB377</f>
        <v>APAGADO</v>
      </c>
      <c r="V310" s="70" t="str">
        <f>'RESUMEN TOTAL'!AC377</f>
        <v>APAGADO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 t="str">
        <f>'RESUMEN TOTAL'!Y381</f>
        <v>APAGADO</v>
      </c>
      <c r="S314" s="70" t="str">
        <f>'RESUMEN TOTAL'!Z381</f>
        <v>APAGADO</v>
      </c>
      <c r="T314" s="70" t="str">
        <f>'RESUMEN TOTAL'!AA381</f>
        <v>APAGADO</v>
      </c>
      <c r="U314" s="70" t="str">
        <f>'RESUMEN TOTAL'!AB381</f>
        <v>APAGADO</v>
      </c>
      <c r="V314" s="70" t="str">
        <f>'RESUMEN TOTAL'!AC381</f>
        <v>APAGADO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 t="str">
        <f>'RESUMEN TOTAL'!Z387</f>
        <v>APAGADO</v>
      </c>
      <c r="T316" s="70">
        <f>'RESUMEN TOTAL'!AA387</f>
        <v>0</v>
      </c>
      <c r="U316" s="70" t="str">
        <f>'RESUMEN TOTAL'!AB387</f>
        <v>APAGADO</v>
      </c>
      <c r="V316" s="70" t="str">
        <f>'RESUMEN TOTAL'!AC387</f>
        <v>APAGADO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 t="str">
        <f>'RESUMEN TOTAL'!Y391</f>
        <v>APAGADO</v>
      </c>
      <c r="S320" s="70" t="str">
        <f>'RESUMEN TOTAL'!Z391</f>
        <v>APAGADO</v>
      </c>
      <c r="T320" s="70" t="str">
        <f>'RESUMEN TOTAL'!AA391</f>
        <v>APAGADO</v>
      </c>
      <c r="U320" s="70" t="str">
        <f>'RESUMEN TOTAL'!AB391</f>
        <v>APAGADO</v>
      </c>
      <c r="V320" s="70" t="str">
        <f>'RESUMEN TOTAL'!AC391</f>
        <v>APAGADO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 t="str">
        <f>'RESUMEN TOTAL'!Y392</f>
        <v>APAGADO</v>
      </c>
      <c r="S321" s="70" t="str">
        <f>'RESUMEN TOTAL'!Z392</f>
        <v>APAGADO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 t="str">
        <f>'RESUMEN TOTAL'!Y393</f>
        <v>APAGADO</v>
      </c>
      <c r="S322" s="70" t="str">
        <f>'RESUMEN TOTAL'!Z393</f>
        <v>APAGADO</v>
      </c>
      <c r="T322" s="70" t="str">
        <f>'RESUMEN TOTAL'!AA393</f>
        <v>APAGADO</v>
      </c>
      <c r="U322" s="70" t="str">
        <f>'RESUMEN TOTAL'!AB393</f>
        <v>APAGADO</v>
      </c>
      <c r="V322" s="70" t="str">
        <f>'RESUMEN TOTAL'!AC393</f>
        <v>APAGADO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 t="str">
        <f>'RESUMEN TOTAL'!Y394</f>
        <v>APAGADO</v>
      </c>
      <c r="S323" s="70" t="str">
        <f>'RESUMEN TOTAL'!Z394</f>
        <v>APAGADO</v>
      </c>
      <c r="T323" s="70" t="str">
        <f>'RESUMEN TOTAL'!AA394</f>
        <v>APAGADO</v>
      </c>
      <c r="U323" s="70" t="str">
        <f>'RESUMEN TOTAL'!AB394</f>
        <v>APAGADO</v>
      </c>
      <c r="V323" s="70" t="str">
        <f>'RESUMEN TOTAL'!AC394</f>
        <v>APAGADO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 t="str">
        <f>'RESUMEN TOTAL'!Y406</f>
        <v>APAGADO</v>
      </c>
      <c r="S329" s="70" t="str">
        <f>'RESUMEN TOTAL'!Z406</f>
        <v>APAGADO</v>
      </c>
      <c r="T329" s="70" t="str">
        <f>'RESUMEN TOTAL'!AA406</f>
        <v>APAGADO</v>
      </c>
      <c r="U329" s="70" t="str">
        <f>'RESUMEN TOTAL'!AB406</f>
        <v>APAGADO</v>
      </c>
      <c r="V329" s="70" t="str">
        <f>'RESUMEN TOTAL'!AC406</f>
        <v>APAGADO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 t="str">
        <f>'RESUMEN TOTAL'!Y420</f>
        <v>APAGADO</v>
      </c>
      <c r="S341" s="70" t="str">
        <f>'RESUMEN TOTAL'!Z420</f>
        <v>APAGADO</v>
      </c>
      <c r="T341" s="70" t="str">
        <f>'RESUMEN TOTAL'!AA420</f>
        <v>APAGADO</v>
      </c>
      <c r="U341" s="70" t="str">
        <f>'RESUMEN TOTAL'!AB420</f>
        <v>APAGADO</v>
      </c>
      <c r="V341" s="70" t="str">
        <f>'RESUMEN TOTAL'!AC420</f>
        <v>APAGADO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 t="str">
        <f>'RESUMEN TOTAL'!Y424</f>
        <v>APAGADO</v>
      </c>
      <c r="S345" s="70" t="str">
        <f>'RESUMEN TOTAL'!Z424</f>
        <v>APAGADO</v>
      </c>
      <c r="T345" s="70" t="str">
        <f>'RESUMEN TOTAL'!AA424</f>
        <v>APAGADO</v>
      </c>
      <c r="U345" s="70" t="str">
        <f>'RESUMEN TOTAL'!AB424</f>
        <v>APAGADO</v>
      </c>
      <c r="V345" s="70" t="str">
        <f>'RESUMEN TOTAL'!AC424</f>
        <v>APAGADO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 t="str">
        <f>'RESUMEN TOTAL'!Y426</f>
        <v>APAGADO</v>
      </c>
      <c r="S347" s="70" t="str">
        <f>'RESUMEN TOTAL'!Z426</f>
        <v>APAGADO</v>
      </c>
      <c r="T347" s="70" t="str">
        <f>'RESUMEN TOTAL'!AA426</f>
        <v>APAGADO</v>
      </c>
      <c r="U347" s="70" t="str">
        <f>'RESUMEN TOTAL'!AB426</f>
        <v>APAGADO</v>
      </c>
      <c r="V347" s="70" t="str">
        <f>'RESUMEN TOTAL'!AC426</f>
        <v>APAGADO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 t="str">
        <f>'RESUMEN TOTAL'!Y427</f>
        <v>APAGADO</v>
      </c>
      <c r="S348" s="70" t="str">
        <f>'RESUMEN TOTAL'!Z427</f>
        <v>APAGADO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 t="str">
        <f>'RESUMEN TOTAL'!Y428</f>
        <v>APAGADO</v>
      </c>
      <c r="S349" s="70" t="str">
        <f>'RESUMEN TOTAL'!Z428</f>
        <v>APAGADO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 t="str">
        <f>'RESUMEN TOTAL'!Y430</f>
        <v>APAGADO</v>
      </c>
      <c r="S351" s="70" t="str">
        <f>'RESUMEN TOTAL'!Z430</f>
        <v>APAGADO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 t="str">
        <f>'RESUMEN TOTAL'!Y432</f>
        <v>APAGADO</v>
      </c>
      <c r="S353" s="70" t="str">
        <f>'RESUMEN TOTAL'!Z432</f>
        <v>APAGADO</v>
      </c>
      <c r="T353" s="70" t="str">
        <f>'RESUMEN TOTAL'!AA432</f>
        <v>APAGADO</v>
      </c>
      <c r="U353" s="70">
        <f>'RESUMEN TOTAL'!AB432</f>
        <v>0</v>
      </c>
      <c r="V353" s="70" t="str">
        <f>'RESUMEN TOTAL'!AC432</f>
        <v>APAGADO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 t="str">
        <f>'RESUMEN TOTAL'!Y433</f>
        <v>APAGADO</v>
      </c>
      <c r="S354" s="70" t="str">
        <f>'RESUMEN TOTAL'!Z433</f>
        <v>APAGADO</v>
      </c>
      <c r="T354" s="70" t="str">
        <f>'RESUMEN TOTAL'!AA433</f>
        <v>APAGADO</v>
      </c>
      <c r="U354" s="70" t="str">
        <f>'RESUMEN TOTAL'!AB433</f>
        <v>APAGADO</v>
      </c>
      <c r="V354" s="70" t="str">
        <f>'RESUMEN TOTAL'!AC433</f>
        <v>APAGADO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 t="str">
        <f>'RESUMEN TOTAL'!Y438</f>
        <v>APAGADO</v>
      </c>
      <c r="S359" s="70" t="str">
        <f>'RESUMEN TOTAL'!Z438</f>
        <v>APAGADO</v>
      </c>
      <c r="T359" s="70" t="str">
        <f>'RESUMEN TOTAL'!AA438</f>
        <v>APAGADO</v>
      </c>
      <c r="U359" s="70" t="str">
        <f>'RESUMEN TOTAL'!AB438</f>
        <v>APAGADO</v>
      </c>
      <c r="V359" s="70" t="str">
        <f>'RESUMEN TOTAL'!AC438</f>
        <v>APAGADO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 t="str">
        <f>'RESUMEN TOTAL'!Y439</f>
        <v>APAGADO</v>
      </c>
      <c r="S360" s="70" t="str">
        <f>'RESUMEN TOTAL'!Z439</f>
        <v>APAGADO</v>
      </c>
      <c r="T360" s="70" t="str">
        <f>'RESUMEN TOTAL'!AA439</f>
        <v>APAGADO</v>
      </c>
      <c r="U360" s="70" t="str">
        <f>'RESUMEN TOTAL'!AB439</f>
        <v>APAGADO</v>
      </c>
      <c r="V360" s="70" t="str">
        <f>'RESUMEN TOTAL'!AC439</f>
        <v>APAGADO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 t="str">
        <f>'RESUMEN TOTAL'!Y446</f>
        <v>APAGADO</v>
      </c>
      <c r="S361" s="70" t="str">
        <f>'RESUMEN TOTAL'!Z446</f>
        <v>APAGADO</v>
      </c>
      <c r="T361" s="70" t="str">
        <f>'RESUMEN TOTAL'!AA446</f>
        <v>APAGADO</v>
      </c>
      <c r="U361" s="70" t="str">
        <f>'RESUMEN TOTAL'!AB446</f>
        <v>APAGADO</v>
      </c>
      <c r="V361" s="70" t="str">
        <f>'RESUMEN TOTAL'!AC446</f>
        <v>APAGADO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 t="str">
        <f>'RESUMEN TOTAL'!Y447</f>
        <v>APAGADO</v>
      </c>
      <c r="S362" s="70" t="str">
        <f>'RESUMEN TOTAL'!Z447</f>
        <v>APAGADO</v>
      </c>
      <c r="T362" s="70" t="str">
        <f>'RESUMEN TOTAL'!AA447</f>
        <v>APAGADO</v>
      </c>
      <c r="U362" s="70" t="str">
        <f>'RESUMEN TOTAL'!AB447</f>
        <v>APAGADO</v>
      </c>
      <c r="V362" s="70" t="str">
        <f>'RESUMEN TOTAL'!AC447</f>
        <v>APAGADO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 t="str">
        <f>'RESUMEN TOTAL'!Y448</f>
        <v>APAGADO</v>
      </c>
      <c r="S363" s="70" t="str">
        <f>'RESUMEN TOTAL'!Z448</f>
        <v>APAGADO</v>
      </c>
      <c r="T363" s="70" t="str">
        <f>'RESUMEN TOTAL'!AA448</f>
        <v>APAGADO</v>
      </c>
      <c r="U363" s="70" t="str">
        <f>'RESUMEN TOTAL'!AB448</f>
        <v>APAGADO</v>
      </c>
      <c r="V363" s="70" t="str">
        <f>'RESUMEN TOTAL'!AC448</f>
        <v>APAGADO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 t="str">
        <f>'RESUMEN TOTAL'!AB450</f>
        <v>APAGADO</v>
      </c>
      <c r="V364" s="70" t="str">
        <f>'RESUMEN TOTAL'!AC450</f>
        <v>APAGADO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 t="str">
        <f>'RESUMEN TOTAL'!AB451</f>
        <v>APAGADO</v>
      </c>
      <c r="V365" s="70" t="str">
        <f>'RESUMEN TOTAL'!AC451</f>
        <v>APAGADO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 t="str">
        <f>'RESUMEN TOTAL'!Y470</f>
        <v>APAGADO</v>
      </c>
      <c r="S378" s="70" t="str">
        <f>'RESUMEN TOTAL'!Z470</f>
        <v>APAGADO</v>
      </c>
      <c r="T378" s="70" t="str">
        <f>'RESUMEN TOTAL'!AA470</f>
        <v>APAGADO</v>
      </c>
      <c r="U378" s="70" t="str">
        <f>'RESUMEN TOTAL'!AB470</f>
        <v>APAGADO</v>
      </c>
      <c r="V378" s="70" t="str">
        <f>'RESUMEN TOTAL'!AC470</f>
        <v>APAGADO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 t="str">
        <f>'RESUMEN TOTAL'!Y480</f>
        <v>APAGADO</v>
      </c>
      <c r="S388" s="70" t="str">
        <f>'RESUMEN TOTAL'!Z480</f>
        <v>APAGADO</v>
      </c>
      <c r="T388" s="70" t="str">
        <f>'RESUMEN TOTAL'!AA480</f>
        <v>APAGADO</v>
      </c>
      <c r="U388" s="70" t="str">
        <f>'RESUMEN TOTAL'!AB480</f>
        <v>APAGADO</v>
      </c>
      <c r="V388" s="70" t="str">
        <f>'RESUMEN TOTAL'!AC480</f>
        <v>APAGADO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 t="str">
        <f>'RESUMEN TOTAL'!Y494</f>
        <v>APAGADO</v>
      </c>
      <c r="S402" s="70" t="str">
        <f>'RESUMEN TOTAL'!Z494</f>
        <v>APAGADO</v>
      </c>
      <c r="T402" s="70" t="str">
        <f>'RESUMEN TOTAL'!AA494</f>
        <v>APAGADO</v>
      </c>
      <c r="U402" s="70" t="str">
        <f>'RESUMEN TOTAL'!AB494</f>
        <v>APAGADO</v>
      </c>
      <c r="V402" s="70" t="str">
        <f>'RESUMEN TOTAL'!AC494</f>
        <v>APAGADO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 t="str">
        <f>'RESUMEN TOTAL'!AB495</f>
        <v>APAGADO</v>
      </c>
      <c r="V403" s="70" t="str">
        <f>'RESUMEN TOTAL'!AC495</f>
        <v>APAGADO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 t="str">
        <f>'RESUMEN TOTAL'!Y499</f>
        <v>APAGADO</v>
      </c>
      <c r="S407" s="70" t="str">
        <f>'RESUMEN TOTAL'!Z499</f>
        <v>APAGADO</v>
      </c>
      <c r="T407" s="70">
        <f>'RESUMEN TOTAL'!AA499</f>
        <v>0</v>
      </c>
      <c r="U407" s="70" t="str">
        <f>'RESUMEN TOTAL'!AB499</f>
        <v>APAGADO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 t="str">
        <f>'RESUMEN TOTAL'!Y501</f>
        <v>APAGADO</v>
      </c>
      <c r="S409" s="70" t="str">
        <f>'RESUMEN TOTAL'!Z501</f>
        <v>APAGADO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 t="str">
        <f>'RESUMEN TOTAL'!Y509</f>
        <v>APAGADO</v>
      </c>
      <c r="S417" s="70" t="str">
        <f>'RESUMEN TOTAL'!Z509</f>
        <v>APAGADO</v>
      </c>
      <c r="T417" s="70" t="str">
        <f>'RESUMEN TOTAL'!AA509</f>
        <v>APAGADO</v>
      </c>
      <c r="U417" s="70" t="str">
        <f>'RESUMEN TOTAL'!AB509</f>
        <v>APAGADO</v>
      </c>
      <c r="V417" s="70" t="str">
        <f>'RESUMEN TOTAL'!AC509</f>
        <v>APAGADO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 t="str">
        <f>'RESUMEN TOTAL'!AB521</f>
        <v>APAGADO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 t="str">
        <f>'RESUMEN TOTAL'!Y548</f>
        <v>APAGADO</v>
      </c>
      <c r="S445" s="70" t="str">
        <f>'RESUMEN TOTAL'!Z548</f>
        <v>APAGADO</v>
      </c>
      <c r="T445" s="70" t="str">
        <f>'RESUMEN TOTAL'!AA548</f>
        <v>APAGADO</v>
      </c>
      <c r="U445" s="70" t="str">
        <f>'RESUMEN TOTAL'!AB548</f>
        <v>APAGADO</v>
      </c>
      <c r="V445" s="70" t="str">
        <f>'RESUMEN TOTAL'!AC548</f>
        <v>APAGADO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 t="str">
        <f>'RESUMEN TOTAL'!AB553</f>
        <v>APAGADO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 t="str">
        <f>'RESUMEN TOTAL'!Y554</f>
        <v>APAGADO</v>
      </c>
      <c r="S451" s="70" t="str">
        <f>'RESUMEN TOTAL'!Z554</f>
        <v>APAGADO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 t="str">
        <f>'RESUMEN TOTAL'!Y555</f>
        <v>APAGADO</v>
      </c>
      <c r="S452" s="70" t="str">
        <f>'RESUMEN TOTAL'!Z555</f>
        <v>APAGADO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 t="str">
        <f>'RESUMEN TOTAL'!Y564</f>
        <v>APAGADO</v>
      </c>
      <c r="S460" s="70" t="str">
        <f>'RESUMEN TOTAL'!Z564</f>
        <v>APAGADO</v>
      </c>
      <c r="T460" s="70" t="str">
        <f>'RESUMEN TOTAL'!AA564</f>
        <v>APAGADO</v>
      </c>
      <c r="U460" s="70" t="str">
        <f>'RESUMEN TOTAL'!AB564</f>
        <v>APAGADO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D1" zoomScale="90" zoomScaleNormal="90" workbookViewId="0">
      <selection activeCell="D13" sqref="D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23</v>
      </c>
      <c r="S3" s="46">
        <f>COUNTIFS('RESUMEN TOTAL'!Z8:Z676,"=APAGADO",'RESUMEN TOTAL'!C8:C676,"=BONOMO")</f>
        <v>24</v>
      </c>
      <c r="T3" s="46">
        <f>COUNTIFS('RESUMEN TOTAL'!AA8:AA676,"=APAGADO",'RESUMEN TOTAL'!C8:C676,"=BONOMO")</f>
        <v>21</v>
      </c>
      <c r="U3" s="46">
        <f>COUNTIFS('RESUMEN TOTAL'!AB8:AB676,"=APAGADO",'RESUMEN TOTAL'!C8:C676,"=BONOMO")</f>
        <v>48</v>
      </c>
      <c r="V3" s="46">
        <f>COUNTIFS('RESUMEN TOTAL'!AC8:AC676,"=APAGADO",'RESUMEN TOTAL'!C8:C676,"=BONOMO")</f>
        <v>46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0.16053511705685619</v>
      </c>
      <c r="V4" s="50">
        <f t="shared" si="0"/>
        <v>0.15384615384615385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59</v>
      </c>
      <c r="S5" s="46">
        <f>COUNTIFS('RESUMEN TOTAL'!Z10:Z678,"=APAGADO",'RESUMEN TOTAL'!C10:C678,"=COSEIDI")</f>
        <v>44</v>
      </c>
      <c r="T5" s="46">
        <f>COUNTIFS('RESUMEN TOTAL'!AA10:AA678,"=APAGADO",'RESUMEN TOTAL'!C10:C678,"=COSEIDI")</f>
        <v>33</v>
      </c>
      <c r="U5" s="46">
        <v>0</v>
      </c>
      <c r="V5" s="46">
        <f>COUNTIFS('RESUMEN TOTAL'!AC10:AC678,"=APAGADO",'RESUMEN TOTAL'!C10:C678,"=COSEIDI")</f>
        <v>36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0.22605363984674329</v>
      </c>
      <c r="S6" s="50">
        <f t="shared" si="1"/>
        <v>0.16858237547892721</v>
      </c>
      <c r="T6" s="50">
        <f t="shared" si="1"/>
        <v>0.12643678160919541</v>
      </c>
      <c r="U6" s="50">
        <v>0</v>
      </c>
      <c r="V6" s="50">
        <v>0.13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2025-11-17T11:29:52Z</dcterms:modified>
</cp:coreProperties>
</file>