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8_{ABD77903-0E8E-4EAC-A256-78FDA228599C}" xr6:coauthVersionLast="47" xr6:coauthVersionMax="47" xr10:uidLastSave="{00000000-0000-0000-0000-000000000000}"/>
  <bookViews>
    <workbookView xWindow="-108" yWindow="-108" windowWidth="23256" windowHeight="13896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2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D10" i="24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AI2" i="26" l="1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<sst xmlns="http://schemas.openxmlformats.org/spreadsheetml/2006/main" count="6721" uniqueCount="2289">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</sst>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0.11221122112211221</c:v>
                      </c:pt>
                      <c:pt idx="14">
                        <c:v>0.13531353135313531</c:v>
                      </c:pt>
                      <c:pt idx="15">
                        <c:v>0.132013201320132</c:v>
                      </c:pt>
                      <c:pt idx="16">
                        <c:v>0.32013201320132012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0.11221122112211221</c:v>
                </c:pt>
                <c:pt idx="14">
                  <c:v>0.13531353135313531</c:v>
                </c:pt>
                <c:pt idx="15">
                  <c:v>0.132013201320132</c:v>
                </c:pt>
                <c:pt idx="16">
                  <c:v>0.32013201320132012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0.11221122112211221</c:v>
                      </c:pt>
                      <c:pt idx="14">
                        <c:v>0.13531353135313531</c:v>
                      </c:pt>
                      <c:pt idx="15">
                        <c:v>0.132013201320132</c:v>
                      </c:pt>
                      <c:pt idx="16">
                        <c:v>0.32013201320132012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0.11221122112211221</c:v>
                </c:pt>
                <c:pt idx="14">
                  <c:v>0.13531353135313531</c:v>
                </c:pt>
                <c:pt idx="15">
                  <c:v>0.132013201320132</c:v>
                </c:pt>
                <c:pt idx="16">
                  <c:v>0.32013201320132012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tabSelected="1" zoomScale="60" zoomScaleNormal="60" workbookViewId="0">
      <pane xSplit="12" ySplit="7" topLeftCell="AC281" activePane="bottomRight" state="frozen"/>
      <selection pane="topRight" activeCell="M1" sqref="M1"/>
      <selection pane="bottomLeft" activeCell="A5" sqref="A5"/>
      <selection pane="bottomRight" activeCell="AD317" sqref="AD317"/>
    </sheetView>
  </sheetViews>
  <sheetFormatPr baseColWidth="10" defaultColWidth="11.5546875" defaultRowHeight="14.4" x14ac:dyDescent="0.3"/>
  <cols>
    <col min="1" max="1" width="26.6640625" customWidth="1"/>
    <col min="2" max="2" width="37.5546875" style="30" customWidth="1"/>
    <col min="3" max="3" width="19.109375" style="30" customWidth="1"/>
    <col min="4" max="4" width="52" customWidth="1"/>
    <col min="5" max="5" width="18.44140625" style="61" customWidth="1"/>
    <col min="6" max="6" width="22.44140625" style="65" customWidth="1"/>
    <col min="7" max="7" width="21.5546875" style="65" customWidth="1"/>
    <col min="8" max="8" width="14.6640625" style="65" customWidth="1"/>
    <col min="9" max="9" width="16.44140625" customWidth="1"/>
    <col min="10" max="10" width="23.6640625" customWidth="1"/>
    <col min="11" max="11" width="11.33203125" customWidth="1"/>
    <col min="12" max="12" width="17" style="4" customWidth="1"/>
    <col min="13" max="13" width="17.33203125" style="14" customWidth="1"/>
    <col min="14" max="17" width="14.44140625" style="14" customWidth="1"/>
    <col min="18" max="18" width="13.44140625" style="14" customWidth="1"/>
    <col min="19" max="21" width="14.44140625" style="14" customWidth="1"/>
    <col min="22" max="38" width="14.109375" style="14" customWidth="1"/>
    <col min="39" max="41" width="14.109375" style="14" bestFit="1" customWidth="1"/>
    <col min="42" max="43" width="18.109375" bestFit="1" customWidth="1"/>
  </cols>
  <sheetData>
    <row r="1" spans="1:43" s="4" customFormat="1" ht="27.75" customHeight="1" thickTop="1" x14ac:dyDescent="0.3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0.15835777126099707</v>
      </c>
      <c r="N1" s="3">
        <f t="shared" si="0"/>
        <v>0.16326530612244897</v>
      </c>
      <c r="O1" s="3">
        <f t="shared" si="0"/>
        <v>0.13293051359516617</v>
      </c>
      <c r="P1" s="3">
        <f t="shared" si="0"/>
        <v>0.12898330804248861</v>
      </c>
      <c r="Q1" s="3">
        <f t="shared" si="0"/>
        <v>0.14456035767511177</v>
      </c>
      <c r="R1" s="3">
        <f t="shared" si="0"/>
        <v>0.17410071942446043</v>
      </c>
      <c r="S1" s="3">
        <f t="shared" si="0"/>
        <v>0.15214180206794684</v>
      </c>
      <c r="T1" s="3">
        <f t="shared" si="0"/>
        <v>0.13423831070889894</v>
      </c>
      <c r="U1" s="3">
        <f t="shared" si="0"/>
        <v>0.10452418096723869</v>
      </c>
      <c r="V1" s="3">
        <f t="shared" si="0"/>
        <v>0.11419753086419752</v>
      </c>
      <c r="W1" s="3">
        <f t="shared" si="0"/>
        <v>0</v>
      </c>
      <c r="X1" s="3">
        <f t="shared" si="0"/>
        <v>0.14583333333333334</v>
      </c>
      <c r="Y1" s="3">
        <f t="shared" si="0"/>
        <v>0.14200298953662183</v>
      </c>
      <c r="Z1" s="3"/>
      <c r="AA1" s="3">
        <f t="shared" ref="AA1:AP1" si="1">(AA3)/(AA2+AA3)</f>
        <v>0.13813813813813813</v>
      </c>
      <c r="AB1" s="3">
        <f t="shared" si="1"/>
        <v>0.14836795252225518</v>
      </c>
      <c r="AC1" s="3">
        <f t="shared" si="1"/>
        <v>0.22641509433962265</v>
      </c>
      <c r="AD1" s="3">
        <f t="shared" si="1"/>
        <v>0.1595900439238653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3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" thickBot="1" x14ac:dyDescent="0.35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108</v>
      </c>
      <c r="N3" s="126">
        <f t="shared" si="4"/>
        <v>112</v>
      </c>
      <c r="O3" s="126">
        <f t="shared" si="4"/>
        <v>88</v>
      </c>
      <c r="P3" s="126">
        <f t="shared" si="4"/>
        <v>85</v>
      </c>
      <c r="Q3" s="126">
        <f t="shared" si="4"/>
        <v>97</v>
      </c>
      <c r="R3" s="126">
        <f t="shared" si="4"/>
        <v>121</v>
      </c>
      <c r="S3" s="126">
        <f t="shared" si="4"/>
        <v>103</v>
      </c>
      <c r="T3" s="126">
        <f t="shared" si="4"/>
        <v>89</v>
      </c>
      <c r="U3" s="126">
        <f t="shared" si="4"/>
        <v>67</v>
      </c>
      <c r="V3" s="126">
        <f t="shared" si="4"/>
        <v>74</v>
      </c>
      <c r="W3" s="126">
        <f t="shared" si="4"/>
        <v>0</v>
      </c>
      <c r="X3" s="126">
        <f t="shared" si="4"/>
        <v>98</v>
      </c>
      <c r="Y3" s="126">
        <f t="shared" si="4"/>
        <v>95</v>
      </c>
      <c r="Z3" s="126">
        <f t="shared" si="4"/>
        <v>84</v>
      </c>
      <c r="AA3" s="126">
        <f t="shared" si="4"/>
        <v>92</v>
      </c>
      <c r="AB3" s="126">
        <f t="shared" si="4"/>
        <v>100</v>
      </c>
      <c r="AC3" s="126">
        <f t="shared" si="4"/>
        <v>168</v>
      </c>
      <c r="AD3" s="126">
        <f t="shared" si="4"/>
        <v>109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" thickTop="1" x14ac:dyDescent="0.3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55</v>
      </c>
      <c r="N4" s="10">
        <f>COUNTIFS(N8:N689, "=APAGADO",F8:F689,"=Fibra Optica")</f>
        <v>57</v>
      </c>
      <c r="O4" s="10">
        <f>COUNTIFS(O8:O689, "=APAGADO",F8:F689,"=Fibra Optica")</f>
        <v>36</v>
      </c>
      <c r="P4" s="10">
        <f>COUNTIFS(P8:P689, "=APAGADO",F8:F689,"=Fibra Optica")</f>
        <v>36</v>
      </c>
      <c r="Q4" s="10">
        <f>COUNTIFS(Q8:Q689, "=APAGADO",F8:F689,"=Fibra Optica")</f>
        <v>41</v>
      </c>
      <c r="R4" s="10">
        <f>COUNTIFS(R8:R689, "=APAGADO",F8:F689,"=Fibra Optica")</f>
        <v>57</v>
      </c>
      <c r="S4" s="10">
        <f>COUNTIFS(S8:S689, "=APAGADO",F8:F689,"=Fibra Optica")</f>
        <v>49</v>
      </c>
      <c r="T4" s="10">
        <f>COUNTIFS(T8:T689, "=APAGADO",F8:F689,"=Fibra Optica")</f>
        <v>47</v>
      </c>
      <c r="U4" s="10">
        <f>COUNTIFS(U8:U689, "=APAGADO",F8:F689,"=Fibra Optica")</f>
        <v>34</v>
      </c>
      <c r="V4" s="10">
        <f>COUNTIFS(V8:V689, "=APAGADO",F8:F689,"=Fibra Optica")</f>
        <v>38</v>
      </c>
      <c r="W4" s="10">
        <f>COUNTIFS(W8:W689, "=APAGADO",F8:F689,"=Fibra Optica")</f>
        <v>0</v>
      </c>
      <c r="X4" s="10">
        <f>COUNTIFS(X8:X689, "=APAGADO",F8:F689,"=Fibra Optica")</f>
        <v>43</v>
      </c>
      <c r="Y4" s="10">
        <f>COUNTIFS(Y8:Y689, "=APAGADO",F8:F689,"=Fibra Optica")</f>
        <v>41</v>
      </c>
      <c r="Z4" s="10">
        <f>COUNTIFS(Z8:Z689, "=APAGADO",F8:F689,"=Fibra Optica")</f>
        <v>38</v>
      </c>
      <c r="AA4" s="10">
        <f>COUNTIFS(AA8:AA689, "=APAGADO",F8:F689,"=Fibra Optica")</f>
        <v>42</v>
      </c>
      <c r="AB4" s="10">
        <f>COUNTIFS(AB8:AB689, "=APAGADO",F8:F689,"=Fibra Optica")</f>
        <v>40</v>
      </c>
      <c r="AC4" s="10">
        <f>COUNTIFS(AC8:AC689, "=APAGADO",F8:F689,"=Fibra Optica")</f>
        <v>105</v>
      </c>
      <c r="AD4" s="10">
        <f>COUNTIFS(AD8:AD689, "=APAGADO",F8:F689,"=Fibra Optica")</f>
        <v>59</v>
      </c>
      <c r="AE4" s="10">
        <f>COUNTIFS(AE8:AE689, "=APAGADO",F8:F689,"=Fibra Optica")</f>
        <v>0</v>
      </c>
      <c r="AF4" s="10">
        <f>COUNTIFS(AF8:AF689, "=APAGADO",F8:F689,"=Fibra Optica")</f>
        <v>0</v>
      </c>
      <c r="AG4" s="10">
        <f>COUNTIFS(AG8:AG689, "=APAGADO",F8:F689,"=Fibra Optica")</f>
        <v>0</v>
      </c>
      <c r="AH4" s="10">
        <f>COUNTIFS(AH8:AH689, "=APAGADO",F8:F689,"=Fibra Optica")</f>
        <v>0</v>
      </c>
      <c r="AI4" s="10">
        <f>COUNTIFS(AI8:AI689, "=APAGADO",F8:F689,"=Fibra Optica")</f>
        <v>0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3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5</v>
      </c>
      <c r="N5" s="130">
        <f>COUNTIFS(N8:N689, "=APAGADO",F8:F689,"=RADIO")</f>
        <v>5</v>
      </c>
      <c r="O5" s="130">
        <f>COUNTIFS(O8:O689, "=APAGADO",F8:F689,"=RADIO")</f>
        <v>5</v>
      </c>
      <c r="P5" s="130">
        <f>COUNTIFS(P8:P689, "=APAGADO",F8:F689,"=RADIO")</f>
        <v>4</v>
      </c>
      <c r="Q5" s="130">
        <f>COUNTIFS(Q8:Q689, "=APAGADO",F8:F689,"=RADIO")</f>
        <v>6</v>
      </c>
      <c r="R5" s="130">
        <f>COUNTIFS(R8:R689, "=APAGADO",F8:F689,"=RADIO")</f>
        <v>14</v>
      </c>
      <c r="S5" s="130">
        <f>COUNTIFS(S8:S689, "=APAGADO",F8:F689,"=RADIO")</f>
        <v>13</v>
      </c>
      <c r="T5" s="130">
        <f>COUNTIFS(T8:T689, "=APAGADO",F8:F689,"=RADIO")</f>
        <v>5</v>
      </c>
      <c r="U5" s="130">
        <f>COUNTIFS(U8:U689, "=APAGADO",F8:F689,"=RADIO")</f>
        <v>5</v>
      </c>
      <c r="V5" s="130">
        <f>COUNTIFS(V8:V689, "=APAGADO",F8:F689,"=RADIO")</f>
        <v>3</v>
      </c>
      <c r="W5" s="130">
        <f>COUNTIFS(W8:W689, "=APAGADO",F8:F689,"=RADIO")</f>
        <v>0</v>
      </c>
      <c r="X5" s="130">
        <f>COUNTIFS(X8:X689, "=APAGADO",F8:F689,"=RADIO")</f>
        <v>4</v>
      </c>
      <c r="Y5" s="130">
        <f>COUNTIFS(Y8:Y689, "=APAGADO",F8:F689,"=RADIO")</f>
        <v>3</v>
      </c>
      <c r="Z5" s="130">
        <f>COUNTIFS(Z8:Z689, "=APAGADO",F8:F689,"=RADIO")</f>
        <v>3</v>
      </c>
      <c r="AA5" s="130">
        <f>COUNTIFS(AA8:AA689, "=APAGADO",F8:F689,"=RADIO")</f>
        <v>4</v>
      </c>
      <c r="AB5" s="130">
        <f>COUNTIFS(AB8:AB689, "=APAGADO",F8:F689,"=RADIO")</f>
        <v>3</v>
      </c>
      <c r="AC5" s="130">
        <f>COUNTIFS(AC8:AC689, "=APAGADO",F8:F689,"=RADIO")</f>
        <v>3</v>
      </c>
      <c r="AD5" s="130">
        <f>COUNTIFS(AD8:AD689, "=APAGADO",F8:F689,"=RADIO")</f>
        <v>3</v>
      </c>
      <c r="AE5" s="130">
        <f>COUNTIFS(AE8:AE689, "=APAGADO",F8:F689,"=RADIO")</f>
        <v>0</v>
      </c>
      <c r="AF5" s="130">
        <f>COUNTIFS(AF8:AF689, "=APAGADO",F8:F689,"=RADIO")</f>
        <v>0</v>
      </c>
      <c r="AG5" s="130">
        <f>COUNTIFS(AG8:AG689, "=APAGADO",F8:F689,"=RADIO")</f>
        <v>0</v>
      </c>
      <c r="AH5" s="130">
        <f>COUNTIFS(AH8:AH689, "=APAGADO",F8:F689,"=RADIO")</f>
        <v>0</v>
      </c>
      <c r="AI5" s="130">
        <f>COUNTIFS(AI8:AI689, "=APAGADO",F8:F689,"=RADIO")</f>
        <v>0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" thickBot="1" x14ac:dyDescent="0.35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12</v>
      </c>
      <c r="N6" s="10">
        <f>COUNTIFS(N8:N689, "=APAGADO",F8:F689,"=PTO A FO")</f>
        <v>12</v>
      </c>
      <c r="O6" s="10">
        <f>COUNTIFS(O8:O689, "=APAGADO",F8:F689,"=PTO A FO")</f>
        <v>10</v>
      </c>
      <c r="P6" s="10">
        <f>COUNTIFS(P8:P689, "=APAGADO",F8:F689,"=PTO A FO")</f>
        <v>10</v>
      </c>
      <c r="Q6" s="10">
        <f>COUNTIFS(Q8:Q689, "=APAGADO",F8:F689,"=PTO A FO")</f>
        <v>12</v>
      </c>
      <c r="R6" s="10">
        <f>COUNTIFS(R8:R689, "=APAGADO",F8:F689,"=PTO A FO")</f>
        <v>14</v>
      </c>
      <c r="S6" s="10">
        <f>COUNTIFS(S8:S689, "=APAGADO",F8:F689,"=PTO A FO")</f>
        <v>11</v>
      </c>
      <c r="T6" s="10">
        <f>COUNTIFS(T8:T689, "=APAGADO",F8:F689,"=PTO A FO")</f>
        <v>10</v>
      </c>
      <c r="U6" s="10">
        <f>COUNTIFS(U8:U689, "=APAGADO",F8:F689,"=PTO A FO")</f>
        <v>5</v>
      </c>
      <c r="V6" s="10">
        <f>COUNTIFS(V8:V689, "=APAGADO",F8:F689,"=PTO A FO")</f>
        <v>6</v>
      </c>
      <c r="W6" s="10">
        <f>COUNTIFS(W8:W689, "=APAGADO",F8:F689,"=PTO A FO")</f>
        <v>0</v>
      </c>
      <c r="X6" s="10">
        <f>COUNTIFS(X8:X689, "=APAGADO",F8:F689,"=PTO A FO")</f>
        <v>10</v>
      </c>
      <c r="Y6" s="10">
        <f>COUNTIFS(Y8:Y689, "=APAGADO",F8:F689,"=PTO A FO")</f>
        <v>12</v>
      </c>
      <c r="Z6" s="10">
        <f>COUNTIFS(Z8:Z689, "=APAGADO",F8:F689,"=PTO A FO")</f>
        <v>12</v>
      </c>
      <c r="AA6" s="10">
        <f>COUNTIFS(AA8:AA689, "=APAGADO",F8:F689,"=PTO A FO")</f>
        <v>12</v>
      </c>
      <c r="AB6" s="10">
        <f>COUNTIFS(AB8:AB689, "=APAGADO",F8:F689,"=PTO A FO")</f>
        <v>14</v>
      </c>
      <c r="AC6" s="10">
        <f>COUNTIFS(AC8:AC689, "=APAGADO",F8:F689,"=PTO A FO")</f>
        <v>22</v>
      </c>
      <c r="AD6" s="10">
        <f>COUNTIFS(AD8:AD689, "=APAGADO",F8:F689,"=PTO A FO")</f>
        <v>15</v>
      </c>
      <c r="AE6" s="10">
        <f>COUNTIFS(AE8:AE689, "=APAGADO",F8:F689,"=PTO A FO")</f>
        <v>0</v>
      </c>
      <c r="AF6" s="10">
        <f>COUNTIFS(AF8:AF689, "=APAGADO",F8:F689,"=PTO A FO")</f>
        <v>0</v>
      </c>
      <c r="AG6" s="10">
        <f>COUNTIFS(AG8:AG689, "=APAGADO",F8:F689,"=PTO A FO")</f>
        <v>0</v>
      </c>
      <c r="AH6" s="10">
        <f>COUNTIFS(AH8:AH689, "=APAGADO",F8:F689,"=PTO A FO")</f>
        <v>0</v>
      </c>
      <c r="AI6" s="10">
        <f>COUNTIFS(AI8:AI689, "=APAGADO",F8:F689,"=PTO A FO")</f>
        <v>0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0.6" thickTop="1" thickBot="1" x14ac:dyDescent="0.4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1665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" thickBot="1" x14ac:dyDescent="0.35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11</v>
      </c>
      <c r="J8" s="147" t="s">
        <v>1666</v>
      </c>
      <c r="K8" s="31">
        <f t="shared" ref="K8:K85" si="6">COUNTIF(M8:AN8,"APAGADO")</f>
        <v>17</v>
      </c>
      <c r="L8" s="32">
        <f t="shared" ref="L8:L85" si="7">(I8)/(K8+I8)</f>
        <v>0.39285714285714285</v>
      </c>
      <c r="M8" s="70" t="s">
        <v>2287</v>
      </c>
      <c r="N8" s="70" t="s">
        <v>2287</v>
      </c>
      <c r="O8" s="70" t="s">
        <v>2287</v>
      </c>
      <c r="P8" s="70" t="s">
        <v>2287</v>
      </c>
      <c r="Q8" s="70" t="s">
        <v>2287</v>
      </c>
      <c r="R8" s="70" t="s">
        <v>2287</v>
      </c>
      <c r="S8" s="70" t="s">
        <v>2287</v>
      </c>
      <c r="T8" s="70" t="s">
        <v>2287</v>
      </c>
      <c r="U8" s="70" t="s">
        <v>2287</v>
      </c>
      <c r="V8" s="70" t="s">
        <v>2287</v>
      </c>
      <c r="W8" s="70"/>
      <c r="X8" s="70" t="s">
        <v>2287</v>
      </c>
      <c r="Y8" s="70" t="s">
        <v>2287</v>
      </c>
      <c r="Z8" s="70" t="s">
        <v>2287</v>
      </c>
      <c r="AA8" s="70" t="s">
        <v>2287</v>
      </c>
      <c r="AB8" s="70" t="s">
        <v>2287</v>
      </c>
      <c r="AC8" s="70" t="s">
        <v>2287</v>
      </c>
      <c r="AD8" s="70" t="s">
        <v>2287</v>
      </c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" thickBot="1" x14ac:dyDescent="0.35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11</v>
      </c>
      <c r="J9" s="147" t="s">
        <v>1667</v>
      </c>
      <c r="K9" s="31">
        <f t="shared" si="6"/>
        <v>17</v>
      </c>
      <c r="L9" s="32">
        <f t="shared" si="7"/>
        <v>0.39285714285714285</v>
      </c>
      <c r="M9" s="70" t="s">
        <v>2287</v>
      </c>
      <c r="N9" s="70" t="s">
        <v>2287</v>
      </c>
      <c r="O9" s="70" t="s">
        <v>2287</v>
      </c>
      <c r="P9" s="70" t="s">
        <v>2287</v>
      </c>
      <c r="Q9" s="70" t="s">
        <v>2287</v>
      </c>
      <c r="R9" s="70" t="s">
        <v>2287</v>
      </c>
      <c r="S9" s="70" t="s">
        <v>2287</v>
      </c>
      <c r="T9" s="70" t="s">
        <v>2287</v>
      </c>
      <c r="U9" s="70" t="s">
        <v>2287</v>
      </c>
      <c r="V9" s="70" t="s">
        <v>2287</v>
      </c>
      <c r="W9" s="70"/>
      <c r="X9" s="70" t="s">
        <v>2287</v>
      </c>
      <c r="Y9" s="70" t="s">
        <v>2287</v>
      </c>
      <c r="Z9" s="70" t="s">
        <v>2287</v>
      </c>
      <c r="AA9" s="70" t="s">
        <v>2287</v>
      </c>
      <c r="AB9" s="70" t="s">
        <v>2287</v>
      </c>
      <c r="AC9" s="70" t="s">
        <v>2287</v>
      </c>
      <c r="AD9" s="70" t="s">
        <v>2287</v>
      </c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" thickBot="1" x14ac:dyDescent="0.35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1668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" thickBot="1" x14ac:dyDescent="0.35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1669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" thickBot="1" x14ac:dyDescent="0.35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1670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" thickBot="1" x14ac:dyDescent="0.35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1671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" thickBot="1" x14ac:dyDescent="0.35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11</v>
      </c>
      <c r="J14" s="147" t="s">
        <v>1672</v>
      </c>
      <c r="K14" s="31">
        <f t="shared" si="6"/>
        <v>17</v>
      </c>
      <c r="L14" s="32">
        <f t="shared" si="7"/>
        <v>0.39285714285714285</v>
      </c>
      <c r="M14" s="70" t="s">
        <v>2287</v>
      </c>
      <c r="N14" s="70" t="s">
        <v>2287</v>
      </c>
      <c r="O14" s="70" t="s">
        <v>2287</v>
      </c>
      <c r="P14" s="70" t="s">
        <v>2287</v>
      </c>
      <c r="Q14" s="70" t="s">
        <v>2287</v>
      </c>
      <c r="R14" s="70" t="s">
        <v>2287</v>
      </c>
      <c r="S14" s="70" t="s">
        <v>2287</v>
      </c>
      <c r="T14" s="70" t="s">
        <v>2287</v>
      </c>
      <c r="U14" s="70" t="s">
        <v>2287</v>
      </c>
      <c r="V14" s="70" t="s">
        <v>2287</v>
      </c>
      <c r="W14" s="70"/>
      <c r="X14" s="70" t="s">
        <v>2287</v>
      </c>
      <c r="Y14" s="70" t="s">
        <v>2287</v>
      </c>
      <c r="Z14" s="70" t="s">
        <v>2287</v>
      </c>
      <c r="AA14" s="70" t="s">
        <v>2287</v>
      </c>
      <c r="AB14" s="70" t="s">
        <v>2287</v>
      </c>
      <c r="AC14" s="70" t="s">
        <v>2287</v>
      </c>
      <c r="AD14" s="70" t="s">
        <v>2287</v>
      </c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" thickBot="1" x14ac:dyDescent="0.35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1673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" thickBot="1" x14ac:dyDescent="0.35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1674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" thickBot="1" x14ac:dyDescent="0.35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26</v>
      </c>
      <c r="J17" s="150" t="s">
        <v>1675</v>
      </c>
      <c r="K17" s="142">
        <f t="shared" si="6"/>
        <v>2</v>
      </c>
      <c r="L17" s="143">
        <f t="shared" si="7"/>
        <v>0.9285714285714286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 t="s">
        <v>2287</v>
      </c>
      <c r="AB17" s="70" t="s">
        <v>2287</v>
      </c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" thickBot="1" x14ac:dyDescent="0.35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2158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" thickBot="1" x14ac:dyDescent="0.35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12</v>
      </c>
      <c r="J19" s="147" t="s">
        <v>1676</v>
      </c>
      <c r="K19" s="31">
        <f t="shared" si="6"/>
        <v>16</v>
      </c>
      <c r="L19" s="32">
        <f t="shared" si="7"/>
        <v>0.42857142857142855</v>
      </c>
      <c r="M19" s="70" t="s">
        <v>2287</v>
      </c>
      <c r="N19" s="70" t="s">
        <v>2287</v>
      </c>
      <c r="O19" s="70" t="s">
        <v>2287</v>
      </c>
      <c r="P19" s="70" t="s">
        <v>2287</v>
      </c>
      <c r="Q19" s="70" t="s">
        <v>2287</v>
      </c>
      <c r="R19" s="70" t="s">
        <v>2287</v>
      </c>
      <c r="S19" s="70" t="s">
        <v>2287</v>
      </c>
      <c r="T19" s="70"/>
      <c r="U19" s="70" t="s">
        <v>2287</v>
      </c>
      <c r="V19" s="70" t="s">
        <v>2287</v>
      </c>
      <c r="W19" s="70"/>
      <c r="X19" s="70" t="s">
        <v>2287</v>
      </c>
      <c r="Y19" s="70" t="s">
        <v>2287</v>
      </c>
      <c r="Z19" s="71" t="s">
        <v>2287</v>
      </c>
      <c r="AA19" s="70" t="s">
        <v>2287</v>
      </c>
      <c r="AB19" s="70" t="s">
        <v>2287</v>
      </c>
      <c r="AC19" s="70" t="s">
        <v>2287</v>
      </c>
      <c r="AD19" s="70" t="s">
        <v>2287</v>
      </c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" thickBot="1" x14ac:dyDescent="0.35">
      <c r="A20" s="73" t="s">
        <v>41</v>
      </c>
      <c r="B20" s="73" t="s">
        <v>1542</v>
      </c>
      <c r="C20" s="73" t="s">
        <v>1062</v>
      </c>
      <c r="D20" s="73" t="s">
        <v>1543</v>
      </c>
      <c r="E20" s="85" t="s">
        <v>73</v>
      </c>
      <c r="F20" s="85" t="s">
        <v>1301</v>
      </c>
      <c r="G20" s="85"/>
      <c r="H20" s="85" t="s">
        <v>1544</v>
      </c>
      <c r="I20" s="31">
        <f t="shared" si="5"/>
        <v>12</v>
      </c>
      <c r="J20" s="147" t="s">
        <v>1677</v>
      </c>
      <c r="K20" s="31">
        <f t="shared" si="6"/>
        <v>16</v>
      </c>
      <c r="L20" s="32">
        <f t="shared" si="7"/>
        <v>0.42857142857142855</v>
      </c>
      <c r="M20" s="70" t="s">
        <v>2287</v>
      </c>
      <c r="N20" s="70" t="s">
        <v>2287</v>
      </c>
      <c r="O20" s="70" t="s">
        <v>2287</v>
      </c>
      <c r="P20" s="70" t="s">
        <v>2287</v>
      </c>
      <c r="Q20" s="70" t="s">
        <v>2287</v>
      </c>
      <c r="R20" s="70" t="s">
        <v>2287</v>
      </c>
      <c r="S20" s="70" t="s">
        <v>2287</v>
      </c>
      <c r="T20" s="70"/>
      <c r="U20" s="70" t="s">
        <v>2287</v>
      </c>
      <c r="V20" s="70" t="s">
        <v>2287</v>
      </c>
      <c r="W20" s="70"/>
      <c r="X20" s="70" t="s">
        <v>2287</v>
      </c>
      <c r="Y20" s="70" t="s">
        <v>2287</v>
      </c>
      <c r="Z20" s="71" t="s">
        <v>2287</v>
      </c>
      <c r="AA20" s="70" t="s">
        <v>2287</v>
      </c>
      <c r="AB20" s="70" t="s">
        <v>2287</v>
      </c>
      <c r="AC20" s="70" t="s">
        <v>2287</v>
      </c>
      <c r="AD20" s="70" t="s">
        <v>2287</v>
      </c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" thickBot="1" x14ac:dyDescent="0.35">
      <c r="A21" s="73" t="s">
        <v>41</v>
      </c>
      <c r="B21" s="73" t="s">
        <v>1571</v>
      </c>
      <c r="C21" s="73" t="s">
        <v>1062</v>
      </c>
      <c r="D21" s="73" t="s">
        <v>1572</v>
      </c>
      <c r="E21" s="85" t="s">
        <v>73</v>
      </c>
      <c r="F21" s="85" t="s">
        <v>1301</v>
      </c>
      <c r="G21" s="85"/>
      <c r="H21" s="85" t="s">
        <v>1573</v>
      </c>
      <c r="I21" s="31">
        <f t="shared" si="5"/>
        <v>28</v>
      </c>
      <c r="J21" s="147" t="s">
        <v>1678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" thickBot="1" x14ac:dyDescent="0.35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1679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" thickBot="1" x14ac:dyDescent="0.35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27</v>
      </c>
      <c r="J23" s="147" t="s">
        <v>1680</v>
      </c>
      <c r="K23" s="31">
        <f t="shared" si="6"/>
        <v>1</v>
      </c>
      <c r="L23" s="32">
        <f t="shared" si="7"/>
        <v>0.9642857142857143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 t="s">
        <v>2287</v>
      </c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" thickBot="1" x14ac:dyDescent="0.35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27</v>
      </c>
      <c r="J24" s="147" t="s">
        <v>1681</v>
      </c>
      <c r="K24" s="31">
        <f t="shared" si="6"/>
        <v>1</v>
      </c>
      <c r="L24" s="32">
        <f t="shared" si="7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 t="s">
        <v>2287</v>
      </c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" thickBot="1" x14ac:dyDescent="0.35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27</v>
      </c>
      <c r="J25" s="147" t="s">
        <v>1682</v>
      </c>
      <c r="K25" s="31">
        <f t="shared" si="6"/>
        <v>1</v>
      </c>
      <c r="L25" s="32">
        <f t="shared" si="7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 t="s">
        <v>2287</v>
      </c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" thickBot="1" x14ac:dyDescent="0.35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27</v>
      </c>
      <c r="J26" s="147" t="s">
        <v>1683</v>
      </c>
      <c r="K26" s="31">
        <f t="shared" si="6"/>
        <v>1</v>
      </c>
      <c r="L26" s="32">
        <f t="shared" si="7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 t="s">
        <v>2287</v>
      </c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" thickBot="1" x14ac:dyDescent="0.35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27</v>
      </c>
      <c r="J27" s="147" t="s">
        <v>1684</v>
      </c>
      <c r="K27" s="31">
        <f t="shared" si="6"/>
        <v>1</v>
      </c>
      <c r="L27" s="32">
        <f t="shared" si="7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 t="s">
        <v>2287</v>
      </c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" thickBot="1" x14ac:dyDescent="0.35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1685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" thickBot="1" x14ac:dyDescent="0.35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1686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" thickBot="1" x14ac:dyDescent="0.35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26</v>
      </c>
      <c r="J30" s="147" t="s">
        <v>1687</v>
      </c>
      <c r="K30" s="142">
        <f t="shared" si="6"/>
        <v>2</v>
      </c>
      <c r="L30" s="143">
        <f t="shared" si="7"/>
        <v>0.9285714285714286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 t="s">
        <v>2287</v>
      </c>
      <c r="AC30" s="70" t="s">
        <v>2287</v>
      </c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" thickBot="1" x14ac:dyDescent="0.35">
      <c r="A31" s="73" t="s">
        <v>1194</v>
      </c>
      <c r="B31" s="85" t="s">
        <v>1596</v>
      </c>
      <c r="C31" s="85" t="s">
        <v>1063</v>
      </c>
      <c r="D31" s="73" t="s">
        <v>1599</v>
      </c>
      <c r="E31" s="85" t="s">
        <v>19</v>
      </c>
      <c r="F31" s="85" t="s">
        <v>1301</v>
      </c>
      <c r="G31" s="85"/>
      <c r="H31" s="85" t="s">
        <v>1600</v>
      </c>
      <c r="I31" s="142">
        <f t="shared" si="5"/>
        <v>25</v>
      </c>
      <c r="J31" s="87" t="s">
        <v>2159</v>
      </c>
      <c r="K31" s="142">
        <f t="shared" si="6"/>
        <v>3</v>
      </c>
      <c r="L31" s="143">
        <f t="shared" si="7"/>
        <v>0.8928571428571429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 t="s">
        <v>2287</v>
      </c>
      <c r="AC31" s="70" t="s">
        <v>2287</v>
      </c>
      <c r="AD31" s="70" t="s">
        <v>2287</v>
      </c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" thickBot="1" x14ac:dyDescent="0.35">
      <c r="A32" s="73" t="s">
        <v>1194</v>
      </c>
      <c r="B32" s="85" t="s">
        <v>1597</v>
      </c>
      <c r="C32" s="85" t="s">
        <v>1063</v>
      </c>
      <c r="D32" s="73" t="s">
        <v>1603</v>
      </c>
      <c r="E32" s="85" t="s">
        <v>73</v>
      </c>
      <c r="F32" s="85" t="s">
        <v>1301</v>
      </c>
      <c r="G32" s="85"/>
      <c r="H32" s="85" t="s">
        <v>1601</v>
      </c>
      <c r="I32" s="142">
        <f t="shared" si="5"/>
        <v>25</v>
      </c>
      <c r="J32" s="87" t="s">
        <v>2160</v>
      </c>
      <c r="K32" s="142">
        <f t="shared" si="6"/>
        <v>3</v>
      </c>
      <c r="L32" s="143">
        <f t="shared" si="7"/>
        <v>0.8928571428571429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 t="s">
        <v>2287</v>
      </c>
      <c r="AC32" s="70" t="s">
        <v>2287</v>
      </c>
      <c r="AD32" s="70" t="s">
        <v>2287</v>
      </c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" thickBot="1" x14ac:dyDescent="0.35">
      <c r="A33" s="73" t="s">
        <v>1194</v>
      </c>
      <c r="B33" s="85" t="s">
        <v>1598</v>
      </c>
      <c r="C33" s="85" t="s">
        <v>1063</v>
      </c>
      <c r="D33" s="73" t="s">
        <v>1603</v>
      </c>
      <c r="E33" s="85" t="s">
        <v>73</v>
      </c>
      <c r="F33" s="85" t="s">
        <v>1301</v>
      </c>
      <c r="G33" s="85"/>
      <c r="H33" s="85" t="s">
        <v>1602</v>
      </c>
      <c r="I33" s="142">
        <f t="shared" si="5"/>
        <v>25</v>
      </c>
      <c r="J33" s="87" t="s">
        <v>2161</v>
      </c>
      <c r="K33" s="142">
        <f t="shared" si="6"/>
        <v>3</v>
      </c>
      <c r="L33" s="143">
        <f t="shared" si="7"/>
        <v>0.8928571428571429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 t="s">
        <v>2287</v>
      </c>
      <c r="AC33" s="70" t="s">
        <v>2287</v>
      </c>
      <c r="AD33" s="70" t="s">
        <v>2287</v>
      </c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" thickBot="1" x14ac:dyDescent="0.35">
      <c r="A34" s="132" t="s">
        <v>2157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11</v>
      </c>
      <c r="J34" s="147" t="s">
        <v>1688</v>
      </c>
      <c r="K34" s="134">
        <f t="shared" si="6"/>
        <v>17</v>
      </c>
      <c r="L34" s="135">
        <f t="shared" si="7"/>
        <v>0.39285714285714285</v>
      </c>
      <c r="M34" s="136" t="s">
        <v>2287</v>
      </c>
      <c r="N34" s="136" t="s">
        <v>2287</v>
      </c>
      <c r="O34" s="136" t="s">
        <v>2287</v>
      </c>
      <c r="P34" s="136" t="s">
        <v>2287</v>
      </c>
      <c r="Q34" s="136" t="s">
        <v>2287</v>
      </c>
      <c r="R34" s="136" t="s">
        <v>2287</v>
      </c>
      <c r="S34" s="136" t="s">
        <v>2287</v>
      </c>
      <c r="T34" s="136" t="s">
        <v>2287</v>
      </c>
      <c r="U34" s="136" t="s">
        <v>2287</v>
      </c>
      <c r="V34" s="136" t="s">
        <v>2287</v>
      </c>
      <c r="W34" s="136"/>
      <c r="X34" s="136" t="s">
        <v>2287</v>
      </c>
      <c r="Y34" s="136" t="s">
        <v>2287</v>
      </c>
      <c r="Z34" s="136" t="s">
        <v>2287</v>
      </c>
      <c r="AA34" s="136" t="s">
        <v>2287</v>
      </c>
      <c r="AB34" s="136" t="s">
        <v>2287</v>
      </c>
      <c r="AC34" s="136" t="s">
        <v>2287</v>
      </c>
      <c r="AD34" s="136" t="s">
        <v>2287</v>
      </c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" thickBot="1" x14ac:dyDescent="0.35">
      <c r="A35" s="73" t="s">
        <v>2157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25</v>
      </c>
      <c r="J35" s="87" t="s">
        <v>2162</v>
      </c>
      <c r="K35" s="142">
        <f t="shared" si="6"/>
        <v>3</v>
      </c>
      <c r="L35" s="143">
        <f t="shared" si="7"/>
        <v>0.8928571428571429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 t="s">
        <v>2287</v>
      </c>
      <c r="Y35" s="70"/>
      <c r="Z35" s="70"/>
      <c r="AA35" s="70"/>
      <c r="AB35" s="70" t="s">
        <v>2287</v>
      </c>
      <c r="AC35" s="70"/>
      <c r="AD35" s="70" t="s">
        <v>2287</v>
      </c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" thickBot="1" x14ac:dyDescent="0.35">
      <c r="A36" s="73" t="s">
        <v>2157</v>
      </c>
      <c r="B36" s="85" t="s">
        <v>2153</v>
      </c>
      <c r="C36" s="73" t="s">
        <v>1063</v>
      </c>
      <c r="D36" s="73" t="s">
        <v>2154</v>
      </c>
      <c r="E36" s="85" t="s">
        <v>19</v>
      </c>
      <c r="F36" s="85" t="s">
        <v>1301</v>
      </c>
      <c r="G36" s="85"/>
      <c r="H36" s="85" t="s">
        <v>2155</v>
      </c>
      <c r="I36" s="142">
        <f t="shared" si="5"/>
        <v>13</v>
      </c>
      <c r="J36" s="87" t="s">
        <v>2156</v>
      </c>
      <c r="K36" s="142">
        <f t="shared" si="6"/>
        <v>15</v>
      </c>
      <c r="L36" s="143">
        <f t="shared" si="7"/>
        <v>0.4642857142857143</v>
      </c>
      <c r="M36" s="70" t="s">
        <v>2287</v>
      </c>
      <c r="N36" s="70" t="s">
        <v>2287</v>
      </c>
      <c r="O36" s="70" t="s">
        <v>2287</v>
      </c>
      <c r="P36" s="70" t="s">
        <v>2287</v>
      </c>
      <c r="Q36" s="70" t="s">
        <v>2287</v>
      </c>
      <c r="R36" s="70" t="s">
        <v>2287</v>
      </c>
      <c r="S36" s="70" t="s">
        <v>2287</v>
      </c>
      <c r="T36" s="70" t="s">
        <v>2287</v>
      </c>
      <c r="U36" s="70" t="s">
        <v>2287</v>
      </c>
      <c r="V36" s="70" t="s">
        <v>2287</v>
      </c>
      <c r="W36" s="70"/>
      <c r="X36" s="70" t="s">
        <v>2287</v>
      </c>
      <c r="Y36" s="70" t="s">
        <v>2287</v>
      </c>
      <c r="Z36" s="70" t="s">
        <v>2287</v>
      </c>
      <c r="AA36" s="70" t="s">
        <v>2287</v>
      </c>
      <c r="AB36" s="70"/>
      <c r="AC36" s="70" t="s">
        <v>2287</v>
      </c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" thickBot="1" x14ac:dyDescent="0.35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2163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" thickBot="1" x14ac:dyDescent="0.35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1689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" thickBot="1" x14ac:dyDescent="0.35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1690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" thickBot="1" x14ac:dyDescent="0.35">
      <c r="A40" t="s">
        <v>1458</v>
      </c>
      <c r="B40" s="30" t="s">
        <v>1638</v>
      </c>
      <c r="C40" t="s">
        <v>1063</v>
      </c>
      <c r="D40" t="s">
        <v>1640</v>
      </c>
      <c r="E40" s="30" t="s">
        <v>73</v>
      </c>
      <c r="F40" s="30" t="s">
        <v>28</v>
      </c>
      <c r="G40" s="30"/>
      <c r="H40" s="85" t="s">
        <v>1641</v>
      </c>
      <c r="I40" s="31">
        <f t="shared" si="5"/>
        <v>26</v>
      </c>
      <c r="J40" s="87" t="s">
        <v>2164</v>
      </c>
      <c r="K40" s="31">
        <f t="shared" si="6"/>
        <v>2</v>
      </c>
      <c r="L40" s="32">
        <f t="shared" si="7"/>
        <v>0.9285714285714286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 t="s">
        <v>2287</v>
      </c>
      <c r="Y40" s="70" t="s">
        <v>2287</v>
      </c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" thickBot="1" x14ac:dyDescent="0.35">
      <c r="A41" t="s">
        <v>1458</v>
      </c>
      <c r="B41" s="30" t="s">
        <v>1639</v>
      </c>
      <c r="C41" t="s">
        <v>1063</v>
      </c>
      <c r="D41" t="s">
        <v>1640</v>
      </c>
      <c r="E41" s="30" t="s">
        <v>73</v>
      </c>
      <c r="F41" s="30" t="s">
        <v>28</v>
      </c>
      <c r="G41" s="30"/>
      <c r="H41" s="85" t="s">
        <v>1642</v>
      </c>
      <c r="I41" s="31">
        <f t="shared" si="5"/>
        <v>26</v>
      </c>
      <c r="J41" s="87" t="s">
        <v>2189</v>
      </c>
      <c r="K41" s="31">
        <f t="shared" si="6"/>
        <v>2</v>
      </c>
      <c r="L41" s="32">
        <f t="shared" si="7"/>
        <v>0.9285714285714286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 t="s">
        <v>2287</v>
      </c>
      <c r="Y41" s="70" t="s">
        <v>2287</v>
      </c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" thickBot="1" x14ac:dyDescent="0.35">
      <c r="A42" t="s">
        <v>1458</v>
      </c>
      <c r="B42" s="30" t="s">
        <v>1646</v>
      </c>
      <c r="C42" t="s">
        <v>1063</v>
      </c>
      <c r="D42" t="s">
        <v>1640</v>
      </c>
      <c r="E42" s="30" t="s">
        <v>19</v>
      </c>
      <c r="F42" s="30" t="s">
        <v>28</v>
      </c>
      <c r="G42" s="30"/>
      <c r="H42" s="85" t="s">
        <v>1644</v>
      </c>
      <c r="I42" s="31">
        <f t="shared" si="5"/>
        <v>26</v>
      </c>
      <c r="J42" s="87" t="s">
        <v>2190</v>
      </c>
      <c r="K42" s="31">
        <f t="shared" si="6"/>
        <v>2</v>
      </c>
      <c r="L42" s="32">
        <f t="shared" si="7"/>
        <v>0.9285714285714286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 t="s">
        <v>2287</v>
      </c>
      <c r="Y42" s="70" t="s">
        <v>2287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" thickBot="1" x14ac:dyDescent="0.35">
      <c r="A43" t="s">
        <v>1458</v>
      </c>
      <c r="B43" s="30" t="s">
        <v>1647</v>
      </c>
      <c r="C43" t="s">
        <v>1063</v>
      </c>
      <c r="D43" t="s">
        <v>1648</v>
      </c>
      <c r="E43" s="30" t="s">
        <v>19</v>
      </c>
      <c r="F43" s="30" t="s">
        <v>28</v>
      </c>
      <c r="G43" s="30"/>
      <c r="H43" s="85" t="s">
        <v>1649</v>
      </c>
      <c r="I43" s="31">
        <f t="shared" si="5"/>
        <v>28</v>
      </c>
      <c r="J43" s="87" t="s">
        <v>2191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" thickBot="1" x14ac:dyDescent="0.35">
      <c r="A44" t="s">
        <v>1458</v>
      </c>
      <c r="B44" s="30" t="s">
        <v>2244</v>
      </c>
      <c r="C44" t="s">
        <v>1063</v>
      </c>
      <c r="D44" t="s">
        <v>2249</v>
      </c>
      <c r="E44" s="30" t="s">
        <v>73</v>
      </c>
      <c r="F44" s="30" t="s">
        <v>28</v>
      </c>
      <c r="G44" s="30"/>
      <c r="H44" s="85" t="s">
        <v>2245</v>
      </c>
      <c r="I44" s="31">
        <f t="shared" si="5"/>
        <v>28</v>
      </c>
      <c r="J44" s="153" t="s">
        <v>2246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" thickBot="1" x14ac:dyDescent="0.35">
      <c r="A45" t="s">
        <v>1458</v>
      </c>
      <c r="B45" s="30" t="s">
        <v>2247</v>
      </c>
      <c r="C45" t="s">
        <v>1063</v>
      </c>
      <c r="D45" t="s">
        <v>2248</v>
      </c>
      <c r="E45" s="30" t="s">
        <v>73</v>
      </c>
      <c r="F45" s="30" t="s">
        <v>28</v>
      </c>
      <c r="G45" s="30"/>
      <c r="H45" s="85" t="s">
        <v>2250</v>
      </c>
      <c r="I45" s="31">
        <f t="shared" si="5"/>
        <v>28</v>
      </c>
      <c r="J45" s="153" t="s">
        <v>2251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" thickBot="1" x14ac:dyDescent="0.35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27</v>
      </c>
      <c r="J46" s="147" t="s">
        <v>1691</v>
      </c>
      <c r="K46" s="31">
        <f t="shared" si="6"/>
        <v>1</v>
      </c>
      <c r="L46" s="32">
        <f t="shared" si="7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 t="s">
        <v>2287</v>
      </c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" thickBot="1" x14ac:dyDescent="0.35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27</v>
      </c>
      <c r="J47" s="147" t="s">
        <v>1692</v>
      </c>
      <c r="K47" s="31">
        <f t="shared" si="6"/>
        <v>1</v>
      </c>
      <c r="L47" s="32">
        <f t="shared" si="7"/>
        <v>0.9642857142857143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 t="s">
        <v>2287</v>
      </c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" thickBot="1" x14ac:dyDescent="0.35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1693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" thickBot="1" x14ac:dyDescent="0.35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1694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" thickBot="1" x14ac:dyDescent="0.35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27</v>
      </c>
      <c r="J50" s="147" t="s">
        <v>1695</v>
      </c>
      <c r="K50" s="31">
        <f t="shared" si="6"/>
        <v>1</v>
      </c>
      <c r="L50" s="32">
        <f t="shared" si="7"/>
        <v>0.9642857142857143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 t="s">
        <v>2287</v>
      </c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" thickBot="1" x14ac:dyDescent="0.35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" thickBot="1" x14ac:dyDescent="0.35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26</v>
      </c>
      <c r="J52" s="147" t="s">
        <v>1696</v>
      </c>
      <c r="K52" s="31">
        <f t="shared" si="6"/>
        <v>2</v>
      </c>
      <c r="L52" s="32">
        <f t="shared" si="7"/>
        <v>0.9285714285714286</v>
      </c>
      <c r="M52" s="70"/>
      <c r="N52" s="70"/>
      <c r="O52" s="70"/>
      <c r="P52" s="70"/>
      <c r="Q52" s="70"/>
      <c r="R52" s="70"/>
      <c r="S52" s="70"/>
      <c r="T52" s="70"/>
      <c r="U52" s="70" t="s">
        <v>2287</v>
      </c>
      <c r="V52" s="70"/>
      <c r="W52" s="70"/>
      <c r="X52" s="70"/>
      <c r="Y52" s="70"/>
      <c r="Z52" s="70"/>
      <c r="AA52" s="70"/>
      <c r="AB52" s="70"/>
      <c r="AC52" s="70" t="s">
        <v>2287</v>
      </c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" thickBot="1" x14ac:dyDescent="0.35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27</v>
      </c>
      <c r="J53" s="147" t="s">
        <v>1697</v>
      </c>
      <c r="K53" s="31">
        <f t="shared" si="6"/>
        <v>1</v>
      </c>
      <c r="L53" s="32">
        <f t="shared" si="7"/>
        <v>0.9642857142857143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 t="s">
        <v>2287</v>
      </c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" thickBot="1" x14ac:dyDescent="0.35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1698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" thickBot="1" x14ac:dyDescent="0.35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1699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" thickBot="1" x14ac:dyDescent="0.35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1700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" thickBot="1" x14ac:dyDescent="0.35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1701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" thickBot="1" x14ac:dyDescent="0.35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28</v>
      </c>
      <c r="J58" s="147" t="s">
        <v>1702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" thickBot="1" x14ac:dyDescent="0.35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1703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" thickBot="1" x14ac:dyDescent="0.35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1704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" thickBot="1" x14ac:dyDescent="0.35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1705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" thickBot="1" x14ac:dyDescent="0.35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23</v>
      </c>
      <c r="J62" s="147" t="s">
        <v>1706</v>
      </c>
      <c r="K62" s="31">
        <f t="shared" si="6"/>
        <v>5</v>
      </c>
      <c r="L62" s="32">
        <f t="shared" si="7"/>
        <v>0.8214285714285714</v>
      </c>
      <c r="M62" s="70"/>
      <c r="N62" s="70"/>
      <c r="O62" s="70"/>
      <c r="P62" s="70"/>
      <c r="Q62" s="70"/>
      <c r="R62" s="70"/>
      <c r="S62" s="70"/>
      <c r="T62" s="70"/>
      <c r="U62" s="70"/>
      <c r="V62" s="70" t="s">
        <v>2287</v>
      </c>
      <c r="W62" s="70"/>
      <c r="X62" s="70" t="s">
        <v>2287</v>
      </c>
      <c r="Y62" s="70" t="s">
        <v>2287</v>
      </c>
      <c r="Z62" s="70" t="s">
        <v>2287</v>
      </c>
      <c r="AA62" s="70" t="s">
        <v>2287</v>
      </c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" thickBot="1" x14ac:dyDescent="0.35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1707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" thickBot="1" x14ac:dyDescent="0.35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1708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" thickBot="1" x14ac:dyDescent="0.35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1709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" thickBot="1" x14ac:dyDescent="0.35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" thickBot="1" x14ac:dyDescent="0.35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1710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" thickBot="1" x14ac:dyDescent="0.35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1711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" thickBot="1" x14ac:dyDescent="0.35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26</v>
      </c>
      <c r="J69" s="147" t="s">
        <v>1712</v>
      </c>
      <c r="K69" s="31">
        <f t="shared" si="6"/>
        <v>2</v>
      </c>
      <c r="L69" s="32">
        <f t="shared" si="7"/>
        <v>0.9285714285714286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 t="s">
        <v>2287</v>
      </c>
      <c r="AD69" s="70" t="s">
        <v>2287</v>
      </c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" thickBot="1" x14ac:dyDescent="0.35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27</v>
      </c>
      <c r="J70" s="147" t="s">
        <v>1713</v>
      </c>
      <c r="K70" s="31">
        <f t="shared" si="6"/>
        <v>1</v>
      </c>
      <c r="L70" s="32">
        <f t="shared" si="7"/>
        <v>0.9642857142857143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 t="s">
        <v>2287</v>
      </c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" thickBot="1" x14ac:dyDescent="0.35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1714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" thickBot="1" x14ac:dyDescent="0.35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1715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" thickBot="1" x14ac:dyDescent="0.35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1716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" thickBot="1" x14ac:dyDescent="0.35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27</v>
      </c>
      <c r="J74" s="147" t="s">
        <v>1717</v>
      </c>
      <c r="K74" s="31">
        <f t="shared" si="6"/>
        <v>1</v>
      </c>
      <c r="L74" s="32">
        <f t="shared" si="7"/>
        <v>0.9642857142857143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 t="s">
        <v>2287</v>
      </c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" thickBot="1" x14ac:dyDescent="0.35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1718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" thickBot="1" x14ac:dyDescent="0.35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1719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" thickBot="1" x14ac:dyDescent="0.35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1720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" thickBot="1" x14ac:dyDescent="0.35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1721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" thickBot="1" x14ac:dyDescent="0.35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27</v>
      </c>
      <c r="J79" s="147" t="s">
        <v>1722</v>
      </c>
      <c r="K79" s="31">
        <f t="shared" si="6"/>
        <v>1</v>
      </c>
      <c r="L79" s="32">
        <f t="shared" si="7"/>
        <v>0.9642857142857143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 t="s">
        <v>2287</v>
      </c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" thickBot="1" x14ac:dyDescent="0.35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27</v>
      </c>
      <c r="J80" s="147" t="s">
        <v>1723</v>
      </c>
      <c r="K80" s="31">
        <f t="shared" si="6"/>
        <v>1</v>
      </c>
      <c r="L80" s="32">
        <f t="shared" si="7"/>
        <v>0.9642857142857143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 t="s">
        <v>2287</v>
      </c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" thickBot="1" x14ac:dyDescent="0.35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27</v>
      </c>
      <c r="J81" s="147" t="s">
        <v>1724</v>
      </c>
      <c r="K81" s="31">
        <f t="shared" si="6"/>
        <v>1</v>
      </c>
      <c r="L81" s="32">
        <f t="shared" si="7"/>
        <v>0.9642857142857143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 t="s">
        <v>2287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" thickBot="1" x14ac:dyDescent="0.35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27</v>
      </c>
      <c r="J82" s="147" t="s">
        <v>1725</v>
      </c>
      <c r="K82" s="31">
        <f t="shared" si="6"/>
        <v>1</v>
      </c>
      <c r="L82" s="32">
        <f t="shared" si="7"/>
        <v>0.9642857142857143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 t="s">
        <v>2287</v>
      </c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" thickBot="1" x14ac:dyDescent="0.35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27</v>
      </c>
      <c r="J83" s="147" t="s">
        <v>1726</v>
      </c>
      <c r="K83" s="31">
        <f t="shared" si="6"/>
        <v>1</v>
      </c>
      <c r="L83" s="32">
        <f t="shared" si="7"/>
        <v>0.9642857142857143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 t="s">
        <v>2287</v>
      </c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" thickBot="1" x14ac:dyDescent="0.35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1727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" thickBot="1" x14ac:dyDescent="0.35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1728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" thickBot="1" x14ac:dyDescent="0.35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1729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" thickBot="1" x14ac:dyDescent="0.35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1730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" thickBot="1" x14ac:dyDescent="0.35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1731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" thickBot="1" x14ac:dyDescent="0.35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12</v>
      </c>
      <c r="J89" s="147" t="s">
        <v>1732</v>
      </c>
      <c r="K89" s="31">
        <f t="shared" si="9"/>
        <v>16</v>
      </c>
      <c r="L89" s="32">
        <f t="shared" si="10"/>
        <v>0.42857142857142855</v>
      </c>
      <c r="M89" s="70" t="s">
        <v>2287</v>
      </c>
      <c r="N89" s="70" t="s">
        <v>2287</v>
      </c>
      <c r="O89" s="70" t="s">
        <v>2287</v>
      </c>
      <c r="P89" s="70" t="s">
        <v>2287</v>
      </c>
      <c r="Q89" s="70" t="s">
        <v>2287</v>
      </c>
      <c r="R89" s="70" t="s">
        <v>2287</v>
      </c>
      <c r="S89" s="70" t="s">
        <v>2287</v>
      </c>
      <c r="T89" s="70"/>
      <c r="U89" s="70" t="s">
        <v>2287</v>
      </c>
      <c r="V89" s="70" t="s">
        <v>2287</v>
      </c>
      <c r="W89" s="70"/>
      <c r="X89" s="70" t="s">
        <v>2287</v>
      </c>
      <c r="Y89" s="70" t="s">
        <v>2287</v>
      </c>
      <c r="Z89" s="70" t="s">
        <v>2287</v>
      </c>
      <c r="AA89" s="70" t="s">
        <v>2287</v>
      </c>
      <c r="AB89" s="70" t="s">
        <v>2287</v>
      </c>
      <c r="AC89" s="70" t="s">
        <v>2287</v>
      </c>
      <c r="AD89" s="70" t="s">
        <v>2287</v>
      </c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" thickBot="1" x14ac:dyDescent="0.35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27</v>
      </c>
      <c r="J90" s="147" t="s">
        <v>1733</v>
      </c>
      <c r="K90" s="31">
        <f t="shared" si="9"/>
        <v>1</v>
      </c>
      <c r="L90" s="32">
        <f t="shared" si="10"/>
        <v>0.9642857142857143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 t="s">
        <v>2287</v>
      </c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" thickBot="1" x14ac:dyDescent="0.35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27</v>
      </c>
      <c r="J91" s="147" t="s">
        <v>1734</v>
      </c>
      <c r="K91" s="31">
        <f t="shared" si="9"/>
        <v>1</v>
      </c>
      <c r="L91" s="32">
        <f t="shared" si="10"/>
        <v>0.9642857142857143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 t="s">
        <v>2287</v>
      </c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" thickBot="1" x14ac:dyDescent="0.35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27</v>
      </c>
      <c r="J92" s="147" t="s">
        <v>1735</v>
      </c>
      <c r="K92" s="31">
        <f t="shared" si="9"/>
        <v>1</v>
      </c>
      <c r="L92" s="32">
        <f t="shared" si="10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2287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" thickBot="1" x14ac:dyDescent="0.35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1736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" thickBot="1" x14ac:dyDescent="0.35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27</v>
      </c>
      <c r="J94" s="150" t="s">
        <v>1737</v>
      </c>
      <c r="K94" s="31">
        <f t="shared" si="9"/>
        <v>1</v>
      </c>
      <c r="L94" s="32">
        <f t="shared" si="10"/>
        <v>0.9642857142857143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 t="s">
        <v>2287</v>
      </c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" thickBot="1" x14ac:dyDescent="0.35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25</v>
      </c>
      <c r="J95" s="147" t="s">
        <v>1738</v>
      </c>
      <c r="K95" s="142">
        <f t="shared" si="9"/>
        <v>3</v>
      </c>
      <c r="L95" s="143">
        <f t="shared" si="10"/>
        <v>0.8928571428571429</v>
      </c>
      <c r="M95" s="70"/>
      <c r="N95" s="70"/>
      <c r="O95" s="70"/>
      <c r="P95" s="70"/>
      <c r="Q95" s="70"/>
      <c r="R95" s="70"/>
      <c r="S95" s="70"/>
      <c r="T95" s="70" t="s">
        <v>2287</v>
      </c>
      <c r="U95" s="70"/>
      <c r="V95" s="70"/>
      <c r="W95" s="70"/>
      <c r="X95" s="70" t="s">
        <v>2287</v>
      </c>
      <c r="Y95" s="70"/>
      <c r="Z95" s="70"/>
      <c r="AA95" s="70" t="s">
        <v>2287</v>
      </c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" thickBot="1" x14ac:dyDescent="0.35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1739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" thickBot="1" x14ac:dyDescent="0.35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1740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" thickBot="1" x14ac:dyDescent="0.35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23</v>
      </c>
      <c r="J98" s="147" t="s">
        <v>1741</v>
      </c>
      <c r="K98" s="142">
        <f t="shared" si="9"/>
        <v>5</v>
      </c>
      <c r="L98" s="143">
        <f t="shared" si="10"/>
        <v>0.8214285714285714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 t="s">
        <v>2287</v>
      </c>
      <c r="AA98" s="70" t="s">
        <v>2287</v>
      </c>
      <c r="AB98" s="70" t="s">
        <v>2287</v>
      </c>
      <c r="AC98" s="70" t="s">
        <v>2287</v>
      </c>
      <c r="AD98" s="70" t="s">
        <v>2287</v>
      </c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" thickBot="1" x14ac:dyDescent="0.35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12</v>
      </c>
      <c r="J99" s="147" t="s">
        <v>1742</v>
      </c>
      <c r="K99" s="142">
        <f t="shared" si="9"/>
        <v>16</v>
      </c>
      <c r="L99" s="143">
        <f t="shared" si="10"/>
        <v>0.42857142857142855</v>
      </c>
      <c r="M99" s="70" t="s">
        <v>2287</v>
      </c>
      <c r="N99" s="70" t="s">
        <v>2287</v>
      </c>
      <c r="O99" s="70" t="s">
        <v>2287</v>
      </c>
      <c r="P99" s="70" t="s">
        <v>2287</v>
      </c>
      <c r="Q99" s="70" t="s">
        <v>2287</v>
      </c>
      <c r="R99" s="70" t="s">
        <v>2287</v>
      </c>
      <c r="S99" s="70" t="s">
        <v>2287</v>
      </c>
      <c r="T99" s="70" t="s">
        <v>2287</v>
      </c>
      <c r="U99" s="70"/>
      <c r="V99" s="70" t="s">
        <v>2287</v>
      </c>
      <c r="W99" s="70"/>
      <c r="X99" s="70" t="s">
        <v>2287</v>
      </c>
      <c r="Y99" s="70" t="s">
        <v>2287</v>
      </c>
      <c r="Z99" s="70" t="s">
        <v>2287</v>
      </c>
      <c r="AA99" s="70" t="s">
        <v>2287</v>
      </c>
      <c r="AB99" s="70" t="s">
        <v>2287</v>
      </c>
      <c r="AC99" s="70" t="s">
        <v>2287</v>
      </c>
      <c r="AD99" s="70" t="s">
        <v>2287</v>
      </c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" thickBot="1" x14ac:dyDescent="0.35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1743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" thickBot="1" x14ac:dyDescent="0.35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1744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" thickBot="1" x14ac:dyDescent="0.35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1745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" thickBot="1" x14ac:dyDescent="0.35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27</v>
      </c>
      <c r="J103" s="147" t="s">
        <v>1746</v>
      </c>
      <c r="K103" s="31">
        <f t="shared" si="9"/>
        <v>1</v>
      </c>
      <c r="L103" s="32">
        <f t="shared" si="10"/>
        <v>0.9642857142857143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 t="s">
        <v>2287</v>
      </c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" thickBot="1" x14ac:dyDescent="0.35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1747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" thickBot="1" x14ac:dyDescent="0.35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1748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" thickBot="1" x14ac:dyDescent="0.35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28</v>
      </c>
      <c r="J106" s="147" t="s">
        <v>1749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" thickBot="1" x14ac:dyDescent="0.35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1750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" thickBot="1" x14ac:dyDescent="0.35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27</v>
      </c>
      <c r="J108" s="147" t="s">
        <v>1751</v>
      </c>
      <c r="K108" s="31">
        <f t="shared" si="9"/>
        <v>1</v>
      </c>
      <c r="L108" s="32">
        <f t="shared" si="10"/>
        <v>0.9642857142857143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 t="s">
        <v>2287</v>
      </c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" thickBot="1" x14ac:dyDescent="0.35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27</v>
      </c>
      <c r="J109" s="147" t="s">
        <v>1752</v>
      </c>
      <c r="K109" s="31">
        <f t="shared" si="9"/>
        <v>1</v>
      </c>
      <c r="L109" s="32">
        <f t="shared" si="10"/>
        <v>0.9642857142857143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 t="s">
        <v>2287</v>
      </c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" thickBot="1" x14ac:dyDescent="0.35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1753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" thickBot="1" x14ac:dyDescent="0.35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1753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" thickBot="1" x14ac:dyDescent="0.35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15</v>
      </c>
      <c r="J112" s="147" t="s">
        <v>1755</v>
      </c>
      <c r="K112" s="142">
        <f t="shared" si="9"/>
        <v>13</v>
      </c>
      <c r="L112" s="143">
        <f t="shared" si="10"/>
        <v>0.5357142857142857</v>
      </c>
      <c r="M112" s="70" t="s">
        <v>2287</v>
      </c>
      <c r="N112" s="70" t="s">
        <v>2287</v>
      </c>
      <c r="O112" s="70" t="s">
        <v>2287</v>
      </c>
      <c r="P112" s="70" t="s">
        <v>2287</v>
      </c>
      <c r="Q112" s="70" t="s">
        <v>2287</v>
      </c>
      <c r="R112" s="70" t="s">
        <v>2287</v>
      </c>
      <c r="S112" s="70" t="s">
        <v>2287</v>
      </c>
      <c r="T112" s="70" t="s">
        <v>2287</v>
      </c>
      <c r="U112" s="70"/>
      <c r="V112" s="70"/>
      <c r="W112" s="70"/>
      <c r="X112" s="70"/>
      <c r="Y112" s="70"/>
      <c r="Z112" s="70" t="s">
        <v>2287</v>
      </c>
      <c r="AA112" s="70" t="s">
        <v>2287</v>
      </c>
      <c r="AB112" s="70" t="s">
        <v>2287</v>
      </c>
      <c r="AC112" s="70" t="s">
        <v>2287</v>
      </c>
      <c r="AD112" s="70" t="s">
        <v>2287</v>
      </c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" thickBot="1" x14ac:dyDescent="0.35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15</v>
      </c>
      <c r="J113" s="147" t="s">
        <v>1754</v>
      </c>
      <c r="K113" s="142">
        <f t="shared" si="9"/>
        <v>13</v>
      </c>
      <c r="L113" s="143">
        <f t="shared" si="10"/>
        <v>0.5357142857142857</v>
      </c>
      <c r="M113" s="70" t="s">
        <v>2287</v>
      </c>
      <c r="N113" s="70" t="s">
        <v>2287</v>
      </c>
      <c r="O113" s="70" t="s">
        <v>2287</v>
      </c>
      <c r="P113" s="70" t="s">
        <v>2287</v>
      </c>
      <c r="Q113" s="70" t="s">
        <v>2287</v>
      </c>
      <c r="R113" s="70" t="s">
        <v>2287</v>
      </c>
      <c r="S113" s="70" t="s">
        <v>2287</v>
      </c>
      <c r="T113" s="70" t="s">
        <v>2287</v>
      </c>
      <c r="U113" s="70"/>
      <c r="V113" s="70"/>
      <c r="W113" s="70"/>
      <c r="X113" s="70"/>
      <c r="Y113" s="70"/>
      <c r="Z113" s="70" t="s">
        <v>2287</v>
      </c>
      <c r="AA113" s="70" t="s">
        <v>2287</v>
      </c>
      <c r="AB113" s="70" t="s">
        <v>2287</v>
      </c>
      <c r="AC113" s="70" t="s">
        <v>2287</v>
      </c>
      <c r="AD113" s="70" t="s">
        <v>2287</v>
      </c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" thickBot="1" x14ac:dyDescent="0.35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27</v>
      </c>
      <c r="J114" s="147" t="s">
        <v>1756</v>
      </c>
      <c r="K114" s="31">
        <f t="shared" si="9"/>
        <v>1</v>
      </c>
      <c r="L114" s="32">
        <f t="shared" si="10"/>
        <v>0.9642857142857143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 t="s">
        <v>2287</v>
      </c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" thickBot="1" x14ac:dyDescent="0.35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27</v>
      </c>
      <c r="J115" s="147" t="s">
        <v>1757</v>
      </c>
      <c r="K115" s="31">
        <f t="shared" si="9"/>
        <v>1</v>
      </c>
      <c r="L115" s="32">
        <f t="shared" si="10"/>
        <v>0.9642857142857143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 t="s">
        <v>2287</v>
      </c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" thickBot="1" x14ac:dyDescent="0.35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1758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5" customHeight="1" thickBot="1" x14ac:dyDescent="0.35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1759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" thickBot="1" x14ac:dyDescent="0.35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26</v>
      </c>
      <c r="J118" s="147" t="s">
        <v>1760</v>
      </c>
      <c r="K118" s="31">
        <f t="shared" si="9"/>
        <v>2</v>
      </c>
      <c r="L118" s="32">
        <f t="shared" si="10"/>
        <v>0.9285714285714286</v>
      </c>
      <c r="M118" s="70" t="s">
        <v>2287</v>
      </c>
      <c r="N118" s="70" t="s">
        <v>2287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" thickBot="1" x14ac:dyDescent="0.35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1761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" thickBot="1" x14ac:dyDescent="0.35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11</v>
      </c>
      <c r="J120" s="147" t="s">
        <v>1762</v>
      </c>
      <c r="K120" s="142">
        <f t="shared" si="9"/>
        <v>17</v>
      </c>
      <c r="L120" s="143">
        <f t="shared" si="10"/>
        <v>0.39285714285714285</v>
      </c>
      <c r="M120" s="70" t="s">
        <v>2287</v>
      </c>
      <c r="N120" s="70" t="s">
        <v>2287</v>
      </c>
      <c r="O120" s="70" t="s">
        <v>2287</v>
      </c>
      <c r="P120" s="70" t="s">
        <v>2287</v>
      </c>
      <c r="Q120" s="70" t="s">
        <v>2287</v>
      </c>
      <c r="R120" s="70" t="s">
        <v>2287</v>
      </c>
      <c r="S120" s="70" t="s">
        <v>2287</v>
      </c>
      <c r="T120" s="70" t="s">
        <v>2287</v>
      </c>
      <c r="U120" s="70" t="s">
        <v>2287</v>
      </c>
      <c r="V120" s="70" t="s">
        <v>2287</v>
      </c>
      <c r="W120" s="70"/>
      <c r="X120" s="70" t="s">
        <v>2287</v>
      </c>
      <c r="Y120" s="70" t="s">
        <v>2287</v>
      </c>
      <c r="Z120" s="70" t="s">
        <v>2287</v>
      </c>
      <c r="AA120" s="70" t="s">
        <v>2287</v>
      </c>
      <c r="AB120" s="70" t="s">
        <v>2287</v>
      </c>
      <c r="AC120" s="70" t="s">
        <v>2287</v>
      </c>
      <c r="AD120" s="70" t="s">
        <v>2287</v>
      </c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" thickBot="1" x14ac:dyDescent="0.35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1763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" thickBot="1" x14ac:dyDescent="0.35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1764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" thickBot="1" x14ac:dyDescent="0.35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1765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" thickBot="1" x14ac:dyDescent="0.35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27</v>
      </c>
      <c r="J124" s="147" t="s">
        <v>1766</v>
      </c>
      <c r="K124" s="31">
        <f t="shared" si="9"/>
        <v>1</v>
      </c>
      <c r="L124" s="32">
        <f t="shared" si="10"/>
        <v>0.9642857142857143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 t="s">
        <v>2287</v>
      </c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" thickBot="1" x14ac:dyDescent="0.35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27</v>
      </c>
      <c r="J125" s="147" t="s">
        <v>1767</v>
      </c>
      <c r="K125" s="31">
        <f t="shared" si="9"/>
        <v>1</v>
      </c>
      <c r="L125" s="32">
        <f t="shared" si="10"/>
        <v>0.9642857142857143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 t="s">
        <v>2287</v>
      </c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" thickBot="1" x14ac:dyDescent="0.35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1768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" thickBot="1" x14ac:dyDescent="0.35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23</v>
      </c>
      <c r="J127" s="148" t="s">
        <v>1769</v>
      </c>
      <c r="K127" s="142">
        <f t="shared" si="9"/>
        <v>5</v>
      </c>
      <c r="L127" s="143">
        <f t="shared" si="10"/>
        <v>0.8214285714285714</v>
      </c>
      <c r="M127" s="70"/>
      <c r="N127" s="70" t="s">
        <v>2287</v>
      </c>
      <c r="O127" s="70"/>
      <c r="P127" s="70"/>
      <c r="Q127" s="70" t="s">
        <v>2287</v>
      </c>
      <c r="R127" s="70" t="s">
        <v>2287</v>
      </c>
      <c r="S127" s="70" t="s">
        <v>2287</v>
      </c>
      <c r="T127" s="70"/>
      <c r="U127" s="70"/>
      <c r="V127" s="70"/>
      <c r="W127" s="70"/>
      <c r="X127" s="70"/>
      <c r="Y127" s="70" t="s">
        <v>2287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" thickBot="1" x14ac:dyDescent="0.35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28</v>
      </c>
      <c r="J128" s="147" t="s">
        <v>1770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" thickBot="1" x14ac:dyDescent="0.35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1771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" thickBot="1" x14ac:dyDescent="0.35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18</v>
      </c>
      <c r="J130" s="147" t="s">
        <v>1772</v>
      </c>
      <c r="K130" s="31">
        <f t="shared" si="9"/>
        <v>10</v>
      </c>
      <c r="L130" s="32">
        <f t="shared" si="10"/>
        <v>0.6428571428571429</v>
      </c>
      <c r="M130" s="70" t="s">
        <v>2287</v>
      </c>
      <c r="N130" s="70" t="s">
        <v>2287</v>
      </c>
      <c r="O130" s="70"/>
      <c r="P130" s="70"/>
      <c r="Q130" s="70" t="s">
        <v>2287</v>
      </c>
      <c r="R130" s="70" t="s">
        <v>2287</v>
      </c>
      <c r="S130" s="70"/>
      <c r="T130" s="70"/>
      <c r="U130" s="70" t="s">
        <v>2287</v>
      </c>
      <c r="V130" s="70" t="s">
        <v>2287</v>
      </c>
      <c r="W130" s="70"/>
      <c r="X130" s="70"/>
      <c r="Y130" s="70"/>
      <c r="Z130" s="70" t="s">
        <v>2287</v>
      </c>
      <c r="AA130" s="70"/>
      <c r="AB130" s="70" t="s">
        <v>2287</v>
      </c>
      <c r="AC130" s="70" t="s">
        <v>2287</v>
      </c>
      <c r="AD130" s="70" t="s">
        <v>2287</v>
      </c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" thickBot="1" x14ac:dyDescent="0.35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22</v>
      </c>
      <c r="J131" s="147" t="s">
        <v>1773</v>
      </c>
      <c r="K131" s="31">
        <f t="shared" si="9"/>
        <v>6</v>
      </c>
      <c r="L131" s="32">
        <f t="shared" si="10"/>
        <v>0.7857142857142857</v>
      </c>
      <c r="M131" s="70" t="s">
        <v>2287</v>
      </c>
      <c r="N131" s="70"/>
      <c r="O131" s="70"/>
      <c r="P131" s="70"/>
      <c r="Q131" s="70"/>
      <c r="R131" s="70"/>
      <c r="S131" s="70" t="s">
        <v>2287</v>
      </c>
      <c r="T131" s="70" t="s">
        <v>2287</v>
      </c>
      <c r="U131" s="70" t="s">
        <v>2287</v>
      </c>
      <c r="V131" s="70" t="s">
        <v>2287</v>
      </c>
      <c r="W131" s="70"/>
      <c r="X131" s="70" t="s">
        <v>2287</v>
      </c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" thickBot="1" x14ac:dyDescent="0.35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28</v>
      </c>
      <c r="J132" s="147" t="s">
        <v>1774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" thickBot="1" x14ac:dyDescent="0.35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1775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5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1776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" thickBot="1" x14ac:dyDescent="0.35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27</v>
      </c>
      <c r="J135" s="147" t="s">
        <v>1777</v>
      </c>
      <c r="K135" s="142">
        <f t="shared" si="9"/>
        <v>1</v>
      </c>
      <c r="L135" s="143">
        <f t="shared" si="10"/>
        <v>0.9642857142857143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 t="s">
        <v>2287</v>
      </c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" thickBot="1" x14ac:dyDescent="0.35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27</v>
      </c>
      <c r="J136" s="147" t="s">
        <v>1778</v>
      </c>
      <c r="K136" s="142">
        <f t="shared" si="9"/>
        <v>1</v>
      </c>
      <c r="L136" s="143">
        <f t="shared" si="10"/>
        <v>0.9642857142857143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 t="s">
        <v>2287</v>
      </c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" thickBot="1" x14ac:dyDescent="0.35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1779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" thickBot="1" x14ac:dyDescent="0.35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27</v>
      </c>
      <c r="J138" s="147" t="s">
        <v>1780</v>
      </c>
      <c r="K138" s="142">
        <f t="shared" si="9"/>
        <v>1</v>
      </c>
      <c r="L138" s="143">
        <f t="shared" si="10"/>
        <v>0.9642857142857143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 t="s">
        <v>2287</v>
      </c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" thickBot="1" x14ac:dyDescent="0.35">
      <c r="A139" t="s">
        <v>52</v>
      </c>
      <c r="B139" s="30" t="s">
        <v>1651</v>
      </c>
      <c r="C139" s="30" t="s">
        <v>1062</v>
      </c>
      <c r="D139" t="s">
        <v>1652</v>
      </c>
      <c r="E139" s="85" t="s">
        <v>19</v>
      </c>
      <c r="F139" s="85" t="s">
        <v>28</v>
      </c>
      <c r="G139" s="85"/>
      <c r="H139" s="85" t="s">
        <v>2124</v>
      </c>
      <c r="I139" s="142">
        <f t="shared" si="8"/>
        <v>28</v>
      </c>
      <c r="J139" s="87" t="s">
        <v>2192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" thickBot="1" x14ac:dyDescent="0.35">
      <c r="A140" s="73" t="s">
        <v>52</v>
      </c>
      <c r="B140" s="85" t="s">
        <v>1565</v>
      </c>
      <c r="C140" s="85" t="s">
        <v>1062</v>
      </c>
      <c r="D140" s="73" t="s">
        <v>1567</v>
      </c>
      <c r="E140" s="85" t="s">
        <v>19</v>
      </c>
      <c r="F140" s="85" t="s">
        <v>1301</v>
      </c>
      <c r="G140" s="85"/>
      <c r="H140" s="85" t="s">
        <v>1569</v>
      </c>
      <c r="I140" s="142">
        <f t="shared" si="8"/>
        <v>27</v>
      </c>
      <c r="J140" s="147" t="s">
        <v>1781</v>
      </c>
      <c r="K140" s="142">
        <f t="shared" si="9"/>
        <v>1</v>
      </c>
      <c r="L140" s="143">
        <f t="shared" si="10"/>
        <v>0.9642857142857143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 t="s">
        <v>2287</v>
      </c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" thickBot="1" x14ac:dyDescent="0.35">
      <c r="A141" s="73" t="s">
        <v>52</v>
      </c>
      <c r="B141" s="85" t="s">
        <v>1566</v>
      </c>
      <c r="C141" s="85" t="s">
        <v>1062</v>
      </c>
      <c r="D141" s="73" t="s">
        <v>1568</v>
      </c>
      <c r="E141" s="85" t="s">
        <v>19</v>
      </c>
      <c r="F141" s="85" t="s">
        <v>1301</v>
      </c>
      <c r="G141" s="85"/>
      <c r="H141" s="85" t="s">
        <v>1570</v>
      </c>
      <c r="I141" s="142">
        <f t="shared" si="8"/>
        <v>28</v>
      </c>
      <c r="J141" s="147" t="s">
        <v>1782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" thickBot="1" x14ac:dyDescent="0.35">
      <c r="A142" s="73" t="s">
        <v>52</v>
      </c>
      <c r="B142" s="85" t="s">
        <v>2131</v>
      </c>
      <c r="C142" s="85" t="s">
        <v>1062</v>
      </c>
      <c r="D142" s="73" t="s">
        <v>2132</v>
      </c>
      <c r="E142" s="85" t="s">
        <v>19</v>
      </c>
      <c r="F142" s="85" t="s">
        <v>1301</v>
      </c>
      <c r="G142" s="85"/>
      <c r="H142" s="85" t="s">
        <v>2193</v>
      </c>
      <c r="I142" s="142">
        <f t="shared" si="8"/>
        <v>28</v>
      </c>
      <c r="J142" s="147" t="s">
        <v>2194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" thickBot="1" x14ac:dyDescent="0.35">
      <c r="A143" s="73" t="s">
        <v>52</v>
      </c>
      <c r="B143" s="85" t="s">
        <v>2221</v>
      </c>
      <c r="C143" s="85" t="s">
        <v>1062</v>
      </c>
      <c r="D143" s="73" t="s">
        <v>2222</v>
      </c>
      <c r="E143" s="85" t="s">
        <v>19</v>
      </c>
      <c r="F143" s="85" t="s">
        <v>1301</v>
      </c>
      <c r="G143" s="85"/>
      <c r="H143" s="85" t="s">
        <v>2223</v>
      </c>
      <c r="I143" s="142">
        <f t="shared" si="8"/>
        <v>27</v>
      </c>
      <c r="J143" s="147" t="s">
        <v>2224</v>
      </c>
      <c r="K143" s="142">
        <f t="shared" si="9"/>
        <v>1</v>
      </c>
      <c r="L143" s="143">
        <f t="shared" si="10"/>
        <v>0.9642857142857143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 t="s">
        <v>2287</v>
      </c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" thickBot="1" x14ac:dyDescent="0.35">
      <c r="A144" s="73" t="s">
        <v>52</v>
      </c>
      <c r="B144" s="85" t="s">
        <v>2259</v>
      </c>
      <c r="C144" s="85" t="s">
        <v>1062</v>
      </c>
      <c r="D144" s="73" t="s">
        <v>2260</v>
      </c>
      <c r="E144" s="85" t="s">
        <v>19</v>
      </c>
      <c r="F144" s="30" t="s">
        <v>28</v>
      </c>
      <c r="G144" s="85"/>
      <c r="H144" s="85" t="s">
        <v>2261</v>
      </c>
      <c r="I144" s="142">
        <f t="shared" si="8"/>
        <v>28</v>
      </c>
      <c r="J144" s="147" t="s">
        <v>2262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" thickBot="1" x14ac:dyDescent="0.35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22</v>
      </c>
      <c r="J145" s="147" t="s">
        <v>1783</v>
      </c>
      <c r="K145" s="31">
        <f t="shared" si="9"/>
        <v>6</v>
      </c>
      <c r="L145" s="32">
        <f t="shared" si="10"/>
        <v>0.7857142857142857</v>
      </c>
      <c r="M145" s="70" t="s">
        <v>2287</v>
      </c>
      <c r="N145" s="70" t="s">
        <v>2287</v>
      </c>
      <c r="O145" s="70" t="s">
        <v>2287</v>
      </c>
      <c r="P145" s="70" t="s">
        <v>2287</v>
      </c>
      <c r="Q145" s="70" t="s">
        <v>2287</v>
      </c>
      <c r="R145" s="70" t="s">
        <v>2287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" thickBot="1" x14ac:dyDescent="0.35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" thickBot="1" x14ac:dyDescent="0.35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27</v>
      </c>
      <c r="J147" s="147" t="s">
        <v>1784</v>
      </c>
      <c r="K147" s="31">
        <f t="shared" si="9"/>
        <v>1</v>
      </c>
      <c r="L147" s="32">
        <f t="shared" si="10"/>
        <v>0.9642857142857143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 t="s">
        <v>2287</v>
      </c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" thickBot="1" x14ac:dyDescent="0.35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1785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" thickBot="1" x14ac:dyDescent="0.35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2210</v>
      </c>
      <c r="I149" s="31">
        <f t="shared" si="8"/>
        <v>28</v>
      </c>
      <c r="J149" s="147" t="s">
        <v>1786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" thickBot="1" x14ac:dyDescent="0.35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27</v>
      </c>
      <c r="J150" s="147" t="s">
        <v>1787</v>
      </c>
      <c r="K150" s="31">
        <f t="shared" si="9"/>
        <v>1</v>
      </c>
      <c r="L150" s="32">
        <f t="shared" si="10"/>
        <v>0.9642857142857143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 t="s">
        <v>2287</v>
      </c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" thickBot="1" x14ac:dyDescent="0.35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25</v>
      </c>
      <c r="J151" s="87"/>
      <c r="K151" s="31">
        <f t="shared" si="9"/>
        <v>3</v>
      </c>
      <c r="L151" s="32">
        <f t="shared" si="10"/>
        <v>0.8928571428571429</v>
      </c>
      <c r="M151" s="70"/>
      <c r="N151" s="70"/>
      <c r="O151" s="70"/>
      <c r="P151" s="70"/>
      <c r="Q151" s="70" t="s">
        <v>2287</v>
      </c>
      <c r="R151" s="70" t="s">
        <v>2287</v>
      </c>
      <c r="S151" s="70"/>
      <c r="T151" s="70"/>
      <c r="U151" s="70"/>
      <c r="V151" s="70"/>
      <c r="W151" s="70"/>
      <c r="X151" s="70"/>
      <c r="Y151" s="70"/>
      <c r="Z151" s="70"/>
      <c r="AA151" s="70" t="s">
        <v>2287</v>
      </c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" thickBot="1" x14ac:dyDescent="0.35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1788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" thickBot="1" x14ac:dyDescent="0.35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" thickBot="1" x14ac:dyDescent="0.35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1789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" thickBot="1" x14ac:dyDescent="0.35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1790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" thickBot="1" x14ac:dyDescent="0.35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12</v>
      </c>
      <c r="J156" s="87"/>
      <c r="K156" s="31">
        <f t="shared" si="9"/>
        <v>16</v>
      </c>
      <c r="L156" s="32">
        <f t="shared" si="10"/>
        <v>0.42857142857142855</v>
      </c>
      <c r="M156" s="70" t="s">
        <v>2287</v>
      </c>
      <c r="N156" s="70" t="s">
        <v>2287</v>
      </c>
      <c r="O156" s="70" t="s">
        <v>2287</v>
      </c>
      <c r="P156" s="70"/>
      <c r="Q156" s="70" t="s">
        <v>2287</v>
      </c>
      <c r="R156" s="70" t="s">
        <v>2287</v>
      </c>
      <c r="S156" s="70" t="s">
        <v>2287</v>
      </c>
      <c r="T156" s="70" t="s">
        <v>2287</v>
      </c>
      <c r="U156" s="70" t="s">
        <v>2287</v>
      </c>
      <c r="V156" s="70" t="s">
        <v>2287</v>
      </c>
      <c r="W156" s="70"/>
      <c r="X156" s="70" t="s">
        <v>2287</v>
      </c>
      <c r="Y156" s="70" t="s">
        <v>2287</v>
      </c>
      <c r="Z156" s="70" t="s">
        <v>2287</v>
      </c>
      <c r="AA156" s="70" t="s">
        <v>2287</v>
      </c>
      <c r="AB156" s="70" t="s">
        <v>2287</v>
      </c>
      <c r="AC156" s="70" t="s">
        <v>2287</v>
      </c>
      <c r="AD156" s="70" t="s">
        <v>2287</v>
      </c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2" customHeight="1" thickBot="1" x14ac:dyDescent="0.35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12</v>
      </c>
      <c r="J157" s="87"/>
      <c r="K157" s="31">
        <f t="shared" si="9"/>
        <v>16</v>
      </c>
      <c r="L157" s="32">
        <f t="shared" si="10"/>
        <v>0.42857142857142855</v>
      </c>
      <c r="M157" s="70" t="s">
        <v>2287</v>
      </c>
      <c r="N157" s="70" t="s">
        <v>2287</v>
      </c>
      <c r="O157" s="70" t="s">
        <v>2287</v>
      </c>
      <c r="P157" s="70"/>
      <c r="Q157" s="70" t="s">
        <v>2287</v>
      </c>
      <c r="R157" s="70" t="s">
        <v>2287</v>
      </c>
      <c r="S157" s="70" t="s">
        <v>2287</v>
      </c>
      <c r="T157" s="70" t="s">
        <v>2287</v>
      </c>
      <c r="U157" s="70" t="s">
        <v>2287</v>
      </c>
      <c r="V157" s="70" t="s">
        <v>2287</v>
      </c>
      <c r="W157" s="70"/>
      <c r="X157" s="70" t="s">
        <v>2287</v>
      </c>
      <c r="Y157" s="70" t="s">
        <v>2287</v>
      </c>
      <c r="Z157" s="70" t="s">
        <v>2287</v>
      </c>
      <c r="AA157" s="70" t="s">
        <v>2287</v>
      </c>
      <c r="AB157" s="70" t="s">
        <v>2287</v>
      </c>
      <c r="AC157" s="70" t="s">
        <v>2287</v>
      </c>
      <c r="AD157" s="70" t="s">
        <v>2287</v>
      </c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" thickBot="1" x14ac:dyDescent="0.35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1791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" thickBot="1" x14ac:dyDescent="0.35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1792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" thickBot="1" x14ac:dyDescent="0.35">
      <c r="A160" s="73" t="s">
        <v>184</v>
      </c>
      <c r="B160" s="73" t="s">
        <v>1556</v>
      </c>
      <c r="C160" s="73" t="s">
        <v>1062</v>
      </c>
      <c r="D160" s="73" t="s">
        <v>1557</v>
      </c>
      <c r="E160" s="85" t="s">
        <v>46</v>
      </c>
      <c r="F160" s="85" t="s">
        <v>1301</v>
      </c>
      <c r="G160" s="85"/>
      <c r="H160" s="85" t="s">
        <v>1558</v>
      </c>
      <c r="I160" s="31">
        <f t="shared" si="8"/>
        <v>28</v>
      </c>
      <c r="J160" s="147" t="s">
        <v>1793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" thickBot="1" x14ac:dyDescent="0.35">
      <c r="A161" s="73" t="s">
        <v>184</v>
      </c>
      <c r="B161" s="73" t="s">
        <v>2125</v>
      </c>
      <c r="C161" s="73" t="s">
        <v>1062</v>
      </c>
      <c r="D161" s="73" t="s">
        <v>2126</v>
      </c>
      <c r="E161" s="85" t="s">
        <v>46</v>
      </c>
      <c r="F161" s="85" t="s">
        <v>1301</v>
      </c>
      <c r="G161" s="85"/>
      <c r="H161" s="85" t="s">
        <v>2129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" thickBot="1" x14ac:dyDescent="0.35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2211</v>
      </c>
      <c r="I162" s="142">
        <f t="shared" si="8"/>
        <v>28</v>
      </c>
      <c r="J162" s="147" t="s">
        <v>1794</v>
      </c>
      <c r="K162" s="142">
        <f t="shared" si="9"/>
        <v>0</v>
      </c>
      <c r="L162" s="143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" thickBot="1" x14ac:dyDescent="0.35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1795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" thickBot="1" x14ac:dyDescent="0.35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22</v>
      </c>
      <c r="J164" s="147" t="s">
        <v>1796</v>
      </c>
      <c r="K164" s="31">
        <f t="shared" si="12"/>
        <v>6</v>
      </c>
      <c r="L164" s="32">
        <f t="shared" si="13"/>
        <v>0.7857142857142857</v>
      </c>
      <c r="M164" s="70" t="s">
        <v>2287</v>
      </c>
      <c r="N164" s="70" t="s">
        <v>2287</v>
      </c>
      <c r="O164" s="70" t="s">
        <v>2287</v>
      </c>
      <c r="P164" s="70" t="s">
        <v>2287</v>
      </c>
      <c r="Q164" s="70" t="s">
        <v>2287</v>
      </c>
      <c r="R164" s="70" t="s">
        <v>2287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" thickBot="1" x14ac:dyDescent="0.35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24</v>
      </c>
      <c r="J165" s="147" t="s">
        <v>1797</v>
      </c>
      <c r="K165" s="31">
        <f t="shared" si="12"/>
        <v>4</v>
      </c>
      <c r="L165" s="32">
        <f t="shared" si="13"/>
        <v>0.8571428571428571</v>
      </c>
      <c r="M165" s="70"/>
      <c r="N165" s="70"/>
      <c r="O165" s="70" t="s">
        <v>2287</v>
      </c>
      <c r="P165" s="70" t="s">
        <v>2287</v>
      </c>
      <c r="Q165" s="70" t="s">
        <v>2287</v>
      </c>
      <c r="R165" s="70" t="s">
        <v>2287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" thickBot="1" x14ac:dyDescent="0.35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27</v>
      </c>
      <c r="J166" s="147" t="s">
        <v>1798</v>
      </c>
      <c r="K166" s="31">
        <f t="shared" si="12"/>
        <v>1</v>
      </c>
      <c r="L166" s="32">
        <f t="shared" si="13"/>
        <v>0.9642857142857143</v>
      </c>
      <c r="M166" s="70"/>
      <c r="N166" s="70"/>
      <c r="O166" s="70"/>
      <c r="P166" s="70"/>
      <c r="Q166" s="70"/>
      <c r="R166" s="70" t="s">
        <v>2287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" thickBot="1" x14ac:dyDescent="0.35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24</v>
      </c>
      <c r="J167" s="147" t="s">
        <v>1799</v>
      </c>
      <c r="K167" s="31">
        <f t="shared" si="12"/>
        <v>4</v>
      </c>
      <c r="L167" s="32">
        <f t="shared" si="13"/>
        <v>0.8571428571428571</v>
      </c>
      <c r="M167" s="70" t="s">
        <v>2287</v>
      </c>
      <c r="N167" s="70" t="s">
        <v>2287</v>
      </c>
      <c r="O167" s="70"/>
      <c r="P167" s="70"/>
      <c r="Q167" s="70" t="s">
        <v>2287</v>
      </c>
      <c r="R167" s="70" t="s">
        <v>2287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" thickBot="1" x14ac:dyDescent="0.35">
      <c r="A168" t="s">
        <v>186</v>
      </c>
      <c r="B168" t="s">
        <v>1548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1551</v>
      </c>
      <c r="I168" s="31">
        <f t="shared" si="11"/>
        <v>13</v>
      </c>
      <c r="J168" s="147" t="s">
        <v>1800</v>
      </c>
      <c r="K168" s="31">
        <f t="shared" si="12"/>
        <v>15</v>
      </c>
      <c r="L168" s="32">
        <f t="shared" si="13"/>
        <v>0.4642857142857143</v>
      </c>
      <c r="M168" s="70" t="s">
        <v>2287</v>
      </c>
      <c r="N168" s="70" t="s">
        <v>2287</v>
      </c>
      <c r="O168" s="70"/>
      <c r="P168" s="70"/>
      <c r="Q168" s="70" t="s">
        <v>2287</v>
      </c>
      <c r="R168" s="70" t="s">
        <v>2287</v>
      </c>
      <c r="S168" s="70" t="s">
        <v>2287</v>
      </c>
      <c r="T168" s="70" t="s">
        <v>2287</v>
      </c>
      <c r="U168" s="70" t="s">
        <v>2287</v>
      </c>
      <c r="V168" s="70" t="s">
        <v>2287</v>
      </c>
      <c r="W168" s="70"/>
      <c r="X168" s="70" t="s">
        <v>2287</v>
      </c>
      <c r="Y168" s="70" t="s">
        <v>2287</v>
      </c>
      <c r="Z168" s="70" t="s">
        <v>2287</v>
      </c>
      <c r="AA168" s="70" t="s">
        <v>2287</v>
      </c>
      <c r="AB168" s="70" t="s">
        <v>2287</v>
      </c>
      <c r="AC168" s="70" t="s">
        <v>2287</v>
      </c>
      <c r="AD168" s="70" t="s">
        <v>2287</v>
      </c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" thickBot="1" x14ac:dyDescent="0.35">
      <c r="A169" t="s">
        <v>186</v>
      </c>
      <c r="B169" t="s">
        <v>1549</v>
      </c>
      <c r="C169" t="s">
        <v>1063</v>
      </c>
      <c r="D169" t="s">
        <v>1550</v>
      </c>
      <c r="E169" s="30" t="s">
        <v>15</v>
      </c>
      <c r="F169" s="30" t="s">
        <v>28</v>
      </c>
      <c r="G169" s="30"/>
      <c r="H169" s="30" t="s">
        <v>1552</v>
      </c>
      <c r="I169" s="31">
        <f t="shared" si="11"/>
        <v>11</v>
      </c>
      <c r="J169" s="147" t="s">
        <v>1801</v>
      </c>
      <c r="K169" s="31">
        <f t="shared" si="12"/>
        <v>17</v>
      </c>
      <c r="L169" s="32">
        <f t="shared" si="13"/>
        <v>0.39285714285714285</v>
      </c>
      <c r="M169" s="70" t="s">
        <v>2287</v>
      </c>
      <c r="N169" s="70" t="s">
        <v>2287</v>
      </c>
      <c r="O169" s="70" t="s">
        <v>2287</v>
      </c>
      <c r="P169" s="70" t="s">
        <v>2287</v>
      </c>
      <c r="Q169" s="70" t="s">
        <v>2287</v>
      </c>
      <c r="R169" s="70" t="s">
        <v>2287</v>
      </c>
      <c r="S169" s="70" t="s">
        <v>2287</v>
      </c>
      <c r="T169" s="70" t="s">
        <v>2287</v>
      </c>
      <c r="U169" s="70" t="s">
        <v>2287</v>
      </c>
      <c r="V169" s="70" t="s">
        <v>2287</v>
      </c>
      <c r="W169" s="70"/>
      <c r="X169" s="70" t="s">
        <v>2287</v>
      </c>
      <c r="Y169" s="70" t="s">
        <v>2287</v>
      </c>
      <c r="Z169" s="70" t="s">
        <v>2287</v>
      </c>
      <c r="AA169" s="70" t="s">
        <v>2287</v>
      </c>
      <c r="AB169" s="70" t="s">
        <v>2287</v>
      </c>
      <c r="AC169" s="70" t="s">
        <v>2287</v>
      </c>
      <c r="AD169" s="70" t="s">
        <v>2287</v>
      </c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" thickBot="1" x14ac:dyDescent="0.35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27</v>
      </c>
      <c r="J170" s="147" t="s">
        <v>1802</v>
      </c>
      <c r="K170" s="31">
        <f t="shared" si="12"/>
        <v>1</v>
      </c>
      <c r="L170" s="32">
        <f t="shared" si="13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 t="s">
        <v>2287</v>
      </c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" thickBot="1" x14ac:dyDescent="0.35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1803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" thickBot="1" x14ac:dyDescent="0.35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1804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" thickBot="1" x14ac:dyDescent="0.35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27</v>
      </c>
      <c r="J173" s="147" t="s">
        <v>1805</v>
      </c>
      <c r="K173" s="31">
        <f t="shared" si="12"/>
        <v>1</v>
      </c>
      <c r="L173" s="32">
        <f t="shared" si="13"/>
        <v>0.9642857142857143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 t="s">
        <v>2287</v>
      </c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" thickBot="1" x14ac:dyDescent="0.35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27</v>
      </c>
      <c r="J174" s="147" t="s">
        <v>1806</v>
      </c>
      <c r="K174" s="31">
        <f t="shared" si="12"/>
        <v>1</v>
      </c>
      <c r="L174" s="32">
        <f t="shared" si="13"/>
        <v>0.9642857142857143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 t="s">
        <v>2287</v>
      </c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" thickBot="1" x14ac:dyDescent="0.35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25</v>
      </c>
      <c r="J175" s="147" t="s">
        <v>1807</v>
      </c>
      <c r="K175" s="142">
        <f t="shared" si="12"/>
        <v>3</v>
      </c>
      <c r="L175" s="143">
        <f t="shared" si="13"/>
        <v>0.8928571428571429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 t="s">
        <v>2287</v>
      </c>
      <c r="AC175" s="70" t="s">
        <v>2287</v>
      </c>
      <c r="AD175" s="70" t="s">
        <v>2287</v>
      </c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" thickBot="1" x14ac:dyDescent="0.35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1808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" thickBot="1" x14ac:dyDescent="0.35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" thickBot="1" x14ac:dyDescent="0.35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27</v>
      </c>
      <c r="J178" s="147" t="s">
        <v>1809</v>
      </c>
      <c r="K178" s="31">
        <f t="shared" si="12"/>
        <v>1</v>
      </c>
      <c r="L178" s="32">
        <f t="shared" si="13"/>
        <v>0.9642857142857143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 t="s">
        <v>2287</v>
      </c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" thickBot="1" x14ac:dyDescent="0.35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27</v>
      </c>
      <c r="J179" s="147" t="s">
        <v>1810</v>
      </c>
      <c r="K179" s="31">
        <f t="shared" si="12"/>
        <v>1</v>
      </c>
      <c r="L179" s="32">
        <f t="shared" si="13"/>
        <v>0.9642857142857143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 t="s">
        <v>2287</v>
      </c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" thickBot="1" x14ac:dyDescent="0.35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22</v>
      </c>
      <c r="J180" s="147" t="s">
        <v>1811</v>
      </c>
      <c r="K180" s="31">
        <f t="shared" si="12"/>
        <v>6</v>
      </c>
      <c r="L180" s="32">
        <f t="shared" si="13"/>
        <v>0.7857142857142857</v>
      </c>
      <c r="M180" s="70" t="s">
        <v>2287</v>
      </c>
      <c r="N180" s="70" t="s">
        <v>2287</v>
      </c>
      <c r="O180" s="70" t="s">
        <v>2287</v>
      </c>
      <c r="P180" s="70" t="s">
        <v>2287</v>
      </c>
      <c r="Q180" s="70" t="s">
        <v>2287</v>
      </c>
      <c r="R180" s="70" t="s">
        <v>2287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" thickBot="1" x14ac:dyDescent="0.35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22</v>
      </c>
      <c r="J181" s="147" t="s">
        <v>1812</v>
      </c>
      <c r="K181" s="31">
        <f t="shared" si="12"/>
        <v>6</v>
      </c>
      <c r="L181" s="32">
        <f t="shared" si="13"/>
        <v>0.7857142857142857</v>
      </c>
      <c r="M181" s="70" t="s">
        <v>2287</v>
      </c>
      <c r="N181" s="70" t="s">
        <v>2287</v>
      </c>
      <c r="O181" s="70" t="s">
        <v>2287</v>
      </c>
      <c r="P181" s="70" t="s">
        <v>2287</v>
      </c>
      <c r="Q181" s="70" t="s">
        <v>2287</v>
      </c>
      <c r="R181" s="70" t="s">
        <v>2287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" thickBot="1" x14ac:dyDescent="0.35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22</v>
      </c>
      <c r="J182" s="147" t="s">
        <v>1813</v>
      </c>
      <c r="K182" s="31">
        <f t="shared" si="12"/>
        <v>6</v>
      </c>
      <c r="L182" s="32">
        <f t="shared" si="13"/>
        <v>0.7857142857142857</v>
      </c>
      <c r="M182" s="70" t="s">
        <v>2287</v>
      </c>
      <c r="N182" s="70" t="s">
        <v>2287</v>
      </c>
      <c r="O182" s="70" t="s">
        <v>2287</v>
      </c>
      <c r="P182" s="70" t="s">
        <v>2287</v>
      </c>
      <c r="Q182" s="70" t="s">
        <v>2287</v>
      </c>
      <c r="R182" s="70" t="s">
        <v>2287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" thickBot="1" x14ac:dyDescent="0.35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22</v>
      </c>
      <c r="J183" s="147" t="s">
        <v>1814</v>
      </c>
      <c r="K183" s="31">
        <f t="shared" si="12"/>
        <v>6</v>
      </c>
      <c r="L183" s="32">
        <f t="shared" si="13"/>
        <v>0.7857142857142857</v>
      </c>
      <c r="M183" s="70" t="s">
        <v>2287</v>
      </c>
      <c r="N183" s="70" t="s">
        <v>2287</v>
      </c>
      <c r="O183" s="70" t="s">
        <v>2287</v>
      </c>
      <c r="P183" s="70" t="s">
        <v>2287</v>
      </c>
      <c r="Q183" s="70" t="s">
        <v>2287</v>
      </c>
      <c r="R183" s="70" t="s">
        <v>2287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" thickBot="1" x14ac:dyDescent="0.35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1815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" thickBot="1" x14ac:dyDescent="0.35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1816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" thickBot="1" x14ac:dyDescent="0.35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27</v>
      </c>
      <c r="J186" s="87"/>
      <c r="K186" s="31">
        <f t="shared" si="12"/>
        <v>1</v>
      </c>
      <c r="L186" s="32">
        <f t="shared" si="13"/>
        <v>0.9642857142857143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 t="s">
        <v>2287</v>
      </c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" thickBot="1" x14ac:dyDescent="0.35">
      <c r="A187" s="73" t="s">
        <v>191</v>
      </c>
      <c r="B187" s="85" t="s">
        <v>1553</v>
      </c>
      <c r="C187" s="85" t="s">
        <v>1063</v>
      </c>
      <c r="D187" s="73" t="s">
        <v>1554</v>
      </c>
      <c r="E187" s="85" t="s">
        <v>19</v>
      </c>
      <c r="F187" s="85" t="s">
        <v>1301</v>
      </c>
      <c r="G187" s="85"/>
      <c r="H187" s="85" t="s">
        <v>1555</v>
      </c>
      <c r="I187" s="31">
        <f t="shared" si="11"/>
        <v>11</v>
      </c>
      <c r="J187" s="147" t="s">
        <v>1817</v>
      </c>
      <c r="K187" s="31">
        <f t="shared" si="12"/>
        <v>17</v>
      </c>
      <c r="L187" s="32">
        <f t="shared" si="13"/>
        <v>0.39285714285714285</v>
      </c>
      <c r="M187" s="70" t="s">
        <v>2287</v>
      </c>
      <c r="N187" s="70" t="s">
        <v>2287</v>
      </c>
      <c r="O187" s="70" t="s">
        <v>2287</v>
      </c>
      <c r="P187" s="70" t="s">
        <v>2287</v>
      </c>
      <c r="Q187" s="70" t="s">
        <v>2287</v>
      </c>
      <c r="R187" s="70" t="s">
        <v>2287</v>
      </c>
      <c r="S187" s="70" t="s">
        <v>2287</v>
      </c>
      <c r="T187" s="70" t="s">
        <v>2287</v>
      </c>
      <c r="U187" s="70" t="s">
        <v>2287</v>
      </c>
      <c r="V187" s="70" t="s">
        <v>2287</v>
      </c>
      <c r="W187" s="70"/>
      <c r="X187" s="70" t="s">
        <v>2287</v>
      </c>
      <c r="Y187" s="70" t="s">
        <v>2287</v>
      </c>
      <c r="Z187" s="70" t="s">
        <v>2287</v>
      </c>
      <c r="AA187" s="70" t="s">
        <v>2287</v>
      </c>
      <c r="AB187" s="70" t="s">
        <v>2287</v>
      </c>
      <c r="AC187" s="70" t="s">
        <v>2287</v>
      </c>
      <c r="AD187" s="70" t="s">
        <v>2287</v>
      </c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" thickBot="1" x14ac:dyDescent="0.35">
      <c r="A188" s="73" t="s">
        <v>191</v>
      </c>
      <c r="B188" s="85" t="s">
        <v>2169</v>
      </c>
      <c r="C188" s="85" t="s">
        <v>1063</v>
      </c>
      <c r="D188" s="73" t="s">
        <v>2170</v>
      </c>
      <c r="E188" s="85" t="s">
        <v>19</v>
      </c>
      <c r="F188" s="85" t="s">
        <v>1301</v>
      </c>
      <c r="G188" s="85"/>
      <c r="H188" s="85" t="s">
        <v>2171</v>
      </c>
      <c r="I188" s="31">
        <f t="shared" si="11"/>
        <v>28</v>
      </c>
      <c r="J188" s="147" t="s">
        <v>2172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" thickBot="1" x14ac:dyDescent="0.35">
      <c r="A189" s="73" t="s">
        <v>191</v>
      </c>
      <c r="B189" s="85" t="s">
        <v>2235</v>
      </c>
      <c r="C189" s="85" t="s">
        <v>1063</v>
      </c>
      <c r="D189" s="73" t="s">
        <v>2236</v>
      </c>
      <c r="E189" s="85" t="s">
        <v>19</v>
      </c>
      <c r="F189" s="85" t="s">
        <v>1301</v>
      </c>
      <c r="G189" s="85"/>
      <c r="H189" s="85" t="s">
        <v>2237</v>
      </c>
      <c r="I189" s="31">
        <f t="shared" si="11"/>
        <v>27</v>
      </c>
      <c r="J189" s="147" t="s">
        <v>2172</v>
      </c>
      <c r="K189" s="31">
        <f t="shared" si="12"/>
        <v>1</v>
      </c>
      <c r="L189" s="32">
        <f t="shared" si="13"/>
        <v>0.9642857142857143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 t="s">
        <v>2287</v>
      </c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" thickBot="1" x14ac:dyDescent="0.35">
      <c r="B190" s="85" t="s">
        <v>2288</v>
      </c>
      <c r="C190" s="85" t="s">
        <v>1063</v>
      </c>
      <c r="D190" s="73" t="s">
        <v>1535</v>
      </c>
      <c r="E190" s="85" t="s">
        <v>1114</v>
      </c>
      <c r="F190" s="85" t="s">
        <v>1536</v>
      </c>
      <c r="G190" s="85"/>
      <c r="H190" s="85" t="s">
        <v>1537</v>
      </c>
      <c r="I190" s="31">
        <f t="shared" si="11"/>
        <v>24</v>
      </c>
      <c r="J190" s="147" t="s">
        <v>1818</v>
      </c>
      <c r="K190" s="31">
        <f t="shared" si="12"/>
        <v>4</v>
      </c>
      <c r="L190" s="32">
        <f t="shared" si="13"/>
        <v>0.8571428571428571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 t="s">
        <v>2287</v>
      </c>
      <c r="AB190" s="70" t="s">
        <v>2287</v>
      </c>
      <c r="AC190" s="70" t="s">
        <v>2287</v>
      </c>
      <c r="AD190" s="70" t="s">
        <v>2287</v>
      </c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" thickBot="1" x14ac:dyDescent="0.35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1819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" thickBot="1" x14ac:dyDescent="0.35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1820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" thickBot="1" x14ac:dyDescent="0.35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11</v>
      </c>
      <c r="J193" s="87"/>
      <c r="K193" s="138">
        <f t="shared" si="12"/>
        <v>17</v>
      </c>
      <c r="L193" s="139">
        <f t="shared" si="13"/>
        <v>0.39285714285714285</v>
      </c>
      <c r="M193" s="140" t="s">
        <v>2287</v>
      </c>
      <c r="N193" s="140" t="s">
        <v>2287</v>
      </c>
      <c r="O193" s="140" t="s">
        <v>2287</v>
      </c>
      <c r="P193" s="140" t="s">
        <v>2287</v>
      </c>
      <c r="Q193" s="140" t="s">
        <v>2287</v>
      </c>
      <c r="R193" s="140" t="s">
        <v>2287</v>
      </c>
      <c r="S193" s="140" t="s">
        <v>2287</v>
      </c>
      <c r="T193" s="140" t="s">
        <v>2287</v>
      </c>
      <c r="U193" s="140" t="s">
        <v>2287</v>
      </c>
      <c r="V193" s="140" t="s">
        <v>2287</v>
      </c>
      <c r="W193" s="140"/>
      <c r="X193" s="140" t="s">
        <v>2287</v>
      </c>
      <c r="Y193" s="140" t="s">
        <v>2287</v>
      </c>
      <c r="Z193" s="140" t="s">
        <v>2287</v>
      </c>
      <c r="AA193" s="140" t="s">
        <v>2287</v>
      </c>
      <c r="AB193" s="140" t="s">
        <v>2287</v>
      </c>
      <c r="AC193" s="140" t="s">
        <v>2287</v>
      </c>
      <c r="AD193" s="140" t="s">
        <v>2287</v>
      </c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" thickBot="1" x14ac:dyDescent="0.35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11</v>
      </c>
      <c r="J194" s="147" t="s">
        <v>1821</v>
      </c>
      <c r="K194" s="142">
        <f t="shared" si="12"/>
        <v>17</v>
      </c>
      <c r="L194" s="143">
        <f t="shared" si="13"/>
        <v>0.39285714285714285</v>
      </c>
      <c r="M194" s="70" t="s">
        <v>2287</v>
      </c>
      <c r="N194" s="70" t="s">
        <v>2287</v>
      </c>
      <c r="O194" s="70" t="s">
        <v>2287</v>
      </c>
      <c r="P194" s="70" t="s">
        <v>2287</v>
      </c>
      <c r="Q194" s="70" t="s">
        <v>2287</v>
      </c>
      <c r="R194" s="70" t="s">
        <v>2287</v>
      </c>
      <c r="S194" s="70" t="s">
        <v>2287</v>
      </c>
      <c r="T194" s="70" t="s">
        <v>2287</v>
      </c>
      <c r="U194" s="70" t="s">
        <v>2287</v>
      </c>
      <c r="V194" s="70" t="s">
        <v>2287</v>
      </c>
      <c r="W194" s="70"/>
      <c r="X194" s="70" t="s">
        <v>2287</v>
      </c>
      <c r="Y194" s="70" t="s">
        <v>2287</v>
      </c>
      <c r="Z194" s="70" t="s">
        <v>2287</v>
      </c>
      <c r="AA194" s="70" t="s">
        <v>2287</v>
      </c>
      <c r="AB194" s="70" t="s">
        <v>2287</v>
      </c>
      <c r="AC194" s="70" t="s">
        <v>2287</v>
      </c>
      <c r="AD194" s="70" t="s">
        <v>2287</v>
      </c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" thickBot="1" x14ac:dyDescent="0.35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17</v>
      </c>
      <c r="J195" s="147" t="s">
        <v>1822</v>
      </c>
      <c r="K195" s="142">
        <f t="shared" si="12"/>
        <v>11</v>
      </c>
      <c r="L195" s="143">
        <f t="shared" si="13"/>
        <v>0.6071428571428571</v>
      </c>
      <c r="M195" s="70" t="s">
        <v>2287</v>
      </c>
      <c r="N195" s="70" t="s">
        <v>2287</v>
      </c>
      <c r="O195" s="70" t="s">
        <v>2287</v>
      </c>
      <c r="P195" s="70" t="s">
        <v>2287</v>
      </c>
      <c r="Q195" s="70" t="s">
        <v>2287</v>
      </c>
      <c r="R195" s="70" t="s">
        <v>2287</v>
      </c>
      <c r="S195" s="70"/>
      <c r="T195" s="70"/>
      <c r="U195" s="70"/>
      <c r="V195" s="70"/>
      <c r="W195" s="70"/>
      <c r="X195" s="70"/>
      <c r="Y195" s="70" t="s">
        <v>2287</v>
      </c>
      <c r="Z195" s="70" t="s">
        <v>2287</v>
      </c>
      <c r="AA195" s="70" t="s">
        <v>2287</v>
      </c>
      <c r="AB195" s="70" t="s">
        <v>2287</v>
      </c>
      <c r="AC195" s="70" t="s">
        <v>2287</v>
      </c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" thickBot="1" x14ac:dyDescent="0.35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1823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" thickBot="1" x14ac:dyDescent="0.35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1824</v>
      </c>
      <c r="K197" s="31">
        <f t="shared" si="12"/>
        <v>1</v>
      </c>
      <c r="L197" s="32">
        <f t="shared" si="13"/>
        <v>0.9642857142857143</v>
      </c>
      <c r="M197" s="70"/>
      <c r="N197" s="70"/>
      <c r="O197" s="70"/>
      <c r="P197" s="70"/>
      <c r="Q197" s="70"/>
      <c r="R197" s="70" t="s">
        <v>2287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" thickBot="1" x14ac:dyDescent="0.35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28</v>
      </c>
      <c r="J198" s="147" t="s">
        <v>1825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" thickBot="1" x14ac:dyDescent="0.35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25</v>
      </c>
      <c r="J199" s="87"/>
      <c r="K199" s="31">
        <f t="shared" si="12"/>
        <v>3</v>
      </c>
      <c r="L199" s="32">
        <f t="shared" si="13"/>
        <v>0.8928571428571429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2287</v>
      </c>
      <c r="AC199" s="70" t="s">
        <v>2287</v>
      </c>
      <c r="AD199" s="70" t="s">
        <v>2287</v>
      </c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" thickBot="1" x14ac:dyDescent="0.35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1592</v>
      </c>
      <c r="I200" s="142">
        <f t="shared" si="11"/>
        <v>15</v>
      </c>
      <c r="J200" s="147" t="s">
        <v>1826</v>
      </c>
      <c r="K200" s="142">
        <f t="shared" si="12"/>
        <v>13</v>
      </c>
      <c r="L200" s="143">
        <f t="shared" si="13"/>
        <v>0.5357142857142857</v>
      </c>
      <c r="M200" s="70" t="s">
        <v>2287</v>
      </c>
      <c r="N200" s="70" t="s">
        <v>2287</v>
      </c>
      <c r="O200" s="70" t="s">
        <v>2287</v>
      </c>
      <c r="P200" s="70" t="s">
        <v>2287</v>
      </c>
      <c r="Q200" s="70" t="s">
        <v>2287</v>
      </c>
      <c r="R200" s="70"/>
      <c r="S200" s="70" t="s">
        <v>2287</v>
      </c>
      <c r="T200" s="70" t="s">
        <v>2287</v>
      </c>
      <c r="U200" s="70" t="s">
        <v>2287</v>
      </c>
      <c r="V200" s="70" t="s">
        <v>2287</v>
      </c>
      <c r="W200" s="70"/>
      <c r="X200" s="70" t="s">
        <v>2287</v>
      </c>
      <c r="Y200" s="70"/>
      <c r="Z200" s="70"/>
      <c r="AA200" s="70"/>
      <c r="AB200" s="70" t="s">
        <v>2287</v>
      </c>
      <c r="AC200" s="70" t="s">
        <v>2287</v>
      </c>
      <c r="AD200" s="70" t="s">
        <v>2287</v>
      </c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" thickBot="1" x14ac:dyDescent="0.35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22</v>
      </c>
      <c r="J201" s="147" t="s">
        <v>1827</v>
      </c>
      <c r="K201" s="31">
        <f t="shared" si="12"/>
        <v>6</v>
      </c>
      <c r="L201" s="32">
        <f t="shared" si="13"/>
        <v>0.7857142857142857</v>
      </c>
      <c r="M201" s="70" t="s">
        <v>2287</v>
      </c>
      <c r="N201" s="70" t="s">
        <v>2287</v>
      </c>
      <c r="O201" s="70" t="s">
        <v>2287</v>
      </c>
      <c r="P201" s="70" t="s">
        <v>2287</v>
      </c>
      <c r="Q201" s="70" t="s">
        <v>2287</v>
      </c>
      <c r="R201" s="70" t="s">
        <v>2287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" thickBot="1" x14ac:dyDescent="0.35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1828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" thickBot="1" x14ac:dyDescent="0.35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1829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" thickBot="1" x14ac:dyDescent="0.35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1830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" thickBot="1" x14ac:dyDescent="0.35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28</v>
      </c>
      <c r="J205" s="147" t="s">
        <v>1831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" thickBot="1" x14ac:dyDescent="0.35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28</v>
      </c>
      <c r="J206" s="147" t="s">
        <v>1832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" thickBot="1" x14ac:dyDescent="0.35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1833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" thickBot="1" x14ac:dyDescent="0.35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1834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" thickBot="1" x14ac:dyDescent="0.35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1835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" thickBot="1" x14ac:dyDescent="0.35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1692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" thickBot="1" x14ac:dyDescent="0.35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17</v>
      </c>
      <c r="J211" s="147" t="s">
        <v>1836</v>
      </c>
      <c r="K211" s="142">
        <f t="shared" si="12"/>
        <v>11</v>
      </c>
      <c r="L211" s="143">
        <f t="shared" si="13"/>
        <v>0.6071428571428571</v>
      </c>
      <c r="M211" s="70" t="s">
        <v>2287</v>
      </c>
      <c r="N211" s="70" t="s">
        <v>2287</v>
      </c>
      <c r="O211" s="70" t="s">
        <v>2287</v>
      </c>
      <c r="P211" s="70" t="s">
        <v>2287</v>
      </c>
      <c r="Q211" s="70" t="s">
        <v>2287</v>
      </c>
      <c r="R211" s="70" t="s">
        <v>2287</v>
      </c>
      <c r="S211" s="70" t="s">
        <v>2287</v>
      </c>
      <c r="T211" s="70" t="s">
        <v>2287</v>
      </c>
      <c r="U211" s="70" t="s">
        <v>2287</v>
      </c>
      <c r="V211" s="70" t="s">
        <v>2287</v>
      </c>
      <c r="W211" s="70"/>
      <c r="X211" s="70" t="s">
        <v>2287</v>
      </c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" thickBot="1" x14ac:dyDescent="0.35">
      <c r="A212" s="73" t="s">
        <v>219</v>
      </c>
      <c r="B212" s="73" t="s">
        <v>1589</v>
      </c>
      <c r="C212" s="73" t="s">
        <v>1062</v>
      </c>
      <c r="D212" s="73" t="s">
        <v>1590</v>
      </c>
      <c r="E212" s="85" t="s">
        <v>73</v>
      </c>
      <c r="F212" s="85" t="s">
        <v>1301</v>
      </c>
      <c r="H212" s="85" t="s">
        <v>1591</v>
      </c>
      <c r="I212" s="142">
        <f t="shared" si="11"/>
        <v>28</v>
      </c>
      <c r="J212" s="147" t="s">
        <v>1837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" thickBot="1" x14ac:dyDescent="0.35">
      <c r="A213" s="73" t="s">
        <v>219</v>
      </c>
      <c r="B213" s="73" t="s">
        <v>2206</v>
      </c>
      <c r="C213" s="73" t="s">
        <v>1062</v>
      </c>
      <c r="D213" s="73" t="s">
        <v>2207</v>
      </c>
      <c r="E213" s="85" t="s">
        <v>73</v>
      </c>
      <c r="F213" s="85" t="s">
        <v>1301</v>
      </c>
      <c r="H213" s="85" t="s">
        <v>2208</v>
      </c>
      <c r="I213" s="142">
        <f t="shared" si="11"/>
        <v>28</v>
      </c>
      <c r="J213" s="147" t="s">
        <v>2209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" thickBot="1" x14ac:dyDescent="0.35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1838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" thickBot="1" x14ac:dyDescent="0.35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1839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" thickBot="1" x14ac:dyDescent="0.35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1840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" thickBot="1" x14ac:dyDescent="0.35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28</v>
      </c>
      <c r="J217" s="147" t="s">
        <v>1841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" thickBot="1" x14ac:dyDescent="0.35">
      <c r="A218" t="s">
        <v>101</v>
      </c>
      <c r="B218" t="s">
        <v>2272</v>
      </c>
      <c r="C218" t="s">
        <v>1062</v>
      </c>
      <c r="D218" t="s">
        <v>2273</v>
      </c>
      <c r="E218" s="30" t="s">
        <v>15</v>
      </c>
      <c r="F218" s="85" t="s">
        <v>1301</v>
      </c>
      <c r="G218" s="30"/>
      <c r="H218" s="30" t="s">
        <v>2274</v>
      </c>
      <c r="I218" s="142">
        <f t="shared" si="11"/>
        <v>13</v>
      </c>
      <c r="J218" s="151" t="s">
        <v>2275</v>
      </c>
      <c r="K218" s="142">
        <f t="shared" si="12"/>
        <v>15</v>
      </c>
      <c r="L218" s="143">
        <f t="shared" si="13"/>
        <v>0.4642857142857143</v>
      </c>
      <c r="M218" s="70" t="s">
        <v>2287</v>
      </c>
      <c r="N218" s="70" t="s">
        <v>2287</v>
      </c>
      <c r="O218" s="70" t="s">
        <v>2287</v>
      </c>
      <c r="P218" s="70" t="s">
        <v>2287</v>
      </c>
      <c r="Q218" s="70" t="s">
        <v>2287</v>
      </c>
      <c r="R218" s="70" t="s">
        <v>2287</v>
      </c>
      <c r="S218" s="70" t="s">
        <v>2287</v>
      </c>
      <c r="T218" s="70" t="s">
        <v>2287</v>
      </c>
      <c r="U218" s="70" t="s">
        <v>2287</v>
      </c>
      <c r="V218" s="70" t="s">
        <v>2287</v>
      </c>
      <c r="W218" s="70"/>
      <c r="X218" s="70" t="s">
        <v>2287</v>
      </c>
      <c r="Y218" s="70" t="s">
        <v>2287</v>
      </c>
      <c r="Z218" s="70" t="s">
        <v>2287</v>
      </c>
      <c r="AA218" s="70" t="s">
        <v>2287</v>
      </c>
      <c r="AB218" s="70" t="s">
        <v>2287</v>
      </c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" thickBot="1" x14ac:dyDescent="0.35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19</v>
      </c>
      <c r="J219" s="87"/>
      <c r="K219" s="31">
        <f t="shared" si="12"/>
        <v>9</v>
      </c>
      <c r="L219" s="32">
        <f t="shared" si="13"/>
        <v>0.6785714285714286</v>
      </c>
      <c r="M219" s="70" t="s">
        <v>2287</v>
      </c>
      <c r="N219" s="70" t="s">
        <v>2287</v>
      </c>
      <c r="O219" s="70" t="s">
        <v>2287</v>
      </c>
      <c r="P219" s="70" t="s">
        <v>2287</v>
      </c>
      <c r="Q219" s="70" t="s">
        <v>2287</v>
      </c>
      <c r="R219" s="70" t="s">
        <v>2287</v>
      </c>
      <c r="S219" s="70" t="s">
        <v>2287</v>
      </c>
      <c r="T219" s="70" t="s">
        <v>2287</v>
      </c>
      <c r="U219" s="70" t="s">
        <v>2287</v>
      </c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" thickBot="1" x14ac:dyDescent="0.35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19</v>
      </c>
      <c r="J220" s="87"/>
      <c r="K220" s="31">
        <f t="shared" si="12"/>
        <v>9</v>
      </c>
      <c r="L220" s="32">
        <f t="shared" si="13"/>
        <v>0.6785714285714286</v>
      </c>
      <c r="M220" s="70" t="s">
        <v>2287</v>
      </c>
      <c r="N220" s="70" t="s">
        <v>2287</v>
      </c>
      <c r="O220" s="70" t="s">
        <v>2287</v>
      </c>
      <c r="P220" s="70" t="s">
        <v>2287</v>
      </c>
      <c r="Q220" s="70" t="s">
        <v>2287</v>
      </c>
      <c r="R220" s="70" t="s">
        <v>2287</v>
      </c>
      <c r="S220" s="70" t="s">
        <v>2287</v>
      </c>
      <c r="T220" s="70" t="s">
        <v>2287</v>
      </c>
      <c r="U220" s="70" t="s">
        <v>2287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" thickBot="1" x14ac:dyDescent="0.35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27</v>
      </c>
      <c r="J221" s="147" t="s">
        <v>1842</v>
      </c>
      <c r="K221" s="31">
        <f t="shared" si="12"/>
        <v>1</v>
      </c>
      <c r="L221" s="32">
        <f t="shared" si="13"/>
        <v>0.9642857142857143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 t="s">
        <v>2287</v>
      </c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" thickBot="1" x14ac:dyDescent="0.35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1843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" thickBot="1" x14ac:dyDescent="0.35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27</v>
      </c>
      <c r="J223" s="147" t="s">
        <v>1844</v>
      </c>
      <c r="K223" s="31">
        <f t="shared" si="12"/>
        <v>1</v>
      </c>
      <c r="L223" s="32">
        <f t="shared" si="13"/>
        <v>0.9642857142857143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 t="s">
        <v>2287</v>
      </c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" thickBot="1" x14ac:dyDescent="0.35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27</v>
      </c>
      <c r="J224" s="147" t="s">
        <v>1845</v>
      </c>
      <c r="K224" s="31">
        <f t="shared" si="12"/>
        <v>1</v>
      </c>
      <c r="L224" s="32">
        <f t="shared" si="13"/>
        <v>0.9642857142857143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 t="s">
        <v>2287</v>
      </c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" thickBot="1" x14ac:dyDescent="0.35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1846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" thickBot="1" x14ac:dyDescent="0.35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1847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" thickBot="1" x14ac:dyDescent="0.35">
      <c r="A227" s="73" t="s">
        <v>254</v>
      </c>
      <c r="B227" s="73" t="s">
        <v>1593</v>
      </c>
      <c r="C227" s="73" t="s">
        <v>1062</v>
      </c>
      <c r="D227" s="73" t="s">
        <v>1594</v>
      </c>
      <c r="E227" s="85" t="s">
        <v>15</v>
      </c>
      <c r="F227" s="85" t="s">
        <v>1301</v>
      </c>
      <c r="G227" s="85"/>
      <c r="H227" s="85" t="s">
        <v>1595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" thickBot="1" x14ac:dyDescent="0.35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1848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" thickBot="1" x14ac:dyDescent="0.35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1849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" thickBot="1" x14ac:dyDescent="0.35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1850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" thickBot="1" x14ac:dyDescent="0.35">
      <c r="A231" s="73" t="s">
        <v>258</v>
      </c>
      <c r="B231" s="73" t="s">
        <v>2282</v>
      </c>
      <c r="C231" s="73" t="s">
        <v>1063</v>
      </c>
      <c r="D231" s="73" t="s">
        <v>2283</v>
      </c>
      <c r="E231" s="85" t="s">
        <v>15</v>
      </c>
      <c r="F231" s="85" t="s">
        <v>1301</v>
      </c>
      <c r="G231" s="85"/>
      <c r="H231" s="85" t="s">
        <v>2284</v>
      </c>
      <c r="I231" s="142">
        <f t="shared" si="11"/>
        <v>28</v>
      </c>
      <c r="J231" s="147" t="s">
        <v>2285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" thickBot="1" x14ac:dyDescent="0.35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11</v>
      </c>
      <c r="J232" s="147" t="s">
        <v>1851</v>
      </c>
      <c r="K232" s="31">
        <f t="shared" si="12"/>
        <v>17</v>
      </c>
      <c r="L232" s="32">
        <f t="shared" si="13"/>
        <v>0.39285714285714285</v>
      </c>
      <c r="M232" s="70" t="s">
        <v>2287</v>
      </c>
      <c r="N232" s="70" t="s">
        <v>2287</v>
      </c>
      <c r="O232" s="70" t="s">
        <v>2287</v>
      </c>
      <c r="P232" s="70" t="s">
        <v>2287</v>
      </c>
      <c r="Q232" s="70" t="s">
        <v>2287</v>
      </c>
      <c r="R232" s="70" t="s">
        <v>2287</v>
      </c>
      <c r="S232" s="70" t="s">
        <v>2287</v>
      </c>
      <c r="T232" s="70" t="s">
        <v>2287</v>
      </c>
      <c r="U232" s="70" t="s">
        <v>2287</v>
      </c>
      <c r="V232" s="70" t="s">
        <v>2287</v>
      </c>
      <c r="W232" s="70"/>
      <c r="X232" s="70" t="s">
        <v>2287</v>
      </c>
      <c r="Y232" s="70" t="s">
        <v>2287</v>
      </c>
      <c r="Z232" s="70" t="s">
        <v>2287</v>
      </c>
      <c r="AA232" s="70" t="s">
        <v>2287</v>
      </c>
      <c r="AB232" s="70" t="s">
        <v>2287</v>
      </c>
      <c r="AC232" s="70" t="s">
        <v>2287</v>
      </c>
      <c r="AD232" s="70" t="s">
        <v>2287</v>
      </c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" thickBot="1" x14ac:dyDescent="0.35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23</v>
      </c>
      <c r="J233" s="147" t="s">
        <v>1852</v>
      </c>
      <c r="K233" s="31">
        <f t="shared" si="12"/>
        <v>5</v>
      </c>
      <c r="L233" s="32">
        <f t="shared" si="13"/>
        <v>0.8214285714285714</v>
      </c>
      <c r="M233" s="70"/>
      <c r="N233" s="70"/>
      <c r="O233" s="70"/>
      <c r="P233" s="70"/>
      <c r="Q233" s="70"/>
      <c r="R233" s="70" t="s">
        <v>2287</v>
      </c>
      <c r="S233" s="70" t="s">
        <v>2287</v>
      </c>
      <c r="T233" s="70" t="s">
        <v>2287</v>
      </c>
      <c r="U233" s="70"/>
      <c r="V233" s="70"/>
      <c r="W233" s="70"/>
      <c r="X233" s="70"/>
      <c r="Y233" s="70"/>
      <c r="Z233" s="70"/>
      <c r="AA233" s="70"/>
      <c r="AB233" s="70"/>
      <c r="AC233" s="70" t="s">
        <v>2287</v>
      </c>
      <c r="AD233" s="70" t="s">
        <v>2287</v>
      </c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" thickBot="1" x14ac:dyDescent="0.35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13</v>
      </c>
      <c r="J234" s="147" t="s">
        <v>1853</v>
      </c>
      <c r="K234" s="31">
        <f t="shared" si="12"/>
        <v>15</v>
      </c>
      <c r="L234" s="32">
        <f t="shared" si="13"/>
        <v>0.4642857142857143</v>
      </c>
      <c r="M234" s="70" t="s">
        <v>2287</v>
      </c>
      <c r="N234" s="70" t="s">
        <v>2287</v>
      </c>
      <c r="O234" s="70" t="s">
        <v>2287</v>
      </c>
      <c r="P234" s="70" t="s">
        <v>2287</v>
      </c>
      <c r="Q234" s="70" t="s">
        <v>2287</v>
      </c>
      <c r="R234" s="70" t="s">
        <v>2287</v>
      </c>
      <c r="S234" s="70" t="s">
        <v>2287</v>
      </c>
      <c r="T234" s="70" t="s">
        <v>2287</v>
      </c>
      <c r="U234" s="70"/>
      <c r="V234" s="70" t="s">
        <v>2287</v>
      </c>
      <c r="W234" s="70"/>
      <c r="X234" s="70" t="s">
        <v>2287</v>
      </c>
      <c r="Y234" s="70" t="s">
        <v>2287</v>
      </c>
      <c r="Z234" s="70" t="s">
        <v>2287</v>
      </c>
      <c r="AA234" s="70" t="s">
        <v>2287</v>
      </c>
      <c r="AB234" s="70" t="s">
        <v>2287</v>
      </c>
      <c r="AC234" s="70" t="s">
        <v>2287</v>
      </c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" thickBot="1" x14ac:dyDescent="0.35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23</v>
      </c>
      <c r="J235" s="147" t="s">
        <v>1854</v>
      </c>
      <c r="K235" s="31">
        <f t="shared" si="12"/>
        <v>5</v>
      </c>
      <c r="L235" s="32">
        <f t="shared" si="13"/>
        <v>0.8214285714285714</v>
      </c>
      <c r="M235" s="70"/>
      <c r="N235" s="70"/>
      <c r="O235" s="70"/>
      <c r="P235" s="70"/>
      <c r="Q235" s="70"/>
      <c r="R235" s="70" t="s">
        <v>2287</v>
      </c>
      <c r="S235" s="70" t="s">
        <v>2287</v>
      </c>
      <c r="T235" s="70" t="s">
        <v>2287</v>
      </c>
      <c r="U235" s="70"/>
      <c r="V235" s="70"/>
      <c r="W235" s="70"/>
      <c r="X235" s="70"/>
      <c r="Y235" s="70"/>
      <c r="Z235" s="70"/>
      <c r="AA235" s="70"/>
      <c r="AB235" s="70"/>
      <c r="AC235" s="70" t="s">
        <v>2287</v>
      </c>
      <c r="AD235" s="70" t="s">
        <v>2287</v>
      </c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" thickBot="1" x14ac:dyDescent="0.35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23</v>
      </c>
      <c r="J236" s="147" t="s">
        <v>1855</v>
      </c>
      <c r="K236" s="31">
        <f t="shared" si="12"/>
        <v>5</v>
      </c>
      <c r="L236" s="32">
        <f t="shared" si="13"/>
        <v>0.8214285714285714</v>
      </c>
      <c r="M236" s="70"/>
      <c r="N236" s="70"/>
      <c r="O236" s="70"/>
      <c r="P236" s="70"/>
      <c r="Q236" s="70"/>
      <c r="R236" s="70" t="s">
        <v>2287</v>
      </c>
      <c r="S236" s="70" t="s">
        <v>2287</v>
      </c>
      <c r="T236" s="70" t="s">
        <v>2287</v>
      </c>
      <c r="U236" s="70"/>
      <c r="V236" s="70"/>
      <c r="W236" s="70"/>
      <c r="X236" s="70"/>
      <c r="Y236" s="70"/>
      <c r="Z236" s="70"/>
      <c r="AA236" s="70"/>
      <c r="AB236" s="70"/>
      <c r="AC236" s="70" t="s">
        <v>2287</v>
      </c>
      <c r="AD236" s="70" t="s">
        <v>2287</v>
      </c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" thickBot="1" x14ac:dyDescent="0.35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26</v>
      </c>
      <c r="J237" s="147" t="s">
        <v>1856</v>
      </c>
      <c r="K237" s="31">
        <f t="shared" si="12"/>
        <v>2</v>
      </c>
      <c r="L237" s="32">
        <f t="shared" si="13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 t="s">
        <v>2287</v>
      </c>
      <c r="AD237" s="70" t="s">
        <v>2287</v>
      </c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" thickBot="1" x14ac:dyDescent="0.35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26</v>
      </c>
      <c r="J238" s="147" t="s">
        <v>1857</v>
      </c>
      <c r="K238" s="31">
        <f t="shared" si="12"/>
        <v>2</v>
      </c>
      <c r="L238" s="32">
        <f t="shared" si="13"/>
        <v>0.9285714285714286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 t="s">
        <v>2287</v>
      </c>
      <c r="AD238" s="70" t="s">
        <v>2287</v>
      </c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" thickBot="1" x14ac:dyDescent="0.35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26</v>
      </c>
      <c r="J239" s="147" t="s">
        <v>1858</v>
      </c>
      <c r="K239" s="31">
        <f t="shared" si="12"/>
        <v>2</v>
      </c>
      <c r="L239" s="32">
        <f t="shared" si="13"/>
        <v>0.9285714285714286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2287</v>
      </c>
      <c r="AD239" s="70" t="s">
        <v>2287</v>
      </c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" thickBot="1" x14ac:dyDescent="0.35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26</v>
      </c>
      <c r="J240" s="147" t="s">
        <v>1859</v>
      </c>
      <c r="K240" s="31">
        <f t="shared" ref="K240:K309" si="15">COUNTIF(M240:AN240,"APAGADO")</f>
        <v>2</v>
      </c>
      <c r="L240" s="32">
        <f t="shared" ref="L240:L309" si="16">(I240)/(K240+I240)</f>
        <v>0.9285714285714286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2287</v>
      </c>
      <c r="AD240" s="70" t="s">
        <v>2287</v>
      </c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" thickBot="1" x14ac:dyDescent="0.35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15</v>
      </c>
      <c r="J241" s="147" t="s">
        <v>1860</v>
      </c>
      <c r="K241" s="31">
        <f t="shared" si="15"/>
        <v>13</v>
      </c>
      <c r="L241" s="32">
        <f t="shared" si="16"/>
        <v>0.5357142857142857</v>
      </c>
      <c r="M241" s="70"/>
      <c r="N241" s="70" t="s">
        <v>2287</v>
      </c>
      <c r="O241" s="70" t="s">
        <v>2287</v>
      </c>
      <c r="P241" s="70" t="s">
        <v>2287</v>
      </c>
      <c r="Q241" s="70"/>
      <c r="R241" s="70" t="s">
        <v>2287</v>
      </c>
      <c r="S241" s="70" t="s">
        <v>2287</v>
      </c>
      <c r="T241" s="70" t="s">
        <v>2287</v>
      </c>
      <c r="U241" s="70" t="s">
        <v>2287</v>
      </c>
      <c r="V241" s="70" t="s">
        <v>2287</v>
      </c>
      <c r="W241" s="70"/>
      <c r="X241" s="70"/>
      <c r="Y241" s="70" t="s">
        <v>2287</v>
      </c>
      <c r="Z241" s="70" t="s">
        <v>2287</v>
      </c>
      <c r="AA241" s="70" t="s">
        <v>2287</v>
      </c>
      <c r="AB241" s="70"/>
      <c r="AC241" s="70" t="s">
        <v>2287</v>
      </c>
      <c r="AD241" s="70" t="s">
        <v>2287</v>
      </c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" thickBot="1" x14ac:dyDescent="0.35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23</v>
      </c>
      <c r="J242" s="147" t="s">
        <v>1861</v>
      </c>
      <c r="K242" s="31">
        <f t="shared" si="15"/>
        <v>5</v>
      </c>
      <c r="L242" s="32">
        <f t="shared" si="16"/>
        <v>0.8214285714285714</v>
      </c>
      <c r="M242" s="70"/>
      <c r="N242" s="70"/>
      <c r="O242" s="70"/>
      <c r="P242" s="70"/>
      <c r="Q242" s="70"/>
      <c r="R242" s="70" t="s">
        <v>2287</v>
      </c>
      <c r="S242" s="70" t="s">
        <v>2287</v>
      </c>
      <c r="T242" s="70" t="s">
        <v>2287</v>
      </c>
      <c r="U242" s="70"/>
      <c r="V242" s="70"/>
      <c r="W242" s="70"/>
      <c r="X242" s="70"/>
      <c r="Y242" s="70"/>
      <c r="Z242" s="70"/>
      <c r="AA242" s="70"/>
      <c r="AB242" s="70"/>
      <c r="AC242" s="70" t="s">
        <v>2287</v>
      </c>
      <c r="AD242" s="70" t="s">
        <v>2287</v>
      </c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" thickBot="1" x14ac:dyDescent="0.35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23</v>
      </c>
      <c r="J243" s="147" t="s">
        <v>1862</v>
      </c>
      <c r="K243" s="31">
        <f t="shared" si="15"/>
        <v>5</v>
      </c>
      <c r="L243" s="32">
        <f t="shared" si="16"/>
        <v>0.8214285714285714</v>
      </c>
      <c r="M243" s="70"/>
      <c r="N243" s="70"/>
      <c r="O243" s="70"/>
      <c r="P243" s="70"/>
      <c r="Q243" s="70"/>
      <c r="R243" s="70" t="s">
        <v>2287</v>
      </c>
      <c r="S243" s="70" t="s">
        <v>2287</v>
      </c>
      <c r="T243" s="70" t="s">
        <v>2287</v>
      </c>
      <c r="U243" s="70"/>
      <c r="V243" s="70"/>
      <c r="W243" s="70"/>
      <c r="X243" s="70"/>
      <c r="Y243" s="70"/>
      <c r="Z243" s="70"/>
      <c r="AA243" s="70"/>
      <c r="AB243" s="70"/>
      <c r="AC243" s="70" t="s">
        <v>2287</v>
      </c>
      <c r="AD243" s="70" t="s">
        <v>2287</v>
      </c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" thickBot="1" x14ac:dyDescent="0.35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25</v>
      </c>
      <c r="J244" s="147" t="s">
        <v>1863</v>
      </c>
      <c r="K244" s="31">
        <f t="shared" si="15"/>
        <v>3</v>
      </c>
      <c r="L244" s="32">
        <f t="shared" si="16"/>
        <v>0.8928571428571429</v>
      </c>
      <c r="M244" s="70"/>
      <c r="N244" s="70"/>
      <c r="O244" s="70"/>
      <c r="P244" s="70"/>
      <c r="Q244" s="70"/>
      <c r="R244" s="70"/>
      <c r="S244" s="70" t="s">
        <v>2287</v>
      </c>
      <c r="T244" s="70"/>
      <c r="U244" s="70"/>
      <c r="V244" s="70"/>
      <c r="W244" s="70"/>
      <c r="X244" s="70"/>
      <c r="Y244" s="70"/>
      <c r="Z244" s="70"/>
      <c r="AA244" s="70"/>
      <c r="AB244" s="70"/>
      <c r="AC244" s="70" t="s">
        <v>2287</v>
      </c>
      <c r="AD244" s="70" t="s">
        <v>2287</v>
      </c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" thickBot="1" x14ac:dyDescent="0.35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23</v>
      </c>
      <c r="J245" s="147" t="s">
        <v>1864</v>
      </c>
      <c r="K245" s="31">
        <f t="shared" si="15"/>
        <v>5</v>
      </c>
      <c r="L245" s="32">
        <f t="shared" si="16"/>
        <v>0.8214285714285714</v>
      </c>
      <c r="M245" s="70"/>
      <c r="N245" s="70"/>
      <c r="O245" s="70"/>
      <c r="P245" s="70"/>
      <c r="Q245" s="70"/>
      <c r="R245" s="70" t="s">
        <v>2287</v>
      </c>
      <c r="S245" s="70" t="s">
        <v>2287</v>
      </c>
      <c r="T245" s="70" t="s">
        <v>2287</v>
      </c>
      <c r="U245" s="70"/>
      <c r="V245" s="70"/>
      <c r="W245" s="70"/>
      <c r="X245" s="70"/>
      <c r="Y245" s="70"/>
      <c r="Z245" s="70"/>
      <c r="AA245" s="70"/>
      <c r="AB245" s="70"/>
      <c r="AC245" s="70" t="s">
        <v>2287</v>
      </c>
      <c r="AD245" s="70" t="s">
        <v>2287</v>
      </c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thickBot="1" x14ac:dyDescent="0.35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14</v>
      </c>
      <c r="J246" s="147" t="s">
        <v>1865</v>
      </c>
      <c r="K246" s="31">
        <f t="shared" si="15"/>
        <v>14</v>
      </c>
      <c r="L246" s="32">
        <f t="shared" si="16"/>
        <v>0.5</v>
      </c>
      <c r="M246" s="70"/>
      <c r="N246" s="70"/>
      <c r="O246" s="70" t="s">
        <v>2287</v>
      </c>
      <c r="P246" s="70" t="s">
        <v>2287</v>
      </c>
      <c r="Q246" s="70" t="s">
        <v>2287</v>
      </c>
      <c r="R246" s="70" t="s">
        <v>2287</v>
      </c>
      <c r="S246" s="70" t="s">
        <v>2287</v>
      </c>
      <c r="T246" s="70" t="s">
        <v>2287</v>
      </c>
      <c r="U246" s="70"/>
      <c r="V246" s="70" t="s">
        <v>2287</v>
      </c>
      <c r="W246" s="70"/>
      <c r="X246" s="70" t="s">
        <v>2287</v>
      </c>
      <c r="Y246" s="70" t="s">
        <v>2287</v>
      </c>
      <c r="Z246" s="70" t="s">
        <v>2287</v>
      </c>
      <c r="AA246" s="70" t="s">
        <v>2287</v>
      </c>
      <c r="AB246" s="70" t="s">
        <v>2287</v>
      </c>
      <c r="AC246" s="70" t="s">
        <v>2287</v>
      </c>
      <c r="AD246" s="70" t="s">
        <v>2287</v>
      </c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" thickBot="1" x14ac:dyDescent="0.35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2258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" thickBot="1" x14ac:dyDescent="0.35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27</v>
      </c>
      <c r="J248" s="147" t="s">
        <v>1821</v>
      </c>
      <c r="K248" s="31">
        <f t="shared" si="15"/>
        <v>1</v>
      </c>
      <c r="L248" s="32">
        <f t="shared" si="16"/>
        <v>0.9642857142857143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 t="s">
        <v>2287</v>
      </c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" thickBot="1" x14ac:dyDescent="0.35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23</v>
      </c>
      <c r="J249" s="147" t="s">
        <v>1866</v>
      </c>
      <c r="K249" s="31">
        <f t="shared" si="15"/>
        <v>5</v>
      </c>
      <c r="L249" s="32">
        <f t="shared" si="16"/>
        <v>0.8214285714285714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 t="s">
        <v>2287</v>
      </c>
      <c r="AA249" s="70" t="s">
        <v>2287</v>
      </c>
      <c r="AB249" s="70" t="s">
        <v>2287</v>
      </c>
      <c r="AC249" s="70" t="s">
        <v>2287</v>
      </c>
      <c r="AD249" s="70" t="s">
        <v>2287</v>
      </c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" thickBot="1" x14ac:dyDescent="0.35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" thickBot="1" x14ac:dyDescent="0.35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1867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" thickBot="1" x14ac:dyDescent="0.35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1868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" thickBot="1" x14ac:dyDescent="0.35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1869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" thickBot="1" x14ac:dyDescent="0.35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1870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" thickBot="1" x14ac:dyDescent="0.35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1871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5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5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26</v>
      </c>
      <c r="J257" s="147" t="s">
        <v>1872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/>
      <c r="S257" s="70" t="s">
        <v>2287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 t="s">
        <v>2287</v>
      </c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5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27</v>
      </c>
      <c r="J258" s="147" t="s">
        <v>1873</v>
      </c>
      <c r="K258" s="31">
        <f t="shared" si="15"/>
        <v>1</v>
      </c>
      <c r="L258" s="32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 t="s">
        <v>2287</v>
      </c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" thickBot="1" x14ac:dyDescent="0.35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1874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" thickBot="1" x14ac:dyDescent="0.35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23</v>
      </c>
      <c r="J260" s="147" t="s">
        <v>1875</v>
      </c>
      <c r="K260" s="31">
        <f t="shared" si="15"/>
        <v>5</v>
      </c>
      <c r="L260" s="32">
        <f t="shared" si="16"/>
        <v>0.8214285714285714</v>
      </c>
      <c r="M260" s="70"/>
      <c r="N260" s="70"/>
      <c r="O260" s="70"/>
      <c r="P260" s="70"/>
      <c r="Q260" s="70"/>
      <c r="R260" s="70" t="s">
        <v>2287</v>
      </c>
      <c r="S260" s="70" t="s">
        <v>2287</v>
      </c>
      <c r="T260" s="70" t="s">
        <v>2287</v>
      </c>
      <c r="U260" s="70"/>
      <c r="V260" s="70"/>
      <c r="W260" s="70"/>
      <c r="X260" s="70"/>
      <c r="Y260" s="70"/>
      <c r="Z260" s="70"/>
      <c r="AA260" s="70"/>
      <c r="AB260" s="70"/>
      <c r="AC260" s="70" t="s">
        <v>2287</v>
      </c>
      <c r="AD260" s="70" t="s">
        <v>2287</v>
      </c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" thickBot="1" x14ac:dyDescent="0.35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1876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" thickBot="1" x14ac:dyDescent="0.35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23</v>
      </c>
      <c r="J262" s="147" t="s">
        <v>1863</v>
      </c>
      <c r="K262" s="31">
        <f t="shared" si="15"/>
        <v>5</v>
      </c>
      <c r="L262" s="32">
        <f t="shared" si="16"/>
        <v>0.8214285714285714</v>
      </c>
      <c r="M262" s="70"/>
      <c r="N262" s="70"/>
      <c r="O262" s="70"/>
      <c r="P262" s="70"/>
      <c r="Q262" s="70"/>
      <c r="R262" s="70" t="s">
        <v>2287</v>
      </c>
      <c r="S262" s="70" t="s">
        <v>2287</v>
      </c>
      <c r="T262" s="70" t="s">
        <v>2287</v>
      </c>
      <c r="U262" s="70"/>
      <c r="V262" s="70"/>
      <c r="W262" s="70"/>
      <c r="X262" s="70"/>
      <c r="Y262" s="70"/>
      <c r="Z262" s="70"/>
      <c r="AA262" s="70"/>
      <c r="AB262" s="70"/>
      <c r="AC262" s="70" t="s">
        <v>2287</v>
      </c>
      <c r="AD262" s="70" t="s">
        <v>2287</v>
      </c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" thickBot="1" x14ac:dyDescent="0.35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27</v>
      </c>
      <c r="J263" s="147" t="s">
        <v>1877</v>
      </c>
      <c r="K263" s="31">
        <f t="shared" si="15"/>
        <v>1</v>
      </c>
      <c r="L263" s="32">
        <f t="shared" si="16"/>
        <v>0.9642857142857143</v>
      </c>
      <c r="M263" s="70"/>
      <c r="N263" s="70" t="s">
        <v>2287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" thickBot="1" x14ac:dyDescent="0.35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15</v>
      </c>
      <c r="J264" s="147" t="s">
        <v>1878</v>
      </c>
      <c r="K264" s="31">
        <f t="shared" si="15"/>
        <v>13</v>
      </c>
      <c r="L264" s="32">
        <f t="shared" si="16"/>
        <v>0.5357142857142857</v>
      </c>
      <c r="M264" s="70" t="s">
        <v>2287</v>
      </c>
      <c r="N264" s="70" t="s">
        <v>2287</v>
      </c>
      <c r="O264" s="70" t="s">
        <v>2287</v>
      </c>
      <c r="P264" s="70" t="s">
        <v>2287</v>
      </c>
      <c r="Q264" s="70" t="s">
        <v>2287</v>
      </c>
      <c r="R264" s="70" t="s">
        <v>2287</v>
      </c>
      <c r="S264" s="70"/>
      <c r="T264" s="70"/>
      <c r="U264" s="70"/>
      <c r="V264" s="70"/>
      <c r="W264" s="70"/>
      <c r="X264" s="70" t="s">
        <v>2287</v>
      </c>
      <c r="Y264" s="70" t="s">
        <v>2287</v>
      </c>
      <c r="Z264" s="70" t="s">
        <v>2287</v>
      </c>
      <c r="AA264" s="70" t="s">
        <v>2287</v>
      </c>
      <c r="AB264" s="70" t="s">
        <v>2287</v>
      </c>
      <c r="AC264" s="70" t="s">
        <v>2287</v>
      </c>
      <c r="AD264" s="70" t="s">
        <v>2287</v>
      </c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" thickBot="1" x14ac:dyDescent="0.35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1879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" thickBot="1" x14ac:dyDescent="0.35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23</v>
      </c>
      <c r="J266" s="147" t="s">
        <v>1880</v>
      </c>
      <c r="K266" s="31">
        <f t="shared" si="15"/>
        <v>5</v>
      </c>
      <c r="L266" s="32">
        <f t="shared" si="16"/>
        <v>0.8214285714285714</v>
      </c>
      <c r="M266" s="70"/>
      <c r="N266" s="70"/>
      <c r="O266" s="70"/>
      <c r="P266" s="70"/>
      <c r="Q266" s="70"/>
      <c r="R266" s="70" t="s">
        <v>2287</v>
      </c>
      <c r="S266" s="70" t="s">
        <v>2287</v>
      </c>
      <c r="T266" s="70" t="s">
        <v>2287</v>
      </c>
      <c r="U266" s="70"/>
      <c r="V266" s="70"/>
      <c r="W266" s="70"/>
      <c r="X266" s="70"/>
      <c r="Y266" s="70"/>
      <c r="Z266" s="70"/>
      <c r="AA266" s="70"/>
      <c r="AB266" s="70"/>
      <c r="AC266" s="70" t="s">
        <v>2287</v>
      </c>
      <c r="AD266" s="70" t="s">
        <v>2287</v>
      </c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" thickBot="1" x14ac:dyDescent="0.35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1881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" thickBot="1" x14ac:dyDescent="0.35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27</v>
      </c>
      <c r="J268" s="150" t="s">
        <v>1882</v>
      </c>
      <c r="K268" s="31">
        <f t="shared" si="15"/>
        <v>1</v>
      </c>
      <c r="L268" s="32">
        <f t="shared" si="16"/>
        <v>0.9642857142857143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 t="s">
        <v>2287</v>
      </c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" thickBot="1" x14ac:dyDescent="0.35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27</v>
      </c>
      <c r="J269" s="147" t="s">
        <v>1883</v>
      </c>
      <c r="K269" s="31">
        <f t="shared" si="15"/>
        <v>1</v>
      </c>
      <c r="L269" s="32">
        <f t="shared" si="16"/>
        <v>0.9642857142857143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 t="s">
        <v>2287</v>
      </c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" thickBot="1" x14ac:dyDescent="0.35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1884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" thickBot="1" x14ac:dyDescent="0.35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27</v>
      </c>
      <c r="J271" s="147" t="s">
        <v>1885</v>
      </c>
      <c r="K271" s="142">
        <f t="shared" si="15"/>
        <v>1</v>
      </c>
      <c r="L271" s="143">
        <f t="shared" si="16"/>
        <v>0.9642857142857143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 t="s">
        <v>2287</v>
      </c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" thickBot="1" x14ac:dyDescent="0.35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27</v>
      </c>
      <c r="J272" s="147" t="s">
        <v>1886</v>
      </c>
      <c r="K272" s="142">
        <f t="shared" si="15"/>
        <v>1</v>
      </c>
      <c r="L272" s="143">
        <f t="shared" si="16"/>
        <v>0.9642857142857143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 t="s">
        <v>2287</v>
      </c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" thickBot="1" x14ac:dyDescent="0.35">
      <c r="A273" t="s">
        <v>2212</v>
      </c>
      <c r="B273" t="s">
        <v>2213</v>
      </c>
      <c r="C273" t="s">
        <v>1063</v>
      </c>
      <c r="D273" t="s">
        <v>2214</v>
      </c>
      <c r="E273" s="30" t="s">
        <v>19</v>
      </c>
      <c r="F273" s="85" t="s">
        <v>1301</v>
      </c>
      <c r="G273" s="30"/>
      <c r="H273" s="30" t="s">
        <v>2215</v>
      </c>
      <c r="I273" s="142">
        <f t="shared" si="14"/>
        <v>28</v>
      </c>
      <c r="J273" s="147" t="s">
        <v>2216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" thickBot="1" x14ac:dyDescent="0.35">
      <c r="A274" t="s">
        <v>2212</v>
      </c>
      <c r="B274" t="s">
        <v>2217</v>
      </c>
      <c r="C274" t="s">
        <v>1063</v>
      </c>
      <c r="D274" t="s">
        <v>2219</v>
      </c>
      <c r="E274" s="30" t="s">
        <v>19</v>
      </c>
      <c r="F274" s="85" t="s">
        <v>1301</v>
      </c>
      <c r="G274" s="30"/>
      <c r="H274" s="30" t="s">
        <v>2218</v>
      </c>
      <c r="I274" s="142">
        <f t="shared" si="14"/>
        <v>28</v>
      </c>
      <c r="J274" s="147" t="s">
        <v>2220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" thickBot="1" x14ac:dyDescent="0.35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27</v>
      </c>
      <c r="J275" s="147" t="s">
        <v>1887</v>
      </c>
      <c r="K275" s="31">
        <f t="shared" si="15"/>
        <v>1</v>
      </c>
      <c r="L275" s="32">
        <f t="shared" si="16"/>
        <v>0.9642857142857143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2287</v>
      </c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" thickBot="1" x14ac:dyDescent="0.35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1888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" thickBot="1" x14ac:dyDescent="0.35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27</v>
      </c>
      <c r="J277" s="147" t="s">
        <v>1889</v>
      </c>
      <c r="K277" s="31">
        <f t="shared" si="15"/>
        <v>1</v>
      </c>
      <c r="L277" s="32">
        <f t="shared" si="16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 t="s">
        <v>2287</v>
      </c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" thickBot="1" x14ac:dyDescent="0.35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1890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" thickBot="1" x14ac:dyDescent="0.35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1891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" thickBot="1" x14ac:dyDescent="0.35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27</v>
      </c>
      <c r="J280" s="147" t="s">
        <v>1693</v>
      </c>
      <c r="K280" s="31">
        <f t="shared" si="15"/>
        <v>1</v>
      </c>
      <c r="L280" s="32">
        <f t="shared" si="16"/>
        <v>0.9642857142857143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 t="s">
        <v>2287</v>
      </c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" thickBot="1" x14ac:dyDescent="0.35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11</v>
      </c>
      <c r="J281" s="147" t="s">
        <v>1892</v>
      </c>
      <c r="K281" s="31">
        <f t="shared" si="15"/>
        <v>17</v>
      </c>
      <c r="L281" s="32">
        <f t="shared" si="16"/>
        <v>0.39285714285714285</v>
      </c>
      <c r="M281" s="70" t="s">
        <v>2287</v>
      </c>
      <c r="N281" s="70" t="s">
        <v>2287</v>
      </c>
      <c r="O281" s="70" t="s">
        <v>2287</v>
      </c>
      <c r="P281" s="70" t="s">
        <v>2287</v>
      </c>
      <c r="Q281" s="70" t="s">
        <v>2287</v>
      </c>
      <c r="R281" s="70" t="s">
        <v>2287</v>
      </c>
      <c r="S281" s="70" t="s">
        <v>2287</v>
      </c>
      <c r="T281" s="70" t="s">
        <v>2287</v>
      </c>
      <c r="U281" s="70" t="s">
        <v>2287</v>
      </c>
      <c r="V281" s="70" t="s">
        <v>2287</v>
      </c>
      <c r="W281" s="70"/>
      <c r="X281" s="70" t="s">
        <v>2287</v>
      </c>
      <c r="Y281" s="70" t="s">
        <v>2287</v>
      </c>
      <c r="Z281" s="70" t="s">
        <v>2287</v>
      </c>
      <c r="AA281" s="70" t="s">
        <v>2287</v>
      </c>
      <c r="AB281" s="70" t="s">
        <v>2287</v>
      </c>
      <c r="AC281" s="70" t="s">
        <v>2287</v>
      </c>
      <c r="AD281" s="70" t="s">
        <v>2287</v>
      </c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" thickBot="1" x14ac:dyDescent="0.35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1893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" thickBot="1" x14ac:dyDescent="0.35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28</v>
      </c>
      <c r="J283" s="147" t="s">
        <v>1894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5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21</v>
      </c>
      <c r="J284" s="147" t="s">
        <v>1895</v>
      </c>
      <c r="K284" s="142">
        <f t="shared" si="15"/>
        <v>7</v>
      </c>
      <c r="L284" s="143">
        <f t="shared" si="16"/>
        <v>0.75</v>
      </c>
      <c r="M284" s="70"/>
      <c r="N284" s="70"/>
      <c r="O284" s="70"/>
      <c r="P284" s="70"/>
      <c r="Q284" s="70"/>
      <c r="R284" s="70" t="s">
        <v>2287</v>
      </c>
      <c r="S284" s="70" t="s">
        <v>2287</v>
      </c>
      <c r="T284" s="70" t="s">
        <v>2287</v>
      </c>
      <c r="U284" s="70" t="s">
        <v>2287</v>
      </c>
      <c r="V284" s="70" t="s">
        <v>2287</v>
      </c>
      <c r="W284" s="70"/>
      <c r="X284" s="70" t="s">
        <v>2287</v>
      </c>
      <c r="Y284" s="70"/>
      <c r="Z284" s="70"/>
      <c r="AA284" s="70"/>
      <c r="AB284" s="70" t="s">
        <v>2287</v>
      </c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" thickBot="1" x14ac:dyDescent="0.35">
      <c r="A285" s="73" t="s">
        <v>1539</v>
      </c>
      <c r="B285" s="73" t="s">
        <v>1538</v>
      </c>
      <c r="C285" s="73" t="s">
        <v>1062</v>
      </c>
      <c r="D285" s="73" t="s">
        <v>1540</v>
      </c>
      <c r="E285" s="85" t="s">
        <v>19</v>
      </c>
      <c r="F285" s="85" t="s">
        <v>1301</v>
      </c>
      <c r="G285" s="85"/>
      <c r="H285" s="85" t="s">
        <v>1541</v>
      </c>
      <c r="I285" s="142">
        <f t="shared" si="14"/>
        <v>27</v>
      </c>
      <c r="J285" s="147" t="s">
        <v>1896</v>
      </c>
      <c r="K285" s="142">
        <f t="shared" si="15"/>
        <v>1</v>
      </c>
      <c r="L285" s="143">
        <f t="shared" si="16"/>
        <v>0.9642857142857143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 t="s">
        <v>2287</v>
      </c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" thickBot="1" x14ac:dyDescent="0.35">
      <c r="A286" s="73" t="s">
        <v>1539</v>
      </c>
      <c r="B286" s="73" t="s">
        <v>1653</v>
      </c>
      <c r="C286" s="73" t="s">
        <v>1062</v>
      </c>
      <c r="D286" s="73" t="s">
        <v>1654</v>
      </c>
      <c r="E286" s="85" t="s">
        <v>19</v>
      </c>
      <c r="F286" s="85" t="s">
        <v>28</v>
      </c>
      <c r="G286" s="85"/>
      <c r="H286" s="85" t="s">
        <v>1655</v>
      </c>
      <c r="I286" s="142">
        <f t="shared" si="14"/>
        <v>28</v>
      </c>
      <c r="J286" s="87" t="s">
        <v>2195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" thickBot="1" x14ac:dyDescent="0.35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1897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" thickBot="1" x14ac:dyDescent="0.35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1898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" thickBot="1" x14ac:dyDescent="0.35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1899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" thickBot="1" x14ac:dyDescent="0.35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28</v>
      </c>
      <c r="J290" s="147" t="s">
        <v>1900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" thickBot="1" x14ac:dyDescent="0.35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28</v>
      </c>
      <c r="J291" s="147" t="s">
        <v>1901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" thickBot="1" x14ac:dyDescent="0.35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1902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" thickBot="1" x14ac:dyDescent="0.35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1903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" thickBot="1" x14ac:dyDescent="0.35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1904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" thickBot="1" x14ac:dyDescent="0.35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1905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5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11</v>
      </c>
      <c r="J296" s="147" t="s">
        <v>1906</v>
      </c>
      <c r="K296" s="31">
        <f t="shared" si="15"/>
        <v>17</v>
      </c>
      <c r="L296" s="32">
        <f t="shared" si="16"/>
        <v>0.39285714285714285</v>
      </c>
      <c r="M296" s="70" t="s">
        <v>2287</v>
      </c>
      <c r="N296" s="70" t="s">
        <v>2287</v>
      </c>
      <c r="O296" s="70" t="s">
        <v>2287</v>
      </c>
      <c r="P296" s="70" t="s">
        <v>2287</v>
      </c>
      <c r="Q296" s="70" t="s">
        <v>2287</v>
      </c>
      <c r="R296" s="70" t="s">
        <v>2287</v>
      </c>
      <c r="S296" s="70" t="s">
        <v>2287</v>
      </c>
      <c r="T296" s="70" t="s">
        <v>2287</v>
      </c>
      <c r="U296" s="70" t="s">
        <v>2287</v>
      </c>
      <c r="V296" s="70" t="s">
        <v>2287</v>
      </c>
      <c r="W296" s="70"/>
      <c r="X296" s="70" t="s">
        <v>2287</v>
      </c>
      <c r="Y296" s="70" t="s">
        <v>2287</v>
      </c>
      <c r="Z296" s="70" t="s">
        <v>2287</v>
      </c>
      <c r="AA296" s="70" t="s">
        <v>2287</v>
      </c>
      <c r="AB296" s="70" t="s">
        <v>2287</v>
      </c>
      <c r="AC296" s="70" t="s">
        <v>2287</v>
      </c>
      <c r="AD296" s="70" t="s">
        <v>2287</v>
      </c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" thickBot="1" x14ac:dyDescent="0.35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28</v>
      </c>
      <c r="J297" s="147" t="s">
        <v>1907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" thickBot="1" x14ac:dyDescent="0.35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1908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/>
      <c r="R298" s="70" t="s">
        <v>2287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" thickBot="1" x14ac:dyDescent="0.35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27</v>
      </c>
      <c r="J299" s="147" t="s">
        <v>1909</v>
      </c>
      <c r="K299" s="31">
        <f t="shared" si="15"/>
        <v>1</v>
      </c>
      <c r="L299" s="32">
        <f t="shared" si="16"/>
        <v>0.9642857142857143</v>
      </c>
      <c r="M299" s="70"/>
      <c r="N299" s="70"/>
      <c r="O299" s="70"/>
      <c r="P299" s="70"/>
      <c r="Q299" s="70"/>
      <c r="R299" s="70" t="s">
        <v>2287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" thickBot="1" x14ac:dyDescent="0.35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1910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" thickBot="1" x14ac:dyDescent="0.35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1911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" thickBot="1" x14ac:dyDescent="0.35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1912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" thickBot="1" x14ac:dyDescent="0.35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1913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" thickBot="1" x14ac:dyDescent="0.35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1914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" thickBot="1" x14ac:dyDescent="0.35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1915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" thickBot="1" x14ac:dyDescent="0.35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1916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" thickBot="1" x14ac:dyDescent="0.35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" thickBot="1" x14ac:dyDescent="0.35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11</v>
      </c>
      <c r="J308" s="147" t="s">
        <v>1917</v>
      </c>
      <c r="K308" s="142">
        <f t="shared" si="15"/>
        <v>17</v>
      </c>
      <c r="L308" s="143">
        <f t="shared" si="16"/>
        <v>0.39285714285714285</v>
      </c>
      <c r="M308" s="70" t="s">
        <v>2287</v>
      </c>
      <c r="N308" s="70" t="s">
        <v>2287</v>
      </c>
      <c r="O308" s="70" t="s">
        <v>2287</v>
      </c>
      <c r="P308" s="70" t="s">
        <v>2287</v>
      </c>
      <c r="Q308" s="70" t="s">
        <v>2287</v>
      </c>
      <c r="R308" s="70" t="s">
        <v>2287</v>
      </c>
      <c r="S308" s="70" t="s">
        <v>2287</v>
      </c>
      <c r="T308" s="70" t="s">
        <v>2287</v>
      </c>
      <c r="U308" s="70" t="s">
        <v>2287</v>
      </c>
      <c r="V308" s="70" t="s">
        <v>2287</v>
      </c>
      <c r="W308" s="70"/>
      <c r="X308" s="70" t="s">
        <v>2287</v>
      </c>
      <c r="Y308" s="70" t="s">
        <v>2287</v>
      </c>
      <c r="Z308" s="70" t="s">
        <v>2287</v>
      </c>
      <c r="AA308" s="70" t="s">
        <v>2287</v>
      </c>
      <c r="AB308" s="70" t="s">
        <v>2287</v>
      </c>
      <c r="AC308" s="70" t="s">
        <v>2287</v>
      </c>
      <c r="AD308" s="70" t="s">
        <v>2287</v>
      </c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" thickBot="1" x14ac:dyDescent="0.35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1631</v>
      </c>
      <c r="I309" s="142">
        <f t="shared" si="14"/>
        <v>28</v>
      </c>
      <c r="J309" s="147" t="s">
        <v>2152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" thickBot="1" x14ac:dyDescent="0.35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11</v>
      </c>
      <c r="J310" s="147" t="s">
        <v>1918</v>
      </c>
      <c r="K310" s="31">
        <f t="shared" ref="K310:K380" si="18">COUNTIF(M310:AN310,"APAGADO")</f>
        <v>17</v>
      </c>
      <c r="L310" s="32">
        <f t="shared" ref="L310:L380" si="19">(I310)/(K310+I310)</f>
        <v>0.39285714285714285</v>
      </c>
      <c r="M310" s="70" t="s">
        <v>2287</v>
      </c>
      <c r="N310" s="70" t="s">
        <v>2287</v>
      </c>
      <c r="O310" s="70" t="s">
        <v>2287</v>
      </c>
      <c r="P310" s="70" t="s">
        <v>2287</v>
      </c>
      <c r="Q310" s="70" t="s">
        <v>2287</v>
      </c>
      <c r="R310" s="70" t="s">
        <v>2287</v>
      </c>
      <c r="S310" s="70" t="s">
        <v>2287</v>
      </c>
      <c r="T310" s="70" t="s">
        <v>2287</v>
      </c>
      <c r="U310" s="70" t="s">
        <v>2287</v>
      </c>
      <c r="V310" s="70" t="s">
        <v>2287</v>
      </c>
      <c r="W310" s="70"/>
      <c r="X310" s="70" t="s">
        <v>2287</v>
      </c>
      <c r="Y310" s="70" t="s">
        <v>2287</v>
      </c>
      <c r="Z310" s="70" t="s">
        <v>2287</v>
      </c>
      <c r="AA310" s="70" t="s">
        <v>2287</v>
      </c>
      <c r="AB310" s="70" t="s">
        <v>2287</v>
      </c>
      <c r="AC310" s="70" t="s">
        <v>2287</v>
      </c>
      <c r="AD310" s="70" t="s">
        <v>2287</v>
      </c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" thickBot="1" x14ac:dyDescent="0.35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14</v>
      </c>
      <c r="J311" s="147" t="s">
        <v>1919</v>
      </c>
      <c r="K311" s="142">
        <f t="shared" si="18"/>
        <v>14</v>
      </c>
      <c r="L311" s="143">
        <f t="shared" si="19"/>
        <v>0.5</v>
      </c>
      <c r="M311" s="70"/>
      <c r="N311" s="70" t="s">
        <v>2287</v>
      </c>
      <c r="O311" s="70" t="s">
        <v>2287</v>
      </c>
      <c r="P311" s="70" t="s">
        <v>2287</v>
      </c>
      <c r="Q311" s="70" t="s">
        <v>2287</v>
      </c>
      <c r="R311" s="70" t="s">
        <v>2287</v>
      </c>
      <c r="S311" s="70" t="s">
        <v>2287</v>
      </c>
      <c r="T311" s="70"/>
      <c r="U311" s="70"/>
      <c r="V311" s="70" t="s">
        <v>2287</v>
      </c>
      <c r="W311" s="70"/>
      <c r="X311" s="70" t="s">
        <v>2287</v>
      </c>
      <c r="Y311" s="70" t="s">
        <v>2287</v>
      </c>
      <c r="Z311" s="70" t="s">
        <v>2287</v>
      </c>
      <c r="AA311" s="70" t="s">
        <v>2287</v>
      </c>
      <c r="AB311" s="70" t="s">
        <v>2287</v>
      </c>
      <c r="AC311" s="70" t="s">
        <v>2287</v>
      </c>
      <c r="AD311" s="70" t="s">
        <v>2287</v>
      </c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" thickBot="1" x14ac:dyDescent="0.35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14</v>
      </c>
      <c r="J312" s="87" t="s">
        <v>2196</v>
      </c>
      <c r="K312" s="142">
        <f t="shared" si="18"/>
        <v>14</v>
      </c>
      <c r="L312" s="143">
        <f t="shared" si="19"/>
        <v>0.5</v>
      </c>
      <c r="M312" s="70"/>
      <c r="N312" s="70" t="s">
        <v>2287</v>
      </c>
      <c r="O312" s="70" t="s">
        <v>2287</v>
      </c>
      <c r="P312" s="70" t="s">
        <v>2287</v>
      </c>
      <c r="Q312" s="70" t="s">
        <v>2287</v>
      </c>
      <c r="R312" s="70" t="s">
        <v>2287</v>
      </c>
      <c r="S312" s="70" t="s">
        <v>2287</v>
      </c>
      <c r="T312" s="70"/>
      <c r="U312" s="70"/>
      <c r="V312" s="70" t="s">
        <v>2287</v>
      </c>
      <c r="W312" s="70"/>
      <c r="X312" s="70" t="s">
        <v>2287</v>
      </c>
      <c r="Y312" s="70" t="s">
        <v>2287</v>
      </c>
      <c r="Z312" s="70" t="s">
        <v>2287</v>
      </c>
      <c r="AA312" s="70" t="s">
        <v>2287</v>
      </c>
      <c r="AB312" s="70" t="s">
        <v>2287</v>
      </c>
      <c r="AC312" s="70" t="s">
        <v>2287</v>
      </c>
      <c r="AD312" s="70" t="s">
        <v>2287</v>
      </c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" thickBot="1" x14ac:dyDescent="0.35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14</v>
      </c>
      <c r="J313" s="147" t="s">
        <v>1920</v>
      </c>
      <c r="K313" s="142">
        <f t="shared" si="18"/>
        <v>14</v>
      </c>
      <c r="L313" s="143">
        <f t="shared" si="19"/>
        <v>0.5</v>
      </c>
      <c r="M313" s="70"/>
      <c r="N313" s="70" t="s">
        <v>2287</v>
      </c>
      <c r="O313" s="70" t="s">
        <v>2287</v>
      </c>
      <c r="P313" s="70" t="s">
        <v>2287</v>
      </c>
      <c r="Q313" s="70" t="s">
        <v>2287</v>
      </c>
      <c r="R313" s="70" t="s">
        <v>2287</v>
      </c>
      <c r="S313" s="70" t="s">
        <v>2287</v>
      </c>
      <c r="T313" s="70"/>
      <c r="U313" s="70"/>
      <c r="V313" s="70" t="s">
        <v>2287</v>
      </c>
      <c r="W313" s="70"/>
      <c r="X313" s="70" t="s">
        <v>2287</v>
      </c>
      <c r="Y313" s="70" t="s">
        <v>2287</v>
      </c>
      <c r="Z313" s="70" t="s">
        <v>2287</v>
      </c>
      <c r="AA313" s="70" t="s">
        <v>2287</v>
      </c>
      <c r="AB313" s="70" t="s">
        <v>2287</v>
      </c>
      <c r="AC313" s="70" t="s">
        <v>2287</v>
      </c>
      <c r="AD313" s="70" t="s">
        <v>2287</v>
      </c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" thickBot="1" x14ac:dyDescent="0.35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11</v>
      </c>
      <c r="J314" s="147" t="s">
        <v>1921</v>
      </c>
      <c r="K314" s="31">
        <f t="shared" si="18"/>
        <v>17</v>
      </c>
      <c r="L314" s="32">
        <f t="shared" si="19"/>
        <v>0.39285714285714285</v>
      </c>
      <c r="M314" s="70" t="s">
        <v>2287</v>
      </c>
      <c r="N314" s="70" t="s">
        <v>2287</v>
      </c>
      <c r="O314" s="70" t="s">
        <v>2287</v>
      </c>
      <c r="P314" s="70" t="s">
        <v>2287</v>
      </c>
      <c r="Q314" s="70" t="s">
        <v>2287</v>
      </c>
      <c r="R314" s="70" t="s">
        <v>2287</v>
      </c>
      <c r="S314" s="70" t="s">
        <v>2287</v>
      </c>
      <c r="T314" s="70" t="s">
        <v>2287</v>
      </c>
      <c r="U314" s="70" t="s">
        <v>2287</v>
      </c>
      <c r="V314" s="70" t="s">
        <v>2287</v>
      </c>
      <c r="W314" s="70"/>
      <c r="X314" s="70" t="s">
        <v>2287</v>
      </c>
      <c r="Y314" s="70" t="s">
        <v>2287</v>
      </c>
      <c r="Z314" s="70" t="s">
        <v>2287</v>
      </c>
      <c r="AA314" s="70" t="s">
        <v>2287</v>
      </c>
      <c r="AB314" s="70" t="s">
        <v>2287</v>
      </c>
      <c r="AC314" s="70" t="s">
        <v>2287</v>
      </c>
      <c r="AD314" s="70" t="s">
        <v>2287</v>
      </c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" thickBot="1" x14ac:dyDescent="0.35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14</v>
      </c>
      <c r="J315" s="147" t="s">
        <v>1922</v>
      </c>
      <c r="K315" s="31">
        <f t="shared" si="18"/>
        <v>14</v>
      </c>
      <c r="L315" s="32">
        <f t="shared" si="19"/>
        <v>0.5</v>
      </c>
      <c r="M315" s="70" t="s">
        <v>2287</v>
      </c>
      <c r="N315" s="70" t="s">
        <v>2287</v>
      </c>
      <c r="O315" s="70" t="s">
        <v>2287</v>
      </c>
      <c r="P315" s="70" t="s">
        <v>2287</v>
      </c>
      <c r="Q315" s="70" t="s">
        <v>2287</v>
      </c>
      <c r="R315" s="70"/>
      <c r="S315" s="70"/>
      <c r="T315" s="70" t="s">
        <v>2287</v>
      </c>
      <c r="U315" s="70" t="s">
        <v>2287</v>
      </c>
      <c r="W315" s="70"/>
      <c r="X315" s="70" t="s">
        <v>2287</v>
      </c>
      <c r="Y315" s="70" t="s">
        <v>2287</v>
      </c>
      <c r="Z315" s="70" t="s">
        <v>2287</v>
      </c>
      <c r="AA315" s="70" t="s">
        <v>2287</v>
      </c>
      <c r="AB315" s="70" t="s">
        <v>2287</v>
      </c>
      <c r="AC315" s="70" t="s">
        <v>2287</v>
      </c>
      <c r="AD315" s="70" t="s">
        <v>2287</v>
      </c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" thickBot="1" x14ac:dyDescent="0.35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14</v>
      </c>
      <c r="J316" s="147" t="s">
        <v>1923</v>
      </c>
      <c r="K316" s="31">
        <f t="shared" si="18"/>
        <v>14</v>
      </c>
      <c r="L316" s="32">
        <f t="shared" si="19"/>
        <v>0.5</v>
      </c>
      <c r="M316" s="70" t="s">
        <v>2287</v>
      </c>
      <c r="N316" s="70" t="s">
        <v>2287</v>
      </c>
      <c r="O316" s="70" t="s">
        <v>2287</v>
      </c>
      <c r="P316" s="70" t="s">
        <v>2287</v>
      </c>
      <c r="Q316" s="70" t="s">
        <v>2287</v>
      </c>
      <c r="R316" s="70"/>
      <c r="S316" s="70"/>
      <c r="T316" s="70" t="s">
        <v>2287</v>
      </c>
      <c r="U316" s="70" t="s">
        <v>2287</v>
      </c>
      <c r="V316" s="70"/>
      <c r="W316" s="70"/>
      <c r="X316" s="70" t="s">
        <v>2287</v>
      </c>
      <c r="Y316" s="70" t="s">
        <v>2287</v>
      </c>
      <c r="Z316" s="70" t="s">
        <v>2287</v>
      </c>
      <c r="AA316" s="70" t="s">
        <v>2287</v>
      </c>
      <c r="AB316" s="70" t="s">
        <v>2287</v>
      </c>
      <c r="AC316" s="70" t="s">
        <v>2287</v>
      </c>
      <c r="AD316" s="70" t="s">
        <v>2287</v>
      </c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" thickBot="1" x14ac:dyDescent="0.35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28</v>
      </c>
      <c r="J317" s="147" t="s">
        <v>1924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" thickBot="1" x14ac:dyDescent="0.35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28</v>
      </c>
      <c r="J318" s="147" t="s">
        <v>1925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" thickBot="1" x14ac:dyDescent="0.35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28</v>
      </c>
      <c r="J319" s="147" t="s">
        <v>1926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" thickBot="1" x14ac:dyDescent="0.35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27</v>
      </c>
      <c r="J320" s="147" t="s">
        <v>1927</v>
      </c>
      <c r="K320" s="31">
        <f t="shared" si="18"/>
        <v>1</v>
      </c>
      <c r="L320" s="32">
        <f t="shared" si="19"/>
        <v>0.9642857142857143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2287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" thickBot="1" x14ac:dyDescent="0.35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1928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" thickBot="1" x14ac:dyDescent="0.35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1929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" thickBot="1" x14ac:dyDescent="0.35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1930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" thickBot="1" x14ac:dyDescent="0.35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1931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" thickBot="1" x14ac:dyDescent="0.35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1932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" thickBot="1" x14ac:dyDescent="0.35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28</v>
      </c>
      <c r="J326" s="147" t="s">
        <v>1933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" thickBot="1" x14ac:dyDescent="0.35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28</v>
      </c>
      <c r="J327" s="147" t="s">
        <v>1934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" thickBot="1" x14ac:dyDescent="0.35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28</v>
      </c>
      <c r="J328" s="147" t="s">
        <v>1935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" thickBot="1" x14ac:dyDescent="0.35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28</v>
      </c>
      <c r="J329" s="147" t="s">
        <v>1936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" thickBot="1" x14ac:dyDescent="0.35">
      <c r="A330" t="s">
        <v>365</v>
      </c>
      <c r="B330" t="s">
        <v>2256</v>
      </c>
      <c r="C330" t="s">
        <v>1063</v>
      </c>
      <c r="D330" s="68" t="s">
        <v>2238</v>
      </c>
      <c r="E330" s="85" t="s">
        <v>15</v>
      </c>
      <c r="F330" s="30" t="s">
        <v>28</v>
      </c>
      <c r="G330" s="30"/>
      <c r="H330" s="30" t="s">
        <v>2257</v>
      </c>
      <c r="I330" s="31">
        <f t="shared" si="17"/>
        <v>28</v>
      </c>
      <c r="J330" s="153" t="s">
        <v>2239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" thickBot="1" x14ac:dyDescent="0.35">
      <c r="A331" t="s">
        <v>365</v>
      </c>
      <c r="B331" t="s">
        <v>2240</v>
      </c>
      <c r="C331" t="s">
        <v>1063</v>
      </c>
      <c r="D331" s="68" t="s">
        <v>2241</v>
      </c>
      <c r="E331" s="85" t="s">
        <v>15</v>
      </c>
      <c r="F331" s="30" t="s">
        <v>28</v>
      </c>
      <c r="G331" s="30"/>
      <c r="H331" s="30" t="s">
        <v>2242</v>
      </c>
      <c r="I331" s="31">
        <f t="shared" si="17"/>
        <v>24</v>
      </c>
      <c r="J331" s="147" t="s">
        <v>2243</v>
      </c>
      <c r="K331" s="31">
        <f t="shared" si="18"/>
        <v>4</v>
      </c>
      <c r="L331" s="32">
        <f t="shared" si="19"/>
        <v>0.8571428571428571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 t="s">
        <v>2287</v>
      </c>
      <c r="AB331" s="70" t="s">
        <v>2287</v>
      </c>
      <c r="AC331" s="70" t="s">
        <v>2287</v>
      </c>
      <c r="AD331" s="70" t="s">
        <v>2287</v>
      </c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" thickBot="1" x14ac:dyDescent="0.35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1937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" thickBot="1" x14ac:dyDescent="0.35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27</v>
      </c>
      <c r="J333" s="147" t="s">
        <v>1938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 t="s">
        <v>2287</v>
      </c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" thickBot="1" x14ac:dyDescent="0.35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1939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" thickBot="1" x14ac:dyDescent="0.35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1940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" thickBot="1" x14ac:dyDescent="0.35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1941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" thickBot="1" x14ac:dyDescent="0.35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1942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" thickBot="1" x14ac:dyDescent="0.35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1943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" thickBot="1" x14ac:dyDescent="0.35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1944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" thickBot="1" x14ac:dyDescent="0.35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1945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" thickBot="1" x14ac:dyDescent="0.35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1946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" thickBot="1" x14ac:dyDescent="0.35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1947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" thickBot="1" x14ac:dyDescent="0.35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1948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" thickBot="1" x14ac:dyDescent="0.35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1949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" thickBot="1" x14ac:dyDescent="0.35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" thickBot="1" x14ac:dyDescent="0.35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" thickBot="1" x14ac:dyDescent="0.35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1950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" thickBot="1" x14ac:dyDescent="0.35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26</v>
      </c>
      <c r="J348" s="87"/>
      <c r="K348" s="142">
        <f t="shared" si="18"/>
        <v>2</v>
      </c>
      <c r="L348" s="143">
        <f t="shared" si="19"/>
        <v>0.9285714285714286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 t="s">
        <v>2287</v>
      </c>
      <c r="Y348" s="70" t="s">
        <v>2287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" thickBot="1" x14ac:dyDescent="0.35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26</v>
      </c>
      <c r="J349" s="87"/>
      <c r="K349" s="142">
        <f t="shared" si="18"/>
        <v>2</v>
      </c>
      <c r="L349" s="143">
        <f t="shared" si="19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 t="s">
        <v>2287</v>
      </c>
      <c r="Y349" s="70" t="s">
        <v>2287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" thickBot="1" x14ac:dyDescent="0.35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23</v>
      </c>
      <c r="J350" s="147" t="s">
        <v>1951</v>
      </c>
      <c r="K350" s="31">
        <f t="shared" si="18"/>
        <v>5</v>
      </c>
      <c r="L350" s="32">
        <f t="shared" si="19"/>
        <v>0.8214285714285714</v>
      </c>
      <c r="M350" s="70"/>
      <c r="N350" s="70"/>
      <c r="O350" s="70"/>
      <c r="P350" s="70"/>
      <c r="Q350" s="70"/>
      <c r="R350" s="70" t="s">
        <v>2287</v>
      </c>
      <c r="S350" s="70" t="s">
        <v>2287</v>
      </c>
      <c r="T350" s="70" t="s">
        <v>2287</v>
      </c>
      <c r="U350" s="70"/>
      <c r="V350" s="70"/>
      <c r="W350" s="70"/>
      <c r="X350" s="70"/>
      <c r="Y350" s="70"/>
      <c r="Z350" s="70"/>
      <c r="AA350" s="70"/>
      <c r="AB350" s="70"/>
      <c r="AC350" s="70" t="s">
        <v>2287</v>
      </c>
      <c r="AD350" s="70" t="s">
        <v>2287</v>
      </c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" thickBot="1" x14ac:dyDescent="0.35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28</v>
      </c>
      <c r="J351" s="147" t="s">
        <v>1952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" thickBot="1" x14ac:dyDescent="0.35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28</v>
      </c>
      <c r="J352" s="147" t="s">
        <v>1953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" thickBot="1" x14ac:dyDescent="0.35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2233</v>
      </c>
      <c r="I353" s="31">
        <f t="shared" si="17"/>
        <v>26</v>
      </c>
      <c r="J353" s="147" t="s">
        <v>1954</v>
      </c>
      <c r="K353" s="31">
        <f t="shared" si="18"/>
        <v>2</v>
      </c>
      <c r="L353" s="32">
        <f t="shared" si="19"/>
        <v>0.9285714285714286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 t="s">
        <v>2287</v>
      </c>
      <c r="AD353" s="70" t="s">
        <v>2287</v>
      </c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" thickBot="1" x14ac:dyDescent="0.35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2234</v>
      </c>
      <c r="I354" s="31">
        <f t="shared" si="17"/>
        <v>26</v>
      </c>
      <c r="J354" s="147" t="s">
        <v>1955</v>
      </c>
      <c r="K354" s="31">
        <f t="shared" si="18"/>
        <v>2</v>
      </c>
      <c r="L354" s="32">
        <f t="shared" si="19"/>
        <v>0.9285714285714286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2287</v>
      </c>
      <c r="AD354" s="70" t="s">
        <v>2287</v>
      </c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" thickBot="1" x14ac:dyDescent="0.35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26</v>
      </c>
      <c r="J355" s="147" t="s">
        <v>1956</v>
      </c>
      <c r="K355" s="31">
        <f t="shared" si="18"/>
        <v>2</v>
      </c>
      <c r="L355" s="32">
        <f t="shared" si="19"/>
        <v>0.9285714285714286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2287</v>
      </c>
      <c r="AD355" s="70" t="s">
        <v>2287</v>
      </c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" thickBot="1" x14ac:dyDescent="0.35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26</v>
      </c>
      <c r="J356" s="147" t="s">
        <v>1957</v>
      </c>
      <c r="K356" s="31">
        <f t="shared" si="18"/>
        <v>2</v>
      </c>
      <c r="L356" s="32">
        <f t="shared" si="19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2287</v>
      </c>
      <c r="AD356" s="70" t="s">
        <v>2287</v>
      </c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" thickBot="1" x14ac:dyDescent="0.35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26</v>
      </c>
      <c r="J357" s="147" t="s">
        <v>1958</v>
      </c>
      <c r="K357" s="31">
        <f t="shared" si="18"/>
        <v>2</v>
      </c>
      <c r="L357" s="32">
        <f t="shared" si="19"/>
        <v>0.9285714285714286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2287</v>
      </c>
      <c r="AD357" s="70" t="s">
        <v>2287</v>
      </c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" thickBot="1" x14ac:dyDescent="0.35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26</v>
      </c>
      <c r="J358" s="147" t="s">
        <v>1959</v>
      </c>
      <c r="K358" s="31">
        <f t="shared" si="18"/>
        <v>2</v>
      </c>
      <c r="L358" s="32">
        <f t="shared" si="19"/>
        <v>0.9285714285714286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2287</v>
      </c>
      <c r="AD358" s="70" t="s">
        <v>2287</v>
      </c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" thickBot="1" x14ac:dyDescent="0.35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27</v>
      </c>
      <c r="J359" s="147" t="s">
        <v>1960</v>
      </c>
      <c r="K359" s="31">
        <f t="shared" si="18"/>
        <v>1</v>
      </c>
      <c r="L359" s="32">
        <f t="shared" si="19"/>
        <v>0.9642857142857143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 t="s">
        <v>2287</v>
      </c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" thickBot="1" x14ac:dyDescent="0.35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27</v>
      </c>
      <c r="J360" s="147" t="s">
        <v>1961</v>
      </c>
      <c r="K360" s="31">
        <f t="shared" si="18"/>
        <v>1</v>
      </c>
      <c r="L360" s="32">
        <f t="shared" si="19"/>
        <v>0.9642857142857143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 t="s">
        <v>2287</v>
      </c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" thickBot="1" x14ac:dyDescent="0.35">
      <c r="A361" s="73" t="s">
        <v>1320</v>
      </c>
      <c r="B361" s="73" t="s">
        <v>1574</v>
      </c>
      <c r="C361" s="73" t="s">
        <v>1062</v>
      </c>
      <c r="D361" s="73" t="s">
        <v>1577</v>
      </c>
      <c r="E361" s="85" t="s">
        <v>73</v>
      </c>
      <c r="F361" s="85" t="s">
        <v>1301</v>
      </c>
      <c r="H361" s="85" t="s">
        <v>1578</v>
      </c>
      <c r="I361" s="31">
        <f t="shared" si="17"/>
        <v>28</v>
      </c>
      <c r="J361" s="147" t="s">
        <v>1962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" thickBot="1" x14ac:dyDescent="0.35">
      <c r="A362" s="73" t="s">
        <v>1320</v>
      </c>
      <c r="B362" s="73" t="s">
        <v>1575</v>
      </c>
      <c r="C362" s="73" t="s">
        <v>1062</v>
      </c>
      <c r="D362" s="73" t="s">
        <v>1579</v>
      </c>
      <c r="E362" s="73" t="s">
        <v>73</v>
      </c>
      <c r="F362" s="85" t="s">
        <v>1301</v>
      </c>
      <c r="H362" s="85" t="s">
        <v>1580</v>
      </c>
      <c r="I362" s="31">
        <f t="shared" si="17"/>
        <v>28</v>
      </c>
      <c r="J362" s="147" t="s">
        <v>1963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" thickBot="1" x14ac:dyDescent="0.35">
      <c r="A363" s="73" t="s">
        <v>1320</v>
      </c>
      <c r="B363" s="73" t="s">
        <v>1576</v>
      </c>
      <c r="C363" s="73" t="s">
        <v>1062</v>
      </c>
      <c r="D363" s="73" t="s">
        <v>1581</v>
      </c>
      <c r="E363" s="73" t="s">
        <v>73</v>
      </c>
      <c r="F363" s="85" t="s">
        <v>1301</v>
      </c>
      <c r="H363" s="85" t="s">
        <v>1582</v>
      </c>
      <c r="I363" s="31">
        <f t="shared" si="17"/>
        <v>28</v>
      </c>
      <c r="J363" s="147" t="s">
        <v>1964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" thickBot="1" x14ac:dyDescent="0.35">
      <c r="A364" s="73" t="s">
        <v>1320</v>
      </c>
      <c r="B364" s="73" t="s">
        <v>1635</v>
      </c>
      <c r="C364" s="73" t="s">
        <v>1062</v>
      </c>
      <c r="D364" s="73" t="s">
        <v>1636</v>
      </c>
      <c r="E364" s="73" t="s">
        <v>19</v>
      </c>
      <c r="F364" s="85" t="s">
        <v>1301</v>
      </c>
      <c r="H364" s="85" t="s">
        <v>1637</v>
      </c>
      <c r="I364" s="31">
        <f t="shared" si="17"/>
        <v>28</v>
      </c>
      <c r="J364" s="147" t="s">
        <v>2146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" thickBot="1" x14ac:dyDescent="0.35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1965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" thickBot="1" x14ac:dyDescent="0.35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1966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" thickBot="1" x14ac:dyDescent="0.35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" thickBot="1" x14ac:dyDescent="0.35">
      <c r="A368" s="73" t="s">
        <v>384</v>
      </c>
      <c r="B368" s="73" t="s">
        <v>2176</v>
      </c>
      <c r="C368" s="73" t="s">
        <v>1062</v>
      </c>
      <c r="D368" s="73" t="s">
        <v>2177</v>
      </c>
      <c r="E368" s="85" t="s">
        <v>73</v>
      </c>
      <c r="F368" s="30" t="s">
        <v>28</v>
      </c>
      <c r="G368" s="85"/>
      <c r="H368" s="85" t="s">
        <v>2178</v>
      </c>
      <c r="I368" s="142">
        <f t="shared" si="17"/>
        <v>28</v>
      </c>
      <c r="J368" s="153" t="s">
        <v>2179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" thickBot="1" x14ac:dyDescent="0.35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28</v>
      </c>
      <c r="J369" s="147" t="s">
        <v>1967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" thickBot="1" x14ac:dyDescent="0.35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" thickBot="1" x14ac:dyDescent="0.35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28</v>
      </c>
      <c r="J371" s="147" t="s">
        <v>1968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" thickBot="1" x14ac:dyDescent="0.35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28</v>
      </c>
      <c r="J372" s="147" t="s">
        <v>1969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" thickBot="1" x14ac:dyDescent="0.35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28</v>
      </c>
      <c r="J373" s="147" t="s">
        <v>1970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" thickBot="1" x14ac:dyDescent="0.35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28</v>
      </c>
      <c r="J374" s="147" t="s">
        <v>1971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" thickBot="1" x14ac:dyDescent="0.35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11</v>
      </c>
      <c r="J375" s="73"/>
      <c r="K375" s="31">
        <f t="shared" si="18"/>
        <v>17</v>
      </c>
      <c r="L375" s="32">
        <f t="shared" si="19"/>
        <v>0.39285714285714285</v>
      </c>
      <c r="M375" s="70" t="s">
        <v>2287</v>
      </c>
      <c r="N375" s="70" t="s">
        <v>2287</v>
      </c>
      <c r="O375" s="70" t="s">
        <v>2287</v>
      </c>
      <c r="P375" s="70" t="s">
        <v>2287</v>
      </c>
      <c r="Q375" s="70" t="s">
        <v>2287</v>
      </c>
      <c r="R375" s="70" t="s">
        <v>2287</v>
      </c>
      <c r="S375" s="70" t="s">
        <v>2287</v>
      </c>
      <c r="T375" s="70" t="s">
        <v>2287</v>
      </c>
      <c r="U375" s="70" t="s">
        <v>2287</v>
      </c>
      <c r="V375" s="70" t="s">
        <v>2287</v>
      </c>
      <c r="W375" s="70"/>
      <c r="X375" s="70" t="s">
        <v>2287</v>
      </c>
      <c r="Y375" s="70" t="s">
        <v>2287</v>
      </c>
      <c r="Z375" s="70" t="s">
        <v>2287</v>
      </c>
      <c r="AA375" s="70" t="s">
        <v>2287</v>
      </c>
      <c r="AB375" s="70" t="s">
        <v>2287</v>
      </c>
      <c r="AC375" s="70" t="s">
        <v>2287</v>
      </c>
      <c r="AD375" s="70" t="s">
        <v>2287</v>
      </c>
      <c r="AE375" s="93"/>
      <c r="AF375" s="93"/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" thickBot="1" x14ac:dyDescent="0.35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2123</v>
      </c>
      <c r="I376" s="142">
        <f t="shared" si="17"/>
        <v>28</v>
      </c>
      <c r="J376" s="147" t="s">
        <v>1972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" thickBot="1" x14ac:dyDescent="0.35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27</v>
      </c>
      <c r="J377" s="147" t="s">
        <v>1973</v>
      </c>
      <c r="K377" s="87">
        <f t="shared" si="18"/>
        <v>1</v>
      </c>
      <c r="L377" s="88">
        <f t="shared" si="19"/>
        <v>0.9642857142857143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 t="s">
        <v>2287</v>
      </c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" thickBot="1" x14ac:dyDescent="0.35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20</v>
      </c>
      <c r="J378" s="147" t="s">
        <v>1974</v>
      </c>
      <c r="K378" s="31">
        <f t="shared" si="18"/>
        <v>8</v>
      </c>
      <c r="L378" s="32">
        <f t="shared" si="19"/>
        <v>0.7142857142857143</v>
      </c>
      <c r="M378" s="70" t="s">
        <v>2287</v>
      </c>
      <c r="N378" s="70" t="s">
        <v>2287</v>
      </c>
      <c r="O378" s="70"/>
      <c r="P378" s="70"/>
      <c r="Q378" s="70"/>
      <c r="R378" s="70" t="s">
        <v>2287</v>
      </c>
      <c r="S378" s="70" t="s">
        <v>2287</v>
      </c>
      <c r="T378" s="70" t="s">
        <v>2287</v>
      </c>
      <c r="U378" s="70" t="s">
        <v>2287</v>
      </c>
      <c r="V378" s="70" t="s">
        <v>2287</v>
      </c>
      <c r="W378" s="70"/>
      <c r="X378" s="70" t="s">
        <v>2287</v>
      </c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" thickBot="1" x14ac:dyDescent="0.35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20</v>
      </c>
      <c r="J379" s="147" t="s">
        <v>1975</v>
      </c>
      <c r="K379" s="31">
        <f t="shared" si="18"/>
        <v>8</v>
      </c>
      <c r="L379" s="32">
        <f t="shared" si="19"/>
        <v>0.7142857142857143</v>
      </c>
      <c r="M379" s="70" t="s">
        <v>2287</v>
      </c>
      <c r="N379" s="70" t="s">
        <v>2287</v>
      </c>
      <c r="O379" s="70"/>
      <c r="P379" s="70"/>
      <c r="Q379" s="70"/>
      <c r="R379" s="70" t="s">
        <v>2287</v>
      </c>
      <c r="S379" s="70" t="s">
        <v>2287</v>
      </c>
      <c r="T379" s="70" t="s">
        <v>2287</v>
      </c>
      <c r="U379" s="70" t="s">
        <v>2287</v>
      </c>
      <c r="V379" s="70" t="s">
        <v>2287</v>
      </c>
      <c r="W379" s="70"/>
      <c r="X379" s="70" t="s">
        <v>2287</v>
      </c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" thickBot="1" x14ac:dyDescent="0.35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20</v>
      </c>
      <c r="J380" s="147" t="s">
        <v>1976</v>
      </c>
      <c r="K380" s="31">
        <f t="shared" si="18"/>
        <v>8</v>
      </c>
      <c r="L380" s="32">
        <f t="shared" si="19"/>
        <v>0.7142857142857143</v>
      </c>
      <c r="M380" s="70" t="s">
        <v>2287</v>
      </c>
      <c r="N380" s="70" t="s">
        <v>2287</v>
      </c>
      <c r="O380" s="70"/>
      <c r="P380" s="70"/>
      <c r="Q380" s="70"/>
      <c r="R380" s="70" t="s">
        <v>2287</v>
      </c>
      <c r="S380" s="70" t="s">
        <v>2287</v>
      </c>
      <c r="T380" s="70" t="s">
        <v>2287</v>
      </c>
      <c r="U380" s="70" t="s">
        <v>2287</v>
      </c>
      <c r="V380" s="70" t="s">
        <v>2287</v>
      </c>
      <c r="W380" s="70"/>
      <c r="X380" s="70" t="s">
        <v>2287</v>
      </c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" thickBot="1" x14ac:dyDescent="0.35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14</v>
      </c>
      <c r="J381" s="147" t="s">
        <v>1977</v>
      </c>
      <c r="K381" s="31">
        <f t="shared" ref="K381:K462" si="21">COUNTIF(M381:AN381,"APAGADO")</f>
        <v>14</v>
      </c>
      <c r="L381" s="32">
        <f t="shared" ref="L381:L462" si="22">(I381)/(K381+I381)</f>
        <v>0.5</v>
      </c>
      <c r="M381" s="70" t="s">
        <v>2287</v>
      </c>
      <c r="N381" s="70" t="s">
        <v>2287</v>
      </c>
      <c r="O381" s="70"/>
      <c r="P381" s="70"/>
      <c r="Q381" s="70"/>
      <c r="R381" s="70" t="s">
        <v>2287</v>
      </c>
      <c r="S381" s="70" t="s">
        <v>2287</v>
      </c>
      <c r="T381" s="70" t="s">
        <v>2287</v>
      </c>
      <c r="U381" s="70" t="s">
        <v>2287</v>
      </c>
      <c r="V381" s="70" t="s">
        <v>2287</v>
      </c>
      <c r="W381" s="70"/>
      <c r="X381" s="70" t="s">
        <v>2287</v>
      </c>
      <c r="Y381" s="70" t="s">
        <v>2287</v>
      </c>
      <c r="Z381" s="70" t="s">
        <v>2287</v>
      </c>
      <c r="AA381" s="70" t="s">
        <v>2287</v>
      </c>
      <c r="AB381" s="70" t="s">
        <v>2287</v>
      </c>
      <c r="AC381" s="70" t="s">
        <v>2287</v>
      </c>
      <c r="AD381" s="70" t="s">
        <v>2287</v>
      </c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" thickBot="1" x14ac:dyDescent="0.35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14</v>
      </c>
      <c r="J382" s="147" t="s">
        <v>1978</v>
      </c>
      <c r="K382" s="31">
        <f t="shared" si="21"/>
        <v>14</v>
      </c>
      <c r="L382" s="32">
        <f t="shared" si="22"/>
        <v>0.5</v>
      </c>
      <c r="M382" s="70" t="s">
        <v>2287</v>
      </c>
      <c r="N382" s="70" t="s">
        <v>2287</v>
      </c>
      <c r="O382" s="70"/>
      <c r="P382" s="70"/>
      <c r="Q382" s="70"/>
      <c r="R382" s="70" t="s">
        <v>2287</v>
      </c>
      <c r="S382" s="70" t="s">
        <v>2287</v>
      </c>
      <c r="T382" s="70" t="s">
        <v>2287</v>
      </c>
      <c r="U382" s="70" t="s">
        <v>2287</v>
      </c>
      <c r="V382" s="70" t="s">
        <v>2287</v>
      </c>
      <c r="W382" s="70"/>
      <c r="X382" s="70" t="s">
        <v>2287</v>
      </c>
      <c r="Y382" s="70" t="s">
        <v>2287</v>
      </c>
      <c r="Z382" s="70" t="s">
        <v>2287</v>
      </c>
      <c r="AA382" s="70" t="s">
        <v>2287</v>
      </c>
      <c r="AB382" s="70" t="s">
        <v>2287</v>
      </c>
      <c r="AC382" s="70" t="s">
        <v>2287</v>
      </c>
      <c r="AD382" s="70" t="s">
        <v>2287</v>
      </c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" thickBot="1" x14ac:dyDescent="0.35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20</v>
      </c>
      <c r="J383" s="147" t="s">
        <v>1979</v>
      </c>
      <c r="K383" s="31">
        <f t="shared" si="21"/>
        <v>8</v>
      </c>
      <c r="L383" s="32">
        <f t="shared" si="22"/>
        <v>0.7142857142857143</v>
      </c>
      <c r="M383" s="70" t="s">
        <v>2287</v>
      </c>
      <c r="N383" s="70" t="s">
        <v>2287</v>
      </c>
      <c r="O383" s="70"/>
      <c r="P383" s="70"/>
      <c r="Q383" s="70"/>
      <c r="R383" s="70" t="s">
        <v>2287</v>
      </c>
      <c r="S383" s="70" t="s">
        <v>2287</v>
      </c>
      <c r="T383" s="70" t="s">
        <v>2287</v>
      </c>
      <c r="U383" s="70" t="s">
        <v>2287</v>
      </c>
      <c r="V383" s="70" t="s">
        <v>2287</v>
      </c>
      <c r="W383" s="70"/>
      <c r="X383" s="70" t="s">
        <v>2287</v>
      </c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" thickBot="1" x14ac:dyDescent="0.35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20</v>
      </c>
      <c r="J384" s="147" t="s">
        <v>1980</v>
      </c>
      <c r="K384" s="31">
        <f t="shared" si="21"/>
        <v>8</v>
      </c>
      <c r="L384" s="32">
        <f t="shared" si="22"/>
        <v>0.7142857142857143</v>
      </c>
      <c r="M384" s="70" t="s">
        <v>2287</v>
      </c>
      <c r="N384" s="70" t="s">
        <v>2287</v>
      </c>
      <c r="O384" s="70"/>
      <c r="P384" s="70"/>
      <c r="Q384" s="70"/>
      <c r="R384" s="70" t="s">
        <v>2287</v>
      </c>
      <c r="S384" s="70" t="s">
        <v>2287</v>
      </c>
      <c r="T384" s="70" t="s">
        <v>2287</v>
      </c>
      <c r="U384" s="70" t="s">
        <v>2287</v>
      </c>
      <c r="V384" s="70" t="s">
        <v>2287</v>
      </c>
      <c r="W384" s="70"/>
      <c r="X384" s="70" t="s">
        <v>2287</v>
      </c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" thickBot="1" x14ac:dyDescent="0.35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20</v>
      </c>
      <c r="J385" s="147" t="s">
        <v>1981</v>
      </c>
      <c r="K385" s="31">
        <f t="shared" si="21"/>
        <v>8</v>
      </c>
      <c r="L385" s="32">
        <f t="shared" si="22"/>
        <v>0.7142857142857143</v>
      </c>
      <c r="M385" s="70" t="s">
        <v>2287</v>
      </c>
      <c r="N385" s="70" t="s">
        <v>2287</v>
      </c>
      <c r="O385" s="70"/>
      <c r="P385" s="70"/>
      <c r="Q385" s="70"/>
      <c r="R385" s="70" t="s">
        <v>2287</v>
      </c>
      <c r="S385" s="70" t="s">
        <v>2287</v>
      </c>
      <c r="T385" s="70" t="s">
        <v>2287</v>
      </c>
      <c r="U385" s="70" t="s">
        <v>2287</v>
      </c>
      <c r="V385" s="70" t="s">
        <v>2287</v>
      </c>
      <c r="W385" s="70"/>
      <c r="X385" s="70" t="s">
        <v>2287</v>
      </c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" thickBot="1" x14ac:dyDescent="0.35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20</v>
      </c>
      <c r="J386" s="147" t="s">
        <v>1982</v>
      </c>
      <c r="K386" s="31">
        <f t="shared" si="21"/>
        <v>8</v>
      </c>
      <c r="L386" s="32">
        <f t="shared" si="22"/>
        <v>0.7142857142857143</v>
      </c>
      <c r="M386" s="70" t="s">
        <v>2287</v>
      </c>
      <c r="N386" s="70" t="s">
        <v>2287</v>
      </c>
      <c r="O386" s="70"/>
      <c r="P386" s="70"/>
      <c r="Q386" s="70"/>
      <c r="R386" s="70" t="s">
        <v>2287</v>
      </c>
      <c r="S386" s="70" t="s">
        <v>2287</v>
      </c>
      <c r="T386" s="70" t="s">
        <v>2287</v>
      </c>
      <c r="U386" s="70" t="s">
        <v>2287</v>
      </c>
      <c r="V386" s="70" t="s">
        <v>2287</v>
      </c>
      <c r="W386" s="70"/>
      <c r="X386" s="70" t="s">
        <v>2287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" thickBot="1" x14ac:dyDescent="0.35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14</v>
      </c>
      <c r="J387" s="147" t="s">
        <v>1983</v>
      </c>
      <c r="K387" s="31">
        <f t="shared" si="21"/>
        <v>14</v>
      </c>
      <c r="L387" s="32">
        <f t="shared" si="22"/>
        <v>0.5</v>
      </c>
      <c r="M387" s="70" t="s">
        <v>2287</v>
      </c>
      <c r="N387" s="70" t="s">
        <v>2287</v>
      </c>
      <c r="O387" s="70"/>
      <c r="P387" s="70"/>
      <c r="Q387" s="70"/>
      <c r="R387" s="70" t="s">
        <v>2287</v>
      </c>
      <c r="S387" s="70" t="s">
        <v>2287</v>
      </c>
      <c r="T387" s="70" t="s">
        <v>2287</v>
      </c>
      <c r="U387" s="70" t="s">
        <v>2287</v>
      </c>
      <c r="V387" s="70" t="s">
        <v>2287</v>
      </c>
      <c r="W387" s="70"/>
      <c r="X387" s="70" t="s">
        <v>2287</v>
      </c>
      <c r="Y387" s="70" t="s">
        <v>2287</v>
      </c>
      <c r="Z387" s="70" t="s">
        <v>2287</v>
      </c>
      <c r="AA387" s="70" t="s">
        <v>2287</v>
      </c>
      <c r="AB387" s="70" t="s">
        <v>2287</v>
      </c>
      <c r="AC387" s="70" t="s">
        <v>2287</v>
      </c>
      <c r="AD387" s="70" t="s">
        <v>2287</v>
      </c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" thickBot="1" x14ac:dyDescent="0.35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11</v>
      </c>
      <c r="J388" s="147" t="s">
        <v>1984</v>
      </c>
      <c r="K388" s="31">
        <f t="shared" si="21"/>
        <v>17</v>
      </c>
      <c r="L388" s="32">
        <f t="shared" si="22"/>
        <v>0.39285714285714285</v>
      </c>
      <c r="M388" s="70" t="s">
        <v>2287</v>
      </c>
      <c r="N388" s="70" t="s">
        <v>2287</v>
      </c>
      <c r="O388" s="70" t="s">
        <v>2287</v>
      </c>
      <c r="P388" s="70" t="s">
        <v>2287</v>
      </c>
      <c r="Q388" s="70" t="s">
        <v>2287</v>
      </c>
      <c r="R388" s="70" t="s">
        <v>2287</v>
      </c>
      <c r="S388" s="70" t="s">
        <v>2287</v>
      </c>
      <c r="T388" s="70" t="s">
        <v>2287</v>
      </c>
      <c r="U388" s="70" t="s">
        <v>2287</v>
      </c>
      <c r="V388" s="70" t="s">
        <v>2287</v>
      </c>
      <c r="W388" s="70"/>
      <c r="X388" s="70" t="s">
        <v>2287</v>
      </c>
      <c r="Y388" s="70" t="s">
        <v>2287</v>
      </c>
      <c r="Z388" s="70" t="s">
        <v>2287</v>
      </c>
      <c r="AA388" s="70" t="s">
        <v>2287</v>
      </c>
      <c r="AB388" s="70" t="s">
        <v>2287</v>
      </c>
      <c r="AC388" s="70" t="s">
        <v>2287</v>
      </c>
      <c r="AD388" s="70" t="s">
        <v>2287</v>
      </c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" thickBot="1" x14ac:dyDescent="0.35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11</v>
      </c>
      <c r="J389" s="147" t="s">
        <v>1985</v>
      </c>
      <c r="K389" s="31">
        <f t="shared" si="21"/>
        <v>17</v>
      </c>
      <c r="L389" s="32">
        <f t="shared" si="22"/>
        <v>0.39285714285714285</v>
      </c>
      <c r="M389" s="70" t="s">
        <v>2287</v>
      </c>
      <c r="N389" s="70" t="s">
        <v>2287</v>
      </c>
      <c r="O389" s="70" t="s">
        <v>2287</v>
      </c>
      <c r="P389" s="70" t="s">
        <v>2287</v>
      </c>
      <c r="Q389" s="70" t="s">
        <v>2287</v>
      </c>
      <c r="R389" s="70" t="s">
        <v>2287</v>
      </c>
      <c r="S389" s="70" t="s">
        <v>2287</v>
      </c>
      <c r="T389" s="70" t="s">
        <v>2287</v>
      </c>
      <c r="U389" s="70" t="s">
        <v>2287</v>
      </c>
      <c r="V389" s="70" t="s">
        <v>2287</v>
      </c>
      <c r="W389" s="70"/>
      <c r="X389" s="70" t="s">
        <v>2287</v>
      </c>
      <c r="Y389" s="70" t="s">
        <v>2287</v>
      </c>
      <c r="Z389" s="70" t="s">
        <v>2287</v>
      </c>
      <c r="AA389" s="70" t="s">
        <v>2287</v>
      </c>
      <c r="AB389" s="70" t="s">
        <v>2287</v>
      </c>
      <c r="AC389" s="70" t="s">
        <v>2287</v>
      </c>
      <c r="AD389" s="70" t="s">
        <v>2287</v>
      </c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" thickBot="1" x14ac:dyDescent="0.35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1986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" thickBot="1" x14ac:dyDescent="0.35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1987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" thickBot="1" x14ac:dyDescent="0.35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1988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" thickBot="1" x14ac:dyDescent="0.35">
      <c r="A393" t="s">
        <v>402</v>
      </c>
      <c r="B393" t="s">
        <v>1632</v>
      </c>
      <c r="C393" t="s">
        <v>1062</v>
      </c>
      <c r="D393" t="s">
        <v>1633</v>
      </c>
      <c r="E393" s="30" t="s">
        <v>19</v>
      </c>
      <c r="F393" s="30" t="s">
        <v>28</v>
      </c>
      <c r="G393" s="30"/>
      <c r="H393" s="85" t="s">
        <v>1634</v>
      </c>
      <c r="I393" s="31">
        <f t="shared" si="20"/>
        <v>12</v>
      </c>
      <c r="J393" s="87"/>
      <c r="K393" s="31">
        <f t="shared" si="21"/>
        <v>16</v>
      </c>
      <c r="L393" s="32">
        <f t="shared" si="22"/>
        <v>0.42857142857142855</v>
      </c>
      <c r="M393" s="70"/>
      <c r="N393" s="70" t="s">
        <v>2287</v>
      </c>
      <c r="O393" s="70" t="s">
        <v>2287</v>
      </c>
      <c r="P393" s="84" t="s">
        <v>2287</v>
      </c>
      <c r="Q393" s="84" t="s">
        <v>2287</v>
      </c>
      <c r="R393" s="84" t="s">
        <v>2287</v>
      </c>
      <c r="S393" s="84" t="s">
        <v>2287</v>
      </c>
      <c r="T393" s="84" t="s">
        <v>2287</v>
      </c>
      <c r="U393" s="84" t="s">
        <v>2287</v>
      </c>
      <c r="V393" s="84" t="s">
        <v>2287</v>
      </c>
      <c r="W393" s="84"/>
      <c r="X393" s="84" t="s">
        <v>2287</v>
      </c>
      <c r="Y393" s="84" t="s">
        <v>2287</v>
      </c>
      <c r="Z393" s="84" t="s">
        <v>2287</v>
      </c>
      <c r="AA393" s="84" t="s">
        <v>2287</v>
      </c>
      <c r="AB393" s="84" t="s">
        <v>2287</v>
      </c>
      <c r="AC393" s="84" t="s">
        <v>2287</v>
      </c>
      <c r="AD393" s="84" t="s">
        <v>2287</v>
      </c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" thickBot="1" x14ac:dyDescent="0.35">
      <c r="A394" t="s">
        <v>402</v>
      </c>
      <c r="B394" t="s">
        <v>2279</v>
      </c>
      <c r="C394" t="s">
        <v>1062</v>
      </c>
      <c r="D394" t="s">
        <v>2280</v>
      </c>
      <c r="E394" s="30" t="s">
        <v>19</v>
      </c>
      <c r="F394" s="85" t="s">
        <v>1301</v>
      </c>
      <c r="G394" s="30"/>
      <c r="H394" s="85" t="s">
        <v>2281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" thickBot="1" x14ac:dyDescent="0.35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16</v>
      </c>
      <c r="J395" s="87"/>
      <c r="K395" s="31">
        <f t="shared" si="21"/>
        <v>12</v>
      </c>
      <c r="L395" s="32">
        <f t="shared" si="22"/>
        <v>0.5714285714285714</v>
      </c>
      <c r="M395" s="70" t="s">
        <v>2287</v>
      </c>
      <c r="N395" s="70" t="s">
        <v>2287</v>
      </c>
      <c r="O395" s="70"/>
      <c r="P395" s="70"/>
      <c r="Q395" s="70" t="s">
        <v>2287</v>
      </c>
      <c r="R395" s="70" t="s">
        <v>2287</v>
      </c>
      <c r="S395" s="70" t="s">
        <v>2287</v>
      </c>
      <c r="T395" s="70" t="s">
        <v>2287</v>
      </c>
      <c r="U395" s="70" t="s">
        <v>2287</v>
      </c>
      <c r="V395" s="70" t="s">
        <v>2287</v>
      </c>
      <c r="W395" s="70"/>
      <c r="X395" s="70" t="s">
        <v>2287</v>
      </c>
      <c r="Y395" s="70" t="s">
        <v>2287</v>
      </c>
      <c r="Z395" s="70" t="s">
        <v>2287</v>
      </c>
      <c r="AA395" s="70" t="s">
        <v>2287</v>
      </c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" thickBot="1" x14ac:dyDescent="0.35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24</v>
      </c>
      <c r="J396" s="147" t="s">
        <v>1989</v>
      </c>
      <c r="K396" s="142">
        <f t="shared" si="21"/>
        <v>4</v>
      </c>
      <c r="L396" s="143">
        <f t="shared" si="22"/>
        <v>0.8571428571428571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 t="s">
        <v>2287</v>
      </c>
      <c r="Z396" s="70" t="s">
        <v>2287</v>
      </c>
      <c r="AA396" s="70" t="s">
        <v>2287</v>
      </c>
      <c r="AB396" s="70"/>
      <c r="AC396" s="70" t="s">
        <v>2287</v>
      </c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" thickBot="1" x14ac:dyDescent="0.35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26</v>
      </c>
      <c r="J397" s="87"/>
      <c r="K397" s="31">
        <f t="shared" si="21"/>
        <v>2</v>
      </c>
      <c r="L397" s="32">
        <f t="shared" si="22"/>
        <v>0.9285714285714286</v>
      </c>
      <c r="M397" s="70"/>
      <c r="N397" s="70"/>
      <c r="O397" s="70"/>
      <c r="P397" s="70"/>
      <c r="Q397" s="70"/>
      <c r="R397" s="70" t="s">
        <v>2287</v>
      </c>
      <c r="S397" s="70" t="s">
        <v>2287</v>
      </c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" thickBot="1" x14ac:dyDescent="0.35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26</v>
      </c>
      <c r="J398" s="87"/>
      <c r="K398" s="31">
        <f t="shared" si="21"/>
        <v>2</v>
      </c>
      <c r="L398" s="32">
        <f t="shared" si="22"/>
        <v>0.9285714285714286</v>
      </c>
      <c r="M398" s="70"/>
      <c r="N398" s="70"/>
      <c r="O398" s="70"/>
      <c r="P398" s="70"/>
      <c r="Q398" s="70"/>
      <c r="R398" s="70" t="s">
        <v>2287</v>
      </c>
      <c r="S398" s="70" t="s">
        <v>2287</v>
      </c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" thickBot="1" x14ac:dyDescent="0.35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11</v>
      </c>
      <c r="J399" s="147" t="s">
        <v>1990</v>
      </c>
      <c r="K399" s="87">
        <f t="shared" si="21"/>
        <v>17</v>
      </c>
      <c r="L399" s="88">
        <f t="shared" si="22"/>
        <v>0.39285714285714285</v>
      </c>
      <c r="M399" s="89" t="s">
        <v>2287</v>
      </c>
      <c r="N399" s="89" t="s">
        <v>2287</v>
      </c>
      <c r="O399" s="89" t="s">
        <v>2287</v>
      </c>
      <c r="P399" s="89" t="s">
        <v>2287</v>
      </c>
      <c r="Q399" s="89" t="s">
        <v>2287</v>
      </c>
      <c r="R399" s="89" t="s">
        <v>2287</v>
      </c>
      <c r="S399" s="89" t="s">
        <v>2287</v>
      </c>
      <c r="T399" s="89" t="s">
        <v>2287</v>
      </c>
      <c r="U399" s="89" t="s">
        <v>2287</v>
      </c>
      <c r="V399" s="89" t="s">
        <v>2287</v>
      </c>
      <c r="W399" s="89"/>
      <c r="X399" s="89" t="s">
        <v>2287</v>
      </c>
      <c r="Y399" s="89" t="s">
        <v>2287</v>
      </c>
      <c r="Z399" s="89" t="s">
        <v>2287</v>
      </c>
      <c r="AA399" s="89" t="s">
        <v>2287</v>
      </c>
      <c r="AB399" s="89" t="s">
        <v>2287</v>
      </c>
      <c r="AC399" s="89" t="s">
        <v>2287</v>
      </c>
      <c r="AD399" s="89" t="s">
        <v>2287</v>
      </c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" thickBot="1" x14ac:dyDescent="0.35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25</v>
      </c>
      <c r="J400" s="87"/>
      <c r="K400" s="31">
        <f t="shared" si="21"/>
        <v>3</v>
      </c>
      <c r="L400" s="32">
        <f t="shared" si="22"/>
        <v>0.8928571428571429</v>
      </c>
      <c r="M400" s="70"/>
      <c r="N400" s="70"/>
      <c r="O400" s="70" t="s">
        <v>2287</v>
      </c>
      <c r="P400" s="70"/>
      <c r="Q400" s="70"/>
      <c r="R400" s="70" t="s">
        <v>2287</v>
      </c>
      <c r="S400" s="70" t="s">
        <v>2287</v>
      </c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" thickBot="1" x14ac:dyDescent="0.35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11</v>
      </c>
      <c r="J401" s="147" t="s">
        <v>1991</v>
      </c>
      <c r="K401" s="31">
        <f t="shared" si="21"/>
        <v>17</v>
      </c>
      <c r="L401" s="32">
        <f t="shared" si="22"/>
        <v>0.39285714285714285</v>
      </c>
      <c r="M401" s="70" t="s">
        <v>2287</v>
      </c>
      <c r="N401" s="70" t="s">
        <v>2287</v>
      </c>
      <c r="O401" s="70" t="s">
        <v>2287</v>
      </c>
      <c r="P401" s="70" t="s">
        <v>2287</v>
      </c>
      <c r="Q401" s="70" t="s">
        <v>2287</v>
      </c>
      <c r="R401" s="70" t="s">
        <v>2287</v>
      </c>
      <c r="S401" s="70" t="s">
        <v>2287</v>
      </c>
      <c r="T401" s="70" t="s">
        <v>2287</v>
      </c>
      <c r="U401" s="70" t="s">
        <v>2287</v>
      </c>
      <c r="V401" s="70" t="s">
        <v>2287</v>
      </c>
      <c r="W401" s="70"/>
      <c r="X401" s="70" t="s">
        <v>2287</v>
      </c>
      <c r="Y401" s="70" t="s">
        <v>2287</v>
      </c>
      <c r="Z401" s="70" t="s">
        <v>2287</v>
      </c>
      <c r="AA401" s="70" t="s">
        <v>2287</v>
      </c>
      <c r="AB401" s="70" t="s">
        <v>2287</v>
      </c>
      <c r="AC401" s="70" t="s">
        <v>2287</v>
      </c>
      <c r="AD401" s="70" t="s">
        <v>2287</v>
      </c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" thickBot="1" x14ac:dyDescent="0.35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11</v>
      </c>
      <c r="J402" s="147" t="s">
        <v>1992</v>
      </c>
      <c r="K402" s="31">
        <f t="shared" si="21"/>
        <v>17</v>
      </c>
      <c r="L402" s="32">
        <f t="shared" si="22"/>
        <v>0.39285714285714285</v>
      </c>
      <c r="M402" s="70" t="s">
        <v>2287</v>
      </c>
      <c r="N402" s="70" t="s">
        <v>2287</v>
      </c>
      <c r="O402" s="70" t="s">
        <v>2287</v>
      </c>
      <c r="P402" s="70" t="s">
        <v>2287</v>
      </c>
      <c r="Q402" s="70" t="s">
        <v>2287</v>
      </c>
      <c r="R402" s="70" t="s">
        <v>2287</v>
      </c>
      <c r="S402" s="70" t="s">
        <v>2287</v>
      </c>
      <c r="T402" s="70" t="s">
        <v>2287</v>
      </c>
      <c r="U402" s="70" t="s">
        <v>2287</v>
      </c>
      <c r="V402" s="70" t="s">
        <v>2287</v>
      </c>
      <c r="W402" s="70"/>
      <c r="X402" s="70" t="s">
        <v>2287</v>
      </c>
      <c r="Y402" s="70" t="s">
        <v>2287</v>
      </c>
      <c r="Z402" s="70" t="s">
        <v>2287</v>
      </c>
      <c r="AA402" s="70" t="s">
        <v>2287</v>
      </c>
      <c r="AB402" s="70" t="s">
        <v>2287</v>
      </c>
      <c r="AC402" s="70" t="s">
        <v>2287</v>
      </c>
      <c r="AD402" s="70" t="s">
        <v>2287</v>
      </c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" thickBot="1" x14ac:dyDescent="0.35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1993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5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1994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" thickBot="1" x14ac:dyDescent="0.35">
      <c r="A405" s="73" t="s">
        <v>196</v>
      </c>
      <c r="B405" s="73" t="s">
        <v>1545</v>
      </c>
      <c r="C405" s="73" t="s">
        <v>1063</v>
      </c>
      <c r="D405" s="73" t="s">
        <v>1546</v>
      </c>
      <c r="E405" s="85" t="s">
        <v>73</v>
      </c>
      <c r="F405" s="85" t="s">
        <v>1301</v>
      </c>
      <c r="G405" s="85"/>
      <c r="H405" s="85"/>
      <c r="I405" s="142">
        <f t="shared" si="20"/>
        <v>22</v>
      </c>
      <c r="J405" s="87"/>
      <c r="K405" s="142">
        <f t="shared" si="21"/>
        <v>6</v>
      </c>
      <c r="L405" s="143">
        <f t="shared" si="22"/>
        <v>0.7857142857142857</v>
      </c>
      <c r="M405" s="70" t="s">
        <v>2287</v>
      </c>
      <c r="N405" s="70" t="s">
        <v>2287</v>
      </c>
      <c r="O405" s="70" t="s">
        <v>2287</v>
      </c>
      <c r="P405" s="70" t="s">
        <v>2287</v>
      </c>
      <c r="Q405" s="70" t="s">
        <v>2287</v>
      </c>
      <c r="R405" s="70" t="s">
        <v>2287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" thickBot="1" x14ac:dyDescent="0.35">
      <c r="A406" s="73" t="s">
        <v>196</v>
      </c>
      <c r="B406" s="73" t="s">
        <v>1547</v>
      </c>
      <c r="C406" s="73" t="s">
        <v>1063</v>
      </c>
      <c r="D406" s="73" t="s">
        <v>1546</v>
      </c>
      <c r="E406" s="85" t="s">
        <v>73</v>
      </c>
      <c r="F406" s="85" t="s">
        <v>1301</v>
      </c>
      <c r="G406" s="85"/>
      <c r="H406" s="85"/>
      <c r="I406" s="142">
        <f t="shared" si="20"/>
        <v>22</v>
      </c>
      <c r="J406" s="87"/>
      <c r="K406" s="142">
        <f t="shared" si="21"/>
        <v>6</v>
      </c>
      <c r="L406" s="143">
        <f t="shared" si="22"/>
        <v>0.7857142857142857</v>
      </c>
      <c r="M406" s="70" t="s">
        <v>2287</v>
      </c>
      <c r="N406" s="70" t="s">
        <v>2287</v>
      </c>
      <c r="O406" s="70" t="s">
        <v>2287</v>
      </c>
      <c r="P406" s="70" t="s">
        <v>2287</v>
      </c>
      <c r="Q406" s="70" t="s">
        <v>2287</v>
      </c>
      <c r="R406" s="70" t="s">
        <v>2287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" thickBot="1" x14ac:dyDescent="0.35">
      <c r="A407" s="73" t="s">
        <v>196</v>
      </c>
      <c r="B407" s="73" t="s">
        <v>1628</v>
      </c>
      <c r="C407" s="73" t="s">
        <v>1063</v>
      </c>
      <c r="D407" s="73" t="s">
        <v>1629</v>
      </c>
      <c r="E407" s="85" t="s">
        <v>73</v>
      </c>
      <c r="F407" s="85" t="s">
        <v>1301</v>
      </c>
      <c r="G407" s="85"/>
      <c r="H407" s="85" t="s">
        <v>1630</v>
      </c>
      <c r="I407" s="142">
        <f t="shared" si="20"/>
        <v>28</v>
      </c>
      <c r="J407" s="87" t="s">
        <v>2151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" thickBot="1" x14ac:dyDescent="0.35">
      <c r="A408" s="73" t="s">
        <v>196</v>
      </c>
      <c r="B408" s="73" t="s">
        <v>2147</v>
      </c>
      <c r="C408" s="73" t="s">
        <v>1063</v>
      </c>
      <c r="D408" s="73" t="s">
        <v>2148</v>
      </c>
      <c r="E408" s="92" t="s">
        <v>19</v>
      </c>
      <c r="F408" s="85" t="s">
        <v>1301</v>
      </c>
      <c r="G408" s="85"/>
      <c r="H408" s="85" t="s">
        <v>2149</v>
      </c>
      <c r="I408" s="142">
        <f t="shared" si="20"/>
        <v>28</v>
      </c>
      <c r="J408" s="87" t="s">
        <v>2150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" thickBot="1" x14ac:dyDescent="0.35">
      <c r="A409" s="73" t="s">
        <v>2271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2200</v>
      </c>
      <c r="I409" s="31">
        <f t="shared" si="20"/>
        <v>28</v>
      </c>
      <c r="J409" s="87" t="s">
        <v>2201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" thickBot="1" x14ac:dyDescent="0.35">
      <c r="A410" s="73" t="s">
        <v>2271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1995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" thickBot="1" x14ac:dyDescent="0.35">
      <c r="A411" s="73" t="s">
        <v>2271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1996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" thickBot="1" x14ac:dyDescent="0.35">
      <c r="A412" s="73" t="s">
        <v>2271</v>
      </c>
      <c r="B412" s="73" t="s">
        <v>2267</v>
      </c>
      <c r="C412" s="73" t="s">
        <v>1063</v>
      </c>
      <c r="D412" s="73" t="s">
        <v>2268</v>
      </c>
      <c r="E412" s="92" t="s">
        <v>19</v>
      </c>
      <c r="F412" s="85" t="s">
        <v>1301</v>
      </c>
      <c r="G412" s="85"/>
      <c r="H412" s="85" t="s">
        <v>2269</v>
      </c>
      <c r="I412" s="142">
        <f t="shared" si="20"/>
        <v>28</v>
      </c>
      <c r="J412" s="147" t="s">
        <v>2270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" thickBot="1" x14ac:dyDescent="0.35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23</v>
      </c>
      <c r="J413" s="147" t="s">
        <v>1997</v>
      </c>
      <c r="K413" s="142">
        <f t="shared" si="21"/>
        <v>5</v>
      </c>
      <c r="L413" s="143">
        <f t="shared" si="22"/>
        <v>0.8214285714285714</v>
      </c>
      <c r="M413" s="70" t="s">
        <v>2287</v>
      </c>
      <c r="N413" s="70" t="s">
        <v>2287</v>
      </c>
      <c r="O413" s="70" t="s">
        <v>2287</v>
      </c>
      <c r="P413" s="70" t="s">
        <v>2287</v>
      </c>
      <c r="Q413" s="70" t="s">
        <v>2287</v>
      </c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" thickBot="1" x14ac:dyDescent="0.35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28</v>
      </c>
      <c r="J414" s="147" t="s">
        <v>1998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" thickBot="1" x14ac:dyDescent="0.35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11</v>
      </c>
      <c r="J415" s="87"/>
      <c r="K415" s="31">
        <f t="shared" si="21"/>
        <v>17</v>
      </c>
      <c r="L415" s="32">
        <f t="shared" si="22"/>
        <v>0.39285714285714285</v>
      </c>
      <c r="M415" s="70" t="s">
        <v>2287</v>
      </c>
      <c r="N415" s="70" t="s">
        <v>2287</v>
      </c>
      <c r="O415" s="70" t="s">
        <v>2287</v>
      </c>
      <c r="P415" s="70" t="s">
        <v>2287</v>
      </c>
      <c r="Q415" s="70" t="s">
        <v>2287</v>
      </c>
      <c r="R415" s="70" t="s">
        <v>2287</v>
      </c>
      <c r="S415" s="70" t="s">
        <v>2287</v>
      </c>
      <c r="T415" s="70" t="s">
        <v>2287</v>
      </c>
      <c r="U415" s="70" t="s">
        <v>2287</v>
      </c>
      <c r="V415" s="70" t="s">
        <v>2287</v>
      </c>
      <c r="W415" s="70"/>
      <c r="X415" s="70" t="s">
        <v>2287</v>
      </c>
      <c r="Y415" s="70" t="s">
        <v>2287</v>
      </c>
      <c r="Z415" s="70" t="s">
        <v>2287</v>
      </c>
      <c r="AA415" s="70" t="s">
        <v>2287</v>
      </c>
      <c r="AB415" s="70" t="s">
        <v>2287</v>
      </c>
      <c r="AC415" s="70" t="s">
        <v>2287</v>
      </c>
      <c r="AD415" s="70" t="s">
        <v>2287</v>
      </c>
      <c r="AE415" s="93"/>
      <c r="AF415" s="93"/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" thickBot="1" x14ac:dyDescent="0.35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23</v>
      </c>
      <c r="J416" s="147" t="s">
        <v>1999</v>
      </c>
      <c r="K416" s="142">
        <f t="shared" si="21"/>
        <v>5</v>
      </c>
      <c r="L416" s="143">
        <f t="shared" si="22"/>
        <v>0.8214285714285714</v>
      </c>
      <c r="M416" s="70" t="s">
        <v>2287</v>
      </c>
      <c r="N416" s="70" t="s">
        <v>2287</v>
      </c>
      <c r="O416" s="70" t="s">
        <v>2287</v>
      </c>
      <c r="P416" s="70" t="s">
        <v>2287</v>
      </c>
      <c r="Q416" s="70" t="s">
        <v>2287</v>
      </c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" thickBot="1" x14ac:dyDescent="0.35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27</v>
      </c>
      <c r="J417" s="147" t="s">
        <v>2000</v>
      </c>
      <c r="K417" s="31">
        <f t="shared" si="21"/>
        <v>1</v>
      </c>
      <c r="L417" s="32">
        <f t="shared" si="22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 t="s">
        <v>2287</v>
      </c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" thickBot="1" x14ac:dyDescent="0.35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" thickBot="1" x14ac:dyDescent="0.35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26</v>
      </c>
      <c r="J419" s="73" t="s">
        <v>2001</v>
      </c>
      <c r="K419" s="142">
        <f t="shared" si="21"/>
        <v>2</v>
      </c>
      <c r="L419" s="143">
        <f t="shared" si="22"/>
        <v>0.9285714285714286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 t="s">
        <v>2287</v>
      </c>
      <c r="Y419" s="70" t="s">
        <v>2287</v>
      </c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" thickBot="1" x14ac:dyDescent="0.35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23</v>
      </c>
      <c r="J420" s="147" t="s">
        <v>2002</v>
      </c>
      <c r="K420" s="31">
        <f t="shared" si="21"/>
        <v>5</v>
      </c>
      <c r="L420" s="32">
        <f t="shared" si="22"/>
        <v>0.8214285714285714</v>
      </c>
      <c r="M420" s="70" t="s">
        <v>2287</v>
      </c>
      <c r="N420" s="70" t="s">
        <v>2287</v>
      </c>
      <c r="O420" s="70" t="s">
        <v>2287</v>
      </c>
      <c r="P420" s="70" t="s">
        <v>2287</v>
      </c>
      <c r="Q420" s="70" t="s">
        <v>2287</v>
      </c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95" customHeight="1" thickBot="1" x14ac:dyDescent="0.35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22</v>
      </c>
      <c r="J421" s="147" t="s">
        <v>2003</v>
      </c>
      <c r="K421" s="31">
        <f t="shared" si="21"/>
        <v>6</v>
      </c>
      <c r="L421" s="32">
        <f t="shared" si="22"/>
        <v>0.7857142857142857</v>
      </c>
      <c r="M421" s="70" t="s">
        <v>2287</v>
      </c>
      <c r="N421" s="70" t="s">
        <v>2287</v>
      </c>
      <c r="O421" s="70" t="s">
        <v>2287</v>
      </c>
      <c r="P421" s="70" t="s">
        <v>2287</v>
      </c>
      <c r="Q421" s="70" t="s">
        <v>2287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 t="s">
        <v>2287</v>
      </c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95" customHeight="1" thickBot="1" x14ac:dyDescent="0.35">
      <c r="A422" t="s">
        <v>1124</v>
      </c>
      <c r="B422" s="73" t="s">
        <v>1560</v>
      </c>
      <c r="C422" s="73" t="s">
        <v>1063</v>
      </c>
      <c r="D422" s="73" t="s">
        <v>1561</v>
      </c>
      <c r="E422" s="85" t="s">
        <v>1114</v>
      </c>
      <c r="F422" s="85" t="s">
        <v>1301</v>
      </c>
      <c r="G422" s="85"/>
      <c r="H422" s="85" t="s">
        <v>1563</v>
      </c>
      <c r="I422" s="31">
        <f t="shared" si="20"/>
        <v>25</v>
      </c>
      <c r="J422" s="147" t="s">
        <v>2004</v>
      </c>
      <c r="K422" s="31">
        <f t="shared" si="21"/>
        <v>3</v>
      </c>
      <c r="L422" s="32">
        <f t="shared" si="22"/>
        <v>0.8928571428571429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 t="s">
        <v>2287</v>
      </c>
      <c r="Y422" s="70" t="s">
        <v>2287</v>
      </c>
      <c r="Z422" s="70"/>
      <c r="AA422" s="70"/>
      <c r="AB422" s="70" t="s">
        <v>2287</v>
      </c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95" customHeight="1" thickBot="1" x14ac:dyDescent="0.35">
      <c r="A423" t="s">
        <v>1124</v>
      </c>
      <c r="B423" s="73" t="s">
        <v>1559</v>
      </c>
      <c r="C423" s="73" t="s">
        <v>1063</v>
      </c>
      <c r="D423" s="73" t="s">
        <v>1562</v>
      </c>
      <c r="E423" s="85" t="s">
        <v>1114</v>
      </c>
      <c r="F423" s="85" t="s">
        <v>1301</v>
      </c>
      <c r="G423" s="85"/>
      <c r="H423" s="85" t="s">
        <v>1564</v>
      </c>
      <c r="I423" s="31">
        <f t="shared" si="20"/>
        <v>25</v>
      </c>
      <c r="J423" s="147" t="s">
        <v>2005</v>
      </c>
      <c r="K423" s="31">
        <f t="shared" si="21"/>
        <v>3</v>
      </c>
      <c r="L423" s="32">
        <f t="shared" si="22"/>
        <v>0.8928571428571429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 t="s">
        <v>2287</v>
      </c>
      <c r="Y423" s="70" t="s">
        <v>2287</v>
      </c>
      <c r="Z423" s="70"/>
      <c r="AA423" s="70"/>
      <c r="AB423" s="70" t="s">
        <v>2287</v>
      </c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95" customHeight="1" thickBot="1" x14ac:dyDescent="0.35">
      <c r="A424" t="s">
        <v>1124</v>
      </c>
      <c r="B424" s="73" t="s">
        <v>2252</v>
      </c>
      <c r="C424" s="73" t="s">
        <v>1063</v>
      </c>
      <c r="D424" s="73" t="s">
        <v>2253</v>
      </c>
      <c r="E424" s="85" t="s">
        <v>1114</v>
      </c>
      <c r="F424" s="85"/>
      <c r="G424" s="85"/>
      <c r="H424" s="85" t="s">
        <v>2254</v>
      </c>
      <c r="I424" s="31">
        <f t="shared" si="20"/>
        <v>25</v>
      </c>
      <c r="J424" s="147"/>
      <c r="K424" s="31">
        <f t="shared" si="21"/>
        <v>3</v>
      </c>
      <c r="L424" s="32">
        <f t="shared" si="22"/>
        <v>0.8928571428571429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 t="s">
        <v>2287</v>
      </c>
      <c r="Y424" s="70" t="s">
        <v>2287</v>
      </c>
      <c r="Z424" s="70"/>
      <c r="AA424" s="70"/>
      <c r="AB424" s="70" t="s">
        <v>2287</v>
      </c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" thickBot="1" x14ac:dyDescent="0.35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2006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" thickBot="1" x14ac:dyDescent="0.35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2007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" thickBot="1" x14ac:dyDescent="0.35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28</v>
      </c>
      <c r="J427" s="147" t="s">
        <v>2008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" thickBot="1" x14ac:dyDescent="0.35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28</v>
      </c>
      <c r="J428" s="147" t="s">
        <v>2009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" thickBot="1" x14ac:dyDescent="0.35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17</v>
      </c>
      <c r="J429" s="147" t="s">
        <v>2010</v>
      </c>
      <c r="K429" s="31">
        <f t="shared" si="21"/>
        <v>11</v>
      </c>
      <c r="L429" s="32">
        <f t="shared" si="22"/>
        <v>0.6071428571428571</v>
      </c>
      <c r="M429" s="70" t="s">
        <v>2287</v>
      </c>
      <c r="N429" s="70" t="s">
        <v>2287</v>
      </c>
      <c r="O429" s="70" t="s">
        <v>2287</v>
      </c>
      <c r="P429" s="70" t="s">
        <v>2287</v>
      </c>
      <c r="Q429" s="70" t="s">
        <v>2287</v>
      </c>
      <c r="R429" s="70"/>
      <c r="S429" s="70"/>
      <c r="T429" s="70"/>
      <c r="U429" s="70"/>
      <c r="V429" s="70"/>
      <c r="W429" s="70"/>
      <c r="X429" s="70" t="s">
        <v>2287</v>
      </c>
      <c r="Y429" s="70" t="s">
        <v>2287</v>
      </c>
      <c r="Z429" s="70" t="s">
        <v>2287</v>
      </c>
      <c r="AA429" s="70"/>
      <c r="AB429" s="70" t="s">
        <v>2287</v>
      </c>
      <c r="AC429" s="70" t="s">
        <v>2287</v>
      </c>
      <c r="AD429" s="70" t="s">
        <v>2287</v>
      </c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" thickBot="1" x14ac:dyDescent="0.35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17</v>
      </c>
      <c r="J430" s="147" t="s">
        <v>2011</v>
      </c>
      <c r="K430" s="31">
        <f t="shared" si="21"/>
        <v>11</v>
      </c>
      <c r="L430" s="32">
        <f t="shared" si="22"/>
        <v>0.6071428571428571</v>
      </c>
      <c r="M430" s="70" t="s">
        <v>2287</v>
      </c>
      <c r="N430" s="70" t="s">
        <v>2287</v>
      </c>
      <c r="O430" s="70" t="s">
        <v>2287</v>
      </c>
      <c r="P430" s="70" t="s">
        <v>2287</v>
      </c>
      <c r="Q430" s="70" t="s">
        <v>2287</v>
      </c>
      <c r="R430" s="70"/>
      <c r="S430" s="70"/>
      <c r="T430" s="70"/>
      <c r="U430" s="70"/>
      <c r="V430" s="70"/>
      <c r="W430" s="70"/>
      <c r="X430" s="70" t="s">
        <v>2287</v>
      </c>
      <c r="Y430" s="70" t="s">
        <v>2287</v>
      </c>
      <c r="Z430" s="70" t="s">
        <v>2287</v>
      </c>
      <c r="AA430" s="70"/>
      <c r="AB430" s="70" t="s">
        <v>2287</v>
      </c>
      <c r="AC430" s="70" t="s">
        <v>2287</v>
      </c>
      <c r="AD430" s="70" t="s">
        <v>2287</v>
      </c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" thickBot="1" x14ac:dyDescent="0.35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2012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" thickBot="1" x14ac:dyDescent="0.35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2013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" thickBot="1" x14ac:dyDescent="0.35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" thickBot="1" x14ac:dyDescent="0.35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20</v>
      </c>
      <c r="J434" s="147" t="s">
        <v>2014</v>
      </c>
      <c r="K434" s="31">
        <f t="shared" si="21"/>
        <v>8</v>
      </c>
      <c r="L434" s="32">
        <f t="shared" si="22"/>
        <v>0.7142857142857143</v>
      </c>
      <c r="M434" s="70" t="s">
        <v>2287</v>
      </c>
      <c r="N434" s="70" t="s">
        <v>2287</v>
      </c>
      <c r="O434" s="70" t="s">
        <v>2287</v>
      </c>
      <c r="P434" s="70" t="s">
        <v>2287</v>
      </c>
      <c r="Q434" s="70" t="s">
        <v>2287</v>
      </c>
      <c r="R434" s="70" t="s">
        <v>2287</v>
      </c>
      <c r="S434" s="70" t="s">
        <v>2287</v>
      </c>
      <c r="T434" s="70" t="s">
        <v>2287</v>
      </c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" thickBot="1" x14ac:dyDescent="0.35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2015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" thickBot="1" x14ac:dyDescent="0.35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11</v>
      </c>
      <c r="J436" s="147" t="s">
        <v>2016</v>
      </c>
      <c r="K436" s="31">
        <f t="shared" si="21"/>
        <v>17</v>
      </c>
      <c r="L436" s="32">
        <f t="shared" si="22"/>
        <v>0.39285714285714285</v>
      </c>
      <c r="M436" s="70" t="s">
        <v>2287</v>
      </c>
      <c r="N436" s="70" t="s">
        <v>2287</v>
      </c>
      <c r="O436" s="70" t="s">
        <v>2287</v>
      </c>
      <c r="P436" s="70" t="s">
        <v>2287</v>
      </c>
      <c r="Q436" s="70" t="s">
        <v>2287</v>
      </c>
      <c r="R436" s="70" t="s">
        <v>2287</v>
      </c>
      <c r="S436" s="70" t="s">
        <v>2287</v>
      </c>
      <c r="T436" s="70" t="s">
        <v>2287</v>
      </c>
      <c r="U436" s="70" t="s">
        <v>2287</v>
      </c>
      <c r="V436" s="70" t="s">
        <v>2287</v>
      </c>
      <c r="W436" s="70"/>
      <c r="X436" s="70" t="s">
        <v>2287</v>
      </c>
      <c r="Y436" s="70" t="s">
        <v>2287</v>
      </c>
      <c r="Z436" s="70" t="s">
        <v>2287</v>
      </c>
      <c r="AA436" s="70" t="s">
        <v>2287</v>
      </c>
      <c r="AB436" s="70" t="s">
        <v>2287</v>
      </c>
      <c r="AC436" s="70" t="s">
        <v>2287</v>
      </c>
      <c r="AD436" s="70" t="s">
        <v>2287</v>
      </c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" thickBot="1" x14ac:dyDescent="0.35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" thickBot="1" x14ac:dyDescent="0.35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" thickBot="1" x14ac:dyDescent="0.35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" thickBot="1" x14ac:dyDescent="0.35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" thickBot="1" x14ac:dyDescent="0.35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14</v>
      </c>
      <c r="J441" s="147" t="s">
        <v>2017</v>
      </c>
      <c r="K441" s="31">
        <f t="shared" si="21"/>
        <v>14</v>
      </c>
      <c r="L441" s="32">
        <f t="shared" si="22"/>
        <v>0.5</v>
      </c>
      <c r="M441" s="70" t="s">
        <v>2287</v>
      </c>
      <c r="N441" s="70" t="s">
        <v>2287</v>
      </c>
      <c r="O441" s="70" t="s">
        <v>2287</v>
      </c>
      <c r="P441" s="70" t="s">
        <v>2287</v>
      </c>
      <c r="Q441" s="70" t="s">
        <v>2287</v>
      </c>
      <c r="R441" s="70" t="s">
        <v>2287</v>
      </c>
      <c r="S441" s="70" t="s">
        <v>2287</v>
      </c>
      <c r="T441" s="70"/>
      <c r="U441" s="70"/>
      <c r="V441" s="70"/>
      <c r="W441" s="70"/>
      <c r="X441" s="70" t="s">
        <v>2287</v>
      </c>
      <c r="Y441" s="70" t="s">
        <v>2287</v>
      </c>
      <c r="Z441" s="70" t="s">
        <v>2287</v>
      </c>
      <c r="AA441" s="70" t="s">
        <v>2287</v>
      </c>
      <c r="AB441" s="70" t="s">
        <v>2287</v>
      </c>
      <c r="AC441" s="70" t="s">
        <v>2287</v>
      </c>
      <c r="AD441" s="70" t="s">
        <v>2287</v>
      </c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" thickBot="1" x14ac:dyDescent="0.35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11</v>
      </c>
      <c r="J442" s="147" t="s">
        <v>2018</v>
      </c>
      <c r="K442" s="31">
        <f t="shared" si="21"/>
        <v>17</v>
      </c>
      <c r="L442" s="32">
        <f t="shared" si="22"/>
        <v>0.39285714285714285</v>
      </c>
      <c r="M442" s="70" t="s">
        <v>2287</v>
      </c>
      <c r="N442" s="70" t="s">
        <v>2287</v>
      </c>
      <c r="O442" s="70" t="s">
        <v>2287</v>
      </c>
      <c r="P442" s="70" t="s">
        <v>2287</v>
      </c>
      <c r="Q442" s="70" t="s">
        <v>2287</v>
      </c>
      <c r="R442" s="70" t="s">
        <v>2287</v>
      </c>
      <c r="S442" s="70" t="s">
        <v>2287</v>
      </c>
      <c r="T442" s="70" t="s">
        <v>2287</v>
      </c>
      <c r="U442" s="70" t="s">
        <v>2287</v>
      </c>
      <c r="V442" s="70" t="s">
        <v>2287</v>
      </c>
      <c r="W442" s="70"/>
      <c r="X442" s="70" t="s">
        <v>2287</v>
      </c>
      <c r="Y442" s="70" t="s">
        <v>2287</v>
      </c>
      <c r="Z442" s="70" t="s">
        <v>2287</v>
      </c>
      <c r="AA442" s="70" t="s">
        <v>2287</v>
      </c>
      <c r="AB442" s="70" t="s">
        <v>2287</v>
      </c>
      <c r="AC442" s="70" t="s">
        <v>2287</v>
      </c>
      <c r="AD442" s="70" t="s">
        <v>2287</v>
      </c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" thickBot="1" x14ac:dyDescent="0.35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27</v>
      </c>
      <c r="J443" s="147" t="s">
        <v>2019</v>
      </c>
      <c r="K443" s="142">
        <f t="shared" si="21"/>
        <v>1</v>
      </c>
      <c r="L443" s="143">
        <f t="shared" si="22"/>
        <v>0.9642857142857143</v>
      </c>
      <c r="M443" s="70" t="s">
        <v>2287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" thickBot="1" x14ac:dyDescent="0.35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2020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" thickBot="1" x14ac:dyDescent="0.35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2021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" thickBot="1" x14ac:dyDescent="0.35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16</v>
      </c>
      <c r="J446" s="147" t="s">
        <v>2022</v>
      </c>
      <c r="K446" s="31">
        <f t="shared" si="21"/>
        <v>12</v>
      </c>
      <c r="L446" s="32">
        <f t="shared" si="22"/>
        <v>0.5714285714285714</v>
      </c>
      <c r="M446" s="70" t="s">
        <v>2287</v>
      </c>
      <c r="N446" s="70" t="s">
        <v>2287</v>
      </c>
      <c r="O446" s="70" t="s">
        <v>2287</v>
      </c>
      <c r="P446" s="70" t="s">
        <v>2287</v>
      </c>
      <c r="Q446" s="70" t="s">
        <v>2287</v>
      </c>
      <c r="R446" s="70"/>
      <c r="S446" s="70"/>
      <c r="T446" s="70"/>
      <c r="U446" s="70"/>
      <c r="V446" s="70"/>
      <c r="W446" s="70"/>
      <c r="X446" s="70" t="s">
        <v>2287</v>
      </c>
      <c r="Y446" s="70" t="s">
        <v>2287</v>
      </c>
      <c r="Z446" s="70" t="s">
        <v>2287</v>
      </c>
      <c r="AA446" s="70" t="s">
        <v>2287</v>
      </c>
      <c r="AB446" s="70" t="s">
        <v>2287</v>
      </c>
      <c r="AC446" s="70" t="s">
        <v>2287</v>
      </c>
      <c r="AD446" s="70" t="s">
        <v>2287</v>
      </c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" thickBot="1" x14ac:dyDescent="0.35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16</v>
      </c>
      <c r="J447" s="147" t="s">
        <v>2023</v>
      </c>
      <c r="K447" s="31">
        <f t="shared" si="21"/>
        <v>12</v>
      </c>
      <c r="L447" s="32">
        <f t="shared" si="22"/>
        <v>0.5714285714285714</v>
      </c>
      <c r="M447" s="70" t="s">
        <v>2287</v>
      </c>
      <c r="N447" s="70" t="s">
        <v>2287</v>
      </c>
      <c r="O447" s="70" t="s">
        <v>2287</v>
      </c>
      <c r="P447" s="70" t="s">
        <v>2287</v>
      </c>
      <c r="Q447" s="70" t="s">
        <v>2287</v>
      </c>
      <c r="R447" s="70"/>
      <c r="S447" s="70"/>
      <c r="T447" s="70"/>
      <c r="U447" s="70"/>
      <c r="V447" s="70"/>
      <c r="W447" s="70"/>
      <c r="X447" s="70" t="s">
        <v>2287</v>
      </c>
      <c r="Y447" s="70" t="s">
        <v>2287</v>
      </c>
      <c r="Z447" s="70" t="s">
        <v>2287</v>
      </c>
      <c r="AA447" s="70" t="s">
        <v>2287</v>
      </c>
      <c r="AB447" s="70" t="s">
        <v>2287</v>
      </c>
      <c r="AC447" s="70" t="s">
        <v>2287</v>
      </c>
      <c r="AD447" s="70" t="s">
        <v>2287</v>
      </c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" thickBot="1" x14ac:dyDescent="0.35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20</v>
      </c>
      <c r="J448" s="147" t="s">
        <v>2024</v>
      </c>
      <c r="K448" s="31">
        <f t="shared" si="21"/>
        <v>8</v>
      </c>
      <c r="L448" s="32">
        <f t="shared" si="22"/>
        <v>0.7142857142857143</v>
      </c>
      <c r="M448" s="70" t="s">
        <v>2287</v>
      </c>
      <c r="N448" s="70" t="s">
        <v>2287</v>
      </c>
      <c r="O448" s="70" t="s">
        <v>2287</v>
      </c>
      <c r="P448" s="70" t="s">
        <v>2287</v>
      </c>
      <c r="Q448" s="70" t="s">
        <v>2287</v>
      </c>
      <c r="R448" s="70" t="s">
        <v>2287</v>
      </c>
      <c r="S448" s="70" t="s">
        <v>2287</v>
      </c>
      <c r="T448" s="70" t="s">
        <v>2287</v>
      </c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" thickBot="1" x14ac:dyDescent="0.35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28</v>
      </c>
      <c r="J449" s="147" t="s">
        <v>2025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" thickBot="1" x14ac:dyDescent="0.35">
      <c r="A450" s="73" t="s">
        <v>1604</v>
      </c>
      <c r="B450" s="73" t="s">
        <v>1605</v>
      </c>
      <c r="C450" s="73" t="s">
        <v>1063</v>
      </c>
      <c r="D450" s="146" t="s">
        <v>1606</v>
      </c>
      <c r="E450" s="85" t="s">
        <v>15</v>
      </c>
      <c r="F450" s="85" t="s">
        <v>1301</v>
      </c>
      <c r="G450" s="85"/>
      <c r="H450" s="85" t="s">
        <v>1607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" thickBot="1" x14ac:dyDescent="0.35">
      <c r="A451" s="73" t="s">
        <v>1604</v>
      </c>
      <c r="B451" s="73" t="s">
        <v>1616</v>
      </c>
      <c r="C451" s="73" t="s">
        <v>1063</v>
      </c>
      <c r="D451" s="146" t="s">
        <v>1617</v>
      </c>
      <c r="E451" s="85" t="s">
        <v>19</v>
      </c>
      <c r="F451" s="85" t="s">
        <v>1301</v>
      </c>
      <c r="G451" s="85"/>
      <c r="H451" s="85" t="s">
        <v>1618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" thickBot="1" x14ac:dyDescent="0.35">
      <c r="A452" s="73" t="s">
        <v>1610</v>
      </c>
      <c r="B452" s="73" t="s">
        <v>1609</v>
      </c>
      <c r="C452" s="73" t="s">
        <v>1063</v>
      </c>
      <c r="D452" s="146" t="s">
        <v>1611</v>
      </c>
      <c r="E452" s="85" t="s">
        <v>73</v>
      </c>
      <c r="F452" s="85" t="s">
        <v>1301</v>
      </c>
      <c r="G452" s="85"/>
      <c r="H452" s="85" t="s">
        <v>1612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" thickBot="1" x14ac:dyDescent="0.35">
      <c r="A453" s="73" t="s">
        <v>1604</v>
      </c>
      <c r="B453" s="73" t="s">
        <v>1661</v>
      </c>
      <c r="C453" s="73" t="s">
        <v>1063</v>
      </c>
      <c r="D453" s="146" t="s">
        <v>1659</v>
      </c>
      <c r="E453" s="85" t="s">
        <v>73</v>
      </c>
      <c r="F453" s="85" t="s">
        <v>1301</v>
      </c>
      <c r="G453" s="85"/>
      <c r="H453" s="85" t="s">
        <v>1663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" thickBot="1" x14ac:dyDescent="0.35">
      <c r="A454" s="73" t="s">
        <v>1604</v>
      </c>
      <c r="B454" s="73" t="s">
        <v>1662</v>
      </c>
      <c r="C454" s="73" t="s">
        <v>1063</v>
      </c>
      <c r="D454" s="146" t="s">
        <v>1660</v>
      </c>
      <c r="E454" s="85" t="s">
        <v>73</v>
      </c>
      <c r="F454" s="85" t="s">
        <v>1301</v>
      </c>
      <c r="G454" s="85"/>
      <c r="H454" s="85" t="s">
        <v>1664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" thickBot="1" x14ac:dyDescent="0.35">
      <c r="A455" s="73" t="s">
        <v>1604</v>
      </c>
      <c r="B455" s="73" t="s">
        <v>2173</v>
      </c>
      <c r="C455" s="73" t="s">
        <v>1063</v>
      </c>
      <c r="D455" s="146" t="s">
        <v>2174</v>
      </c>
      <c r="E455" s="85"/>
      <c r="F455" s="85" t="s">
        <v>1301</v>
      </c>
      <c r="G455" s="85"/>
      <c r="H455" s="85" t="s">
        <v>2175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" thickBot="1" x14ac:dyDescent="0.35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11</v>
      </c>
      <c r="J456" s="147" t="s">
        <v>2026</v>
      </c>
      <c r="K456" s="142">
        <f t="shared" si="21"/>
        <v>17</v>
      </c>
      <c r="L456" s="143">
        <f t="shared" si="22"/>
        <v>0.39285714285714285</v>
      </c>
      <c r="M456" s="70" t="s">
        <v>2287</v>
      </c>
      <c r="N456" s="70" t="s">
        <v>2287</v>
      </c>
      <c r="O456" s="70" t="s">
        <v>2287</v>
      </c>
      <c r="P456" s="70" t="s">
        <v>2287</v>
      </c>
      <c r="Q456" s="70" t="s">
        <v>2287</v>
      </c>
      <c r="R456" s="70" t="s">
        <v>2287</v>
      </c>
      <c r="S456" s="70" t="s">
        <v>2287</v>
      </c>
      <c r="T456" s="70" t="s">
        <v>2287</v>
      </c>
      <c r="U456" s="70" t="s">
        <v>2287</v>
      </c>
      <c r="V456" s="70" t="s">
        <v>2287</v>
      </c>
      <c r="W456" s="70"/>
      <c r="X456" s="70" t="s">
        <v>2287</v>
      </c>
      <c r="Y456" s="70" t="s">
        <v>2287</v>
      </c>
      <c r="Z456" s="70" t="s">
        <v>2287</v>
      </c>
      <c r="AA456" s="70" t="s">
        <v>2287</v>
      </c>
      <c r="AB456" s="70" t="s">
        <v>2287</v>
      </c>
      <c r="AC456" s="70" t="s">
        <v>2287</v>
      </c>
      <c r="AD456" s="70" t="s">
        <v>2287</v>
      </c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" thickBot="1" x14ac:dyDescent="0.35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11</v>
      </c>
      <c r="J457" s="147" t="s">
        <v>2027</v>
      </c>
      <c r="K457" s="142">
        <f t="shared" si="21"/>
        <v>17</v>
      </c>
      <c r="L457" s="143">
        <f t="shared" si="22"/>
        <v>0.39285714285714285</v>
      </c>
      <c r="M457" s="70" t="s">
        <v>2287</v>
      </c>
      <c r="N457" s="70" t="s">
        <v>2287</v>
      </c>
      <c r="O457" s="70" t="s">
        <v>2287</v>
      </c>
      <c r="P457" s="70" t="s">
        <v>2287</v>
      </c>
      <c r="Q457" s="70" t="s">
        <v>2287</v>
      </c>
      <c r="R457" s="70" t="s">
        <v>2287</v>
      </c>
      <c r="S457" s="70" t="s">
        <v>2287</v>
      </c>
      <c r="T457" s="70" t="s">
        <v>2287</v>
      </c>
      <c r="U457" s="70" t="s">
        <v>2287</v>
      </c>
      <c r="V457" s="70" t="s">
        <v>2287</v>
      </c>
      <c r="W457" s="70"/>
      <c r="X457" s="70" t="s">
        <v>2287</v>
      </c>
      <c r="Y457" s="70" t="s">
        <v>2287</v>
      </c>
      <c r="Z457" s="70" t="s">
        <v>2287</v>
      </c>
      <c r="AA457" s="70" t="s">
        <v>2287</v>
      </c>
      <c r="AB457" s="70" t="s">
        <v>2287</v>
      </c>
      <c r="AC457" s="70" t="s">
        <v>2287</v>
      </c>
      <c r="AD457" s="70" t="s">
        <v>2287</v>
      </c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" thickBot="1" x14ac:dyDescent="0.35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11</v>
      </c>
      <c r="J458" s="87"/>
      <c r="K458" s="142">
        <f t="shared" si="21"/>
        <v>17</v>
      </c>
      <c r="L458" s="143">
        <f t="shared" si="22"/>
        <v>0.39285714285714285</v>
      </c>
      <c r="M458" s="70" t="s">
        <v>2287</v>
      </c>
      <c r="N458" s="70" t="s">
        <v>2287</v>
      </c>
      <c r="O458" s="70" t="s">
        <v>2287</v>
      </c>
      <c r="P458" s="70" t="s">
        <v>2287</v>
      </c>
      <c r="Q458" s="70" t="s">
        <v>2287</v>
      </c>
      <c r="R458" s="70" t="s">
        <v>2287</v>
      </c>
      <c r="S458" s="70" t="s">
        <v>2287</v>
      </c>
      <c r="T458" s="70" t="s">
        <v>2287</v>
      </c>
      <c r="U458" s="70" t="s">
        <v>2287</v>
      </c>
      <c r="V458" s="70" t="s">
        <v>2287</v>
      </c>
      <c r="W458" s="70"/>
      <c r="X458" s="70" t="s">
        <v>2287</v>
      </c>
      <c r="Y458" s="70" t="s">
        <v>2287</v>
      </c>
      <c r="Z458" s="70" t="s">
        <v>2287</v>
      </c>
      <c r="AA458" s="70" t="s">
        <v>2287</v>
      </c>
      <c r="AB458" s="70" t="s">
        <v>2287</v>
      </c>
      <c r="AC458" s="70" t="s">
        <v>2287</v>
      </c>
      <c r="AD458" s="70" t="s">
        <v>2287</v>
      </c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" thickBot="1" x14ac:dyDescent="0.35">
      <c r="A459" s="73" t="s">
        <v>433</v>
      </c>
      <c r="B459" s="85" t="s">
        <v>2142</v>
      </c>
      <c r="C459" t="s">
        <v>1062</v>
      </c>
      <c r="D459" s="73" t="s">
        <v>2143</v>
      </c>
      <c r="E459" s="85" t="s">
        <v>15</v>
      </c>
      <c r="F459" s="85" t="s">
        <v>1301</v>
      </c>
      <c r="G459" s="85"/>
      <c r="H459" s="85" t="s">
        <v>2144</v>
      </c>
      <c r="I459" s="142">
        <f t="shared" si="20"/>
        <v>18</v>
      </c>
      <c r="J459" s="153" t="s">
        <v>2145</v>
      </c>
      <c r="K459" s="142">
        <f t="shared" si="21"/>
        <v>10</v>
      </c>
      <c r="L459" s="143">
        <f t="shared" si="22"/>
        <v>0.6428571428571429</v>
      </c>
      <c r="M459" s="70" t="s">
        <v>2287</v>
      </c>
      <c r="N459" s="70" t="s">
        <v>2287</v>
      </c>
      <c r="O459" s="70" t="s">
        <v>2287</v>
      </c>
      <c r="P459" s="70" t="s">
        <v>2287</v>
      </c>
      <c r="Q459" s="70" t="s">
        <v>2287</v>
      </c>
      <c r="R459" s="70" t="s">
        <v>2287</v>
      </c>
      <c r="S459" s="70" t="s">
        <v>2287</v>
      </c>
      <c r="T459" s="70" t="s">
        <v>2287</v>
      </c>
      <c r="U459" s="70" t="s">
        <v>2287</v>
      </c>
      <c r="V459" s="70" t="s">
        <v>2287</v>
      </c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" thickBot="1" x14ac:dyDescent="0.35">
      <c r="B460" s="85" t="s">
        <v>2286</v>
      </c>
      <c r="C460" t="s">
        <v>1062</v>
      </c>
      <c r="D460" s="73" t="s">
        <v>1543</v>
      </c>
      <c r="E460" s="85"/>
      <c r="F460" s="85"/>
      <c r="G460" s="85"/>
      <c r="H460" s="85"/>
      <c r="I460" s="142">
        <f t="shared" si="20"/>
        <v>11</v>
      </c>
      <c r="J460" s="153"/>
      <c r="K460" s="142">
        <f t="shared" si="21"/>
        <v>17</v>
      </c>
      <c r="L460" s="143">
        <f t="shared" si="22"/>
        <v>0.39285714285714285</v>
      </c>
      <c r="M460" s="70" t="s">
        <v>2287</v>
      </c>
      <c r="N460" s="70" t="s">
        <v>2287</v>
      </c>
      <c r="O460" s="70" t="s">
        <v>2287</v>
      </c>
      <c r="P460" s="70" t="s">
        <v>2287</v>
      </c>
      <c r="Q460" s="70" t="s">
        <v>2287</v>
      </c>
      <c r="R460" s="70" t="s">
        <v>2287</v>
      </c>
      <c r="S460" s="70" t="s">
        <v>2287</v>
      </c>
      <c r="T460" s="70" t="s">
        <v>2287</v>
      </c>
      <c r="U460" s="70" t="s">
        <v>2287</v>
      </c>
      <c r="V460" s="70" t="s">
        <v>2287</v>
      </c>
      <c r="W460" s="70"/>
      <c r="X460" s="70" t="s">
        <v>2287</v>
      </c>
      <c r="Y460" s="70" t="s">
        <v>2287</v>
      </c>
      <c r="Z460" s="70" t="s">
        <v>2287</v>
      </c>
      <c r="AA460" s="70" t="s">
        <v>2287</v>
      </c>
      <c r="AB460" s="70" t="s">
        <v>2287</v>
      </c>
      <c r="AC460" s="70" t="s">
        <v>2287</v>
      </c>
      <c r="AD460" s="70" t="s">
        <v>2287</v>
      </c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89"/>
      <c r="AQ460" s="89"/>
    </row>
    <row r="461" spans="1:43" ht="15" thickBot="1" x14ac:dyDescent="0.35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23</v>
      </c>
      <c r="J461" s="147" t="s">
        <v>2028</v>
      </c>
      <c r="K461" s="31">
        <f t="shared" si="21"/>
        <v>5</v>
      </c>
      <c r="L461" s="32">
        <f t="shared" si="22"/>
        <v>0.8214285714285714</v>
      </c>
      <c r="M461" s="70"/>
      <c r="N461" s="70"/>
      <c r="O461" s="70"/>
      <c r="P461" s="70"/>
      <c r="Q461" s="70"/>
      <c r="R461" s="70" t="s">
        <v>2287</v>
      </c>
      <c r="S461" s="70" t="s">
        <v>2287</v>
      </c>
      <c r="T461" s="70" t="s">
        <v>2287</v>
      </c>
      <c r="U461" s="70"/>
      <c r="V461" s="70"/>
      <c r="W461" s="70"/>
      <c r="X461" s="70"/>
      <c r="Y461" s="70"/>
      <c r="Z461" s="70"/>
      <c r="AA461" s="70"/>
      <c r="AB461" s="70"/>
      <c r="AC461" s="70" t="s">
        <v>2287</v>
      </c>
      <c r="AD461" s="70" t="s">
        <v>2287</v>
      </c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" thickBot="1" x14ac:dyDescent="0.35">
      <c r="A462" t="s">
        <v>479</v>
      </c>
      <c r="B462" t="s">
        <v>480</v>
      </c>
      <c r="C462" t="s">
        <v>1062</v>
      </c>
      <c r="D462" t="s">
        <v>1614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21</v>
      </c>
      <c r="J462" s="147" t="s">
        <v>2029</v>
      </c>
      <c r="K462" s="31">
        <f t="shared" si="21"/>
        <v>7</v>
      </c>
      <c r="L462" s="32">
        <f t="shared" si="22"/>
        <v>0.75</v>
      </c>
      <c r="M462" s="70"/>
      <c r="N462" s="70"/>
      <c r="O462" s="70"/>
      <c r="P462" s="70"/>
      <c r="Q462" s="70"/>
      <c r="R462" s="70" t="s">
        <v>2287</v>
      </c>
      <c r="S462" s="70" t="s">
        <v>2287</v>
      </c>
      <c r="T462" s="70" t="s">
        <v>2287</v>
      </c>
      <c r="U462" s="70"/>
      <c r="V462" s="70"/>
      <c r="W462" s="70"/>
      <c r="X462" s="70"/>
      <c r="Y462" s="70"/>
      <c r="Z462" s="70"/>
      <c r="AA462" s="70" t="s">
        <v>2287</v>
      </c>
      <c r="AB462" s="70" t="s">
        <v>2287</v>
      </c>
      <c r="AC462" s="70" t="s">
        <v>2287</v>
      </c>
      <c r="AD462" s="70" t="s">
        <v>2287</v>
      </c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" thickBot="1" x14ac:dyDescent="0.35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2030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" thickBot="1" x14ac:dyDescent="0.35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2031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" thickBot="1" x14ac:dyDescent="0.35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2032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" thickBot="1" x14ac:dyDescent="0.35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2033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" thickBot="1" x14ac:dyDescent="0.35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2034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" thickBot="1" x14ac:dyDescent="0.35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2035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" thickBot="1" x14ac:dyDescent="0.35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2036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" thickBot="1" x14ac:dyDescent="0.35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2037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" thickBot="1" x14ac:dyDescent="0.35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2038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" thickBot="1" x14ac:dyDescent="0.35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2039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" thickBot="1" x14ac:dyDescent="0.35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2040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" thickBot="1" x14ac:dyDescent="0.35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2041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" thickBot="1" x14ac:dyDescent="0.35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2042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" thickBot="1" x14ac:dyDescent="0.35">
      <c r="A476" s="73" t="s">
        <v>479</v>
      </c>
      <c r="B476" s="73" t="s">
        <v>1608</v>
      </c>
      <c r="C476" s="73" t="s">
        <v>1062</v>
      </c>
      <c r="D476" s="146" t="s">
        <v>1613</v>
      </c>
      <c r="E476" s="73" t="s">
        <v>15</v>
      </c>
      <c r="F476" s="73" t="s">
        <v>1301</v>
      </c>
      <c r="H476" s="85" t="s">
        <v>1615</v>
      </c>
      <c r="I476" s="87">
        <f t="shared" si="23"/>
        <v>28</v>
      </c>
      <c r="J476" s="87" t="s">
        <v>2165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" thickBot="1" x14ac:dyDescent="0.35">
      <c r="A477" s="73" t="s">
        <v>479</v>
      </c>
      <c r="B477" s="73" t="s">
        <v>1626</v>
      </c>
      <c r="C477" s="73" t="s">
        <v>1062</v>
      </c>
      <c r="D477" s="146" t="s">
        <v>1619</v>
      </c>
      <c r="E477" s="73" t="s">
        <v>19</v>
      </c>
      <c r="F477" s="73" t="s">
        <v>1301</v>
      </c>
      <c r="H477" s="85" t="s">
        <v>1627</v>
      </c>
      <c r="I477" s="87">
        <f t="shared" si="23"/>
        <v>28</v>
      </c>
      <c r="J477" s="87" t="s">
        <v>2166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" thickBot="1" x14ac:dyDescent="0.35">
      <c r="A478" s="73" t="s">
        <v>479</v>
      </c>
      <c r="B478" s="73" t="s">
        <v>1621</v>
      </c>
      <c r="C478" s="73" t="s">
        <v>1062</v>
      </c>
      <c r="D478" s="146" t="s">
        <v>1620</v>
      </c>
      <c r="E478" s="73" t="s">
        <v>1114</v>
      </c>
      <c r="F478" s="73" t="s">
        <v>1301</v>
      </c>
      <c r="H478" s="85" t="s">
        <v>1625</v>
      </c>
      <c r="I478" s="87">
        <f t="shared" si="23"/>
        <v>28</v>
      </c>
      <c r="J478" s="87" t="s">
        <v>2167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" thickBot="1" x14ac:dyDescent="0.35">
      <c r="A479" s="73" t="s">
        <v>479</v>
      </c>
      <c r="B479" s="73" t="s">
        <v>1622</v>
      </c>
      <c r="C479" s="73" t="s">
        <v>1062</v>
      </c>
      <c r="D479" s="146" t="s">
        <v>1623</v>
      </c>
      <c r="E479" s="73" t="s">
        <v>1114</v>
      </c>
      <c r="F479" s="73" t="s">
        <v>1301</v>
      </c>
      <c r="H479" s="85" t="s">
        <v>1624</v>
      </c>
      <c r="I479" s="87">
        <f t="shared" si="23"/>
        <v>28</v>
      </c>
      <c r="J479" s="87" t="s">
        <v>2168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" thickBot="1" x14ac:dyDescent="0.35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2043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" thickBot="1" x14ac:dyDescent="0.35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26</v>
      </c>
      <c r="J481" s="87"/>
      <c r="K481" s="31">
        <f t="shared" si="24"/>
        <v>2</v>
      </c>
      <c r="L481" s="32">
        <f t="shared" si="25"/>
        <v>0.9285714285714286</v>
      </c>
      <c r="M481" s="70"/>
      <c r="N481" s="70"/>
      <c r="O481" s="70"/>
      <c r="P481" s="70"/>
      <c r="Q481" s="70"/>
      <c r="R481" s="70" t="s">
        <v>2287</v>
      </c>
      <c r="S481" s="70" t="s">
        <v>2287</v>
      </c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" thickBot="1" x14ac:dyDescent="0.35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26</v>
      </c>
      <c r="J482" s="87"/>
      <c r="K482" s="31">
        <f t="shared" si="24"/>
        <v>2</v>
      </c>
      <c r="L482" s="32">
        <f t="shared" si="25"/>
        <v>0.9285714285714286</v>
      </c>
      <c r="M482" s="70"/>
      <c r="N482" s="70"/>
      <c r="O482" s="70"/>
      <c r="P482" s="70"/>
      <c r="Q482" s="70"/>
      <c r="R482" s="70" t="s">
        <v>2287</v>
      </c>
      <c r="S482" s="70" t="s">
        <v>2287</v>
      </c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" thickBot="1" x14ac:dyDescent="0.35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25</v>
      </c>
      <c r="J483" s="87"/>
      <c r="K483" s="31">
        <f t="shared" si="24"/>
        <v>3</v>
      </c>
      <c r="L483" s="32">
        <f t="shared" si="25"/>
        <v>0.8928571428571429</v>
      </c>
      <c r="M483" s="70"/>
      <c r="N483" s="70"/>
      <c r="O483" s="70"/>
      <c r="P483" s="70"/>
      <c r="Q483" s="70"/>
      <c r="R483" s="70" t="s">
        <v>2287</v>
      </c>
      <c r="S483" s="70" t="s">
        <v>2287</v>
      </c>
      <c r="T483" s="70"/>
      <c r="U483" s="70"/>
      <c r="V483" s="70"/>
      <c r="W483" s="70"/>
      <c r="X483" s="70" t="s">
        <v>2287</v>
      </c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" thickBot="1" x14ac:dyDescent="0.35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26</v>
      </c>
      <c r="J484" s="87"/>
      <c r="K484" s="31">
        <f t="shared" si="24"/>
        <v>2</v>
      </c>
      <c r="L484" s="32">
        <f t="shared" si="25"/>
        <v>0.9285714285714286</v>
      </c>
      <c r="M484" s="70"/>
      <c r="N484" s="70"/>
      <c r="O484" s="70"/>
      <c r="P484" s="70"/>
      <c r="Q484" s="70"/>
      <c r="R484" s="70" t="s">
        <v>2287</v>
      </c>
      <c r="S484" s="70" t="s">
        <v>2287</v>
      </c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" thickBot="1" x14ac:dyDescent="0.35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26</v>
      </c>
      <c r="J485" s="87"/>
      <c r="K485" s="31">
        <f t="shared" si="24"/>
        <v>2</v>
      </c>
      <c r="L485" s="32">
        <f t="shared" si="25"/>
        <v>0.9285714285714286</v>
      </c>
      <c r="M485" s="70"/>
      <c r="N485" s="70"/>
      <c r="O485" s="70"/>
      <c r="P485" s="70"/>
      <c r="Q485" s="70"/>
      <c r="R485" s="70" t="s">
        <v>2287</v>
      </c>
      <c r="S485" s="70" t="s">
        <v>2287</v>
      </c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" thickBot="1" x14ac:dyDescent="0.35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28</v>
      </c>
      <c r="J486" s="147" t="s">
        <v>2044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" thickBot="1" x14ac:dyDescent="0.35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2045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" thickBot="1" x14ac:dyDescent="0.35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2046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" thickBot="1" x14ac:dyDescent="0.35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2047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" thickBot="1" x14ac:dyDescent="0.35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2048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" thickBot="1" x14ac:dyDescent="0.35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28</v>
      </c>
      <c r="J491" s="147" t="s">
        <v>2049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" thickBot="1" x14ac:dyDescent="0.35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2050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" thickBot="1" x14ac:dyDescent="0.35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28</v>
      </c>
      <c r="J493" s="147" t="s">
        <v>2051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" thickBot="1" x14ac:dyDescent="0.35">
      <c r="A494" t="s">
        <v>518</v>
      </c>
      <c r="B494" t="s">
        <v>526</v>
      </c>
      <c r="C494" t="s">
        <v>1063</v>
      </c>
      <c r="D494" t="s">
        <v>2255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28</v>
      </c>
      <c r="J494" s="147" t="s">
        <v>2052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" thickBot="1" x14ac:dyDescent="0.35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27</v>
      </c>
      <c r="J495" s="147" t="s">
        <v>2053</v>
      </c>
      <c r="K495" s="31">
        <f t="shared" si="24"/>
        <v>1</v>
      </c>
      <c r="L495" s="32">
        <f t="shared" si="25"/>
        <v>0.9642857142857143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 t="s">
        <v>2287</v>
      </c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" thickBot="1" x14ac:dyDescent="0.35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16</v>
      </c>
      <c r="J496" s="147" t="s">
        <v>2054</v>
      </c>
      <c r="K496" s="31">
        <f t="shared" si="24"/>
        <v>12</v>
      </c>
      <c r="L496" s="32">
        <f t="shared" si="25"/>
        <v>0.5714285714285714</v>
      </c>
      <c r="M496" s="70" t="s">
        <v>2287</v>
      </c>
      <c r="N496" s="70" t="s">
        <v>2287</v>
      </c>
      <c r="O496" s="70"/>
      <c r="P496" s="70"/>
      <c r="Q496" s="70" t="s">
        <v>2287</v>
      </c>
      <c r="R496" s="70" t="s">
        <v>2287</v>
      </c>
      <c r="S496" s="70" t="s">
        <v>2287</v>
      </c>
      <c r="T496" s="70" t="s">
        <v>2287</v>
      </c>
      <c r="U496" s="70"/>
      <c r="V496" s="70"/>
      <c r="W496" s="70"/>
      <c r="X496" s="70"/>
      <c r="Y496" s="70" t="s">
        <v>2287</v>
      </c>
      <c r="Z496" s="70" t="s">
        <v>2287</v>
      </c>
      <c r="AA496" s="70" t="s">
        <v>2287</v>
      </c>
      <c r="AB496" s="70" t="s">
        <v>2287</v>
      </c>
      <c r="AC496" s="70" t="s">
        <v>2287</v>
      </c>
      <c r="AD496" s="70" t="s">
        <v>2287</v>
      </c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" thickBot="1" x14ac:dyDescent="0.35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27</v>
      </c>
      <c r="J497" s="147" t="s">
        <v>2055</v>
      </c>
      <c r="K497" s="31">
        <f t="shared" si="24"/>
        <v>1</v>
      </c>
      <c r="L497" s="32">
        <f t="shared" si="25"/>
        <v>0.9642857142857143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 t="s">
        <v>2287</v>
      </c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" thickBot="1" x14ac:dyDescent="0.35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2056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" thickBot="1" x14ac:dyDescent="0.35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2057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" thickBot="1" x14ac:dyDescent="0.35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2058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" thickBot="1" x14ac:dyDescent="0.35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2059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" thickBot="1" x14ac:dyDescent="0.35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28</v>
      </c>
      <c r="J502" s="147" t="s">
        <v>2060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" thickBot="1" x14ac:dyDescent="0.35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16</v>
      </c>
      <c r="J503" s="147" t="s">
        <v>2061</v>
      </c>
      <c r="K503" s="31">
        <f t="shared" si="24"/>
        <v>12</v>
      </c>
      <c r="L503" s="32">
        <f t="shared" si="25"/>
        <v>0.5714285714285714</v>
      </c>
      <c r="M503" s="70" t="s">
        <v>2287</v>
      </c>
      <c r="N503" s="70" t="s">
        <v>2287</v>
      </c>
      <c r="O503" s="70"/>
      <c r="P503" s="70"/>
      <c r="Q503" s="70" t="s">
        <v>2287</v>
      </c>
      <c r="R503" s="70" t="s">
        <v>2287</v>
      </c>
      <c r="S503" s="70" t="s">
        <v>2287</v>
      </c>
      <c r="T503" s="70" t="s">
        <v>2287</v>
      </c>
      <c r="U503" s="70"/>
      <c r="V503" s="70"/>
      <c r="W503" s="70"/>
      <c r="X503" s="70"/>
      <c r="Y503" s="70" t="s">
        <v>2287</v>
      </c>
      <c r="Z503" s="70" t="s">
        <v>2287</v>
      </c>
      <c r="AA503" s="70" t="s">
        <v>2287</v>
      </c>
      <c r="AB503" s="70" t="s">
        <v>2287</v>
      </c>
      <c r="AC503" s="70" t="s">
        <v>2287</v>
      </c>
      <c r="AD503" s="70" t="s">
        <v>2287</v>
      </c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" thickBot="1" x14ac:dyDescent="0.35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2062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" thickBot="1" x14ac:dyDescent="0.35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27</v>
      </c>
      <c r="J505" s="147" t="s">
        <v>2063</v>
      </c>
      <c r="K505" s="31">
        <f t="shared" si="24"/>
        <v>1</v>
      </c>
      <c r="L505" s="32">
        <f t="shared" si="25"/>
        <v>0.9642857142857143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 t="s">
        <v>2287</v>
      </c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" thickBot="1" x14ac:dyDescent="0.35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28</v>
      </c>
      <c r="J506" s="147" t="s">
        <v>2064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" thickBot="1" x14ac:dyDescent="0.35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2065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" thickBot="1" x14ac:dyDescent="0.35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16</v>
      </c>
      <c r="J508" s="147" t="s">
        <v>2066</v>
      </c>
      <c r="K508" s="31">
        <f t="shared" si="24"/>
        <v>12</v>
      </c>
      <c r="L508" s="32">
        <f t="shared" si="25"/>
        <v>0.5714285714285714</v>
      </c>
      <c r="M508" s="70" t="s">
        <v>2287</v>
      </c>
      <c r="N508" s="70" t="s">
        <v>2287</v>
      </c>
      <c r="O508" s="70"/>
      <c r="P508" s="70"/>
      <c r="Q508" s="70" t="s">
        <v>2287</v>
      </c>
      <c r="R508" s="70" t="s">
        <v>2287</v>
      </c>
      <c r="S508" s="70" t="s">
        <v>2287</v>
      </c>
      <c r="T508" s="70" t="s">
        <v>2287</v>
      </c>
      <c r="U508" s="70"/>
      <c r="V508" s="70"/>
      <c r="W508" s="70"/>
      <c r="X508" s="70"/>
      <c r="Y508" s="70" t="s">
        <v>2287</v>
      </c>
      <c r="Z508" s="70" t="s">
        <v>2287</v>
      </c>
      <c r="AA508" s="70" t="s">
        <v>2287</v>
      </c>
      <c r="AB508" s="70" t="s">
        <v>2287</v>
      </c>
      <c r="AC508" s="70" t="s">
        <v>2287</v>
      </c>
      <c r="AD508" s="70" t="s">
        <v>2287</v>
      </c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" thickBot="1" x14ac:dyDescent="0.35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28</v>
      </c>
      <c r="J509" s="147" t="s">
        <v>2067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" thickBot="1" x14ac:dyDescent="0.35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11</v>
      </c>
      <c r="J510" s="147" t="s">
        <v>2068</v>
      </c>
      <c r="K510" s="31">
        <f t="shared" si="24"/>
        <v>17</v>
      </c>
      <c r="L510" s="32">
        <f t="shared" si="25"/>
        <v>0.39285714285714285</v>
      </c>
      <c r="M510" s="70" t="s">
        <v>2287</v>
      </c>
      <c r="N510" s="70" t="s">
        <v>2287</v>
      </c>
      <c r="O510" s="70" t="s">
        <v>2287</v>
      </c>
      <c r="P510" s="70" t="s">
        <v>2287</v>
      </c>
      <c r="Q510" s="70" t="s">
        <v>2287</v>
      </c>
      <c r="R510" s="70" t="s">
        <v>2287</v>
      </c>
      <c r="S510" s="70" t="s">
        <v>2287</v>
      </c>
      <c r="T510" s="70" t="s">
        <v>2287</v>
      </c>
      <c r="U510" s="70" t="s">
        <v>2287</v>
      </c>
      <c r="V510" s="70" t="s">
        <v>2287</v>
      </c>
      <c r="W510" s="70"/>
      <c r="X510" s="70" t="s">
        <v>2287</v>
      </c>
      <c r="Y510" s="70" t="s">
        <v>2287</v>
      </c>
      <c r="Z510" s="70" t="s">
        <v>2287</v>
      </c>
      <c r="AA510" s="70" t="s">
        <v>2287</v>
      </c>
      <c r="AB510" s="70" t="s">
        <v>2287</v>
      </c>
      <c r="AC510" s="70" t="s">
        <v>2287</v>
      </c>
      <c r="AD510" s="70" t="s">
        <v>2287</v>
      </c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" thickBot="1" x14ac:dyDescent="0.35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16</v>
      </c>
      <c r="J511" s="147" t="s">
        <v>2069</v>
      </c>
      <c r="K511" s="31">
        <f t="shared" si="24"/>
        <v>12</v>
      </c>
      <c r="L511" s="32">
        <f t="shared" si="25"/>
        <v>0.5714285714285714</v>
      </c>
      <c r="M511" s="70" t="s">
        <v>2287</v>
      </c>
      <c r="N511" s="70" t="s">
        <v>2287</v>
      </c>
      <c r="O511" s="70"/>
      <c r="P511" s="70"/>
      <c r="Q511" s="70" t="s">
        <v>2287</v>
      </c>
      <c r="R511" s="70" t="s">
        <v>2287</v>
      </c>
      <c r="S511" s="70" t="s">
        <v>2287</v>
      </c>
      <c r="T511" s="70" t="s">
        <v>2287</v>
      </c>
      <c r="U511" s="70"/>
      <c r="V511" s="70"/>
      <c r="W511" s="70"/>
      <c r="X511" s="70"/>
      <c r="Y511" s="70" t="s">
        <v>2287</v>
      </c>
      <c r="Z511" s="70" t="s">
        <v>2287</v>
      </c>
      <c r="AA511" s="70" t="s">
        <v>2287</v>
      </c>
      <c r="AB511" s="70" t="s">
        <v>2287</v>
      </c>
      <c r="AC511" s="70" t="s">
        <v>2287</v>
      </c>
      <c r="AD511" s="70" t="s">
        <v>2287</v>
      </c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" thickBot="1" x14ac:dyDescent="0.35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" thickBot="1" x14ac:dyDescent="0.35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2070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" thickBot="1" x14ac:dyDescent="0.35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16</v>
      </c>
      <c r="J514" s="147" t="s">
        <v>2071</v>
      </c>
      <c r="K514" s="31">
        <f t="shared" si="24"/>
        <v>12</v>
      </c>
      <c r="L514" s="32">
        <f t="shared" si="25"/>
        <v>0.5714285714285714</v>
      </c>
      <c r="M514" s="70" t="s">
        <v>2287</v>
      </c>
      <c r="N514" s="70" t="s">
        <v>2287</v>
      </c>
      <c r="O514" s="70"/>
      <c r="P514" s="70"/>
      <c r="Q514" s="70" t="s">
        <v>2287</v>
      </c>
      <c r="R514" s="70" t="s">
        <v>2287</v>
      </c>
      <c r="S514" s="70" t="s">
        <v>2287</v>
      </c>
      <c r="T514" s="70" t="s">
        <v>2287</v>
      </c>
      <c r="U514" s="70"/>
      <c r="V514" s="70"/>
      <c r="W514" s="70"/>
      <c r="X514" s="70"/>
      <c r="Y514" s="70" t="s">
        <v>2287</v>
      </c>
      <c r="Z514" s="70" t="s">
        <v>2287</v>
      </c>
      <c r="AA514" s="70" t="s">
        <v>2287</v>
      </c>
      <c r="AB514" s="70" t="s">
        <v>2287</v>
      </c>
      <c r="AC514" s="70" t="s">
        <v>2287</v>
      </c>
      <c r="AD514" s="70" t="s">
        <v>2287</v>
      </c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" thickBot="1" x14ac:dyDescent="0.35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17</v>
      </c>
      <c r="J515" s="147" t="s">
        <v>2072</v>
      </c>
      <c r="K515" s="31">
        <f t="shared" si="24"/>
        <v>11</v>
      </c>
      <c r="L515" s="32">
        <f t="shared" si="25"/>
        <v>0.6071428571428571</v>
      </c>
      <c r="M515" s="70" t="s">
        <v>2287</v>
      </c>
      <c r="N515" s="70" t="s">
        <v>2287</v>
      </c>
      <c r="O515" s="70"/>
      <c r="P515" s="70"/>
      <c r="Q515" s="70"/>
      <c r="R515" s="70" t="s">
        <v>2287</v>
      </c>
      <c r="S515" s="70" t="s">
        <v>2287</v>
      </c>
      <c r="T515" s="70" t="s">
        <v>2287</v>
      </c>
      <c r="U515" s="70"/>
      <c r="V515" s="70"/>
      <c r="W515" s="70"/>
      <c r="X515" s="70"/>
      <c r="Y515" s="70" t="s">
        <v>2287</v>
      </c>
      <c r="Z515" s="70" t="s">
        <v>2287</v>
      </c>
      <c r="AA515" s="70" t="s">
        <v>2287</v>
      </c>
      <c r="AB515" s="70" t="s">
        <v>2287</v>
      </c>
      <c r="AC515" s="70" t="s">
        <v>2287</v>
      </c>
      <c r="AD515" s="70" t="s">
        <v>2287</v>
      </c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" thickBot="1" x14ac:dyDescent="0.35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2073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" thickBot="1" x14ac:dyDescent="0.35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2074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" thickBot="1" x14ac:dyDescent="0.35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28</v>
      </c>
      <c r="J518" s="147" t="s">
        <v>2075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" thickBot="1" x14ac:dyDescent="0.35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28</v>
      </c>
      <c r="J519" s="147" t="s">
        <v>2076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" thickBot="1" x14ac:dyDescent="0.35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11</v>
      </c>
      <c r="J520" s="147" t="s">
        <v>2077</v>
      </c>
      <c r="K520" s="142">
        <f t="shared" si="24"/>
        <v>17</v>
      </c>
      <c r="L520" s="143">
        <f t="shared" si="25"/>
        <v>0.39285714285714285</v>
      </c>
      <c r="M520" s="70" t="s">
        <v>2287</v>
      </c>
      <c r="N520" s="70" t="s">
        <v>2287</v>
      </c>
      <c r="O520" s="70" t="s">
        <v>2287</v>
      </c>
      <c r="P520" s="70" t="s">
        <v>2287</v>
      </c>
      <c r="Q520" s="70" t="s">
        <v>2287</v>
      </c>
      <c r="R520" s="70" t="s">
        <v>2287</v>
      </c>
      <c r="S520" s="70" t="s">
        <v>2287</v>
      </c>
      <c r="T520" s="70" t="s">
        <v>2287</v>
      </c>
      <c r="U520" s="70" t="s">
        <v>2287</v>
      </c>
      <c r="V520" s="70" t="s">
        <v>2287</v>
      </c>
      <c r="W520" s="70"/>
      <c r="X520" s="70" t="s">
        <v>2287</v>
      </c>
      <c r="Y520" s="70" t="s">
        <v>2287</v>
      </c>
      <c r="Z520" s="70" t="s">
        <v>2287</v>
      </c>
      <c r="AA520" s="70" t="s">
        <v>2287</v>
      </c>
      <c r="AB520" s="70" t="s">
        <v>2287</v>
      </c>
      <c r="AC520" s="70" t="s">
        <v>2287</v>
      </c>
      <c r="AD520" s="70" t="s">
        <v>2287</v>
      </c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" thickBot="1" x14ac:dyDescent="0.35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28</v>
      </c>
      <c r="J521" s="147" t="s">
        <v>2078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" thickBot="1" x14ac:dyDescent="0.35">
      <c r="A522" s="73" t="s">
        <v>518</v>
      </c>
      <c r="B522" s="85" t="s">
        <v>1583</v>
      </c>
      <c r="C522" s="85" t="s">
        <v>1063</v>
      </c>
      <c r="D522" s="73" t="s">
        <v>1584</v>
      </c>
      <c r="E522" s="85" t="s">
        <v>15</v>
      </c>
      <c r="F522" s="85" t="s">
        <v>1301</v>
      </c>
      <c r="G522" s="85"/>
      <c r="H522" s="85" t="s">
        <v>1585</v>
      </c>
      <c r="I522" s="142">
        <f t="shared" si="23"/>
        <v>28</v>
      </c>
      <c r="J522" s="147" t="s">
        <v>2079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" thickBot="1" x14ac:dyDescent="0.35">
      <c r="A523" s="73" t="s">
        <v>518</v>
      </c>
      <c r="B523" s="85" t="s">
        <v>1586</v>
      </c>
      <c r="C523" s="85" t="s">
        <v>1063</v>
      </c>
      <c r="D523" s="73" t="s">
        <v>1587</v>
      </c>
      <c r="E523" s="85" t="s">
        <v>15</v>
      </c>
      <c r="F523" s="85" t="s">
        <v>1301</v>
      </c>
      <c r="G523" s="85"/>
      <c r="H523" s="85" t="s">
        <v>1588</v>
      </c>
      <c r="I523" s="142">
        <f t="shared" si="23"/>
        <v>22</v>
      </c>
      <c r="J523" s="147" t="s">
        <v>2080</v>
      </c>
      <c r="K523" s="142">
        <f t="shared" si="24"/>
        <v>6</v>
      </c>
      <c r="L523" s="143">
        <f t="shared" si="25"/>
        <v>0.7857142857142857</v>
      </c>
      <c r="M523" s="70" t="s">
        <v>2287</v>
      </c>
      <c r="N523" s="70" t="s">
        <v>2287</v>
      </c>
      <c r="O523" s="70" t="s">
        <v>2287</v>
      </c>
      <c r="P523" s="70" t="s">
        <v>2287</v>
      </c>
      <c r="Q523" s="70" t="s">
        <v>2287</v>
      </c>
      <c r="R523" s="70" t="s">
        <v>2287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" thickBot="1" x14ac:dyDescent="0.35">
      <c r="A524" s="73" t="s">
        <v>518</v>
      </c>
      <c r="B524" s="85" t="s">
        <v>2225</v>
      </c>
      <c r="C524" s="85" t="s">
        <v>1063</v>
      </c>
      <c r="D524" s="73" t="s">
        <v>2226</v>
      </c>
      <c r="E524" s="30" t="s">
        <v>73</v>
      </c>
      <c r="F524" s="85" t="s">
        <v>1301</v>
      </c>
      <c r="G524" s="85"/>
      <c r="H524" s="85" t="s">
        <v>2227</v>
      </c>
      <c r="I524" s="142">
        <f t="shared" si="23"/>
        <v>28</v>
      </c>
      <c r="J524" s="147" t="s">
        <v>2228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" thickBot="1" x14ac:dyDescent="0.35">
      <c r="A525" s="73" t="s">
        <v>518</v>
      </c>
      <c r="B525" s="85" t="s">
        <v>2229</v>
      </c>
      <c r="C525" s="85" t="s">
        <v>1063</v>
      </c>
      <c r="D525" s="73" t="s">
        <v>2230</v>
      </c>
      <c r="E525" s="85" t="s">
        <v>15</v>
      </c>
      <c r="F525" s="85" t="s">
        <v>1301</v>
      </c>
      <c r="G525" s="85"/>
      <c r="H525" s="85" t="s">
        <v>2231</v>
      </c>
      <c r="I525" s="142">
        <f t="shared" si="23"/>
        <v>28</v>
      </c>
      <c r="J525" s="147" t="s">
        <v>2232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" thickBot="1" x14ac:dyDescent="0.35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28</v>
      </c>
      <c r="J526" s="147" t="s">
        <v>2081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" thickBot="1" x14ac:dyDescent="0.35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28</v>
      </c>
      <c r="J527" s="147" t="s">
        <v>2082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" thickBot="1" x14ac:dyDescent="0.35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2083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" thickBot="1" x14ac:dyDescent="0.35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2084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" thickBot="1" x14ac:dyDescent="0.35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26</v>
      </c>
      <c r="J530" s="147" t="s">
        <v>2085</v>
      </c>
      <c r="K530" s="31">
        <f t="shared" si="24"/>
        <v>2</v>
      </c>
      <c r="L530" s="32">
        <f t="shared" si="25"/>
        <v>0.9285714285714286</v>
      </c>
      <c r="M530" s="70" t="s">
        <v>2287</v>
      </c>
      <c r="N530" s="70" t="s">
        <v>2287</v>
      </c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" thickBot="1" x14ac:dyDescent="0.35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26</v>
      </c>
      <c r="J531" s="147" t="s">
        <v>2086</v>
      </c>
      <c r="K531" s="31">
        <f t="shared" si="24"/>
        <v>2</v>
      </c>
      <c r="L531" s="32">
        <f t="shared" si="25"/>
        <v>0.9285714285714286</v>
      </c>
      <c r="M531" s="70" t="s">
        <v>2287</v>
      </c>
      <c r="N531" s="70" t="s">
        <v>2287</v>
      </c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" thickBot="1" x14ac:dyDescent="0.35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26</v>
      </c>
      <c r="J532" s="73"/>
      <c r="K532" s="31">
        <f t="shared" si="24"/>
        <v>2</v>
      </c>
      <c r="L532" s="32">
        <f t="shared" si="25"/>
        <v>0.9285714285714286</v>
      </c>
      <c r="M532" s="70" t="s">
        <v>2287</v>
      </c>
      <c r="N532" s="70" t="s">
        <v>2287</v>
      </c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" thickBot="1" x14ac:dyDescent="0.35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26</v>
      </c>
      <c r="J533" s="147" t="s">
        <v>2087</v>
      </c>
      <c r="K533" s="31">
        <f t="shared" si="24"/>
        <v>2</v>
      </c>
      <c r="L533" s="32">
        <f t="shared" si="25"/>
        <v>0.9285714285714286</v>
      </c>
      <c r="M533" s="70" t="s">
        <v>2287</v>
      </c>
      <c r="N533" s="70" t="s">
        <v>2287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" thickBot="1" x14ac:dyDescent="0.35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2088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" thickBot="1" x14ac:dyDescent="0.35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2089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" thickBot="1" x14ac:dyDescent="0.35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2090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" thickBot="1" x14ac:dyDescent="0.35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2091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" thickBot="1" x14ac:dyDescent="0.35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2092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" thickBot="1" x14ac:dyDescent="0.35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27</v>
      </c>
      <c r="J539" s="147" t="s">
        <v>2093</v>
      </c>
      <c r="K539" s="142">
        <f t="shared" si="27"/>
        <v>1</v>
      </c>
      <c r="L539" s="143">
        <f t="shared" si="28"/>
        <v>0.9642857142857143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 t="s">
        <v>2287</v>
      </c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" thickBot="1" x14ac:dyDescent="0.35">
      <c r="A540" t="s">
        <v>479</v>
      </c>
      <c r="B540" t="s">
        <v>1312</v>
      </c>
      <c r="C540" t="s">
        <v>1062</v>
      </c>
      <c r="D540" t="s">
        <v>2197</v>
      </c>
      <c r="E540" s="85" t="s">
        <v>15</v>
      </c>
      <c r="F540" s="85" t="s">
        <v>1301</v>
      </c>
      <c r="G540" s="30"/>
      <c r="H540" s="30" t="s">
        <v>2198</v>
      </c>
      <c r="I540" s="31">
        <f t="shared" si="26"/>
        <v>13</v>
      </c>
      <c r="J540" s="147" t="s">
        <v>2199</v>
      </c>
      <c r="K540" s="31">
        <f t="shared" si="27"/>
        <v>15</v>
      </c>
      <c r="L540" s="32">
        <f t="shared" si="28"/>
        <v>0.4642857142857143</v>
      </c>
      <c r="M540" s="70" t="s">
        <v>2287</v>
      </c>
      <c r="N540" s="70" t="s">
        <v>2287</v>
      </c>
      <c r="O540" s="70" t="s">
        <v>2287</v>
      </c>
      <c r="P540" s="70" t="s">
        <v>2287</v>
      </c>
      <c r="Q540" s="70" t="s">
        <v>2287</v>
      </c>
      <c r="R540" s="70" t="s">
        <v>2287</v>
      </c>
      <c r="S540" s="70" t="s">
        <v>2287</v>
      </c>
      <c r="T540" s="70" t="s">
        <v>2287</v>
      </c>
      <c r="U540" s="70" t="s">
        <v>2287</v>
      </c>
      <c r="V540" s="70" t="s">
        <v>2287</v>
      </c>
      <c r="W540" s="70"/>
      <c r="X540" s="70" t="s">
        <v>2287</v>
      </c>
      <c r="Y540" s="70" t="s">
        <v>2287</v>
      </c>
      <c r="Z540" s="70" t="s">
        <v>2287</v>
      </c>
      <c r="AA540" s="70" t="s">
        <v>2287</v>
      </c>
      <c r="AB540" s="70" t="s">
        <v>2287</v>
      </c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" thickBot="1" x14ac:dyDescent="0.35">
      <c r="A541" t="s">
        <v>483</v>
      </c>
      <c r="B541" t="s">
        <v>2133</v>
      </c>
      <c r="C541" t="s">
        <v>1062</v>
      </c>
      <c r="D541" s="73" t="s">
        <v>2134</v>
      </c>
      <c r="E541" s="85" t="s">
        <v>15</v>
      </c>
      <c r="F541" s="85" t="s">
        <v>1301</v>
      </c>
      <c r="G541" s="30"/>
      <c r="H541" s="30" t="s">
        <v>2135</v>
      </c>
      <c r="I541" s="31">
        <f t="shared" si="26"/>
        <v>28</v>
      </c>
      <c r="J541" s="147" t="s">
        <v>2136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" thickBot="1" x14ac:dyDescent="0.35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26</v>
      </c>
      <c r="J542" s="147" t="s">
        <v>2094</v>
      </c>
      <c r="K542" s="142">
        <f t="shared" si="27"/>
        <v>2</v>
      </c>
      <c r="L542" s="143">
        <f t="shared" si="28"/>
        <v>0.9285714285714286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 t="s">
        <v>2287</v>
      </c>
      <c r="Y542" s="70" t="s">
        <v>2287</v>
      </c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" thickBot="1" x14ac:dyDescent="0.35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26</v>
      </c>
      <c r="J543" s="147" t="s">
        <v>2095</v>
      </c>
      <c r="K543" s="142">
        <f t="shared" si="27"/>
        <v>2</v>
      </c>
      <c r="L543" s="143">
        <f t="shared" si="28"/>
        <v>0.9285714285714286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 t="s">
        <v>2287</v>
      </c>
      <c r="Y543" s="70" t="s">
        <v>2287</v>
      </c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" thickBot="1" x14ac:dyDescent="0.35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23</v>
      </c>
      <c r="J544" s="147" t="s">
        <v>2096</v>
      </c>
      <c r="K544" s="142">
        <f t="shared" si="27"/>
        <v>5</v>
      </c>
      <c r="L544" s="143">
        <f t="shared" si="28"/>
        <v>0.8214285714285714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 t="s">
        <v>2287</v>
      </c>
      <c r="Y544" s="70" t="s">
        <v>2287</v>
      </c>
      <c r="Z544" s="70" t="s">
        <v>2287</v>
      </c>
      <c r="AA544" s="70" t="s">
        <v>2287</v>
      </c>
      <c r="AB544" s="70" t="s">
        <v>2287</v>
      </c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" thickBot="1" x14ac:dyDescent="0.35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23</v>
      </c>
      <c r="J545" s="147" t="s">
        <v>2097</v>
      </c>
      <c r="K545" s="142">
        <f t="shared" si="27"/>
        <v>5</v>
      </c>
      <c r="L545" s="143">
        <f t="shared" si="28"/>
        <v>0.8214285714285714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 t="s">
        <v>2287</v>
      </c>
      <c r="Y545" s="70" t="s">
        <v>2287</v>
      </c>
      <c r="Z545" s="70" t="s">
        <v>2287</v>
      </c>
      <c r="AA545" s="70" t="s">
        <v>2287</v>
      </c>
      <c r="AB545" s="70" t="s">
        <v>2287</v>
      </c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" thickBot="1" x14ac:dyDescent="0.35">
      <c r="A546" s="73" t="s">
        <v>570</v>
      </c>
      <c r="B546" s="73" t="s">
        <v>1643</v>
      </c>
      <c r="C546" s="73" t="s">
        <v>1063</v>
      </c>
      <c r="D546" s="73" t="s">
        <v>1650</v>
      </c>
      <c r="E546" s="85" t="s">
        <v>1114</v>
      </c>
      <c r="F546" s="85" t="s">
        <v>28</v>
      </c>
      <c r="G546" s="85"/>
      <c r="H546" s="85" t="s">
        <v>1645</v>
      </c>
      <c r="I546" s="142">
        <f t="shared" si="26"/>
        <v>26</v>
      </c>
      <c r="J546" s="87" t="s">
        <v>2187</v>
      </c>
      <c r="K546" s="142">
        <f t="shared" si="27"/>
        <v>2</v>
      </c>
      <c r="L546" s="143">
        <f t="shared" si="28"/>
        <v>0.9285714285714286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 t="s">
        <v>2287</v>
      </c>
      <c r="Y546" s="70" t="s">
        <v>2287</v>
      </c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" thickBot="1" x14ac:dyDescent="0.35">
      <c r="A547" s="73" t="s">
        <v>570</v>
      </c>
      <c r="B547" s="73" t="s">
        <v>2127</v>
      </c>
      <c r="C547" s="73" t="s">
        <v>1063</v>
      </c>
      <c r="D547" s="73" t="s">
        <v>2128</v>
      </c>
      <c r="E547" s="30" t="s">
        <v>15</v>
      </c>
      <c r="F547" s="85" t="s">
        <v>1301</v>
      </c>
      <c r="G547" s="85"/>
      <c r="H547" s="85" t="s">
        <v>2130</v>
      </c>
      <c r="I547" s="142">
        <f t="shared" si="26"/>
        <v>17</v>
      </c>
      <c r="J547" s="87"/>
      <c r="K547" s="142">
        <f t="shared" si="27"/>
        <v>11</v>
      </c>
      <c r="L547" s="143">
        <f t="shared" si="28"/>
        <v>0.6071428571428571</v>
      </c>
      <c r="M547" s="70" t="s">
        <v>2287</v>
      </c>
      <c r="N547" s="70" t="s">
        <v>2287</v>
      </c>
      <c r="O547" s="70" t="s">
        <v>2287</v>
      </c>
      <c r="P547" s="70" t="s">
        <v>2287</v>
      </c>
      <c r="Q547" s="70" t="s">
        <v>2287</v>
      </c>
      <c r="R547" s="70" t="s">
        <v>2287</v>
      </c>
      <c r="S547" s="70" t="s">
        <v>2287</v>
      </c>
      <c r="T547" s="70" t="s">
        <v>2287</v>
      </c>
      <c r="U547" s="70"/>
      <c r="V547" s="70"/>
      <c r="W547" s="70"/>
      <c r="X547" s="70"/>
      <c r="Y547" s="70" t="s">
        <v>2287</v>
      </c>
      <c r="Z547" s="70"/>
      <c r="AA547" s="70"/>
      <c r="AB547" s="70"/>
      <c r="AC547" s="70" t="s">
        <v>2287</v>
      </c>
      <c r="AD547" s="70" t="s">
        <v>2287</v>
      </c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" thickBot="1" x14ac:dyDescent="0.35">
      <c r="A548" s="73" t="s">
        <v>570</v>
      </c>
      <c r="B548" s="73" t="s">
        <v>1656</v>
      </c>
      <c r="C548" s="73" t="s">
        <v>1063</v>
      </c>
      <c r="D548" s="73" t="s">
        <v>1657</v>
      </c>
      <c r="E548" s="85" t="s">
        <v>15</v>
      </c>
      <c r="F548" s="85" t="s">
        <v>1301</v>
      </c>
      <c r="G548" s="85"/>
      <c r="H548" s="85" t="s">
        <v>1658</v>
      </c>
      <c r="I548" s="142">
        <f t="shared" si="26"/>
        <v>11</v>
      </c>
      <c r="J548" s="87" t="s">
        <v>2188</v>
      </c>
      <c r="K548" s="142">
        <f t="shared" si="27"/>
        <v>17</v>
      </c>
      <c r="L548" s="143">
        <f t="shared" si="28"/>
        <v>0.39285714285714285</v>
      </c>
      <c r="M548" s="70" t="s">
        <v>2287</v>
      </c>
      <c r="N548" s="70" t="s">
        <v>2287</v>
      </c>
      <c r="O548" s="70" t="s">
        <v>2287</v>
      </c>
      <c r="P548" s="70" t="s">
        <v>2287</v>
      </c>
      <c r="Q548" s="70" t="s">
        <v>2287</v>
      </c>
      <c r="R548" s="70" t="s">
        <v>2287</v>
      </c>
      <c r="S548" s="70" t="s">
        <v>2287</v>
      </c>
      <c r="T548" s="70" t="s">
        <v>2287</v>
      </c>
      <c r="U548" s="70" t="s">
        <v>2287</v>
      </c>
      <c r="V548" s="70" t="s">
        <v>2287</v>
      </c>
      <c r="W548" s="70"/>
      <c r="X548" s="70" t="s">
        <v>2287</v>
      </c>
      <c r="Y548" s="70" t="s">
        <v>2287</v>
      </c>
      <c r="Z548" s="70" t="s">
        <v>2287</v>
      </c>
      <c r="AA548" s="70" t="s">
        <v>2287</v>
      </c>
      <c r="AB548" s="70" t="s">
        <v>2287</v>
      </c>
      <c r="AC548" s="70" t="s">
        <v>2287</v>
      </c>
      <c r="AD548" s="70" t="s">
        <v>2287</v>
      </c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" thickBot="1" x14ac:dyDescent="0.35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15</v>
      </c>
      <c r="J549" s="87" t="s">
        <v>2184</v>
      </c>
      <c r="K549" s="31">
        <f t="shared" si="27"/>
        <v>13</v>
      </c>
      <c r="L549" s="32">
        <f t="shared" si="28"/>
        <v>0.5357142857142857</v>
      </c>
      <c r="M549" s="70" t="s">
        <v>2287</v>
      </c>
      <c r="N549" s="70" t="s">
        <v>2287</v>
      </c>
      <c r="O549" s="70" t="s">
        <v>2287</v>
      </c>
      <c r="P549" s="70" t="s">
        <v>2287</v>
      </c>
      <c r="Q549" s="70" t="s">
        <v>2287</v>
      </c>
      <c r="R549" s="70" t="s">
        <v>2287</v>
      </c>
      <c r="S549" s="70"/>
      <c r="T549" s="70"/>
      <c r="U549" s="70"/>
      <c r="V549" s="70"/>
      <c r="W549" s="70"/>
      <c r="X549" s="70" t="s">
        <v>2287</v>
      </c>
      <c r="Y549" s="70" t="s">
        <v>2287</v>
      </c>
      <c r="Z549" s="70" t="s">
        <v>2287</v>
      </c>
      <c r="AA549" s="70" t="s">
        <v>2287</v>
      </c>
      <c r="AB549" s="70" t="s">
        <v>2287</v>
      </c>
      <c r="AC549" s="70" t="s">
        <v>2287</v>
      </c>
      <c r="AD549" s="70" t="s">
        <v>2287</v>
      </c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" thickBot="1" x14ac:dyDescent="0.35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23</v>
      </c>
      <c r="J550" s="147" t="s">
        <v>2098</v>
      </c>
      <c r="K550" s="31">
        <f t="shared" si="27"/>
        <v>5</v>
      </c>
      <c r="L550" s="32">
        <f t="shared" si="28"/>
        <v>0.8214285714285714</v>
      </c>
      <c r="M550" s="70" t="s">
        <v>2287</v>
      </c>
      <c r="N550" s="70" t="s">
        <v>2287</v>
      </c>
      <c r="O550" s="70" t="s">
        <v>2287</v>
      </c>
      <c r="P550" s="70" t="s">
        <v>2287</v>
      </c>
      <c r="Q550" s="70" t="s">
        <v>2287</v>
      </c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" thickBot="1" x14ac:dyDescent="0.35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12</v>
      </c>
      <c r="J551" s="87" t="s">
        <v>2185</v>
      </c>
      <c r="K551" s="31">
        <f t="shared" si="27"/>
        <v>16</v>
      </c>
      <c r="L551" s="32">
        <f t="shared" si="28"/>
        <v>0.42857142857142855</v>
      </c>
      <c r="M551" s="70" t="s">
        <v>2287</v>
      </c>
      <c r="N551" s="70" t="s">
        <v>2287</v>
      </c>
      <c r="O551" s="70" t="s">
        <v>2287</v>
      </c>
      <c r="P551" s="70" t="s">
        <v>2287</v>
      </c>
      <c r="Q551" s="70" t="s">
        <v>2287</v>
      </c>
      <c r="R551" s="70" t="s">
        <v>2287</v>
      </c>
      <c r="S551" s="70"/>
      <c r="T551" s="70" t="s">
        <v>2287</v>
      </c>
      <c r="U551" s="70" t="s">
        <v>2287</v>
      </c>
      <c r="V551" s="70" t="s">
        <v>2287</v>
      </c>
      <c r="W551" s="70"/>
      <c r="X551" s="70" t="s">
        <v>2287</v>
      </c>
      <c r="Y551" s="70" t="s">
        <v>2287</v>
      </c>
      <c r="Z551" s="70" t="s">
        <v>2287</v>
      </c>
      <c r="AA551" s="70" t="s">
        <v>2287</v>
      </c>
      <c r="AB551" s="70" t="s">
        <v>2287</v>
      </c>
      <c r="AC551" s="70" t="s">
        <v>2287</v>
      </c>
      <c r="AD551" s="70" t="s">
        <v>2287</v>
      </c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" thickBot="1" x14ac:dyDescent="0.35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23</v>
      </c>
      <c r="J552" s="147" t="s">
        <v>2099</v>
      </c>
      <c r="K552" s="31">
        <f t="shared" si="27"/>
        <v>5</v>
      </c>
      <c r="L552" s="32">
        <f t="shared" si="28"/>
        <v>0.8214285714285714</v>
      </c>
      <c r="M552" s="70" t="s">
        <v>2287</v>
      </c>
      <c r="N552" s="70" t="s">
        <v>2287</v>
      </c>
      <c r="O552" s="70" t="s">
        <v>2287</v>
      </c>
      <c r="P552" s="70" t="s">
        <v>2287</v>
      </c>
      <c r="Q552" s="70" t="s">
        <v>2287</v>
      </c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" thickBot="1" x14ac:dyDescent="0.35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27</v>
      </c>
      <c r="J553" s="147" t="s">
        <v>2100</v>
      </c>
      <c r="K553" s="142">
        <f t="shared" si="27"/>
        <v>1</v>
      </c>
      <c r="L553" s="143">
        <f t="shared" si="28"/>
        <v>0.9642857142857143</v>
      </c>
      <c r="M553" s="70" t="s">
        <v>2287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" thickBot="1" x14ac:dyDescent="0.35">
      <c r="A554" s="73" t="s">
        <v>2139</v>
      </c>
      <c r="B554" s="73" t="s">
        <v>2137</v>
      </c>
      <c r="C554" t="s">
        <v>1062</v>
      </c>
      <c r="D554" s="73" t="s">
        <v>2138</v>
      </c>
      <c r="E554" s="85" t="s">
        <v>15</v>
      </c>
      <c r="F554" s="85" t="s">
        <v>1301</v>
      </c>
      <c r="G554" s="85"/>
      <c r="H554" s="85" t="s">
        <v>2140</v>
      </c>
      <c r="I554" s="142">
        <f t="shared" si="26"/>
        <v>28</v>
      </c>
      <c r="J554" s="151" t="s">
        <v>2141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" thickBot="1" x14ac:dyDescent="0.35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28</v>
      </c>
      <c r="J555" s="87" t="s">
        <v>2186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" thickBot="1" x14ac:dyDescent="0.35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2101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" thickBot="1" x14ac:dyDescent="0.35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2102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" thickBot="1" x14ac:dyDescent="0.35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2103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" thickBot="1" x14ac:dyDescent="0.35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11</v>
      </c>
      <c r="J559" s="147" t="s">
        <v>2104</v>
      </c>
      <c r="K559" s="31">
        <f t="shared" si="27"/>
        <v>17</v>
      </c>
      <c r="L559" s="32">
        <f t="shared" si="28"/>
        <v>0.39285714285714285</v>
      </c>
      <c r="M559" s="70" t="s">
        <v>2287</v>
      </c>
      <c r="N559" s="70" t="s">
        <v>2287</v>
      </c>
      <c r="O559" s="70" t="s">
        <v>2287</v>
      </c>
      <c r="P559" s="70" t="s">
        <v>2287</v>
      </c>
      <c r="Q559" s="70" t="s">
        <v>2287</v>
      </c>
      <c r="R559" s="70" t="s">
        <v>2287</v>
      </c>
      <c r="S559" s="70" t="s">
        <v>2287</v>
      </c>
      <c r="T559" s="70" t="s">
        <v>2287</v>
      </c>
      <c r="U559" s="70" t="s">
        <v>2287</v>
      </c>
      <c r="V559" s="70" t="s">
        <v>2287</v>
      </c>
      <c r="W559" s="70"/>
      <c r="X559" s="70" t="s">
        <v>2287</v>
      </c>
      <c r="Y559" s="70" t="s">
        <v>2287</v>
      </c>
      <c r="Z559" s="70" t="s">
        <v>2287</v>
      </c>
      <c r="AA559" s="70" t="s">
        <v>2287</v>
      </c>
      <c r="AB559" s="70" t="s">
        <v>2287</v>
      </c>
      <c r="AC559" s="70" t="s">
        <v>2287</v>
      </c>
      <c r="AD559" s="70" t="s">
        <v>2287</v>
      </c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" thickBot="1" x14ac:dyDescent="0.35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20</v>
      </c>
      <c r="J560" s="147" t="s">
        <v>2105</v>
      </c>
      <c r="K560" s="31">
        <f t="shared" si="27"/>
        <v>8</v>
      </c>
      <c r="L560" s="32">
        <f t="shared" si="28"/>
        <v>0.7142857142857143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 t="s">
        <v>2287</v>
      </c>
      <c r="W560" s="70"/>
      <c r="X560" s="70" t="s">
        <v>2287</v>
      </c>
      <c r="Y560" s="70" t="s">
        <v>2287</v>
      </c>
      <c r="Z560" s="70" t="s">
        <v>2287</v>
      </c>
      <c r="AA560" s="70" t="s">
        <v>2287</v>
      </c>
      <c r="AB560" s="70" t="s">
        <v>2287</v>
      </c>
      <c r="AC560" s="70" t="s">
        <v>2287</v>
      </c>
      <c r="AD560" s="70" t="s">
        <v>2287</v>
      </c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" thickBot="1" x14ac:dyDescent="0.35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20</v>
      </c>
      <c r="J561" s="147" t="s">
        <v>2106</v>
      </c>
      <c r="K561" s="31">
        <f t="shared" si="27"/>
        <v>8</v>
      </c>
      <c r="L561" s="32">
        <f t="shared" si="28"/>
        <v>0.7142857142857143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 t="s">
        <v>2287</v>
      </c>
      <c r="W561" s="70"/>
      <c r="X561" s="70" t="s">
        <v>2287</v>
      </c>
      <c r="Y561" s="70" t="s">
        <v>2287</v>
      </c>
      <c r="Z561" s="70" t="s">
        <v>2287</v>
      </c>
      <c r="AA561" s="70" t="s">
        <v>2287</v>
      </c>
      <c r="AB561" s="70" t="s">
        <v>2287</v>
      </c>
      <c r="AC561" s="70" t="s">
        <v>2287</v>
      </c>
      <c r="AD561" s="70" t="s">
        <v>2287</v>
      </c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" thickBot="1" x14ac:dyDescent="0.35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20</v>
      </c>
      <c r="J562" s="147" t="s">
        <v>2107</v>
      </c>
      <c r="K562" s="31">
        <f t="shared" si="27"/>
        <v>8</v>
      </c>
      <c r="L562" s="32">
        <f t="shared" si="28"/>
        <v>0.7142857142857143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 t="s">
        <v>2287</v>
      </c>
      <c r="W562" s="70"/>
      <c r="X562" s="70" t="s">
        <v>2287</v>
      </c>
      <c r="Y562" s="70" t="s">
        <v>2287</v>
      </c>
      <c r="Z562" s="70" t="s">
        <v>2287</v>
      </c>
      <c r="AA562" s="70" t="s">
        <v>2287</v>
      </c>
      <c r="AB562" s="70" t="s">
        <v>2287</v>
      </c>
      <c r="AC562" s="70" t="s">
        <v>2287</v>
      </c>
      <c r="AD562" s="70" t="s">
        <v>2287</v>
      </c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" thickBot="1" x14ac:dyDescent="0.35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20</v>
      </c>
      <c r="J563" s="147" t="s">
        <v>2108</v>
      </c>
      <c r="K563" s="31">
        <f t="shared" si="27"/>
        <v>8</v>
      </c>
      <c r="L563" s="32">
        <f t="shared" si="28"/>
        <v>0.7142857142857143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 t="s">
        <v>2287</v>
      </c>
      <c r="W563" s="70"/>
      <c r="X563" s="70" t="s">
        <v>2287</v>
      </c>
      <c r="Y563" s="70" t="s">
        <v>2287</v>
      </c>
      <c r="Z563" s="70" t="s">
        <v>2287</v>
      </c>
      <c r="AA563" s="70" t="s">
        <v>2287</v>
      </c>
      <c r="AB563" s="70" t="s">
        <v>2287</v>
      </c>
      <c r="AC563" s="70" t="s">
        <v>2287</v>
      </c>
      <c r="AD563" s="70" t="s">
        <v>2287</v>
      </c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" thickBot="1" x14ac:dyDescent="0.35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26</v>
      </c>
      <c r="J564" s="87" t="s">
        <v>2202</v>
      </c>
      <c r="K564" s="142">
        <f t="shared" si="27"/>
        <v>2</v>
      </c>
      <c r="L564" s="143">
        <f t="shared" si="28"/>
        <v>0.9285714285714286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 t="s">
        <v>2287</v>
      </c>
      <c r="Y564" s="70" t="s">
        <v>2287</v>
      </c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" thickBot="1" x14ac:dyDescent="0.35">
      <c r="A565" s="73" t="s">
        <v>591</v>
      </c>
      <c r="B565" s="73" t="s">
        <v>2263</v>
      </c>
      <c r="C565" s="73" t="s">
        <v>1063</v>
      </c>
      <c r="D565" s="73" t="s">
        <v>2264</v>
      </c>
      <c r="E565" s="85" t="s">
        <v>15</v>
      </c>
      <c r="F565" s="85" t="s">
        <v>1301</v>
      </c>
      <c r="G565" s="85"/>
      <c r="H565" s="85" t="s">
        <v>2265</v>
      </c>
      <c r="I565" s="142">
        <f t="shared" si="26"/>
        <v>28</v>
      </c>
      <c r="J565" s="87" t="s">
        <v>2266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" thickBot="1" x14ac:dyDescent="0.35">
      <c r="A566" s="73" t="s">
        <v>591</v>
      </c>
      <c r="B566" s="73" t="s">
        <v>2276</v>
      </c>
      <c r="C566" s="73" t="s">
        <v>1063</v>
      </c>
      <c r="D566" s="73" t="s">
        <v>2277</v>
      </c>
      <c r="E566" s="85" t="s">
        <v>15</v>
      </c>
      <c r="F566" s="85"/>
      <c r="G566" s="85"/>
      <c r="H566" s="85" t="s">
        <v>2278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5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2203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" thickBot="1" x14ac:dyDescent="0.35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2204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" thickBot="1" x14ac:dyDescent="0.35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2205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" thickBot="1" x14ac:dyDescent="0.35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27</v>
      </c>
      <c r="J570" s="147" t="s">
        <v>2110</v>
      </c>
      <c r="K570" s="31">
        <f t="shared" si="27"/>
        <v>1</v>
      </c>
      <c r="L570" s="32">
        <f t="shared" si="28"/>
        <v>0.9642857142857143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 t="s">
        <v>2287</v>
      </c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" thickBot="1" x14ac:dyDescent="0.35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27</v>
      </c>
      <c r="J571" s="147" t="s">
        <v>2109</v>
      </c>
      <c r="K571" s="31">
        <f t="shared" si="27"/>
        <v>1</v>
      </c>
      <c r="L571" s="32">
        <f t="shared" si="28"/>
        <v>0.9642857142857143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 t="s">
        <v>2287</v>
      </c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" thickBot="1" x14ac:dyDescent="0.35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27</v>
      </c>
      <c r="J572" s="147" t="s">
        <v>2111</v>
      </c>
      <c r="K572" s="31">
        <f t="shared" si="27"/>
        <v>1</v>
      </c>
      <c r="L572" s="32">
        <f t="shared" si="28"/>
        <v>0.9642857142857143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 t="s">
        <v>2287</v>
      </c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" thickBot="1" x14ac:dyDescent="0.35">
      <c r="A573" t="s">
        <v>389</v>
      </c>
      <c r="B573" s="30" t="s">
        <v>2180</v>
      </c>
      <c r="C573" s="73" t="s">
        <v>1062</v>
      </c>
      <c r="D573" t="s">
        <v>2181</v>
      </c>
      <c r="E573" s="85" t="s">
        <v>46</v>
      </c>
      <c r="F573" s="30" t="s">
        <v>28</v>
      </c>
      <c r="G573" s="30"/>
      <c r="H573" s="30" t="s">
        <v>2182</v>
      </c>
      <c r="I573" s="31">
        <f t="shared" si="26"/>
        <v>28</v>
      </c>
      <c r="J573" s="147" t="s">
        <v>2183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" thickBot="1" x14ac:dyDescent="0.35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2112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" thickBot="1" x14ac:dyDescent="0.35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2113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" thickBot="1" x14ac:dyDescent="0.35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2114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" thickBot="1" x14ac:dyDescent="0.35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11</v>
      </c>
      <c r="J577" s="147" t="s">
        <v>2115</v>
      </c>
      <c r="K577" s="142">
        <f t="shared" si="27"/>
        <v>17</v>
      </c>
      <c r="L577" s="143">
        <f t="shared" si="28"/>
        <v>0.39285714285714285</v>
      </c>
      <c r="M577" s="70" t="s">
        <v>2287</v>
      </c>
      <c r="N577" s="70" t="s">
        <v>2287</v>
      </c>
      <c r="O577" s="70" t="s">
        <v>2287</v>
      </c>
      <c r="P577" s="70" t="s">
        <v>2287</v>
      </c>
      <c r="Q577" s="70" t="s">
        <v>2287</v>
      </c>
      <c r="R577" s="70" t="s">
        <v>2287</v>
      </c>
      <c r="S577" s="70" t="s">
        <v>2287</v>
      </c>
      <c r="T577" s="70" t="s">
        <v>2287</v>
      </c>
      <c r="U577" s="70" t="s">
        <v>2287</v>
      </c>
      <c r="V577" s="70" t="s">
        <v>2287</v>
      </c>
      <c r="W577" s="70"/>
      <c r="X577" s="70" t="s">
        <v>2287</v>
      </c>
      <c r="Y577" s="70" t="s">
        <v>2287</v>
      </c>
      <c r="Z577" s="70" t="s">
        <v>2287</v>
      </c>
      <c r="AA577" s="70" t="s">
        <v>2287</v>
      </c>
      <c r="AB577" s="70" t="s">
        <v>2287</v>
      </c>
      <c r="AC577" s="70" t="s">
        <v>2287</v>
      </c>
      <c r="AD577" s="70" t="s">
        <v>2287</v>
      </c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" thickBot="1" x14ac:dyDescent="0.35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2116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" thickBot="1" x14ac:dyDescent="0.35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2117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" thickBot="1" x14ac:dyDescent="0.35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2118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" thickBot="1" x14ac:dyDescent="0.35">
      <c r="A581" s="73" t="s">
        <v>602</v>
      </c>
      <c r="B581" s="73" t="s">
        <v>2119</v>
      </c>
      <c r="C581" s="73" t="s">
        <v>1062</v>
      </c>
      <c r="D581" s="73" t="s">
        <v>2120</v>
      </c>
      <c r="E581" s="85" t="s">
        <v>15</v>
      </c>
      <c r="F581" s="85" t="s">
        <v>1301</v>
      </c>
      <c r="G581" s="85"/>
      <c r="H581" s="85" t="s">
        <v>2121</v>
      </c>
      <c r="I581" s="142">
        <f t="shared" si="26"/>
        <v>28</v>
      </c>
      <c r="J581" s="151" t="s">
        <v>2122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3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3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3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3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3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3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3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3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3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3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3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3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3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3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3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3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3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3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3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3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3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3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3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3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3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3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3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3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3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3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3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3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3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3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3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3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3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3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3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3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3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3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3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3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3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3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3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3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3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3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3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3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3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3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3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3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3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3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3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3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3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3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3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3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3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3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3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3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3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3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3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3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3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3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3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3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3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3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3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3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3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3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3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3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3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3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3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3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3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3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3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3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3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3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3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3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3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3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3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3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3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3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3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3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3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3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3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3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3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3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3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3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3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3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3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3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3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3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3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3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3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3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3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3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3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3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3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3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3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3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3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3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3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3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3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3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3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3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3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3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3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3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3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3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3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3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3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3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3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3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3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3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3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3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3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3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3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3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3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3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3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3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3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3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3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3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3">
      <c r="E828" s="30"/>
      <c r="F828" s="30"/>
      <c r="G828" s="30"/>
      <c r="H828" s="30"/>
      <c r="L828" s="13"/>
      <c r="O828" s="70"/>
    </row>
    <row r="829" spans="5:41" x14ac:dyDescent="0.3">
      <c r="E829" s="30"/>
      <c r="F829" s="30"/>
      <c r="G829" s="30"/>
      <c r="H829" s="30"/>
      <c r="L829" s="13"/>
      <c r="O829" s="70"/>
    </row>
    <row r="830" spans="5:41" x14ac:dyDescent="0.3">
      <c r="E830" s="30"/>
      <c r="F830" s="30"/>
      <c r="G830" s="30"/>
      <c r="H830" s="30"/>
      <c r="L830" s="13"/>
      <c r="O830" s="70"/>
    </row>
    <row r="831" spans="5:41" x14ac:dyDescent="0.3">
      <c r="L831" s="13"/>
      <c r="O831" s="70"/>
    </row>
    <row r="832" spans="5:41" x14ac:dyDescent="0.3">
      <c r="O832" s="70"/>
    </row>
    <row r="833" spans="15:15" x14ac:dyDescent="0.3">
      <c r="O833" s="70"/>
    </row>
    <row r="834" spans="15:15" x14ac:dyDescent="0.3">
      <c r="O834" s="70"/>
    </row>
    <row r="835" spans="15:15" x14ac:dyDescent="0.3">
      <c r="O835" s="70"/>
    </row>
    <row r="836" spans="15:15" x14ac:dyDescent="0.3">
      <c r="O836" s="70"/>
    </row>
    <row r="837" spans="15:15" x14ac:dyDescent="0.3">
      <c r="O837" s="70"/>
    </row>
    <row r="838" spans="15:15" x14ac:dyDescent="0.3">
      <c r="O838" s="70"/>
    </row>
    <row r="839" spans="15:15" x14ac:dyDescent="0.3">
      <c r="O839" s="70"/>
    </row>
    <row r="840" spans="15:15" x14ac:dyDescent="0.3">
      <c r="O840" s="70"/>
    </row>
    <row r="841" spans="15:15" x14ac:dyDescent="0.3">
      <c r="O841" s="70"/>
    </row>
    <row r="842" spans="15:15" x14ac:dyDescent="0.3">
      <c r="O842" s="70"/>
    </row>
    <row r="843" spans="15:15" x14ac:dyDescent="0.3">
      <c r="O843" s="70"/>
    </row>
    <row r="844" spans="15:15" x14ac:dyDescent="0.3">
      <c r="O844" s="70"/>
    </row>
    <row r="845" spans="15:15" x14ac:dyDescent="0.3">
      <c r="O845" s="70"/>
    </row>
    <row r="846" spans="15:15" x14ac:dyDescent="0.3">
      <c r="O846" s="70"/>
    </row>
    <row r="847" spans="15:15" x14ac:dyDescent="0.3">
      <c r="O847" s="70"/>
    </row>
    <row r="848" spans="15:15" x14ac:dyDescent="0.3">
      <c r="O848" s="70"/>
    </row>
    <row r="849" spans="15:15" x14ac:dyDescent="0.3">
      <c r="O849" s="70"/>
    </row>
    <row r="850" spans="15:15" x14ac:dyDescent="0.3">
      <c r="O850" s="70"/>
    </row>
    <row r="851" spans="15:15" x14ac:dyDescent="0.3">
      <c r="O851" s="70"/>
    </row>
    <row r="852" spans="15:15" x14ac:dyDescent="0.3">
      <c r="O852" s="70"/>
    </row>
    <row r="853" spans="15:15" x14ac:dyDescent="0.3">
      <c r="O853" s="70"/>
    </row>
    <row r="854" spans="15:15" x14ac:dyDescent="0.3">
      <c r="O854" s="70"/>
    </row>
    <row r="855" spans="15:15" x14ac:dyDescent="0.3">
      <c r="O855" s="70"/>
    </row>
    <row r="856" spans="15:15" x14ac:dyDescent="0.3">
      <c r="O856" s="70"/>
    </row>
    <row r="857" spans="15:15" x14ac:dyDescent="0.3">
      <c r="O857" s="70"/>
    </row>
    <row r="858" spans="15:15" x14ac:dyDescent="0.3">
      <c r="O858" s="70"/>
    </row>
    <row r="859" spans="15:15" x14ac:dyDescent="0.3">
      <c r="O859" s="70"/>
    </row>
    <row r="860" spans="15:15" x14ac:dyDescent="0.3">
      <c r="O860" s="70"/>
    </row>
    <row r="861" spans="15:15" x14ac:dyDescent="0.3">
      <c r="O861" s="70"/>
    </row>
    <row r="862" spans="15:15" x14ac:dyDescent="0.3">
      <c r="O862" s="70"/>
    </row>
    <row r="863" spans="15:15" x14ac:dyDescent="0.3">
      <c r="O863" s="70"/>
    </row>
    <row r="864" spans="15:15" x14ac:dyDescent="0.3">
      <c r="O864" s="70"/>
    </row>
    <row r="865" spans="15:15" x14ac:dyDescent="0.3">
      <c r="O865" s="70"/>
    </row>
    <row r="866" spans="15:15" x14ac:dyDescent="0.3">
      <c r="O866" s="70"/>
    </row>
    <row r="867" spans="15:15" x14ac:dyDescent="0.3">
      <c r="O867" s="70"/>
    </row>
    <row r="868" spans="15:15" x14ac:dyDescent="0.3">
      <c r="O868" s="70"/>
    </row>
    <row r="869" spans="15:15" x14ac:dyDescent="0.3">
      <c r="O869" s="70"/>
    </row>
    <row r="870" spans="15:15" x14ac:dyDescent="0.3">
      <c r="O870" s="70"/>
    </row>
    <row r="871" spans="15:15" x14ac:dyDescent="0.3">
      <c r="O871" s="70"/>
    </row>
    <row r="872" spans="15:15" x14ac:dyDescent="0.3">
      <c r="O872" s="70"/>
    </row>
    <row r="873" spans="15:15" x14ac:dyDescent="0.3">
      <c r="O873" s="70"/>
    </row>
    <row r="874" spans="15:15" x14ac:dyDescent="0.3">
      <c r="O874" s="70"/>
    </row>
    <row r="875" spans="15:15" x14ac:dyDescent="0.3">
      <c r="O875" s="70"/>
    </row>
    <row r="876" spans="15:15" x14ac:dyDescent="0.3">
      <c r="O876" s="70"/>
    </row>
    <row r="877" spans="15:15" x14ac:dyDescent="0.3">
      <c r="O877" s="70"/>
    </row>
    <row r="878" spans="15:15" x14ac:dyDescent="0.3">
      <c r="O878" s="70"/>
    </row>
    <row r="879" spans="15:15" x14ac:dyDescent="0.3">
      <c r="O879" s="70"/>
    </row>
    <row r="880" spans="15:15" x14ac:dyDescent="0.3">
      <c r="O880" s="70"/>
    </row>
    <row r="881" spans="15:15" x14ac:dyDescent="0.3">
      <c r="O881" s="70"/>
    </row>
    <row r="882" spans="15:15" x14ac:dyDescent="0.3">
      <c r="O882" s="70"/>
    </row>
    <row r="883" spans="15:15" x14ac:dyDescent="0.3">
      <c r="O883" s="70"/>
    </row>
    <row r="884" spans="15:15" x14ac:dyDescent="0.3">
      <c r="O884" s="70"/>
    </row>
    <row r="885" spans="15:15" x14ac:dyDescent="0.3">
      <c r="O885" s="70"/>
    </row>
    <row r="886" spans="15:15" x14ac:dyDescent="0.3">
      <c r="O886" s="70"/>
    </row>
    <row r="887" spans="15:15" x14ac:dyDescent="0.3">
      <c r="O887" s="70"/>
    </row>
    <row r="888" spans="15:15" x14ac:dyDescent="0.3">
      <c r="O888" s="70"/>
    </row>
    <row r="889" spans="15:15" x14ac:dyDescent="0.3">
      <c r="O889" s="70"/>
    </row>
    <row r="890" spans="15:15" x14ac:dyDescent="0.3">
      <c r="O890" s="70"/>
    </row>
    <row r="891" spans="15:15" x14ac:dyDescent="0.3">
      <c r="O891" s="70"/>
    </row>
    <row r="892" spans="15:15" x14ac:dyDescent="0.3">
      <c r="O892" s="70"/>
    </row>
    <row r="893" spans="15:15" x14ac:dyDescent="0.3">
      <c r="O893" s="70"/>
    </row>
    <row r="894" spans="15:15" x14ac:dyDescent="0.3">
      <c r="O894" s="70"/>
    </row>
    <row r="895" spans="15:15" x14ac:dyDescent="0.3">
      <c r="O895" s="70"/>
    </row>
    <row r="896" spans="15:15" x14ac:dyDescent="0.3">
      <c r="O896" s="70"/>
    </row>
    <row r="897" spans="15:15" x14ac:dyDescent="0.3">
      <c r="O897" s="70"/>
    </row>
    <row r="898" spans="15:15" x14ac:dyDescent="0.3">
      <c r="O898" s="70"/>
    </row>
    <row r="899" spans="15:15" x14ac:dyDescent="0.3">
      <c r="O899" s="70"/>
    </row>
    <row r="900" spans="15:15" x14ac:dyDescent="0.3">
      <c r="O900" s="70"/>
    </row>
    <row r="901" spans="15:15" x14ac:dyDescent="0.3">
      <c r="O901" s="70"/>
    </row>
    <row r="902" spans="15:15" x14ac:dyDescent="0.3">
      <c r="O902" s="70"/>
    </row>
    <row r="903" spans="15:15" x14ac:dyDescent="0.3">
      <c r="O903" s="70"/>
    </row>
    <row r="904" spans="15:15" x14ac:dyDescent="0.3">
      <c r="O904" s="70"/>
    </row>
    <row r="905" spans="15:15" x14ac:dyDescent="0.3">
      <c r="O905" s="70"/>
    </row>
    <row r="906" spans="15:15" x14ac:dyDescent="0.3">
      <c r="O906" s="70"/>
    </row>
    <row r="907" spans="15:15" x14ac:dyDescent="0.3">
      <c r="O907" s="70"/>
    </row>
    <row r="908" spans="15:15" x14ac:dyDescent="0.3">
      <c r="O908" s="70"/>
    </row>
    <row r="909" spans="15:15" x14ac:dyDescent="0.3">
      <c r="O909" s="70"/>
    </row>
    <row r="910" spans="15:15" x14ac:dyDescent="0.3">
      <c r="O910" s="70"/>
    </row>
    <row r="911" spans="15:15" x14ac:dyDescent="0.3">
      <c r="O911" s="70"/>
    </row>
    <row r="912" spans="15:15" x14ac:dyDescent="0.3">
      <c r="O912" s="70"/>
    </row>
    <row r="913" spans="15:15" x14ac:dyDescent="0.3">
      <c r="O913" s="70"/>
    </row>
    <row r="914" spans="15:15" x14ac:dyDescent="0.3">
      <c r="O914" s="70"/>
    </row>
    <row r="915" spans="15:15" x14ac:dyDescent="0.3">
      <c r="O915" s="70"/>
    </row>
    <row r="916" spans="15:15" x14ac:dyDescent="0.3">
      <c r="O916" s="70"/>
    </row>
    <row r="917" spans="15:15" x14ac:dyDescent="0.3">
      <c r="O917" s="70"/>
    </row>
    <row r="918" spans="15:15" x14ac:dyDescent="0.3">
      <c r="O918" s="70"/>
    </row>
    <row r="919" spans="15:15" x14ac:dyDescent="0.3">
      <c r="O919" s="70"/>
    </row>
    <row r="920" spans="15:15" x14ac:dyDescent="0.3">
      <c r="O920" s="70"/>
    </row>
    <row r="921" spans="15:15" x14ac:dyDescent="0.3">
      <c r="O921" s="70"/>
    </row>
    <row r="922" spans="15:15" x14ac:dyDescent="0.3">
      <c r="O922" s="70"/>
    </row>
    <row r="923" spans="15:15" x14ac:dyDescent="0.3">
      <c r="O923" s="70"/>
    </row>
    <row r="924" spans="15:15" x14ac:dyDescent="0.3">
      <c r="O924" s="70"/>
    </row>
    <row r="925" spans="15:15" x14ac:dyDescent="0.3">
      <c r="O925" s="70"/>
    </row>
    <row r="926" spans="15:15" x14ac:dyDescent="0.3">
      <c r="O926" s="70"/>
    </row>
    <row r="927" spans="15:15" x14ac:dyDescent="0.3">
      <c r="O927" s="70"/>
    </row>
    <row r="928" spans="15:15" x14ac:dyDescent="0.3">
      <c r="O928" s="70"/>
    </row>
    <row r="929" spans="15:15" x14ac:dyDescent="0.3">
      <c r="O929" s="70"/>
    </row>
    <row r="930" spans="15:15" x14ac:dyDescent="0.3">
      <c r="O930" s="70"/>
    </row>
    <row r="931" spans="15:15" x14ac:dyDescent="0.3">
      <c r="O931" s="70"/>
    </row>
    <row r="932" spans="15:15" x14ac:dyDescent="0.3">
      <c r="O932" s="70"/>
    </row>
    <row r="933" spans="15:15" x14ac:dyDescent="0.3">
      <c r="O933" s="70"/>
    </row>
    <row r="934" spans="15:15" x14ac:dyDescent="0.3">
      <c r="O934" s="70"/>
    </row>
    <row r="935" spans="15:15" x14ac:dyDescent="0.3">
      <c r="O935" s="70"/>
    </row>
    <row r="936" spans="15:15" x14ac:dyDescent="0.3">
      <c r="O936" s="70"/>
    </row>
    <row r="937" spans="15:15" x14ac:dyDescent="0.3">
      <c r="O937" s="70"/>
    </row>
    <row r="938" spans="15:15" x14ac:dyDescent="0.3">
      <c r="O938" s="70"/>
    </row>
    <row r="939" spans="15:15" x14ac:dyDescent="0.3">
      <c r="O939" s="70"/>
    </row>
    <row r="940" spans="15:15" x14ac:dyDescent="0.3">
      <c r="O940" s="70"/>
    </row>
    <row r="941" spans="15:15" x14ac:dyDescent="0.3">
      <c r="O941" s="70"/>
    </row>
    <row r="942" spans="15:15" x14ac:dyDescent="0.3">
      <c r="O942" s="70"/>
    </row>
    <row r="943" spans="15:15" x14ac:dyDescent="0.3">
      <c r="O943" s="70"/>
    </row>
    <row r="944" spans="15:15" x14ac:dyDescent="0.3">
      <c r="O944" s="70"/>
    </row>
    <row r="945" spans="15:15" x14ac:dyDescent="0.3">
      <c r="O945" s="70"/>
    </row>
    <row r="946" spans="15:15" x14ac:dyDescent="0.3">
      <c r="O946" s="70"/>
    </row>
    <row r="947" spans="15:15" x14ac:dyDescent="0.3">
      <c r="O947" s="70"/>
    </row>
    <row r="948" spans="15:15" x14ac:dyDescent="0.3">
      <c r="O948" s="70"/>
    </row>
    <row r="949" spans="15:15" x14ac:dyDescent="0.3">
      <c r="O949" s="70"/>
    </row>
    <row r="950" spans="15:15" x14ac:dyDescent="0.3">
      <c r="O950" s="70"/>
    </row>
    <row r="951" spans="15:15" x14ac:dyDescent="0.3">
      <c r="O951" s="70"/>
    </row>
    <row r="952" spans="15:15" x14ac:dyDescent="0.3">
      <c r="O952" s="70"/>
    </row>
    <row r="953" spans="15:15" x14ac:dyDescent="0.3">
      <c r="O953" s="70"/>
    </row>
    <row r="954" spans="15:15" x14ac:dyDescent="0.3">
      <c r="O954" s="70"/>
    </row>
    <row r="955" spans="15:15" x14ac:dyDescent="0.3">
      <c r="O955" s="70"/>
    </row>
    <row r="956" spans="15:15" x14ac:dyDescent="0.3">
      <c r="O956" s="70"/>
    </row>
    <row r="957" spans="15:15" x14ac:dyDescent="0.3">
      <c r="O957" s="70"/>
    </row>
    <row r="958" spans="15:15" x14ac:dyDescent="0.3">
      <c r="O958" s="70"/>
    </row>
    <row r="959" spans="15:15" x14ac:dyDescent="0.3">
      <c r="O959" s="70"/>
    </row>
    <row r="960" spans="15:15" x14ac:dyDescent="0.3">
      <c r="O960" s="70"/>
    </row>
    <row r="961" spans="15:15" x14ac:dyDescent="0.3">
      <c r="O961" s="70"/>
    </row>
    <row r="962" spans="15:15" x14ac:dyDescent="0.3">
      <c r="O962" s="70"/>
    </row>
    <row r="963" spans="15:15" x14ac:dyDescent="0.3">
      <c r="O963" s="70"/>
    </row>
    <row r="964" spans="15:15" x14ac:dyDescent="0.3">
      <c r="O964" s="70"/>
    </row>
    <row r="965" spans="15:15" x14ac:dyDescent="0.3">
      <c r="O965" s="70"/>
    </row>
    <row r="966" spans="15:15" x14ac:dyDescent="0.3">
      <c r="O966" s="70"/>
    </row>
    <row r="967" spans="15:15" x14ac:dyDescent="0.3">
      <c r="O967" s="70"/>
    </row>
    <row r="968" spans="15:15" x14ac:dyDescent="0.3">
      <c r="O968" s="70"/>
    </row>
    <row r="969" spans="15:15" x14ac:dyDescent="0.3">
      <c r="O969" s="70"/>
    </row>
    <row r="970" spans="15:15" x14ac:dyDescent="0.3">
      <c r="O970" s="70"/>
    </row>
    <row r="971" spans="15:15" x14ac:dyDescent="0.3">
      <c r="O971" s="70"/>
    </row>
    <row r="972" spans="15:15" x14ac:dyDescent="0.3">
      <c r="O972" s="70"/>
    </row>
    <row r="973" spans="15:15" x14ac:dyDescent="0.3">
      <c r="O973" s="70"/>
    </row>
    <row r="974" spans="15:15" x14ac:dyDescent="0.3">
      <c r="O974" s="70"/>
    </row>
    <row r="975" spans="15:15" x14ac:dyDescent="0.3">
      <c r="O975" s="70"/>
    </row>
    <row r="976" spans="15:15" x14ac:dyDescent="0.3">
      <c r="O976" s="70"/>
    </row>
    <row r="977" spans="15:15" x14ac:dyDescent="0.3">
      <c r="O977" s="70"/>
    </row>
    <row r="978" spans="15:15" x14ac:dyDescent="0.3">
      <c r="O978" s="70"/>
    </row>
    <row r="979" spans="15:15" x14ac:dyDescent="0.3">
      <c r="O979" s="70"/>
    </row>
    <row r="980" spans="15:15" x14ac:dyDescent="0.3">
      <c r="O980" s="70"/>
    </row>
    <row r="981" spans="15:15" x14ac:dyDescent="0.3">
      <c r="O981" s="70"/>
    </row>
    <row r="982" spans="15:15" x14ac:dyDescent="0.3">
      <c r="O982" s="70"/>
    </row>
    <row r="983" spans="15:15" x14ac:dyDescent="0.3">
      <c r="O983" s="70"/>
    </row>
    <row r="984" spans="15:15" x14ac:dyDescent="0.3">
      <c r="O984" s="70"/>
    </row>
    <row r="985" spans="15:15" x14ac:dyDescent="0.3">
      <c r="O985" s="70"/>
    </row>
    <row r="986" spans="15:15" x14ac:dyDescent="0.3">
      <c r="O986" s="70"/>
    </row>
    <row r="987" spans="15:15" x14ac:dyDescent="0.3">
      <c r="O987" s="70"/>
    </row>
    <row r="988" spans="15:15" x14ac:dyDescent="0.3">
      <c r="O988" s="70"/>
    </row>
    <row r="989" spans="15:15" x14ac:dyDescent="0.3">
      <c r="O989" s="70"/>
    </row>
    <row r="990" spans="15:15" x14ac:dyDescent="0.3">
      <c r="O990" s="70"/>
    </row>
    <row r="991" spans="15:15" x14ac:dyDescent="0.3">
      <c r="O991" s="70"/>
    </row>
    <row r="992" spans="15:15" x14ac:dyDescent="0.3">
      <c r="O992" s="70"/>
    </row>
    <row r="993" spans="15:15" x14ac:dyDescent="0.3">
      <c r="O993" s="70"/>
    </row>
    <row r="994" spans="15:15" x14ac:dyDescent="0.3">
      <c r="O994" s="70"/>
    </row>
    <row r="995" spans="15:15" x14ac:dyDescent="0.3">
      <c r="O995" s="70"/>
    </row>
    <row r="996" spans="15:15" x14ac:dyDescent="0.3">
      <c r="O996" s="70"/>
    </row>
    <row r="997" spans="15:15" x14ac:dyDescent="0.3">
      <c r="O997" s="70"/>
    </row>
    <row r="998" spans="15:15" x14ac:dyDescent="0.3">
      <c r="O998" s="70"/>
    </row>
    <row r="999" spans="15:15" x14ac:dyDescent="0.3">
      <c r="O999" s="70"/>
    </row>
    <row r="1000" spans="15:15" x14ac:dyDescent="0.3">
      <c r="O1000" s="70"/>
    </row>
    <row r="1001" spans="15:15" x14ac:dyDescent="0.3">
      <c r="O1001" s="70"/>
    </row>
    <row r="1002" spans="15:15" x14ac:dyDescent="0.3">
      <c r="O1002" s="70"/>
    </row>
    <row r="1003" spans="15:15" x14ac:dyDescent="0.3">
      <c r="O1003" s="70"/>
    </row>
    <row r="1004" spans="15:15" x14ac:dyDescent="0.3">
      <c r="O1004" s="70"/>
    </row>
    <row r="1005" spans="15:15" x14ac:dyDescent="0.3">
      <c r="O1005" s="70"/>
    </row>
    <row r="1006" spans="15:15" x14ac:dyDescent="0.3">
      <c r="O1006" s="70"/>
    </row>
    <row r="1007" spans="15:15" x14ac:dyDescent="0.3">
      <c r="O1007" s="70"/>
    </row>
    <row r="1008" spans="15:15" x14ac:dyDescent="0.3">
      <c r="O1008" s="70"/>
    </row>
    <row r="1009" spans="15:15" x14ac:dyDescent="0.3">
      <c r="O1009" s="70"/>
    </row>
    <row r="1010" spans="15:15" x14ac:dyDescent="0.3">
      <c r="O1010" s="70"/>
    </row>
    <row r="1011" spans="15:15" x14ac:dyDescent="0.3">
      <c r="O1011" s="70"/>
    </row>
    <row r="1012" spans="15:15" x14ac:dyDescent="0.3">
      <c r="O1012" s="70"/>
    </row>
    <row r="1013" spans="15:15" x14ac:dyDescent="0.3">
      <c r="O1013" s="70"/>
    </row>
    <row r="1014" spans="15:15" x14ac:dyDescent="0.3">
      <c r="O1014" s="70"/>
    </row>
    <row r="1015" spans="15:15" x14ac:dyDescent="0.3">
      <c r="O1015" s="70"/>
    </row>
    <row r="1016" spans="15:15" x14ac:dyDescent="0.3">
      <c r="O1016" s="70"/>
    </row>
    <row r="1017" spans="15:15" x14ac:dyDescent="0.3">
      <c r="O1017" s="70"/>
    </row>
    <row r="1018" spans="15:15" x14ac:dyDescent="0.3">
      <c r="O1018" s="70"/>
    </row>
    <row r="1019" spans="15:15" x14ac:dyDescent="0.3">
      <c r="O1019" s="70"/>
    </row>
    <row r="1020" spans="15:15" x14ac:dyDescent="0.3">
      <c r="O1020" s="70"/>
    </row>
    <row r="1021" spans="15:15" x14ac:dyDescent="0.3">
      <c r="O1021" s="70"/>
    </row>
    <row r="1022" spans="15:15" x14ac:dyDescent="0.3">
      <c r="O1022" s="70"/>
    </row>
    <row r="1023" spans="15:15" x14ac:dyDescent="0.3">
      <c r="O1023" s="70"/>
    </row>
    <row r="1024" spans="15:15" x14ac:dyDescent="0.3">
      <c r="O1024" s="70"/>
    </row>
    <row r="1025" spans="15:15" x14ac:dyDescent="0.3">
      <c r="O1025" s="70"/>
    </row>
    <row r="1026" spans="15:15" x14ac:dyDescent="0.3">
      <c r="O1026" s="70"/>
    </row>
    <row r="1027" spans="15:15" x14ac:dyDescent="0.3">
      <c r="O1027" s="70"/>
    </row>
    <row r="1028" spans="15:15" x14ac:dyDescent="0.3">
      <c r="O1028" s="70"/>
    </row>
    <row r="1029" spans="15:15" x14ac:dyDescent="0.3">
      <c r="O1029" s="70"/>
    </row>
    <row r="1030" spans="15:15" x14ac:dyDescent="0.3">
      <c r="O1030" s="70"/>
    </row>
    <row r="1031" spans="15:15" x14ac:dyDescent="0.3">
      <c r="O1031" s="70"/>
    </row>
    <row r="1032" spans="15:15" x14ac:dyDescent="0.3">
      <c r="O1032" s="70"/>
    </row>
    <row r="1033" spans="15:15" x14ac:dyDescent="0.3">
      <c r="O1033" s="70"/>
    </row>
    <row r="1034" spans="15:15" x14ac:dyDescent="0.3">
      <c r="O1034" s="70"/>
    </row>
    <row r="1035" spans="15:15" x14ac:dyDescent="0.3">
      <c r="O1035" s="70"/>
    </row>
    <row r="1036" spans="15:15" x14ac:dyDescent="0.3">
      <c r="O1036" s="70"/>
    </row>
    <row r="1037" spans="15:15" x14ac:dyDescent="0.3">
      <c r="O1037" s="70"/>
    </row>
    <row r="1038" spans="15:15" x14ac:dyDescent="0.3">
      <c r="O1038" s="70"/>
    </row>
    <row r="1039" spans="15:15" x14ac:dyDescent="0.3">
      <c r="O1039" s="70"/>
    </row>
    <row r="1040" spans="15:15" x14ac:dyDescent="0.3">
      <c r="O1040" s="70"/>
    </row>
    <row r="1041" spans="15:15" x14ac:dyDescent="0.3">
      <c r="O1041" s="70"/>
    </row>
    <row r="1042" spans="15:15" x14ac:dyDescent="0.3">
      <c r="O1042" s="70"/>
    </row>
    <row r="1043" spans="15:15" x14ac:dyDescent="0.3">
      <c r="O1043" s="70"/>
    </row>
    <row r="1044" spans="15:15" x14ac:dyDescent="0.3">
      <c r="O1044" s="70"/>
    </row>
    <row r="1045" spans="15:15" x14ac:dyDescent="0.3">
      <c r="O1045" s="70"/>
    </row>
    <row r="1046" spans="15:15" x14ac:dyDescent="0.3">
      <c r="O1046" s="70"/>
    </row>
    <row r="1047" spans="15:15" x14ac:dyDescent="0.3">
      <c r="O1047" s="70"/>
    </row>
    <row r="1048" spans="15:15" x14ac:dyDescent="0.3">
      <c r="O1048" s="70"/>
    </row>
    <row r="1049" spans="15:15" x14ac:dyDescent="0.3">
      <c r="O1049" s="70"/>
    </row>
    <row r="1050" spans="15:15" x14ac:dyDescent="0.3">
      <c r="O1050" s="70"/>
    </row>
    <row r="1051" spans="15:15" x14ac:dyDescent="0.3">
      <c r="O1051" s="70"/>
    </row>
    <row r="1052" spans="15:15" x14ac:dyDescent="0.3">
      <c r="O1052" s="70"/>
    </row>
    <row r="1053" spans="15:15" x14ac:dyDescent="0.3">
      <c r="O1053" s="70"/>
    </row>
    <row r="1054" spans="15:15" x14ac:dyDescent="0.3">
      <c r="O1054" s="70"/>
    </row>
    <row r="1055" spans="15:15" x14ac:dyDescent="0.3">
      <c r="O1055" s="70"/>
    </row>
    <row r="1056" spans="15:15" x14ac:dyDescent="0.3">
      <c r="O1056" s="70"/>
    </row>
    <row r="1057" spans="15:15" x14ac:dyDescent="0.3">
      <c r="O1057" s="70"/>
    </row>
    <row r="1058" spans="15:15" x14ac:dyDescent="0.3">
      <c r="O1058" s="70"/>
    </row>
    <row r="1059" spans="15:15" x14ac:dyDescent="0.3">
      <c r="O1059" s="70"/>
    </row>
    <row r="1060" spans="15:15" x14ac:dyDescent="0.3">
      <c r="O1060" s="70"/>
    </row>
    <row r="1061" spans="15:15" x14ac:dyDescent="0.3">
      <c r="O1061" s="70"/>
    </row>
    <row r="1062" spans="15:15" x14ac:dyDescent="0.3">
      <c r="O1062" s="70"/>
    </row>
    <row r="1063" spans="15:15" x14ac:dyDescent="0.3">
      <c r="O1063" s="70"/>
    </row>
    <row r="1064" spans="15:15" x14ac:dyDescent="0.3">
      <c r="O1064" s="70"/>
    </row>
    <row r="1065" spans="15:15" x14ac:dyDescent="0.3">
      <c r="O1065" s="70"/>
    </row>
    <row r="1066" spans="15:15" x14ac:dyDescent="0.3">
      <c r="O1066" s="70"/>
    </row>
    <row r="1067" spans="15:15" x14ac:dyDescent="0.3">
      <c r="O1067" s="70"/>
    </row>
    <row r="1068" spans="15:15" x14ac:dyDescent="0.3">
      <c r="O1068" s="70"/>
    </row>
    <row r="1069" spans="15:15" x14ac:dyDescent="0.3">
      <c r="O1069" s="70"/>
    </row>
    <row r="1070" spans="15:15" x14ac:dyDescent="0.3">
      <c r="O1070" s="70"/>
    </row>
    <row r="1071" spans="15:15" x14ac:dyDescent="0.3">
      <c r="O1071" s="70"/>
    </row>
    <row r="1072" spans="15:15" x14ac:dyDescent="0.3">
      <c r="O1072" s="70"/>
    </row>
    <row r="1073" spans="15:15" x14ac:dyDescent="0.3">
      <c r="O1073" s="70"/>
    </row>
    <row r="1074" spans="15:15" x14ac:dyDescent="0.3">
      <c r="O1074" s="70"/>
    </row>
    <row r="1075" spans="15:15" x14ac:dyDescent="0.3">
      <c r="O1075" s="70"/>
    </row>
    <row r="1076" spans="15:15" x14ac:dyDescent="0.3">
      <c r="O1076" s="70"/>
    </row>
    <row r="1077" spans="15:15" x14ac:dyDescent="0.3">
      <c r="O1077" s="70"/>
    </row>
    <row r="1078" spans="15:15" x14ac:dyDescent="0.3">
      <c r="O1078" s="70"/>
    </row>
    <row r="1079" spans="15:15" x14ac:dyDescent="0.3">
      <c r="O1079" s="70"/>
    </row>
    <row r="1080" spans="15:15" x14ac:dyDescent="0.3">
      <c r="O1080" s="70"/>
    </row>
    <row r="1081" spans="15:15" x14ac:dyDescent="0.3">
      <c r="O1081" s="70"/>
    </row>
    <row r="1082" spans="15:15" x14ac:dyDescent="0.3">
      <c r="O1082" s="70"/>
    </row>
    <row r="1083" spans="15:15" x14ac:dyDescent="0.3">
      <c r="O1083" s="70"/>
    </row>
    <row r="1084" spans="15:15" x14ac:dyDescent="0.3">
      <c r="O1084" s="70"/>
    </row>
    <row r="1085" spans="15:15" x14ac:dyDescent="0.3">
      <c r="O1085" s="70"/>
    </row>
    <row r="1086" spans="15:15" x14ac:dyDescent="0.3">
      <c r="O1086" s="70"/>
    </row>
    <row r="1087" spans="15:15" x14ac:dyDescent="0.3">
      <c r="O1087" s="70"/>
    </row>
    <row r="1088" spans="15:15" x14ac:dyDescent="0.3">
      <c r="O1088" s="70"/>
    </row>
    <row r="1089" spans="15:15" x14ac:dyDescent="0.3">
      <c r="O1089" s="70"/>
    </row>
    <row r="1090" spans="15:15" x14ac:dyDescent="0.3">
      <c r="O1090" s="70"/>
    </row>
    <row r="1091" spans="15:15" x14ac:dyDescent="0.3">
      <c r="O1091" s="70"/>
    </row>
    <row r="1092" spans="15:15" x14ac:dyDescent="0.3">
      <c r="O1092" s="70"/>
    </row>
    <row r="1093" spans="15:15" x14ac:dyDescent="0.3">
      <c r="O1093" s="70"/>
    </row>
    <row r="1094" spans="15:15" x14ac:dyDescent="0.3">
      <c r="O1094" s="70"/>
    </row>
    <row r="1095" spans="15:15" x14ac:dyDescent="0.3">
      <c r="O1095" s="70"/>
    </row>
    <row r="1096" spans="15:15" x14ac:dyDescent="0.3">
      <c r="O1096" s="70"/>
    </row>
    <row r="1097" spans="15:15" x14ac:dyDescent="0.3">
      <c r="O1097" s="70"/>
    </row>
    <row r="1098" spans="15:15" x14ac:dyDescent="0.3">
      <c r="O1098" s="70"/>
    </row>
    <row r="1099" spans="15:15" x14ac:dyDescent="0.3">
      <c r="O1099" s="70"/>
    </row>
    <row r="1100" spans="15:15" x14ac:dyDescent="0.3">
      <c r="O1100" s="70"/>
    </row>
    <row r="1101" spans="15:15" x14ac:dyDescent="0.3">
      <c r="O1101" s="70"/>
    </row>
    <row r="1102" spans="15:15" x14ac:dyDescent="0.3">
      <c r="O1102" s="70"/>
    </row>
    <row r="1103" spans="15:15" x14ac:dyDescent="0.3">
      <c r="O1103" s="70"/>
    </row>
    <row r="1104" spans="15:15" x14ac:dyDescent="0.3">
      <c r="O1104" s="70"/>
    </row>
    <row r="1105" spans="15:15" x14ac:dyDescent="0.3">
      <c r="O1105" s="70"/>
    </row>
    <row r="1106" spans="15:15" x14ac:dyDescent="0.3">
      <c r="O1106" s="70"/>
    </row>
    <row r="1107" spans="15:15" x14ac:dyDescent="0.3">
      <c r="O1107" s="70"/>
    </row>
    <row r="1108" spans="15:15" x14ac:dyDescent="0.3">
      <c r="O1108" s="70"/>
    </row>
    <row r="1109" spans="15:15" x14ac:dyDescent="0.3">
      <c r="O1109" s="70"/>
    </row>
    <row r="1110" spans="15:15" x14ac:dyDescent="0.3">
      <c r="O1110" s="70"/>
    </row>
    <row r="1111" spans="15:15" x14ac:dyDescent="0.3">
      <c r="O1111" s="70"/>
    </row>
    <row r="1112" spans="15:15" x14ac:dyDescent="0.3">
      <c r="O1112" s="70"/>
    </row>
    <row r="1113" spans="15:15" x14ac:dyDescent="0.3">
      <c r="O1113" s="70"/>
    </row>
    <row r="1114" spans="15:15" x14ac:dyDescent="0.3">
      <c r="O1114" s="70"/>
    </row>
    <row r="1115" spans="15:15" x14ac:dyDescent="0.3">
      <c r="O1115" s="70"/>
    </row>
    <row r="1116" spans="15:15" x14ac:dyDescent="0.3">
      <c r="O1116" s="70"/>
    </row>
    <row r="1117" spans="15:15" x14ac:dyDescent="0.3">
      <c r="O1117" s="70"/>
    </row>
    <row r="1118" spans="15:15" x14ac:dyDescent="0.3">
      <c r="O1118" s="70"/>
    </row>
    <row r="1119" spans="15:15" x14ac:dyDescent="0.3">
      <c r="O1119" s="70"/>
    </row>
    <row r="1120" spans="15:15" x14ac:dyDescent="0.3">
      <c r="O1120" s="70"/>
    </row>
    <row r="1121" spans="15:15" x14ac:dyDescent="0.3">
      <c r="O1121" s="70"/>
    </row>
    <row r="1122" spans="15:15" x14ac:dyDescent="0.3">
      <c r="O1122" s="70"/>
    </row>
    <row r="1123" spans="15:15" x14ac:dyDescent="0.3">
      <c r="O1123" s="70"/>
    </row>
    <row r="1124" spans="15:15" x14ac:dyDescent="0.3">
      <c r="O1124" s="70"/>
    </row>
    <row r="1125" spans="15:15" x14ac:dyDescent="0.3">
      <c r="O1125" s="70"/>
    </row>
    <row r="1126" spans="15:15" x14ac:dyDescent="0.3">
      <c r="O1126" s="70"/>
    </row>
    <row r="1127" spans="15:15" x14ac:dyDescent="0.3">
      <c r="O1127" s="70"/>
    </row>
    <row r="1128" spans="15:15" x14ac:dyDescent="0.3">
      <c r="O1128" s="70"/>
    </row>
    <row r="1129" spans="15:15" x14ac:dyDescent="0.3">
      <c r="O1129" s="70"/>
    </row>
    <row r="1130" spans="15:15" x14ac:dyDescent="0.3">
      <c r="O1130" s="70"/>
    </row>
    <row r="1131" spans="15:15" x14ac:dyDescent="0.3">
      <c r="O1131" s="70"/>
    </row>
    <row r="1132" spans="15:15" x14ac:dyDescent="0.3">
      <c r="O1132" s="70"/>
    </row>
    <row r="1133" spans="15:15" x14ac:dyDescent="0.3">
      <c r="O1133" s="70"/>
    </row>
    <row r="1134" spans="15:15" x14ac:dyDescent="0.3">
      <c r="O1134" s="70"/>
    </row>
    <row r="1135" spans="15:15" x14ac:dyDescent="0.3">
      <c r="O1135" s="70"/>
    </row>
    <row r="1136" spans="15:15" x14ac:dyDescent="0.3">
      <c r="O1136" s="70"/>
    </row>
    <row r="1137" spans="15:15" x14ac:dyDescent="0.3">
      <c r="O1137" s="70"/>
    </row>
    <row r="1138" spans="15:15" x14ac:dyDescent="0.3">
      <c r="O1138" s="70"/>
    </row>
    <row r="1139" spans="15:15" x14ac:dyDescent="0.3">
      <c r="O1139" s="70"/>
    </row>
    <row r="1140" spans="15:15" x14ac:dyDescent="0.3">
      <c r="O1140" s="70"/>
    </row>
    <row r="1141" spans="15:15" x14ac:dyDescent="0.3">
      <c r="O1141" s="70"/>
    </row>
    <row r="1142" spans="15:15" x14ac:dyDescent="0.3">
      <c r="O1142" s="70"/>
    </row>
    <row r="1143" spans="15:15" x14ac:dyDescent="0.3">
      <c r="O1143" s="70"/>
    </row>
    <row r="1144" spans="15:15" x14ac:dyDescent="0.3">
      <c r="O1144" s="70"/>
    </row>
    <row r="1145" spans="15:15" x14ac:dyDescent="0.3">
      <c r="O1145" s="70"/>
    </row>
    <row r="1146" spans="15:15" x14ac:dyDescent="0.3">
      <c r="O1146" s="70"/>
    </row>
    <row r="1147" spans="15:15" x14ac:dyDescent="0.3">
      <c r="O1147" s="70"/>
    </row>
    <row r="1148" spans="15:15" x14ac:dyDescent="0.3">
      <c r="O1148" s="70"/>
    </row>
    <row r="1149" spans="15:15" x14ac:dyDescent="0.3">
      <c r="O1149" s="70"/>
    </row>
    <row r="1150" spans="15:15" x14ac:dyDescent="0.3">
      <c r="O1150" s="70"/>
    </row>
    <row r="1151" spans="15:15" x14ac:dyDescent="0.3">
      <c r="O1151" s="70"/>
    </row>
    <row r="1152" spans="15:15" x14ac:dyDescent="0.3">
      <c r="O1152" s="70"/>
    </row>
    <row r="1153" spans="15:15" x14ac:dyDescent="0.3">
      <c r="O1153" s="70"/>
    </row>
    <row r="1154" spans="15:15" x14ac:dyDescent="0.3">
      <c r="O1154" s="70"/>
    </row>
    <row r="1155" spans="15:15" x14ac:dyDescent="0.3">
      <c r="O1155" s="70"/>
    </row>
    <row r="1156" spans="15:15" x14ac:dyDescent="0.3">
      <c r="O1156" s="70"/>
    </row>
    <row r="1157" spans="15:15" x14ac:dyDescent="0.3">
      <c r="O1157" s="70"/>
    </row>
    <row r="1158" spans="15:15" x14ac:dyDescent="0.3">
      <c r="O1158" s="70"/>
    </row>
    <row r="1159" spans="15:15" x14ac:dyDescent="0.3">
      <c r="O1159" s="70"/>
    </row>
    <row r="1160" spans="15:15" x14ac:dyDescent="0.3">
      <c r="O1160" s="70"/>
    </row>
    <row r="1161" spans="15:15" x14ac:dyDescent="0.3">
      <c r="O1161" s="70"/>
    </row>
    <row r="1162" spans="15:15" x14ac:dyDescent="0.3">
      <c r="O1162" s="70"/>
    </row>
    <row r="1163" spans="15:15" x14ac:dyDescent="0.3">
      <c r="O1163" s="70"/>
    </row>
    <row r="1164" spans="15:15" x14ac:dyDescent="0.3">
      <c r="O1164" s="70"/>
    </row>
    <row r="1165" spans="15:15" x14ac:dyDescent="0.3">
      <c r="O1165" s="70"/>
    </row>
    <row r="1166" spans="15:15" x14ac:dyDescent="0.3">
      <c r="O1166" s="70"/>
    </row>
    <row r="1167" spans="15:15" x14ac:dyDescent="0.3">
      <c r="O1167" s="70"/>
    </row>
    <row r="1168" spans="15:15" x14ac:dyDescent="0.3">
      <c r="O1168" s="70"/>
    </row>
    <row r="1169" spans="15:15" x14ac:dyDescent="0.3">
      <c r="O1169" s="70"/>
    </row>
    <row r="1170" spans="15:15" x14ac:dyDescent="0.3">
      <c r="O1170" s="70"/>
    </row>
    <row r="1171" spans="15:15" x14ac:dyDescent="0.3">
      <c r="O1171" s="70"/>
    </row>
    <row r="1172" spans="15:15" x14ac:dyDescent="0.3">
      <c r="O1172" s="70"/>
    </row>
    <row r="1173" spans="15:15" x14ac:dyDescent="0.3">
      <c r="O1173" s="70"/>
    </row>
    <row r="1174" spans="15:15" x14ac:dyDescent="0.3">
      <c r="O1174" s="70"/>
    </row>
    <row r="1175" spans="15:15" x14ac:dyDescent="0.3">
      <c r="O1175" s="70"/>
    </row>
    <row r="1176" spans="15:15" x14ac:dyDescent="0.3">
      <c r="O1176" s="70"/>
    </row>
    <row r="1177" spans="15:15" x14ac:dyDescent="0.3">
      <c r="O1177" s="70"/>
    </row>
    <row r="1178" spans="15:15" x14ac:dyDescent="0.3">
      <c r="O1178" s="70"/>
    </row>
    <row r="1179" spans="15:15" x14ac:dyDescent="0.3">
      <c r="O1179" s="70"/>
    </row>
    <row r="1180" spans="15:15" x14ac:dyDescent="0.3">
      <c r="O1180" s="70"/>
    </row>
    <row r="1181" spans="15:15" x14ac:dyDescent="0.3">
      <c r="O1181" s="70"/>
    </row>
    <row r="1182" spans="15:15" x14ac:dyDescent="0.3">
      <c r="O1182" s="70"/>
    </row>
    <row r="1183" spans="15:15" x14ac:dyDescent="0.3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18 M119:U119 W119:AO119 M120:AO131 AC132:AO132 M132:AB144 AC133:AP144 M145:AP225 Z226:Z227 M228:AP314 AQ228:AQ389 M315:U315 W315:AP315 M316:AP332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  <col min="35" max="36" width="11.88671875" customWidth="1"/>
  </cols>
  <sheetData>
    <row r="1" spans="1:36 16382:16382" ht="18" x14ac:dyDescent="0.35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4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6" thickBot="1" x14ac:dyDescent="0.45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 t="str">
        <f>'RESUMEN TOTAL'!S8</f>
        <v>APAGADO</v>
      </c>
      <c r="M5" s="70" t="str">
        <f>'RESUMEN TOTAL'!T8</f>
        <v>APAGADO</v>
      </c>
      <c r="N5" s="70" t="str">
        <f>'RESUMEN TOTAL'!U8</f>
        <v>APAGADO</v>
      </c>
      <c r="O5" s="70" t="str">
        <f>'RESUMEN TOTAL'!V8</f>
        <v>APAGADO</v>
      </c>
      <c r="P5" s="70">
        <f>'RESUMEN TOTAL'!W8</f>
        <v>0</v>
      </c>
      <c r="Q5" s="70" t="str">
        <f>'RESUMEN TOTAL'!X8</f>
        <v>APAGADO</v>
      </c>
      <c r="R5" s="70" t="str">
        <f>'RESUMEN TOTAL'!Y8</f>
        <v>APAGADO</v>
      </c>
      <c r="S5" s="70" t="str">
        <f>'RESUMEN TOTAL'!Z8</f>
        <v>APAGADO</v>
      </c>
      <c r="T5" s="70" t="str">
        <f>'RESUMEN TOTAL'!AA8</f>
        <v>APAGADO</v>
      </c>
      <c r="U5" s="70" t="str">
        <f>'RESUMEN TOTAL'!AB8</f>
        <v>APAGADO</v>
      </c>
      <c r="V5" s="70" t="str">
        <f>'RESUMEN TOTAL'!AC8</f>
        <v>APAGADO</v>
      </c>
      <c r="W5" s="70" t="str">
        <f>'RESUMEN TOTAL'!AD8</f>
        <v>APAGADO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 t="str">
        <f>'RESUMEN TOTAL'!T9</f>
        <v>APAGADO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 t="str">
        <f>'RESUMEN TOTAL'!X9</f>
        <v>APAGADO</v>
      </c>
      <c r="R6" s="70" t="str">
        <f>'RESUMEN TOTAL'!Y9</f>
        <v>APAGADO</v>
      </c>
      <c r="S6" s="70" t="str">
        <f>'RESUMEN TOTAL'!Z9</f>
        <v>APAGADO</v>
      </c>
      <c r="T6" s="70" t="str">
        <f>'RESUMEN TOTAL'!AA9</f>
        <v>APAGADO</v>
      </c>
      <c r="U6" s="70" t="str">
        <f>'RESUMEN TOTAL'!AB9</f>
        <v>APAGADO</v>
      </c>
      <c r="V6" s="70" t="str">
        <f>'RESUMEN TOTAL'!AC9</f>
        <v>APAGADO</v>
      </c>
      <c r="W6" s="70" t="str">
        <f>'RESUMEN TOTAL'!AD9</f>
        <v>APAGADO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 t="str">
        <f>'RESUMEN TOTAL'!S14</f>
        <v>APAGADO</v>
      </c>
      <c r="M11" s="70" t="str">
        <f>'RESUMEN TOTAL'!T14</f>
        <v>APAGADO</v>
      </c>
      <c r="N11" s="70" t="str">
        <f>'RESUMEN TOTAL'!U14</f>
        <v>APAGADO</v>
      </c>
      <c r="O11" s="70" t="str">
        <f>'RESUMEN TOTAL'!V14</f>
        <v>APAGADO</v>
      </c>
      <c r="P11" s="70">
        <f>'RESUMEN TOTAL'!W14</f>
        <v>0</v>
      </c>
      <c r="Q11" s="70" t="str">
        <f>'RESUMEN TOTAL'!X14</f>
        <v>APAGADO</v>
      </c>
      <c r="R11" s="70" t="str">
        <f>'RESUMEN TOTAL'!Y14</f>
        <v>APAGADO</v>
      </c>
      <c r="S11" s="70" t="str">
        <f>'RESUMEN TOTAL'!Z14</f>
        <v>APAGADO</v>
      </c>
      <c r="T11" s="70" t="str">
        <f>'RESUMEN TOTAL'!AA14</f>
        <v>APAGADO</v>
      </c>
      <c r="U11" s="70" t="str">
        <f>'RESUMEN TOTAL'!AB14</f>
        <v>APAGADO</v>
      </c>
      <c r="V11" s="70" t="str">
        <f>'RESUMEN TOTAL'!AC14</f>
        <v>APAGADO</v>
      </c>
      <c r="W11" s="70" t="str">
        <f>'RESUMEN TOTAL'!AD14</f>
        <v>APAGADO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 t="str">
        <f>'RESUMEN TOTAL'!AA17</f>
        <v>APAGADO</v>
      </c>
      <c r="U14" s="70" t="str">
        <f>'RESUMEN TOTAL'!AB17</f>
        <v>APAGADO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3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3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3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3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 t="str">
        <f>'RESUMEN TOTAL'!AC23</f>
        <v>APAGADO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3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 t="str">
        <f>'RESUMEN TOTAL'!AC24</f>
        <v>APAGADO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3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 t="str">
        <f>'RESUMEN TOTAL'!AC25</f>
        <v>APAGADO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3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 t="str">
        <f>'RESUMEN TOTAL'!AC26</f>
        <v>APAGADO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3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 t="str">
        <f>'RESUMEN TOTAL'!AC27</f>
        <v>APAGADO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3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3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3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 t="str">
        <f>'RESUMEN TOTAL'!AC46</f>
        <v>APAGADO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3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 t="str">
        <f>'RESUMEN TOTAL'!AC47</f>
        <v>APAGADO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3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3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3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 t="str">
        <f>'RESUMEN TOTAL'!AC50</f>
        <v>APAGADO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3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3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 t="str">
        <f>'RESUMEN TOTAL'!U52</f>
        <v>APAGADO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 t="str">
        <f>'RESUMEN TOTAL'!AC52</f>
        <v>APAGADO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3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 t="str">
        <f>'RESUMEN TOTAL'!AC53</f>
        <v>APAGADO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3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3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3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3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3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3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3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3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3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 t="str">
        <f>'RESUMEN TOTAL'!V62</f>
        <v>APAGADO</v>
      </c>
      <c r="P41" s="70">
        <f>'RESUMEN TOTAL'!W62</f>
        <v>0</v>
      </c>
      <c r="Q41" s="70" t="str">
        <f>'RESUMEN TOTAL'!X62</f>
        <v>APAGADO</v>
      </c>
      <c r="R41" s="70" t="str">
        <f>'RESUMEN TOTAL'!Y62</f>
        <v>APAGADO</v>
      </c>
      <c r="S41" s="70" t="str">
        <f>'RESUMEN TOTAL'!Z62</f>
        <v>APAGADO</v>
      </c>
      <c r="T41" s="70" t="str">
        <f>'RESUMEN TOTAL'!AA62</f>
        <v>APAGADO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3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3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3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3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3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3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3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 t="str">
        <f>'RESUMEN TOTAL'!AC69</f>
        <v>APAGADO</v>
      </c>
      <c r="W48" s="70" t="str">
        <f>'RESUMEN TOTAL'!AD69</f>
        <v>APAGADO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3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 t="str">
        <f>'RESUMEN TOTAL'!AC70</f>
        <v>APAGADO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3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3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3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3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 t="str">
        <f>'RESUMEN TOTAL'!AB74</f>
        <v>APAGADO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3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3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3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3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3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 t="str">
        <f>'RESUMEN TOTAL'!AC79</f>
        <v>APAGADO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3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 t="str">
        <f>'RESUMEN TOTAL'!AC80</f>
        <v>APAGADO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3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3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 t="str">
        <f>'RESUMEN TOTAL'!AC82</f>
        <v>APAGADO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3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 t="str">
        <f>'RESUMEN TOTAL'!AC83</f>
        <v>APAGADO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3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3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3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3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3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3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 t="str">
        <f>'RESUMEN TOTAL'!Q89</f>
        <v>APAGADO</v>
      </c>
      <c r="K68" s="70" t="str">
        <f>'RESUMEN TOTAL'!R89</f>
        <v>APAGADO</v>
      </c>
      <c r="L68" s="70" t="str">
        <f>'RESUMEN TOTAL'!S89</f>
        <v>APAGADO</v>
      </c>
      <c r="M68" s="70">
        <f>'RESUMEN TOTAL'!T89</f>
        <v>0</v>
      </c>
      <c r="N68" s="70" t="str">
        <f>'RESUMEN TOTAL'!U89</f>
        <v>APAGADO</v>
      </c>
      <c r="O68" s="70" t="str">
        <f>'RESUMEN TOTAL'!V89</f>
        <v>APAGADO</v>
      </c>
      <c r="P68" s="70">
        <f>'RESUMEN TOTAL'!W89</f>
        <v>0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 t="str">
        <f>'RESUMEN TOTAL'!AD89</f>
        <v>APAGADO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3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 t="str">
        <f>'RESUMEN TOTAL'!AC90</f>
        <v>APAGADO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3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 t="str">
        <f>'RESUMEN TOTAL'!AC91</f>
        <v>APAGADO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3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3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3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 t="str">
        <f>'RESUMEN TOTAL'!AC94</f>
        <v>APAGADO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3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 t="str">
        <f>'RESUMEN TOTAL'!T95</f>
        <v>APAGADO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 t="str">
        <f>'RESUMEN TOTAL'!X95</f>
        <v>APAGADO</v>
      </c>
      <c r="R74" s="70">
        <f>'RESUMEN TOTAL'!Y95</f>
        <v>0</v>
      </c>
      <c r="S74" s="70">
        <f>'RESUMEN TOTAL'!Z95</f>
        <v>0</v>
      </c>
      <c r="T74" s="70" t="str">
        <f>'RESUMEN TOTAL'!AA95</f>
        <v>APAGADO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3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3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3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 t="str">
        <f>'RESUMEN TOTAL'!Z98</f>
        <v>APAGADO</v>
      </c>
      <c r="T77" s="70" t="str">
        <f>'RESUMEN TOTAL'!AA98</f>
        <v>APAGADO</v>
      </c>
      <c r="U77" s="70" t="str">
        <f>'RESUMEN TOTAL'!AB98</f>
        <v>APAGADO</v>
      </c>
      <c r="V77" s="70" t="str">
        <f>'RESUMEN TOTAL'!AC98</f>
        <v>APAGADO</v>
      </c>
      <c r="W77" s="70" t="str">
        <f>'RESUMEN TOTAL'!AD98</f>
        <v>APAGADO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3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>
        <f>'RESUMEN TOTAL'!U99</f>
        <v>0</v>
      </c>
      <c r="O78" s="70" t="str">
        <f>'RESUMEN TOTAL'!V99</f>
        <v>APAGADO</v>
      </c>
      <c r="P78" s="70">
        <f>'RESUMEN TOTAL'!W99</f>
        <v>0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 t="str">
        <f>'RESUMEN TOTAL'!AD99</f>
        <v>APAGADO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3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3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3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3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 t="str">
        <f>'RESUMEN TOTAL'!AC103</f>
        <v>APAGADO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3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3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3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3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3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 t="str">
        <f>'RESUMEN TOTAL'!AC108</f>
        <v>APAGADO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3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 t="str">
        <f>'RESUMEN TOTAL'!AC109</f>
        <v>APAGADO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3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3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3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 t="str">
        <f>'RESUMEN TOTAL'!O112</f>
        <v>APAGADO</v>
      </c>
      <c r="I91" s="70" t="str">
        <f>'RESUMEN TOTAL'!P112</f>
        <v>APAGADO</v>
      </c>
      <c r="J91" s="70" t="str">
        <f>'RESUMEN TOTAL'!Q112</f>
        <v>APAGADO</v>
      </c>
      <c r="K91" s="70" t="str">
        <f>'RESUMEN TOTAL'!R112</f>
        <v>APAGADO</v>
      </c>
      <c r="L91" s="70" t="str">
        <f>'RESUMEN TOTAL'!S112</f>
        <v>APAGADO</v>
      </c>
      <c r="M91" s="70" t="str">
        <f>'RESUMEN TOTAL'!T112</f>
        <v>APAGADO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 t="str">
        <f>'RESUMEN TOTAL'!Z112</f>
        <v>APAGADO</v>
      </c>
      <c r="T91" s="70" t="str">
        <f>'RESUMEN TOTAL'!AA112</f>
        <v>APAGADO</v>
      </c>
      <c r="U91" s="70" t="str">
        <f>'RESUMEN TOTAL'!AB112</f>
        <v>APAGADO</v>
      </c>
      <c r="V91" s="70" t="str">
        <f>'RESUMEN TOTAL'!AC112</f>
        <v>APAGADO</v>
      </c>
      <c r="W91" s="70" t="str">
        <f>'RESUMEN TOTAL'!AD112</f>
        <v>APAGADO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3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 t="str">
        <f>'RESUMEN TOTAL'!O113</f>
        <v>APAGADO</v>
      </c>
      <c r="I92" s="70" t="str">
        <f>'RESUMEN TOTAL'!P113</f>
        <v>APAGADO</v>
      </c>
      <c r="J92" s="70" t="str">
        <f>'RESUMEN TOTAL'!Q113</f>
        <v>APAGADO</v>
      </c>
      <c r="K92" s="70" t="str">
        <f>'RESUMEN TOTAL'!R113</f>
        <v>APAGADO</v>
      </c>
      <c r="L92" s="70" t="str">
        <f>'RESUMEN TOTAL'!S113</f>
        <v>APAGADO</v>
      </c>
      <c r="M92" s="70" t="str">
        <f>'RESUMEN TOTAL'!T113</f>
        <v>APAGADO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 t="str">
        <f>'RESUMEN TOTAL'!Z113</f>
        <v>APAGADO</v>
      </c>
      <c r="T92" s="70" t="str">
        <f>'RESUMEN TOTAL'!AA113</f>
        <v>APAGADO</v>
      </c>
      <c r="U92" s="70" t="str">
        <f>'RESUMEN TOTAL'!AB113</f>
        <v>APAGADO</v>
      </c>
      <c r="V92" s="70" t="str">
        <f>'RESUMEN TOTAL'!AC113</f>
        <v>APAGADO</v>
      </c>
      <c r="W92" s="70" t="str">
        <f>'RESUMEN TOTAL'!AD113</f>
        <v>APAGADO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3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 t="str">
        <f>'RESUMEN TOTAL'!AA114</f>
        <v>APAGADO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3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 t="str">
        <f>'RESUMEN TOTAL'!AA115</f>
        <v>APAGADO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3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3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3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3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 t="str">
        <f>'RESUMEN TOTAL'!V120</f>
        <v>APAGADO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3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 t="str">
        <f>'RESUMEN TOTAL'!O120</f>
        <v>APAGADO</v>
      </c>
      <c r="I99" s="70" t="str">
        <f>'RESUMEN TOTAL'!P120</f>
        <v>APAGADO</v>
      </c>
      <c r="J99" s="70" t="str">
        <f>'RESUMEN TOTAL'!Q120</f>
        <v>APAGADO</v>
      </c>
      <c r="K99" s="70" t="str">
        <f>'RESUMEN TOTAL'!R120</f>
        <v>APAGADO</v>
      </c>
      <c r="L99" s="70" t="str">
        <f>'RESUMEN TOTAL'!S120</f>
        <v>APAGADO</v>
      </c>
      <c r="M99" s="70" t="str">
        <f>'RESUMEN TOTAL'!T120</f>
        <v>APAGADO</v>
      </c>
      <c r="N99" s="70" t="str">
        <f>'RESUMEN TOTAL'!U120</f>
        <v>APAGADO</v>
      </c>
      <c r="O99" s="70" t="e">
        <f>'RESUMEN TOTAL'!#REF!</f>
        <v>#REF!</v>
      </c>
      <c r="P99" s="70">
        <f>'RESUMEN TOTAL'!W120</f>
        <v>0</v>
      </c>
      <c r="Q99" s="70" t="str">
        <f>'RESUMEN TOTAL'!X120</f>
        <v>APAGADO</v>
      </c>
      <c r="R99" s="70" t="str">
        <f>'RESUMEN TOTAL'!Y120</f>
        <v>APAGADO</v>
      </c>
      <c r="S99" s="70" t="str">
        <f>'RESUMEN TOTAL'!Z120</f>
        <v>APAGADO</v>
      </c>
      <c r="T99" s="70" t="str">
        <f>'RESUMEN TOTAL'!AA120</f>
        <v>APAGADO</v>
      </c>
      <c r="U99" s="70" t="str">
        <f>'RESUMEN TOTAL'!AB120</f>
        <v>APAGADO</v>
      </c>
      <c r="V99" s="70" t="str">
        <f>'RESUMEN TOTAL'!AC120</f>
        <v>APAGADO</v>
      </c>
      <c r="W99" s="70" t="str">
        <f>'RESUMEN TOTAL'!AD120</f>
        <v>APAGADO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3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3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3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3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 t="str">
        <f>'RESUMEN TOTAL'!AC124</f>
        <v>APAGADO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3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 t="str">
        <f>'RESUMEN TOTAL'!AC125</f>
        <v>APAGADO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3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3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 t="str">
        <f>'RESUMEN TOTAL'!Q127</f>
        <v>APAGADO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 t="str">
        <f>'RESUMEN TOTAL'!Y127</f>
        <v>APAGADO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3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3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3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 t="str">
        <f>'RESUMEN TOTAL'!Q130</f>
        <v>APAGADO</v>
      </c>
      <c r="K109" s="70" t="str">
        <f>'RESUMEN TOTAL'!R130</f>
        <v>APAGADO</v>
      </c>
      <c r="L109" s="70">
        <f>'RESUMEN TOTAL'!S130</f>
        <v>0</v>
      </c>
      <c r="M109" s="70">
        <f>'RESUMEN TOTAL'!T130</f>
        <v>0</v>
      </c>
      <c r="N109" s="70" t="str">
        <f>'RESUMEN TOTAL'!U130</f>
        <v>APAGADO</v>
      </c>
      <c r="O109" s="70" t="str">
        <f>'RESUMEN TOTAL'!V130</f>
        <v>APAGADO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 t="str">
        <f>'RESUMEN TOTAL'!Z130</f>
        <v>APAGADO</v>
      </c>
      <c r="T109" s="70">
        <f>'RESUMEN TOTAL'!AA130</f>
        <v>0</v>
      </c>
      <c r="U109" s="70" t="str">
        <f>'RESUMEN TOTAL'!AB130</f>
        <v>APAGADO</v>
      </c>
      <c r="V109" s="70" t="str">
        <f>'RESUMEN TOTAL'!AC130</f>
        <v>APAGADO</v>
      </c>
      <c r="W109" s="70" t="str">
        <f>'RESUMEN TOTAL'!AD130</f>
        <v>APAGADO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3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 t="str">
        <f>'RESUMEN TOTAL'!S131</f>
        <v>APAGADO</v>
      </c>
      <c r="M110" s="70" t="str">
        <f>'RESUMEN TOTAL'!T131</f>
        <v>APAGADO</v>
      </c>
      <c r="N110" s="70" t="str">
        <f>'RESUMEN TOTAL'!U131</f>
        <v>APAGADO</v>
      </c>
      <c r="O110" s="70" t="str">
        <f>'RESUMEN TOTAL'!V131</f>
        <v>APAGADO</v>
      </c>
      <c r="P110" s="70">
        <f>'RESUMEN TOTAL'!W131</f>
        <v>0</v>
      </c>
      <c r="Q110" s="70" t="str">
        <f>'RESUMEN TOTAL'!X131</f>
        <v>APAGADO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3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 t="str">
        <f>'RESUMEN TOTAL'!O145</f>
        <v>APAGADO</v>
      </c>
      <c r="I111" s="70" t="str">
        <f>'RESUMEN TOTAL'!P145</f>
        <v>APAGADO</v>
      </c>
      <c r="J111" s="70" t="str">
        <f>'RESUMEN TOTAL'!Q145</f>
        <v>APAGADO</v>
      </c>
      <c r="K111" s="70" t="str">
        <f>'RESUMEN TOTAL'!R145</f>
        <v>APAGADO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3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3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 t="str">
        <f>'RESUMEN TOTAL'!AC147</f>
        <v>APAGADO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3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3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3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 t="str">
        <f>'RESUMEN TOTAL'!AB150</f>
        <v>APAGADO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3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 t="str">
        <f>'RESUMEN TOTAL'!Q151</f>
        <v>APAGADO</v>
      </c>
      <c r="K117" s="70" t="str">
        <f>'RESUMEN TOTAL'!R151</f>
        <v>APAGADO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 t="str">
        <f>'RESUMEN TOTAL'!AA151</f>
        <v>APAGADO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3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3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3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3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3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 t="str">
        <f>'RESUMEN TOTAL'!O156</f>
        <v>APAGADO</v>
      </c>
      <c r="I122" s="70">
        <f>'RESUMEN TOTAL'!P156</f>
        <v>0</v>
      </c>
      <c r="J122" s="70" t="str">
        <f>'RESUMEN TOTAL'!Q156</f>
        <v>APAGADO</v>
      </c>
      <c r="K122" s="70" t="str">
        <f>'RESUMEN TOTAL'!R156</f>
        <v>APAGADO</v>
      </c>
      <c r="L122" s="70" t="str">
        <f>'RESUMEN TOTAL'!S156</f>
        <v>APAGADO</v>
      </c>
      <c r="M122" s="70" t="str">
        <f>'RESUMEN TOTAL'!T156</f>
        <v>APAGADO</v>
      </c>
      <c r="N122" s="70" t="str">
        <f>'RESUMEN TOTAL'!U156</f>
        <v>APAGADO</v>
      </c>
      <c r="O122" s="70" t="str">
        <f>'RESUMEN TOTAL'!V156</f>
        <v>APAGADO</v>
      </c>
      <c r="P122" s="70">
        <f>'RESUMEN TOTAL'!W156</f>
        <v>0</v>
      </c>
      <c r="Q122" s="70" t="str">
        <f>'RESUMEN TOTAL'!X156</f>
        <v>APAGADO</v>
      </c>
      <c r="R122" s="70" t="str">
        <f>'RESUMEN TOTAL'!Y156</f>
        <v>APAGADO</v>
      </c>
      <c r="S122" s="70" t="str">
        <f>'RESUMEN TOTAL'!Z156</f>
        <v>APAGADO</v>
      </c>
      <c r="T122" s="70" t="str">
        <f>'RESUMEN TOTAL'!AA156</f>
        <v>APAGADO</v>
      </c>
      <c r="U122" s="70" t="str">
        <f>'RESUMEN TOTAL'!AB156</f>
        <v>APAGADO</v>
      </c>
      <c r="V122" s="70" t="str">
        <f>'RESUMEN TOTAL'!AC156</f>
        <v>APAGADO</v>
      </c>
      <c r="W122" s="70" t="str">
        <f>'RESUMEN TOTAL'!AD156</f>
        <v>APAGADO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3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 t="str">
        <f>'RESUMEN TOTAL'!O157</f>
        <v>APAGADO</v>
      </c>
      <c r="I123" s="70">
        <f>'RESUMEN TOTAL'!P157</f>
        <v>0</v>
      </c>
      <c r="J123" s="70" t="str">
        <f>'RESUMEN TOTAL'!Q157</f>
        <v>APAGADO</v>
      </c>
      <c r="K123" s="70" t="str">
        <f>'RESUMEN TOTAL'!R157</f>
        <v>APAGADO</v>
      </c>
      <c r="L123" s="70" t="str">
        <f>'RESUMEN TOTAL'!S157</f>
        <v>APAGADO</v>
      </c>
      <c r="M123" s="70" t="str">
        <f>'RESUMEN TOTAL'!T157</f>
        <v>APAGADO</v>
      </c>
      <c r="N123" s="70" t="str">
        <f>'RESUMEN TOTAL'!U157</f>
        <v>APAGADO</v>
      </c>
      <c r="O123" s="70" t="str">
        <f>'RESUMEN TOTAL'!V157</f>
        <v>APAGADO</v>
      </c>
      <c r="P123" s="70">
        <f>'RESUMEN TOTAL'!W157</f>
        <v>0</v>
      </c>
      <c r="Q123" s="70" t="str">
        <f>'RESUMEN TOTAL'!X157</f>
        <v>APAGADO</v>
      </c>
      <c r="R123" s="70" t="str">
        <f>'RESUMEN TOTAL'!Y157</f>
        <v>APAGADO</v>
      </c>
      <c r="S123" s="70" t="str">
        <f>'RESUMEN TOTAL'!Z157</f>
        <v>APAGADO</v>
      </c>
      <c r="T123" s="70" t="str">
        <f>'RESUMEN TOTAL'!AA157</f>
        <v>APAGADO</v>
      </c>
      <c r="U123" s="70" t="str">
        <f>'RESUMEN TOTAL'!AB157</f>
        <v>APAGADO</v>
      </c>
      <c r="V123" s="70" t="str">
        <f>'RESUMEN TOTAL'!AC157</f>
        <v>APAGADO</v>
      </c>
      <c r="W123" s="70" t="str">
        <f>'RESUMEN TOTAL'!AD157</f>
        <v>APAGADO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3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3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3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 t="str">
        <f>'RESUMEN TOTAL'!O164</f>
        <v>APAGADO</v>
      </c>
      <c r="I126" s="70" t="str">
        <f>'RESUMEN TOTAL'!P164</f>
        <v>APAGADO</v>
      </c>
      <c r="J126" s="70" t="str">
        <f>'RESUMEN TOTAL'!Q164</f>
        <v>APAGADO</v>
      </c>
      <c r="K126" s="70" t="str">
        <f>'RESUMEN TOTAL'!R164</f>
        <v>APAGADO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3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 t="str">
        <f>'RESUMEN TOTAL'!O165</f>
        <v>APAGADO</v>
      </c>
      <c r="I127" s="70" t="str">
        <f>'RESUMEN TOTAL'!P165</f>
        <v>APAGADO</v>
      </c>
      <c r="J127" s="70" t="str">
        <f>'RESUMEN TOTAL'!Q165</f>
        <v>APAGADO</v>
      </c>
      <c r="K127" s="70" t="str">
        <f>'RESUMEN TOTAL'!R165</f>
        <v>APAGADO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3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 t="str">
        <f>'RESUMEN TOTAL'!R166</f>
        <v>APAGADO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3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 t="str">
        <f>'RESUMEN TOTAL'!Q167</f>
        <v>APAGADO</v>
      </c>
      <c r="K129" s="70" t="str">
        <f>'RESUMEN TOTAL'!R167</f>
        <v>APAGADO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3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 t="str">
        <f>'RESUMEN TOTAL'!AC170</f>
        <v>APAGADO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3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3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3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 t="str">
        <f>'RESUMEN TOTAL'!AC173</f>
        <v>APAGADO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3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 t="str">
        <f>'RESUMEN TOTAL'!AC174</f>
        <v>APAGADO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3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 t="str">
        <f>'RESUMEN TOTAL'!AB175</f>
        <v>APAGADO</v>
      </c>
      <c r="V135" s="70" t="str">
        <f>'RESUMEN TOTAL'!AC175</f>
        <v>APAGADO</v>
      </c>
      <c r="W135" s="70" t="str">
        <f>'RESUMEN TOTAL'!AD175</f>
        <v>APAGADO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3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3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3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 t="str">
        <f>'RESUMEN TOTAL'!AC178</f>
        <v>APAGADO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3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 t="str">
        <f>'RESUMEN TOTAL'!AC179</f>
        <v>APAGADO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3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 t="str">
        <f>'RESUMEN TOTAL'!O180</f>
        <v>APAGADO</v>
      </c>
      <c r="I140" s="70" t="str">
        <f>'RESUMEN TOTAL'!P180</f>
        <v>APAGADO</v>
      </c>
      <c r="J140" s="70" t="str">
        <f>'RESUMEN TOTAL'!Q180</f>
        <v>APAGADO</v>
      </c>
      <c r="K140" s="70" t="str">
        <f>'RESUMEN TOTAL'!R180</f>
        <v>APAGADO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3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 t="str">
        <f>'RESUMEN TOTAL'!O181</f>
        <v>APAGADO</v>
      </c>
      <c r="I141" s="70" t="str">
        <f>'RESUMEN TOTAL'!P181</f>
        <v>APAGADO</v>
      </c>
      <c r="J141" s="70" t="str">
        <f>'RESUMEN TOTAL'!Q181</f>
        <v>APAGADO</v>
      </c>
      <c r="K141" s="70" t="str">
        <f>'RESUMEN TOTAL'!R181</f>
        <v>APAGADO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3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 t="str">
        <f>'RESUMEN TOTAL'!O182</f>
        <v>APAGADO</v>
      </c>
      <c r="I142" s="70" t="str">
        <f>'RESUMEN TOTAL'!P182</f>
        <v>APAGADO</v>
      </c>
      <c r="J142" s="70" t="str">
        <f>'RESUMEN TOTAL'!Q182</f>
        <v>APAGADO</v>
      </c>
      <c r="K142" s="70" t="str">
        <f>'RESUMEN TOTAL'!R182</f>
        <v>APAGADO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3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 t="str">
        <f>'RESUMEN TOTAL'!O183</f>
        <v>APAGADO</v>
      </c>
      <c r="I143" s="70" t="str">
        <f>'RESUMEN TOTAL'!P183</f>
        <v>APAGADO</v>
      </c>
      <c r="J143" s="70" t="str">
        <f>'RESUMEN TOTAL'!Q183</f>
        <v>APAGADO</v>
      </c>
      <c r="K143" s="70" t="str">
        <f>'RESUMEN TOTAL'!R183</f>
        <v>APAGADO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3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3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3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3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3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>
        <f>'RESUMEN TOTAL'!W193</f>
        <v>0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 t="str">
        <f>'RESUMEN TOTAL'!AC193</f>
        <v>APAGADO</v>
      </c>
      <c r="W148" s="70" t="str">
        <f>'RESUMEN TOTAL'!AD193</f>
        <v>APAGADO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3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 t="str">
        <f>'RESUMEN TOTAL'!O194</f>
        <v>APAGADO</v>
      </c>
      <c r="I149" s="70" t="str">
        <f>'RESUMEN TOTAL'!P194</f>
        <v>APAGADO</v>
      </c>
      <c r="J149" s="70" t="str">
        <f>'RESUMEN TOTAL'!Q194</f>
        <v>APAGADO</v>
      </c>
      <c r="K149" s="70" t="str">
        <f>'RESUMEN TOTAL'!R194</f>
        <v>APAGADO</v>
      </c>
      <c r="L149" s="70" t="str">
        <f>'RESUMEN TOTAL'!S194</f>
        <v>APAGADO</v>
      </c>
      <c r="M149" s="70" t="str">
        <f>'RESUMEN TOTAL'!T194</f>
        <v>APAGADO</v>
      </c>
      <c r="N149" s="70" t="str">
        <f>'RESUMEN TOTAL'!U194</f>
        <v>APAGADO</v>
      </c>
      <c r="O149" s="70" t="str">
        <f>'RESUMEN TOTAL'!V194</f>
        <v>APAGADO</v>
      </c>
      <c r="P149" s="70">
        <f>'RESUMEN TOTAL'!W194</f>
        <v>0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 t="str">
        <f>'RESUMEN TOTAL'!AC194</f>
        <v>APAGADO</v>
      </c>
      <c r="W149" s="70" t="str">
        <f>'RESUMEN TOTAL'!AD194</f>
        <v>APAGADO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3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 t="str">
        <f>'RESUMEN TOTAL'!P195</f>
        <v>APAGADO</v>
      </c>
      <c r="J150" s="70" t="str">
        <f>'RESUMEN TOTAL'!Q195</f>
        <v>APAGADO</v>
      </c>
      <c r="K150" s="70" t="str">
        <f>'RESUMEN TOTAL'!R195</f>
        <v>APAGADO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 t="str">
        <f>'RESUMEN TOTAL'!Y195</f>
        <v>APAGADO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 t="str">
        <f>'RESUMEN TOTAL'!AC195</f>
        <v>APAGADO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3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3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 t="str">
        <f>'RESUMEN TOTAL'!R197</f>
        <v>APAGADO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3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3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 t="str">
        <f>'RESUMEN TOTAL'!AB199</f>
        <v>APAGADO</v>
      </c>
      <c r="V154" s="70" t="str">
        <f>'RESUMEN TOTAL'!AC199</f>
        <v>APAGADO</v>
      </c>
      <c r="W154" s="70" t="str">
        <f>'RESUMEN TOTAL'!AD199</f>
        <v>APAGADO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3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 t="str">
        <f>'RESUMEN TOTAL'!S200</f>
        <v>APAGADO</v>
      </c>
      <c r="M155" s="70" t="str">
        <f>'RESUMEN TOTAL'!T200</f>
        <v>APAGADO</v>
      </c>
      <c r="N155" s="70" t="str">
        <f>'RESUMEN TOTAL'!U200</f>
        <v>APAGADO</v>
      </c>
      <c r="O155" s="70" t="str">
        <f>'RESUMEN TOTAL'!V200</f>
        <v>APAGADO</v>
      </c>
      <c r="P155" s="70">
        <f>'RESUMEN TOTAL'!W200</f>
        <v>0</v>
      </c>
      <c r="Q155" s="70" t="str">
        <f>'RESUMEN TOTAL'!X200</f>
        <v>APAGADO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 t="str">
        <f>'RESUMEN TOTAL'!AB200</f>
        <v>APAGADO</v>
      </c>
      <c r="V155" s="70" t="str">
        <f>'RESUMEN TOTAL'!AC200</f>
        <v>APAGADO</v>
      </c>
      <c r="W155" s="70" t="str">
        <f>'RESUMEN TOTAL'!AD200</f>
        <v>APAGADO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3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3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3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3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3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3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3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3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3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3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3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 t="str">
        <f>'RESUMEN TOTAL'!O211</f>
        <v>APAGADO</v>
      </c>
      <c r="I166" s="70" t="str">
        <f>'RESUMEN TOTAL'!P211</f>
        <v>APAGADO</v>
      </c>
      <c r="J166" s="70" t="str">
        <f>'RESUMEN TOTAL'!Q211</f>
        <v>APAGADO</v>
      </c>
      <c r="K166" s="70" t="str">
        <f>'RESUMEN TOTAL'!R211</f>
        <v>APAGADO</v>
      </c>
      <c r="L166" s="70" t="str">
        <f>'RESUMEN TOTAL'!S211</f>
        <v>APAGADO</v>
      </c>
      <c r="M166" s="70" t="str">
        <f>'RESUMEN TOTAL'!T211</f>
        <v>APAGADO</v>
      </c>
      <c r="N166" s="70" t="str">
        <f>'RESUMEN TOTAL'!U211</f>
        <v>APAGADO</v>
      </c>
      <c r="O166" s="70" t="str">
        <f>'RESUMEN TOTAL'!V211</f>
        <v>APAGADO</v>
      </c>
      <c r="P166" s="70">
        <f>'RESUMEN TOTAL'!W211</f>
        <v>0</v>
      </c>
      <c r="Q166" s="70" t="str">
        <f>'RESUMEN TOTAL'!X211</f>
        <v>APAGADO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3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3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3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3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3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3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 t="str">
        <f>'RESUMEN TOTAL'!AC221</f>
        <v>APAGADO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3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3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 t="str">
        <f>'RESUMEN TOTAL'!AC223</f>
        <v>APAGADO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3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 t="str">
        <f>'RESUMEN TOTAL'!AC224</f>
        <v>APAGADO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3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3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3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3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 t="str">
        <f>'RESUMEN TOTAL'!R232</f>
        <v>APAGADO</v>
      </c>
      <c r="L179" s="70" t="str">
        <f>'RESUMEN TOTAL'!S232</f>
        <v>APAGADO</v>
      </c>
      <c r="M179" s="70" t="str">
        <f>'RESUMEN TOTAL'!T232</f>
        <v>APAGADO</v>
      </c>
      <c r="N179" s="70" t="str">
        <f>'RESUMEN TOTAL'!U232</f>
        <v>APAGADO</v>
      </c>
      <c r="O179" s="70" t="str">
        <f>'RESUMEN TOTAL'!V232</f>
        <v>APAGADO</v>
      </c>
      <c r="P179" s="70">
        <f>'RESUMEN TOTAL'!W232</f>
        <v>0</v>
      </c>
      <c r="Q179" s="70" t="str">
        <f>'RESUMEN TOTAL'!X232</f>
        <v>APAGADO</v>
      </c>
      <c r="R179" s="70" t="str">
        <f>'RESUMEN TOTAL'!Y232</f>
        <v>APAGADO</v>
      </c>
      <c r="S179" s="70" t="str">
        <f>'RESUMEN TOTAL'!Z232</f>
        <v>APAGADO</v>
      </c>
      <c r="T179" s="70" t="str">
        <f>'RESUMEN TOTAL'!AA232</f>
        <v>APAGADO</v>
      </c>
      <c r="U179" s="70" t="str">
        <f>'RESUMEN TOTAL'!AB232</f>
        <v>APAGADO</v>
      </c>
      <c r="V179" s="70" t="str">
        <f>'RESUMEN TOTAL'!AC232</f>
        <v>APAGADO</v>
      </c>
      <c r="W179" s="70" t="str">
        <f>'RESUMEN TOTAL'!AD232</f>
        <v>APAGADO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3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 t="str">
        <f>'RESUMEN TOTAL'!R233</f>
        <v>APAGADO</v>
      </c>
      <c r="L180" s="70" t="str">
        <f>'RESUMEN TOTAL'!S233</f>
        <v>APAGADO</v>
      </c>
      <c r="M180" s="70" t="str">
        <f>'RESUMEN TOTAL'!T233</f>
        <v>APAGADO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 t="str">
        <f>'RESUMEN TOTAL'!AC233</f>
        <v>APAGADO</v>
      </c>
      <c r="W180" s="70" t="str">
        <f>'RESUMEN TOTAL'!AD233</f>
        <v>APAGADO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3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>
        <f>'RESUMEN TOTAL'!U234</f>
        <v>0</v>
      </c>
      <c r="O181" s="70" t="str">
        <f>'RESUMEN TOTAL'!V234</f>
        <v>APAGADO</v>
      </c>
      <c r="P181" s="70">
        <f>'RESUMEN TOTAL'!W234</f>
        <v>0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 t="str">
        <f>'RESUMEN TOTAL'!AC234</f>
        <v>APAGADO</v>
      </c>
      <c r="W181" s="70">
        <f>'RESUMEN TOTAL'!AD234</f>
        <v>0</v>
      </c>
      <c r="X181" s="70">
        <f>'RESUMEN TOTAL'!AE234</f>
        <v>0</v>
      </c>
      <c r="Y181" s="70">
        <f>'RESUMEN TOTAL'!AF234</f>
        <v>0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3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 t="str">
        <f>'RESUMEN TOTAL'!R235</f>
        <v>APAGADO</v>
      </c>
      <c r="L182" s="70" t="str">
        <f>'RESUMEN TOTAL'!S235</f>
        <v>APAGADO</v>
      </c>
      <c r="M182" s="70" t="str">
        <f>'RESUMEN TOTAL'!T235</f>
        <v>APAGADO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 t="str">
        <f>'RESUMEN TOTAL'!AC235</f>
        <v>APAGADO</v>
      </c>
      <c r="W182" s="70" t="str">
        <f>'RESUMEN TOTAL'!AD235</f>
        <v>APAGADO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3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 t="str">
        <f>'RESUMEN TOTAL'!R236</f>
        <v>APAGADO</v>
      </c>
      <c r="L183" s="70" t="str">
        <f>'RESUMEN TOTAL'!S236</f>
        <v>APAGADO</v>
      </c>
      <c r="M183" s="70" t="str">
        <f>'RESUMEN TOTAL'!T236</f>
        <v>APAGADO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 t="str">
        <f>'RESUMEN TOTAL'!AC236</f>
        <v>APAGADO</v>
      </c>
      <c r="W183" s="70" t="str">
        <f>'RESUMEN TOTAL'!AD236</f>
        <v>APAGADO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3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 t="str">
        <f>'RESUMEN TOTAL'!AC237</f>
        <v>APAGADO</v>
      </c>
      <c r="W184" s="70" t="str">
        <f>'RESUMEN TOTAL'!AD237</f>
        <v>APAGADO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3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 t="str">
        <f>'RESUMEN TOTAL'!AC238</f>
        <v>APAGADO</v>
      </c>
      <c r="W185" s="70" t="str">
        <f>'RESUMEN TOTAL'!AD238</f>
        <v>APAGADO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3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 t="str">
        <f>'RESUMEN TOTAL'!AC239</f>
        <v>APAGADO</v>
      </c>
      <c r="W186" s="70" t="str">
        <f>'RESUMEN TOTAL'!AD239</f>
        <v>APAGADO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3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 t="str">
        <f>'RESUMEN TOTAL'!AC240</f>
        <v>APAGADO</v>
      </c>
      <c r="W187" s="70" t="str">
        <f>'RESUMEN TOTAL'!AD240</f>
        <v>APAGADO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3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 t="str">
        <f>'RESUMEN TOTAL'!N241</f>
        <v>APAGADO</v>
      </c>
      <c r="H188" s="70" t="str">
        <f>'RESUMEN TOTAL'!O241</f>
        <v>APAGADO</v>
      </c>
      <c r="I188" s="70" t="str">
        <f>'RESUMEN TOTAL'!P241</f>
        <v>APAGADO</v>
      </c>
      <c r="J188" s="70">
        <f>'RESUMEN TOTAL'!Q241</f>
        <v>0</v>
      </c>
      <c r="K188" s="70" t="str">
        <f>'RESUMEN TOTAL'!R241</f>
        <v>APAGADO</v>
      </c>
      <c r="L188" s="70" t="str">
        <f>'RESUMEN TOTAL'!S241</f>
        <v>APAGADO</v>
      </c>
      <c r="M188" s="70" t="str">
        <f>'RESUMEN TOTAL'!T241</f>
        <v>APAGADO</v>
      </c>
      <c r="N188" s="70" t="str">
        <f>'RESUMEN TOTAL'!U241</f>
        <v>APAGADO</v>
      </c>
      <c r="O188" s="70" t="str">
        <f>'RESUMEN TOTAL'!V241</f>
        <v>APAGADO</v>
      </c>
      <c r="P188" s="70">
        <f>'RESUMEN TOTAL'!W241</f>
        <v>0</v>
      </c>
      <c r="Q188" s="70">
        <f>'RESUMEN TOTAL'!X241</f>
        <v>0</v>
      </c>
      <c r="R188" s="70" t="str">
        <f>'RESUMEN TOTAL'!Y241</f>
        <v>APAGADO</v>
      </c>
      <c r="S188" s="70" t="str">
        <f>'RESUMEN TOTAL'!Z241</f>
        <v>APAGADO</v>
      </c>
      <c r="T188" s="70" t="str">
        <f>'RESUMEN TOTAL'!AA241</f>
        <v>APAGADO</v>
      </c>
      <c r="U188" s="70">
        <f>'RESUMEN TOTAL'!AB241</f>
        <v>0</v>
      </c>
      <c r="V188" s="70" t="str">
        <f>'RESUMEN TOTAL'!AC241</f>
        <v>APAGADO</v>
      </c>
      <c r="W188" s="70" t="str">
        <f>'RESUMEN TOTAL'!AD241</f>
        <v>APAGADO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3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 t="str">
        <f>'RESUMEN TOTAL'!R242</f>
        <v>APAGADO</v>
      </c>
      <c r="L189" s="70" t="str">
        <f>'RESUMEN TOTAL'!S242</f>
        <v>APAGADO</v>
      </c>
      <c r="M189" s="70" t="str">
        <f>'RESUMEN TOTAL'!T242</f>
        <v>APAGADO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 t="str">
        <f>'RESUMEN TOTAL'!AC242</f>
        <v>APAGADO</v>
      </c>
      <c r="W189" s="70" t="str">
        <f>'RESUMEN TOTAL'!AD242</f>
        <v>APAGADO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3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 t="str">
        <f>'RESUMEN TOTAL'!R243</f>
        <v>APAGADO</v>
      </c>
      <c r="L190" s="70" t="str">
        <f>'RESUMEN TOTAL'!S243</f>
        <v>APAGADO</v>
      </c>
      <c r="M190" s="70" t="str">
        <f>'RESUMEN TOTAL'!T243</f>
        <v>APAGADO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 t="str">
        <f>'RESUMEN TOTAL'!AC243</f>
        <v>APAGADO</v>
      </c>
      <c r="W190" s="70" t="str">
        <f>'RESUMEN TOTAL'!AD243</f>
        <v>APAGADO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3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 t="str">
        <f>'RESUMEN TOTAL'!S244</f>
        <v>APAGADO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 t="str">
        <f>'RESUMEN TOTAL'!AC244</f>
        <v>APAGADO</v>
      </c>
      <c r="W191" s="70" t="str">
        <f>'RESUMEN TOTAL'!AD244</f>
        <v>APAGADO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3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 t="str">
        <f>'RESUMEN TOTAL'!R245</f>
        <v>APAGADO</v>
      </c>
      <c r="L192" s="70" t="str">
        <f>'RESUMEN TOTAL'!S245</f>
        <v>APAGADO</v>
      </c>
      <c r="M192" s="70" t="str">
        <f>'RESUMEN TOTAL'!T245</f>
        <v>APAGADO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 t="str">
        <f>'RESUMEN TOTAL'!AC245</f>
        <v>APAGADO</v>
      </c>
      <c r="W192" s="70" t="str">
        <f>'RESUMEN TOTAL'!AD245</f>
        <v>APAGADO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3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 t="str">
        <f>'RESUMEN TOTAL'!O246</f>
        <v>APAGADO</v>
      </c>
      <c r="I193" s="70" t="str">
        <f>'RESUMEN TOTAL'!P246</f>
        <v>APAGADO</v>
      </c>
      <c r="J193" s="70" t="str">
        <f>'RESUMEN TOTAL'!Q246</f>
        <v>APAGADO</v>
      </c>
      <c r="K193" s="70" t="str">
        <f>'RESUMEN TOTAL'!R246</f>
        <v>APAGADO</v>
      </c>
      <c r="L193" s="70" t="str">
        <f>'RESUMEN TOTAL'!S246</f>
        <v>APAGADO</v>
      </c>
      <c r="M193" s="70" t="str">
        <f>'RESUMEN TOTAL'!T246</f>
        <v>APAGADO</v>
      </c>
      <c r="N193" s="70">
        <f>'RESUMEN TOTAL'!U246</f>
        <v>0</v>
      </c>
      <c r="O193" s="70" t="str">
        <f>'RESUMEN TOTAL'!V246</f>
        <v>APAGADO</v>
      </c>
      <c r="P193" s="70">
        <f>'RESUMEN TOTAL'!W246</f>
        <v>0</v>
      </c>
      <c r="Q193" s="70" t="str">
        <f>'RESUMEN TOTAL'!X246</f>
        <v>APAGADO</v>
      </c>
      <c r="R193" s="70" t="str">
        <f>'RESUMEN TOTAL'!Y246</f>
        <v>APAGADO</v>
      </c>
      <c r="S193" s="70" t="str">
        <f>'RESUMEN TOTAL'!Z246</f>
        <v>APAGADO</v>
      </c>
      <c r="T193" s="70" t="str">
        <f>'RESUMEN TOTAL'!AA246</f>
        <v>APAGADO</v>
      </c>
      <c r="U193" s="70" t="str">
        <f>'RESUMEN TOTAL'!AB246</f>
        <v>APAGADO</v>
      </c>
      <c r="V193" s="70" t="str">
        <f>'RESUMEN TOTAL'!AC246</f>
        <v>APAGADO</v>
      </c>
      <c r="W193" s="70" t="str">
        <f>'RESUMEN TOTAL'!AD246</f>
        <v>APAGADO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3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3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 t="str">
        <f>'RESUMEN TOTAL'!AC248</f>
        <v>APAGADO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3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 t="str">
        <f>'RESUMEN TOTAL'!Z249</f>
        <v>APAGADO</v>
      </c>
      <c r="T196" s="70" t="str">
        <f>'RESUMEN TOTAL'!AA249</f>
        <v>APAGADO</v>
      </c>
      <c r="U196" s="70" t="str">
        <f>'RESUMEN TOTAL'!AB249</f>
        <v>APAGADO</v>
      </c>
      <c r="V196" s="70" t="str">
        <f>'RESUMEN TOTAL'!AC249</f>
        <v>APAGADO</v>
      </c>
      <c r="W196" s="70" t="str">
        <f>'RESUMEN TOTAL'!AD249</f>
        <v>APAGADO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3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3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3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3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3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3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3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3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 t="str">
        <f>'RESUMEN TOTAL'!AC257</f>
        <v>APAGADO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3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 t="str">
        <f>'RESUMEN TOTAL'!AC258</f>
        <v>APAGADO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3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3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 t="str">
        <f>'RESUMEN TOTAL'!R260</f>
        <v>APAGADO</v>
      </c>
      <c r="L207" s="70" t="str">
        <f>'RESUMEN TOTAL'!S260</f>
        <v>APAGADO</v>
      </c>
      <c r="M207" s="70" t="str">
        <f>'RESUMEN TOTAL'!T260</f>
        <v>APAGADO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 t="str">
        <f>'RESUMEN TOTAL'!AC260</f>
        <v>APAGADO</v>
      </c>
      <c r="W207" s="70" t="str">
        <f>'RESUMEN TOTAL'!AD260</f>
        <v>APAGADO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3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3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 t="str">
        <f>'RESUMEN TOTAL'!R262</f>
        <v>APAGADO</v>
      </c>
      <c r="L209" s="70" t="str">
        <f>'RESUMEN TOTAL'!S262</f>
        <v>APAGADO</v>
      </c>
      <c r="M209" s="70" t="str">
        <f>'RESUMEN TOTAL'!T262</f>
        <v>APAGADO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 t="str">
        <f>'RESUMEN TOTAL'!AC262</f>
        <v>APAGADO</v>
      </c>
      <c r="W209" s="70" t="str">
        <f>'RESUMEN TOTAL'!AD262</f>
        <v>APAGADO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3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 t="str">
        <f>'RESUMEN TOTAL'!N263</f>
        <v>APAGADO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3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 t="str">
        <f>'RESUMEN TOTAL'!M264</f>
        <v>APAGADO</v>
      </c>
      <c r="G211" s="70" t="str">
        <f>'RESUMEN TOTAL'!N264</f>
        <v>APAGADO</v>
      </c>
      <c r="H211" s="70" t="str">
        <f>'RESUMEN TOTAL'!O264</f>
        <v>APAGADO</v>
      </c>
      <c r="I211" s="70" t="str">
        <f>'RESUMEN TOTAL'!P264</f>
        <v>APAGADO</v>
      </c>
      <c r="J211" s="70" t="str">
        <f>'RESUMEN TOTAL'!Q264</f>
        <v>APAGADO</v>
      </c>
      <c r="K211" s="70" t="str">
        <f>'RESUMEN TOTAL'!R264</f>
        <v>APAGADO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 t="str">
        <f>'RESUMEN TOTAL'!X264</f>
        <v>APAGADO</v>
      </c>
      <c r="R211" s="70" t="str">
        <f>'RESUMEN TOTAL'!Y264</f>
        <v>APAGADO</v>
      </c>
      <c r="S211" s="70" t="str">
        <f>'RESUMEN TOTAL'!Z264</f>
        <v>APAGADO</v>
      </c>
      <c r="T211" s="70" t="str">
        <f>'RESUMEN TOTAL'!AA264</f>
        <v>APAGADO</v>
      </c>
      <c r="U211" s="70" t="str">
        <f>'RESUMEN TOTAL'!AB264</f>
        <v>APAGADO</v>
      </c>
      <c r="V211" s="70" t="str">
        <f>'RESUMEN TOTAL'!AC264</f>
        <v>APAGADO</v>
      </c>
      <c r="W211" s="70" t="str">
        <f>'RESUMEN TOTAL'!AD264</f>
        <v>APAGADO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3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3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 t="str">
        <f>'RESUMEN TOTAL'!R266</f>
        <v>APAGADO</v>
      </c>
      <c r="L213" s="70" t="str">
        <f>'RESUMEN TOTAL'!S266</f>
        <v>APAGADO</v>
      </c>
      <c r="M213" s="70" t="str">
        <f>'RESUMEN TOTAL'!T266</f>
        <v>APAGADO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 t="str">
        <f>'RESUMEN TOTAL'!AC266</f>
        <v>APAGADO</v>
      </c>
      <c r="W213" s="70" t="str">
        <f>'RESUMEN TOTAL'!AD266</f>
        <v>APAGADO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3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3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 t="str">
        <f>'RESUMEN TOTAL'!AC268</f>
        <v>APAGADO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3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 t="str">
        <f>'RESUMEN TOTAL'!AC269</f>
        <v>APAGADO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3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3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 t="str">
        <f>'RESUMEN TOTAL'!AA275</f>
        <v>APAGADO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3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3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 t="str">
        <f>'RESUMEN TOTAL'!AA277</f>
        <v>APAGADO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3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3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3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 t="str">
        <f>'RESUMEN TOTAL'!AC280</f>
        <v>APAGADO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3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>
        <f>'RESUMEN TOTAL'!W281</f>
        <v>0</v>
      </c>
      <c r="Q224" s="70" t="str">
        <f>'RESUMEN TOTAL'!X281</f>
        <v>APAGADO</v>
      </c>
      <c r="R224" s="70" t="str">
        <f>'RESUMEN TOTAL'!Y281</f>
        <v>APAGADO</v>
      </c>
      <c r="S224" s="70" t="str">
        <f>'RESUMEN TOTAL'!Z281</f>
        <v>APAGADO</v>
      </c>
      <c r="T224" s="70" t="str">
        <f>'RESUMEN TOTAL'!AA281</f>
        <v>APAGADO</v>
      </c>
      <c r="U224" s="70" t="str">
        <f>'RESUMEN TOTAL'!AB281</f>
        <v>APAGADO</v>
      </c>
      <c r="V224" s="70" t="str">
        <f>'RESUMEN TOTAL'!AC281</f>
        <v>APAGADO</v>
      </c>
      <c r="W224" s="70" t="str">
        <f>'RESUMEN TOTAL'!AD281</f>
        <v>APAGADO</v>
      </c>
      <c r="X224" s="70">
        <f>'RESUMEN TOTAL'!AE281</f>
        <v>0</v>
      </c>
      <c r="Y224" s="70">
        <f>'RESUMEN TOTAL'!AF281</f>
        <v>0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3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3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3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3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3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3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3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3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3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3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3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3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>
        <f>'RESUMEN TOTAL'!W296</f>
        <v>0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 t="str">
        <f>'RESUMEN TOTAL'!AC296</f>
        <v>APAGADO</v>
      </c>
      <c r="W236" s="70" t="str">
        <f>'RESUMEN TOTAL'!AD296</f>
        <v>APAGADO</v>
      </c>
      <c r="X236" s="70">
        <f>'RESUMEN TOTAL'!AE296</f>
        <v>0</v>
      </c>
      <c r="Y236" s="70">
        <f>'RESUMEN TOTAL'!AF296</f>
        <v>0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3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3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 t="str">
        <f>'RESUMEN TOTAL'!R298</f>
        <v>APAGADO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3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 t="str">
        <f>'RESUMEN TOTAL'!R299</f>
        <v>APAGADO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3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3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3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3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3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3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3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3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3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>
        <f>'RESUMEN TOTAL'!W308</f>
        <v>0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 t="str">
        <f>'RESUMEN TOTAL'!AC308</f>
        <v>APAGADO</v>
      </c>
      <c r="W248" s="70" t="str">
        <f>'RESUMEN TOTAL'!AD308</f>
        <v>APAGADO</v>
      </c>
      <c r="X248" s="70">
        <f>'RESUMEN TOTAL'!AE308</f>
        <v>0</v>
      </c>
      <c r="Y248" s="70">
        <f>'RESUMEN TOTAL'!AF308</f>
        <v>0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3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3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>
        <f>'RESUMEN TOTAL'!W310</f>
        <v>0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 t="str">
        <f>'RESUMEN TOTAL'!AC310</f>
        <v>APAGADO</v>
      </c>
      <c r="W250" s="70" t="str">
        <f>'RESUMEN TOTAL'!AD310</f>
        <v>APAGADO</v>
      </c>
      <c r="X250" s="70">
        <f>'RESUMEN TOTAL'!AE310</f>
        <v>0</v>
      </c>
      <c r="Y250" s="70">
        <f>'RESUMEN TOTAL'!AF310</f>
        <v>0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3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>
        <f>'RESUMEN TOTAL'!T311</f>
        <v>0</v>
      </c>
      <c r="N251" s="70">
        <f>'RESUMEN TOTAL'!U311</f>
        <v>0</v>
      </c>
      <c r="O251" s="70" t="str">
        <f>'RESUMEN TOTAL'!V311</f>
        <v>APAGADO</v>
      </c>
      <c r="P251" s="70">
        <f>'RESUMEN TOTAL'!W311</f>
        <v>0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 t="str">
        <f>'RESUMEN TOTAL'!AC311</f>
        <v>APAGADO</v>
      </c>
      <c r="W251" s="70" t="str">
        <f>'RESUMEN TOTAL'!AD311</f>
        <v>APAGADO</v>
      </c>
      <c r="X251" s="70">
        <f>'RESUMEN TOTAL'!AE311</f>
        <v>0</v>
      </c>
      <c r="Y251" s="70">
        <f>'RESUMEN TOTAL'!AF311</f>
        <v>0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3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>
        <f>'RESUMEN TOTAL'!T312</f>
        <v>0</v>
      </c>
      <c r="N252" s="70">
        <f>'RESUMEN TOTAL'!U312</f>
        <v>0</v>
      </c>
      <c r="O252" s="70" t="str">
        <f>'RESUMEN TOTAL'!V312</f>
        <v>APAGADO</v>
      </c>
      <c r="P252" s="70">
        <f>'RESUMEN TOTAL'!W312</f>
        <v>0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 t="str">
        <f>'RESUMEN TOTAL'!AC312</f>
        <v>APAGADO</v>
      </c>
      <c r="W252" s="70" t="str">
        <f>'RESUMEN TOTAL'!AD312</f>
        <v>APAGADO</v>
      </c>
      <c r="X252" s="70">
        <f>'RESUMEN TOTAL'!AE312</f>
        <v>0</v>
      </c>
      <c r="Y252" s="70">
        <f>'RESUMEN TOTAL'!AF312</f>
        <v>0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3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>
        <f>'RESUMEN TOTAL'!T313</f>
        <v>0</v>
      </c>
      <c r="N253" s="70">
        <f>'RESUMEN TOTAL'!U313</f>
        <v>0</v>
      </c>
      <c r="O253" s="70" t="str">
        <f>'RESUMEN TOTAL'!V313</f>
        <v>APAGADO</v>
      </c>
      <c r="P253" s="70">
        <f>'RESUMEN TOTAL'!W313</f>
        <v>0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 t="str">
        <f>'RESUMEN TOTAL'!AC313</f>
        <v>APAGADO</v>
      </c>
      <c r="W253" s="70" t="str">
        <f>'RESUMEN TOTAL'!AD313</f>
        <v>APAGADO</v>
      </c>
      <c r="X253" s="70">
        <f>'RESUMEN TOTAL'!AE313</f>
        <v>0</v>
      </c>
      <c r="Y253" s="70">
        <f>'RESUMEN TOTAL'!AF313</f>
        <v>0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3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 t="str">
        <f>'RESUMEN TOTAL'!M314</f>
        <v>APAGADO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e">
        <f>'RESUMEN TOTAL'!#REF!</f>
        <v>#REF!</v>
      </c>
      <c r="P254" s="70">
        <f>'RESUMEN TOTAL'!W314</f>
        <v>0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 t="str">
        <f>'RESUMEN TOTAL'!AC314</f>
        <v>APAGADO</v>
      </c>
      <c r="W254" s="70" t="str">
        <f>'RESUMEN TOTAL'!AD314</f>
        <v>APAGADO</v>
      </c>
      <c r="X254" s="70">
        <f>'RESUMEN TOTAL'!AE314</f>
        <v>0</v>
      </c>
      <c r="Y254" s="70">
        <f>'RESUMEN TOTAL'!AF314</f>
        <v>0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3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 t="str">
        <f>'RESUMEN TOTAL'!M315</f>
        <v>APAGADO</v>
      </c>
      <c r="G255" s="70" t="str">
        <f>'RESUMEN TOTAL'!N315</f>
        <v>APAGADO</v>
      </c>
      <c r="H255" s="70" t="str">
        <f>'RESUMEN TOTAL'!O315</f>
        <v>APAGADO</v>
      </c>
      <c r="I255" s="70" t="str">
        <f>'RESUMEN TOTAL'!P315</f>
        <v>APAGADO</v>
      </c>
      <c r="J255" s="70" t="str">
        <f>'RESUMEN TOTAL'!Q315</f>
        <v>APAGADO</v>
      </c>
      <c r="K255" s="70">
        <f>'RESUMEN TOTAL'!R315</f>
        <v>0</v>
      </c>
      <c r="L255" s="70">
        <f>'RESUMEN TOTAL'!S315</f>
        <v>0</v>
      </c>
      <c r="M255" s="70" t="str">
        <f>'RESUMEN TOTAL'!T315</f>
        <v>APAGADO</v>
      </c>
      <c r="N255" s="70" t="str">
        <f>'RESUMEN TOTAL'!U315</f>
        <v>APAGADO</v>
      </c>
      <c r="O255" s="70" t="str">
        <f>'RESUMEN TOTAL'!V314</f>
        <v>APAGADO</v>
      </c>
      <c r="P255" s="70">
        <f>'RESUMEN TOTAL'!W315</f>
        <v>0</v>
      </c>
      <c r="Q255" s="70" t="str">
        <f>'RESUMEN TOTAL'!X315</f>
        <v>APAGADO</v>
      </c>
      <c r="R255" s="70" t="str">
        <f>'RESUMEN TOTAL'!Y315</f>
        <v>APAGADO</v>
      </c>
      <c r="S255" s="70" t="str">
        <f>'RESUMEN TOTAL'!Z315</f>
        <v>APAGADO</v>
      </c>
      <c r="T255" s="70" t="str">
        <f>'RESUMEN TOTAL'!AA315</f>
        <v>APAGADO</v>
      </c>
      <c r="U255" s="70" t="str">
        <f>'RESUMEN TOTAL'!AB315</f>
        <v>APAGADO</v>
      </c>
      <c r="V255" s="70" t="str">
        <f>'RESUMEN TOTAL'!AC315</f>
        <v>APAGADO</v>
      </c>
      <c r="W255" s="70" t="str">
        <f>'RESUMEN TOTAL'!AD315</f>
        <v>APAGADO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3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 t="str">
        <f>'RESUMEN TOTAL'!M316</f>
        <v>APAGADO</v>
      </c>
      <c r="G256" s="70" t="str">
        <f>'RESUMEN TOTAL'!N316</f>
        <v>APAGADO</v>
      </c>
      <c r="H256" s="70" t="str">
        <f>'RESUMEN TOTAL'!O316</f>
        <v>APAGADO</v>
      </c>
      <c r="I256" s="70" t="str">
        <f>'RESUMEN TOTAL'!P316</f>
        <v>APAGADO</v>
      </c>
      <c r="J256" s="70" t="str">
        <f>'RESUMEN TOTAL'!Q316</f>
        <v>APAGADO</v>
      </c>
      <c r="K256" s="70">
        <f>'RESUMEN TOTAL'!R316</f>
        <v>0</v>
      </c>
      <c r="L256" s="70">
        <f>'RESUMEN TOTAL'!S316</f>
        <v>0</v>
      </c>
      <c r="M256" s="70" t="str">
        <f>'RESUMEN TOTAL'!T316</f>
        <v>APAGADO</v>
      </c>
      <c r="N256" s="70" t="str">
        <f>'RESUMEN TOTAL'!U316</f>
        <v>APAGADO</v>
      </c>
      <c r="O256" s="70">
        <f>'RESUMEN TOTAL'!V316</f>
        <v>0</v>
      </c>
      <c r="P256" s="70">
        <f>'RESUMEN TOTAL'!W316</f>
        <v>0</v>
      </c>
      <c r="Q256" s="70" t="str">
        <f>'RESUMEN TOTAL'!X316</f>
        <v>APAGADO</v>
      </c>
      <c r="R256" s="70" t="str">
        <f>'RESUMEN TOTAL'!Y316</f>
        <v>APAGADO</v>
      </c>
      <c r="S256" s="70" t="str">
        <f>'RESUMEN TOTAL'!Z316</f>
        <v>APAGADO</v>
      </c>
      <c r="T256" s="70" t="str">
        <f>'RESUMEN TOTAL'!AA316</f>
        <v>APAGADO</v>
      </c>
      <c r="U256" s="70" t="str">
        <f>'RESUMEN TOTAL'!AB316</f>
        <v>APAGADO</v>
      </c>
      <c r="V256" s="70" t="str">
        <f>'RESUMEN TOTAL'!AC316</f>
        <v>APAGADO</v>
      </c>
      <c r="W256" s="70" t="str">
        <f>'RESUMEN TOTAL'!AD316</f>
        <v>APAGADO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3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3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3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3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 t="str">
        <f>'RESUMEN TOTAL'!Y320</f>
        <v>APAGADO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3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3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3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3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3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3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3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 t="str">
        <f>'RESUMEN TOTAL'!V333</f>
        <v>APAGADO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3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3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3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3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3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3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3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3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3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3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3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3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 t="str">
        <f>'RESUMEN TOTAL'!X348</f>
        <v>APAGADO</v>
      </c>
      <c r="R279" s="70" t="str">
        <f>'RESUMEN TOTAL'!Y348</f>
        <v>APAGADO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3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 t="str">
        <f>'RESUMEN TOTAL'!X349</f>
        <v>APAGADO</v>
      </c>
      <c r="R280" s="70" t="str">
        <f>'RESUMEN TOTAL'!Y349</f>
        <v>APAGADO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3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 t="str">
        <f>'RESUMEN TOTAL'!R350</f>
        <v>APAGADO</v>
      </c>
      <c r="L281" s="70" t="str">
        <f>'RESUMEN TOTAL'!S350</f>
        <v>APAGADO</v>
      </c>
      <c r="M281" s="70" t="str">
        <f>'RESUMEN TOTAL'!T350</f>
        <v>APAGADO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 t="str">
        <f>'RESUMEN TOTAL'!AC350</f>
        <v>APAGADO</v>
      </c>
      <c r="W281" s="70" t="str">
        <f>'RESUMEN TOTAL'!AD350</f>
        <v>APAGADO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3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3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3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 t="str">
        <f>'RESUMEN TOTAL'!AC353</f>
        <v>APAGADO</v>
      </c>
      <c r="W284" s="70" t="str">
        <f>'RESUMEN TOTAL'!AD353</f>
        <v>APAGADO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3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 t="str">
        <f>'RESUMEN TOTAL'!AC354</f>
        <v>APAGADO</v>
      </c>
      <c r="W285" s="70" t="str">
        <f>'RESUMEN TOTAL'!AD354</f>
        <v>APAGADO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3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 t="str">
        <f>'RESUMEN TOTAL'!AC355</f>
        <v>APAGADO</v>
      </c>
      <c r="W286" s="70" t="str">
        <f>'RESUMEN TOTAL'!AD355</f>
        <v>APAGADO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3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 t="str">
        <f>'RESUMEN TOTAL'!AC356</f>
        <v>APAGADO</v>
      </c>
      <c r="W287" s="70" t="str">
        <f>'RESUMEN TOTAL'!AD356</f>
        <v>APAGADO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3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 t="str">
        <f>'RESUMEN TOTAL'!AC357</f>
        <v>APAGADO</v>
      </c>
      <c r="W288" s="70" t="str">
        <f>'RESUMEN TOTAL'!AD357</f>
        <v>APAGADO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3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 t="str">
        <f>'RESUMEN TOTAL'!AC358</f>
        <v>APAGADO</v>
      </c>
      <c r="W289" s="70" t="str">
        <f>'RESUMEN TOTAL'!AD358</f>
        <v>APAGADO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3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 t="str">
        <f>'RESUMEN TOTAL'!AC359</f>
        <v>APAGADO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3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 t="str">
        <f>'RESUMEN TOTAL'!AC360</f>
        <v>APAGADO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3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3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3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3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3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3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3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3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3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3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 t="str">
        <f>'RESUMEN TOTAL'!M375</f>
        <v>APAGADO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>
        <f>'RESUMEN TOTAL'!W375</f>
        <v>0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 t="str">
        <f>'RESUMEN TOTAL'!AC375</f>
        <v>APAGADO</v>
      </c>
      <c r="W301" s="70" t="str">
        <f>'RESUMEN TOTAL'!AD375</f>
        <v>APAGADO</v>
      </c>
      <c r="X301" s="70">
        <f>'RESUMEN TOTAL'!AE375</f>
        <v>0</v>
      </c>
      <c r="Y301" s="70">
        <f>'RESUMEN TOTAL'!AF375</f>
        <v>0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3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3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 t="str">
        <f>'RESUMEN TOTAL'!AC377</f>
        <v>APAGADO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3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 t="str">
        <f>'RESUMEN TOTAL'!M378</f>
        <v>APAGADO</v>
      </c>
      <c r="G304" s="70" t="str">
        <f>'RESUMEN TOTAL'!N378</f>
        <v>APAGADO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 t="str">
        <f>'RESUMEN TOTAL'!R378</f>
        <v>APAGADO</v>
      </c>
      <c r="L304" s="70" t="str">
        <f>'RESUMEN TOTAL'!S378</f>
        <v>APAGADO</v>
      </c>
      <c r="M304" s="70" t="str">
        <f>'RESUMEN TOTAL'!T378</f>
        <v>APAGADO</v>
      </c>
      <c r="N304" s="70" t="str">
        <f>'RESUMEN TOTAL'!U378</f>
        <v>APAGADO</v>
      </c>
      <c r="O304" s="70" t="str">
        <f>'RESUMEN TOTAL'!V378</f>
        <v>APAGADO</v>
      </c>
      <c r="P304" s="70">
        <f>'RESUMEN TOTAL'!W378</f>
        <v>0</v>
      </c>
      <c r="Q304" s="70" t="str">
        <f>'RESUMEN TOTAL'!X378</f>
        <v>APAGADO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3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 t="str">
        <f>'RESUMEN TOTAL'!M379</f>
        <v>APAGADO</v>
      </c>
      <c r="G305" s="70" t="str">
        <f>'RESUMEN TOTAL'!N379</f>
        <v>APAGADO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 t="str">
        <f>'RESUMEN TOTAL'!R379</f>
        <v>APAGADO</v>
      </c>
      <c r="L305" s="70" t="str">
        <f>'RESUMEN TOTAL'!S379</f>
        <v>APAGADO</v>
      </c>
      <c r="M305" s="70" t="str">
        <f>'RESUMEN TOTAL'!T379</f>
        <v>APAGADO</v>
      </c>
      <c r="N305" s="70" t="str">
        <f>'RESUMEN TOTAL'!U379</f>
        <v>APAGADO</v>
      </c>
      <c r="O305" s="70" t="str">
        <f>'RESUMEN TOTAL'!V379</f>
        <v>APAGADO</v>
      </c>
      <c r="P305" s="70">
        <f>'RESUMEN TOTAL'!W379</f>
        <v>0</v>
      </c>
      <c r="Q305" s="70" t="str">
        <f>'RESUMEN TOTAL'!X379</f>
        <v>APAGADO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3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 t="str">
        <f>'RESUMEN TOTAL'!M380</f>
        <v>APAGADO</v>
      </c>
      <c r="G306" s="70" t="str">
        <f>'RESUMEN TOTAL'!N380</f>
        <v>APAGADO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 t="str">
        <f>'RESUMEN TOTAL'!R380</f>
        <v>APAGADO</v>
      </c>
      <c r="L306" s="70" t="str">
        <f>'RESUMEN TOTAL'!S380</f>
        <v>APAGADO</v>
      </c>
      <c r="M306" s="70" t="str">
        <f>'RESUMEN TOTAL'!T380</f>
        <v>APAGADO</v>
      </c>
      <c r="N306" s="70" t="str">
        <f>'RESUMEN TOTAL'!U380</f>
        <v>APAGADO</v>
      </c>
      <c r="O306" s="70" t="str">
        <f>'RESUMEN TOTAL'!V380</f>
        <v>APAGADO</v>
      </c>
      <c r="P306" s="70">
        <f>'RESUMEN TOTAL'!W380</f>
        <v>0</v>
      </c>
      <c r="Q306" s="70" t="str">
        <f>'RESUMEN TOTAL'!X380</f>
        <v>APAGADO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3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 t="str">
        <f>'RESUMEN TOTAL'!M381</f>
        <v>APAGADO</v>
      </c>
      <c r="G307" s="70" t="str">
        <f>'RESUMEN TOTAL'!N381</f>
        <v>APAGADO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 t="str">
        <f>'RESUMEN TOTAL'!R381</f>
        <v>APAGADO</v>
      </c>
      <c r="L307" s="70" t="str">
        <f>'RESUMEN TOTAL'!S381</f>
        <v>APAGADO</v>
      </c>
      <c r="M307" s="70" t="str">
        <f>'RESUMEN TOTAL'!T381</f>
        <v>APAGADO</v>
      </c>
      <c r="N307" s="70" t="str">
        <f>'RESUMEN TOTAL'!U381</f>
        <v>APAGADO</v>
      </c>
      <c r="O307" s="70" t="str">
        <f>'RESUMEN TOTAL'!V381</f>
        <v>APAGADO</v>
      </c>
      <c r="P307" s="70">
        <f>'RESUMEN TOTAL'!W381</f>
        <v>0</v>
      </c>
      <c r="Q307" s="70" t="str">
        <f>'RESUMEN TOTAL'!X381</f>
        <v>APAGADO</v>
      </c>
      <c r="R307" s="70" t="str">
        <f>'RESUMEN TOTAL'!Y381</f>
        <v>APAGADO</v>
      </c>
      <c r="S307" s="70" t="str">
        <f>'RESUMEN TOTAL'!Z381</f>
        <v>APAGADO</v>
      </c>
      <c r="T307" s="70" t="str">
        <f>'RESUMEN TOTAL'!AA381</f>
        <v>APAGADO</v>
      </c>
      <c r="U307" s="70" t="str">
        <f>'RESUMEN TOTAL'!AB381</f>
        <v>APAGADO</v>
      </c>
      <c r="V307" s="70" t="str">
        <f>'RESUMEN TOTAL'!AC381</f>
        <v>APAGADO</v>
      </c>
      <c r="W307" s="70" t="str">
        <f>'RESUMEN TOTAL'!AD381</f>
        <v>APAGADO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3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 t="str">
        <f>'RESUMEN TOTAL'!M382</f>
        <v>APAGADO</v>
      </c>
      <c r="G308" s="70" t="str">
        <f>'RESUMEN TOTAL'!N382</f>
        <v>APAGADO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 t="str">
        <f>'RESUMEN TOTAL'!R382</f>
        <v>APAGADO</v>
      </c>
      <c r="L308" s="70" t="str">
        <f>'RESUMEN TOTAL'!S382</f>
        <v>APAGADO</v>
      </c>
      <c r="M308" s="70" t="str">
        <f>'RESUMEN TOTAL'!T382</f>
        <v>APAGADO</v>
      </c>
      <c r="N308" s="70" t="str">
        <f>'RESUMEN TOTAL'!U382</f>
        <v>APAGADO</v>
      </c>
      <c r="O308" s="70" t="str">
        <f>'RESUMEN TOTAL'!V382</f>
        <v>APAGADO</v>
      </c>
      <c r="P308" s="70">
        <f>'RESUMEN TOTAL'!W382</f>
        <v>0</v>
      </c>
      <c r="Q308" s="70" t="str">
        <f>'RESUMEN TOTAL'!X382</f>
        <v>APAGADO</v>
      </c>
      <c r="R308" s="70" t="str">
        <f>'RESUMEN TOTAL'!Y382</f>
        <v>APAGADO</v>
      </c>
      <c r="S308" s="70" t="str">
        <f>'RESUMEN TOTAL'!Z382</f>
        <v>APAGADO</v>
      </c>
      <c r="T308" s="70" t="str">
        <f>'RESUMEN TOTAL'!AA382</f>
        <v>APAGADO</v>
      </c>
      <c r="U308" s="70" t="str">
        <f>'RESUMEN TOTAL'!AB382</f>
        <v>APAGADO</v>
      </c>
      <c r="V308" s="70" t="str">
        <f>'RESUMEN TOTAL'!AC382</f>
        <v>APAGADO</v>
      </c>
      <c r="W308" s="70" t="str">
        <f>'RESUMEN TOTAL'!AD382</f>
        <v>APAGADO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3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 t="str">
        <f>'RESUMEN TOTAL'!M383</f>
        <v>APAGADO</v>
      </c>
      <c r="G309" s="70" t="str">
        <f>'RESUMEN TOTAL'!N383</f>
        <v>APAGADO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 t="str">
        <f>'RESUMEN TOTAL'!R383</f>
        <v>APAGADO</v>
      </c>
      <c r="L309" s="70" t="str">
        <f>'RESUMEN TOTAL'!S383</f>
        <v>APAGADO</v>
      </c>
      <c r="M309" s="70" t="str">
        <f>'RESUMEN TOTAL'!T383</f>
        <v>APAGADO</v>
      </c>
      <c r="N309" s="70" t="str">
        <f>'RESUMEN TOTAL'!U383</f>
        <v>APAGADO</v>
      </c>
      <c r="O309" s="70" t="str">
        <f>'RESUMEN TOTAL'!V383</f>
        <v>APAGADO</v>
      </c>
      <c r="P309" s="70">
        <f>'RESUMEN TOTAL'!W383</f>
        <v>0</v>
      </c>
      <c r="Q309" s="70" t="str">
        <f>'RESUMEN TOTAL'!X383</f>
        <v>APAGADO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3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 t="str">
        <f>'RESUMEN TOTAL'!M384</f>
        <v>APAGADO</v>
      </c>
      <c r="G310" s="70" t="str">
        <f>'RESUMEN TOTAL'!N384</f>
        <v>APAGADO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 t="str">
        <f>'RESUMEN TOTAL'!R384</f>
        <v>APAGADO</v>
      </c>
      <c r="L310" s="70" t="str">
        <f>'RESUMEN TOTAL'!S384</f>
        <v>APAGADO</v>
      </c>
      <c r="M310" s="70" t="str">
        <f>'RESUMEN TOTAL'!T384</f>
        <v>APAGADO</v>
      </c>
      <c r="N310" s="70" t="str">
        <f>'RESUMEN TOTAL'!U384</f>
        <v>APAGADO</v>
      </c>
      <c r="O310" s="70" t="str">
        <f>'RESUMEN TOTAL'!V384</f>
        <v>APAGADO</v>
      </c>
      <c r="P310" s="70">
        <f>'RESUMEN TOTAL'!W384</f>
        <v>0</v>
      </c>
      <c r="Q310" s="70" t="str">
        <f>'RESUMEN TOTAL'!X384</f>
        <v>APAGADO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3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 t="str">
        <f>'RESUMEN TOTAL'!M385</f>
        <v>APAGADO</v>
      </c>
      <c r="G311" s="70" t="str">
        <f>'RESUMEN TOTAL'!N385</f>
        <v>APAGADO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 t="str">
        <f>'RESUMEN TOTAL'!R385</f>
        <v>APAGADO</v>
      </c>
      <c r="L311" s="70" t="str">
        <f>'RESUMEN TOTAL'!S385</f>
        <v>APAGADO</v>
      </c>
      <c r="M311" s="70" t="str">
        <f>'RESUMEN TOTAL'!T385</f>
        <v>APAGADO</v>
      </c>
      <c r="N311" s="70" t="str">
        <f>'RESUMEN TOTAL'!U385</f>
        <v>APAGADO</v>
      </c>
      <c r="O311" s="70" t="str">
        <f>'RESUMEN TOTAL'!V385</f>
        <v>APAGADO</v>
      </c>
      <c r="P311" s="70">
        <f>'RESUMEN TOTAL'!W385</f>
        <v>0</v>
      </c>
      <c r="Q311" s="70" t="str">
        <f>'RESUMEN TOTAL'!X385</f>
        <v>APAGADO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3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 t="str">
        <f>'RESUMEN TOTAL'!M386</f>
        <v>APAGADO</v>
      </c>
      <c r="G312" s="70" t="str">
        <f>'RESUMEN TOTAL'!N386</f>
        <v>APAGADO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 t="str">
        <f>'RESUMEN TOTAL'!R386</f>
        <v>APAGADO</v>
      </c>
      <c r="L312" s="70" t="str">
        <f>'RESUMEN TOTAL'!S386</f>
        <v>APAGADO</v>
      </c>
      <c r="M312" s="70" t="str">
        <f>'RESUMEN TOTAL'!T386</f>
        <v>APAGADO</v>
      </c>
      <c r="N312" s="70" t="str">
        <f>'RESUMEN TOTAL'!U386</f>
        <v>APAGADO</v>
      </c>
      <c r="O312" s="70" t="str">
        <f>'RESUMEN TOTAL'!V386</f>
        <v>APAGADO</v>
      </c>
      <c r="P312" s="70">
        <f>'RESUMEN TOTAL'!W386</f>
        <v>0</v>
      </c>
      <c r="Q312" s="70" t="str">
        <f>'RESUMEN TOTAL'!X386</f>
        <v>APAGADO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3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 t="str">
        <f>'RESUMEN TOTAL'!M387</f>
        <v>APAGADO</v>
      </c>
      <c r="G313" s="70" t="str">
        <f>'RESUMEN TOTAL'!N387</f>
        <v>APAGADO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 t="str">
        <f>'RESUMEN TOTAL'!R387</f>
        <v>APAGADO</v>
      </c>
      <c r="L313" s="70" t="str">
        <f>'RESUMEN TOTAL'!S387</f>
        <v>APAGADO</v>
      </c>
      <c r="M313" s="70" t="str">
        <f>'RESUMEN TOTAL'!T387</f>
        <v>APAGADO</v>
      </c>
      <c r="N313" s="70" t="str">
        <f>'RESUMEN TOTAL'!U387</f>
        <v>APAGADO</v>
      </c>
      <c r="O313" s="70" t="str">
        <f>'RESUMEN TOTAL'!V387</f>
        <v>APAGADO</v>
      </c>
      <c r="P313" s="70">
        <f>'RESUMEN TOTAL'!W387</f>
        <v>0</v>
      </c>
      <c r="Q313" s="70" t="str">
        <f>'RESUMEN TOTAL'!X387</f>
        <v>APAGADO</v>
      </c>
      <c r="R313" s="70" t="str">
        <f>'RESUMEN TOTAL'!Y387</f>
        <v>APAGADO</v>
      </c>
      <c r="S313" s="70" t="str">
        <f>'RESUMEN TOTAL'!Z387</f>
        <v>APAGADO</v>
      </c>
      <c r="T313" s="70" t="str">
        <f>'RESUMEN TOTAL'!AA387</f>
        <v>APAGADO</v>
      </c>
      <c r="U313" s="70" t="str">
        <f>'RESUMEN TOTAL'!AB387</f>
        <v>APAGADO</v>
      </c>
      <c r="V313" s="70" t="str">
        <f>'RESUMEN TOTAL'!AC387</f>
        <v>APAGADO</v>
      </c>
      <c r="W313" s="70" t="str">
        <f>'RESUMEN TOTAL'!AD387</f>
        <v>APAGADO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3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>
        <f>'RESUMEN TOTAL'!W388</f>
        <v>0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 t="str">
        <f>'RESUMEN TOTAL'!AC388</f>
        <v>APAGADO</v>
      </c>
      <c r="W314" s="70" t="str">
        <f>'RESUMEN TOTAL'!AD388</f>
        <v>APAGADO</v>
      </c>
      <c r="X314" s="70">
        <f>'RESUMEN TOTAL'!AE388</f>
        <v>0</v>
      </c>
      <c r="Y314" s="70">
        <f>'RESUMEN TOTAL'!AF388</f>
        <v>0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3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>
        <f>'RESUMEN TOTAL'!W389</f>
        <v>0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 t="str">
        <f>'RESUMEN TOTAL'!AC389</f>
        <v>APAGADO</v>
      </c>
      <c r="W315" s="70" t="str">
        <f>'RESUMEN TOTAL'!AD389</f>
        <v>APAGADO</v>
      </c>
      <c r="X315" s="70">
        <f>'RESUMEN TOTAL'!AE389</f>
        <v>0</v>
      </c>
      <c r="Y315" s="70">
        <f>'RESUMEN TOTAL'!AF389</f>
        <v>0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3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 t="str">
        <f>'RESUMEN TOTAL'!N395</f>
        <v>APAGADO</v>
      </c>
      <c r="H316" s="70">
        <f>'RESUMEN TOTAL'!O395</f>
        <v>0</v>
      </c>
      <c r="I316" s="70">
        <f>'RESUMEN TOTAL'!P395</f>
        <v>0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 t="str">
        <f>'RESUMEN TOTAL'!V395</f>
        <v>APAGADO</v>
      </c>
      <c r="P316" s="70">
        <f>'RESUMEN TOTAL'!W395</f>
        <v>0</v>
      </c>
      <c r="Q316" s="70" t="str">
        <f>'RESUMEN TOTAL'!X395</f>
        <v>APAGADO</v>
      </c>
      <c r="R316" s="70" t="str">
        <f>'RESUMEN TOTAL'!Y395</f>
        <v>APAGADO</v>
      </c>
      <c r="S316" s="70" t="str">
        <f>'RESUMEN TOTAL'!Z395</f>
        <v>APAGADO</v>
      </c>
      <c r="T316" s="70" t="str">
        <f>'RESUMEN TOTAL'!AA395</f>
        <v>APAGADO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3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 t="str">
        <f>'RESUMEN TOTAL'!Y396</f>
        <v>APAGADO</v>
      </c>
      <c r="S317" s="70" t="str">
        <f>'RESUMEN TOTAL'!Z396</f>
        <v>APAGADO</v>
      </c>
      <c r="T317" s="70" t="str">
        <f>'RESUMEN TOTAL'!AA396</f>
        <v>APAGADO</v>
      </c>
      <c r="U317" s="70">
        <f>'RESUMEN TOTAL'!AB396</f>
        <v>0</v>
      </c>
      <c r="V317" s="70" t="str">
        <f>'RESUMEN TOTAL'!AC396</f>
        <v>APAGADO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3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 t="str">
        <f>'RESUMEN TOTAL'!R397</f>
        <v>APAGADO</v>
      </c>
      <c r="L318" s="70" t="str">
        <f>'RESUMEN TOTAL'!S397</f>
        <v>APAGADO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3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 t="str">
        <f>'RESUMEN TOTAL'!R398</f>
        <v>APAGADO</v>
      </c>
      <c r="L319" s="70" t="str">
        <f>'RESUMEN TOTAL'!S398</f>
        <v>APAGADO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3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>
        <f>'RESUMEN TOTAL'!W399</f>
        <v>0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 t="str">
        <f>'RESUMEN TOTAL'!AC399</f>
        <v>APAGADO</v>
      </c>
      <c r="W320" s="70" t="str">
        <f>'RESUMEN TOTAL'!AD399</f>
        <v>APAGADO</v>
      </c>
      <c r="X320" s="70">
        <f>'RESUMEN TOTAL'!AE399</f>
        <v>0</v>
      </c>
      <c r="Y320" s="70">
        <f>'RESUMEN TOTAL'!AF399</f>
        <v>0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3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 t="str">
        <f>'RESUMEN TOTAL'!R400</f>
        <v>APAGADO</v>
      </c>
      <c r="L321" s="70" t="str">
        <f>'RESUMEN TOTAL'!S400</f>
        <v>APAGADO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3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>
        <f>'RESUMEN TOTAL'!W401</f>
        <v>0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 t="str">
        <f>'RESUMEN TOTAL'!AC401</f>
        <v>APAGADO</v>
      </c>
      <c r="W322" s="70" t="str">
        <f>'RESUMEN TOTAL'!AD401</f>
        <v>APAGADO</v>
      </c>
      <c r="X322" s="70">
        <f>'RESUMEN TOTAL'!AE401</f>
        <v>0</v>
      </c>
      <c r="Y322" s="70">
        <f>'RESUMEN TOTAL'!AF401</f>
        <v>0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3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>
        <f>'RESUMEN TOTAL'!W402</f>
        <v>0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 t="str">
        <f>'RESUMEN TOTAL'!AC402</f>
        <v>APAGADO</v>
      </c>
      <c r="W323" s="70" t="str">
        <f>'RESUMEN TOTAL'!AD402</f>
        <v>APAGADO</v>
      </c>
      <c r="X323" s="70">
        <f>'RESUMEN TOTAL'!AE402</f>
        <v>0</v>
      </c>
      <c r="Y323" s="70">
        <f>'RESUMEN TOTAL'!AF402</f>
        <v>0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3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3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3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3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 t="str">
        <f>'RESUMEN TOTAL'!M413</f>
        <v>APAGADO</v>
      </c>
      <c r="G327" s="70" t="str">
        <f>'RESUMEN TOTAL'!N413</f>
        <v>APAGADO</v>
      </c>
      <c r="H327" s="70" t="str">
        <f>'RESUMEN TOTAL'!O413</f>
        <v>APAGADO</v>
      </c>
      <c r="I327" s="70" t="str">
        <f>'RESUMEN TOTAL'!P413</f>
        <v>APAGADO</v>
      </c>
      <c r="J327" s="70" t="str">
        <f>'RESUMEN TOTAL'!Q413</f>
        <v>APAGADO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3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3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>
        <f>'RESUMEN TOTAL'!W415</f>
        <v>0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 t="str">
        <f>'RESUMEN TOTAL'!AC415</f>
        <v>APAGADO</v>
      </c>
      <c r="W329" s="70" t="str">
        <f>'RESUMEN TOTAL'!AD415</f>
        <v>APAGADO</v>
      </c>
      <c r="X329" s="70">
        <f>'RESUMEN TOTAL'!AE415</f>
        <v>0</v>
      </c>
      <c r="Y329" s="70">
        <f>'RESUMEN TOTAL'!AF415</f>
        <v>0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3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 t="str">
        <f>'RESUMEN TOTAL'!M416</f>
        <v>APAGADO</v>
      </c>
      <c r="G330" s="70" t="str">
        <f>'RESUMEN TOTAL'!N416</f>
        <v>APAGADO</v>
      </c>
      <c r="H330" s="70" t="str">
        <f>'RESUMEN TOTAL'!O416</f>
        <v>APAGADO</v>
      </c>
      <c r="I330" s="70" t="str">
        <f>'RESUMEN TOTAL'!P416</f>
        <v>APAGADO</v>
      </c>
      <c r="J330" s="70" t="str">
        <f>'RESUMEN TOTAL'!Q416</f>
        <v>APAGADO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3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 t="str">
        <f>'RESUMEN TOTAL'!AB417</f>
        <v>APAGADO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3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3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 t="str">
        <f>'RESUMEN TOTAL'!X419</f>
        <v>APAGADO</v>
      </c>
      <c r="R333" s="70" t="str">
        <f>'RESUMEN TOTAL'!Y419</f>
        <v>APAGADO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3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 t="str">
        <f>'RESUMEN TOTAL'!N420</f>
        <v>APAGADO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3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 t="str">
        <f>'RESUMEN TOTAL'!N421</f>
        <v>APAGADO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 t="str">
        <f>'RESUMEN TOTAL'!AB421</f>
        <v>APAGADO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3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3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3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3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3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 t="str">
        <f>'RESUMEN TOTAL'!M429</f>
        <v>APAGADO</v>
      </c>
      <c r="G340" s="70" t="str">
        <f>'RESUMEN TOTAL'!N429</f>
        <v>APAGADO</v>
      </c>
      <c r="H340" s="70" t="str">
        <f>'RESUMEN TOTAL'!O429</f>
        <v>APAGADO</v>
      </c>
      <c r="I340" s="70" t="str">
        <f>'RESUMEN TOTAL'!P429</f>
        <v>APAGADO</v>
      </c>
      <c r="J340" s="70" t="str">
        <f>'RESUMEN TOTAL'!Q429</f>
        <v>APAGADO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>
        <f>'RESUMEN TOTAL'!AA429</f>
        <v>0</v>
      </c>
      <c r="U340" s="70" t="str">
        <f>'RESUMEN TOTAL'!AB429</f>
        <v>APAGADO</v>
      </c>
      <c r="V340" s="70" t="str">
        <f>'RESUMEN TOTAL'!AC429</f>
        <v>APAGADO</v>
      </c>
      <c r="W340" s="70" t="str">
        <f>'RESUMEN TOTAL'!AD429</f>
        <v>APAGADO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3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 t="str">
        <f>'RESUMEN TOTAL'!M430</f>
        <v>APAGADO</v>
      </c>
      <c r="G341" s="70" t="str">
        <f>'RESUMEN TOTAL'!N430</f>
        <v>APAGADO</v>
      </c>
      <c r="H341" s="70" t="str">
        <f>'RESUMEN TOTAL'!O430</f>
        <v>APAGADO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>
        <f>'RESUMEN TOTAL'!AA430</f>
        <v>0</v>
      </c>
      <c r="U341" s="70" t="str">
        <f>'RESUMEN TOTAL'!AB430</f>
        <v>APAGADO</v>
      </c>
      <c r="V341" s="70" t="str">
        <f>'RESUMEN TOTAL'!AC430</f>
        <v>APAGADO</v>
      </c>
      <c r="W341" s="70" t="str">
        <f>'RESUMEN TOTAL'!AD430</f>
        <v>APAGADO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3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3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3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3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3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3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>
        <f>'RESUMEN TOTAL'!W436</f>
        <v>0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 t="str">
        <f>'RESUMEN TOTAL'!AA436</f>
        <v>APAGADO</v>
      </c>
      <c r="U347" s="70" t="str">
        <f>'RESUMEN TOTAL'!AB436</f>
        <v>APAGADO</v>
      </c>
      <c r="V347" s="70" t="str">
        <f>'RESUMEN TOTAL'!AC436</f>
        <v>APAGADO</v>
      </c>
      <c r="W347" s="70" t="str">
        <f>'RESUMEN TOTAL'!AD436</f>
        <v>APAGADO</v>
      </c>
      <c r="X347" s="70">
        <f>'RESUMEN TOTAL'!AE436</f>
        <v>0</v>
      </c>
      <c r="Y347" s="70">
        <f>'RESUMEN TOTAL'!AF436</f>
        <v>0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3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3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3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3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3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 t="str">
        <f>'RESUMEN TOTAL'!M441</f>
        <v>APAGADO</v>
      </c>
      <c r="G352" s="70" t="str">
        <f>'RESUMEN TOTAL'!N441</f>
        <v>APAGADO</v>
      </c>
      <c r="H352" s="70" t="str">
        <f>'RESUMEN TOTAL'!O441</f>
        <v>APAGADO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 t="str">
        <f>'RESUMEN TOTAL'!AC441</f>
        <v>APAGADO</v>
      </c>
      <c r="W352" s="70" t="str">
        <f>'RESUMEN TOTAL'!AD441</f>
        <v>APAGADO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3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>
        <f>'RESUMEN TOTAL'!W442</f>
        <v>0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 t="str">
        <f>'RESUMEN TOTAL'!AC442</f>
        <v>APAGADO</v>
      </c>
      <c r="W353" s="70" t="str">
        <f>'RESUMEN TOTAL'!AD442</f>
        <v>APAGADO</v>
      </c>
      <c r="X353" s="70">
        <f>'RESUMEN TOTAL'!AE442</f>
        <v>0</v>
      </c>
      <c r="Y353" s="70">
        <f>'RESUMEN TOTAL'!AF442</f>
        <v>0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3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 t="str">
        <f>'RESUMEN TOTAL'!M443</f>
        <v>APAGADO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3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3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3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 t="str">
        <f>'RESUMEN TOTAL'!M446</f>
        <v>APAGADO</v>
      </c>
      <c r="G357" s="70" t="str">
        <f>'RESUMEN TOTAL'!N446</f>
        <v>APAGADO</v>
      </c>
      <c r="H357" s="70" t="str">
        <f>'RESUMEN TOTAL'!O446</f>
        <v>APAGADO</v>
      </c>
      <c r="I357" s="70" t="str">
        <f>'RESUMEN TOTAL'!P446</f>
        <v>APAGADO</v>
      </c>
      <c r="J357" s="70" t="str">
        <f>'RESUMEN TOTAL'!Q446</f>
        <v>APAGADO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 t="str">
        <f>'RESUMEN TOTAL'!X446</f>
        <v>APAGADO</v>
      </c>
      <c r="R357" s="70" t="str">
        <f>'RESUMEN TOTAL'!Y446</f>
        <v>APAGADO</v>
      </c>
      <c r="S357" s="70" t="str">
        <f>'RESUMEN TOTAL'!Z446</f>
        <v>APAGADO</v>
      </c>
      <c r="T357" s="70" t="str">
        <f>'RESUMEN TOTAL'!AA446</f>
        <v>APAGADO</v>
      </c>
      <c r="U357" s="70" t="str">
        <f>'RESUMEN TOTAL'!AB446</f>
        <v>APAGADO</v>
      </c>
      <c r="V357" s="70" t="str">
        <f>'RESUMEN TOTAL'!AC446</f>
        <v>APAGADO</v>
      </c>
      <c r="W357" s="70" t="str">
        <f>'RESUMEN TOTAL'!AD446</f>
        <v>APAGADO</v>
      </c>
      <c r="X357" s="70">
        <f>'RESUMEN TOTAL'!AE446</f>
        <v>0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3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 t="str">
        <f>'RESUMEN TOTAL'!M447</f>
        <v>APAGADO</v>
      </c>
      <c r="G358" s="70" t="str">
        <f>'RESUMEN TOTAL'!N447</f>
        <v>APAGADO</v>
      </c>
      <c r="H358" s="70" t="str">
        <f>'RESUMEN TOTAL'!O447</f>
        <v>APAGADO</v>
      </c>
      <c r="I358" s="70" t="str">
        <f>'RESUMEN TOTAL'!P447</f>
        <v>APAGADO</v>
      </c>
      <c r="J358" s="70" t="str">
        <f>'RESUMEN TOTAL'!Q447</f>
        <v>APAGADO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 t="str">
        <f>'RESUMEN TOTAL'!X447</f>
        <v>APAGADO</v>
      </c>
      <c r="R358" s="70" t="str">
        <f>'RESUMEN TOTAL'!Y447</f>
        <v>APAGADO</v>
      </c>
      <c r="S358" s="70" t="str">
        <f>'RESUMEN TOTAL'!Z447</f>
        <v>APAGADO</v>
      </c>
      <c r="T358" s="70" t="str">
        <f>'RESUMEN TOTAL'!AA447</f>
        <v>APAGADO</v>
      </c>
      <c r="U358" s="70" t="str">
        <f>'RESUMEN TOTAL'!AB447</f>
        <v>APAGADO</v>
      </c>
      <c r="V358" s="70" t="str">
        <f>'RESUMEN TOTAL'!AC447</f>
        <v>APAGADO</v>
      </c>
      <c r="W358" s="70" t="str">
        <f>'RESUMEN TOTAL'!AD447</f>
        <v>APAGADO</v>
      </c>
      <c r="X358" s="70">
        <f>'RESUMEN TOTAL'!AE447</f>
        <v>0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3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3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3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>
        <f>'RESUMEN TOTAL'!W456</f>
        <v>0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 t="str">
        <f>'RESUMEN TOTAL'!AC456</f>
        <v>APAGADO</v>
      </c>
      <c r="W361" s="70" t="str">
        <f>'RESUMEN TOTAL'!AD456</f>
        <v>APAGADO</v>
      </c>
      <c r="X361" s="70">
        <f>'RESUMEN TOTAL'!AE456</f>
        <v>0</v>
      </c>
      <c r="Y361" s="70">
        <f>'RESUMEN TOTAL'!AF456</f>
        <v>0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3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>
        <f>'RESUMEN TOTAL'!W457</f>
        <v>0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 t="str">
        <f>'RESUMEN TOTAL'!AC457</f>
        <v>APAGADO</v>
      </c>
      <c r="W362" s="70" t="str">
        <f>'RESUMEN TOTAL'!AD457</f>
        <v>APAGADO</v>
      </c>
      <c r="X362" s="70">
        <f>'RESUMEN TOTAL'!AE457</f>
        <v>0</v>
      </c>
      <c r="Y362" s="70">
        <f>'RESUMEN TOTAL'!AF457</f>
        <v>0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3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>
        <f>'RESUMEN TOTAL'!W458</f>
        <v>0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 t="str">
        <f>'RESUMEN TOTAL'!AC458</f>
        <v>APAGADO</v>
      </c>
      <c r="W363" s="70" t="str">
        <f>'RESUMEN TOTAL'!AD458</f>
        <v>APAGADO</v>
      </c>
      <c r="X363" s="70">
        <f>'RESUMEN TOTAL'!AE458</f>
        <v>0</v>
      </c>
      <c r="Y363" s="70">
        <f>'RESUMEN TOTAL'!AF458</f>
        <v>0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3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 t="str">
        <f>'RESUMEN TOTAL'!R461</f>
        <v>APAGADO</v>
      </c>
      <c r="L364" s="70" t="str">
        <f>'RESUMEN TOTAL'!S461</f>
        <v>APAGADO</v>
      </c>
      <c r="M364" s="70" t="str">
        <f>'RESUMEN TOTAL'!T461</f>
        <v>APAGADO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 t="str">
        <f>'RESUMEN TOTAL'!AC461</f>
        <v>APAGADO</v>
      </c>
      <c r="W364" s="70" t="str">
        <f>'RESUMEN TOTAL'!AD461</f>
        <v>APAGADO</v>
      </c>
      <c r="X364" s="70">
        <f>'RESUMEN TOTAL'!AE461</f>
        <v>0</v>
      </c>
      <c r="Y364" s="70">
        <f>'RESUMEN TOTAL'!AF461</f>
        <v>0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3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 t="str">
        <f>'RESUMEN TOTAL'!R462</f>
        <v>APAGADO</v>
      </c>
      <c r="L365" s="70" t="str">
        <f>'RESUMEN TOTAL'!S462</f>
        <v>APAGADO</v>
      </c>
      <c r="M365" s="70" t="str">
        <f>'RESUMEN TOTAL'!T462</f>
        <v>APAGADO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 t="str">
        <f>'RESUMEN TOTAL'!AA462</f>
        <v>APAGADO</v>
      </c>
      <c r="U365" s="70" t="str">
        <f>'RESUMEN TOTAL'!AB462</f>
        <v>APAGADO</v>
      </c>
      <c r="V365" s="70" t="str">
        <f>'RESUMEN TOTAL'!AC462</f>
        <v>APAGADO</v>
      </c>
      <c r="W365" s="70" t="str">
        <f>'RESUMEN TOTAL'!AD462</f>
        <v>APAGADO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3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3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3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3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3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3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3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3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3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3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3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3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3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 t="str">
        <f>'RESUMEN TOTAL'!R481</f>
        <v>APAGADO</v>
      </c>
      <c r="L378" s="70" t="str">
        <f>'RESUMEN TOTAL'!S481</f>
        <v>APAGADO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3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 t="str">
        <f>'RESUMEN TOTAL'!R482</f>
        <v>APAGADO</v>
      </c>
      <c r="L379" s="70" t="str">
        <f>'RESUMEN TOTAL'!S482</f>
        <v>APAGADO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3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 t="str">
        <f>'RESUMEN TOTAL'!R483</f>
        <v>APAGADO</v>
      </c>
      <c r="L380" s="70" t="str">
        <f>'RESUMEN TOTAL'!S483</f>
        <v>APAGADO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 t="str">
        <f>'RESUMEN TOTAL'!X483</f>
        <v>APAGADO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3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 t="str">
        <f>'RESUMEN TOTAL'!R484</f>
        <v>APAGADO</v>
      </c>
      <c r="L381" s="70" t="str">
        <f>'RESUMEN TOTAL'!S484</f>
        <v>APAGADO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3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 t="str">
        <f>'RESUMEN TOTAL'!R485</f>
        <v>APAGADO</v>
      </c>
      <c r="L382" s="70" t="str">
        <f>'RESUMEN TOTAL'!S485</f>
        <v>APAGADO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3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3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3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3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3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3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3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3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3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3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 t="str">
        <f>'RESUMEN TOTAL'!AC495</f>
        <v>APAGADO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3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 t="str">
        <f>'RESUMEN TOTAL'!M496</f>
        <v>APAGADO</v>
      </c>
      <c r="G393" s="70" t="str">
        <f>'RESUMEN TOTAL'!N496</f>
        <v>APAGADO</v>
      </c>
      <c r="H393" s="70">
        <f>'RESUMEN TOTAL'!O496</f>
        <v>0</v>
      </c>
      <c r="I393" s="70">
        <f>'RESUMEN TOTAL'!P496</f>
        <v>0</v>
      </c>
      <c r="J393" s="70" t="str">
        <f>'RESUMEN TOTAL'!Q496</f>
        <v>APAGADO</v>
      </c>
      <c r="K393" s="70" t="str">
        <f>'RESUMEN TOTAL'!R496</f>
        <v>APAGADO</v>
      </c>
      <c r="L393" s="70" t="str">
        <f>'RESUMEN TOTAL'!S496</f>
        <v>APAGADO</v>
      </c>
      <c r="M393" s="70" t="str">
        <f>'RESUMEN TOTAL'!T496</f>
        <v>APAGADO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 t="str">
        <f>'RESUMEN TOTAL'!Y496</f>
        <v>APAGADO</v>
      </c>
      <c r="S393" s="70" t="str">
        <f>'RESUMEN TOTAL'!Z496</f>
        <v>APAGADO</v>
      </c>
      <c r="T393" s="70" t="str">
        <f>'RESUMEN TOTAL'!AA496</f>
        <v>APAGADO</v>
      </c>
      <c r="U393" s="70" t="str">
        <f>'RESUMEN TOTAL'!AB496</f>
        <v>APAGADO</v>
      </c>
      <c r="V393" s="70" t="str">
        <f>'RESUMEN TOTAL'!AC496</f>
        <v>APAGADO</v>
      </c>
      <c r="W393" s="70" t="str">
        <f>'RESUMEN TOTAL'!AD496</f>
        <v>APAGADO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3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 t="str">
        <f>'RESUMEN TOTAL'!AC497</f>
        <v>APAGADO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3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3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3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3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3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3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 t="str">
        <f>'RESUMEN TOTAL'!M503</f>
        <v>APAGADO</v>
      </c>
      <c r="G400" s="70" t="str">
        <f>'RESUMEN TOTAL'!N503</f>
        <v>APAGADO</v>
      </c>
      <c r="H400" s="70">
        <f>'RESUMEN TOTAL'!O503</f>
        <v>0</v>
      </c>
      <c r="I400" s="70">
        <f>'RESUMEN TOTAL'!P503</f>
        <v>0</v>
      </c>
      <c r="J400" s="70" t="str">
        <f>'RESUMEN TOTAL'!Q503</f>
        <v>APAGADO</v>
      </c>
      <c r="K400" s="70" t="str">
        <f>'RESUMEN TOTAL'!R503</f>
        <v>APAGADO</v>
      </c>
      <c r="L400" s="70" t="str">
        <f>'RESUMEN TOTAL'!S503</f>
        <v>APAGADO</v>
      </c>
      <c r="M400" s="70" t="str">
        <f>'RESUMEN TOTAL'!T503</f>
        <v>APAGADO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 t="str">
        <f>'RESUMEN TOTAL'!Y503</f>
        <v>APAGADO</v>
      </c>
      <c r="S400" s="70" t="str">
        <f>'RESUMEN TOTAL'!Z503</f>
        <v>APAGADO</v>
      </c>
      <c r="T400" s="70" t="str">
        <f>'RESUMEN TOTAL'!AA503</f>
        <v>APAGADO</v>
      </c>
      <c r="U400" s="70" t="str">
        <f>'RESUMEN TOTAL'!AB503</f>
        <v>APAGADO</v>
      </c>
      <c r="V400" s="70" t="str">
        <f>'RESUMEN TOTAL'!AC503</f>
        <v>APAGADO</v>
      </c>
      <c r="W400" s="70" t="str">
        <f>'RESUMEN TOTAL'!AD503</f>
        <v>APAGADO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3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3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 t="str">
        <f>'RESUMEN TOTAL'!AD505</f>
        <v>APAGADO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3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>
        <f>'RESUMEN TOTAL'!AE506</f>
        <v>0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3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3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 t="str">
        <f>'RESUMEN TOTAL'!M508</f>
        <v>APAGADO</v>
      </c>
      <c r="G405" s="70" t="str">
        <f>'RESUMEN TOTAL'!N508</f>
        <v>APAGADO</v>
      </c>
      <c r="H405" s="70">
        <f>'RESUMEN TOTAL'!O508</f>
        <v>0</v>
      </c>
      <c r="I405" s="70">
        <f>'RESUMEN TOTAL'!P508</f>
        <v>0</v>
      </c>
      <c r="J405" s="70" t="str">
        <f>'RESUMEN TOTAL'!Q508</f>
        <v>APAGADO</v>
      </c>
      <c r="K405" s="70" t="str">
        <f>'RESUMEN TOTAL'!R508</f>
        <v>APAGADO</v>
      </c>
      <c r="L405" s="70" t="str">
        <f>'RESUMEN TOTAL'!S508</f>
        <v>APAGADO</v>
      </c>
      <c r="M405" s="70" t="str">
        <f>'RESUMEN TOTAL'!T508</f>
        <v>APAGADO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 t="str">
        <f>'RESUMEN TOTAL'!Y508</f>
        <v>APAGADO</v>
      </c>
      <c r="S405" s="70" t="str">
        <f>'RESUMEN TOTAL'!Z508</f>
        <v>APAGADO</v>
      </c>
      <c r="T405" s="70" t="str">
        <f>'RESUMEN TOTAL'!AA508</f>
        <v>APAGADO</v>
      </c>
      <c r="U405" s="70" t="str">
        <f>'RESUMEN TOTAL'!AB508</f>
        <v>APAGADO</v>
      </c>
      <c r="V405" s="70" t="str">
        <f>'RESUMEN TOTAL'!AC508</f>
        <v>APAGADO</v>
      </c>
      <c r="W405" s="70" t="str">
        <f>'RESUMEN TOTAL'!AD508</f>
        <v>APAGADO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3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3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>
        <f>'RESUMEN TOTAL'!W510</f>
        <v>0</v>
      </c>
      <c r="Q407" s="70" t="str">
        <f>'RESUMEN TOTAL'!X510</f>
        <v>APAGADO</v>
      </c>
      <c r="R407" s="70" t="str">
        <f>'RESUMEN TOTAL'!Y510</f>
        <v>APAGADO</v>
      </c>
      <c r="S407" s="70" t="str">
        <f>'RESUMEN TOTAL'!Z510</f>
        <v>APAGADO</v>
      </c>
      <c r="T407" s="70" t="str">
        <f>'RESUMEN TOTAL'!AA510</f>
        <v>APAGADO</v>
      </c>
      <c r="U407" s="70" t="str">
        <f>'RESUMEN TOTAL'!AB510</f>
        <v>APAGADO</v>
      </c>
      <c r="V407" s="70" t="str">
        <f>'RESUMEN TOTAL'!AC510</f>
        <v>APAGADO</v>
      </c>
      <c r="W407" s="70" t="str">
        <f>'RESUMEN TOTAL'!AD510</f>
        <v>APAGADO</v>
      </c>
      <c r="X407" s="70">
        <f>'RESUMEN TOTAL'!AE510</f>
        <v>0</v>
      </c>
      <c r="Y407" s="70">
        <f>'RESUMEN TOTAL'!AF510</f>
        <v>0</v>
      </c>
      <c r="Z407" s="70">
        <f>'RESUMEN TOTAL'!AG510</f>
        <v>0</v>
      </c>
      <c r="AA407" s="70">
        <f>'RESUMEN TOTAL'!AH510</f>
        <v>0</v>
      </c>
      <c r="AB407" s="70">
        <f>'RESUMEN TOTAL'!AI510</f>
        <v>0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3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 t="str">
        <f>'RESUMEN TOTAL'!M511</f>
        <v>APAGADO</v>
      </c>
      <c r="G408" s="70" t="str">
        <f>'RESUMEN TOTAL'!N511</f>
        <v>APAGADO</v>
      </c>
      <c r="H408" s="70">
        <f>'RESUMEN TOTAL'!O511</f>
        <v>0</v>
      </c>
      <c r="I408" s="70">
        <f>'RESUMEN TOTAL'!P511</f>
        <v>0</v>
      </c>
      <c r="J408" s="70" t="str">
        <f>'RESUMEN TOTAL'!Q511</f>
        <v>APAGADO</v>
      </c>
      <c r="K408" s="70" t="str">
        <f>'RESUMEN TOTAL'!R511</f>
        <v>APAGADO</v>
      </c>
      <c r="L408" s="70" t="str">
        <f>'RESUMEN TOTAL'!S511</f>
        <v>APAGADO</v>
      </c>
      <c r="M408" s="70" t="str">
        <f>'RESUMEN TOTAL'!T511</f>
        <v>APAGADO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 t="str">
        <f>'RESUMEN TOTAL'!Y511</f>
        <v>APAGADO</v>
      </c>
      <c r="S408" s="70" t="str">
        <f>'RESUMEN TOTAL'!Z511</f>
        <v>APAGADO</v>
      </c>
      <c r="T408" s="70" t="str">
        <f>'RESUMEN TOTAL'!AA511</f>
        <v>APAGADO</v>
      </c>
      <c r="U408" s="70" t="str">
        <f>'RESUMEN TOTAL'!AB511</f>
        <v>APAGADO</v>
      </c>
      <c r="V408" s="70" t="str">
        <f>'RESUMEN TOTAL'!AC511</f>
        <v>APAGADO</v>
      </c>
      <c r="W408" s="70" t="str">
        <f>'RESUMEN TOTAL'!AD511</f>
        <v>APAGADO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3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3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3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 t="str">
        <f>'RESUMEN TOTAL'!M514</f>
        <v>APAGADO</v>
      </c>
      <c r="G411" s="70" t="str">
        <f>'RESUMEN TOTAL'!N514</f>
        <v>APAGADO</v>
      </c>
      <c r="H411" s="70">
        <f>'RESUMEN TOTAL'!O514</f>
        <v>0</v>
      </c>
      <c r="I411" s="70">
        <f>'RESUMEN TOTAL'!P514</f>
        <v>0</v>
      </c>
      <c r="J411" s="70" t="str">
        <f>'RESUMEN TOTAL'!Q514</f>
        <v>APAGADO</v>
      </c>
      <c r="K411" s="70" t="str">
        <f>'RESUMEN TOTAL'!R514</f>
        <v>APAGADO</v>
      </c>
      <c r="L411" s="70" t="str">
        <f>'RESUMEN TOTAL'!S514</f>
        <v>APAGADO</v>
      </c>
      <c r="M411" s="70" t="str">
        <f>'RESUMEN TOTAL'!T514</f>
        <v>APAGADO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 t="str">
        <f>'RESUMEN TOTAL'!Y514</f>
        <v>APAGADO</v>
      </c>
      <c r="S411" s="70" t="str">
        <f>'RESUMEN TOTAL'!Z514</f>
        <v>APAGADO</v>
      </c>
      <c r="T411" s="70" t="str">
        <f>'RESUMEN TOTAL'!AA514</f>
        <v>APAGADO</v>
      </c>
      <c r="U411" s="70" t="str">
        <f>'RESUMEN TOTAL'!AB514</f>
        <v>APAGADO</v>
      </c>
      <c r="V411" s="70" t="str">
        <f>'RESUMEN TOTAL'!AC514</f>
        <v>APAGADO</v>
      </c>
      <c r="W411" s="70" t="str">
        <f>'RESUMEN TOTAL'!AD514</f>
        <v>APAGADO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3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 t="str">
        <f>'RESUMEN TOTAL'!M515</f>
        <v>APAGADO</v>
      </c>
      <c r="G412" s="70" t="str">
        <f>'RESUMEN TOTAL'!N515</f>
        <v>APAGADO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 t="str">
        <f>'RESUMEN TOTAL'!R515</f>
        <v>APAGADO</v>
      </c>
      <c r="L412" s="70" t="str">
        <f>'RESUMEN TOTAL'!S515</f>
        <v>APAGADO</v>
      </c>
      <c r="M412" s="70" t="str">
        <f>'RESUMEN TOTAL'!T515</f>
        <v>APAGADO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 t="str">
        <f>'RESUMEN TOTAL'!Y515</f>
        <v>APAGADO</v>
      </c>
      <c r="S412" s="70" t="str">
        <f>'RESUMEN TOTAL'!Z515</f>
        <v>APAGADO</v>
      </c>
      <c r="T412" s="70" t="str">
        <f>'RESUMEN TOTAL'!AA515</f>
        <v>APAGADO</v>
      </c>
      <c r="U412" s="70" t="str">
        <f>'RESUMEN TOTAL'!AB515</f>
        <v>APAGADO</v>
      </c>
      <c r="V412" s="70" t="str">
        <f>'RESUMEN TOTAL'!AC515</f>
        <v>APAGADO</v>
      </c>
      <c r="W412" s="70" t="str">
        <f>'RESUMEN TOTAL'!AD515</f>
        <v>APAGADO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3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3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3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3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3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>
        <f>'RESUMEN TOTAL'!W520</f>
        <v>0</v>
      </c>
      <c r="Q417" s="70" t="str">
        <f>'RESUMEN TOTAL'!X520</f>
        <v>APAGADO</v>
      </c>
      <c r="R417" s="70" t="str">
        <f>'RESUMEN TOTAL'!Y520</f>
        <v>APAGADO</v>
      </c>
      <c r="S417" s="70" t="str">
        <f>'RESUMEN TOTAL'!Z520</f>
        <v>APAGADO</v>
      </c>
      <c r="T417" s="70" t="str">
        <f>'RESUMEN TOTAL'!AA520</f>
        <v>APAGADO</v>
      </c>
      <c r="U417" s="70" t="str">
        <f>'RESUMEN TOTAL'!AB520</f>
        <v>APAGADO</v>
      </c>
      <c r="V417" s="70" t="str">
        <f>'RESUMEN TOTAL'!AC520</f>
        <v>APAGADO</v>
      </c>
      <c r="W417" s="70" t="str">
        <f>'RESUMEN TOTAL'!AD520</f>
        <v>APAGADO</v>
      </c>
      <c r="X417" s="70">
        <f>'RESUMEN TOTAL'!AE520</f>
        <v>0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>
        <f>'RESUMEN TOTAL'!AI520</f>
        <v>0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3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3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3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3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3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 t="str">
        <f>'RESUMEN TOTAL'!M530</f>
        <v>APAGADO</v>
      </c>
      <c r="G422" s="70" t="str">
        <f>'RESUMEN TOTAL'!N530</f>
        <v>APAGADO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3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 t="str">
        <f>'RESUMEN TOTAL'!M531</f>
        <v>APAGADO</v>
      </c>
      <c r="G423" s="70" t="str">
        <f>'RESUMEN TOTAL'!N531</f>
        <v>APAGADO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3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 t="str">
        <f>'RESUMEN TOTAL'!M532</f>
        <v>APAGADO</v>
      </c>
      <c r="G424" s="70" t="str">
        <f>'RESUMEN TOTAL'!N532</f>
        <v>APAGADO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3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 t="str">
        <f>'RESUMEN TOTAL'!M533</f>
        <v>APAGADO</v>
      </c>
      <c r="G425" s="70" t="str">
        <f>'RESUMEN TOTAL'!N533</f>
        <v>APAGADO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3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3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3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3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3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 t="str">
        <f>'RESUMEN TOTAL'!X539</f>
        <v>APAGADO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3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 t="str">
        <f>'RESUMEN TOTAL'!M540</f>
        <v>APAGADO</v>
      </c>
      <c r="G431" s="70" t="str">
        <f>'RESUMEN TOTAL'!N540</f>
        <v>APAGADO</v>
      </c>
      <c r="H431" s="70" t="str">
        <f>'RESUMEN TOTAL'!O540</f>
        <v>APAGADO</v>
      </c>
      <c r="I431" s="70" t="str">
        <f>'RESUMEN TOTAL'!P540</f>
        <v>APAGADO</v>
      </c>
      <c r="J431" s="70" t="str">
        <f>'RESUMEN TOTAL'!Q540</f>
        <v>APAGADO</v>
      </c>
      <c r="K431" s="70" t="str">
        <f>'RESUMEN TOTAL'!R540</f>
        <v>APAGADO</v>
      </c>
      <c r="L431" s="70" t="str">
        <f>'RESUMEN TOTAL'!S540</f>
        <v>APAGADO</v>
      </c>
      <c r="M431" s="70" t="str">
        <f>'RESUMEN TOTAL'!T540</f>
        <v>APAGADO</v>
      </c>
      <c r="N431" s="70" t="str">
        <f>'RESUMEN TOTAL'!U540</f>
        <v>APAGADO</v>
      </c>
      <c r="O431" s="70" t="str">
        <f>'RESUMEN TOTAL'!V540</f>
        <v>APAGADO</v>
      </c>
      <c r="P431" s="70">
        <f>'RESUMEN TOTAL'!W540</f>
        <v>0</v>
      </c>
      <c r="Q431" s="70" t="str">
        <f>'RESUMEN TOTAL'!X540</f>
        <v>APAGADO</v>
      </c>
      <c r="R431" s="70" t="str">
        <f>'RESUMEN TOTAL'!Y540</f>
        <v>APAGADO</v>
      </c>
      <c r="S431" s="70" t="str">
        <f>'RESUMEN TOTAL'!Z540</f>
        <v>APAGADO</v>
      </c>
      <c r="T431" s="70" t="str">
        <f>'RESUMEN TOTAL'!AA540</f>
        <v>APAGADO</v>
      </c>
      <c r="U431" s="70" t="str">
        <f>'RESUMEN TOTAL'!AB540</f>
        <v>APAGADO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3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 t="str">
        <f>'RESUMEN TOTAL'!X542</f>
        <v>APAGADO</v>
      </c>
      <c r="R432" s="70" t="str">
        <f>'RESUMEN TOTAL'!Y542</f>
        <v>APAGADO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3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 t="str">
        <f>'RESUMEN TOTAL'!X543</f>
        <v>APAGADO</v>
      </c>
      <c r="R433" s="70" t="str">
        <f>'RESUMEN TOTAL'!Y543</f>
        <v>APAGADO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3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 t="str">
        <f>'RESUMEN TOTAL'!X544</f>
        <v>APAGADO</v>
      </c>
      <c r="R434" s="70" t="str">
        <f>'RESUMEN TOTAL'!Y544</f>
        <v>APAGADO</v>
      </c>
      <c r="S434" s="70" t="str">
        <f>'RESUMEN TOTAL'!Z544</f>
        <v>APAGADO</v>
      </c>
      <c r="T434" s="70" t="str">
        <f>'RESUMEN TOTAL'!AA544</f>
        <v>APAGADO</v>
      </c>
      <c r="U434" s="70" t="str">
        <f>'RESUMEN TOTAL'!AB544</f>
        <v>APAGADO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3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 t="str">
        <f>'RESUMEN TOTAL'!X545</f>
        <v>APAGADO</v>
      </c>
      <c r="R435" s="70" t="str">
        <f>'RESUMEN TOTAL'!Y545</f>
        <v>APAGADO</v>
      </c>
      <c r="S435" s="70" t="str">
        <f>'RESUMEN TOTAL'!Z545</f>
        <v>APAGADO</v>
      </c>
      <c r="T435" s="70" t="str">
        <f>'RESUMEN TOTAL'!AA545</f>
        <v>APAGADO</v>
      </c>
      <c r="U435" s="70" t="str">
        <f>'RESUMEN TOTAL'!AB545</f>
        <v>APAGADO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3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 t="str">
        <f>'RESUMEN TOTAL'!M549</f>
        <v>APAGADO</v>
      </c>
      <c r="G436" s="70" t="str">
        <f>'RESUMEN TOTAL'!N549</f>
        <v>APAGADO</v>
      </c>
      <c r="H436" s="70" t="str">
        <f>'RESUMEN TOTAL'!O549</f>
        <v>APAGADO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 t="str">
        <f>'RESUMEN TOTAL'!X549</f>
        <v>APAGADO</v>
      </c>
      <c r="R436" s="70" t="str">
        <f>'RESUMEN TOTAL'!Y549</f>
        <v>APAGADO</v>
      </c>
      <c r="S436" s="70" t="str">
        <f>'RESUMEN TOTAL'!Z549</f>
        <v>APAGADO</v>
      </c>
      <c r="T436" s="70" t="str">
        <f>'RESUMEN TOTAL'!AA549</f>
        <v>APAGADO</v>
      </c>
      <c r="U436" s="70" t="str">
        <f>'RESUMEN TOTAL'!AB549</f>
        <v>APAGADO</v>
      </c>
      <c r="V436" s="70" t="str">
        <f>'RESUMEN TOTAL'!AC549</f>
        <v>APAGADO</v>
      </c>
      <c r="W436" s="70" t="str">
        <f>'RESUMEN TOTAL'!AD549</f>
        <v>APAGADO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3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 t="str">
        <f>'RESUMEN TOTAL'!M550</f>
        <v>APAGADO</v>
      </c>
      <c r="G437" s="70" t="str">
        <f>'RESUMEN TOTAL'!N550</f>
        <v>APAGADO</v>
      </c>
      <c r="H437" s="70" t="str">
        <f>'RESUMEN TOTAL'!O550</f>
        <v>APAGADO</v>
      </c>
      <c r="I437" s="70" t="str">
        <f>'RESUMEN TOTAL'!P550</f>
        <v>APAGADO</v>
      </c>
      <c r="J437" s="70" t="str">
        <f>'RESUMEN TOTAL'!Q550</f>
        <v>APAGADO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3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 t="str">
        <f>'RESUMEN TOTAL'!M551</f>
        <v>APAGADO</v>
      </c>
      <c r="G438" s="70" t="str">
        <f>'RESUMEN TOTAL'!N551</f>
        <v>APAGADO</v>
      </c>
      <c r="H438" s="70" t="str">
        <f>'RESUMEN TOTAL'!O551</f>
        <v>APAGADO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>
        <f>'RESUMEN TOTAL'!S551</f>
        <v>0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>
        <f>'RESUMEN TOTAL'!W551</f>
        <v>0</v>
      </c>
      <c r="Q438" s="70" t="str">
        <f>'RESUMEN TOTAL'!X551</f>
        <v>APAGADO</v>
      </c>
      <c r="R438" s="70" t="str">
        <f>'RESUMEN TOTAL'!Y551</f>
        <v>APAGADO</v>
      </c>
      <c r="S438" s="70" t="str">
        <f>'RESUMEN TOTAL'!Z551</f>
        <v>APAGADO</v>
      </c>
      <c r="T438" s="70" t="str">
        <f>'RESUMEN TOTAL'!AA551</f>
        <v>APAGADO</v>
      </c>
      <c r="U438" s="70" t="str">
        <f>'RESUMEN TOTAL'!AB551</f>
        <v>APAGADO</v>
      </c>
      <c r="V438" s="70" t="str">
        <f>'RESUMEN TOTAL'!AC551</f>
        <v>APAGADO</v>
      </c>
      <c r="W438" s="70" t="str">
        <f>'RESUMEN TOTAL'!AD551</f>
        <v>APAGADO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3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 t="str">
        <f>'RESUMEN TOTAL'!M552</f>
        <v>APAGADO</v>
      </c>
      <c r="G439" s="70" t="str">
        <f>'RESUMEN TOTAL'!N552</f>
        <v>APAGADO</v>
      </c>
      <c r="H439" s="70" t="str">
        <f>'RESUMEN TOTAL'!O552</f>
        <v>APAGADO</v>
      </c>
      <c r="I439" s="70" t="str">
        <f>'RESUMEN TOTAL'!P552</f>
        <v>APAGADO</v>
      </c>
      <c r="J439" s="70" t="str">
        <f>'RESUMEN TOTAL'!Q552</f>
        <v>APAGADO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3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 t="str">
        <f>'RESUMEN TOTAL'!M553</f>
        <v>APAGADO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3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3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3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3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3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>
        <f>'RESUMEN TOTAL'!W559</f>
        <v>0</v>
      </c>
      <c r="Q445" s="70" t="str">
        <f>'RESUMEN TOTAL'!X559</f>
        <v>APAGADO</v>
      </c>
      <c r="R445" s="70" t="str">
        <f>'RESUMEN TOTAL'!Y559</f>
        <v>APAGADO</v>
      </c>
      <c r="S445" s="70" t="str">
        <f>'RESUMEN TOTAL'!Z559</f>
        <v>APAGADO</v>
      </c>
      <c r="T445" s="70" t="str">
        <f>'RESUMEN TOTAL'!AA559</f>
        <v>APAGADO</v>
      </c>
      <c r="U445" s="70" t="str">
        <f>'RESUMEN TOTAL'!AB559</f>
        <v>APAGADO</v>
      </c>
      <c r="V445" s="70" t="str">
        <f>'RESUMEN TOTAL'!AC559</f>
        <v>APAGADO</v>
      </c>
      <c r="W445" s="70" t="str">
        <f>'RESUMEN TOTAL'!AD559</f>
        <v>APAGADO</v>
      </c>
      <c r="X445" s="70">
        <f>'RESUMEN TOTAL'!AE559</f>
        <v>0</v>
      </c>
      <c r="Y445" s="70">
        <f>'RESUMEN TOTAL'!AF559</f>
        <v>0</v>
      </c>
      <c r="Z445" s="70">
        <f>'RESUMEN TOTAL'!AG559</f>
        <v>0</v>
      </c>
      <c r="AA445" s="70">
        <f>'RESUMEN TOTAL'!AH559</f>
        <v>0</v>
      </c>
      <c r="AB445" s="70">
        <f>'RESUMEN TOTAL'!AI559</f>
        <v>0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3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 t="str">
        <f>'RESUMEN TOTAL'!V560</f>
        <v>APAGADO</v>
      </c>
      <c r="P446" s="70">
        <f>'RESUMEN TOTAL'!W560</f>
        <v>0</v>
      </c>
      <c r="Q446" s="70" t="str">
        <f>'RESUMEN TOTAL'!X560</f>
        <v>APAGADO</v>
      </c>
      <c r="R446" s="70" t="str">
        <f>'RESUMEN TOTAL'!Y560</f>
        <v>APAGADO</v>
      </c>
      <c r="S446" s="70" t="str">
        <f>'RESUMEN TOTAL'!Z560</f>
        <v>APAGADO</v>
      </c>
      <c r="T446" s="70" t="str">
        <f>'RESUMEN TOTAL'!AA560</f>
        <v>APAGADO</v>
      </c>
      <c r="U446" s="70" t="str">
        <f>'RESUMEN TOTAL'!AB560</f>
        <v>APAGADO</v>
      </c>
      <c r="V446" s="70" t="str">
        <f>'RESUMEN TOTAL'!AC560</f>
        <v>APAGADO</v>
      </c>
      <c r="W446" s="70" t="str">
        <f>'RESUMEN TOTAL'!AD560</f>
        <v>APAGADO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3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 t="str">
        <f>'RESUMEN TOTAL'!V561</f>
        <v>APAGADO</v>
      </c>
      <c r="P447" s="70">
        <f>'RESUMEN TOTAL'!W561</f>
        <v>0</v>
      </c>
      <c r="Q447" s="70" t="str">
        <f>'RESUMEN TOTAL'!X561</f>
        <v>APAGADO</v>
      </c>
      <c r="R447" s="70" t="str">
        <f>'RESUMEN TOTAL'!Y561</f>
        <v>APAGADO</v>
      </c>
      <c r="S447" s="70" t="str">
        <f>'RESUMEN TOTAL'!Z561</f>
        <v>APAGADO</v>
      </c>
      <c r="T447" s="70" t="str">
        <f>'RESUMEN TOTAL'!AA561</f>
        <v>APAGADO</v>
      </c>
      <c r="U447" s="70" t="str">
        <f>'RESUMEN TOTAL'!AB561</f>
        <v>APAGADO</v>
      </c>
      <c r="V447" s="70" t="str">
        <f>'RESUMEN TOTAL'!AC561</f>
        <v>APAGADO</v>
      </c>
      <c r="W447" s="70" t="str">
        <f>'RESUMEN TOTAL'!AD561</f>
        <v>APAGADO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3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 t="str">
        <f>'RESUMEN TOTAL'!V562</f>
        <v>APAGADO</v>
      </c>
      <c r="P448" s="70">
        <f>'RESUMEN TOTAL'!W562</f>
        <v>0</v>
      </c>
      <c r="Q448" s="70" t="str">
        <f>'RESUMEN TOTAL'!X562</f>
        <v>APAGADO</v>
      </c>
      <c r="R448" s="70" t="str">
        <f>'RESUMEN TOTAL'!Y562</f>
        <v>APAGADO</v>
      </c>
      <c r="S448" s="70" t="str">
        <f>'RESUMEN TOTAL'!Z562</f>
        <v>APAGADO</v>
      </c>
      <c r="T448" s="70" t="str">
        <f>'RESUMEN TOTAL'!AA562</f>
        <v>APAGADO</v>
      </c>
      <c r="U448" s="70" t="str">
        <f>'RESUMEN TOTAL'!AB562</f>
        <v>APAGADO</v>
      </c>
      <c r="V448" s="70" t="str">
        <f>'RESUMEN TOTAL'!AC562</f>
        <v>APAGADO</v>
      </c>
      <c r="W448" s="70" t="str">
        <f>'RESUMEN TOTAL'!AD562</f>
        <v>APAGADO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3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 t="str">
        <f>'RESUMEN TOTAL'!V563</f>
        <v>APAGADO</v>
      </c>
      <c r="P449" s="70">
        <f>'RESUMEN TOTAL'!W563</f>
        <v>0</v>
      </c>
      <c r="Q449" s="70" t="str">
        <f>'RESUMEN TOTAL'!X563</f>
        <v>APAGADO</v>
      </c>
      <c r="R449" s="70" t="str">
        <f>'RESUMEN TOTAL'!Y563</f>
        <v>APAGADO</v>
      </c>
      <c r="S449" s="70" t="str">
        <f>'RESUMEN TOTAL'!Z563</f>
        <v>APAGADO</v>
      </c>
      <c r="T449" s="70" t="str">
        <f>'RESUMEN TOTAL'!AA563</f>
        <v>APAGADO</v>
      </c>
      <c r="U449" s="70" t="str">
        <f>'RESUMEN TOTAL'!AB563</f>
        <v>APAGADO</v>
      </c>
      <c r="V449" s="70" t="str">
        <f>'RESUMEN TOTAL'!AC563</f>
        <v>APAGADO</v>
      </c>
      <c r="W449" s="70" t="str">
        <f>'RESUMEN TOTAL'!AD563</f>
        <v>APAGADO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3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 t="str">
        <f>'RESUMEN TOTAL'!X564</f>
        <v>APAGADO</v>
      </c>
      <c r="R450" s="70" t="str">
        <f>'RESUMEN TOTAL'!Y564</f>
        <v>APAGADO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3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3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3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3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 t="str">
        <f>'RESUMEN TOTAL'!AC570</f>
        <v>APAGADO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3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 t="str">
        <f>'RESUMEN TOTAL'!AC571</f>
        <v>APAGADO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3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 t="str">
        <f>'RESUMEN TOTAL'!AC572</f>
        <v>APAGADO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3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3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3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3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>
        <f>'RESUMEN TOTAL'!W577</f>
        <v>0</v>
      </c>
      <c r="Q460" s="70" t="str">
        <f>'RESUMEN TOTAL'!X577</f>
        <v>APAGADO</v>
      </c>
      <c r="R460" s="70" t="str">
        <f>'RESUMEN TOTAL'!Y577</f>
        <v>APAGADO</v>
      </c>
      <c r="S460" s="70" t="str">
        <f>'RESUMEN TOTAL'!Z577</f>
        <v>APAGADO</v>
      </c>
      <c r="T460" s="70" t="str">
        <f>'RESUMEN TOTAL'!AA577</f>
        <v>APAGADO</v>
      </c>
      <c r="U460" s="70" t="str">
        <f>'RESUMEN TOTAL'!AB577</f>
        <v>APAGADO</v>
      </c>
      <c r="V460" s="70" t="str">
        <f>'RESUMEN TOTAL'!AC577</f>
        <v>APAGADO</v>
      </c>
      <c r="W460" s="70" t="str">
        <f>'RESUMEN TOTAL'!AD577</f>
        <v>APAGADO</v>
      </c>
      <c r="X460" s="70">
        <f>'RESUMEN TOTAL'!AE577</f>
        <v>0</v>
      </c>
      <c r="Y460" s="70">
        <f>'RESUMEN TOTAL'!AF577</f>
        <v>0</v>
      </c>
      <c r="Z460" s="70">
        <f>'RESUMEN TOTAL'!AG577</f>
        <v>0</v>
      </c>
      <c r="AA460" s="70">
        <f>'RESUMEN TOTAL'!AH577</f>
        <v>0</v>
      </c>
      <c r="AB460" s="70">
        <f>'RESUMEN TOTAL'!AI577</f>
        <v>0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3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3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3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3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3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3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3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3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3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3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3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3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3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3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3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3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3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3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3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3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3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3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3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3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3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3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3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3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3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3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3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3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3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3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3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3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3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3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3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3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3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3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3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3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3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3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3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3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3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3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3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3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3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3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3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3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3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3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3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3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3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3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3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3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3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3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3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3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3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3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3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3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3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3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3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3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3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3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3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3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3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3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3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3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3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3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3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3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3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3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3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3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3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3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3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3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3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3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3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3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3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3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3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3">
      <c r="E644" s="30"/>
    </row>
    <row r="645" spans="1:36" x14ac:dyDescent="0.3">
      <c r="E645" s="30"/>
    </row>
    <row r="646" spans="1:36" x14ac:dyDescent="0.3">
      <c r="E646" s="30"/>
    </row>
    <row r="647" spans="1:36" x14ac:dyDescent="0.3">
      <c r="E647" s="30"/>
    </row>
    <row r="648" spans="1:36" x14ac:dyDescent="0.3">
      <c r="E648" s="30"/>
    </row>
    <row r="649" spans="1:36" x14ac:dyDescent="0.3">
      <c r="E649" s="30"/>
    </row>
    <row r="650" spans="1:36" x14ac:dyDescent="0.3">
      <c r="E650" s="30"/>
    </row>
    <row r="651" spans="1:36" x14ac:dyDescent="0.3">
      <c r="E651" s="30"/>
    </row>
    <row r="652" spans="1:36" x14ac:dyDescent="0.3">
      <c r="E652" s="30"/>
    </row>
    <row r="653" spans="1:36" x14ac:dyDescent="0.3">
      <c r="E653" s="30"/>
    </row>
    <row r="654" spans="1:36" x14ac:dyDescent="0.3">
      <c r="E654" s="30"/>
    </row>
    <row r="655" spans="1:36" x14ac:dyDescent="0.3">
      <c r="E655" s="30"/>
    </row>
    <row r="656" spans="1:36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D20" sqref="D20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0"/>
      <c r="B1" s="44" t="s">
        <v>1070</v>
      </c>
      <c r="C1" s="36">
        <v>45992</v>
      </c>
    </row>
    <row r="2" spans="1:36" ht="15.6" thickTop="1" thickBot="1" x14ac:dyDescent="0.35">
      <c r="A2" s="49" t="s">
        <v>1062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5.6" thickTop="1" thickBot="1" x14ac:dyDescent="0.35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v>50</v>
      </c>
      <c r="H3" s="46">
        <v>0</v>
      </c>
      <c r="I3" s="46">
        <v>0</v>
      </c>
      <c r="J3" s="46">
        <v>34</v>
      </c>
      <c r="K3" s="46">
        <f>COUNTIFS('RESUMEN TOTAL'!R8:R689,"=APAGADO",'RESUMEN TOTAL'!C8:C689,"=BONOMO")</f>
        <v>58</v>
      </c>
      <c r="L3" s="46">
        <v>56</v>
      </c>
      <c r="M3" s="46">
        <v>51</v>
      </c>
      <c r="N3" s="46">
        <f>COUNTIFS('RESUMEN TOTAL'!U8:U689,"=APAGADO",'RESUMEN TOTAL'!C8:C689,"=BONOMO")</f>
        <v>38</v>
      </c>
      <c r="O3" s="46"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41</v>
      </c>
      <c r="R3" s="46">
        <f>COUNTIFS('RESUMEN TOTAL'!Y8:Y689,"=APAGADO",'RESUMEN TOTAL'!C8:C689,"=BONOMO")</f>
        <v>31</v>
      </c>
      <c r="S3" s="46">
        <f>COUNTIFS('RESUMEN TOTAL'!Z8:Z689,"=APAGADO",'RESUMEN TOTAL'!C8:C689,"=BONOMO")</f>
        <v>34</v>
      </c>
      <c r="T3" s="46">
        <f>COUNTIFS('RESUMEN TOTAL'!AA8:AA689,"=APAGADO",'RESUMEN TOTAL'!C8:C689,"=BONOMO")</f>
        <v>41</v>
      </c>
      <c r="U3" s="46">
        <f>COUNTIFS('RESUMEN TOTAL'!AB8:AB689,"=APAGADO",'RESUMEN TOTAL'!C8:C689,"=BONOMO")</f>
        <v>40</v>
      </c>
      <c r="V3" s="46">
        <f>COUNTIFS('RESUMEN TOTAL'!AC8:AC689,"=APAGADO",'RESUMEN TOTAL'!C8:C689,"=BONOMO")</f>
        <v>97</v>
      </c>
      <c r="W3" s="46">
        <v>0</v>
      </c>
      <c r="X3" s="46">
        <f>COUNTIFS('RESUMEN TOTAL'!AE8:AE689,"=APAGADO",'RESUMEN TOTAL'!C8:C689,"=BONOMO")</f>
        <v>0</v>
      </c>
      <c r="Y3" s="46">
        <f>COUNTIFS('RESUMEN TOTAL'!AF8:AF689,"=APAGADO",'RESUMEN TOTAL'!C8:C689,"=BONOMO")</f>
        <v>0</v>
      </c>
      <c r="Z3" s="46">
        <f>COUNTIFS('RESUMEN TOTAL'!AG8:AG689,"=APAGADO",'RESUMEN TOTAL'!C8:C689,"=BONOMO")</f>
        <v>0</v>
      </c>
      <c r="AA3" s="46">
        <f>COUNTIFS('RESUMEN TOTAL'!AH8:AH689,"=APAGADO",'RESUMEN TOTAL'!C8:C689,"=BONOMO")</f>
        <v>0</v>
      </c>
      <c r="AB3" s="46">
        <f>COUNTIFS('RESUMEN TOTAL'!AI8:AI689,"=APAGADO",'RESUMEN TOTAL'!C8:C689,"=BONOMO")</f>
        <v>0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5.6" thickTop="1" thickBot="1" x14ac:dyDescent="0.35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0.16501650165016502</v>
      </c>
      <c r="H4" s="50">
        <f t="shared" si="0"/>
        <v>0</v>
      </c>
      <c r="I4" s="50">
        <v>0</v>
      </c>
      <c r="J4" s="50">
        <v>0.11</v>
      </c>
      <c r="K4" s="50">
        <f t="shared" si="0"/>
        <v>0.19141914191419143</v>
      </c>
      <c r="L4" s="50">
        <f t="shared" si="0"/>
        <v>0.18481848184818481</v>
      </c>
      <c r="M4" s="50">
        <v>0.17</v>
      </c>
      <c r="N4" s="50">
        <f t="shared" si="0"/>
        <v>0.1254125412541254</v>
      </c>
      <c r="O4" s="50">
        <v>0</v>
      </c>
      <c r="P4" s="50">
        <f t="shared" si="0"/>
        <v>0</v>
      </c>
      <c r="Q4" s="50">
        <f t="shared" si="0"/>
        <v>0.13531353135313531</v>
      </c>
      <c r="R4" s="50">
        <f t="shared" si="0"/>
        <v>0.10231023102310231</v>
      </c>
      <c r="S4" s="50">
        <f t="shared" si="0"/>
        <v>0.11221122112211221</v>
      </c>
      <c r="T4" s="50">
        <f t="shared" si="0"/>
        <v>0.13531353135313531</v>
      </c>
      <c r="U4" s="50">
        <f t="shared" si="0"/>
        <v>0.132013201320132</v>
      </c>
      <c r="V4" s="50">
        <f t="shared" si="0"/>
        <v>0.32013201320132012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5.6" thickTop="1" thickBot="1" x14ac:dyDescent="0.35">
      <c r="A5" s="42"/>
      <c r="B5" s="43"/>
      <c r="C5" s="50">
        <v>0</v>
      </c>
      <c r="D5" s="38" t="s">
        <v>1063</v>
      </c>
      <c r="E5" s="47" t="s">
        <v>1072</v>
      </c>
      <c r="F5" s="46">
        <v>0</v>
      </c>
      <c r="G5" s="46">
        <v>38</v>
      </c>
      <c r="H5" s="46">
        <v>0</v>
      </c>
      <c r="I5" s="46">
        <v>0</v>
      </c>
      <c r="J5" s="46">
        <f>COUNTIFS('RESUMEN TOTAL'!Q10:Q691,"=APAGADO",'RESUMEN TOTAL'!C10:C691,"=COSEIDI")</f>
        <v>63</v>
      </c>
      <c r="K5" s="46">
        <f>COUNTIFS('RESUMEN TOTAL'!R10:R691,"=APAGADO",'RESUMEN TOTAL'!C10:C691,"=COSEIDI")</f>
        <v>63</v>
      </c>
      <c r="L5" s="46">
        <f>COUNTIFS('RESUMEN TOTAL'!S10:S691,"=APAGADO",'RESUMEN TOTAL'!C10:C691,"=COSEIDI")</f>
        <v>47</v>
      </c>
      <c r="M5" s="46">
        <v>38</v>
      </c>
      <c r="N5" s="46">
        <f>COUNTIFS('RESUMEN TOTAL'!U10:U691,"=APAGADO",'RESUMEN TOTAL'!C10:C691,"=COSEIDI")</f>
        <v>29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57</v>
      </c>
      <c r="R5" s="46">
        <f>COUNTIFS('RESUMEN TOTAL'!Y10:Y691,"=APAGADO",'RESUMEN TOTAL'!C10:C691,"=COSEIDI")</f>
        <v>64</v>
      </c>
      <c r="S5" s="46">
        <f>COUNTIFS('RESUMEN TOTAL'!Z10:Z691,"=APAGADO",'RESUMEN TOTAL'!C10:C691,"=COSEIDI")</f>
        <v>50</v>
      </c>
      <c r="T5" s="46">
        <v>51</v>
      </c>
      <c r="U5" s="46">
        <v>0</v>
      </c>
      <c r="V5" s="46">
        <f>COUNTIFS('RESUMEN TOTAL'!AC10:AC691,"=APAGADO",'RESUMEN TOTAL'!C10:C691,"=COSEIDI")</f>
        <v>71</v>
      </c>
      <c r="W5" s="46">
        <f>COUNTIFS('RESUMEN TOTAL'!AD10:AD691,"=APAGADO",'RESUMEN TOTAL'!C10:C691,"=COSEIDI")</f>
        <v>54</v>
      </c>
      <c r="X5" s="46">
        <f>COUNTIFS('RESUMEN TOTAL'!AE10:AE691,"=APAGADO",'RESUMEN TOTAL'!C10:C691,"=COSEIDI")</f>
        <v>0</v>
      </c>
      <c r="Y5" s="46">
        <f>COUNTIFS('RESUMEN TOTAL'!AF10:AF691,"=APAGADO",'RESUMEN TOTAL'!C10:C691,"=COSEIDI")</f>
        <v>0</v>
      </c>
      <c r="Z5" s="46">
        <f>COUNTIFS('RESUMEN TOTAL'!AG10:AG691,"=APAGADO",'RESUMEN TOTAL'!C10:C691,"=COSEIDI")</f>
        <v>0</v>
      </c>
      <c r="AA5" s="46">
        <f>COUNTIFS('RESUMEN TOTAL'!AH10:AH691,"=APAGADO",'RESUMEN TOTAL'!C10:C691,"=COSEIDI")</f>
        <v>0</v>
      </c>
      <c r="AB5" s="46">
        <f>COUNTIFS('RESUMEN TOTAL'!AI10:AI691,"=APAGADO",'RESUMEN TOTAL'!C10:C691,"=COSEIDI")</f>
        <v>0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5.6" thickTop="1" thickBot="1" x14ac:dyDescent="0.35">
      <c r="D6" s="39"/>
      <c r="E6" s="37" t="s">
        <v>1074</v>
      </c>
      <c r="F6" s="50">
        <v>0</v>
      </c>
      <c r="G6" s="50">
        <f>G5/COSEIDIcam</f>
        <v>0.14074074074074075</v>
      </c>
      <c r="H6" s="50">
        <v>0</v>
      </c>
      <c r="I6" s="50">
        <v>0</v>
      </c>
      <c r="J6" s="50">
        <v>0.23</v>
      </c>
      <c r="K6" s="50">
        <f t="shared" ref="K6:AH6" si="1">K5/COSEIDIcam</f>
        <v>0.23333333333333334</v>
      </c>
      <c r="L6" s="50">
        <f t="shared" si="1"/>
        <v>0.17407407407407408</v>
      </c>
      <c r="M6" s="50">
        <v>0.14000000000000001</v>
      </c>
      <c r="N6" s="50">
        <f t="shared" si="1"/>
        <v>0.10740740740740741</v>
      </c>
      <c r="O6" s="50">
        <v>0</v>
      </c>
      <c r="P6" s="50">
        <v>0</v>
      </c>
      <c r="Q6" s="50">
        <f t="shared" si="1"/>
        <v>0.21111111111111111</v>
      </c>
      <c r="R6" s="50">
        <f t="shared" si="1"/>
        <v>0.23703703703703705</v>
      </c>
      <c r="S6" s="50">
        <f t="shared" si="1"/>
        <v>0.18518518518518517</v>
      </c>
      <c r="T6" s="50">
        <v>0.19</v>
      </c>
      <c r="U6" s="50">
        <v>0</v>
      </c>
      <c r="V6" s="50">
        <v>0</v>
      </c>
      <c r="W6" s="50">
        <f t="shared" si="1"/>
        <v>0.2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" thickTop="1" x14ac:dyDescent="0.3"/>
    <row r="16" spans="1:36" x14ac:dyDescent="0.3">
      <c r="B16" s="8"/>
      <c r="C16" s="8"/>
      <c r="D16" s="8"/>
      <c r="E16" s="8"/>
      <c r="M16"/>
      <c r="N16"/>
      <c r="O16"/>
      <c r="P16"/>
    </row>
    <row r="17" spans="2:16" x14ac:dyDescent="0.3">
      <c r="B17" s="8"/>
      <c r="C17" s="8"/>
      <c r="D17" s="8"/>
      <c r="E17" s="8"/>
      <c r="M17"/>
      <c r="N17"/>
      <c r="O17"/>
      <c r="P17"/>
    </row>
    <row r="18" spans="2:16" x14ac:dyDescent="0.3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opLeftCell="A137" zoomScale="84" zoomScaleNormal="84" workbookViewId="0">
      <selection activeCell="B155" sqref="B155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3">
      <c r="A2" s="75"/>
      <c r="B2" s="52" t="s">
        <v>1242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3">
      <c r="A3" s="76" t="s">
        <v>1476</v>
      </c>
      <c r="B3" s="53" t="s">
        <v>6</v>
      </c>
      <c r="C3" s="66">
        <f>'RESUMEN TOTAL'!M3</f>
        <v>108</v>
      </c>
      <c r="D3" s="54"/>
      <c r="E3" s="55">
        <f>C3/C2</f>
        <v>0.18815331010452963</v>
      </c>
      <c r="F3" s="155"/>
    </row>
    <row r="4" spans="1:6" x14ac:dyDescent="0.3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3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3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" thickBot="1" x14ac:dyDescent="0.35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5.6" thickTop="1" thickBot="1" x14ac:dyDescent="0.35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5">
      <c r="A9" s="35" t="s">
        <v>1478</v>
      </c>
      <c r="B9" s="98" t="s">
        <v>1062</v>
      </c>
      <c r="C9" s="99">
        <v>304</v>
      </c>
      <c r="D9" s="115"/>
      <c r="E9" s="105"/>
      <c r="F9" s="155"/>
    </row>
    <row r="10" spans="1:6" ht="15" thickBot="1" x14ac:dyDescent="0.35">
      <c r="A10" t="s">
        <v>1478</v>
      </c>
      <c r="B10" s="112" t="s">
        <v>1063</v>
      </c>
      <c r="C10" s="113">
        <f>COSEIDIcam</f>
        <v>270</v>
      </c>
      <c r="D10" s="113">
        <f>Hoja1!F5</f>
        <v>0</v>
      </c>
      <c r="E10" s="114"/>
      <c r="F10" s="156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3">
      <c r="B13" s="52" t="s">
        <v>1242</v>
      </c>
      <c r="C13" s="100">
        <f>CANTIDAD_DE_CAMARAS</f>
        <v>574</v>
      </c>
      <c r="D13" s="101"/>
      <c r="E13" s="106"/>
      <c r="F13" s="154">
        <v>46024</v>
      </c>
    </row>
    <row r="14" spans="1:6" x14ac:dyDescent="0.3">
      <c r="A14" t="s">
        <v>1477</v>
      </c>
      <c r="B14" s="53" t="s">
        <v>6</v>
      </c>
      <c r="C14" s="66">
        <f>'RESUMEN TOTAL'!N3</f>
        <v>112</v>
      </c>
      <c r="D14" s="54"/>
      <c r="E14" s="55">
        <f>C14/C13</f>
        <v>0.1951219512195122</v>
      </c>
      <c r="F14" s="155"/>
    </row>
    <row r="15" spans="1:6" x14ac:dyDescent="0.3">
      <c r="B15" s="53" t="s">
        <v>1243</v>
      </c>
      <c r="C15" s="67">
        <v>7</v>
      </c>
      <c r="D15" s="103">
        <v>105</v>
      </c>
      <c r="E15" s="55">
        <f>D15/C13</f>
        <v>0.18292682926829268</v>
      </c>
      <c r="F15" s="155"/>
    </row>
    <row r="16" spans="1:6" x14ac:dyDescent="0.3">
      <c r="B16" s="53" t="s">
        <v>1244</v>
      </c>
      <c r="C16" s="67">
        <v>3</v>
      </c>
      <c r="D16" s="103">
        <f>D15-C16</f>
        <v>102</v>
      </c>
      <c r="E16" s="55">
        <f>D16/C13</f>
        <v>0.17770034843205576</v>
      </c>
      <c r="F16" s="155"/>
    </row>
    <row r="17" spans="1:6" x14ac:dyDescent="0.3">
      <c r="A17" t="s">
        <v>1477</v>
      </c>
      <c r="B17" s="53" t="s">
        <v>16</v>
      </c>
      <c r="C17" s="94">
        <f>'RESUMEN TOTAL'!N5</f>
        <v>5</v>
      </c>
      <c r="D17" s="103">
        <f>D16-C17</f>
        <v>97</v>
      </c>
      <c r="E17" s="55">
        <f>D17/C13</f>
        <v>0.16898954703832753</v>
      </c>
      <c r="F17" s="155"/>
    </row>
    <row r="18" spans="1:6" ht="15" thickBot="1" x14ac:dyDescent="0.35">
      <c r="B18" s="56"/>
      <c r="C18" s="131"/>
      <c r="D18" s="104">
        <v>0</v>
      </c>
      <c r="E18" s="74">
        <f>D18/C13</f>
        <v>0</v>
      </c>
      <c r="F18" s="155"/>
    </row>
    <row r="19" spans="1:6" ht="15.6" thickTop="1" thickBot="1" x14ac:dyDescent="0.35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5.6" thickTop="1" thickBot="1" x14ac:dyDescent="0.35">
      <c r="A20" t="s">
        <v>1479</v>
      </c>
      <c r="B20" s="98" t="s">
        <v>1062</v>
      </c>
      <c r="C20" s="99">
        <v>304</v>
      </c>
      <c r="D20" s="115">
        <f>Hoja1!G3</f>
        <v>50</v>
      </c>
      <c r="E20" s="105">
        <f>D20/C20</f>
        <v>0.16447368421052633</v>
      </c>
      <c r="F20" s="155"/>
    </row>
    <row r="21" spans="1:6" ht="15" thickBot="1" x14ac:dyDescent="0.35">
      <c r="A21" t="s">
        <v>1479</v>
      </c>
      <c r="B21" s="112" t="s">
        <v>1063</v>
      </c>
      <c r="C21" s="113">
        <f>COSEIDIcam</f>
        <v>270</v>
      </c>
      <c r="D21" s="113">
        <f>Hoja1!G5</f>
        <v>38</v>
      </c>
      <c r="E21" s="114">
        <f>D21/C21</f>
        <v>0.14074074074074075</v>
      </c>
      <c r="F21" s="156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07" t="s">
        <v>912</v>
      </c>
      <c r="D23" s="108" t="s">
        <v>1464</v>
      </c>
      <c r="E23" s="109" t="s">
        <v>913</v>
      </c>
    </row>
    <row r="24" spans="1:6" ht="15" thickTop="1" x14ac:dyDescent="0.3">
      <c r="B24" s="52" t="s">
        <v>1242</v>
      </c>
      <c r="C24" s="100">
        <f>CANTIDAD_DE_CAMARAS</f>
        <v>574</v>
      </c>
      <c r="D24" s="101"/>
      <c r="E24" s="106"/>
      <c r="F24" s="154">
        <v>46025</v>
      </c>
    </row>
    <row r="25" spans="1:6" x14ac:dyDescent="0.3">
      <c r="A25" t="s">
        <v>1470</v>
      </c>
      <c r="B25" s="53" t="s">
        <v>6</v>
      </c>
      <c r="C25" s="66">
        <f>'RESUMEN TOTAL'!O3</f>
        <v>88</v>
      </c>
      <c r="D25" s="54"/>
      <c r="E25" s="55">
        <f>C25/C24</f>
        <v>0.15331010452961671</v>
      </c>
      <c r="F25" s="155"/>
    </row>
    <row r="26" spans="1:6" x14ac:dyDescent="0.3">
      <c r="B26" s="53" t="s">
        <v>1243</v>
      </c>
      <c r="C26" s="67">
        <v>0</v>
      </c>
      <c r="D26" s="103">
        <f>C25-C26</f>
        <v>88</v>
      </c>
      <c r="E26" s="55">
        <f>D26/C24</f>
        <v>0.15331010452961671</v>
      </c>
      <c r="F26" s="155"/>
    </row>
    <row r="27" spans="1:6" x14ac:dyDescent="0.3">
      <c r="B27" s="53" t="s">
        <v>1244</v>
      </c>
      <c r="C27" s="67">
        <v>0</v>
      </c>
      <c r="D27" s="103">
        <f>D26-C27</f>
        <v>88</v>
      </c>
      <c r="E27" s="55">
        <f>D27/C24</f>
        <v>0.15331010452961671</v>
      </c>
      <c r="F27" s="155"/>
    </row>
    <row r="28" spans="1:6" x14ac:dyDescent="0.3">
      <c r="A28" t="s">
        <v>1470</v>
      </c>
      <c r="B28" s="53" t="s">
        <v>16</v>
      </c>
      <c r="C28" s="94">
        <f>'RESUMEN TOTAL'!O5</f>
        <v>5</v>
      </c>
      <c r="D28" s="103">
        <f>D27-C28</f>
        <v>83</v>
      </c>
      <c r="E28" s="55">
        <f>D28/C24</f>
        <v>0.14459930313588851</v>
      </c>
      <c r="F28" s="155"/>
    </row>
    <row r="29" spans="1:6" ht="15" thickBot="1" x14ac:dyDescent="0.35">
      <c r="B29" s="56"/>
      <c r="C29" s="131">
        <v>0</v>
      </c>
      <c r="D29" s="104">
        <f>D28-C29</f>
        <v>83</v>
      </c>
      <c r="E29" s="74">
        <f>D29/C24</f>
        <v>0.14459930313588851</v>
      </c>
      <c r="F29" s="155"/>
    </row>
    <row r="30" spans="1:6" ht="15.6" thickTop="1" thickBot="1" x14ac:dyDescent="0.35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5.6" thickTop="1" thickBot="1" x14ac:dyDescent="0.35">
      <c r="B31" s="98" t="s">
        <v>1062</v>
      </c>
      <c r="C31" s="99">
        <v>304</v>
      </c>
      <c r="D31" s="115">
        <v>0</v>
      </c>
      <c r="E31" s="105">
        <f>D31/C31</f>
        <v>0</v>
      </c>
      <c r="F31" s="155"/>
    </row>
    <row r="32" spans="1:6" ht="15" thickBot="1" x14ac:dyDescent="0.35">
      <c r="B32" s="112" t="s">
        <v>1063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5.6" thickTop="1" thickBot="1" x14ac:dyDescent="0.35"/>
    <row r="34" spans="1:6" ht="15.6" thickTop="1" thickBot="1" x14ac:dyDescent="0.35">
      <c r="C34" s="107" t="s">
        <v>912</v>
      </c>
      <c r="D34" s="108" t="s">
        <v>1464</v>
      </c>
      <c r="E34" s="109" t="s">
        <v>913</v>
      </c>
    </row>
    <row r="35" spans="1:6" ht="15" thickTop="1" x14ac:dyDescent="0.3">
      <c r="B35" s="52" t="s">
        <v>1242</v>
      </c>
      <c r="C35" s="100">
        <f>CANTIDAD_DE_CAMARAS</f>
        <v>574</v>
      </c>
      <c r="D35" s="101"/>
      <c r="E35" s="106"/>
      <c r="F35" s="154">
        <v>46026</v>
      </c>
    </row>
    <row r="36" spans="1:6" x14ac:dyDescent="0.3">
      <c r="A36" t="s">
        <v>1469</v>
      </c>
      <c r="B36" s="53" t="s">
        <v>6</v>
      </c>
      <c r="C36" s="66">
        <f>'RESUMEN TOTAL'!P3</f>
        <v>85</v>
      </c>
      <c r="D36" s="54"/>
      <c r="E36" s="55">
        <f>C36/C35</f>
        <v>0.1480836236933798</v>
      </c>
      <c r="F36" s="155"/>
    </row>
    <row r="37" spans="1:6" x14ac:dyDescent="0.3">
      <c r="B37" s="53" t="s">
        <v>1243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3">
      <c r="B38" s="53" t="s">
        <v>1244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3">
      <c r="A39" t="s">
        <v>1469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" thickBot="1" x14ac:dyDescent="0.35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5.6" thickTop="1" thickBot="1" x14ac:dyDescent="0.35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5.6" thickTop="1" thickBot="1" x14ac:dyDescent="0.35">
      <c r="B42" s="98" t="s">
        <v>1062</v>
      </c>
      <c r="C42" s="99">
        <v>304</v>
      </c>
      <c r="D42" s="115">
        <v>0</v>
      </c>
      <c r="E42" s="105">
        <f>D42/C42</f>
        <v>0</v>
      </c>
      <c r="F42" s="155"/>
    </row>
    <row r="43" spans="1:6" ht="15" thickBot="1" x14ac:dyDescent="0.35">
      <c r="B43" s="112" t="s">
        <v>1063</v>
      </c>
      <c r="C43" s="113">
        <f>COSEIDIcam</f>
        <v>270</v>
      </c>
      <c r="D43" s="113">
        <f>Hoja1!I5</f>
        <v>0</v>
      </c>
      <c r="E43" s="114">
        <v>0.24</v>
      </c>
      <c r="F43" s="156"/>
    </row>
    <row r="44" spans="1:6" ht="15.6" thickTop="1" thickBot="1" x14ac:dyDescent="0.35"/>
    <row r="45" spans="1:6" ht="15.6" thickTop="1" thickBot="1" x14ac:dyDescent="0.35">
      <c r="C45" s="107" t="s">
        <v>912</v>
      </c>
      <c r="D45" s="108" t="s">
        <v>1464</v>
      </c>
      <c r="E45" s="109" t="s">
        <v>913</v>
      </c>
    </row>
    <row r="46" spans="1:6" ht="15" thickTop="1" x14ac:dyDescent="0.3">
      <c r="B46" s="52" t="s">
        <v>1242</v>
      </c>
      <c r="C46" s="100">
        <f>CANTIDAD_DE_CAMARAS</f>
        <v>574</v>
      </c>
      <c r="D46" s="101"/>
      <c r="E46" s="106"/>
      <c r="F46" s="154">
        <v>46027</v>
      </c>
    </row>
    <row r="47" spans="1:6" x14ac:dyDescent="0.3">
      <c r="A47" t="s">
        <v>1471</v>
      </c>
      <c r="B47" s="53" t="s">
        <v>6</v>
      </c>
      <c r="C47" s="66">
        <f>'RESUMEN TOTAL'!Q3</f>
        <v>97</v>
      </c>
      <c r="D47" s="54"/>
      <c r="E47" s="55">
        <f>C47/C46</f>
        <v>0.16898954703832753</v>
      </c>
      <c r="F47" s="155"/>
    </row>
    <row r="48" spans="1:6" x14ac:dyDescent="0.3">
      <c r="B48" s="53" t="s">
        <v>1243</v>
      </c>
      <c r="C48" s="67">
        <v>5</v>
      </c>
      <c r="D48" s="103">
        <v>92</v>
      </c>
      <c r="E48" s="55">
        <f>D48/C46</f>
        <v>0.16027874564459929</v>
      </c>
      <c r="F48" s="155"/>
    </row>
    <row r="49" spans="1:6" x14ac:dyDescent="0.3">
      <c r="B49" s="53" t="s">
        <v>1244</v>
      </c>
      <c r="C49" s="67">
        <v>3</v>
      </c>
      <c r="D49" s="103">
        <v>89</v>
      </c>
      <c r="E49" s="55">
        <f>D49/C46</f>
        <v>0.15505226480836237</v>
      </c>
      <c r="F49" s="155"/>
    </row>
    <row r="50" spans="1:6" x14ac:dyDescent="0.3">
      <c r="A50" t="s">
        <v>1471</v>
      </c>
      <c r="B50" s="53" t="s">
        <v>16</v>
      </c>
      <c r="C50" s="94">
        <f>'RESUMEN TOTAL'!Q5</f>
        <v>6</v>
      </c>
      <c r="D50" s="103">
        <v>83</v>
      </c>
      <c r="E50" s="55">
        <f>D50/C46</f>
        <v>0.14459930313588851</v>
      </c>
      <c r="F50" s="155"/>
    </row>
    <row r="51" spans="1:6" ht="15" thickBot="1" x14ac:dyDescent="0.35">
      <c r="B51" s="56"/>
      <c r="C51" s="131"/>
      <c r="D51" s="104">
        <v>0</v>
      </c>
      <c r="E51" s="74">
        <f>D51/C46</f>
        <v>0</v>
      </c>
      <c r="F51" s="155"/>
    </row>
    <row r="52" spans="1:6" ht="15.6" thickTop="1" thickBot="1" x14ac:dyDescent="0.35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5.6" thickTop="1" thickBot="1" x14ac:dyDescent="0.35">
      <c r="B53" s="98" t="s">
        <v>1062</v>
      </c>
      <c r="C53" s="99">
        <v>304</v>
      </c>
      <c r="D53" s="115">
        <f>Hoja1!J3</f>
        <v>34</v>
      </c>
      <c r="E53" s="105">
        <v>0.11</v>
      </c>
      <c r="F53" s="155"/>
    </row>
    <row r="54" spans="1:6" ht="15" thickBot="1" x14ac:dyDescent="0.35">
      <c r="B54" s="112" t="s">
        <v>1063</v>
      </c>
      <c r="C54" s="113">
        <f>COSEIDIcam</f>
        <v>270</v>
      </c>
      <c r="D54" s="113">
        <f>Hoja1!J5</f>
        <v>63</v>
      </c>
      <c r="E54" s="114">
        <v>0.23</v>
      </c>
      <c r="F54" s="156"/>
    </row>
    <row r="55" spans="1:6" ht="15.6" thickTop="1" thickBot="1" x14ac:dyDescent="0.35"/>
    <row r="56" spans="1:6" ht="15.6" thickTop="1" thickBot="1" x14ac:dyDescent="0.35">
      <c r="C56" s="107" t="s">
        <v>912</v>
      </c>
      <c r="D56" s="108" t="s">
        <v>1464</v>
      </c>
      <c r="E56" s="109" t="s">
        <v>913</v>
      </c>
    </row>
    <row r="57" spans="1:6" ht="15" thickTop="1" x14ac:dyDescent="0.3">
      <c r="B57" s="52" t="s">
        <v>1242</v>
      </c>
      <c r="C57" s="100">
        <f>CANTIDAD_DE_CAMARAS</f>
        <v>574</v>
      </c>
      <c r="D57" s="101"/>
      <c r="E57" s="106"/>
      <c r="F57" s="154">
        <v>46028</v>
      </c>
    </row>
    <row r="58" spans="1:6" x14ac:dyDescent="0.3">
      <c r="A58" t="s">
        <v>1472</v>
      </c>
      <c r="B58" s="53" t="s">
        <v>6</v>
      </c>
      <c r="C58" s="66">
        <f>'RESUMEN TOTAL'!R3</f>
        <v>121</v>
      </c>
      <c r="D58" s="54"/>
      <c r="E58" s="55">
        <f>C58/C57</f>
        <v>0.21080139372822299</v>
      </c>
      <c r="F58" s="155"/>
    </row>
    <row r="59" spans="1:6" x14ac:dyDescent="0.3">
      <c r="B59" s="53" t="s">
        <v>1243</v>
      </c>
      <c r="C59" s="67">
        <v>14</v>
      </c>
      <c r="D59" s="103">
        <v>107</v>
      </c>
      <c r="E59" s="55">
        <f>D59/C57</f>
        <v>0.18641114982578397</v>
      </c>
      <c r="F59" s="155"/>
    </row>
    <row r="60" spans="1:6" x14ac:dyDescent="0.3">
      <c r="B60" s="53" t="s">
        <v>1244</v>
      </c>
      <c r="C60" s="67">
        <v>3</v>
      </c>
      <c r="D60" s="103">
        <v>104</v>
      </c>
      <c r="E60" s="55">
        <f>D60/C57</f>
        <v>0.18118466898954705</v>
      </c>
      <c r="F60" s="155"/>
    </row>
    <row r="61" spans="1:6" x14ac:dyDescent="0.3">
      <c r="A61" t="s">
        <v>1472</v>
      </c>
      <c r="B61" s="53" t="s">
        <v>16</v>
      </c>
      <c r="C61" s="94">
        <f>'RESUMEN TOTAL'!R5</f>
        <v>14</v>
      </c>
      <c r="D61" s="103">
        <v>90</v>
      </c>
      <c r="E61" s="55">
        <f>D61/C57</f>
        <v>0.156794425087108</v>
      </c>
      <c r="F61" s="155"/>
    </row>
    <row r="62" spans="1:6" ht="15" thickBot="1" x14ac:dyDescent="0.35">
      <c r="B62" s="56"/>
      <c r="C62" s="131"/>
      <c r="D62" s="104"/>
      <c r="E62" s="74">
        <f>D62/C57</f>
        <v>0</v>
      </c>
      <c r="F62" s="155"/>
    </row>
    <row r="63" spans="1:6" ht="15.6" thickTop="1" thickBot="1" x14ac:dyDescent="0.35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5.6" thickTop="1" thickBot="1" x14ac:dyDescent="0.35">
      <c r="B64" s="98" t="s">
        <v>1062</v>
      </c>
      <c r="C64" s="99">
        <v>304</v>
      </c>
      <c r="D64" s="115">
        <f>Hoja1!K3</f>
        <v>58</v>
      </c>
      <c r="E64" s="105">
        <f>D64/C64</f>
        <v>0.19078947368421054</v>
      </c>
      <c r="F64" s="155"/>
    </row>
    <row r="65" spans="1:6" ht="15" thickBot="1" x14ac:dyDescent="0.35">
      <c r="B65" s="112" t="s">
        <v>1063</v>
      </c>
      <c r="C65" s="113">
        <f>COSEIDIcam</f>
        <v>270</v>
      </c>
      <c r="D65" s="113">
        <f>Hoja1!K5</f>
        <v>63</v>
      </c>
      <c r="E65" s="114">
        <f>D65/C65</f>
        <v>0.23333333333333334</v>
      </c>
      <c r="F65" s="156"/>
    </row>
    <row r="66" spans="1:6" ht="15.6" thickTop="1" thickBot="1" x14ac:dyDescent="0.35"/>
    <row r="67" spans="1:6" ht="15.6" thickTop="1" thickBot="1" x14ac:dyDescent="0.35">
      <c r="C67" s="107" t="s">
        <v>912</v>
      </c>
      <c r="D67" s="108" t="s">
        <v>1464</v>
      </c>
      <c r="E67" s="109" t="s">
        <v>913</v>
      </c>
    </row>
    <row r="68" spans="1:6" ht="15" thickTop="1" x14ac:dyDescent="0.3">
      <c r="B68" s="52" t="s">
        <v>1242</v>
      </c>
      <c r="C68" s="100">
        <f>CANTIDAD_DE_CAMARAS</f>
        <v>574</v>
      </c>
      <c r="D68" s="101"/>
      <c r="E68" s="106"/>
      <c r="F68" s="154">
        <v>46029</v>
      </c>
    </row>
    <row r="69" spans="1:6" x14ac:dyDescent="0.3">
      <c r="A69" t="s">
        <v>1473</v>
      </c>
      <c r="B69" s="53" t="s">
        <v>6</v>
      </c>
      <c r="C69" s="66">
        <f>'RESUMEN TOTAL'!S3</f>
        <v>103</v>
      </c>
      <c r="D69" s="54"/>
      <c r="E69" s="55">
        <f>C69/C68</f>
        <v>0.17944250871080139</v>
      </c>
      <c r="F69" s="155"/>
    </row>
    <row r="70" spans="1:6" x14ac:dyDescent="0.3">
      <c r="B70" s="53" t="s">
        <v>1243</v>
      </c>
      <c r="C70" s="67">
        <v>4</v>
      </c>
      <c r="D70" s="103">
        <f>C69-C70</f>
        <v>99</v>
      </c>
      <c r="E70" s="55">
        <f>D70/C68</f>
        <v>0.17247386759581881</v>
      </c>
      <c r="F70" s="155"/>
    </row>
    <row r="71" spans="1:6" x14ac:dyDescent="0.3">
      <c r="B71" s="53" t="s">
        <v>1244</v>
      </c>
      <c r="C71" s="67">
        <v>3</v>
      </c>
      <c r="D71" s="103">
        <f>D70-C71</f>
        <v>96</v>
      </c>
      <c r="E71" s="55">
        <f>D71/C68</f>
        <v>0.1672473867595819</v>
      </c>
      <c r="F71" s="155"/>
    </row>
    <row r="72" spans="1:6" x14ac:dyDescent="0.3">
      <c r="A72" t="s">
        <v>1473</v>
      </c>
      <c r="B72" s="53" t="s">
        <v>16</v>
      </c>
      <c r="C72" s="94">
        <f>'RESUMEN TOTAL'!S5</f>
        <v>13</v>
      </c>
      <c r="D72" s="103">
        <f>D71-C72</f>
        <v>83</v>
      </c>
      <c r="E72" s="55">
        <f>D72/C68</f>
        <v>0.14459930313588851</v>
      </c>
      <c r="F72" s="155"/>
    </row>
    <row r="73" spans="1:6" ht="15" thickBot="1" x14ac:dyDescent="0.35">
      <c r="B73" s="56"/>
      <c r="C73" s="131">
        <v>0</v>
      </c>
      <c r="D73" s="104">
        <v>0</v>
      </c>
      <c r="E73" s="74">
        <f>D73/C68</f>
        <v>0</v>
      </c>
      <c r="F73" s="155"/>
    </row>
    <row r="74" spans="1:6" ht="15.6" thickTop="1" thickBot="1" x14ac:dyDescent="0.35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5.6" thickTop="1" thickBot="1" x14ac:dyDescent="0.35">
      <c r="B75" s="98" t="s">
        <v>1062</v>
      </c>
      <c r="C75" s="99">
        <v>304</v>
      </c>
      <c r="D75" s="115">
        <v>56</v>
      </c>
      <c r="E75" s="105">
        <v>0.18</v>
      </c>
      <c r="F75" s="155"/>
    </row>
    <row r="76" spans="1:6" ht="15" thickBot="1" x14ac:dyDescent="0.35">
      <c r="B76" s="112" t="s">
        <v>1063</v>
      </c>
      <c r="C76" s="113">
        <f>COSEIDIcam</f>
        <v>270</v>
      </c>
      <c r="D76" s="113">
        <f>Hoja1!L5</f>
        <v>47</v>
      </c>
      <c r="E76" s="114">
        <f>D76/C76</f>
        <v>0.17407407407407408</v>
      </c>
      <c r="F76" s="156"/>
    </row>
    <row r="77" spans="1:6" ht="15.6" thickTop="1" thickBot="1" x14ac:dyDescent="0.35"/>
    <row r="78" spans="1:6" ht="15.6" thickTop="1" thickBot="1" x14ac:dyDescent="0.35">
      <c r="C78" s="107" t="s">
        <v>912</v>
      </c>
      <c r="D78" s="108" t="s">
        <v>1464</v>
      </c>
      <c r="E78" s="109" t="s">
        <v>913</v>
      </c>
    </row>
    <row r="79" spans="1:6" ht="15" thickTop="1" x14ac:dyDescent="0.3">
      <c r="B79" s="52" t="s">
        <v>1242</v>
      </c>
      <c r="C79" s="100">
        <f>CANTIDAD_DE_CAMARAS</f>
        <v>574</v>
      </c>
      <c r="D79" s="101"/>
      <c r="E79" s="106"/>
      <c r="F79" s="154">
        <v>46030</v>
      </c>
    </row>
    <row r="80" spans="1:6" x14ac:dyDescent="0.3">
      <c r="A80" t="s">
        <v>1468</v>
      </c>
      <c r="B80" s="53" t="s">
        <v>6</v>
      </c>
      <c r="C80" s="66">
        <v>89</v>
      </c>
      <c r="D80" s="54"/>
      <c r="E80" s="55">
        <f>C80/C79</f>
        <v>0.15505226480836237</v>
      </c>
      <c r="F80" s="155"/>
    </row>
    <row r="81" spans="1:6" x14ac:dyDescent="0.3">
      <c r="B81" s="53" t="s">
        <v>1243</v>
      </c>
      <c r="C81" s="67">
        <v>3</v>
      </c>
      <c r="D81" s="103">
        <v>86</v>
      </c>
      <c r="E81" s="55">
        <f>D81/C79</f>
        <v>0.14982578397212543</v>
      </c>
      <c r="F81" s="155"/>
    </row>
    <row r="82" spans="1:6" x14ac:dyDescent="0.3">
      <c r="B82" s="53" t="s">
        <v>1244</v>
      </c>
      <c r="C82" s="67">
        <v>3</v>
      </c>
      <c r="D82" s="103">
        <v>83</v>
      </c>
      <c r="E82" s="55">
        <f>D82/C79</f>
        <v>0.14459930313588851</v>
      </c>
      <c r="F82" s="155"/>
    </row>
    <row r="83" spans="1:6" x14ac:dyDescent="0.3">
      <c r="A83" t="s">
        <v>1468</v>
      </c>
      <c r="B83" s="53" t="s">
        <v>16</v>
      </c>
      <c r="C83" s="94">
        <v>5</v>
      </c>
      <c r="D83" s="103">
        <v>78</v>
      </c>
      <c r="E83" s="55">
        <f>D83/C79</f>
        <v>0.13588850174216027</v>
      </c>
      <c r="F83" s="155"/>
    </row>
    <row r="84" spans="1:6" ht="15" thickBot="1" x14ac:dyDescent="0.35">
      <c r="B84" s="56"/>
      <c r="C84" s="131"/>
      <c r="D84" s="104">
        <v>0</v>
      </c>
      <c r="E84" s="74">
        <f>D84/C79</f>
        <v>0</v>
      </c>
      <c r="F84" s="155"/>
    </row>
    <row r="85" spans="1:6" ht="15.6" thickTop="1" thickBot="1" x14ac:dyDescent="0.35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5.6" thickTop="1" thickBot="1" x14ac:dyDescent="0.35">
      <c r="B86" s="98" t="s">
        <v>1062</v>
      </c>
      <c r="C86" s="99">
        <v>304</v>
      </c>
      <c r="D86" s="115">
        <v>51</v>
      </c>
      <c r="E86" s="105">
        <v>0.17</v>
      </c>
      <c r="F86" s="155"/>
    </row>
    <row r="87" spans="1:6" ht="15" thickBot="1" x14ac:dyDescent="0.35">
      <c r="B87" s="112" t="s">
        <v>1063</v>
      </c>
      <c r="C87" s="113">
        <f>COSEIDIcam</f>
        <v>270</v>
      </c>
      <c r="D87" s="113">
        <v>38</v>
      </c>
      <c r="E87" s="114">
        <v>0.14000000000000001</v>
      </c>
      <c r="F87" s="156"/>
    </row>
    <row r="88" spans="1:6" ht="15.6" thickTop="1" thickBot="1" x14ac:dyDescent="0.35"/>
    <row r="89" spans="1:6" ht="15.6" thickTop="1" thickBot="1" x14ac:dyDescent="0.35">
      <c r="C89" s="107" t="s">
        <v>912</v>
      </c>
      <c r="D89" s="108" t="s">
        <v>1464</v>
      </c>
      <c r="E89" s="109" t="s">
        <v>913</v>
      </c>
    </row>
    <row r="90" spans="1:6" ht="15" thickTop="1" x14ac:dyDescent="0.3">
      <c r="B90" s="52" t="s">
        <v>1242</v>
      </c>
      <c r="C90" s="100">
        <f>CANTIDAD_DE_CAMARAS</f>
        <v>574</v>
      </c>
      <c r="D90" s="101"/>
      <c r="E90" s="106"/>
      <c r="F90" s="154">
        <v>46031</v>
      </c>
    </row>
    <row r="91" spans="1:6" x14ac:dyDescent="0.3">
      <c r="A91" t="s">
        <v>1474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3">
      <c r="B92" s="53" t="s">
        <v>1243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3">
      <c r="B93" s="53" t="s">
        <v>1244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3">
      <c r="A94" t="s">
        <v>1474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" thickBot="1" x14ac:dyDescent="0.35">
      <c r="B95" s="56"/>
      <c r="C95" s="131"/>
      <c r="D95" s="104"/>
      <c r="E95" s="74">
        <f>D95/C90</f>
        <v>0</v>
      </c>
      <c r="F95" s="155"/>
    </row>
    <row r="96" spans="1:6" ht="15.6" thickTop="1" thickBot="1" x14ac:dyDescent="0.35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5.6" thickTop="1" thickBot="1" x14ac:dyDescent="0.35">
      <c r="B97" s="98" t="s">
        <v>1062</v>
      </c>
      <c r="C97" s="99">
        <v>304</v>
      </c>
      <c r="D97" s="115">
        <f>Hoja1!N3</f>
        <v>38</v>
      </c>
      <c r="E97" s="105">
        <f>D97/C97</f>
        <v>0.125</v>
      </c>
      <c r="F97" s="155"/>
    </row>
    <row r="98" spans="1:6" ht="15" thickBot="1" x14ac:dyDescent="0.35">
      <c r="B98" s="112" t="s">
        <v>1063</v>
      </c>
      <c r="C98" s="113">
        <f>COSEIDIcam</f>
        <v>270</v>
      </c>
      <c r="D98" s="113">
        <f>Hoja1!N5</f>
        <v>29</v>
      </c>
      <c r="E98" s="114">
        <v>0</v>
      </c>
      <c r="F98" s="156"/>
    </row>
    <row r="99" spans="1:6" ht="15.6" thickTop="1" thickBot="1" x14ac:dyDescent="0.35"/>
    <row r="100" spans="1:6" ht="15.6" thickTop="1" thickBot="1" x14ac:dyDescent="0.35">
      <c r="C100" s="107" t="s">
        <v>912</v>
      </c>
      <c r="D100" s="108" t="s">
        <v>1464</v>
      </c>
      <c r="E100" s="109" t="s">
        <v>913</v>
      </c>
    </row>
    <row r="101" spans="1:6" ht="15" thickTop="1" x14ac:dyDescent="0.3">
      <c r="B101" s="52" t="s">
        <v>1242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3">
      <c r="A102" t="s">
        <v>1475</v>
      </c>
      <c r="B102" s="53" t="s">
        <v>6</v>
      </c>
      <c r="C102" s="66">
        <f>'RESUMEN TOTAL'!V3</f>
        <v>74</v>
      </c>
      <c r="D102" s="54"/>
      <c r="E102" s="55">
        <f>C102/C101</f>
        <v>0.1289198606271777</v>
      </c>
      <c r="F102" s="155"/>
    </row>
    <row r="103" spans="1:6" x14ac:dyDescent="0.3">
      <c r="B103" s="53" t="s">
        <v>1243</v>
      </c>
      <c r="C103" s="67">
        <v>0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3">
      <c r="B104" s="53" t="s">
        <v>1244</v>
      </c>
      <c r="C104" s="67">
        <v>0</v>
      </c>
      <c r="D104" s="103">
        <f>D103-C104</f>
        <v>74</v>
      </c>
      <c r="E104" s="55">
        <f>D104/C101</f>
        <v>0.1289198606271777</v>
      </c>
      <c r="F104" s="155"/>
    </row>
    <row r="105" spans="1:6" x14ac:dyDescent="0.3">
      <c r="A105" t="s">
        <v>1475</v>
      </c>
      <c r="B105" s="53" t="s">
        <v>16</v>
      </c>
      <c r="C105" s="94">
        <f>'RESUMEN TOTAL'!V5</f>
        <v>3</v>
      </c>
      <c r="D105" s="103">
        <f>D104-C105</f>
        <v>71</v>
      </c>
      <c r="E105" s="55">
        <f>D105/C101</f>
        <v>0.12369337979094076</v>
      </c>
      <c r="F105" s="155"/>
    </row>
    <row r="106" spans="1:6" ht="15" thickBot="1" x14ac:dyDescent="0.35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5.6" thickTop="1" thickBot="1" x14ac:dyDescent="0.35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5.6" thickTop="1" thickBot="1" x14ac:dyDescent="0.35">
      <c r="B108" s="98" t="s">
        <v>1062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" thickBot="1" x14ac:dyDescent="0.35">
      <c r="B109" s="112" t="s">
        <v>1063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5.6" thickTop="1" thickBot="1" x14ac:dyDescent="0.35"/>
    <row r="111" spans="1:6" ht="15.6" thickTop="1" thickBot="1" x14ac:dyDescent="0.35">
      <c r="C111" s="107" t="s">
        <v>912</v>
      </c>
      <c r="D111" s="108" t="s">
        <v>1464</v>
      </c>
      <c r="E111" s="109" t="s">
        <v>913</v>
      </c>
    </row>
    <row r="112" spans="1:6" ht="15" thickTop="1" x14ac:dyDescent="0.3">
      <c r="B112" s="52" t="s">
        <v>1242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3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3">
      <c r="B114" s="53" t="s">
        <v>1243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3">
      <c r="B115" s="53" t="s">
        <v>1244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3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" thickBot="1" x14ac:dyDescent="0.35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5.6" thickTop="1" thickBot="1" x14ac:dyDescent="0.35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5.6" thickTop="1" thickBot="1" x14ac:dyDescent="0.35">
      <c r="B119" s="98" t="s">
        <v>1062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" thickBot="1" x14ac:dyDescent="0.35">
      <c r="B120" s="112" t="s">
        <v>1063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5.6" thickTop="1" thickBot="1" x14ac:dyDescent="0.35"/>
    <row r="122" spans="2:6" ht="15.6" thickTop="1" thickBot="1" x14ac:dyDescent="0.35">
      <c r="C122" s="107" t="s">
        <v>912</v>
      </c>
      <c r="D122" s="108" t="s">
        <v>1464</v>
      </c>
      <c r="E122" s="109" t="s">
        <v>913</v>
      </c>
    </row>
    <row r="123" spans="2:6" ht="15" thickTop="1" x14ac:dyDescent="0.3">
      <c r="B123" s="52" t="s">
        <v>1242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3">
      <c r="B124" s="53" t="s">
        <v>6</v>
      </c>
      <c r="C124" s="66">
        <f>'RESUMEN TOTAL'!X3</f>
        <v>98</v>
      </c>
      <c r="D124" s="54"/>
      <c r="E124" s="55">
        <f>C124/C123</f>
        <v>0.17073170731707318</v>
      </c>
      <c r="F124" s="155"/>
    </row>
    <row r="125" spans="2:6" x14ac:dyDescent="0.3">
      <c r="B125" s="53" t="s">
        <v>1243</v>
      </c>
      <c r="C125" s="67">
        <v>4</v>
      </c>
      <c r="D125" s="103">
        <f>C124-C125</f>
        <v>94</v>
      </c>
      <c r="E125" s="55">
        <f>D125/C123</f>
        <v>0.16376306620209058</v>
      </c>
      <c r="F125" s="155"/>
    </row>
    <row r="126" spans="2:6" x14ac:dyDescent="0.3">
      <c r="B126" s="53" t="s">
        <v>1244</v>
      </c>
      <c r="C126" s="67">
        <v>3</v>
      </c>
      <c r="D126" s="103">
        <f>D125-C126</f>
        <v>91</v>
      </c>
      <c r="E126" s="55">
        <f>D126/C123</f>
        <v>0.15853658536585366</v>
      </c>
      <c r="F126" s="155"/>
    </row>
    <row r="127" spans="2:6" x14ac:dyDescent="0.3">
      <c r="B127" s="53" t="s">
        <v>16</v>
      </c>
      <c r="C127" s="94">
        <v>4</v>
      </c>
      <c r="D127" s="103">
        <f>D126-C127</f>
        <v>87</v>
      </c>
      <c r="E127" s="55">
        <f>D127/C123</f>
        <v>0.15156794425087108</v>
      </c>
      <c r="F127" s="155"/>
    </row>
    <row r="128" spans="2:6" ht="15" thickBot="1" x14ac:dyDescent="0.35">
      <c r="B128" s="56"/>
      <c r="C128" s="131">
        <v>0</v>
      </c>
      <c r="D128" s="104">
        <f>D127-C128</f>
        <v>87</v>
      </c>
      <c r="E128" s="74">
        <f>D128/C123</f>
        <v>0.15156794425087108</v>
      </c>
      <c r="F128" s="155"/>
    </row>
    <row r="129" spans="2:6" ht="15.6" thickTop="1" thickBot="1" x14ac:dyDescent="0.35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5.6" thickTop="1" thickBot="1" x14ac:dyDescent="0.35">
      <c r="B130" s="98" t="s">
        <v>1062</v>
      </c>
      <c r="C130" s="99">
        <v>304</v>
      </c>
      <c r="D130" s="115">
        <f>Hoja1!Q3</f>
        <v>41</v>
      </c>
      <c r="E130" s="105">
        <f>D130/C130</f>
        <v>0.13486842105263158</v>
      </c>
      <c r="F130" s="155"/>
    </row>
    <row r="131" spans="2:6" ht="15" thickBot="1" x14ac:dyDescent="0.35">
      <c r="B131" s="112" t="s">
        <v>1063</v>
      </c>
      <c r="C131" s="113">
        <f>COSEIDIcam</f>
        <v>270</v>
      </c>
      <c r="D131" s="113">
        <f>Hoja1!Q5</f>
        <v>57</v>
      </c>
      <c r="E131" s="114">
        <v>0.21</v>
      </c>
      <c r="F131" s="156"/>
    </row>
    <row r="132" spans="2:6" ht="15.6" thickTop="1" thickBot="1" x14ac:dyDescent="0.35"/>
    <row r="133" spans="2:6" ht="15.6" thickTop="1" thickBot="1" x14ac:dyDescent="0.35">
      <c r="C133" s="107" t="s">
        <v>912</v>
      </c>
      <c r="D133" s="108" t="s">
        <v>1464</v>
      </c>
      <c r="E133" s="109" t="s">
        <v>913</v>
      </c>
    </row>
    <row r="134" spans="2:6" ht="15" thickTop="1" x14ac:dyDescent="0.3">
      <c r="B134" s="52" t="s">
        <v>1242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3">
      <c r="B135" s="53" t="s">
        <v>6</v>
      </c>
      <c r="C135" s="66">
        <f>'RESUMEN TOTAL'!Y3</f>
        <v>95</v>
      </c>
      <c r="D135" s="54"/>
      <c r="E135" s="55">
        <f>C135/C134</f>
        <v>0.16550522648083624</v>
      </c>
      <c r="F135" s="155"/>
    </row>
    <row r="136" spans="2:6" x14ac:dyDescent="0.3">
      <c r="B136" s="53" t="s">
        <v>1243</v>
      </c>
      <c r="C136" s="67">
        <v>4</v>
      </c>
      <c r="D136" s="103">
        <v>91</v>
      </c>
      <c r="E136" s="55">
        <f>D136/C134</f>
        <v>0.15853658536585366</v>
      </c>
      <c r="F136" s="155"/>
    </row>
    <row r="137" spans="2:6" x14ac:dyDescent="0.3">
      <c r="B137" s="53" t="s">
        <v>1244</v>
      </c>
      <c r="C137" s="67">
        <v>3</v>
      </c>
      <c r="D137" s="103">
        <f>D136-C137</f>
        <v>88</v>
      </c>
      <c r="E137" s="55">
        <f>D137/C134</f>
        <v>0.15331010452961671</v>
      </c>
      <c r="F137" s="155"/>
    </row>
    <row r="138" spans="2:6" x14ac:dyDescent="0.3">
      <c r="B138" s="53" t="s">
        <v>16</v>
      </c>
      <c r="C138" s="94">
        <v>3</v>
      </c>
      <c r="D138" s="103">
        <f>D137-C138</f>
        <v>85</v>
      </c>
      <c r="E138" s="55">
        <f>D138/C134</f>
        <v>0.1480836236933798</v>
      </c>
      <c r="F138" s="155"/>
    </row>
    <row r="139" spans="2:6" ht="15" thickBot="1" x14ac:dyDescent="0.35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5.6" thickTop="1" thickBot="1" x14ac:dyDescent="0.35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5.6" thickTop="1" thickBot="1" x14ac:dyDescent="0.35">
      <c r="B141" s="98" t="s">
        <v>1062</v>
      </c>
      <c r="C141" s="99">
        <v>304</v>
      </c>
      <c r="D141" s="115">
        <v>31</v>
      </c>
      <c r="E141" s="105">
        <f>D141/C141</f>
        <v>0.10197368421052631</v>
      </c>
      <c r="F141" s="155"/>
    </row>
    <row r="142" spans="2:6" ht="15" thickBot="1" x14ac:dyDescent="0.35">
      <c r="B142" s="112" t="s">
        <v>1063</v>
      </c>
      <c r="C142" s="113">
        <f>COSEIDIcam</f>
        <v>270</v>
      </c>
      <c r="D142" s="113">
        <v>64</v>
      </c>
      <c r="E142" s="114">
        <f>D142/C142</f>
        <v>0.23703703703703705</v>
      </c>
      <c r="F142" s="156"/>
    </row>
    <row r="143" spans="2:6" ht="15.6" thickTop="1" thickBot="1" x14ac:dyDescent="0.35"/>
    <row r="144" spans="2:6" ht="15.6" thickTop="1" thickBot="1" x14ac:dyDescent="0.35">
      <c r="C144" s="107" t="s">
        <v>912</v>
      </c>
      <c r="D144" s="108" t="s">
        <v>1464</v>
      </c>
      <c r="E144" s="109" t="s">
        <v>913</v>
      </c>
    </row>
    <row r="145" spans="2:6" ht="15" thickTop="1" x14ac:dyDescent="0.3">
      <c r="B145" s="52" t="s">
        <v>1242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3">
      <c r="B146" s="53" t="s">
        <v>6</v>
      </c>
      <c r="C146" s="66">
        <f>'RESUMEN TOTAL'!Z3</f>
        <v>84</v>
      </c>
      <c r="D146" s="54"/>
      <c r="E146" s="55">
        <f>C146/C145</f>
        <v>0.14634146341463414</v>
      </c>
      <c r="F146" s="155"/>
    </row>
    <row r="147" spans="2:6" x14ac:dyDescent="0.3">
      <c r="B147" s="53" t="s">
        <v>1243</v>
      </c>
      <c r="C147" s="67">
        <v>3</v>
      </c>
      <c r="D147" s="103">
        <f>C146-C147</f>
        <v>81</v>
      </c>
      <c r="E147" s="55">
        <f>D147/C145</f>
        <v>0.14111498257839722</v>
      </c>
      <c r="F147" s="155"/>
    </row>
    <row r="148" spans="2:6" x14ac:dyDescent="0.3">
      <c r="B148" s="53" t="s">
        <v>1244</v>
      </c>
      <c r="C148" s="67">
        <v>3</v>
      </c>
      <c r="D148" s="103">
        <f>D147-C148</f>
        <v>78</v>
      </c>
      <c r="E148" s="55">
        <f>D148/C145</f>
        <v>0.13588850174216027</v>
      </c>
      <c r="F148" s="155"/>
    </row>
    <row r="149" spans="2:6" x14ac:dyDescent="0.3">
      <c r="B149" s="53" t="s">
        <v>16</v>
      </c>
      <c r="C149" s="94">
        <v>3</v>
      </c>
      <c r="D149" s="103">
        <f>D148-C149</f>
        <v>75</v>
      </c>
      <c r="E149" s="55">
        <f>D149/C145</f>
        <v>0.13066202090592335</v>
      </c>
      <c r="F149" s="155"/>
    </row>
    <row r="150" spans="2:6" ht="15" thickBot="1" x14ac:dyDescent="0.35">
      <c r="B150" s="56"/>
      <c r="C150" s="131">
        <v>0</v>
      </c>
      <c r="D150" s="104">
        <f>D149-C150</f>
        <v>75</v>
      </c>
      <c r="E150" s="74">
        <f>D150/C145</f>
        <v>0.13066202090592335</v>
      </c>
      <c r="F150" s="155"/>
    </row>
    <row r="151" spans="2:6" ht="15.6" thickTop="1" thickBot="1" x14ac:dyDescent="0.35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5.6" thickTop="1" thickBot="1" x14ac:dyDescent="0.35">
      <c r="B152" s="98" t="s">
        <v>1062</v>
      </c>
      <c r="C152" s="99">
        <v>304</v>
      </c>
      <c r="D152" s="115">
        <v>34</v>
      </c>
      <c r="E152" s="105">
        <v>0.11</v>
      </c>
      <c r="F152" s="155"/>
    </row>
    <row r="153" spans="2:6" ht="15" thickBot="1" x14ac:dyDescent="0.35">
      <c r="B153" s="112" t="s">
        <v>1063</v>
      </c>
      <c r="C153" s="113">
        <f>COSEIDIcam</f>
        <v>270</v>
      </c>
      <c r="D153" s="113">
        <v>50</v>
      </c>
      <c r="E153" s="114">
        <v>0.19</v>
      </c>
      <c r="F153" s="156"/>
    </row>
    <row r="154" spans="2:6" ht="15" customHeight="1" thickTop="1" thickBot="1" x14ac:dyDescent="0.35"/>
    <row r="155" spans="2:6" ht="15.6" thickTop="1" thickBot="1" x14ac:dyDescent="0.35">
      <c r="C155" s="107" t="s">
        <v>912</v>
      </c>
      <c r="D155" s="108" t="s">
        <v>1464</v>
      </c>
      <c r="E155" s="109" t="s">
        <v>913</v>
      </c>
    </row>
    <row r="156" spans="2:6" ht="15" thickTop="1" x14ac:dyDescent="0.3">
      <c r="B156" s="52" t="s">
        <v>1242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3">
      <c r="B157" s="53" t="s">
        <v>6</v>
      </c>
      <c r="C157" s="66">
        <f>'RESUMEN TOTAL'!AA3</f>
        <v>92</v>
      </c>
      <c r="D157" s="54"/>
      <c r="E157" s="55">
        <f>C157/C156</f>
        <v>0.16027874564459929</v>
      </c>
      <c r="F157" s="155"/>
    </row>
    <row r="158" spans="2:6" x14ac:dyDescent="0.3">
      <c r="B158" s="53" t="s">
        <v>1243</v>
      </c>
      <c r="C158" s="67">
        <v>7</v>
      </c>
      <c r="D158" s="103">
        <f>C157-C158</f>
        <v>85</v>
      </c>
      <c r="E158" s="55">
        <f>D158/C156</f>
        <v>0.1480836236933798</v>
      </c>
      <c r="F158" s="155"/>
    </row>
    <row r="159" spans="2:6" x14ac:dyDescent="0.3">
      <c r="B159" s="53" t="s">
        <v>1244</v>
      </c>
      <c r="C159" s="67">
        <v>3</v>
      </c>
      <c r="D159" s="103">
        <f>D158-C159</f>
        <v>82</v>
      </c>
      <c r="E159" s="55">
        <f>D159/C156</f>
        <v>0.14285714285714285</v>
      </c>
      <c r="F159" s="155"/>
    </row>
    <row r="160" spans="2:6" x14ac:dyDescent="0.3">
      <c r="B160" s="53" t="s">
        <v>16</v>
      </c>
      <c r="C160" s="94">
        <f>'RESUMEN TOTAL'!AA5</f>
        <v>4</v>
      </c>
      <c r="D160" s="103">
        <f>D159-C160</f>
        <v>78</v>
      </c>
      <c r="E160" s="55">
        <f>D160/C156</f>
        <v>0.13588850174216027</v>
      </c>
      <c r="F160" s="155"/>
    </row>
    <row r="161" spans="2:6" ht="15" thickBot="1" x14ac:dyDescent="0.35">
      <c r="B161" s="56"/>
      <c r="C161" s="131">
        <v>0</v>
      </c>
      <c r="D161" s="104">
        <v>0</v>
      </c>
      <c r="E161" s="74">
        <f>D161/C156</f>
        <v>0</v>
      </c>
      <c r="F161" s="155"/>
    </row>
    <row r="162" spans="2:6" ht="15.6" thickTop="1" thickBot="1" x14ac:dyDescent="0.35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5.6" thickTop="1" thickBot="1" x14ac:dyDescent="0.35">
      <c r="B163" s="98" t="s">
        <v>1062</v>
      </c>
      <c r="C163" s="99">
        <v>304</v>
      </c>
      <c r="D163" s="115">
        <f>Hoja1!T3</f>
        <v>41</v>
      </c>
      <c r="E163" s="105">
        <f>D163/C163</f>
        <v>0.13486842105263158</v>
      </c>
      <c r="F163" s="155"/>
    </row>
    <row r="164" spans="2:6" ht="15" thickBot="1" x14ac:dyDescent="0.35">
      <c r="B164" s="112" t="s">
        <v>1063</v>
      </c>
      <c r="C164" s="113">
        <f>COSEIDIcam</f>
        <v>270</v>
      </c>
      <c r="D164" s="113">
        <v>51</v>
      </c>
      <c r="E164" s="114">
        <f>D164/C164</f>
        <v>0.18888888888888888</v>
      </c>
      <c r="F164" s="156"/>
    </row>
    <row r="165" spans="2:6" ht="15.6" thickTop="1" thickBot="1" x14ac:dyDescent="0.35"/>
    <row r="166" spans="2:6" ht="15.6" thickTop="1" thickBot="1" x14ac:dyDescent="0.35">
      <c r="C166" s="107" t="s">
        <v>912</v>
      </c>
      <c r="D166" s="108" t="s">
        <v>1464</v>
      </c>
      <c r="E166" s="109" t="s">
        <v>913</v>
      </c>
    </row>
    <row r="167" spans="2:6" ht="15" thickTop="1" x14ac:dyDescent="0.3">
      <c r="B167" s="52" t="s">
        <v>1242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3">
      <c r="B168" s="53" t="s">
        <v>6</v>
      </c>
      <c r="C168" s="66">
        <f>'RESUMEN TOTAL'!AB3</f>
        <v>100</v>
      </c>
      <c r="D168" s="54"/>
      <c r="E168" s="55">
        <f>C168/C167</f>
        <v>0.17421602787456447</v>
      </c>
      <c r="F168" s="155"/>
    </row>
    <row r="169" spans="2:6" x14ac:dyDescent="0.3">
      <c r="B169" s="53" t="s">
        <v>1243</v>
      </c>
      <c r="C169" s="67">
        <v>0</v>
      </c>
      <c r="D169" s="103">
        <f>C168-C169</f>
        <v>100</v>
      </c>
      <c r="E169" s="55">
        <f>D169/C167</f>
        <v>0.17421602787456447</v>
      </c>
      <c r="F169" s="155"/>
    </row>
    <row r="170" spans="2:6" x14ac:dyDescent="0.3">
      <c r="B170" s="53" t="s">
        <v>1244</v>
      </c>
      <c r="C170" s="67">
        <v>0</v>
      </c>
      <c r="D170" s="103">
        <f>D169-C170</f>
        <v>100</v>
      </c>
      <c r="E170" s="55">
        <f>D170/C167</f>
        <v>0.17421602787456447</v>
      </c>
      <c r="F170" s="155"/>
    </row>
    <row r="171" spans="2:6" x14ac:dyDescent="0.3">
      <c r="B171" s="53" t="s">
        <v>16</v>
      </c>
      <c r="C171" s="94">
        <v>0</v>
      </c>
      <c r="D171" s="103">
        <f>D170-C171</f>
        <v>100</v>
      </c>
      <c r="E171" s="55">
        <f>D171/C167</f>
        <v>0.17421602787456447</v>
      </c>
      <c r="F171" s="155"/>
    </row>
    <row r="172" spans="2:6" ht="15" thickBot="1" x14ac:dyDescent="0.35">
      <c r="B172" s="56"/>
      <c r="C172" s="131"/>
      <c r="D172" s="104">
        <f>D171-C172</f>
        <v>100</v>
      </c>
      <c r="E172" s="74">
        <f>D172/C167</f>
        <v>0.17421602787456447</v>
      </c>
      <c r="F172" s="155"/>
    </row>
    <row r="173" spans="2:6" ht="15.6" thickTop="1" thickBot="1" x14ac:dyDescent="0.35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5.6" thickTop="1" thickBot="1" x14ac:dyDescent="0.35">
      <c r="B174" s="98" t="s">
        <v>1062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" thickBot="1" x14ac:dyDescent="0.35">
      <c r="B175" s="112" t="s">
        <v>1063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5.6" thickTop="1" thickBot="1" x14ac:dyDescent="0.35"/>
    <row r="177" spans="2:12" ht="15.6" thickTop="1" thickBot="1" x14ac:dyDescent="0.35">
      <c r="C177" s="107" t="s">
        <v>912</v>
      </c>
      <c r="D177" s="108" t="s">
        <v>1464</v>
      </c>
      <c r="E177" s="109" t="s">
        <v>913</v>
      </c>
    </row>
    <row r="178" spans="2:12" ht="15" thickTop="1" x14ac:dyDescent="0.3">
      <c r="B178" s="52" t="s">
        <v>1242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3">
      <c r="B179" s="53" t="s">
        <v>6</v>
      </c>
      <c r="C179" s="66">
        <f>'RESUMEN TOTAL'!AC3</f>
        <v>168</v>
      </c>
      <c r="D179" s="54"/>
      <c r="E179" s="55">
        <f>C179/C178</f>
        <v>0.29268292682926828</v>
      </c>
      <c r="F179" s="155"/>
    </row>
    <row r="180" spans="2:12" x14ac:dyDescent="0.3">
      <c r="B180" s="53" t="s">
        <v>1243</v>
      </c>
      <c r="C180" s="67">
        <v>0</v>
      </c>
      <c r="D180" s="103">
        <f>C179-C180</f>
        <v>168</v>
      </c>
      <c r="E180" s="55">
        <f>D180/C178</f>
        <v>0.29268292682926828</v>
      </c>
      <c r="F180" s="155"/>
    </row>
    <row r="181" spans="2:12" x14ac:dyDescent="0.3">
      <c r="B181" s="53" t="s">
        <v>1244</v>
      </c>
      <c r="C181" s="67">
        <v>0</v>
      </c>
      <c r="D181" s="103">
        <f>D180-C181</f>
        <v>168</v>
      </c>
      <c r="E181" s="55">
        <f>D181/C178</f>
        <v>0.29268292682926828</v>
      </c>
      <c r="F181" s="155"/>
    </row>
    <row r="182" spans="2:12" x14ac:dyDescent="0.3">
      <c r="B182" s="53" t="s">
        <v>16</v>
      </c>
      <c r="C182" s="94">
        <v>0</v>
      </c>
      <c r="D182" s="103">
        <f>D181-C182</f>
        <v>168</v>
      </c>
      <c r="E182" s="55">
        <f>D182/C178</f>
        <v>0.29268292682926828</v>
      </c>
      <c r="F182" s="155"/>
    </row>
    <row r="183" spans="2:12" ht="15" thickBot="1" x14ac:dyDescent="0.35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5.6" thickTop="1" thickBot="1" x14ac:dyDescent="0.35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5.6" thickTop="1" thickBot="1" x14ac:dyDescent="0.35">
      <c r="B185" s="98" t="s">
        <v>1062</v>
      </c>
      <c r="C185" s="99">
        <v>304</v>
      </c>
      <c r="D185" s="115">
        <f>Hoja1!V3</f>
        <v>97</v>
      </c>
      <c r="E185" s="105">
        <v>0</v>
      </c>
      <c r="F185" s="155"/>
    </row>
    <row r="186" spans="2:12" ht="15" thickBot="1" x14ac:dyDescent="0.35">
      <c r="B186" s="112" t="s">
        <v>1063</v>
      </c>
      <c r="C186" s="113">
        <f>COSEIDIcam</f>
        <v>270</v>
      </c>
      <c r="D186" s="113">
        <f>Hoja1!V5</f>
        <v>71</v>
      </c>
      <c r="E186" s="114">
        <v>0</v>
      </c>
      <c r="F186" s="156"/>
    </row>
    <row r="187" spans="2:12" ht="15.6" thickTop="1" thickBot="1" x14ac:dyDescent="0.35"/>
    <row r="188" spans="2:12" ht="15.6" thickTop="1" thickBot="1" x14ac:dyDescent="0.35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" thickTop="1" x14ac:dyDescent="0.3">
      <c r="B189" s="52" t="s">
        <v>1242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3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3">
      <c r="B191" s="53" t="s">
        <v>1243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3">
      <c r="B192" s="53" t="s">
        <v>1244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3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" thickBot="1" x14ac:dyDescent="0.35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5.6" thickTop="1" thickBot="1" x14ac:dyDescent="0.35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/>
      <c r="J195" s="96"/>
      <c r="K195" s="102"/>
      <c r="L195" s="155"/>
    </row>
    <row r="196" spans="2:12" ht="15.6" thickTop="1" thickBot="1" x14ac:dyDescent="0.35">
      <c r="B196" s="98" t="s">
        <v>1062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" thickBot="1" x14ac:dyDescent="0.35">
      <c r="B197" s="112" t="s">
        <v>1063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5.6" thickTop="1" thickBot="1" x14ac:dyDescent="0.35"/>
    <row r="199" spans="2:12" ht="15.6" thickTop="1" thickBot="1" x14ac:dyDescent="0.35">
      <c r="C199" s="107" t="s">
        <v>912</v>
      </c>
      <c r="D199" s="108" t="s">
        <v>1464</v>
      </c>
      <c r="E199" s="109" t="s">
        <v>913</v>
      </c>
    </row>
    <row r="200" spans="2:12" ht="15" thickTop="1" x14ac:dyDescent="0.3">
      <c r="B200" s="52" t="s">
        <v>1242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3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12" x14ac:dyDescent="0.3">
      <c r="B202" s="53" t="s">
        <v>1243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12" x14ac:dyDescent="0.3">
      <c r="B203" s="53" t="s">
        <v>1244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12" x14ac:dyDescent="0.3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12" ht="15" thickBot="1" x14ac:dyDescent="0.35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5.6" thickTop="1" thickBot="1" x14ac:dyDescent="0.35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5.6" thickTop="1" thickBot="1" x14ac:dyDescent="0.35">
      <c r="B207" s="98" t="s">
        <v>1062</v>
      </c>
      <c r="C207" s="99">
        <v>304</v>
      </c>
      <c r="D207" s="115">
        <v>0</v>
      </c>
      <c r="E207" s="105">
        <f>D207/C207</f>
        <v>0</v>
      </c>
      <c r="F207" s="155"/>
    </row>
    <row r="208" spans="2:12" ht="15" thickBot="1" x14ac:dyDescent="0.35">
      <c r="B208" s="112" t="s">
        <v>1063</v>
      </c>
      <c r="C208" s="113">
        <f>COSEIDIcam</f>
        <v>270</v>
      </c>
      <c r="D208" s="113">
        <v>0</v>
      </c>
      <c r="E208" s="114">
        <f>D208/C208</f>
        <v>0</v>
      </c>
      <c r="F208" s="156"/>
    </row>
    <row r="209" spans="2:6" ht="15.6" thickTop="1" thickBot="1" x14ac:dyDescent="0.35"/>
    <row r="210" spans="2:6" ht="15.6" thickTop="1" thickBot="1" x14ac:dyDescent="0.35">
      <c r="C210" s="107" t="s">
        <v>912</v>
      </c>
      <c r="D210" s="108" t="s">
        <v>1464</v>
      </c>
      <c r="E210" s="109" t="s">
        <v>913</v>
      </c>
    </row>
    <row r="211" spans="2:6" ht="15" thickTop="1" x14ac:dyDescent="0.3">
      <c r="B211" s="52" t="s">
        <v>1242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3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3">
      <c r="B213" s="53" t="s">
        <v>1243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3">
      <c r="B214" s="53" t="s">
        <v>1244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3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" thickBot="1" x14ac:dyDescent="0.35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5.6" thickTop="1" thickBot="1" x14ac:dyDescent="0.35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5.6" thickTop="1" thickBot="1" x14ac:dyDescent="0.35">
      <c r="B218" s="98" t="s">
        <v>1062</v>
      </c>
      <c r="C218" s="99">
        <v>304</v>
      </c>
      <c r="D218" s="115">
        <v>0</v>
      </c>
      <c r="E218" s="105">
        <f>D218/C218</f>
        <v>0</v>
      </c>
      <c r="F218" s="155"/>
    </row>
    <row r="219" spans="2:6" ht="15" thickBot="1" x14ac:dyDescent="0.35">
      <c r="B219" s="112" t="s">
        <v>1063</v>
      </c>
      <c r="C219" s="113">
        <f>COSEIDIcam</f>
        <v>270</v>
      </c>
      <c r="D219" s="113">
        <v>0</v>
      </c>
      <c r="E219" s="114">
        <f>D219/C219</f>
        <v>0</v>
      </c>
      <c r="F219" s="156"/>
    </row>
    <row r="220" spans="2:6" ht="15" thickTop="1" x14ac:dyDescent="0.3"/>
    <row r="221" spans="2:6" ht="15" thickBot="1" x14ac:dyDescent="0.35"/>
    <row r="222" spans="2:6" ht="15.6" thickTop="1" thickBot="1" x14ac:dyDescent="0.35">
      <c r="C222" s="107" t="s">
        <v>912</v>
      </c>
      <c r="D222" s="108" t="s">
        <v>1464</v>
      </c>
      <c r="E222" s="109" t="s">
        <v>913</v>
      </c>
    </row>
    <row r="223" spans="2:6" ht="15" thickTop="1" x14ac:dyDescent="0.3">
      <c r="B223" s="52" t="s">
        <v>1242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3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3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3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3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" thickBot="1" x14ac:dyDescent="0.35">
      <c r="B228" s="56"/>
      <c r="C228" s="131">
        <v>0</v>
      </c>
      <c r="D228" s="104">
        <v>0</v>
      </c>
      <c r="E228" s="74">
        <v>0</v>
      </c>
      <c r="F228" s="155"/>
    </row>
    <row r="229" spans="2:6" ht="15.6" thickTop="1" thickBot="1" x14ac:dyDescent="0.35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5.6" thickTop="1" thickBot="1" x14ac:dyDescent="0.35">
      <c r="B230" s="98" t="s">
        <v>1062</v>
      </c>
      <c r="C230" s="99">
        <v>304</v>
      </c>
      <c r="D230" s="115">
        <f>Hoja1!Z3</f>
        <v>0</v>
      </c>
      <c r="E230" s="105">
        <f>D230/C230</f>
        <v>0</v>
      </c>
      <c r="F230" s="155"/>
    </row>
    <row r="231" spans="2:6" ht="15" thickBot="1" x14ac:dyDescent="0.35">
      <c r="B231" s="112" t="s">
        <v>1063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" thickTop="1" x14ac:dyDescent="0.3"/>
    <row r="233" spans="2:6" ht="15" thickBot="1" x14ac:dyDescent="0.35"/>
    <row r="234" spans="2:6" ht="15.6" thickTop="1" thickBot="1" x14ac:dyDescent="0.35">
      <c r="C234" s="107" t="s">
        <v>912</v>
      </c>
      <c r="D234" s="108" t="s">
        <v>1464</v>
      </c>
      <c r="E234" s="109" t="s">
        <v>913</v>
      </c>
    </row>
    <row r="235" spans="2:6" ht="15" thickTop="1" x14ac:dyDescent="0.3">
      <c r="B235" s="52" t="s">
        <v>1242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3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3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3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3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" thickBot="1" x14ac:dyDescent="0.35">
      <c r="B240" s="56"/>
      <c r="C240" s="131">
        <v>0</v>
      </c>
      <c r="D240" s="104">
        <v>0</v>
      </c>
      <c r="E240" s="74">
        <v>0</v>
      </c>
      <c r="F240" s="155"/>
    </row>
    <row r="241" spans="2:6" ht="15.6" thickTop="1" thickBot="1" x14ac:dyDescent="0.35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5.6" thickTop="1" thickBot="1" x14ac:dyDescent="0.35">
      <c r="B242" s="98" t="s">
        <v>1062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" thickBot="1" x14ac:dyDescent="0.35">
      <c r="B243" s="112" t="s">
        <v>1063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" thickTop="1" x14ac:dyDescent="0.3"/>
    <row r="245" spans="2:6" ht="15" thickBot="1" x14ac:dyDescent="0.35"/>
    <row r="246" spans="2:6" ht="15.6" thickTop="1" thickBot="1" x14ac:dyDescent="0.35">
      <c r="C246" s="107" t="s">
        <v>912</v>
      </c>
      <c r="D246" s="108" t="s">
        <v>1464</v>
      </c>
      <c r="E246" s="109" t="s">
        <v>913</v>
      </c>
    </row>
    <row r="247" spans="2:6" ht="15" thickTop="1" x14ac:dyDescent="0.3">
      <c r="B247" s="52" t="s">
        <v>1242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3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3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3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3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" thickBot="1" x14ac:dyDescent="0.35">
      <c r="B252" s="56"/>
      <c r="C252" s="131">
        <v>0</v>
      </c>
      <c r="D252" s="104">
        <v>0</v>
      </c>
      <c r="E252" s="74">
        <v>0</v>
      </c>
      <c r="F252" s="155"/>
    </row>
    <row r="253" spans="2:6" ht="15.6" thickTop="1" thickBot="1" x14ac:dyDescent="0.35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5.6" thickTop="1" thickBot="1" x14ac:dyDescent="0.35">
      <c r="B254" s="98" t="s">
        <v>1062</v>
      </c>
      <c r="C254" s="99">
        <v>304</v>
      </c>
      <c r="D254" s="115">
        <v>0</v>
      </c>
      <c r="E254" s="105">
        <f>D254/C254</f>
        <v>0</v>
      </c>
      <c r="F254" s="155"/>
    </row>
    <row r="255" spans="2:6" ht="15" thickBot="1" x14ac:dyDescent="0.35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" thickTop="1" x14ac:dyDescent="0.3"/>
    <row r="257" spans="2:6" ht="15" thickBot="1" x14ac:dyDescent="0.35"/>
    <row r="258" spans="2:6" ht="15.6" thickTop="1" thickBot="1" x14ac:dyDescent="0.35">
      <c r="C258" s="107" t="s">
        <v>912</v>
      </c>
      <c r="D258" s="108" t="s">
        <v>1464</v>
      </c>
      <c r="E258" s="109" t="s">
        <v>913</v>
      </c>
    </row>
    <row r="259" spans="2:6" ht="15" thickTop="1" x14ac:dyDescent="0.3">
      <c r="B259" s="52" t="s">
        <v>1242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3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3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3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3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" thickBot="1" x14ac:dyDescent="0.35">
      <c r="B264" s="56"/>
      <c r="C264" s="131">
        <v>0</v>
      </c>
      <c r="D264" s="104">
        <v>0</v>
      </c>
      <c r="E264" s="74">
        <v>0</v>
      </c>
      <c r="F264" s="155"/>
    </row>
    <row r="265" spans="2:6" ht="15.6" thickTop="1" thickBot="1" x14ac:dyDescent="0.35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5.6" thickTop="1" thickBot="1" x14ac:dyDescent="0.35">
      <c r="B266" s="98" t="s">
        <v>1062</v>
      </c>
      <c r="C266" s="99">
        <v>304</v>
      </c>
      <c r="D266" s="115">
        <v>0</v>
      </c>
      <c r="E266" s="105">
        <v>0</v>
      </c>
      <c r="F266" s="155"/>
    </row>
    <row r="267" spans="2:6" ht="15" thickBot="1" x14ac:dyDescent="0.35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5.6" thickTop="1" thickBot="1" x14ac:dyDescent="0.35"/>
    <row r="269" spans="2:6" ht="15.6" thickTop="1" thickBot="1" x14ac:dyDescent="0.35">
      <c r="C269" s="107" t="s">
        <v>912</v>
      </c>
      <c r="D269" s="108" t="s">
        <v>1464</v>
      </c>
      <c r="E269" s="109" t="s">
        <v>913</v>
      </c>
    </row>
    <row r="270" spans="2:6" ht="15" thickTop="1" x14ac:dyDescent="0.3">
      <c r="B270" s="52" t="s">
        <v>1242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3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3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3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3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" thickBot="1" x14ac:dyDescent="0.35">
      <c r="B275" s="56"/>
      <c r="C275" s="131">
        <v>0</v>
      </c>
      <c r="D275" s="104">
        <v>0</v>
      </c>
      <c r="E275" s="74">
        <v>0</v>
      </c>
      <c r="F275" s="155"/>
    </row>
    <row r="276" spans="2:6" ht="15.6" thickTop="1" thickBot="1" x14ac:dyDescent="0.35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5.6" thickTop="1" thickBot="1" x14ac:dyDescent="0.35">
      <c r="B277" s="98" t="s">
        <v>1062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" thickBot="1" x14ac:dyDescent="0.35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5.6" thickTop="1" thickBot="1" x14ac:dyDescent="0.35"/>
    <row r="280" spans="2:6" ht="15.6" thickTop="1" thickBot="1" x14ac:dyDescent="0.35">
      <c r="C280" s="107" t="s">
        <v>912</v>
      </c>
      <c r="D280" s="108" t="s">
        <v>1464</v>
      </c>
      <c r="E280" s="109" t="s">
        <v>913</v>
      </c>
    </row>
    <row r="281" spans="2:6" ht="15" thickTop="1" x14ac:dyDescent="0.3">
      <c r="B281" s="52" t="s">
        <v>1242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3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3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3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3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" thickBot="1" x14ac:dyDescent="0.35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5.6" thickTop="1" thickBot="1" x14ac:dyDescent="0.35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5.6" thickTop="1" thickBot="1" x14ac:dyDescent="0.35">
      <c r="B288" s="98" t="s">
        <v>1062</v>
      </c>
      <c r="C288" s="99">
        <v>304</v>
      </c>
      <c r="D288" s="115">
        <v>0</v>
      </c>
      <c r="E288" s="105">
        <v>0</v>
      </c>
      <c r="F288" s="155"/>
    </row>
    <row r="289" spans="2:6" ht="15" thickBot="1" x14ac:dyDescent="0.35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5.6" thickTop="1" thickBot="1" x14ac:dyDescent="0.35"/>
    <row r="291" spans="2:6" ht="15.6" thickTop="1" thickBot="1" x14ac:dyDescent="0.35">
      <c r="C291" s="107" t="s">
        <v>912</v>
      </c>
      <c r="D291" s="108" t="s">
        <v>1464</v>
      </c>
      <c r="E291" s="109" t="s">
        <v>913</v>
      </c>
    </row>
    <row r="292" spans="2:6" ht="15" thickTop="1" x14ac:dyDescent="0.3">
      <c r="B292" s="52" t="s">
        <v>1242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3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3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3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3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" thickBot="1" x14ac:dyDescent="0.35">
      <c r="B297" s="56"/>
      <c r="C297" s="131">
        <v>0</v>
      </c>
      <c r="D297" s="104">
        <v>0</v>
      </c>
      <c r="E297" s="74">
        <v>0</v>
      </c>
      <c r="F297" s="155"/>
    </row>
    <row r="298" spans="2:6" ht="15.6" thickTop="1" thickBot="1" x14ac:dyDescent="0.35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5.6" thickTop="1" thickBot="1" x14ac:dyDescent="0.35">
      <c r="B299" s="98" t="s">
        <v>1062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" thickBot="1" x14ac:dyDescent="0.35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5.6" thickTop="1" thickBot="1" x14ac:dyDescent="0.35"/>
    <row r="302" spans="2:6" ht="15.6" thickTop="1" thickBot="1" x14ac:dyDescent="0.35">
      <c r="C302" s="107" t="s">
        <v>912</v>
      </c>
      <c r="D302" s="108" t="s">
        <v>1464</v>
      </c>
      <c r="E302" s="109" t="s">
        <v>913</v>
      </c>
    </row>
    <row r="303" spans="2:6" ht="15" thickTop="1" x14ac:dyDescent="0.3">
      <c r="B303" s="52" t="s">
        <v>1242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3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3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3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3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" thickBot="1" x14ac:dyDescent="0.35">
      <c r="B308" s="56"/>
      <c r="C308" s="131">
        <v>0</v>
      </c>
      <c r="D308" s="104">
        <v>0</v>
      </c>
      <c r="E308" s="74">
        <v>0</v>
      </c>
      <c r="F308" s="155"/>
    </row>
    <row r="309" spans="2:6" ht="15.6" thickTop="1" thickBot="1" x14ac:dyDescent="0.35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5.6" thickTop="1" thickBot="1" x14ac:dyDescent="0.35">
      <c r="B310" s="98" t="s">
        <v>1062</v>
      </c>
      <c r="C310" s="99">
        <v>304</v>
      </c>
      <c r="D310" s="115">
        <v>0</v>
      </c>
      <c r="E310" s="105">
        <v>0</v>
      </c>
      <c r="F310" s="155"/>
    </row>
    <row r="311" spans="2:6" ht="15" thickBot="1" x14ac:dyDescent="0.35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5.6" thickTop="1" thickBot="1" x14ac:dyDescent="0.35"/>
    <row r="313" spans="2:6" ht="15.6" thickTop="1" thickBot="1" x14ac:dyDescent="0.35">
      <c r="C313" s="107" t="s">
        <v>912</v>
      </c>
      <c r="D313" s="108" t="s">
        <v>1464</v>
      </c>
      <c r="E313" s="109" t="s">
        <v>913</v>
      </c>
    </row>
    <row r="314" spans="2:6" ht="15" thickTop="1" x14ac:dyDescent="0.3">
      <c r="B314" s="52" t="s">
        <v>1242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3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3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3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3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" thickBot="1" x14ac:dyDescent="0.35">
      <c r="B319" s="56"/>
      <c r="C319" s="131">
        <v>0</v>
      </c>
      <c r="D319" s="104">
        <v>0</v>
      </c>
      <c r="E319" s="74">
        <v>0</v>
      </c>
      <c r="F319" s="155"/>
    </row>
    <row r="320" spans="2:6" ht="15.6" thickTop="1" thickBot="1" x14ac:dyDescent="0.35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5.6" thickTop="1" thickBot="1" x14ac:dyDescent="0.35">
      <c r="B321" s="98" t="s">
        <v>1062</v>
      </c>
      <c r="C321" s="99">
        <v>304</v>
      </c>
      <c r="D321" s="115">
        <v>0</v>
      </c>
      <c r="E321" s="105">
        <v>0</v>
      </c>
      <c r="F321" s="155"/>
    </row>
    <row r="322" spans="2:6" ht="15" thickBot="1" x14ac:dyDescent="0.35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5.6" thickTop="1" thickBot="1" x14ac:dyDescent="0.35"/>
    <row r="324" spans="2:6" ht="15.6" thickTop="1" thickBot="1" x14ac:dyDescent="0.35">
      <c r="C324" s="107" t="s">
        <v>912</v>
      </c>
      <c r="D324" s="108" t="s">
        <v>1464</v>
      </c>
      <c r="E324" s="109" t="s">
        <v>913</v>
      </c>
    </row>
    <row r="325" spans="2:6" ht="15" thickTop="1" x14ac:dyDescent="0.3">
      <c r="B325" s="52" t="s">
        <v>1242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3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3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3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3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" thickBot="1" x14ac:dyDescent="0.35">
      <c r="B330" s="56"/>
      <c r="C330" s="131">
        <v>0</v>
      </c>
      <c r="D330" s="104">
        <v>0</v>
      </c>
      <c r="E330" s="74">
        <v>0</v>
      </c>
      <c r="F330" s="155"/>
    </row>
    <row r="331" spans="2:6" ht="15.6" thickTop="1" thickBot="1" x14ac:dyDescent="0.35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5.6" thickTop="1" thickBot="1" x14ac:dyDescent="0.35">
      <c r="B332" s="98" t="s">
        <v>1062</v>
      </c>
      <c r="C332" s="99">
        <v>304</v>
      </c>
      <c r="D332" s="115">
        <v>0</v>
      </c>
      <c r="E332" s="105">
        <v>0</v>
      </c>
      <c r="F332" s="155"/>
    </row>
    <row r="333" spans="2:6" ht="15" thickBot="1" x14ac:dyDescent="0.35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" thickTop="1" x14ac:dyDescent="0.3"/>
    <row r="335" spans="2:6" ht="15" thickBot="1" x14ac:dyDescent="0.35">
      <c r="C335"/>
      <c r="D335"/>
      <c r="E335"/>
    </row>
    <row r="336" spans="2:6" ht="15.6" thickTop="1" thickBot="1" x14ac:dyDescent="0.35">
      <c r="C336" s="107" t="s">
        <v>912</v>
      </c>
      <c r="D336" s="108" t="s">
        <v>1464</v>
      </c>
      <c r="E336" s="109" t="s">
        <v>913</v>
      </c>
    </row>
    <row r="337" spans="2:6" ht="15" thickTop="1" x14ac:dyDescent="0.3">
      <c r="B337" s="52" t="s">
        <v>1242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3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3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3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3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" thickBot="1" x14ac:dyDescent="0.35">
      <c r="B342" s="56"/>
      <c r="C342" s="131">
        <v>0</v>
      </c>
      <c r="D342" s="104">
        <v>0</v>
      </c>
      <c r="E342" s="74">
        <v>0</v>
      </c>
      <c r="F342" s="155"/>
    </row>
    <row r="343" spans="2:6" ht="15.6" thickTop="1" thickBot="1" x14ac:dyDescent="0.35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5.6" thickTop="1" thickBot="1" x14ac:dyDescent="0.35">
      <c r="B344" s="98" t="s">
        <v>1062</v>
      </c>
      <c r="C344" s="99">
        <v>340</v>
      </c>
      <c r="D344" s="115">
        <v>0</v>
      </c>
      <c r="E344" s="105">
        <v>0</v>
      </c>
      <c r="F344" s="155"/>
    </row>
    <row r="345" spans="2:6" ht="15" thickBot="1" x14ac:dyDescent="0.35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" thickTop="1" x14ac:dyDescent="0.3"/>
  </sheetData>
  <sheetProtection selectLockedCells="1"/>
  <mergeCells count="32"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 Informaticas</cp:lastModifiedBy>
  <cp:lastPrinted>2025-10-13T15:00:43Z</cp:lastPrinted>
  <dcterms:created xsi:type="dcterms:W3CDTF">2022-01-21T13:32:57Z</dcterms:created>
  <dcterms:modified xsi:type="dcterms:W3CDTF">2026-01-19T11:40:07Z</dcterms:modified>
</cp:coreProperties>
</file>