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"/>
    </mc:Choice>
  </mc:AlternateContent>
  <xr:revisionPtr revIDLastSave="0" documentId="13_ncr:1_{DC9E06FA-7410-43E1-A10C-E0862DD7185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TOTAL'!$A$7:$AN$591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25" l="1"/>
  <c r="D196" i="24" s="1"/>
  <c r="E196" i="24" s="1"/>
  <c r="Q3" i="25"/>
  <c r="W3" i="2"/>
  <c r="O5" i="25"/>
  <c r="D109" i="24" s="1"/>
  <c r="P5" i="25"/>
  <c r="O3" i="25"/>
  <c r="K146" i="2"/>
  <c r="I146" i="2"/>
  <c r="B4" i="25"/>
  <c r="B2" i="25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O4" i="25" l="1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D136" i="24" s="1"/>
  <c r="D137" i="24" s="1"/>
  <c r="D138" i="24" s="1"/>
  <c r="Z3" i="2"/>
  <c r="C146" i="24" s="1"/>
  <c r="AA3" i="2"/>
  <c r="AB3" i="2"/>
  <c r="C168" i="24" s="1"/>
  <c r="D169" i="24" s="1"/>
  <c r="AC3" i="2"/>
  <c r="C179" i="24" s="1"/>
  <c r="AD3" i="2"/>
  <c r="C190" i="24" s="1"/>
  <c r="D191" i="24" s="1"/>
  <c r="D192" i="24" s="1"/>
  <c r="D193" i="24" s="1"/>
  <c r="AE3" i="2"/>
  <c r="C201" i="24" s="1"/>
  <c r="AF3" i="2"/>
  <c r="C212" i="24" s="1"/>
  <c r="AG3" i="2"/>
  <c r="C224" i="24" s="1"/>
  <c r="AH3" i="2"/>
  <c r="AI3" i="2"/>
  <c r="AJ3" i="2"/>
  <c r="AK3" i="2"/>
  <c r="AL3" i="2"/>
  <c r="AM3" i="2"/>
  <c r="AN3" i="2"/>
  <c r="AE5" i="25"/>
  <c r="AD5" i="25"/>
  <c r="AC5" i="25"/>
  <c r="AB5" i="25"/>
  <c r="AA5" i="25"/>
  <c r="Z5" i="25"/>
  <c r="D231" i="24" s="1"/>
  <c r="Y5" i="25"/>
  <c r="D219" i="24" s="1"/>
  <c r="X5" i="25"/>
  <c r="D208" i="24" s="1"/>
  <c r="V5" i="25"/>
  <c r="D186" i="24" s="1"/>
  <c r="S5" i="25"/>
  <c r="R5" i="25"/>
  <c r="D142" i="24" s="1"/>
  <c r="Q5" i="25"/>
  <c r="D131" i="24" s="1"/>
  <c r="D120" i="24"/>
  <c r="AG3" i="25"/>
  <c r="AF3" i="25"/>
  <c r="AD3" i="25"/>
  <c r="AC3" i="25"/>
  <c r="AB3" i="25"/>
  <c r="AA3" i="25"/>
  <c r="Z3" i="25"/>
  <c r="D230" i="24" s="1"/>
  <c r="Y3" i="25"/>
  <c r="D218" i="24" s="1"/>
  <c r="X3" i="25"/>
  <c r="D207" i="24" s="1"/>
  <c r="V3" i="25"/>
  <c r="D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L369" i="2" l="1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171" i="24" l="1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C91" i="24" s="1"/>
  <c r="Q3" i="2"/>
  <c r="C47" i="24" s="1"/>
  <c r="P3" i="2"/>
  <c r="C36" i="24" s="1"/>
  <c r="O3" i="2"/>
  <c r="C25" i="24" s="1"/>
  <c r="T3" i="2"/>
  <c r="C247" i="24" l="1"/>
  <c r="E249" i="24" s="1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81" i="2" l="1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470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E120" i="24" s="1"/>
  <c r="C43" i="24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<sst xmlns="http://schemas.openxmlformats.org/spreadsheetml/2006/main" count="6250" uniqueCount="2324">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</sst>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0" fillId="12" borderId="0" xfId="0" applyFill="1" applyAlignment="1">
      <alignment horizontal="right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</c:v>
                </c:pt>
                <c:pt idx="18">
                  <c:v>29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37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51</c:v>
                </c:pt>
                <c:pt idx="18">
                  <c:v>47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49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8.7662337662337664E-2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9.4155844155844159E-2</c:v>
                      </c:pt>
                      <c:pt idx="19">
                        <c:v>0.12012987012987013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0.12012987012987013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0.20652173913043478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0.18478260869565216</c:v>
                      </c:pt>
                      <c:pt idx="18">
                        <c:v>0.17028985507246377</c:v>
                      </c:pt>
                      <c:pt idx="19">
                        <c:v>0.17753623188405798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0.17753623188405798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8.7662337662337664E-2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9.4155844155844159E-2</c:v>
                </c:pt>
                <c:pt idx="19">
                  <c:v>0.12012987012987013</c:v>
                </c:pt>
                <c:pt idx="20">
                  <c:v>0</c:v>
                </c:pt>
                <c:pt idx="21">
                  <c:v>0</c:v>
                </c:pt>
                <c:pt idx="22">
                  <c:v>0.12012987012987013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0.20652173913043478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0.18478260869565216</c:v>
                </c:pt>
                <c:pt idx="18">
                  <c:v>0.17028985507246377</c:v>
                </c:pt>
                <c:pt idx="19">
                  <c:v>0.17753623188405798</c:v>
                </c:pt>
                <c:pt idx="20">
                  <c:v>0</c:v>
                </c:pt>
                <c:pt idx="21">
                  <c:v>0</c:v>
                </c:pt>
                <c:pt idx="22">
                  <c:v>0.17753623188405798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30</c:v>
                      </c:pt>
                      <c:pt idx="18">
                        <c:v>29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37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51</c:v>
                      </c:pt>
                      <c:pt idx="18">
                        <c:v>47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49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</c:v>
                </c:pt>
                <c:pt idx="18">
                  <c:v>29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37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51</c:v>
                </c:pt>
                <c:pt idx="18">
                  <c:v>47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49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8.7662337662337664E-2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9.4155844155844159E-2</c:v>
                      </c:pt>
                      <c:pt idx="19">
                        <c:v>0.12012987012987013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0.12012987012987013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0.20652173913043478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0.18478260869565216</c:v>
                      </c:pt>
                      <c:pt idx="18">
                        <c:v>0.17028985507246377</c:v>
                      </c:pt>
                      <c:pt idx="19">
                        <c:v>0.17753623188405798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0.17753623188405798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8.7662337662337664E-2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9.4155844155844159E-2</c:v>
                </c:pt>
                <c:pt idx="19">
                  <c:v>0.12012987012987013</c:v>
                </c:pt>
                <c:pt idx="20">
                  <c:v>0</c:v>
                </c:pt>
                <c:pt idx="21">
                  <c:v>0</c:v>
                </c:pt>
                <c:pt idx="22">
                  <c:v>0.12012987012987013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0.20652173913043478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0.18478260869565216</c:v>
                </c:pt>
                <c:pt idx="18">
                  <c:v>0.17028985507246377</c:v>
                </c:pt>
                <c:pt idx="19">
                  <c:v>0.17753623188405798</c:v>
                </c:pt>
                <c:pt idx="20">
                  <c:v>0</c:v>
                </c:pt>
                <c:pt idx="21">
                  <c:v>0</c:v>
                </c:pt>
                <c:pt idx="22">
                  <c:v>0.17753623188405798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30</c:v>
                      </c:pt>
                      <c:pt idx="18">
                        <c:v>29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37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51</c:v>
                      </c:pt>
                      <c:pt idx="18">
                        <c:v>47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49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N1192"/>
  <sheetViews>
    <sheetView tabSelected="1" view="pageBreakPreview" zoomScale="110" zoomScaleNormal="80" zoomScaleSheetLayoutView="110" workbookViewId="0">
      <pane xSplit="12" ySplit="7" topLeftCell="AI312" activePane="bottomRight" state="frozen"/>
      <selection pane="topRight" activeCell="M1" sqref="M1"/>
      <selection pane="bottomLeft" activeCell="A5" sqref="A5"/>
      <selection pane="bottomRight" activeCell="AI323" sqref="AI323"/>
    </sheetView>
  </sheetViews>
  <sheetFormatPr baseColWidth="10" defaultColWidth="11.5703125" defaultRowHeight="15" x14ac:dyDescent="0.25"/>
  <cols>
    <col min="1" max="1" width="13.140625" hidden="1" customWidth="1"/>
    <col min="2" max="2" width="40.140625" style="30" customWidth="1"/>
    <col min="3" max="3" width="15.85546875" style="30" hidden="1" customWidth="1"/>
    <col min="4" max="4" width="43.42578125" hidden="1" customWidth="1"/>
    <col min="5" max="5" width="16.28515625" style="61" hidden="1" customWidth="1"/>
    <col min="6" max="6" width="16.85546875" style="65" hidden="1" customWidth="1"/>
    <col min="7" max="7" width="18.28515625" style="65" hidden="1" customWidth="1"/>
    <col min="8" max="8" width="17.85546875" style="65" hidden="1" customWidth="1"/>
    <col min="9" max="11" width="21.140625" hidden="1" customWidth="1"/>
    <col min="12" max="12" width="31.5703125" style="4" hidden="1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1" width="14.140625" style="14" customWidth="1"/>
    <col min="32" max="32" width="11.85546875" style="14" customWidth="1"/>
    <col min="33" max="33" width="11.5703125" style="14" customWidth="1"/>
    <col min="34" max="34" width="11" style="14" customWidth="1"/>
    <col min="35" max="35" width="11.140625" style="14" customWidth="1"/>
    <col min="36" max="38" width="14.140625" style="14" customWidth="1"/>
    <col min="39" max="40" width="14.140625" style="14" bestFit="1" customWidth="1"/>
  </cols>
  <sheetData>
    <row r="1" spans="1:40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0.10566615620214395</v>
      </c>
      <c r="N1" s="3">
        <f t="shared" si="0"/>
        <v>0.10429447852760736</v>
      </c>
      <c r="O1" s="3">
        <f t="shared" si="0"/>
        <v>0.10153846153846154</v>
      </c>
      <c r="P1" s="3">
        <f t="shared" si="0"/>
        <v>0.10839694656488549</v>
      </c>
      <c r="Q1" s="3">
        <f t="shared" si="0"/>
        <v>0.10429447852760736</v>
      </c>
      <c r="R1" s="3">
        <f t="shared" si="0"/>
        <v>0.10975609756097561</v>
      </c>
      <c r="S1" s="3">
        <f t="shared" si="0"/>
        <v>0</v>
      </c>
      <c r="T1" s="3">
        <f t="shared" si="0"/>
        <v>0</v>
      </c>
      <c r="U1" s="3">
        <f t="shared" si="0"/>
        <v>0.12048192771084337</v>
      </c>
      <c r="V1" s="3">
        <f t="shared" si="0"/>
        <v>0.14992721979621543</v>
      </c>
      <c r="W1" s="3">
        <f t="shared" si="0"/>
        <v>0.12574850299401197</v>
      </c>
      <c r="X1" s="3">
        <f t="shared" si="0"/>
        <v>0.13609467455621302</v>
      </c>
      <c r="Y1" s="3">
        <f t="shared" si="0"/>
        <v>0.12574850299401197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0.12180451127819548</v>
      </c>
      <c r="AE1" s="3">
        <f t="shared" si="1"/>
        <v>0.11515151515151516</v>
      </c>
      <c r="AF1" s="3">
        <f t="shared" si="1"/>
        <v>0.12835820895522387</v>
      </c>
      <c r="AG1" s="3">
        <f t="shared" si="1"/>
        <v>0</v>
      </c>
      <c r="AH1" s="3">
        <f t="shared" si="1"/>
        <v>0</v>
      </c>
      <c r="AI1" s="3">
        <f t="shared" si="1"/>
        <v>0.12835820895522387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</row>
    <row r="2" spans="1:40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N2" si="2">CANTIDAD_DE_CAMARAS</f>
        <v>584</v>
      </c>
      <c r="N2" s="7">
        <f t="shared" si="2"/>
        <v>584</v>
      </c>
      <c r="O2" s="7">
        <f t="shared" si="2"/>
        <v>584</v>
      </c>
      <c r="P2" s="7">
        <f t="shared" si="2"/>
        <v>584</v>
      </c>
      <c r="Q2" s="7">
        <f t="shared" si="2"/>
        <v>584</v>
      </c>
      <c r="R2" s="7">
        <f t="shared" si="2"/>
        <v>584</v>
      </c>
      <c r="S2" s="7">
        <f t="shared" si="2"/>
        <v>584</v>
      </c>
      <c r="T2" s="7">
        <f t="shared" si="2"/>
        <v>584</v>
      </c>
      <c r="U2" s="7">
        <f t="shared" si="2"/>
        <v>584</v>
      </c>
      <c r="V2" s="7">
        <f t="shared" si="2"/>
        <v>584</v>
      </c>
      <c r="W2" s="7">
        <f t="shared" si="2"/>
        <v>584</v>
      </c>
      <c r="X2" s="7">
        <f t="shared" si="2"/>
        <v>584</v>
      </c>
      <c r="Y2" s="7">
        <f t="shared" si="2"/>
        <v>584</v>
      </c>
      <c r="Z2" s="7">
        <f t="shared" si="2"/>
        <v>584</v>
      </c>
      <c r="AA2" s="7">
        <f t="shared" si="2"/>
        <v>584</v>
      </c>
      <c r="AB2" s="7">
        <f t="shared" si="2"/>
        <v>584</v>
      </c>
      <c r="AC2" s="7">
        <f t="shared" si="2"/>
        <v>584</v>
      </c>
      <c r="AD2" s="7">
        <f t="shared" si="2"/>
        <v>584</v>
      </c>
      <c r="AE2" s="7">
        <f t="shared" si="2"/>
        <v>584</v>
      </c>
      <c r="AF2" s="7">
        <f t="shared" si="2"/>
        <v>584</v>
      </c>
      <c r="AG2" s="7">
        <f t="shared" si="2"/>
        <v>584</v>
      </c>
      <c r="AH2" s="7">
        <f t="shared" si="2"/>
        <v>584</v>
      </c>
      <c r="AI2" s="7">
        <f t="shared" si="2"/>
        <v>584</v>
      </c>
      <c r="AJ2" s="7">
        <f t="shared" si="2"/>
        <v>584</v>
      </c>
      <c r="AK2" s="7">
        <f t="shared" si="2"/>
        <v>584</v>
      </c>
      <c r="AL2" s="7">
        <f t="shared" si="2"/>
        <v>584</v>
      </c>
      <c r="AM2" s="7">
        <f t="shared" si="2"/>
        <v>584</v>
      </c>
      <c r="AN2" s="7">
        <f t="shared" si="2"/>
        <v>584</v>
      </c>
    </row>
    <row r="3" spans="1:40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3">COUNTIF(M7:M744, "apagado")</f>
        <v>69</v>
      </c>
      <c r="N3" s="125">
        <f t="shared" si="3"/>
        <v>68</v>
      </c>
      <c r="O3" s="125">
        <f t="shared" si="3"/>
        <v>66</v>
      </c>
      <c r="P3" s="125">
        <f t="shared" si="3"/>
        <v>71</v>
      </c>
      <c r="Q3" s="125">
        <f t="shared" si="3"/>
        <v>68</v>
      </c>
      <c r="R3" s="125">
        <f t="shared" si="3"/>
        <v>72</v>
      </c>
      <c r="S3" s="125">
        <f t="shared" si="3"/>
        <v>0</v>
      </c>
      <c r="T3" s="125">
        <f t="shared" si="3"/>
        <v>0</v>
      </c>
      <c r="U3" s="125">
        <f t="shared" si="3"/>
        <v>80</v>
      </c>
      <c r="V3" s="125">
        <f t="shared" si="3"/>
        <v>103</v>
      </c>
      <c r="W3" s="125">
        <f t="shared" si="3"/>
        <v>84</v>
      </c>
      <c r="X3" s="125">
        <f t="shared" si="3"/>
        <v>92</v>
      </c>
      <c r="Y3" s="125">
        <f t="shared" si="3"/>
        <v>84</v>
      </c>
      <c r="Z3" s="125">
        <f t="shared" si="3"/>
        <v>0</v>
      </c>
      <c r="AA3" s="125">
        <f t="shared" si="3"/>
        <v>0</v>
      </c>
      <c r="AB3" s="125">
        <f t="shared" si="3"/>
        <v>0</v>
      </c>
      <c r="AC3" s="125">
        <f t="shared" si="3"/>
        <v>0</v>
      </c>
      <c r="AD3" s="125">
        <f t="shared" si="3"/>
        <v>81</v>
      </c>
      <c r="AE3" s="125">
        <f t="shared" si="3"/>
        <v>76</v>
      </c>
      <c r="AF3" s="125">
        <f t="shared" si="3"/>
        <v>86</v>
      </c>
      <c r="AG3" s="125">
        <f t="shared" si="3"/>
        <v>0</v>
      </c>
      <c r="AH3" s="125">
        <f t="shared" si="3"/>
        <v>0</v>
      </c>
      <c r="AI3" s="125">
        <f t="shared" si="3"/>
        <v>86</v>
      </c>
      <c r="AJ3" s="125">
        <f t="shared" si="3"/>
        <v>0</v>
      </c>
      <c r="AK3" s="125">
        <f t="shared" si="3"/>
        <v>0</v>
      </c>
      <c r="AL3" s="125">
        <f t="shared" si="3"/>
        <v>0</v>
      </c>
      <c r="AM3" s="125">
        <f t="shared" si="3"/>
        <v>0</v>
      </c>
      <c r="AN3" s="125">
        <f t="shared" si="3"/>
        <v>0</v>
      </c>
    </row>
    <row r="4" spans="1:40" s="8" customFormat="1" ht="15.75" thickTop="1" x14ac:dyDescent="0.25">
      <c r="A4" s="115"/>
      <c r="B4" s="58"/>
      <c r="C4" s="58"/>
      <c r="D4" s="21" t="s">
        <v>1461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30</v>
      </c>
      <c r="N4" s="10">
        <f>COUNTIFS(N8:N698, "=APAGADO",F8:F698,"=Fibra Optica")</f>
        <v>31</v>
      </c>
      <c r="O4" s="10">
        <f>COUNTIFS(O8:O698, "=APAGADO",F8:F698,"=Fibra Optica")</f>
        <v>30</v>
      </c>
      <c r="P4" s="10">
        <f>COUNTIFS(P8:P698, "=APAGADO",F8:F698,"=Fibra Optica")</f>
        <v>30</v>
      </c>
      <c r="Q4" s="10">
        <f>COUNTIFS(Q8:Q698, "=APAGADO",F8:F698,"=Fibra Optica")</f>
        <v>25</v>
      </c>
      <c r="R4" s="10">
        <f>COUNTIFS(R8:R698, "=APAGADO",F8:F698,"=Fibra Optica")</f>
        <v>27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33</v>
      </c>
      <c r="V4" s="10">
        <f>COUNTIFS(V8:V698, "=APAGADO",F8:F698,"=Fibra Optica")</f>
        <v>55</v>
      </c>
      <c r="W4" s="10">
        <f>COUNTIFS(W8:W698, "=APAGADO",F8:F698,"=Fibra Optica")</f>
        <v>42</v>
      </c>
      <c r="X4" s="10">
        <f>COUNTIFS(X8:X698, "=APAGADO",F8:F698,"=Fibra Optica")</f>
        <v>49</v>
      </c>
      <c r="Y4" s="10">
        <f>COUNTIFS(Y8:Y698, "=APAGADO",F8:F698,"=Fibra Optica")</f>
        <v>44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37</v>
      </c>
      <c r="AE4" s="10">
        <f>COUNTIFS(AE8:AE698, "=APAGADO",F8:F698,"=Fibra Optica")</f>
        <v>36</v>
      </c>
      <c r="AF4" s="10">
        <f>COUNTIFS(AF8:AF698, "=APAGADO",F8:F698,"=Fibra Optica")</f>
        <v>41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41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</row>
    <row r="5" spans="1:40" s="8" customFormat="1" x14ac:dyDescent="0.25">
      <c r="A5" s="115"/>
      <c r="B5" s="58"/>
      <c r="C5" s="58"/>
      <c r="D5" s="126" t="s">
        <v>1462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4</v>
      </c>
      <c r="N5" s="129">
        <f>COUNTIFS(N8:N698, "=APAGADO",F8:F698,"=RADIO")</f>
        <v>3</v>
      </c>
      <c r="O5" s="129">
        <f>COUNTIFS(O8:O698, "=APAGADO",F8:F698,"=RADIO")</f>
        <v>2</v>
      </c>
      <c r="P5" s="129">
        <f>COUNTIFS(P8:P698, "=APAGADO",F8:F698,"=RADIO")</f>
        <v>3</v>
      </c>
      <c r="Q5" s="129">
        <f>COUNTIFS(Q8:Q698, "=APAGADO",F8:F698,"=RADIO")</f>
        <v>3</v>
      </c>
      <c r="R5" s="129">
        <f>COUNTIFS(R8:R698, "=APAGADO",F8:F698,"=RADIO")</f>
        <v>2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3</v>
      </c>
      <c r="V5" s="129">
        <f>COUNTIFS(V8:V698, "=APAGADO",F8:F698,"=RADIO")</f>
        <v>3</v>
      </c>
      <c r="W5" s="129">
        <f>COUNTIFS(W8:W698, "=APAGADO",F8:F698,"=RADIO")</f>
        <v>3</v>
      </c>
      <c r="X5" s="129">
        <f>COUNTIFS(X8:X698, "=APAGADO",F8:F698,"=RADIO")</f>
        <v>3</v>
      </c>
      <c r="Y5" s="129">
        <f>COUNTIFS(Y8:Y698, "=APAGADO",F8:F698,"=RADIO")</f>
        <v>3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3</v>
      </c>
      <c r="AE5" s="129">
        <f>COUNTIFS(AE8:AE698, "=APAGADO",F8:F698,"=RADIO")</f>
        <v>3</v>
      </c>
      <c r="AF5" s="129">
        <f>COUNTIFS(AF8:AF698, "=APAGADO",F8:F698,"=RADIO")</f>
        <v>4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4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</row>
    <row r="6" spans="1:40" s="8" customFormat="1" ht="17.25" customHeight="1" thickBot="1" x14ac:dyDescent="0.3">
      <c r="A6" s="115"/>
      <c r="B6" s="58"/>
      <c r="C6" s="58"/>
      <c r="D6" s="21" t="s">
        <v>1463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10</v>
      </c>
      <c r="N6" s="10">
        <f>COUNTIFS(N8:N698, "=APAGADO",F8:F698,"=PTO A FO")</f>
        <v>11</v>
      </c>
      <c r="O6" s="10">
        <f>COUNTIFS(O8:O698, "=APAGADO",F8:F698,"=PTO A FO")</f>
        <v>11</v>
      </c>
      <c r="P6" s="10">
        <f>COUNTIFS(P8:P698, "=APAGADO",F8:F698,"=PTO A FO")</f>
        <v>13</v>
      </c>
      <c r="Q6" s="10">
        <f>COUNTIFS(Q8:Q698, "=APAGADO",F8:F698,"=PTO A FO")</f>
        <v>16</v>
      </c>
      <c r="R6" s="10">
        <f>COUNTIFS(R8:R698, "=APAGADO",F8:F698,"=PTO A FO")</f>
        <v>17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16</v>
      </c>
      <c r="V6" s="10">
        <f>COUNTIFS(V8:V698, "=APAGADO",F8:F698,"=PTO A FO")</f>
        <v>14</v>
      </c>
      <c r="W6" s="10">
        <f>COUNTIFS(W8:W698, "=APAGADO",F8:F698,"=PTO A FO")</f>
        <v>11</v>
      </c>
      <c r="X6" s="10">
        <f>COUNTIFS(X8:X698, "=APAGADO",F8:F698,"=PTO A FO")</f>
        <v>13</v>
      </c>
      <c r="Y6" s="10">
        <f>COUNTIFS(Y8:Y698, "=APAGADO",F8:F698,"=PTO A FO")</f>
        <v>11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10</v>
      </c>
      <c r="AE6" s="10">
        <f>COUNTIFS(AE8:AE698, "=APAGADO",F8:F698,"=PTO A FO")</f>
        <v>9</v>
      </c>
      <c r="AF6" s="10">
        <f>COUNTIFS(AF8:AF698, "=APAGADO",F8:F698,"=PTO A FO")</f>
        <v>8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8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</row>
    <row r="7" spans="1:40" s="119" customFormat="1" ht="18.75" customHeight="1" thickTop="1" thickBot="1" x14ac:dyDescent="0.35">
      <c r="A7" s="35" t="s">
        <v>7</v>
      </c>
      <c r="B7" s="116" t="s">
        <v>8</v>
      </c>
      <c r="C7" s="35" t="s">
        <v>1059</v>
      </c>
      <c r="D7" s="35" t="s">
        <v>9</v>
      </c>
      <c r="E7" s="116" t="s">
        <v>10</v>
      </c>
      <c r="F7" s="116" t="s">
        <v>11</v>
      </c>
      <c r="G7" s="116" t="s">
        <v>1246</v>
      </c>
      <c r="H7" s="116"/>
      <c r="I7" s="19" t="s">
        <v>2</v>
      </c>
      <c r="J7" s="19" t="s">
        <v>1657</v>
      </c>
      <c r="K7" s="19" t="s">
        <v>3</v>
      </c>
      <c r="L7" s="117" t="s">
        <v>4</v>
      </c>
      <c r="M7" s="118">
        <v>46054</v>
      </c>
      <c r="N7" s="118">
        <v>46055</v>
      </c>
      <c r="O7" s="118">
        <v>46056</v>
      </c>
      <c r="P7" s="118">
        <v>46057</v>
      </c>
      <c r="Q7" s="118">
        <v>46058</v>
      </c>
      <c r="R7" s="118">
        <v>46059</v>
      </c>
      <c r="S7" s="118">
        <v>46060</v>
      </c>
      <c r="T7" s="118">
        <v>46061</v>
      </c>
      <c r="U7" s="118">
        <v>46062</v>
      </c>
      <c r="V7" s="118">
        <v>46063</v>
      </c>
      <c r="W7" s="118">
        <v>46064</v>
      </c>
      <c r="X7" s="118">
        <v>46065</v>
      </c>
      <c r="Y7" s="118">
        <v>46066</v>
      </c>
      <c r="Z7" s="118">
        <v>46067</v>
      </c>
      <c r="AA7" s="118">
        <v>46068</v>
      </c>
      <c r="AB7" s="118">
        <v>46069</v>
      </c>
      <c r="AC7" s="118">
        <v>46070</v>
      </c>
      <c r="AD7" s="118">
        <v>46071</v>
      </c>
      <c r="AE7" s="118">
        <v>46072</v>
      </c>
      <c r="AF7" s="118">
        <v>46073</v>
      </c>
      <c r="AG7" s="118">
        <v>46074</v>
      </c>
      <c r="AH7" s="118">
        <v>46075</v>
      </c>
      <c r="AI7" s="118">
        <v>46076</v>
      </c>
      <c r="AJ7" s="118">
        <v>46077</v>
      </c>
      <c r="AK7" s="118">
        <v>46078</v>
      </c>
      <c r="AL7" s="118">
        <v>46079</v>
      </c>
      <c r="AM7" s="118">
        <v>46080</v>
      </c>
      <c r="AN7" s="118">
        <v>46081</v>
      </c>
    </row>
    <row r="8" spans="1:40" ht="15.75" hidden="1" thickBot="1" x14ac:dyDescent="0.3">
      <c r="A8" t="s">
        <v>26</v>
      </c>
      <c r="B8" t="s">
        <v>29</v>
      </c>
      <c r="C8" t="s">
        <v>1060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16</v>
      </c>
      <c r="J8" s="146" t="s">
        <v>1658</v>
      </c>
      <c r="K8" s="31">
        <f t="shared" ref="K8:K86" si="5">COUNTIF(M8:AN8,"APAGADO")</f>
        <v>12</v>
      </c>
      <c r="L8" s="32">
        <f t="shared" ref="L8:L86" si="6">(I8)/(K8+I8)</f>
        <v>0.5714285714285714</v>
      </c>
      <c r="M8" s="70"/>
      <c r="N8" s="70"/>
      <c r="O8" s="70"/>
      <c r="P8" s="70" t="s">
        <v>2279</v>
      </c>
      <c r="Q8" s="70" t="s">
        <v>2279</v>
      </c>
      <c r="R8" s="70" t="s">
        <v>2279</v>
      </c>
      <c r="S8" s="70"/>
      <c r="T8" s="70"/>
      <c r="U8" s="70" t="s">
        <v>2279</v>
      </c>
      <c r="V8" s="70" t="s">
        <v>2279</v>
      </c>
      <c r="W8" s="70" t="s">
        <v>2279</v>
      </c>
      <c r="X8" s="70" t="s">
        <v>2279</v>
      </c>
      <c r="Y8" s="70" t="s">
        <v>2279</v>
      </c>
      <c r="Z8" s="70"/>
      <c r="AA8" s="70"/>
      <c r="AB8" s="70"/>
      <c r="AC8" s="70"/>
      <c r="AD8" s="70" t="s">
        <v>2279</v>
      </c>
      <c r="AE8" s="70" t="s">
        <v>2279</v>
      </c>
      <c r="AF8" s="70" t="s">
        <v>2279</v>
      </c>
      <c r="AG8" s="70"/>
      <c r="AH8" s="70"/>
      <c r="AI8" s="70" t="s">
        <v>2279</v>
      </c>
      <c r="AJ8" s="70"/>
      <c r="AK8" s="70"/>
      <c r="AL8" s="70"/>
      <c r="AM8" s="70"/>
      <c r="AN8" s="70"/>
    </row>
    <row r="9" spans="1:40" ht="15.75" hidden="1" thickBot="1" x14ac:dyDescent="0.3">
      <c r="A9" t="s">
        <v>26</v>
      </c>
      <c r="B9" t="s">
        <v>31</v>
      </c>
      <c r="C9" t="s">
        <v>1060</v>
      </c>
      <c r="D9" t="s">
        <v>32</v>
      </c>
      <c r="E9" s="30" t="s">
        <v>19</v>
      </c>
      <c r="F9" s="30" t="s">
        <v>1054</v>
      </c>
      <c r="G9" s="30" t="s">
        <v>1249</v>
      </c>
      <c r="H9" s="30" t="s">
        <v>611</v>
      </c>
      <c r="I9" s="31">
        <f t="shared" si="4"/>
        <v>13</v>
      </c>
      <c r="J9" s="146" t="s">
        <v>1659</v>
      </c>
      <c r="K9" s="31">
        <f t="shared" si="5"/>
        <v>15</v>
      </c>
      <c r="L9" s="32">
        <f t="shared" si="6"/>
        <v>0.4642857142857143</v>
      </c>
      <c r="M9" s="70" t="s">
        <v>2279</v>
      </c>
      <c r="N9" s="70" t="s">
        <v>2279</v>
      </c>
      <c r="O9" s="70" t="s">
        <v>2279</v>
      </c>
      <c r="P9" s="70" t="s">
        <v>2279</v>
      </c>
      <c r="Q9" s="70" t="s">
        <v>2279</v>
      </c>
      <c r="R9" s="70" t="s">
        <v>2279</v>
      </c>
      <c r="S9" s="70"/>
      <c r="T9" s="70"/>
      <c r="U9" s="70" t="s">
        <v>2279</v>
      </c>
      <c r="V9" s="70" t="s">
        <v>2279</v>
      </c>
      <c r="W9" s="70" t="s">
        <v>2279</v>
      </c>
      <c r="X9" s="70" t="s">
        <v>2279</v>
      </c>
      <c r="Y9" s="70" t="s">
        <v>2279</v>
      </c>
      <c r="Z9" s="70"/>
      <c r="AA9" s="70"/>
      <c r="AB9" s="70"/>
      <c r="AC9" s="70"/>
      <c r="AD9" s="70" t="s">
        <v>2279</v>
      </c>
      <c r="AE9" s="70" t="s">
        <v>2279</v>
      </c>
      <c r="AF9" s="70" t="s">
        <v>2279</v>
      </c>
      <c r="AG9" s="70"/>
      <c r="AH9" s="70"/>
      <c r="AI9" s="70" t="s">
        <v>2279</v>
      </c>
      <c r="AJ9" s="70"/>
      <c r="AK9" s="70"/>
      <c r="AL9" s="70"/>
      <c r="AM9" s="70"/>
      <c r="AN9" s="70"/>
    </row>
    <row r="10" spans="1:40" s="73" customFormat="1" ht="15.75" hidden="1" thickBot="1" x14ac:dyDescent="0.3">
      <c r="A10" s="73" t="s">
        <v>26</v>
      </c>
      <c r="B10" s="73" t="s">
        <v>912</v>
      </c>
      <c r="C10" s="73" t="s">
        <v>1060</v>
      </c>
      <c r="D10" s="73" t="s">
        <v>33</v>
      </c>
      <c r="E10" s="85" t="s">
        <v>19</v>
      </c>
      <c r="F10" s="85" t="s">
        <v>1299</v>
      </c>
      <c r="G10" s="85"/>
      <c r="H10" s="85" t="s">
        <v>612</v>
      </c>
      <c r="I10" s="141">
        <f t="shared" si="4"/>
        <v>28</v>
      </c>
      <c r="J10" s="146" t="s">
        <v>1660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40" s="73" customFormat="1" ht="15.75" hidden="1" thickBot="1" x14ac:dyDescent="0.3">
      <c r="A11" s="73" t="s">
        <v>26</v>
      </c>
      <c r="B11" s="73" t="s">
        <v>913</v>
      </c>
      <c r="C11" s="73" t="s">
        <v>1060</v>
      </c>
      <c r="D11" s="73" t="s">
        <v>34</v>
      </c>
      <c r="E11" s="85" t="s">
        <v>19</v>
      </c>
      <c r="F11" s="85" t="s">
        <v>1299</v>
      </c>
      <c r="G11" s="85"/>
      <c r="H11" s="85" t="s">
        <v>613</v>
      </c>
      <c r="I11" s="141">
        <f t="shared" si="4"/>
        <v>28</v>
      </c>
      <c r="J11" s="146" t="s">
        <v>1661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s="73" customFormat="1" ht="15.75" hidden="1" thickBot="1" x14ac:dyDescent="0.3">
      <c r="A12" s="73" t="s">
        <v>26</v>
      </c>
      <c r="B12" s="73" t="s">
        <v>35</v>
      </c>
      <c r="C12" s="73" t="s">
        <v>1060</v>
      </c>
      <c r="D12" s="73" t="s">
        <v>36</v>
      </c>
      <c r="E12" s="85" t="s">
        <v>19</v>
      </c>
      <c r="F12" s="85" t="s">
        <v>1299</v>
      </c>
      <c r="G12" s="85" t="s">
        <v>1248</v>
      </c>
      <c r="H12" s="85" t="s">
        <v>614</v>
      </c>
      <c r="I12" s="141">
        <f t="shared" si="4"/>
        <v>28</v>
      </c>
      <c r="J12" s="148" t="s">
        <v>1662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40" s="73" customFormat="1" ht="15.75" hidden="1" thickBot="1" x14ac:dyDescent="0.3">
      <c r="A13" s="73" t="s">
        <v>26</v>
      </c>
      <c r="B13" s="73" t="s">
        <v>914</v>
      </c>
      <c r="C13" s="73" t="s">
        <v>1060</v>
      </c>
      <c r="D13" s="73" t="s">
        <v>27</v>
      </c>
      <c r="E13" s="85" t="s">
        <v>19</v>
      </c>
      <c r="F13" s="85" t="s">
        <v>1299</v>
      </c>
      <c r="G13" s="85" t="s">
        <v>1248</v>
      </c>
      <c r="H13" s="85" t="s">
        <v>615</v>
      </c>
      <c r="I13" s="141">
        <f t="shared" si="4"/>
        <v>28</v>
      </c>
      <c r="J13" s="146" t="s">
        <v>1663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40" ht="15.75" hidden="1" thickBot="1" x14ac:dyDescent="0.3">
      <c r="A14" t="s">
        <v>26</v>
      </c>
      <c r="B14" t="s">
        <v>37</v>
      </c>
      <c r="C14" t="s">
        <v>1060</v>
      </c>
      <c r="D14" t="s">
        <v>38</v>
      </c>
      <c r="E14" s="30" t="s">
        <v>15</v>
      </c>
      <c r="F14" s="30" t="s">
        <v>1054</v>
      </c>
      <c r="G14" s="30" t="s">
        <v>1249</v>
      </c>
      <c r="H14" s="30" t="s">
        <v>617</v>
      </c>
      <c r="I14" s="31">
        <f t="shared" si="4"/>
        <v>16</v>
      </c>
      <c r="J14" s="146" t="s">
        <v>1664</v>
      </c>
      <c r="K14" s="31">
        <f t="shared" si="5"/>
        <v>12</v>
      </c>
      <c r="L14" s="32">
        <f t="shared" si="6"/>
        <v>0.5714285714285714</v>
      </c>
      <c r="M14" s="70"/>
      <c r="N14" s="70"/>
      <c r="O14" s="70"/>
      <c r="P14" s="70" t="s">
        <v>2279</v>
      </c>
      <c r="Q14" s="70" t="s">
        <v>2279</v>
      </c>
      <c r="R14" s="70" t="s">
        <v>2279</v>
      </c>
      <c r="S14" s="70"/>
      <c r="T14" s="70"/>
      <c r="U14" s="70" t="s">
        <v>2279</v>
      </c>
      <c r="V14" s="70" t="s">
        <v>2279</v>
      </c>
      <c r="W14" s="70" t="s">
        <v>2279</v>
      </c>
      <c r="X14" s="70" t="s">
        <v>2279</v>
      </c>
      <c r="Y14" s="70" t="s">
        <v>2279</v>
      </c>
      <c r="Z14" s="70"/>
      <c r="AA14" s="70"/>
      <c r="AB14" s="70"/>
      <c r="AC14" s="70"/>
      <c r="AD14" s="70" t="s">
        <v>2279</v>
      </c>
      <c r="AE14" s="70" t="s">
        <v>2279</v>
      </c>
      <c r="AF14" s="70" t="s">
        <v>2279</v>
      </c>
      <c r="AG14" s="70"/>
      <c r="AH14" s="70"/>
      <c r="AI14" s="70" t="s">
        <v>2279</v>
      </c>
      <c r="AJ14" s="70"/>
      <c r="AK14" s="70"/>
      <c r="AL14" s="70"/>
      <c r="AM14" s="70"/>
      <c r="AN14" s="70"/>
    </row>
    <row r="15" spans="1:40" ht="15.75" hidden="1" thickBot="1" x14ac:dyDescent="0.3">
      <c r="A15" t="s">
        <v>26</v>
      </c>
      <c r="B15" t="s">
        <v>915</v>
      </c>
      <c r="C15" t="s">
        <v>1060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1665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40" ht="15.75" hidden="1" thickBot="1" x14ac:dyDescent="0.3">
      <c r="A16" t="s">
        <v>26</v>
      </c>
      <c r="B16" t="s">
        <v>916</v>
      </c>
      <c r="C16" t="s">
        <v>1060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1666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73" customFormat="1" ht="15.75" hidden="1" thickBot="1" x14ac:dyDescent="0.3">
      <c r="A17" s="73" t="s">
        <v>26</v>
      </c>
      <c r="B17" s="73" t="s">
        <v>917</v>
      </c>
      <c r="C17" s="73" t="s">
        <v>1060</v>
      </c>
      <c r="D17" s="73" t="s">
        <v>918</v>
      </c>
      <c r="E17" s="85" t="s">
        <v>19</v>
      </c>
      <c r="F17" s="85" t="s">
        <v>1299</v>
      </c>
      <c r="G17" s="85"/>
      <c r="H17" s="85" t="s">
        <v>1211</v>
      </c>
      <c r="I17" s="141">
        <f t="shared" si="4"/>
        <v>28</v>
      </c>
      <c r="J17" s="149" t="s">
        <v>1667</v>
      </c>
      <c r="K17" s="141">
        <f t="shared" si="5"/>
        <v>0</v>
      </c>
      <c r="L17" s="142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ht="15.75" hidden="1" thickBot="1" x14ac:dyDescent="0.3">
      <c r="A18" t="s">
        <v>26</v>
      </c>
      <c r="B18" t="s">
        <v>1524</v>
      </c>
      <c r="C18" t="s">
        <v>1060</v>
      </c>
      <c r="D18" s="68" t="s">
        <v>1525</v>
      </c>
      <c r="E18" s="30" t="s">
        <v>73</v>
      </c>
      <c r="F18" s="85" t="s">
        <v>1299</v>
      </c>
      <c r="G18" s="30"/>
      <c r="H18" s="30" t="s">
        <v>1526</v>
      </c>
      <c r="I18" s="31">
        <f t="shared" si="4"/>
        <v>28</v>
      </c>
      <c r="J18" s="87" t="s">
        <v>2150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ht="15.75" hidden="1" thickBot="1" x14ac:dyDescent="0.3">
      <c r="A19" t="s">
        <v>41</v>
      </c>
      <c r="B19" t="s">
        <v>919</v>
      </c>
      <c r="C19" t="s">
        <v>1060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13</v>
      </c>
      <c r="J19" s="146" t="s">
        <v>1668</v>
      </c>
      <c r="K19" s="31">
        <f t="shared" si="5"/>
        <v>15</v>
      </c>
      <c r="L19" s="32">
        <f t="shared" si="6"/>
        <v>0.4642857142857143</v>
      </c>
      <c r="M19" s="70" t="s">
        <v>2279</v>
      </c>
      <c r="N19" s="70" t="s">
        <v>2279</v>
      </c>
      <c r="O19" s="70" t="s">
        <v>2279</v>
      </c>
      <c r="P19" s="70" t="s">
        <v>2279</v>
      </c>
      <c r="Q19" s="70" t="s">
        <v>2279</v>
      </c>
      <c r="R19" s="70" t="s">
        <v>2279</v>
      </c>
      <c r="S19" s="70"/>
      <c r="T19" s="70"/>
      <c r="U19" s="70" t="s">
        <v>2279</v>
      </c>
      <c r="V19" s="70" t="s">
        <v>2279</v>
      </c>
      <c r="W19" s="70" t="s">
        <v>2279</v>
      </c>
      <c r="X19" s="70" t="s">
        <v>2279</v>
      </c>
      <c r="Y19" s="70" t="s">
        <v>2279</v>
      </c>
      <c r="Z19" s="71"/>
      <c r="AA19" s="70"/>
      <c r="AB19" s="70"/>
      <c r="AC19" s="70"/>
      <c r="AD19" s="70" t="s">
        <v>2279</v>
      </c>
      <c r="AE19" s="70" t="s">
        <v>2279</v>
      </c>
      <c r="AF19" s="70" t="s">
        <v>2279</v>
      </c>
      <c r="AG19" s="70"/>
      <c r="AH19" s="70"/>
      <c r="AI19" s="70" t="s">
        <v>2279</v>
      </c>
      <c r="AJ19" s="70"/>
      <c r="AK19" s="70"/>
      <c r="AL19" s="70"/>
      <c r="AM19" s="70"/>
      <c r="AN19" s="70"/>
    </row>
    <row r="20" spans="1:40" s="73" customFormat="1" ht="15.75" hidden="1" thickBot="1" x14ac:dyDescent="0.3">
      <c r="A20" s="73" t="s">
        <v>41</v>
      </c>
      <c r="B20" s="73" t="s">
        <v>1538</v>
      </c>
      <c r="C20" s="73" t="s">
        <v>1060</v>
      </c>
      <c r="D20" s="73" t="s">
        <v>1539</v>
      </c>
      <c r="E20" s="85" t="s">
        <v>73</v>
      </c>
      <c r="F20" s="85" t="s">
        <v>1299</v>
      </c>
      <c r="G20" s="85"/>
      <c r="H20" s="85" t="s">
        <v>1540</v>
      </c>
      <c r="I20" s="31">
        <f t="shared" si="4"/>
        <v>13</v>
      </c>
      <c r="J20" s="146" t="s">
        <v>1669</v>
      </c>
      <c r="K20" s="31">
        <f t="shared" si="5"/>
        <v>15</v>
      </c>
      <c r="L20" s="32">
        <f t="shared" si="6"/>
        <v>0.4642857142857143</v>
      </c>
      <c r="M20" s="70" t="s">
        <v>2279</v>
      </c>
      <c r="N20" s="70" t="s">
        <v>2279</v>
      </c>
      <c r="O20" s="70" t="s">
        <v>2279</v>
      </c>
      <c r="P20" s="70" t="s">
        <v>2279</v>
      </c>
      <c r="Q20" s="70" t="s">
        <v>2279</v>
      </c>
      <c r="R20" s="70" t="s">
        <v>2279</v>
      </c>
      <c r="S20" s="70"/>
      <c r="T20" s="70"/>
      <c r="U20" s="70" t="s">
        <v>2279</v>
      </c>
      <c r="V20" s="70" t="s">
        <v>2279</v>
      </c>
      <c r="W20" s="70" t="s">
        <v>2279</v>
      </c>
      <c r="X20" s="70" t="s">
        <v>2279</v>
      </c>
      <c r="Y20" s="70" t="s">
        <v>2279</v>
      </c>
      <c r="Z20" s="71"/>
      <c r="AA20" s="70"/>
      <c r="AB20" s="70"/>
      <c r="AC20" s="70"/>
      <c r="AD20" s="70" t="s">
        <v>2279</v>
      </c>
      <c r="AE20" s="70" t="s">
        <v>2279</v>
      </c>
      <c r="AF20" s="70" t="s">
        <v>2279</v>
      </c>
      <c r="AG20" s="70"/>
      <c r="AH20" s="70"/>
      <c r="AI20" s="70" t="s">
        <v>2279</v>
      </c>
      <c r="AJ20" s="70"/>
      <c r="AK20" s="70"/>
      <c r="AL20" s="70"/>
      <c r="AM20" s="70"/>
      <c r="AN20" s="70"/>
    </row>
    <row r="21" spans="1:40" s="73" customFormat="1" ht="15.75" hidden="1" thickBot="1" x14ac:dyDescent="0.3">
      <c r="A21" s="73" t="s">
        <v>41</v>
      </c>
      <c r="B21" s="73" t="s">
        <v>1567</v>
      </c>
      <c r="C21" s="73" t="s">
        <v>1060</v>
      </c>
      <c r="D21" s="73" t="s">
        <v>1568</v>
      </c>
      <c r="E21" s="85" t="s">
        <v>73</v>
      </c>
      <c r="F21" s="85" t="s">
        <v>1299</v>
      </c>
      <c r="G21" s="85"/>
      <c r="H21" s="85" t="s">
        <v>1569</v>
      </c>
      <c r="I21" s="31">
        <f t="shared" si="4"/>
        <v>28</v>
      </c>
      <c r="J21" s="146" t="s">
        <v>1670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ht="15.75" hidden="1" thickBot="1" x14ac:dyDescent="0.3">
      <c r="A22" t="s">
        <v>43</v>
      </c>
      <c r="B22" t="s">
        <v>920</v>
      </c>
      <c r="C22" t="s">
        <v>1060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1671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ht="15.75" hidden="1" thickBot="1" x14ac:dyDescent="0.3">
      <c r="A23" t="s">
        <v>43</v>
      </c>
      <c r="B23" t="s">
        <v>1266</v>
      </c>
      <c r="C23" t="s">
        <v>1060</v>
      </c>
      <c r="D23" t="s">
        <v>1267</v>
      </c>
      <c r="E23" s="30" t="s">
        <v>15</v>
      </c>
      <c r="F23" s="30" t="s">
        <v>28</v>
      </c>
      <c r="G23" s="30"/>
      <c r="H23" s="30" t="s">
        <v>1354</v>
      </c>
      <c r="I23" s="31">
        <f t="shared" si="4"/>
        <v>28</v>
      </c>
      <c r="J23" s="146" t="s">
        <v>1672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ht="15.75" hidden="1" thickBot="1" x14ac:dyDescent="0.3">
      <c r="A24" t="s">
        <v>1192</v>
      </c>
      <c r="B24" s="30" t="s">
        <v>1176</v>
      </c>
      <c r="C24" s="30" t="s">
        <v>1061</v>
      </c>
      <c r="D24" t="s">
        <v>1160</v>
      </c>
      <c r="E24" s="30" t="s">
        <v>73</v>
      </c>
      <c r="F24" s="30" t="s">
        <v>1054</v>
      </c>
      <c r="G24" s="30"/>
      <c r="H24" s="30" t="s">
        <v>1163</v>
      </c>
      <c r="I24" s="31">
        <f t="shared" si="4"/>
        <v>24</v>
      </c>
      <c r="J24" s="146" t="s">
        <v>1673</v>
      </c>
      <c r="K24" s="31">
        <f t="shared" si="5"/>
        <v>4</v>
      </c>
      <c r="L24" s="32">
        <f t="shared" si="6"/>
        <v>0.8571428571428571</v>
      </c>
      <c r="M24" s="70"/>
      <c r="N24" s="70"/>
      <c r="O24" s="70"/>
      <c r="P24" s="70"/>
      <c r="Q24" s="70" t="s">
        <v>2279</v>
      </c>
      <c r="R24" s="70" t="s">
        <v>2279</v>
      </c>
      <c r="S24" s="70"/>
      <c r="T24" s="70"/>
      <c r="U24" s="70" t="s">
        <v>2279</v>
      </c>
      <c r="V24" s="70" t="s">
        <v>2279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</row>
    <row r="25" spans="1:40" ht="15.75" hidden="1" thickBot="1" x14ac:dyDescent="0.3">
      <c r="A25" t="s">
        <v>1192</v>
      </c>
      <c r="B25" s="30" t="s">
        <v>1177</v>
      </c>
      <c r="C25" s="30" t="s">
        <v>1061</v>
      </c>
      <c r="D25" t="s">
        <v>1160</v>
      </c>
      <c r="E25" s="30" t="s">
        <v>73</v>
      </c>
      <c r="F25" s="30" t="s">
        <v>1054</v>
      </c>
      <c r="G25" s="30"/>
      <c r="H25" s="30" t="s">
        <v>1164</v>
      </c>
      <c r="I25" s="31">
        <f t="shared" si="4"/>
        <v>24</v>
      </c>
      <c r="J25" s="146" t="s">
        <v>1674</v>
      </c>
      <c r="K25" s="31">
        <f t="shared" si="5"/>
        <v>4</v>
      </c>
      <c r="L25" s="32">
        <f t="shared" si="6"/>
        <v>0.8571428571428571</v>
      </c>
      <c r="M25" s="70"/>
      <c r="N25" s="70"/>
      <c r="O25" s="70"/>
      <c r="P25" s="70"/>
      <c r="Q25" s="70" t="s">
        <v>2279</v>
      </c>
      <c r="R25" s="70" t="s">
        <v>2279</v>
      </c>
      <c r="S25" s="70"/>
      <c r="T25" s="70"/>
      <c r="U25" s="70" t="s">
        <v>2279</v>
      </c>
      <c r="V25" s="70" t="s">
        <v>2279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</row>
    <row r="26" spans="1:40" ht="15.75" hidden="1" thickBot="1" x14ac:dyDescent="0.3">
      <c r="A26" t="s">
        <v>1192</v>
      </c>
      <c r="B26" s="30" t="s">
        <v>1175</v>
      </c>
      <c r="C26" s="30" t="s">
        <v>1061</v>
      </c>
      <c r="D26" t="s">
        <v>1159</v>
      </c>
      <c r="E26" s="30" t="s">
        <v>73</v>
      </c>
      <c r="F26" s="30" t="s">
        <v>1054</v>
      </c>
      <c r="G26" s="30"/>
      <c r="H26" s="30" t="s">
        <v>1162</v>
      </c>
      <c r="I26" s="31">
        <f t="shared" si="4"/>
        <v>24</v>
      </c>
      <c r="J26" s="146" t="s">
        <v>1675</v>
      </c>
      <c r="K26" s="31">
        <f t="shared" si="5"/>
        <v>4</v>
      </c>
      <c r="L26" s="32">
        <f t="shared" si="6"/>
        <v>0.8571428571428571</v>
      </c>
      <c r="M26" s="70"/>
      <c r="N26" s="70"/>
      <c r="O26" s="70"/>
      <c r="P26" s="70"/>
      <c r="Q26" s="70" t="s">
        <v>2279</v>
      </c>
      <c r="R26" s="70" t="s">
        <v>2279</v>
      </c>
      <c r="S26" s="70"/>
      <c r="T26" s="70"/>
      <c r="U26" s="70" t="s">
        <v>2279</v>
      </c>
      <c r="V26" s="70" t="s">
        <v>2279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</row>
    <row r="27" spans="1:40" ht="15.75" hidden="1" thickBot="1" x14ac:dyDescent="0.3">
      <c r="A27" t="s">
        <v>1192</v>
      </c>
      <c r="B27" s="30" t="s">
        <v>1174</v>
      </c>
      <c r="C27" s="30" t="s">
        <v>1061</v>
      </c>
      <c r="D27" t="s">
        <v>1159</v>
      </c>
      <c r="E27" s="30" t="s">
        <v>73</v>
      </c>
      <c r="F27" s="30" t="s">
        <v>1054</v>
      </c>
      <c r="G27" s="30"/>
      <c r="H27" s="30" t="s">
        <v>1169</v>
      </c>
      <c r="I27" s="31">
        <f t="shared" si="4"/>
        <v>24</v>
      </c>
      <c r="J27" s="146" t="s">
        <v>1676</v>
      </c>
      <c r="K27" s="31">
        <f t="shared" si="5"/>
        <v>4</v>
      </c>
      <c r="L27" s="32">
        <f t="shared" si="6"/>
        <v>0.8571428571428571</v>
      </c>
      <c r="M27" s="70"/>
      <c r="N27" s="70"/>
      <c r="O27" s="70"/>
      <c r="P27" s="70"/>
      <c r="Q27" s="70" t="s">
        <v>2279</v>
      </c>
      <c r="R27" s="70" t="s">
        <v>2279</v>
      </c>
      <c r="S27" s="70"/>
      <c r="T27" s="70"/>
      <c r="U27" s="70" t="s">
        <v>2279</v>
      </c>
      <c r="V27" s="70" t="s">
        <v>2279</v>
      </c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</row>
    <row r="28" spans="1:40" ht="15.75" hidden="1" thickBot="1" x14ac:dyDescent="0.3">
      <c r="A28" t="s">
        <v>1192</v>
      </c>
      <c r="B28" s="30" t="s">
        <v>1178</v>
      </c>
      <c r="C28" s="30" t="s">
        <v>1061</v>
      </c>
      <c r="D28" t="s">
        <v>1161</v>
      </c>
      <c r="E28" s="30" t="s">
        <v>73</v>
      </c>
      <c r="F28" s="30" t="s">
        <v>1054</v>
      </c>
      <c r="G28" s="30"/>
      <c r="H28" s="30" t="s">
        <v>1165</v>
      </c>
      <c r="I28" s="31">
        <f t="shared" si="4"/>
        <v>28</v>
      </c>
      <c r="J28" s="146" t="s">
        <v>1677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ht="15.75" hidden="1" thickBot="1" x14ac:dyDescent="0.3">
      <c r="A29" t="s">
        <v>1192</v>
      </c>
      <c r="B29" s="30" t="s">
        <v>1179</v>
      </c>
      <c r="C29" s="30" t="s">
        <v>1061</v>
      </c>
      <c r="D29" t="s">
        <v>1161</v>
      </c>
      <c r="E29" s="30" t="s">
        <v>73</v>
      </c>
      <c r="F29" s="30" t="s">
        <v>1054</v>
      </c>
      <c r="G29" s="30"/>
      <c r="H29" s="30" t="s">
        <v>1166</v>
      </c>
      <c r="I29" s="31">
        <f t="shared" si="4"/>
        <v>28</v>
      </c>
      <c r="J29" s="146" t="s">
        <v>1678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73" customFormat="1" ht="15.75" hidden="1" thickBot="1" x14ac:dyDescent="0.3">
      <c r="A30" s="73" t="s">
        <v>1192</v>
      </c>
      <c r="B30" s="85" t="s">
        <v>2319</v>
      </c>
      <c r="C30" s="73" t="s">
        <v>1060</v>
      </c>
      <c r="D30" s="73" t="s">
        <v>1345</v>
      </c>
      <c r="E30" s="85" t="s">
        <v>19</v>
      </c>
      <c r="F30" s="85" t="s">
        <v>1299</v>
      </c>
      <c r="G30" s="85"/>
      <c r="H30" s="85" t="s">
        <v>1352</v>
      </c>
      <c r="I30" s="141">
        <f t="shared" si="4"/>
        <v>28</v>
      </c>
      <c r="J30" s="146" t="s">
        <v>1679</v>
      </c>
      <c r="K30" s="141">
        <f t="shared" si="5"/>
        <v>0</v>
      </c>
      <c r="L30" s="142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</row>
    <row r="31" spans="1:40" s="73" customFormat="1" ht="15.75" hidden="1" thickBot="1" x14ac:dyDescent="0.3">
      <c r="A31" s="73" t="s">
        <v>1192</v>
      </c>
      <c r="B31" s="85" t="s">
        <v>2320</v>
      </c>
      <c r="C31" s="85" t="s">
        <v>1061</v>
      </c>
      <c r="D31" s="73" t="s">
        <v>1592</v>
      </c>
      <c r="E31" s="85" t="s">
        <v>19</v>
      </c>
      <c r="F31" s="85" t="s">
        <v>1299</v>
      </c>
      <c r="G31" s="85"/>
      <c r="H31" s="85" t="s">
        <v>1593</v>
      </c>
      <c r="I31" s="141">
        <f t="shared" si="4"/>
        <v>28</v>
      </c>
      <c r="J31" s="87" t="s">
        <v>2151</v>
      </c>
      <c r="K31" s="141">
        <f t="shared" si="5"/>
        <v>0</v>
      </c>
      <c r="L31" s="142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</row>
    <row r="32" spans="1:40" s="73" customFormat="1" ht="15.75" hidden="1" thickBot="1" x14ac:dyDescent="0.3">
      <c r="A32" s="73" t="s">
        <v>1192</v>
      </c>
      <c r="B32" s="85" t="s">
        <v>2321</v>
      </c>
      <c r="C32" s="85" t="s">
        <v>1061</v>
      </c>
      <c r="D32" s="73" t="s">
        <v>1596</v>
      </c>
      <c r="E32" s="85" t="s">
        <v>73</v>
      </c>
      <c r="F32" s="85" t="s">
        <v>1299</v>
      </c>
      <c r="G32" s="85"/>
      <c r="H32" s="85" t="s">
        <v>1594</v>
      </c>
      <c r="I32" s="141">
        <f t="shared" si="4"/>
        <v>28</v>
      </c>
      <c r="J32" s="87" t="s">
        <v>2152</v>
      </c>
      <c r="K32" s="141">
        <f t="shared" si="5"/>
        <v>0</v>
      </c>
      <c r="L32" s="142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</row>
    <row r="33" spans="1:40" s="73" customFormat="1" ht="15.75" hidden="1" thickBot="1" x14ac:dyDescent="0.3">
      <c r="A33" s="73" t="s">
        <v>1192</v>
      </c>
      <c r="B33" s="85" t="s">
        <v>2322</v>
      </c>
      <c r="C33" s="85" t="s">
        <v>1061</v>
      </c>
      <c r="D33" s="73" t="s">
        <v>1596</v>
      </c>
      <c r="E33" s="85" t="s">
        <v>73</v>
      </c>
      <c r="F33" s="85" t="s">
        <v>1299</v>
      </c>
      <c r="G33" s="85"/>
      <c r="H33" s="85" t="s">
        <v>1595</v>
      </c>
      <c r="I33" s="141">
        <f t="shared" si="4"/>
        <v>28</v>
      </c>
      <c r="J33" s="87" t="s">
        <v>2153</v>
      </c>
      <c r="K33" s="141">
        <f t="shared" si="5"/>
        <v>0</v>
      </c>
      <c r="L33" s="142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s="73" customFormat="1" ht="15.75" hidden="1" thickBot="1" x14ac:dyDescent="0.3">
      <c r="A34" s="73" t="s">
        <v>1192</v>
      </c>
      <c r="B34" s="85" t="s">
        <v>2323</v>
      </c>
      <c r="C34" s="85" t="s">
        <v>1061</v>
      </c>
      <c r="D34" s="73" t="s">
        <v>2302</v>
      </c>
      <c r="E34" s="85" t="s">
        <v>19</v>
      </c>
      <c r="F34" s="85" t="s">
        <v>1299</v>
      </c>
      <c r="G34" s="85"/>
      <c r="H34" s="85" t="s">
        <v>2303</v>
      </c>
      <c r="I34" s="141">
        <f t="shared" si="4"/>
        <v>28</v>
      </c>
      <c r="J34" s="151" t="s">
        <v>2304</v>
      </c>
      <c r="K34" s="141">
        <f t="shared" si="5"/>
        <v>0</v>
      </c>
      <c r="L34" s="142">
        <f t="shared" si="6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</row>
    <row r="35" spans="1:40" s="131" customFormat="1" ht="15.75" hidden="1" thickBot="1" x14ac:dyDescent="0.3">
      <c r="A35" s="131" t="s">
        <v>2149</v>
      </c>
      <c r="B35" s="132" t="s">
        <v>1346</v>
      </c>
      <c r="C35" s="131" t="s">
        <v>1061</v>
      </c>
      <c r="D35" s="131" t="s">
        <v>1347</v>
      </c>
      <c r="E35" s="132" t="s">
        <v>19</v>
      </c>
      <c r="F35" s="132" t="s">
        <v>28</v>
      </c>
      <c r="G35" s="132"/>
      <c r="H35" s="132" t="s">
        <v>1442</v>
      </c>
      <c r="I35" s="133">
        <f t="shared" si="4"/>
        <v>16</v>
      </c>
      <c r="J35" s="146" t="s">
        <v>1680</v>
      </c>
      <c r="K35" s="133">
        <f t="shared" si="5"/>
        <v>12</v>
      </c>
      <c r="L35" s="134">
        <f t="shared" si="6"/>
        <v>0.5714285714285714</v>
      </c>
      <c r="M35" s="135" t="s">
        <v>2279</v>
      </c>
      <c r="N35" s="135" t="s">
        <v>2279</v>
      </c>
      <c r="O35" s="135" t="s">
        <v>2279</v>
      </c>
      <c r="P35" s="135" t="s">
        <v>2279</v>
      </c>
      <c r="Q35" s="135" t="s">
        <v>2279</v>
      </c>
      <c r="R35" s="135" t="s">
        <v>2279</v>
      </c>
      <c r="S35" s="135"/>
      <c r="T35" s="135"/>
      <c r="U35" s="135" t="s">
        <v>2279</v>
      </c>
      <c r="V35" s="135" t="s">
        <v>2279</v>
      </c>
      <c r="W35" s="135" t="s">
        <v>2279</v>
      </c>
      <c r="X35" s="135" t="s">
        <v>2279</v>
      </c>
      <c r="Y35" s="135" t="s">
        <v>2279</v>
      </c>
      <c r="Z35" s="135"/>
      <c r="AA35" s="135"/>
      <c r="AB35" s="135"/>
      <c r="AC35" s="135"/>
      <c r="AD35" s="135" t="s">
        <v>2279</v>
      </c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</row>
    <row r="36" spans="1:40" s="73" customFormat="1" ht="15.75" hidden="1" thickBot="1" x14ac:dyDescent="0.3">
      <c r="A36" s="73" t="s">
        <v>2149</v>
      </c>
      <c r="B36" s="85" t="s">
        <v>1396</v>
      </c>
      <c r="C36" s="73" t="s">
        <v>1061</v>
      </c>
      <c r="D36" s="73" t="s">
        <v>1397</v>
      </c>
      <c r="E36" s="85" t="s">
        <v>19</v>
      </c>
      <c r="F36" s="85" t="s">
        <v>1299</v>
      </c>
      <c r="G36" s="85"/>
      <c r="H36" s="85" t="s">
        <v>1398</v>
      </c>
      <c r="I36" s="141">
        <f t="shared" si="4"/>
        <v>15</v>
      </c>
      <c r="J36" s="87" t="s">
        <v>2154</v>
      </c>
      <c r="K36" s="141">
        <f t="shared" si="5"/>
        <v>13</v>
      </c>
      <c r="L36" s="142">
        <f t="shared" si="6"/>
        <v>0.5357142857142857</v>
      </c>
      <c r="M36" s="70"/>
      <c r="N36" s="70"/>
      <c r="O36" s="70" t="s">
        <v>2279</v>
      </c>
      <c r="P36" s="70" t="s">
        <v>2279</v>
      </c>
      <c r="Q36" s="70" t="s">
        <v>2279</v>
      </c>
      <c r="R36" s="70" t="s">
        <v>2279</v>
      </c>
      <c r="S36" s="70"/>
      <c r="T36" s="70"/>
      <c r="U36" s="70" t="s">
        <v>2279</v>
      </c>
      <c r="V36" s="70" t="s">
        <v>2279</v>
      </c>
      <c r="W36" s="70" t="s">
        <v>2279</v>
      </c>
      <c r="X36" s="70" t="s">
        <v>2279</v>
      </c>
      <c r="Y36" s="70" t="s">
        <v>2279</v>
      </c>
      <c r="Z36" s="70"/>
      <c r="AA36" s="70"/>
      <c r="AB36" s="70"/>
      <c r="AC36" s="70"/>
      <c r="AD36" s="70" t="s">
        <v>2279</v>
      </c>
      <c r="AE36" s="156" t="s">
        <v>2279</v>
      </c>
      <c r="AF36" s="70" t="s">
        <v>2279</v>
      </c>
      <c r="AG36" s="70"/>
      <c r="AH36" s="70"/>
      <c r="AI36" s="70" t="s">
        <v>2279</v>
      </c>
      <c r="AJ36" s="70"/>
      <c r="AK36" s="70"/>
      <c r="AL36" s="70"/>
      <c r="AM36" s="70"/>
      <c r="AN36" s="70"/>
    </row>
    <row r="37" spans="1:40" s="73" customFormat="1" ht="15.75" hidden="1" thickBot="1" x14ac:dyDescent="0.3">
      <c r="A37" s="73" t="s">
        <v>2149</v>
      </c>
      <c r="B37" s="85" t="s">
        <v>2145</v>
      </c>
      <c r="C37" s="73" t="s">
        <v>1061</v>
      </c>
      <c r="D37" s="73" t="s">
        <v>2146</v>
      </c>
      <c r="E37" s="85" t="s">
        <v>19</v>
      </c>
      <c r="F37" s="85" t="s">
        <v>1299</v>
      </c>
      <c r="G37" s="85"/>
      <c r="H37" s="85" t="s">
        <v>2147</v>
      </c>
      <c r="I37" s="141">
        <f t="shared" si="4"/>
        <v>13</v>
      </c>
      <c r="J37" s="87" t="s">
        <v>2148</v>
      </c>
      <c r="K37" s="141">
        <f t="shared" si="5"/>
        <v>15</v>
      </c>
      <c r="L37" s="142">
        <f t="shared" si="6"/>
        <v>0.4642857142857143</v>
      </c>
      <c r="M37" s="70" t="s">
        <v>2279</v>
      </c>
      <c r="N37" s="70" t="s">
        <v>2279</v>
      </c>
      <c r="O37" s="70" t="s">
        <v>2279</v>
      </c>
      <c r="P37" s="70" t="s">
        <v>2279</v>
      </c>
      <c r="Q37" s="70" t="s">
        <v>2279</v>
      </c>
      <c r="R37" s="70" t="s">
        <v>2279</v>
      </c>
      <c r="S37" s="70"/>
      <c r="T37" s="70"/>
      <c r="U37" s="70" t="s">
        <v>2279</v>
      </c>
      <c r="V37" s="70" t="s">
        <v>2279</v>
      </c>
      <c r="W37" s="70" t="s">
        <v>2279</v>
      </c>
      <c r="X37" s="70" t="s">
        <v>2279</v>
      </c>
      <c r="Y37" s="70" t="s">
        <v>2279</v>
      </c>
      <c r="Z37" s="70"/>
      <c r="AA37" s="70"/>
      <c r="AB37" s="70"/>
      <c r="AC37" s="70"/>
      <c r="AD37" s="70" t="s">
        <v>2279</v>
      </c>
      <c r="AE37" s="70" t="s">
        <v>2279</v>
      </c>
      <c r="AF37" s="70" t="s">
        <v>2279</v>
      </c>
      <c r="AG37" s="70"/>
      <c r="AH37" s="70"/>
      <c r="AI37" s="70" t="s">
        <v>2279</v>
      </c>
      <c r="AJ37" s="70"/>
      <c r="AK37" s="70"/>
      <c r="AL37" s="70"/>
      <c r="AM37" s="70"/>
      <c r="AN37" s="70"/>
    </row>
    <row r="38" spans="1:40" s="73" customFormat="1" ht="15.75" hidden="1" thickBot="1" x14ac:dyDescent="0.3">
      <c r="A38" s="73" t="s">
        <v>1192</v>
      </c>
      <c r="B38" s="85" t="s">
        <v>1506</v>
      </c>
      <c r="C38" s="73" t="s">
        <v>1061</v>
      </c>
      <c r="D38" s="73" t="s">
        <v>1507</v>
      </c>
      <c r="E38" s="85" t="s">
        <v>19</v>
      </c>
      <c r="F38" s="85" t="s">
        <v>1299</v>
      </c>
      <c r="G38" s="85"/>
      <c r="H38" s="85" t="s">
        <v>1508</v>
      </c>
      <c r="I38" s="141">
        <f t="shared" si="4"/>
        <v>28</v>
      </c>
      <c r="J38" s="87" t="s">
        <v>2155</v>
      </c>
      <c r="K38" s="141">
        <f t="shared" si="5"/>
        <v>0</v>
      </c>
      <c r="L38" s="14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</row>
    <row r="39" spans="1:40" ht="15.75" hidden="1" thickBot="1" x14ac:dyDescent="0.3">
      <c r="A39" t="s">
        <v>1454</v>
      </c>
      <c r="B39" s="30" t="s">
        <v>1453</v>
      </c>
      <c r="C39" t="s">
        <v>1061</v>
      </c>
      <c r="D39" t="s">
        <v>1452</v>
      </c>
      <c r="E39" s="30" t="s">
        <v>73</v>
      </c>
      <c r="F39" s="30" t="s">
        <v>28</v>
      </c>
      <c r="G39" s="30"/>
      <c r="H39" s="85" t="s">
        <v>1456</v>
      </c>
      <c r="I39" s="31">
        <f t="shared" si="4"/>
        <v>23</v>
      </c>
      <c r="J39" s="146" t="s">
        <v>1681</v>
      </c>
      <c r="K39" s="31">
        <f t="shared" si="5"/>
        <v>5</v>
      </c>
      <c r="L39" s="32">
        <f t="shared" si="6"/>
        <v>0.8214285714285714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 t="s">
        <v>2279</v>
      </c>
      <c r="Z39" s="70"/>
      <c r="AA39" s="70"/>
      <c r="AB39" s="70"/>
      <c r="AC39" s="70"/>
      <c r="AD39" s="70" t="s">
        <v>2279</v>
      </c>
      <c r="AE39" s="70" t="s">
        <v>2279</v>
      </c>
      <c r="AF39" s="70" t="s">
        <v>2279</v>
      </c>
      <c r="AG39" s="70"/>
      <c r="AH39" s="70"/>
      <c r="AI39" s="70" t="s">
        <v>2279</v>
      </c>
      <c r="AJ39" s="70"/>
      <c r="AK39" s="70"/>
      <c r="AL39" s="70"/>
      <c r="AM39" s="70"/>
      <c r="AN39" s="70"/>
    </row>
    <row r="40" spans="1:40" ht="15.75" hidden="1" thickBot="1" x14ac:dyDescent="0.3">
      <c r="A40" t="s">
        <v>1454</v>
      </c>
      <c r="B40" s="30" t="s">
        <v>1455</v>
      </c>
      <c r="C40" t="s">
        <v>1061</v>
      </c>
      <c r="D40" t="s">
        <v>1452</v>
      </c>
      <c r="E40" s="30" t="s">
        <v>73</v>
      </c>
      <c r="F40" s="30" t="s">
        <v>28</v>
      </c>
      <c r="G40" s="30"/>
      <c r="H40" s="85" t="s">
        <v>1457</v>
      </c>
      <c r="I40" s="31">
        <f t="shared" si="4"/>
        <v>23</v>
      </c>
      <c r="J40" s="146" t="s">
        <v>1682</v>
      </c>
      <c r="K40" s="31">
        <f t="shared" si="5"/>
        <v>5</v>
      </c>
      <c r="L40" s="32">
        <f t="shared" si="6"/>
        <v>0.8214285714285714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 t="s">
        <v>2279</v>
      </c>
      <c r="Z40" s="70"/>
      <c r="AA40" s="70"/>
      <c r="AB40" s="70"/>
      <c r="AC40" s="70"/>
      <c r="AD40" s="70" t="s">
        <v>2279</v>
      </c>
      <c r="AE40" s="70" t="s">
        <v>2279</v>
      </c>
      <c r="AF40" s="70" t="s">
        <v>2279</v>
      </c>
      <c r="AG40" s="70"/>
      <c r="AH40" s="70"/>
      <c r="AI40" s="70" t="s">
        <v>2279</v>
      </c>
      <c r="AJ40" s="70"/>
      <c r="AK40" s="70"/>
      <c r="AL40" s="70"/>
      <c r="AM40" s="70"/>
      <c r="AN40" s="70"/>
    </row>
    <row r="41" spans="1:40" ht="15.75" hidden="1" thickBot="1" x14ac:dyDescent="0.3">
      <c r="A41" t="s">
        <v>1454</v>
      </c>
      <c r="B41" s="30" t="s">
        <v>1630</v>
      </c>
      <c r="C41" t="s">
        <v>1061</v>
      </c>
      <c r="D41" t="s">
        <v>1632</v>
      </c>
      <c r="E41" s="30" t="s">
        <v>73</v>
      </c>
      <c r="F41" s="30" t="s">
        <v>28</v>
      </c>
      <c r="G41" s="30"/>
      <c r="H41" s="85" t="s">
        <v>1633</v>
      </c>
      <c r="I41" s="31">
        <f t="shared" si="4"/>
        <v>28</v>
      </c>
      <c r="J41" s="87" t="s">
        <v>2156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</row>
    <row r="42" spans="1:40" ht="15.75" hidden="1" thickBot="1" x14ac:dyDescent="0.3">
      <c r="A42" t="s">
        <v>1454</v>
      </c>
      <c r="B42" s="30" t="s">
        <v>1631</v>
      </c>
      <c r="C42" t="s">
        <v>1061</v>
      </c>
      <c r="D42" t="s">
        <v>1632</v>
      </c>
      <c r="E42" s="30" t="s">
        <v>73</v>
      </c>
      <c r="F42" s="30" t="s">
        <v>28</v>
      </c>
      <c r="G42" s="30"/>
      <c r="H42" s="85" t="s">
        <v>1634</v>
      </c>
      <c r="I42" s="31">
        <f t="shared" si="4"/>
        <v>28</v>
      </c>
      <c r="J42" s="87" t="s">
        <v>2181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5.75" hidden="1" thickBot="1" x14ac:dyDescent="0.3">
      <c r="A43" t="s">
        <v>1454</v>
      </c>
      <c r="B43" s="30" t="s">
        <v>1638</v>
      </c>
      <c r="C43" t="s">
        <v>1061</v>
      </c>
      <c r="D43" t="s">
        <v>1632</v>
      </c>
      <c r="E43" s="30" t="s">
        <v>19</v>
      </c>
      <c r="F43" s="30" t="s">
        <v>28</v>
      </c>
      <c r="G43" s="30"/>
      <c r="H43" s="85" t="s">
        <v>1636</v>
      </c>
      <c r="I43" s="31">
        <f t="shared" si="4"/>
        <v>28</v>
      </c>
      <c r="J43" s="87" t="s">
        <v>2182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  <row r="44" spans="1:40" ht="15.75" hidden="1" thickBot="1" x14ac:dyDescent="0.3">
      <c r="A44" t="s">
        <v>1454</v>
      </c>
      <c r="B44" s="30" t="s">
        <v>1639</v>
      </c>
      <c r="C44" t="s">
        <v>1061</v>
      </c>
      <c r="D44" t="s">
        <v>1640</v>
      </c>
      <c r="E44" s="30" t="s">
        <v>19</v>
      </c>
      <c r="F44" s="30" t="s">
        <v>28</v>
      </c>
      <c r="G44" s="30"/>
      <c r="H44" s="85" t="s">
        <v>1641</v>
      </c>
      <c r="I44" s="31">
        <f t="shared" si="4"/>
        <v>21</v>
      </c>
      <c r="J44" s="87" t="s">
        <v>2183</v>
      </c>
      <c r="K44" s="31">
        <f t="shared" si="5"/>
        <v>7</v>
      </c>
      <c r="L44" s="32">
        <f t="shared" si="6"/>
        <v>0.75</v>
      </c>
      <c r="M44" s="70"/>
      <c r="N44" s="70"/>
      <c r="O44" s="70"/>
      <c r="P44" s="70"/>
      <c r="Q44" s="70"/>
      <c r="R44" s="70"/>
      <c r="S44" s="70"/>
      <c r="T44" s="70"/>
      <c r="U44" s="70"/>
      <c r="V44" s="70" t="s">
        <v>2279</v>
      </c>
      <c r="W44" s="70" t="s">
        <v>2279</v>
      </c>
      <c r="X44" s="70"/>
      <c r="Y44" s="70" t="s">
        <v>2279</v>
      </c>
      <c r="Z44" s="70"/>
      <c r="AA44" s="70"/>
      <c r="AB44" s="70"/>
      <c r="AC44" s="70"/>
      <c r="AD44" s="70" t="s">
        <v>2279</v>
      </c>
      <c r="AE44" s="70" t="s">
        <v>2279</v>
      </c>
      <c r="AF44" s="70" t="s">
        <v>2279</v>
      </c>
      <c r="AG44" s="70"/>
      <c r="AH44" s="70"/>
      <c r="AI44" s="70" t="s">
        <v>2279</v>
      </c>
      <c r="AJ44" s="70"/>
      <c r="AK44" s="70"/>
      <c r="AL44" s="70"/>
      <c r="AM44" s="70"/>
      <c r="AN44" s="70"/>
    </row>
    <row r="45" spans="1:40" ht="15.75" hidden="1" thickBot="1" x14ac:dyDescent="0.3">
      <c r="A45" t="s">
        <v>1454</v>
      </c>
      <c r="B45" s="30" t="s">
        <v>2236</v>
      </c>
      <c r="C45" t="s">
        <v>1061</v>
      </c>
      <c r="D45" t="s">
        <v>2241</v>
      </c>
      <c r="E45" s="30" t="s">
        <v>73</v>
      </c>
      <c r="F45" s="30" t="s">
        <v>28</v>
      </c>
      <c r="G45" s="30"/>
      <c r="H45" s="85" t="s">
        <v>2237</v>
      </c>
      <c r="I45" s="31">
        <f t="shared" si="4"/>
        <v>27</v>
      </c>
      <c r="J45" s="151" t="s">
        <v>2238</v>
      </c>
      <c r="K45" s="31">
        <f t="shared" si="5"/>
        <v>1</v>
      </c>
      <c r="L45" s="32">
        <f t="shared" si="6"/>
        <v>0.9642857142857143</v>
      </c>
      <c r="M45" s="70"/>
      <c r="N45" s="70"/>
      <c r="O45" s="70"/>
      <c r="P45" s="70"/>
      <c r="Q45" s="70"/>
      <c r="R45" s="70"/>
      <c r="S45" s="70"/>
      <c r="T45" s="70"/>
      <c r="U45" s="70"/>
      <c r="V45" s="70" t="s">
        <v>2279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</row>
    <row r="46" spans="1:40" ht="15.75" hidden="1" thickBot="1" x14ac:dyDescent="0.3">
      <c r="A46" t="s">
        <v>1454</v>
      </c>
      <c r="B46" s="30" t="s">
        <v>2239</v>
      </c>
      <c r="C46" t="s">
        <v>1061</v>
      </c>
      <c r="D46" t="s">
        <v>2240</v>
      </c>
      <c r="E46" s="30" t="s">
        <v>73</v>
      </c>
      <c r="F46" s="30" t="s">
        <v>28</v>
      </c>
      <c r="G46" s="30"/>
      <c r="H46" s="85" t="s">
        <v>2242</v>
      </c>
      <c r="I46" s="31">
        <f t="shared" si="4"/>
        <v>27</v>
      </c>
      <c r="J46" s="151" t="s">
        <v>2243</v>
      </c>
      <c r="K46" s="31">
        <f t="shared" si="5"/>
        <v>1</v>
      </c>
      <c r="L46" s="32">
        <f t="shared" si="6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 t="s">
        <v>2279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</row>
    <row r="47" spans="1:40" ht="15.75" hidden="1" thickBot="1" x14ac:dyDescent="0.3">
      <c r="A47" t="s">
        <v>52</v>
      </c>
      <c r="B47" t="s">
        <v>71</v>
      </c>
      <c r="C47" t="s">
        <v>1060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6" t="s">
        <v>1683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</row>
    <row r="48" spans="1:40" ht="15.75" hidden="1" thickBot="1" x14ac:dyDescent="0.3">
      <c r="A48" t="s">
        <v>52</v>
      </c>
      <c r="B48" t="s">
        <v>74</v>
      </c>
      <c r="C48" t="s">
        <v>1060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6" t="s">
        <v>1684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</row>
    <row r="49" spans="1:40" ht="15.75" hidden="1" thickBot="1" x14ac:dyDescent="0.3">
      <c r="A49" t="s">
        <v>52</v>
      </c>
      <c r="B49" t="s">
        <v>76</v>
      </c>
      <c r="C49" t="s">
        <v>1060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6" t="s">
        <v>1685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</row>
    <row r="50" spans="1:40" ht="15.75" hidden="1" thickBot="1" x14ac:dyDescent="0.3">
      <c r="A50" t="s">
        <v>52</v>
      </c>
      <c r="B50" t="s">
        <v>78</v>
      </c>
      <c r="C50" t="s">
        <v>1060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6" t="s">
        <v>1686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</row>
    <row r="51" spans="1:40" ht="15.75" hidden="1" thickBot="1" x14ac:dyDescent="0.3">
      <c r="A51" t="s">
        <v>52</v>
      </c>
      <c r="B51" t="s">
        <v>921</v>
      </c>
      <c r="C51" t="s">
        <v>1060</v>
      </c>
      <c r="D51" t="s">
        <v>1079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6" t="s">
        <v>1687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</row>
    <row r="52" spans="1:40" ht="15.75" hidden="1" thickBot="1" x14ac:dyDescent="0.3">
      <c r="A52" t="s">
        <v>52</v>
      </c>
      <c r="B52" t="s">
        <v>80</v>
      </c>
      <c r="C52" t="s">
        <v>1060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25</v>
      </c>
      <c r="J52" s="146"/>
      <c r="K52" s="31">
        <f t="shared" si="5"/>
        <v>3</v>
      </c>
      <c r="L52" s="32">
        <f t="shared" si="6"/>
        <v>0.8928571428571429</v>
      </c>
      <c r="M52" s="70"/>
      <c r="N52" s="70"/>
      <c r="O52" s="70"/>
      <c r="P52" s="70" t="s">
        <v>2279</v>
      </c>
      <c r="Q52" s="70"/>
      <c r="R52" s="70"/>
      <c r="S52" s="70"/>
      <c r="T52" s="70"/>
      <c r="U52" s="70"/>
      <c r="V52" s="70"/>
      <c r="W52" s="70"/>
      <c r="X52" s="70"/>
      <c r="Y52" s="70" t="s">
        <v>2279</v>
      </c>
      <c r="Z52" s="70"/>
      <c r="AA52" s="70"/>
      <c r="AB52" s="70"/>
      <c r="AC52" s="70"/>
      <c r="AD52" s="70"/>
      <c r="AE52" s="70"/>
      <c r="AF52" s="70"/>
      <c r="AG52" s="70"/>
      <c r="AH52" s="70"/>
      <c r="AI52" s="70" t="s">
        <v>2279</v>
      </c>
      <c r="AJ52" s="70"/>
      <c r="AK52" s="70"/>
      <c r="AL52" s="70"/>
      <c r="AM52" s="70"/>
      <c r="AN52" s="70"/>
    </row>
    <row r="53" spans="1:40" ht="15.75" hidden="1" thickBot="1" x14ac:dyDescent="0.3">
      <c r="A53" t="s">
        <v>52</v>
      </c>
      <c r="B53" t="s">
        <v>82</v>
      </c>
      <c r="C53" t="s">
        <v>1060</v>
      </c>
      <c r="D53" t="s">
        <v>1075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6" t="s">
        <v>1688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</row>
    <row r="54" spans="1:40" ht="15.75" hidden="1" thickBot="1" x14ac:dyDescent="0.3">
      <c r="A54" t="s">
        <v>52</v>
      </c>
      <c r="B54" t="s">
        <v>83</v>
      </c>
      <c r="C54" t="s">
        <v>1060</v>
      </c>
      <c r="D54" t="s">
        <v>1074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6" t="s">
        <v>1689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</row>
    <row r="55" spans="1:40" ht="15.75" hidden="1" thickBot="1" x14ac:dyDescent="0.3">
      <c r="A55" t="s">
        <v>52</v>
      </c>
      <c r="B55" t="s">
        <v>84</v>
      </c>
      <c r="C55" t="s">
        <v>1060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6" t="s">
        <v>1690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</row>
    <row r="56" spans="1:40" ht="15.75" hidden="1" thickBot="1" x14ac:dyDescent="0.3">
      <c r="A56" t="s">
        <v>52</v>
      </c>
      <c r="B56" t="s">
        <v>86</v>
      </c>
      <c r="C56" t="s">
        <v>1060</v>
      </c>
      <c r="D56" t="s">
        <v>1073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6" t="s">
        <v>1691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</row>
    <row r="57" spans="1:40" ht="15.75" hidden="1" thickBot="1" x14ac:dyDescent="0.3">
      <c r="A57" t="s">
        <v>52</v>
      </c>
      <c r="B57" t="s">
        <v>87</v>
      </c>
      <c r="C57" t="s">
        <v>1060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6" t="s">
        <v>1692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</row>
    <row r="58" spans="1:40" ht="15.75" hidden="1" thickBot="1" x14ac:dyDescent="0.3">
      <c r="A58" t="s">
        <v>52</v>
      </c>
      <c r="B58" t="s">
        <v>922</v>
      </c>
      <c r="C58" t="s">
        <v>1060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6" t="s">
        <v>1693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</row>
    <row r="59" spans="1:40" s="73" customFormat="1" ht="15.75" hidden="1" thickBot="1" x14ac:dyDescent="0.3">
      <c r="A59" s="73" t="s">
        <v>52</v>
      </c>
      <c r="B59" s="73" t="s">
        <v>923</v>
      </c>
      <c r="C59" s="73" t="s">
        <v>1060</v>
      </c>
      <c r="D59" s="73" t="s">
        <v>90</v>
      </c>
      <c r="E59" s="85" t="s">
        <v>15</v>
      </c>
      <c r="F59" s="85" t="s">
        <v>1299</v>
      </c>
      <c r="G59" s="85"/>
      <c r="H59" s="85" t="s">
        <v>633</v>
      </c>
      <c r="I59" s="141">
        <f t="shared" si="4"/>
        <v>28</v>
      </c>
      <c r="J59" s="146" t="s">
        <v>1694</v>
      </c>
      <c r="K59" s="141">
        <f t="shared" si="5"/>
        <v>0</v>
      </c>
      <c r="L59" s="14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</row>
    <row r="60" spans="1:40" ht="15.75" hidden="1" thickBot="1" x14ac:dyDescent="0.3">
      <c r="A60" t="s">
        <v>52</v>
      </c>
      <c r="B60" t="s">
        <v>91</v>
      </c>
      <c r="C60" t="s">
        <v>1060</v>
      </c>
      <c r="D60" t="s">
        <v>1077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6" t="s">
        <v>1695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</row>
    <row r="61" spans="1:40" s="73" customFormat="1" ht="15.75" hidden="1" thickBot="1" x14ac:dyDescent="0.3">
      <c r="A61" s="73" t="s">
        <v>52</v>
      </c>
      <c r="B61" s="73" t="s">
        <v>92</v>
      </c>
      <c r="C61" s="73" t="s">
        <v>1060</v>
      </c>
      <c r="D61" s="73" t="s">
        <v>93</v>
      </c>
      <c r="E61" s="85" t="s">
        <v>19</v>
      </c>
      <c r="F61" s="85" t="s">
        <v>1299</v>
      </c>
      <c r="G61" s="85"/>
      <c r="H61" s="85" t="s">
        <v>635</v>
      </c>
      <c r="I61" s="141">
        <f t="shared" si="4"/>
        <v>25</v>
      </c>
      <c r="J61" s="146" t="s">
        <v>1696</v>
      </c>
      <c r="K61" s="141">
        <f t="shared" si="5"/>
        <v>3</v>
      </c>
      <c r="L61" s="142">
        <f t="shared" si="6"/>
        <v>0.8928571428571429</v>
      </c>
      <c r="M61" s="70"/>
      <c r="N61" s="70"/>
      <c r="O61" s="70"/>
      <c r="P61" s="70" t="s">
        <v>2279</v>
      </c>
      <c r="Q61" s="70"/>
      <c r="R61" s="70"/>
      <c r="S61" s="70"/>
      <c r="T61" s="70"/>
      <c r="U61" s="70"/>
      <c r="V61" s="70"/>
      <c r="W61" s="70"/>
      <c r="X61" s="70"/>
      <c r="Y61" s="70" t="s">
        <v>2279</v>
      </c>
      <c r="Z61" s="70"/>
      <c r="AA61" s="70"/>
      <c r="AB61" s="70"/>
      <c r="AC61" s="70"/>
      <c r="AD61" s="70"/>
      <c r="AE61" s="70"/>
      <c r="AF61" s="70"/>
      <c r="AG61" s="70"/>
      <c r="AH61" s="70"/>
      <c r="AI61" s="70" t="s">
        <v>2279</v>
      </c>
      <c r="AJ61" s="70"/>
      <c r="AK61" s="70"/>
      <c r="AL61" s="70"/>
      <c r="AM61" s="70"/>
      <c r="AN61" s="70"/>
    </row>
    <row r="62" spans="1:40" ht="15.75" hidden="1" thickBot="1" x14ac:dyDescent="0.3">
      <c r="A62" t="s">
        <v>52</v>
      </c>
      <c r="B62" t="s">
        <v>94</v>
      </c>
      <c r="C62" t="s">
        <v>1060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6" t="s">
        <v>1697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40" ht="15.75" hidden="1" thickBot="1" x14ac:dyDescent="0.3">
      <c r="A63" t="s">
        <v>52</v>
      </c>
      <c r="B63" t="s">
        <v>96</v>
      </c>
      <c r="C63" t="s">
        <v>1060</v>
      </c>
      <c r="D63" t="s">
        <v>97</v>
      </c>
      <c r="E63" s="30" t="s">
        <v>19</v>
      </c>
      <c r="F63" s="30" t="s">
        <v>1054</v>
      </c>
      <c r="G63" s="30" t="s">
        <v>1250</v>
      </c>
      <c r="H63" s="30" t="s">
        <v>637</v>
      </c>
      <c r="I63" s="31">
        <f t="shared" si="4"/>
        <v>28</v>
      </c>
      <c r="J63" s="146" t="s">
        <v>1698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</row>
    <row r="64" spans="1:40" ht="15.75" hidden="1" thickBot="1" x14ac:dyDescent="0.3">
      <c r="A64" t="s">
        <v>52</v>
      </c>
      <c r="B64" t="s">
        <v>98</v>
      </c>
      <c r="C64" t="s">
        <v>1060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6" t="s">
        <v>1699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</row>
    <row r="65" spans="1:40" ht="15.75" hidden="1" thickBot="1" x14ac:dyDescent="0.3">
      <c r="A65" t="s">
        <v>52</v>
      </c>
      <c r="B65" t="s">
        <v>100</v>
      </c>
      <c r="C65" t="s">
        <v>1060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6" t="s">
        <v>1700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</row>
    <row r="66" spans="1:40" s="73" customFormat="1" ht="15.75" hidden="1" thickBot="1" x14ac:dyDescent="0.3">
      <c r="A66" s="73" t="s">
        <v>101</v>
      </c>
      <c r="B66" s="73" t="s">
        <v>102</v>
      </c>
      <c r="C66" s="73" t="s">
        <v>1060</v>
      </c>
      <c r="D66" s="73" t="s">
        <v>103</v>
      </c>
      <c r="E66" s="85" t="s">
        <v>19</v>
      </c>
      <c r="F66" s="85" t="s">
        <v>1299</v>
      </c>
      <c r="G66" s="85"/>
      <c r="H66" s="85" t="s">
        <v>640</v>
      </c>
      <c r="I66" s="141">
        <f t="shared" si="4"/>
        <v>28</v>
      </c>
      <c r="J66" s="146" t="s">
        <v>1701</v>
      </c>
      <c r="K66" s="141">
        <f t="shared" si="5"/>
        <v>0</v>
      </c>
      <c r="L66" s="14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</row>
    <row r="67" spans="1:40" s="90" customFormat="1" ht="15.75" hidden="1" thickBot="1" x14ac:dyDescent="0.3">
      <c r="A67" s="90" t="s">
        <v>52</v>
      </c>
      <c r="B67" s="90" t="s">
        <v>104</v>
      </c>
      <c r="C67" s="90" t="s">
        <v>1060</v>
      </c>
      <c r="D67" s="90" t="s">
        <v>105</v>
      </c>
      <c r="E67" s="91" t="s">
        <v>73</v>
      </c>
      <c r="F67" s="85" t="s">
        <v>1299</v>
      </c>
      <c r="G67" s="91"/>
      <c r="H67" s="91" t="s">
        <v>2318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</row>
    <row r="68" spans="1:40" s="73" customFormat="1" ht="15.75" hidden="1" thickBot="1" x14ac:dyDescent="0.3">
      <c r="A68" s="73" t="s">
        <v>52</v>
      </c>
      <c r="B68" s="73" t="s">
        <v>106</v>
      </c>
      <c r="C68" s="73" t="s">
        <v>1060</v>
      </c>
      <c r="D68" s="73" t="s">
        <v>107</v>
      </c>
      <c r="E68" s="85" t="s">
        <v>19</v>
      </c>
      <c r="F68" s="85" t="s">
        <v>1299</v>
      </c>
      <c r="G68" s="85"/>
      <c r="H68" s="85" t="s">
        <v>1373</v>
      </c>
      <c r="I68" s="141">
        <f t="shared" si="4"/>
        <v>28</v>
      </c>
      <c r="J68" s="146" t="s">
        <v>1702</v>
      </c>
      <c r="K68" s="141">
        <f t="shared" si="5"/>
        <v>0</v>
      </c>
      <c r="L68" s="14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</row>
    <row r="69" spans="1:40" ht="15.75" hidden="1" thickBot="1" x14ac:dyDescent="0.3">
      <c r="A69" t="s">
        <v>52</v>
      </c>
      <c r="B69" t="s">
        <v>108</v>
      </c>
      <c r="C69" t="s">
        <v>1060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4"/>
        <v>28</v>
      </c>
      <c r="J69" s="146" t="s">
        <v>1703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</row>
    <row r="70" spans="1:40" ht="15.75" hidden="1" thickBot="1" x14ac:dyDescent="0.3">
      <c r="A70" t="s">
        <v>52</v>
      </c>
      <c r="B70" t="s">
        <v>110</v>
      </c>
      <c r="C70" t="s">
        <v>1060</v>
      </c>
      <c r="D70" t="s">
        <v>1078</v>
      </c>
      <c r="E70" s="30" t="s">
        <v>19</v>
      </c>
      <c r="F70" s="30" t="s">
        <v>28</v>
      </c>
      <c r="G70" s="30"/>
      <c r="H70" s="30" t="s">
        <v>1438</v>
      </c>
      <c r="I70" s="31">
        <f t="shared" si="4"/>
        <v>28</v>
      </c>
      <c r="J70" s="146" t="s">
        <v>1704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</row>
    <row r="71" spans="1:40" ht="15.75" hidden="1" thickBot="1" x14ac:dyDescent="0.3">
      <c r="A71" t="s">
        <v>52</v>
      </c>
      <c r="B71" t="s">
        <v>111</v>
      </c>
      <c r="C71" t="s">
        <v>1060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4"/>
        <v>28</v>
      </c>
      <c r="J71" s="146" t="s">
        <v>1705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1:40" ht="15.75" hidden="1" thickBot="1" x14ac:dyDescent="0.3">
      <c r="A72" t="s">
        <v>52</v>
      </c>
      <c r="B72" t="s">
        <v>113</v>
      </c>
      <c r="C72" t="s">
        <v>1060</v>
      </c>
      <c r="D72" t="s">
        <v>1080</v>
      </c>
      <c r="E72" s="30" t="s">
        <v>19</v>
      </c>
      <c r="F72" s="30" t="s">
        <v>28</v>
      </c>
      <c r="G72" s="30"/>
      <c r="H72" s="30" t="s">
        <v>1147</v>
      </c>
      <c r="I72" s="31">
        <f t="shared" si="4"/>
        <v>28</v>
      </c>
      <c r="J72" s="146" t="s">
        <v>1706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1:40" ht="15.75" hidden="1" thickBot="1" x14ac:dyDescent="0.3">
      <c r="A73" t="s">
        <v>52</v>
      </c>
      <c r="B73" t="s">
        <v>114</v>
      </c>
      <c r="C73" t="s">
        <v>1060</v>
      </c>
      <c r="D73" t="s">
        <v>1081</v>
      </c>
      <c r="E73" s="30" t="s">
        <v>19</v>
      </c>
      <c r="F73" s="30" t="s">
        <v>28</v>
      </c>
      <c r="G73" s="30"/>
      <c r="H73" s="30" t="s">
        <v>1476</v>
      </c>
      <c r="I73" s="31">
        <f t="shared" si="4"/>
        <v>28</v>
      </c>
      <c r="J73" s="146" t="s">
        <v>1707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1:40" ht="15.75" hidden="1" thickBot="1" x14ac:dyDescent="0.3">
      <c r="A74" t="s">
        <v>52</v>
      </c>
      <c r="B74" t="s">
        <v>115</v>
      </c>
      <c r="C74" t="s">
        <v>1060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4"/>
        <v>28</v>
      </c>
      <c r="J74" s="146" t="s">
        <v>1708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1:40" ht="15.75" hidden="1" thickBot="1" x14ac:dyDescent="0.3">
      <c r="A75" t="s">
        <v>52</v>
      </c>
      <c r="B75" t="s">
        <v>117</v>
      </c>
      <c r="C75" t="s">
        <v>1060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4"/>
        <v>26</v>
      </c>
      <c r="J75" s="146" t="s">
        <v>1709</v>
      </c>
      <c r="K75" s="31">
        <f t="shared" si="5"/>
        <v>2</v>
      </c>
      <c r="L75" s="32">
        <f t="shared" si="6"/>
        <v>0.9285714285714286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 t="s">
        <v>2279</v>
      </c>
      <c r="X75" s="70"/>
      <c r="Y75" s="70"/>
      <c r="Z75" s="70"/>
      <c r="AA75" s="70"/>
      <c r="AB75" s="70"/>
      <c r="AC75" s="70"/>
      <c r="AD75" s="70"/>
      <c r="AE75" s="70"/>
      <c r="AF75" s="70" t="s">
        <v>2279</v>
      </c>
      <c r="AG75" s="70"/>
      <c r="AH75" s="70"/>
      <c r="AI75" s="70"/>
      <c r="AJ75" s="70"/>
      <c r="AK75" s="70"/>
      <c r="AL75" s="70"/>
      <c r="AM75" s="70"/>
      <c r="AN75" s="70"/>
    </row>
    <row r="76" spans="1:40" ht="15.75" hidden="1" thickBot="1" x14ac:dyDescent="0.3">
      <c r="A76" t="s">
        <v>52</v>
      </c>
      <c r="B76" t="s">
        <v>119</v>
      </c>
      <c r="C76" t="s">
        <v>1060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4"/>
        <v>28</v>
      </c>
      <c r="J76" s="146" t="s">
        <v>1710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1:40" ht="15.75" hidden="1" thickBot="1" x14ac:dyDescent="0.3">
      <c r="A77" t="s">
        <v>52</v>
      </c>
      <c r="B77" t="s">
        <v>121</v>
      </c>
      <c r="C77" t="s">
        <v>1060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4"/>
        <v>28</v>
      </c>
      <c r="J77" s="146" t="s">
        <v>1711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1:40" ht="15.75" hidden="1" thickBot="1" x14ac:dyDescent="0.3">
      <c r="A78" t="s">
        <v>52</v>
      </c>
      <c r="B78" t="s">
        <v>123</v>
      </c>
      <c r="C78" t="s">
        <v>1060</v>
      </c>
      <c r="D78" t="s">
        <v>1082</v>
      </c>
      <c r="E78" s="30" t="s">
        <v>19</v>
      </c>
      <c r="F78" s="30" t="s">
        <v>28</v>
      </c>
      <c r="G78" s="30"/>
      <c r="H78" s="30" t="s">
        <v>647</v>
      </c>
      <c r="I78" s="31">
        <f t="shared" si="4"/>
        <v>28</v>
      </c>
      <c r="J78" s="146" t="s">
        <v>1712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1:40" ht="15.75" hidden="1" thickBot="1" x14ac:dyDescent="0.3">
      <c r="A79" t="s">
        <v>52</v>
      </c>
      <c r="B79" t="s">
        <v>124</v>
      </c>
      <c r="C79" t="s">
        <v>1060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4"/>
        <v>28</v>
      </c>
      <c r="J79" s="146" t="s">
        <v>1713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1:40" ht="15.75" hidden="1" thickBot="1" x14ac:dyDescent="0.3">
      <c r="A80" t="s">
        <v>52</v>
      </c>
      <c r="B80" t="s">
        <v>126</v>
      </c>
      <c r="C80" t="s">
        <v>1060</v>
      </c>
      <c r="D80" t="s">
        <v>1063</v>
      </c>
      <c r="E80" s="30" t="s">
        <v>19</v>
      </c>
      <c r="F80" s="30" t="s">
        <v>28</v>
      </c>
      <c r="G80" s="30"/>
      <c r="H80" s="30" t="s">
        <v>649</v>
      </c>
      <c r="I80" s="31">
        <f t="shared" si="4"/>
        <v>28</v>
      </c>
      <c r="J80" s="146" t="s">
        <v>1714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1:40" ht="15.75" hidden="1" thickBot="1" x14ac:dyDescent="0.3">
      <c r="A81" t="s">
        <v>52</v>
      </c>
      <c r="B81" t="s">
        <v>127</v>
      </c>
      <c r="C81" t="s">
        <v>1060</v>
      </c>
      <c r="D81" t="s">
        <v>1064</v>
      </c>
      <c r="E81" s="30" t="s">
        <v>19</v>
      </c>
      <c r="F81" s="30" t="s">
        <v>28</v>
      </c>
      <c r="G81" s="30"/>
      <c r="H81" s="30" t="s">
        <v>650</v>
      </c>
      <c r="I81" s="31">
        <f t="shared" si="4"/>
        <v>28</v>
      </c>
      <c r="J81" s="146" t="s">
        <v>1715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1:40" ht="15.75" hidden="1" thickBot="1" x14ac:dyDescent="0.3">
      <c r="A82" t="s">
        <v>52</v>
      </c>
      <c r="B82" t="s">
        <v>128</v>
      </c>
      <c r="C82" t="s">
        <v>1060</v>
      </c>
      <c r="D82" t="s">
        <v>1065</v>
      </c>
      <c r="E82" s="30" t="s">
        <v>19</v>
      </c>
      <c r="F82" s="30" t="s">
        <v>28</v>
      </c>
      <c r="G82" s="30"/>
      <c r="H82" s="30" t="s">
        <v>651</v>
      </c>
      <c r="I82" s="31">
        <f t="shared" si="4"/>
        <v>28</v>
      </c>
      <c r="J82" s="146" t="s">
        <v>1716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1:40" ht="15.75" hidden="1" thickBot="1" x14ac:dyDescent="0.3">
      <c r="A83" t="s">
        <v>52</v>
      </c>
      <c r="B83" t="s">
        <v>924</v>
      </c>
      <c r="C83" t="s">
        <v>1060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4"/>
        <v>28</v>
      </c>
      <c r="J83" s="146" t="s">
        <v>1717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1:40" ht="15.75" hidden="1" thickBot="1" x14ac:dyDescent="0.3">
      <c r="A84" t="s">
        <v>52</v>
      </c>
      <c r="B84" t="s">
        <v>130</v>
      </c>
      <c r="C84" t="s">
        <v>1060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4"/>
        <v>28</v>
      </c>
      <c r="J84" s="146" t="s">
        <v>1718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1:40" ht="15.75" hidden="1" thickBot="1" x14ac:dyDescent="0.3">
      <c r="A85" t="s">
        <v>52</v>
      </c>
      <c r="B85" t="s">
        <v>132</v>
      </c>
      <c r="C85" t="s">
        <v>1060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4"/>
        <v>28</v>
      </c>
      <c r="J85" s="146" t="s">
        <v>1719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1:40" ht="15.75" hidden="1" thickBot="1" x14ac:dyDescent="0.3">
      <c r="A86" t="s">
        <v>52</v>
      </c>
      <c r="B86" t="s">
        <v>134</v>
      </c>
      <c r="C86" t="s">
        <v>1060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4"/>
        <v>28</v>
      </c>
      <c r="J86" s="146" t="s">
        <v>1720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1:40" ht="15.75" hidden="1" thickBot="1" x14ac:dyDescent="0.3">
      <c r="A87" t="s">
        <v>52</v>
      </c>
      <c r="B87" t="s">
        <v>136</v>
      </c>
      <c r="C87" t="s">
        <v>1060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7">COUNTIF(M87:AN87,"")</f>
        <v>28</v>
      </c>
      <c r="J87" s="146" t="s">
        <v>1721</v>
      </c>
      <c r="K87" s="31">
        <f t="shared" ref="K87:K164" si="8">COUNTIF(M87:AN87,"APAGADO")</f>
        <v>0</v>
      </c>
      <c r="L87" s="32">
        <f t="shared" ref="L87:L164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1:40" s="73" customFormat="1" ht="15.75" hidden="1" thickBot="1" x14ac:dyDescent="0.3">
      <c r="A88" s="73" t="s">
        <v>52</v>
      </c>
      <c r="B88" s="73" t="s">
        <v>138</v>
      </c>
      <c r="C88" s="73" t="s">
        <v>1060</v>
      </c>
      <c r="D88" s="73" t="s">
        <v>1517</v>
      </c>
      <c r="E88" s="85" t="s">
        <v>19</v>
      </c>
      <c r="F88" s="85" t="s">
        <v>1299</v>
      </c>
      <c r="G88" s="85"/>
      <c r="H88" s="85" t="s">
        <v>657</v>
      </c>
      <c r="I88" s="141">
        <f t="shared" si="7"/>
        <v>28</v>
      </c>
      <c r="J88" s="146" t="s">
        <v>1722</v>
      </c>
      <c r="K88" s="141">
        <f t="shared" si="8"/>
        <v>0</v>
      </c>
      <c r="L88" s="14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1:40" ht="15.75" hidden="1" thickBot="1" x14ac:dyDescent="0.3">
      <c r="A89" t="s">
        <v>52</v>
      </c>
      <c r="B89" t="s">
        <v>139</v>
      </c>
      <c r="C89" t="s">
        <v>1060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7"/>
        <v>27</v>
      </c>
      <c r="J89" s="146" t="s">
        <v>1723</v>
      </c>
      <c r="K89" s="31">
        <f t="shared" si="8"/>
        <v>1</v>
      </c>
      <c r="L89" s="32">
        <f t="shared" si="9"/>
        <v>0.9642857142857143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 t="s">
        <v>2279</v>
      </c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</row>
    <row r="90" spans="1:40" ht="15.75" hidden="1" thickBot="1" x14ac:dyDescent="0.3">
      <c r="A90" t="s">
        <v>52</v>
      </c>
      <c r="B90" t="s">
        <v>141</v>
      </c>
      <c r="C90" t="s">
        <v>1060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7"/>
        <v>14</v>
      </c>
      <c r="J90" s="146" t="s">
        <v>1724</v>
      </c>
      <c r="K90" s="31">
        <f t="shared" si="8"/>
        <v>14</v>
      </c>
      <c r="L90" s="32">
        <f t="shared" si="9"/>
        <v>0.5</v>
      </c>
      <c r="M90" s="70" t="s">
        <v>2279</v>
      </c>
      <c r="N90" s="70" t="s">
        <v>2279</v>
      </c>
      <c r="O90" s="70" t="s">
        <v>2279</v>
      </c>
      <c r="P90" s="70" t="s">
        <v>2279</v>
      </c>
      <c r="Q90" s="70" t="s">
        <v>2279</v>
      </c>
      <c r="R90" s="70" t="s">
        <v>2279</v>
      </c>
      <c r="S90" s="70"/>
      <c r="T90" s="70"/>
      <c r="U90" s="70" t="s">
        <v>2279</v>
      </c>
      <c r="V90" s="70" t="s">
        <v>2279</v>
      </c>
      <c r="W90" s="70" t="s">
        <v>2279</v>
      </c>
      <c r="X90" s="70" t="s">
        <v>2279</v>
      </c>
      <c r="Y90" s="70" t="s">
        <v>2279</v>
      </c>
      <c r="Z90" s="70"/>
      <c r="AA90" s="70"/>
      <c r="AB90" s="70"/>
      <c r="AC90" s="70"/>
      <c r="AD90" s="70" t="s">
        <v>2279</v>
      </c>
      <c r="AE90" s="70"/>
      <c r="AF90" s="70" t="s">
        <v>2279</v>
      </c>
      <c r="AG90" s="70"/>
      <c r="AH90" s="70"/>
      <c r="AI90" s="70" t="s">
        <v>2279</v>
      </c>
      <c r="AJ90" s="70"/>
      <c r="AK90" s="70"/>
      <c r="AL90" s="70"/>
      <c r="AM90" s="70"/>
      <c r="AN90" s="70"/>
    </row>
    <row r="91" spans="1:40" ht="15.75" hidden="1" thickBot="1" x14ac:dyDescent="0.3">
      <c r="A91" t="s">
        <v>52</v>
      </c>
      <c r="B91" t="s">
        <v>1477</v>
      </c>
      <c r="C91" t="s">
        <v>1060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7"/>
        <v>28</v>
      </c>
      <c r="J91" s="146" t="s">
        <v>1725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1:40" ht="15.75" hidden="1" thickBot="1" x14ac:dyDescent="0.3">
      <c r="A92" t="s">
        <v>52</v>
      </c>
      <c r="B92" t="s">
        <v>1478</v>
      </c>
      <c r="C92" t="s">
        <v>1060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7"/>
        <v>28</v>
      </c>
      <c r="J92" s="146" t="s">
        <v>1726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1:40" ht="15.75" hidden="1" thickBot="1" x14ac:dyDescent="0.3">
      <c r="A93" t="s">
        <v>52</v>
      </c>
      <c r="B93" t="s">
        <v>143</v>
      </c>
      <c r="C93" t="s">
        <v>1060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7"/>
        <v>28</v>
      </c>
      <c r="J93" s="146" t="s">
        <v>1727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1:40" s="73" customFormat="1" ht="15.75" hidden="1" thickBot="1" x14ac:dyDescent="0.3">
      <c r="A94" s="73" t="s">
        <v>52</v>
      </c>
      <c r="B94" s="73" t="s">
        <v>145</v>
      </c>
      <c r="C94" s="73" t="s">
        <v>1060</v>
      </c>
      <c r="D94" s="73" t="s">
        <v>146</v>
      </c>
      <c r="E94" s="85" t="s">
        <v>19</v>
      </c>
      <c r="F94" s="85" t="s">
        <v>1299</v>
      </c>
      <c r="G94" s="85"/>
      <c r="H94" s="85" t="s">
        <v>1421</v>
      </c>
      <c r="I94" s="141">
        <f t="shared" si="7"/>
        <v>28</v>
      </c>
      <c r="J94" s="146" t="s">
        <v>1728</v>
      </c>
      <c r="K94" s="141">
        <f t="shared" si="8"/>
        <v>0</v>
      </c>
      <c r="L94" s="14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</row>
    <row r="95" spans="1:40" ht="15.75" hidden="1" thickBot="1" x14ac:dyDescent="0.3">
      <c r="A95" t="s">
        <v>52</v>
      </c>
      <c r="B95" t="s">
        <v>147</v>
      </c>
      <c r="C95" t="s">
        <v>1060</v>
      </c>
      <c r="D95" t="s">
        <v>148</v>
      </c>
      <c r="E95" s="30" t="s">
        <v>19</v>
      </c>
      <c r="F95" s="30" t="s">
        <v>28</v>
      </c>
      <c r="G95" s="30"/>
      <c r="H95" s="30" t="s">
        <v>1458</v>
      </c>
      <c r="I95" s="31">
        <f t="shared" si="7"/>
        <v>24</v>
      </c>
      <c r="J95" s="149" t="s">
        <v>1729</v>
      </c>
      <c r="K95" s="31">
        <f t="shared" si="8"/>
        <v>4</v>
      </c>
      <c r="L95" s="32">
        <f t="shared" si="9"/>
        <v>0.8571428571428571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 t="s">
        <v>2279</v>
      </c>
      <c r="AE95" s="70" t="s">
        <v>2279</v>
      </c>
      <c r="AF95" s="70" t="s">
        <v>2279</v>
      </c>
      <c r="AG95" s="70"/>
      <c r="AH95" s="70"/>
      <c r="AI95" s="70" t="s">
        <v>2279</v>
      </c>
      <c r="AJ95" s="70"/>
      <c r="AK95" s="70"/>
      <c r="AL95" s="70"/>
      <c r="AM95" s="70"/>
      <c r="AN95" s="70"/>
    </row>
    <row r="96" spans="1:40" s="73" customFormat="1" ht="15.75" hidden="1" thickBot="1" x14ac:dyDescent="0.3">
      <c r="A96" s="73" t="s">
        <v>52</v>
      </c>
      <c r="B96" s="73" t="s">
        <v>925</v>
      </c>
      <c r="C96" s="73" t="s">
        <v>1060</v>
      </c>
      <c r="D96" s="73" t="s">
        <v>149</v>
      </c>
      <c r="E96" s="85" t="s">
        <v>19</v>
      </c>
      <c r="F96" s="85" t="s">
        <v>1299</v>
      </c>
      <c r="G96" s="85"/>
      <c r="H96" s="85" t="s">
        <v>1358</v>
      </c>
      <c r="I96" s="141">
        <f t="shared" si="7"/>
        <v>26</v>
      </c>
      <c r="J96" s="146" t="s">
        <v>1730</v>
      </c>
      <c r="K96" s="141">
        <f t="shared" si="8"/>
        <v>2</v>
      </c>
      <c r="L96" s="142">
        <f t="shared" si="9"/>
        <v>0.9285714285714286</v>
      </c>
      <c r="M96" s="70" t="s">
        <v>2279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 t="s">
        <v>2279</v>
      </c>
      <c r="AJ96" s="70"/>
      <c r="AK96" s="70"/>
      <c r="AL96" s="70"/>
      <c r="AM96" s="70"/>
      <c r="AN96" s="70"/>
    </row>
    <row r="97" spans="1:40" s="73" customFormat="1" ht="15.75" hidden="1" thickBot="1" x14ac:dyDescent="0.3">
      <c r="A97" s="73" t="s">
        <v>52</v>
      </c>
      <c r="B97" s="73" t="s">
        <v>926</v>
      </c>
      <c r="C97" s="73" t="s">
        <v>1060</v>
      </c>
      <c r="D97" s="73" t="s">
        <v>45</v>
      </c>
      <c r="E97" s="85" t="s">
        <v>46</v>
      </c>
      <c r="F97" s="85" t="s">
        <v>1299</v>
      </c>
      <c r="G97" s="85"/>
      <c r="H97" s="85" t="s">
        <v>663</v>
      </c>
      <c r="I97" s="141">
        <f t="shared" si="7"/>
        <v>28</v>
      </c>
      <c r="J97" s="146" t="s">
        <v>1731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1:40" s="73" customFormat="1" ht="15.75" hidden="1" thickBot="1" x14ac:dyDescent="0.3">
      <c r="A98" s="73" t="s">
        <v>52</v>
      </c>
      <c r="B98" s="73" t="s">
        <v>150</v>
      </c>
      <c r="C98" s="73" t="s">
        <v>1060</v>
      </c>
      <c r="D98" s="73" t="s">
        <v>151</v>
      </c>
      <c r="E98" s="85" t="s">
        <v>15</v>
      </c>
      <c r="F98" s="85" t="s">
        <v>1299</v>
      </c>
      <c r="G98" s="85"/>
      <c r="H98" s="85" t="s">
        <v>1429</v>
      </c>
      <c r="I98" s="141">
        <f t="shared" si="7"/>
        <v>28</v>
      </c>
      <c r="J98" s="146" t="s">
        <v>1732</v>
      </c>
      <c r="K98" s="141">
        <f t="shared" si="8"/>
        <v>0</v>
      </c>
      <c r="L98" s="142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1:40" s="73" customFormat="1" ht="15.75" hidden="1" thickBot="1" x14ac:dyDescent="0.3">
      <c r="A99" s="73" t="s">
        <v>52</v>
      </c>
      <c r="B99" s="73" t="s">
        <v>927</v>
      </c>
      <c r="C99" s="73" t="s">
        <v>1060</v>
      </c>
      <c r="D99" s="73" t="s">
        <v>47</v>
      </c>
      <c r="E99" s="85" t="s">
        <v>19</v>
      </c>
      <c r="F99" s="85" t="s">
        <v>1299</v>
      </c>
      <c r="G99" s="85"/>
      <c r="H99" s="85" t="s">
        <v>1365</v>
      </c>
      <c r="I99" s="141">
        <f t="shared" si="7"/>
        <v>25</v>
      </c>
      <c r="J99" s="146" t="s">
        <v>1733</v>
      </c>
      <c r="K99" s="141">
        <f t="shared" si="8"/>
        <v>3</v>
      </c>
      <c r="L99" s="142">
        <f t="shared" si="9"/>
        <v>0.8928571428571429</v>
      </c>
      <c r="M99" s="70" t="s">
        <v>2279</v>
      </c>
      <c r="N99" s="70" t="s">
        <v>2279</v>
      </c>
      <c r="O99" s="70" t="s">
        <v>2279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1:40" s="73" customFormat="1" ht="15.75" hidden="1" thickBot="1" x14ac:dyDescent="0.3">
      <c r="A100" s="73" t="s">
        <v>52</v>
      </c>
      <c r="B100" s="73" t="s">
        <v>48</v>
      </c>
      <c r="C100" s="73" t="s">
        <v>1060</v>
      </c>
      <c r="D100" s="73" t="s">
        <v>49</v>
      </c>
      <c r="E100" s="85" t="s">
        <v>19</v>
      </c>
      <c r="F100" s="85" t="s">
        <v>1299</v>
      </c>
      <c r="G100" s="85"/>
      <c r="H100" s="85" t="s">
        <v>1353</v>
      </c>
      <c r="I100" s="141">
        <f t="shared" si="7"/>
        <v>25</v>
      </c>
      <c r="J100" s="146" t="s">
        <v>1734</v>
      </c>
      <c r="K100" s="141">
        <f t="shared" si="8"/>
        <v>3</v>
      </c>
      <c r="L100" s="142">
        <f t="shared" si="9"/>
        <v>0.8928571428571429</v>
      </c>
      <c r="M100" s="70" t="s">
        <v>2279</v>
      </c>
      <c r="N100" s="70" t="s">
        <v>2279</v>
      </c>
      <c r="O100" s="70" t="s">
        <v>2279</v>
      </c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1:40" s="73" customFormat="1" ht="15.75" hidden="1" thickBot="1" x14ac:dyDescent="0.3">
      <c r="A101" s="73" t="s">
        <v>52</v>
      </c>
      <c r="B101" s="73" t="s">
        <v>50</v>
      </c>
      <c r="C101" s="73" t="s">
        <v>1060</v>
      </c>
      <c r="D101" s="73" t="s">
        <v>51</v>
      </c>
      <c r="E101" s="85" t="s">
        <v>19</v>
      </c>
      <c r="F101" s="85" t="s">
        <v>1299</v>
      </c>
      <c r="G101" s="85"/>
      <c r="H101" s="85" t="s">
        <v>1406</v>
      </c>
      <c r="I101" s="141">
        <f t="shared" si="7"/>
        <v>28</v>
      </c>
      <c r="J101" s="146" t="s">
        <v>1735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1:40" s="73" customFormat="1" ht="15.75" hidden="1" thickBot="1" x14ac:dyDescent="0.3">
      <c r="A102" s="73" t="s">
        <v>52</v>
      </c>
      <c r="B102" s="73" t="s">
        <v>53</v>
      </c>
      <c r="C102" s="73" t="s">
        <v>1060</v>
      </c>
      <c r="D102" s="73" t="s">
        <v>54</v>
      </c>
      <c r="E102" s="85" t="s">
        <v>15</v>
      </c>
      <c r="F102" s="85" t="s">
        <v>1299</v>
      </c>
      <c r="G102" s="85"/>
      <c r="H102" s="85" t="s">
        <v>1422</v>
      </c>
      <c r="I102" s="141">
        <f t="shared" si="7"/>
        <v>28</v>
      </c>
      <c r="J102" s="146" t="s">
        <v>1736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1:40" s="73" customFormat="1" ht="15.75" hidden="1" thickBot="1" x14ac:dyDescent="0.3">
      <c r="A103" s="73" t="s">
        <v>52</v>
      </c>
      <c r="B103" s="73" t="s">
        <v>55</v>
      </c>
      <c r="C103" s="73" t="s">
        <v>1060</v>
      </c>
      <c r="D103" s="73" t="s">
        <v>56</v>
      </c>
      <c r="E103" s="85" t="s">
        <v>15</v>
      </c>
      <c r="F103" s="85" t="s">
        <v>1299</v>
      </c>
      <c r="G103" s="85"/>
      <c r="H103" s="85" t="s">
        <v>1361</v>
      </c>
      <c r="I103" s="141">
        <f t="shared" si="7"/>
        <v>28</v>
      </c>
      <c r="J103" s="146" t="s">
        <v>1737</v>
      </c>
      <c r="K103" s="141">
        <f t="shared" si="8"/>
        <v>0</v>
      </c>
      <c r="L103" s="14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1:40" ht="15.75" hidden="1" thickBot="1" x14ac:dyDescent="0.3">
      <c r="A104" t="s">
        <v>52</v>
      </c>
      <c r="B104" t="s">
        <v>57</v>
      </c>
      <c r="C104" t="s">
        <v>1060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7"/>
        <v>28</v>
      </c>
      <c r="J104" s="146" t="s">
        <v>1738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1:40" s="73" customFormat="1" ht="15.75" hidden="1" thickBot="1" x14ac:dyDescent="0.3">
      <c r="A105" s="73" t="s">
        <v>52</v>
      </c>
      <c r="B105" s="73" t="s">
        <v>932</v>
      </c>
      <c r="C105" s="73" t="s">
        <v>1060</v>
      </c>
      <c r="D105" s="73" t="s">
        <v>59</v>
      </c>
      <c r="E105" s="85" t="s">
        <v>15</v>
      </c>
      <c r="F105" s="85" t="s">
        <v>1299</v>
      </c>
      <c r="G105" s="85"/>
      <c r="H105" s="85" t="s">
        <v>1372</v>
      </c>
      <c r="I105" s="141">
        <f t="shared" si="7"/>
        <v>28</v>
      </c>
      <c r="J105" s="146" t="s">
        <v>1739</v>
      </c>
      <c r="K105" s="141">
        <f t="shared" si="8"/>
        <v>0</v>
      </c>
      <c r="L105" s="14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1:40" ht="15.75" hidden="1" thickBot="1" x14ac:dyDescent="0.3">
      <c r="A106" t="s">
        <v>52</v>
      </c>
      <c r="B106" t="s">
        <v>60</v>
      </c>
      <c r="C106" t="s">
        <v>1060</v>
      </c>
      <c r="D106" t="s">
        <v>61</v>
      </c>
      <c r="E106" s="30" t="s">
        <v>15</v>
      </c>
      <c r="F106" s="30" t="s">
        <v>1054</v>
      </c>
      <c r="G106" s="30" t="s">
        <v>45</v>
      </c>
      <c r="H106" s="30" t="s">
        <v>665</v>
      </c>
      <c r="I106" s="31">
        <f t="shared" si="7"/>
        <v>28</v>
      </c>
      <c r="J106" s="146" t="s">
        <v>1740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1:40" s="73" customFormat="1" ht="15.75" hidden="1" thickBot="1" x14ac:dyDescent="0.3">
      <c r="A107" s="73" t="s">
        <v>52</v>
      </c>
      <c r="B107" s="73" t="s">
        <v>62</v>
      </c>
      <c r="C107" s="73" t="s">
        <v>1060</v>
      </c>
      <c r="D107" s="73" t="s">
        <v>63</v>
      </c>
      <c r="E107" s="85" t="s">
        <v>15</v>
      </c>
      <c r="F107" s="85" t="s">
        <v>1299</v>
      </c>
      <c r="G107" s="85"/>
      <c r="H107" s="85" t="s">
        <v>1362</v>
      </c>
      <c r="I107" s="141">
        <f t="shared" si="7"/>
        <v>28</v>
      </c>
      <c r="J107" s="146" t="s">
        <v>1741</v>
      </c>
      <c r="K107" s="141">
        <f t="shared" si="8"/>
        <v>0</v>
      </c>
      <c r="L107" s="14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1:40" ht="15.75" hidden="1" thickBot="1" x14ac:dyDescent="0.3">
      <c r="A108" t="s">
        <v>52</v>
      </c>
      <c r="B108" t="s">
        <v>933</v>
      </c>
      <c r="C108" t="s">
        <v>1060</v>
      </c>
      <c r="D108" t="s">
        <v>1083</v>
      </c>
      <c r="E108" s="30" t="s">
        <v>15</v>
      </c>
      <c r="F108" s="30" t="s">
        <v>1054</v>
      </c>
      <c r="G108" s="30" t="s">
        <v>1251</v>
      </c>
      <c r="H108" s="30" t="s">
        <v>666</v>
      </c>
      <c r="I108" s="31">
        <f t="shared" si="7"/>
        <v>28</v>
      </c>
      <c r="J108" s="146" t="s">
        <v>1742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1:40" ht="15.75" hidden="1" thickBot="1" x14ac:dyDescent="0.3">
      <c r="A109" t="s">
        <v>52</v>
      </c>
      <c r="B109" t="s">
        <v>934</v>
      </c>
      <c r="C109" t="s">
        <v>1060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7"/>
        <v>28</v>
      </c>
      <c r="J109" s="146" t="s">
        <v>1743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1:40" ht="15.75" hidden="1" thickBot="1" x14ac:dyDescent="0.3">
      <c r="A110" t="s">
        <v>52</v>
      </c>
      <c r="B110" t="s">
        <v>152</v>
      </c>
      <c r="C110" t="s">
        <v>1060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7"/>
        <v>28</v>
      </c>
      <c r="J110" s="146" t="s">
        <v>1744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73" customFormat="1" ht="15.75" hidden="1" thickBot="1" x14ac:dyDescent="0.3">
      <c r="A111" s="73" t="s">
        <v>52</v>
      </c>
      <c r="B111" s="73" t="s">
        <v>928</v>
      </c>
      <c r="C111" s="73" t="s">
        <v>1060</v>
      </c>
      <c r="D111" s="73" t="s">
        <v>154</v>
      </c>
      <c r="E111" s="85" t="s">
        <v>46</v>
      </c>
      <c r="F111" s="85" t="s">
        <v>1299</v>
      </c>
      <c r="G111" s="85"/>
      <c r="H111" s="85" t="s">
        <v>1057</v>
      </c>
      <c r="I111" s="141">
        <f t="shared" si="7"/>
        <v>28</v>
      </c>
      <c r="J111" s="146" t="s">
        <v>1745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1:40" s="73" customFormat="1" ht="15.75" hidden="1" thickBot="1" x14ac:dyDescent="0.3">
      <c r="A112" s="73" t="s">
        <v>52</v>
      </c>
      <c r="B112" s="73" t="s">
        <v>155</v>
      </c>
      <c r="C112" s="73" t="s">
        <v>1060</v>
      </c>
      <c r="D112" s="73" t="s">
        <v>154</v>
      </c>
      <c r="E112" s="85" t="s">
        <v>46</v>
      </c>
      <c r="F112" s="85" t="s">
        <v>1299</v>
      </c>
      <c r="G112" s="85"/>
      <c r="H112" s="85" t="s">
        <v>669</v>
      </c>
      <c r="I112" s="141">
        <f t="shared" si="7"/>
        <v>28</v>
      </c>
      <c r="J112" s="146" t="s">
        <v>1745</v>
      </c>
      <c r="K112" s="141">
        <f t="shared" si="8"/>
        <v>0</v>
      </c>
      <c r="L112" s="14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1:40" s="73" customFormat="1" ht="15.75" hidden="1" thickBot="1" x14ac:dyDescent="0.3">
      <c r="A113" s="73" t="s">
        <v>52</v>
      </c>
      <c r="B113" s="73" t="s">
        <v>156</v>
      </c>
      <c r="C113" s="73" t="s">
        <v>1060</v>
      </c>
      <c r="D113" s="73" t="s">
        <v>157</v>
      </c>
      <c r="E113" s="85" t="s">
        <v>73</v>
      </c>
      <c r="F113" s="85" t="s">
        <v>1299</v>
      </c>
      <c r="G113" s="85"/>
      <c r="H113" s="85" t="s">
        <v>673</v>
      </c>
      <c r="I113" s="141">
        <f t="shared" si="7"/>
        <v>28</v>
      </c>
      <c r="J113" s="146" t="s">
        <v>1747</v>
      </c>
      <c r="K113" s="141">
        <f t="shared" si="8"/>
        <v>0</v>
      </c>
      <c r="L113" s="14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1:40" s="73" customFormat="1" ht="15.75" hidden="1" thickBot="1" x14ac:dyDescent="0.3">
      <c r="A114" s="73" t="s">
        <v>52</v>
      </c>
      <c r="B114" s="73" t="s">
        <v>158</v>
      </c>
      <c r="C114" s="73" t="s">
        <v>1060</v>
      </c>
      <c r="D114" s="73" t="s">
        <v>157</v>
      </c>
      <c r="E114" s="85" t="s">
        <v>73</v>
      </c>
      <c r="F114" s="85" t="s">
        <v>1299</v>
      </c>
      <c r="G114" s="85"/>
      <c r="H114" s="85" t="s">
        <v>674</v>
      </c>
      <c r="I114" s="141">
        <f t="shared" si="7"/>
        <v>28</v>
      </c>
      <c r="J114" s="146" t="s">
        <v>1746</v>
      </c>
      <c r="K114" s="141">
        <f t="shared" si="8"/>
        <v>0</v>
      </c>
      <c r="L114" s="14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  <row r="115" spans="1:40" ht="15.75" hidden="1" thickBot="1" x14ac:dyDescent="0.3">
      <c r="A115" t="s">
        <v>52</v>
      </c>
      <c r="B115" t="s">
        <v>159</v>
      </c>
      <c r="C115" t="s">
        <v>1060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7"/>
        <v>28</v>
      </c>
      <c r="J115" s="146" t="s">
        <v>1748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</row>
    <row r="116" spans="1:40" ht="15.75" hidden="1" thickBot="1" x14ac:dyDescent="0.3">
      <c r="A116" t="s">
        <v>52</v>
      </c>
      <c r="B116" t="s">
        <v>65</v>
      </c>
      <c r="C116" t="s">
        <v>1060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7"/>
        <v>28</v>
      </c>
      <c r="J116" s="146" t="s">
        <v>1749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</row>
    <row r="117" spans="1:40" s="73" customFormat="1" ht="15.75" hidden="1" thickBot="1" x14ac:dyDescent="0.3">
      <c r="A117" s="73" t="s">
        <v>52</v>
      </c>
      <c r="B117" s="73" t="s">
        <v>67</v>
      </c>
      <c r="C117" s="73" t="s">
        <v>1060</v>
      </c>
      <c r="D117" s="73" t="s">
        <v>68</v>
      </c>
      <c r="E117" s="85" t="s">
        <v>19</v>
      </c>
      <c r="F117" s="85" t="s">
        <v>1299</v>
      </c>
      <c r="G117" s="85"/>
      <c r="H117" s="85" t="s">
        <v>677</v>
      </c>
      <c r="I117" s="141">
        <f t="shared" si="7"/>
        <v>28</v>
      </c>
      <c r="J117" s="146" t="s">
        <v>1750</v>
      </c>
      <c r="K117" s="141">
        <f t="shared" si="8"/>
        <v>0</v>
      </c>
      <c r="L117" s="14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</row>
    <row r="118" spans="1:40" ht="13.9" hidden="1" customHeight="1" thickBot="1" x14ac:dyDescent="0.3">
      <c r="A118" t="s">
        <v>52</v>
      </c>
      <c r="B118" t="s">
        <v>69</v>
      </c>
      <c r="C118" t="s">
        <v>1060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7"/>
        <v>28</v>
      </c>
      <c r="J118" s="146" t="s">
        <v>1751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</row>
    <row r="119" spans="1:40" ht="15.75" hidden="1" thickBot="1" x14ac:dyDescent="0.3">
      <c r="A119" t="s">
        <v>52</v>
      </c>
      <c r="B119" t="s">
        <v>161</v>
      </c>
      <c r="C119" t="s">
        <v>1060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7"/>
        <v>28</v>
      </c>
      <c r="J119" s="146" t="s">
        <v>1752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</row>
    <row r="120" spans="1:40" ht="15.75" hidden="1" thickBot="1" x14ac:dyDescent="0.3">
      <c r="A120" t="s">
        <v>52</v>
      </c>
      <c r="B120" t="s">
        <v>163</v>
      </c>
      <c r="C120" t="s">
        <v>1060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7"/>
        <v>28</v>
      </c>
      <c r="J120" s="146" t="s">
        <v>1753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</row>
    <row r="121" spans="1:40" s="73" customFormat="1" ht="15.75" hidden="1" thickBot="1" x14ac:dyDescent="0.3">
      <c r="A121" s="73" t="s">
        <v>52</v>
      </c>
      <c r="B121" s="73" t="s">
        <v>929</v>
      </c>
      <c r="C121" s="73" t="s">
        <v>1060</v>
      </c>
      <c r="D121" s="73" t="s">
        <v>930</v>
      </c>
      <c r="E121" s="85" t="s">
        <v>19</v>
      </c>
      <c r="F121" s="85" t="s">
        <v>1299</v>
      </c>
      <c r="G121" s="85"/>
      <c r="H121" s="85" t="s">
        <v>1212</v>
      </c>
      <c r="I121" s="141">
        <f t="shared" si="7"/>
        <v>20</v>
      </c>
      <c r="J121" s="146" t="s">
        <v>1754</v>
      </c>
      <c r="K121" s="141">
        <f t="shared" si="8"/>
        <v>8</v>
      </c>
      <c r="L121" s="142">
        <f t="shared" si="9"/>
        <v>0.7142857142857143</v>
      </c>
      <c r="M121" s="70"/>
      <c r="N121" s="70"/>
      <c r="O121" s="70"/>
      <c r="P121" s="70" t="s">
        <v>2279</v>
      </c>
      <c r="Q121" s="70" t="s">
        <v>2279</v>
      </c>
      <c r="R121" s="70"/>
      <c r="S121" s="70"/>
      <c r="T121" s="70"/>
      <c r="U121" s="70"/>
      <c r="V121" s="70" t="s">
        <v>2279</v>
      </c>
      <c r="W121" s="70" t="s">
        <v>2279</v>
      </c>
      <c r="X121" s="70"/>
      <c r="Y121" s="70"/>
      <c r="Z121" s="70"/>
      <c r="AA121" s="70"/>
      <c r="AB121" s="70"/>
      <c r="AC121" s="70"/>
      <c r="AD121" s="70" t="s">
        <v>2279</v>
      </c>
      <c r="AE121" s="70" t="s">
        <v>2279</v>
      </c>
      <c r="AF121" s="70" t="s">
        <v>2279</v>
      </c>
      <c r="AG121" s="70"/>
      <c r="AH121" s="70"/>
      <c r="AI121" s="70" t="s">
        <v>2279</v>
      </c>
      <c r="AJ121" s="70"/>
      <c r="AK121" s="70"/>
      <c r="AL121" s="70"/>
      <c r="AM121" s="70"/>
      <c r="AN121" s="70"/>
    </row>
    <row r="122" spans="1:40" ht="15.75" hidden="1" thickBot="1" x14ac:dyDescent="0.3">
      <c r="A122" t="s">
        <v>52</v>
      </c>
      <c r="B122" t="s">
        <v>931</v>
      </c>
      <c r="C122" t="s">
        <v>1060</v>
      </c>
      <c r="D122" t="s">
        <v>1076</v>
      </c>
      <c r="E122" s="30" t="s">
        <v>73</v>
      </c>
      <c r="F122" s="30" t="s">
        <v>28</v>
      </c>
      <c r="G122" s="30"/>
      <c r="H122" s="30" t="s">
        <v>1492</v>
      </c>
      <c r="I122" s="31">
        <f t="shared" si="7"/>
        <v>28</v>
      </c>
      <c r="J122" s="146" t="s">
        <v>1755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</row>
    <row r="123" spans="1:40" ht="15.75" hidden="1" thickBot="1" x14ac:dyDescent="0.3">
      <c r="A123" t="s">
        <v>52</v>
      </c>
      <c r="B123" t="s">
        <v>1107</v>
      </c>
      <c r="C123" t="s">
        <v>1060</v>
      </c>
      <c r="D123" t="s">
        <v>1106</v>
      </c>
      <c r="E123" s="30" t="s">
        <v>73</v>
      </c>
      <c r="F123" s="30" t="s">
        <v>28</v>
      </c>
      <c r="G123" s="30"/>
      <c r="H123" s="30" t="s">
        <v>1108</v>
      </c>
      <c r="I123" s="31">
        <f t="shared" si="7"/>
        <v>28</v>
      </c>
      <c r="J123" s="146" t="s">
        <v>1756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</row>
    <row r="124" spans="1:40" ht="15.75" hidden="1" thickBot="1" x14ac:dyDescent="0.3">
      <c r="A124" t="s">
        <v>52</v>
      </c>
      <c r="B124" s="30" t="s">
        <v>1116</v>
      </c>
      <c r="C124" s="30" t="s">
        <v>1060</v>
      </c>
      <c r="D124" t="s">
        <v>122</v>
      </c>
      <c r="E124" s="30" t="s">
        <v>73</v>
      </c>
      <c r="F124" s="30" t="s">
        <v>28</v>
      </c>
      <c r="G124" s="30"/>
      <c r="H124" s="30" t="s">
        <v>1117</v>
      </c>
      <c r="I124" s="31">
        <f t="shared" si="7"/>
        <v>28</v>
      </c>
      <c r="J124" s="146" t="s">
        <v>1757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0" ht="15.75" hidden="1" thickBot="1" x14ac:dyDescent="0.3">
      <c r="A125" t="s">
        <v>52</v>
      </c>
      <c r="B125" s="30" t="s">
        <v>1109</v>
      </c>
      <c r="C125" s="30" t="s">
        <v>1060</v>
      </c>
      <c r="D125" t="s">
        <v>1111</v>
      </c>
      <c r="E125" s="30" t="s">
        <v>73</v>
      </c>
      <c r="F125" s="30" t="s">
        <v>28</v>
      </c>
      <c r="G125" s="30"/>
      <c r="H125" s="30" t="s">
        <v>1118</v>
      </c>
      <c r="I125" s="31">
        <f t="shared" si="7"/>
        <v>28</v>
      </c>
      <c r="J125" s="146" t="s">
        <v>1758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40" ht="15.75" hidden="1" thickBot="1" x14ac:dyDescent="0.3">
      <c r="A126" t="s">
        <v>52</v>
      </c>
      <c r="B126" s="30" t="s">
        <v>1110</v>
      </c>
      <c r="C126" s="30" t="s">
        <v>1060</v>
      </c>
      <c r="D126" t="s">
        <v>1111</v>
      </c>
      <c r="E126" s="30" t="s">
        <v>73</v>
      </c>
      <c r="F126" s="30" t="s">
        <v>28</v>
      </c>
      <c r="G126" s="30"/>
      <c r="H126" s="30" t="s">
        <v>1119</v>
      </c>
      <c r="I126" s="31">
        <f t="shared" si="7"/>
        <v>28</v>
      </c>
      <c r="J126" s="146" t="s">
        <v>1759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7" spans="1:40" ht="15.75" hidden="1" thickBot="1" x14ac:dyDescent="0.3">
      <c r="A127" t="s">
        <v>52</v>
      </c>
      <c r="B127" s="30" t="s">
        <v>1180</v>
      </c>
      <c r="C127" s="30" t="s">
        <v>1060</v>
      </c>
      <c r="D127" t="s">
        <v>93</v>
      </c>
      <c r="E127" s="30" t="s">
        <v>73</v>
      </c>
      <c r="F127" s="30" t="s">
        <v>28</v>
      </c>
      <c r="G127" s="30"/>
      <c r="H127" s="30" t="s">
        <v>1181</v>
      </c>
      <c r="I127" s="31">
        <f t="shared" si="7"/>
        <v>25</v>
      </c>
      <c r="J127" s="146" t="s">
        <v>1760</v>
      </c>
      <c r="K127" s="31">
        <f t="shared" si="8"/>
        <v>3</v>
      </c>
      <c r="L127" s="32">
        <f t="shared" si="9"/>
        <v>0.8928571428571429</v>
      </c>
      <c r="M127" s="70"/>
      <c r="N127" s="70"/>
      <c r="O127" s="70"/>
      <c r="P127" s="70" t="s">
        <v>2279</v>
      </c>
      <c r="Q127" s="70"/>
      <c r="R127" s="70"/>
      <c r="S127" s="70"/>
      <c r="T127" s="70"/>
      <c r="U127" s="70"/>
      <c r="V127" s="70"/>
      <c r="W127" s="70"/>
      <c r="X127" s="70"/>
      <c r="Y127" s="70" t="s">
        <v>2279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 t="s">
        <v>2279</v>
      </c>
      <c r="AJ127" s="70"/>
      <c r="AK127" s="70"/>
      <c r="AL127" s="70"/>
      <c r="AM127" s="70"/>
      <c r="AN127" s="70"/>
    </row>
    <row r="128" spans="1:40" s="73" customFormat="1" ht="15.75" hidden="1" thickBot="1" x14ac:dyDescent="0.3">
      <c r="A128" s="73" t="s">
        <v>52</v>
      </c>
      <c r="B128" s="85" t="s">
        <v>1196</v>
      </c>
      <c r="C128" s="85" t="s">
        <v>1060</v>
      </c>
      <c r="D128" s="73" t="s">
        <v>1197</v>
      </c>
      <c r="E128" s="85" t="s">
        <v>19</v>
      </c>
      <c r="F128" s="85" t="s">
        <v>1299</v>
      </c>
      <c r="G128" s="85"/>
      <c r="H128" s="85" t="s">
        <v>1198</v>
      </c>
      <c r="I128" s="141">
        <f t="shared" si="7"/>
        <v>27</v>
      </c>
      <c r="J128" s="147" t="s">
        <v>1761</v>
      </c>
      <c r="K128" s="141">
        <f t="shared" si="8"/>
        <v>1</v>
      </c>
      <c r="L128" s="142">
        <f t="shared" si="9"/>
        <v>0.9642857142857143</v>
      </c>
      <c r="M128" s="70"/>
      <c r="N128" s="70"/>
      <c r="O128" s="70"/>
      <c r="P128" s="70"/>
      <c r="Q128" s="70" t="s">
        <v>2279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</row>
    <row r="129" spans="1:40" s="73" customFormat="1" ht="15.75" hidden="1" thickBot="1" x14ac:dyDescent="0.3">
      <c r="A129" s="73" t="s">
        <v>52</v>
      </c>
      <c r="B129" s="85" t="s">
        <v>1193</v>
      </c>
      <c r="C129" s="85" t="s">
        <v>1060</v>
      </c>
      <c r="D129" s="73" t="s">
        <v>1194</v>
      </c>
      <c r="E129" s="85" t="s">
        <v>19</v>
      </c>
      <c r="F129" s="85" t="s">
        <v>1299</v>
      </c>
      <c r="G129" s="85"/>
      <c r="H129" s="85" t="s">
        <v>1195</v>
      </c>
      <c r="I129" s="141">
        <f t="shared" si="7"/>
        <v>28</v>
      </c>
      <c r="J129" s="146" t="s">
        <v>1762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</row>
    <row r="130" spans="1:40" s="73" customFormat="1" ht="15.75" hidden="1" thickBot="1" x14ac:dyDescent="0.3">
      <c r="A130" s="73" t="s">
        <v>52</v>
      </c>
      <c r="B130" s="73" t="s">
        <v>1221</v>
      </c>
      <c r="C130" s="85" t="s">
        <v>1060</v>
      </c>
      <c r="D130" s="73" t="s">
        <v>1222</v>
      </c>
      <c r="E130" s="73" t="s">
        <v>73</v>
      </c>
      <c r="F130" s="73" t="s">
        <v>1299</v>
      </c>
      <c r="H130" s="85" t="s">
        <v>1309</v>
      </c>
      <c r="I130" s="141">
        <f t="shared" si="7"/>
        <v>28</v>
      </c>
      <c r="J130" s="146" t="s">
        <v>1763</v>
      </c>
      <c r="K130" s="141">
        <f t="shared" si="8"/>
        <v>0</v>
      </c>
      <c r="L130" s="142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</row>
    <row r="131" spans="1:40" ht="15.75" hidden="1" thickBot="1" x14ac:dyDescent="0.3">
      <c r="A131" s="73" t="s">
        <v>52</v>
      </c>
      <c r="B131" t="s">
        <v>1223</v>
      </c>
      <c r="C131" s="30" t="s">
        <v>1060</v>
      </c>
      <c r="D131" t="s">
        <v>1224</v>
      </c>
      <c r="E131" t="s">
        <v>73</v>
      </c>
      <c r="F131" t="s">
        <v>28</v>
      </c>
      <c r="G131"/>
      <c r="H131" s="30" t="s">
        <v>1320</v>
      </c>
      <c r="I131" s="31">
        <f t="shared" si="7"/>
        <v>17</v>
      </c>
      <c r="J131" s="146" t="s">
        <v>1764</v>
      </c>
      <c r="K131" s="31">
        <f t="shared" si="8"/>
        <v>11</v>
      </c>
      <c r="L131" s="32">
        <f t="shared" si="9"/>
        <v>0.6071428571428571</v>
      </c>
      <c r="M131" s="70" t="s">
        <v>2279</v>
      </c>
      <c r="N131" s="70" t="s">
        <v>2279</v>
      </c>
      <c r="O131" s="70" t="s">
        <v>2279</v>
      </c>
      <c r="P131" s="70" t="s">
        <v>2279</v>
      </c>
      <c r="Q131" s="70"/>
      <c r="R131" s="70"/>
      <c r="S131" s="70"/>
      <c r="T131" s="70"/>
      <c r="U131" s="70" t="s">
        <v>2279</v>
      </c>
      <c r="V131" s="70" t="s">
        <v>2279</v>
      </c>
      <c r="W131" s="70" t="s">
        <v>2279</v>
      </c>
      <c r="X131" s="70" t="s">
        <v>2279</v>
      </c>
      <c r="Y131" s="70" t="s">
        <v>2279</v>
      </c>
      <c r="Z131" s="70"/>
      <c r="AA131" s="70"/>
      <c r="AB131" s="70"/>
      <c r="AC131" s="70"/>
      <c r="AD131" s="70"/>
      <c r="AE131" s="70"/>
      <c r="AF131" s="70" t="s">
        <v>2279</v>
      </c>
      <c r="AG131" s="70"/>
      <c r="AH131" s="70"/>
      <c r="AI131" s="70" t="s">
        <v>2279</v>
      </c>
      <c r="AJ131" s="70"/>
      <c r="AK131" s="70"/>
      <c r="AL131" s="70"/>
      <c r="AM131" s="70"/>
      <c r="AN131" s="70"/>
    </row>
    <row r="132" spans="1:40" ht="15.75" hidden="1" thickBot="1" x14ac:dyDescent="0.3">
      <c r="A132" t="s">
        <v>52</v>
      </c>
      <c r="B132" s="30" t="s">
        <v>1297</v>
      </c>
      <c r="C132" s="30" t="s">
        <v>1060</v>
      </c>
      <c r="D132" t="s">
        <v>88</v>
      </c>
      <c r="E132" s="30" t="s">
        <v>73</v>
      </c>
      <c r="F132" s="30" t="s">
        <v>28</v>
      </c>
      <c r="G132" s="30"/>
      <c r="H132" s="30" t="s">
        <v>1296</v>
      </c>
      <c r="I132" s="31">
        <f t="shared" si="7"/>
        <v>28</v>
      </c>
      <c r="J132" s="146" t="s">
        <v>1765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</row>
    <row r="133" spans="1:40" s="73" customFormat="1" ht="15.75" hidden="1" thickBot="1" x14ac:dyDescent="0.3">
      <c r="A133" s="73" t="s">
        <v>52</v>
      </c>
      <c r="B133" s="85" t="s">
        <v>1322</v>
      </c>
      <c r="C133" s="85" t="s">
        <v>1060</v>
      </c>
      <c r="D133" s="73" t="s">
        <v>1323</v>
      </c>
      <c r="E133" s="85" t="s">
        <v>19</v>
      </c>
      <c r="F133" s="85" t="s">
        <v>1299</v>
      </c>
      <c r="G133" s="85"/>
      <c r="H133" s="85" t="s">
        <v>1324</v>
      </c>
      <c r="I133" s="141">
        <f t="shared" si="7"/>
        <v>28</v>
      </c>
      <c r="J133" s="146" t="s">
        <v>1766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</row>
    <row r="134" spans="1:40" s="73" customFormat="1" ht="15.75" hidden="1" thickBot="1" x14ac:dyDescent="0.3">
      <c r="A134" s="73" t="s">
        <v>52</v>
      </c>
      <c r="B134" s="85" t="s">
        <v>1413</v>
      </c>
      <c r="C134" s="85" t="s">
        <v>1060</v>
      </c>
      <c r="D134" s="73" t="s">
        <v>1527</v>
      </c>
      <c r="E134" s="85" t="s">
        <v>19</v>
      </c>
      <c r="F134" s="85" t="s">
        <v>1299</v>
      </c>
      <c r="G134" s="85"/>
      <c r="H134" s="85" t="s">
        <v>1414</v>
      </c>
      <c r="I134" s="141">
        <f t="shared" si="7"/>
        <v>28</v>
      </c>
      <c r="J134" s="146" t="s">
        <v>1767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</row>
    <row r="135" spans="1:40" s="73" customFormat="1" ht="18.75" hidden="1" customHeight="1" thickBot="1" x14ac:dyDescent="0.3">
      <c r="A135" s="73" t="s">
        <v>52</v>
      </c>
      <c r="B135" s="85" t="s">
        <v>1504</v>
      </c>
      <c r="C135" s="85" t="s">
        <v>1060</v>
      </c>
      <c r="D135" s="73" t="s">
        <v>1505</v>
      </c>
      <c r="E135" s="85" t="s">
        <v>19</v>
      </c>
      <c r="F135" s="85" t="s">
        <v>1299</v>
      </c>
      <c r="G135" s="85"/>
      <c r="H135" s="85" t="s">
        <v>1509</v>
      </c>
      <c r="I135" s="141">
        <f t="shared" si="7"/>
        <v>28</v>
      </c>
      <c r="J135" s="146" t="s">
        <v>1768</v>
      </c>
      <c r="K135" s="141">
        <f t="shared" si="8"/>
        <v>0</v>
      </c>
      <c r="L135" s="142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</row>
    <row r="136" spans="1:40" ht="15.75" hidden="1" thickBot="1" x14ac:dyDescent="0.3">
      <c r="A136" t="s">
        <v>52</v>
      </c>
      <c r="B136" s="30" t="s">
        <v>1483</v>
      </c>
      <c r="C136" s="30" t="s">
        <v>1060</v>
      </c>
      <c r="D136" t="s">
        <v>1482</v>
      </c>
      <c r="E136" s="85" t="s">
        <v>73</v>
      </c>
      <c r="F136" s="85" t="s">
        <v>28</v>
      </c>
      <c r="G136" s="85"/>
      <c r="H136" s="85" t="s">
        <v>1484</v>
      </c>
      <c r="I136" s="141">
        <f t="shared" si="7"/>
        <v>28</v>
      </c>
      <c r="J136" s="146" t="s">
        <v>1769</v>
      </c>
      <c r="K136" s="141">
        <f t="shared" si="8"/>
        <v>0</v>
      </c>
      <c r="L136" s="142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</row>
    <row r="137" spans="1:40" ht="15.75" hidden="1" thickBot="1" x14ac:dyDescent="0.3">
      <c r="A137" t="s">
        <v>52</v>
      </c>
      <c r="B137" s="30" t="s">
        <v>1486</v>
      </c>
      <c r="C137" s="30" t="s">
        <v>1060</v>
      </c>
      <c r="D137" t="s">
        <v>1485</v>
      </c>
      <c r="E137" s="85" t="s">
        <v>19</v>
      </c>
      <c r="F137" s="85" t="s">
        <v>28</v>
      </c>
      <c r="G137" s="85"/>
      <c r="H137" s="85" t="s">
        <v>1487</v>
      </c>
      <c r="I137" s="141">
        <f t="shared" si="7"/>
        <v>28</v>
      </c>
      <c r="J137" s="146" t="s">
        <v>1770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</row>
    <row r="138" spans="1:40" s="73" customFormat="1" ht="15.75" hidden="1" thickBot="1" x14ac:dyDescent="0.3">
      <c r="A138" s="73" t="s">
        <v>52</v>
      </c>
      <c r="B138" s="85" t="s">
        <v>1518</v>
      </c>
      <c r="C138" s="85" t="s">
        <v>1060</v>
      </c>
      <c r="D138" s="73" t="s">
        <v>1519</v>
      </c>
      <c r="E138" s="85" t="s">
        <v>19</v>
      </c>
      <c r="F138" s="85" t="s">
        <v>1299</v>
      </c>
      <c r="G138" s="85"/>
      <c r="H138" s="85" t="s">
        <v>1520</v>
      </c>
      <c r="I138" s="141">
        <f t="shared" si="7"/>
        <v>28</v>
      </c>
      <c r="J138" s="146" t="s">
        <v>1771</v>
      </c>
      <c r="K138" s="141">
        <f t="shared" si="8"/>
        <v>0</v>
      </c>
      <c r="L138" s="142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</row>
    <row r="139" spans="1:40" ht="15.75" hidden="1" thickBot="1" x14ac:dyDescent="0.3">
      <c r="A139" t="s">
        <v>52</v>
      </c>
      <c r="B139" s="30" t="s">
        <v>1521</v>
      </c>
      <c r="C139" s="30" t="s">
        <v>1060</v>
      </c>
      <c r="D139" t="s">
        <v>1522</v>
      </c>
      <c r="E139" s="85" t="s">
        <v>19</v>
      </c>
      <c r="F139" s="85" t="s">
        <v>28</v>
      </c>
      <c r="G139" s="85"/>
      <c r="H139" s="85" t="s">
        <v>1523</v>
      </c>
      <c r="I139" s="141">
        <f t="shared" si="7"/>
        <v>28</v>
      </c>
      <c r="J139" s="146" t="s">
        <v>1772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</row>
    <row r="140" spans="1:40" ht="15.75" hidden="1" thickBot="1" x14ac:dyDescent="0.3">
      <c r="A140" t="s">
        <v>52</v>
      </c>
      <c r="B140" s="30" t="s">
        <v>1643</v>
      </c>
      <c r="C140" s="30" t="s">
        <v>1060</v>
      </c>
      <c r="D140" t="s">
        <v>1644</v>
      </c>
      <c r="E140" s="85" t="s">
        <v>19</v>
      </c>
      <c r="F140" s="85" t="s">
        <v>28</v>
      </c>
      <c r="G140" s="85"/>
      <c r="H140" s="85" t="s">
        <v>2116</v>
      </c>
      <c r="I140" s="141">
        <f t="shared" si="7"/>
        <v>28</v>
      </c>
      <c r="J140" s="87" t="s">
        <v>2184</v>
      </c>
      <c r="K140" s="141">
        <f t="shared" si="8"/>
        <v>0</v>
      </c>
      <c r="L140" s="14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</row>
    <row r="141" spans="1:40" s="73" customFormat="1" ht="15.75" hidden="1" thickBot="1" x14ac:dyDescent="0.3">
      <c r="A141" s="73" t="s">
        <v>52</v>
      </c>
      <c r="B141" s="85" t="s">
        <v>1561</v>
      </c>
      <c r="C141" s="85" t="s">
        <v>1060</v>
      </c>
      <c r="D141" s="73" t="s">
        <v>1563</v>
      </c>
      <c r="E141" s="85" t="s">
        <v>19</v>
      </c>
      <c r="F141" s="85" t="s">
        <v>1299</v>
      </c>
      <c r="G141" s="85"/>
      <c r="H141" s="85" t="s">
        <v>1565</v>
      </c>
      <c r="I141" s="141">
        <f t="shared" si="7"/>
        <v>27</v>
      </c>
      <c r="J141" s="146" t="s">
        <v>1773</v>
      </c>
      <c r="K141" s="141">
        <f t="shared" si="8"/>
        <v>1</v>
      </c>
      <c r="L141" s="142">
        <f t="shared" si="9"/>
        <v>0.9642857142857143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 t="s">
        <v>2279</v>
      </c>
      <c r="AJ141" s="70"/>
      <c r="AK141" s="70"/>
      <c r="AL141" s="70"/>
      <c r="AM141" s="70"/>
      <c r="AN141" s="70"/>
    </row>
    <row r="142" spans="1:40" s="73" customFormat="1" ht="15.75" hidden="1" thickBot="1" x14ac:dyDescent="0.3">
      <c r="A142" s="73" t="s">
        <v>52</v>
      </c>
      <c r="B142" s="85" t="s">
        <v>1562</v>
      </c>
      <c r="C142" s="85" t="s">
        <v>1060</v>
      </c>
      <c r="D142" s="73" t="s">
        <v>1564</v>
      </c>
      <c r="E142" s="85" t="s">
        <v>19</v>
      </c>
      <c r="F142" s="85" t="s">
        <v>1299</v>
      </c>
      <c r="G142" s="85"/>
      <c r="H142" s="85" t="s">
        <v>1566</v>
      </c>
      <c r="I142" s="141">
        <f t="shared" si="7"/>
        <v>28</v>
      </c>
      <c r="J142" s="146" t="s">
        <v>1774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</row>
    <row r="143" spans="1:40" s="73" customFormat="1" ht="15.75" hidden="1" thickBot="1" x14ac:dyDescent="0.3">
      <c r="A143" s="73" t="s">
        <v>52</v>
      </c>
      <c r="B143" s="85" t="s">
        <v>2123</v>
      </c>
      <c r="C143" s="85" t="s">
        <v>1060</v>
      </c>
      <c r="D143" s="73" t="s">
        <v>2124</v>
      </c>
      <c r="E143" s="85" t="s">
        <v>19</v>
      </c>
      <c r="F143" s="85" t="s">
        <v>1299</v>
      </c>
      <c r="G143" s="85"/>
      <c r="H143" s="85" t="s">
        <v>2185</v>
      </c>
      <c r="I143" s="141">
        <f t="shared" si="7"/>
        <v>28</v>
      </c>
      <c r="J143" s="146" t="s">
        <v>2186</v>
      </c>
      <c r="K143" s="141">
        <f t="shared" si="8"/>
        <v>0</v>
      </c>
      <c r="L143" s="14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</row>
    <row r="144" spans="1:40" s="73" customFormat="1" ht="15.75" hidden="1" thickBot="1" x14ac:dyDescent="0.3">
      <c r="A144" s="73" t="s">
        <v>52</v>
      </c>
      <c r="B144" s="85" t="s">
        <v>2213</v>
      </c>
      <c r="C144" s="85" t="s">
        <v>1060</v>
      </c>
      <c r="D144" s="73" t="s">
        <v>2214</v>
      </c>
      <c r="E144" s="85" t="s">
        <v>19</v>
      </c>
      <c r="F144" s="85" t="s">
        <v>1299</v>
      </c>
      <c r="G144" s="85"/>
      <c r="H144" s="85" t="s">
        <v>2215</v>
      </c>
      <c r="I144" s="141">
        <f t="shared" si="7"/>
        <v>28</v>
      </c>
      <c r="J144" s="146" t="s">
        <v>2216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</row>
    <row r="145" spans="1:40" s="73" customFormat="1" ht="15.75" hidden="1" thickBot="1" x14ac:dyDescent="0.3">
      <c r="A145" s="73" t="s">
        <v>52</v>
      </c>
      <c r="B145" s="85" t="s">
        <v>2251</v>
      </c>
      <c r="C145" s="85" t="s">
        <v>1060</v>
      </c>
      <c r="D145" s="73" t="s">
        <v>2252</v>
      </c>
      <c r="E145" s="85" t="s">
        <v>19</v>
      </c>
      <c r="F145" s="30" t="s">
        <v>28</v>
      </c>
      <c r="G145" s="85"/>
      <c r="H145" s="85" t="s">
        <v>2253</v>
      </c>
      <c r="I145" s="141">
        <f t="shared" si="7"/>
        <v>28</v>
      </c>
      <c r="J145" s="146" t="s">
        <v>2254</v>
      </c>
      <c r="K145" s="141">
        <f t="shared" si="8"/>
        <v>0</v>
      </c>
      <c r="L145" s="14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</row>
    <row r="146" spans="1:40" s="73" customFormat="1" ht="15.75" hidden="1" thickBot="1" x14ac:dyDescent="0.3">
      <c r="A146" s="73" t="s">
        <v>52</v>
      </c>
      <c r="B146" s="85" t="s">
        <v>2311</v>
      </c>
      <c r="C146" s="85" t="s">
        <v>1060</v>
      </c>
      <c r="D146" s="73" t="s">
        <v>2312</v>
      </c>
      <c r="E146" s="85" t="s">
        <v>19</v>
      </c>
      <c r="F146" s="30" t="s">
        <v>28</v>
      </c>
      <c r="G146" s="85"/>
      <c r="H146" s="85" t="s">
        <v>2313</v>
      </c>
      <c r="I146" s="141">
        <f t="shared" si="7"/>
        <v>27</v>
      </c>
      <c r="J146" s="146" t="s">
        <v>2314</v>
      </c>
      <c r="K146" s="141">
        <f t="shared" si="8"/>
        <v>1</v>
      </c>
      <c r="L146" s="142">
        <f t="shared" si="9"/>
        <v>0.9642857142857143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 t="s">
        <v>2279</v>
      </c>
      <c r="AJ146" s="70"/>
      <c r="AK146" s="70"/>
      <c r="AL146" s="70"/>
      <c r="AM146" s="70"/>
      <c r="AN146" s="70"/>
    </row>
    <row r="147" spans="1:40" ht="15.75" hidden="1" thickBot="1" x14ac:dyDescent="0.3">
      <c r="A147" t="s">
        <v>165</v>
      </c>
      <c r="B147" t="s">
        <v>166</v>
      </c>
      <c r="C147" t="s">
        <v>1060</v>
      </c>
      <c r="D147" t="s">
        <v>167</v>
      </c>
      <c r="E147" s="30" t="s">
        <v>19</v>
      </c>
      <c r="F147" s="30" t="s">
        <v>1054</v>
      </c>
      <c r="G147" s="30"/>
      <c r="H147" s="30" t="s">
        <v>1404</v>
      </c>
      <c r="I147" s="31">
        <f t="shared" si="7"/>
        <v>28</v>
      </c>
      <c r="J147" s="146" t="s">
        <v>1775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</row>
    <row r="148" spans="1:40" ht="15.75" hidden="1" thickBot="1" x14ac:dyDescent="0.3">
      <c r="A148" t="s">
        <v>168</v>
      </c>
      <c r="B148" t="s">
        <v>169</v>
      </c>
      <c r="C148" t="s">
        <v>1060</v>
      </c>
      <c r="D148" t="s">
        <v>170</v>
      </c>
      <c r="E148" s="30" t="s">
        <v>19</v>
      </c>
      <c r="F148" s="30" t="s">
        <v>1054</v>
      </c>
      <c r="G148" s="30"/>
      <c r="H148" s="30" t="s">
        <v>681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</row>
    <row r="149" spans="1:40" ht="15.75" hidden="1" thickBot="1" x14ac:dyDescent="0.3">
      <c r="A149" t="s">
        <v>168</v>
      </c>
      <c r="B149" t="s">
        <v>171</v>
      </c>
      <c r="C149" t="s">
        <v>1060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7"/>
        <v>28</v>
      </c>
      <c r="J149" s="146" t="s">
        <v>1776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</row>
    <row r="150" spans="1:40" ht="15.75" hidden="1" thickBot="1" x14ac:dyDescent="0.3">
      <c r="A150" t="s">
        <v>168</v>
      </c>
      <c r="B150" t="s">
        <v>173</v>
      </c>
      <c r="C150" t="s">
        <v>1060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7"/>
        <v>28</v>
      </c>
      <c r="J150" s="146" t="s">
        <v>1777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</row>
    <row r="151" spans="1:40" ht="15.75" hidden="1" thickBot="1" x14ac:dyDescent="0.3">
      <c r="A151" t="s">
        <v>175</v>
      </c>
      <c r="B151" t="s">
        <v>176</v>
      </c>
      <c r="C151" t="s">
        <v>1061</v>
      </c>
      <c r="D151" t="s">
        <v>177</v>
      </c>
      <c r="E151" s="30" t="s">
        <v>19</v>
      </c>
      <c r="F151" s="30" t="s">
        <v>28</v>
      </c>
      <c r="G151" s="30"/>
      <c r="H151" s="30" t="s">
        <v>2202</v>
      </c>
      <c r="I151" s="31">
        <f t="shared" si="7"/>
        <v>28</v>
      </c>
      <c r="J151" s="146" t="s">
        <v>1778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</row>
    <row r="152" spans="1:40" ht="15.75" hidden="1" thickBot="1" x14ac:dyDescent="0.3">
      <c r="A152" t="s">
        <v>178</v>
      </c>
      <c r="B152" t="s">
        <v>179</v>
      </c>
      <c r="C152" t="s">
        <v>1061</v>
      </c>
      <c r="D152" t="s">
        <v>180</v>
      </c>
      <c r="E152" s="30" t="s">
        <v>19</v>
      </c>
      <c r="F152" s="30" t="s">
        <v>1054</v>
      </c>
      <c r="G152" s="30"/>
      <c r="H152" s="30" t="s">
        <v>1307</v>
      </c>
      <c r="I152" s="31">
        <f t="shared" si="7"/>
        <v>19</v>
      </c>
      <c r="J152" s="146" t="s">
        <v>1779</v>
      </c>
      <c r="K152" s="31">
        <f t="shared" si="8"/>
        <v>9</v>
      </c>
      <c r="L152" s="32">
        <f t="shared" si="9"/>
        <v>0.6785714285714286</v>
      </c>
      <c r="M152" s="70"/>
      <c r="N152" s="70" t="s">
        <v>2279</v>
      </c>
      <c r="O152" s="70"/>
      <c r="P152" s="70"/>
      <c r="Q152" s="70"/>
      <c r="R152" s="70"/>
      <c r="S152" s="70"/>
      <c r="T152" s="70"/>
      <c r="U152" s="70" t="s">
        <v>2279</v>
      </c>
      <c r="V152" s="70" t="s">
        <v>2279</v>
      </c>
      <c r="W152" s="70" t="s">
        <v>2279</v>
      </c>
      <c r="X152" s="70" t="s">
        <v>2279</v>
      </c>
      <c r="Y152" s="70" t="s">
        <v>2279</v>
      </c>
      <c r="Z152" s="70"/>
      <c r="AA152" s="70"/>
      <c r="AB152" s="70"/>
      <c r="AC152" s="70"/>
      <c r="AD152" s="70" t="s">
        <v>2279</v>
      </c>
      <c r="AE152" s="70" t="s">
        <v>2279</v>
      </c>
      <c r="AF152" s="70"/>
      <c r="AG152" s="70"/>
      <c r="AH152" s="70"/>
      <c r="AI152" s="70" t="s">
        <v>2279</v>
      </c>
      <c r="AJ152" s="70"/>
      <c r="AK152" s="70"/>
      <c r="AL152" s="70"/>
      <c r="AM152" s="70"/>
      <c r="AN152" s="70"/>
    </row>
    <row r="153" spans="1:40" ht="15.75" hidden="1" thickBot="1" x14ac:dyDescent="0.3">
      <c r="A153" t="s">
        <v>178</v>
      </c>
      <c r="B153" t="s">
        <v>935</v>
      </c>
      <c r="C153" t="s">
        <v>1061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</row>
    <row r="154" spans="1:40" ht="15.75" hidden="1" thickBot="1" x14ac:dyDescent="0.3">
      <c r="A154" s="69" t="s">
        <v>178</v>
      </c>
      <c r="B154" t="s">
        <v>1225</v>
      </c>
      <c r="C154" t="s">
        <v>1061</v>
      </c>
      <c r="D154" t="s">
        <v>1226</v>
      </c>
      <c r="E154" t="s">
        <v>19</v>
      </c>
      <c r="F154" t="s">
        <v>28</v>
      </c>
      <c r="G154"/>
      <c r="H154" s="30" t="s">
        <v>1236</v>
      </c>
      <c r="I154" s="31">
        <f t="shared" si="7"/>
        <v>28</v>
      </c>
      <c r="J154" s="146" t="s">
        <v>1780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</row>
    <row r="155" spans="1:40" s="90" customFormat="1" ht="15.75" hidden="1" thickBot="1" x14ac:dyDescent="0.3">
      <c r="A155" s="73" t="s">
        <v>184</v>
      </c>
      <c r="B155" s="73" t="s">
        <v>182</v>
      </c>
      <c r="C155" s="90" t="s">
        <v>1060</v>
      </c>
      <c r="D155" s="73" t="s">
        <v>183</v>
      </c>
      <c r="E155" s="91" t="s">
        <v>19</v>
      </c>
      <c r="F155" s="85" t="s">
        <v>1299</v>
      </c>
      <c r="G155" s="85"/>
      <c r="H155" s="85" t="s">
        <v>685</v>
      </c>
      <c r="I155" s="87">
        <f t="shared" si="7"/>
        <v>27</v>
      </c>
      <c r="J155" s="87"/>
      <c r="K155" s="87">
        <f t="shared" si="8"/>
        <v>1</v>
      </c>
      <c r="L155" s="140">
        <f t="shared" si="9"/>
        <v>0.9642857142857143</v>
      </c>
      <c r="M155" s="92"/>
      <c r="N155" s="92"/>
      <c r="O155" s="92"/>
      <c r="P155" s="92" t="s">
        <v>2279</v>
      </c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</row>
    <row r="156" spans="1:40" ht="15.75" hidden="1" thickBot="1" x14ac:dyDescent="0.3">
      <c r="A156" t="s">
        <v>184</v>
      </c>
      <c r="B156" t="s">
        <v>936</v>
      </c>
      <c r="C156" t="s">
        <v>1060</v>
      </c>
      <c r="D156" t="s">
        <v>185</v>
      </c>
      <c r="E156" s="30" t="s">
        <v>73</v>
      </c>
      <c r="F156" s="30" t="s">
        <v>1054</v>
      </c>
      <c r="G156" s="30" t="s">
        <v>1247</v>
      </c>
      <c r="H156" s="30" t="s">
        <v>686</v>
      </c>
      <c r="I156" s="31">
        <f t="shared" si="7"/>
        <v>28</v>
      </c>
      <c r="J156" s="146" t="s">
        <v>1781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</row>
    <row r="157" spans="1:40" ht="15.75" hidden="1" thickBot="1" x14ac:dyDescent="0.3">
      <c r="A157" t="s">
        <v>184</v>
      </c>
      <c r="B157" t="s">
        <v>937</v>
      </c>
      <c r="C157" t="s">
        <v>1060</v>
      </c>
      <c r="D157" t="s">
        <v>185</v>
      </c>
      <c r="E157" s="30" t="s">
        <v>73</v>
      </c>
      <c r="F157" s="30" t="s">
        <v>1054</v>
      </c>
      <c r="G157" s="30" t="s">
        <v>1247</v>
      </c>
      <c r="H157" s="30" t="s">
        <v>687</v>
      </c>
      <c r="I157" s="31">
        <f t="shared" si="7"/>
        <v>28</v>
      </c>
      <c r="J157" s="146" t="s">
        <v>1782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</row>
    <row r="158" spans="1:40" s="90" customFormat="1" ht="15.75" hidden="1" thickBot="1" x14ac:dyDescent="0.3">
      <c r="A158" s="73" t="s">
        <v>184</v>
      </c>
      <c r="B158" s="73" t="s">
        <v>938</v>
      </c>
      <c r="C158" s="90" t="s">
        <v>1060</v>
      </c>
      <c r="D158" s="73" t="s">
        <v>939</v>
      </c>
      <c r="E158" s="91" t="s">
        <v>73</v>
      </c>
      <c r="F158" s="85" t="s">
        <v>1299</v>
      </c>
      <c r="G158" s="85" t="s">
        <v>1247</v>
      </c>
      <c r="H158" s="85" t="s">
        <v>1213</v>
      </c>
      <c r="I158" s="31">
        <f t="shared" si="7"/>
        <v>28</v>
      </c>
      <c r="J158" s="8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</row>
    <row r="159" spans="1:40" s="90" customFormat="1" ht="16.149999999999999" hidden="1" customHeight="1" thickBot="1" x14ac:dyDescent="0.3">
      <c r="A159" s="73" t="s">
        <v>184</v>
      </c>
      <c r="B159" s="73" t="s">
        <v>940</v>
      </c>
      <c r="C159" s="90" t="s">
        <v>1060</v>
      </c>
      <c r="D159" s="73" t="s">
        <v>939</v>
      </c>
      <c r="E159" s="91" t="s">
        <v>73</v>
      </c>
      <c r="F159" s="85" t="s">
        <v>1299</v>
      </c>
      <c r="G159" s="85" t="s">
        <v>1247</v>
      </c>
      <c r="H159" s="85" t="s">
        <v>1214</v>
      </c>
      <c r="I159" s="31">
        <f t="shared" si="7"/>
        <v>28</v>
      </c>
      <c r="J159" s="87"/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</row>
    <row r="160" spans="1:40" ht="15.75" hidden="1" thickBot="1" x14ac:dyDescent="0.3">
      <c r="A160" t="s">
        <v>184</v>
      </c>
      <c r="B160" t="s">
        <v>1132</v>
      </c>
      <c r="C160" t="s">
        <v>1060</v>
      </c>
      <c r="D160" t="s">
        <v>1127</v>
      </c>
      <c r="E160" s="30" t="s">
        <v>73</v>
      </c>
      <c r="F160" s="30" t="s">
        <v>1054</v>
      </c>
      <c r="G160" s="30" t="s">
        <v>1247</v>
      </c>
      <c r="H160" s="30" t="s">
        <v>1140</v>
      </c>
      <c r="I160" s="31">
        <f t="shared" si="7"/>
        <v>28</v>
      </c>
      <c r="J160" s="146" t="s">
        <v>1783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</row>
    <row r="161" spans="1:40" ht="15.75" hidden="1" thickBot="1" x14ac:dyDescent="0.3">
      <c r="A161" t="s">
        <v>184</v>
      </c>
      <c r="B161" t="s">
        <v>1133</v>
      </c>
      <c r="C161" t="s">
        <v>1060</v>
      </c>
      <c r="D161" t="s">
        <v>1127</v>
      </c>
      <c r="E161" s="30" t="s">
        <v>73</v>
      </c>
      <c r="F161" s="30" t="s">
        <v>1054</v>
      </c>
      <c r="G161" s="30" t="s">
        <v>1247</v>
      </c>
      <c r="H161" s="30" t="s">
        <v>1141</v>
      </c>
      <c r="I161" s="31">
        <f t="shared" si="7"/>
        <v>28</v>
      </c>
      <c r="J161" s="146" t="s">
        <v>1784</v>
      </c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</row>
    <row r="162" spans="1:40" s="73" customFormat="1" ht="15.75" hidden="1" thickBot="1" x14ac:dyDescent="0.3">
      <c r="A162" s="73" t="s">
        <v>184</v>
      </c>
      <c r="B162" s="73" t="s">
        <v>1552</v>
      </c>
      <c r="C162" s="73" t="s">
        <v>1060</v>
      </c>
      <c r="D162" s="73" t="s">
        <v>1553</v>
      </c>
      <c r="E162" s="85" t="s">
        <v>46</v>
      </c>
      <c r="F162" s="85" t="s">
        <v>1299</v>
      </c>
      <c r="G162" s="85"/>
      <c r="H162" s="85" t="s">
        <v>1554</v>
      </c>
      <c r="I162" s="31">
        <f t="shared" si="7"/>
        <v>28</v>
      </c>
      <c r="J162" s="146" t="s">
        <v>1785</v>
      </c>
      <c r="K162" s="31">
        <f t="shared" si="8"/>
        <v>0</v>
      </c>
      <c r="L162" s="32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</row>
    <row r="163" spans="1:40" s="73" customFormat="1" ht="15.75" hidden="1" thickBot="1" x14ac:dyDescent="0.3">
      <c r="A163" s="73" t="s">
        <v>184</v>
      </c>
      <c r="B163" s="73" t="s">
        <v>2117</v>
      </c>
      <c r="C163" s="73" t="s">
        <v>1060</v>
      </c>
      <c r="D163" s="73" t="s">
        <v>2118</v>
      </c>
      <c r="E163" s="85" t="s">
        <v>46</v>
      </c>
      <c r="F163" s="85" t="s">
        <v>1299</v>
      </c>
      <c r="G163" s="85"/>
      <c r="H163" s="85" t="s">
        <v>2121</v>
      </c>
      <c r="I163" s="31">
        <f t="shared" si="7"/>
        <v>28</v>
      </c>
      <c r="J163" s="146"/>
      <c r="K163" s="31">
        <f t="shared" si="8"/>
        <v>0</v>
      </c>
      <c r="L163" s="32">
        <f t="shared" si="9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</row>
    <row r="164" spans="1:40" s="73" customFormat="1" ht="15.75" hidden="1" thickBot="1" x14ac:dyDescent="0.3">
      <c r="A164" s="73" t="s">
        <v>1327</v>
      </c>
      <c r="B164" s="73" t="s">
        <v>1315</v>
      </c>
      <c r="C164" s="73" t="s">
        <v>1061</v>
      </c>
      <c r="D164" s="73" t="s">
        <v>1316</v>
      </c>
      <c r="E164" s="85" t="s">
        <v>19</v>
      </c>
      <c r="F164" s="85" t="s">
        <v>1299</v>
      </c>
      <c r="G164" s="85"/>
      <c r="H164" s="85" t="s">
        <v>2203</v>
      </c>
      <c r="I164" s="141">
        <f t="shared" si="7"/>
        <v>28</v>
      </c>
      <c r="J164" s="146" t="s">
        <v>1786</v>
      </c>
      <c r="K164" s="141">
        <f t="shared" si="8"/>
        <v>0</v>
      </c>
      <c r="L164" s="142">
        <f t="shared" si="9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</row>
    <row r="165" spans="1:40" s="73" customFormat="1" ht="15.75" hidden="1" thickBot="1" x14ac:dyDescent="0.3">
      <c r="A165" s="73" t="s">
        <v>1327</v>
      </c>
      <c r="B165" s="73" t="s">
        <v>1331</v>
      </c>
      <c r="C165" s="73" t="s">
        <v>1061</v>
      </c>
      <c r="D165" s="73" t="s">
        <v>1332</v>
      </c>
      <c r="E165" s="85" t="s">
        <v>15</v>
      </c>
      <c r="F165" s="85" t="s">
        <v>1299</v>
      </c>
      <c r="G165" s="85"/>
      <c r="H165" s="85" t="s">
        <v>1493</v>
      </c>
      <c r="I165" s="141">
        <f t="shared" ref="I165:I244" si="10">COUNTIF(M165:AN165,"")</f>
        <v>28</v>
      </c>
      <c r="J165" s="146" t="s">
        <v>1787</v>
      </c>
      <c r="K165" s="141">
        <f t="shared" ref="K165:K244" si="11">COUNTIF(M165:AN165,"APAGADO")</f>
        <v>0</v>
      </c>
      <c r="L165" s="142">
        <f t="shared" ref="L165:L244" si="12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</row>
    <row r="166" spans="1:40" s="73" customFormat="1" ht="15.75" hidden="1" thickBot="1" x14ac:dyDescent="0.3">
      <c r="A166" s="73" t="s">
        <v>1327</v>
      </c>
      <c r="B166" s="73" t="s">
        <v>2305</v>
      </c>
      <c r="C166" s="73" t="s">
        <v>1061</v>
      </c>
      <c r="D166" s="73" t="s">
        <v>2306</v>
      </c>
      <c r="E166" s="85" t="s">
        <v>15</v>
      </c>
      <c r="F166" s="85" t="s">
        <v>1299</v>
      </c>
      <c r="G166" s="85"/>
      <c r="H166" s="85" t="s">
        <v>2307</v>
      </c>
      <c r="I166" s="141">
        <f t="shared" si="10"/>
        <v>28</v>
      </c>
      <c r="J166" s="146"/>
      <c r="K166" s="141">
        <f t="shared" si="11"/>
        <v>0</v>
      </c>
      <c r="L166" s="14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</row>
    <row r="167" spans="1:40" ht="15.75" hidden="1" thickBot="1" x14ac:dyDescent="0.3">
      <c r="A167" t="s">
        <v>186</v>
      </c>
      <c r="B167" t="s">
        <v>941</v>
      </c>
      <c r="C167" t="s">
        <v>1061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0"/>
        <v>27</v>
      </c>
      <c r="J167" s="146" t="s">
        <v>1788</v>
      </c>
      <c r="K167" s="31">
        <f t="shared" si="11"/>
        <v>1</v>
      </c>
      <c r="L167" s="32">
        <f t="shared" si="12"/>
        <v>0.9642857142857143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 t="s">
        <v>2279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</row>
    <row r="168" spans="1:40" ht="15.75" hidden="1" thickBot="1" x14ac:dyDescent="0.3">
      <c r="A168" t="s">
        <v>186</v>
      </c>
      <c r="B168" t="s">
        <v>942</v>
      </c>
      <c r="C168" t="s">
        <v>1061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0"/>
        <v>27</v>
      </c>
      <c r="J168" s="146" t="s">
        <v>1789</v>
      </c>
      <c r="K168" s="31">
        <f t="shared" si="11"/>
        <v>1</v>
      </c>
      <c r="L168" s="32">
        <f t="shared" si="12"/>
        <v>0.9642857142857143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 t="s">
        <v>2279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</row>
    <row r="169" spans="1:40" ht="15.75" hidden="1" thickBot="1" x14ac:dyDescent="0.3">
      <c r="A169" t="s">
        <v>186</v>
      </c>
      <c r="B169" t="s">
        <v>943</v>
      </c>
      <c r="C169" t="s">
        <v>1061</v>
      </c>
      <c r="D169" t="s">
        <v>189</v>
      </c>
      <c r="E169" s="30" t="s">
        <v>19</v>
      </c>
      <c r="F169" s="30" t="s">
        <v>28</v>
      </c>
      <c r="G169" s="30"/>
      <c r="H169" s="30" t="s">
        <v>1308</v>
      </c>
      <c r="I169" s="31">
        <f t="shared" si="10"/>
        <v>27</v>
      </c>
      <c r="J169" s="146" t="s">
        <v>1790</v>
      </c>
      <c r="K169" s="31">
        <f t="shared" si="11"/>
        <v>1</v>
      </c>
      <c r="L169" s="32">
        <f t="shared" si="12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 t="s">
        <v>2279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</row>
    <row r="170" spans="1:40" ht="15.75" hidden="1" thickBot="1" x14ac:dyDescent="0.3">
      <c r="A170" t="s">
        <v>186</v>
      </c>
      <c r="B170" t="s">
        <v>944</v>
      </c>
      <c r="C170" t="s">
        <v>1061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0"/>
        <v>27</v>
      </c>
      <c r="J170" s="146" t="s">
        <v>1791</v>
      </c>
      <c r="K170" s="31">
        <f t="shared" si="11"/>
        <v>1</v>
      </c>
      <c r="L170" s="32">
        <f t="shared" si="12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 t="s">
        <v>2279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</row>
    <row r="171" spans="1:40" ht="15.75" hidden="1" thickBot="1" x14ac:dyDescent="0.3">
      <c r="A171" t="s">
        <v>186</v>
      </c>
      <c r="B171" t="s">
        <v>1544</v>
      </c>
      <c r="C171" t="s">
        <v>1061</v>
      </c>
      <c r="D171" t="s">
        <v>976</v>
      </c>
      <c r="E171" s="30" t="s">
        <v>46</v>
      </c>
      <c r="F171" s="30" t="s">
        <v>28</v>
      </c>
      <c r="G171" s="30"/>
      <c r="H171" s="30" t="s">
        <v>1547</v>
      </c>
      <c r="I171" s="31">
        <f t="shared" si="10"/>
        <v>13</v>
      </c>
      <c r="J171" s="146" t="s">
        <v>1792</v>
      </c>
      <c r="K171" s="31">
        <f t="shared" si="11"/>
        <v>15</v>
      </c>
      <c r="L171" s="32">
        <f t="shared" si="12"/>
        <v>0.4642857142857143</v>
      </c>
      <c r="M171" s="70" t="s">
        <v>2279</v>
      </c>
      <c r="N171" s="70" t="s">
        <v>2279</v>
      </c>
      <c r="O171" s="70" t="s">
        <v>2279</v>
      </c>
      <c r="P171" s="70" t="s">
        <v>2279</v>
      </c>
      <c r="Q171" s="70" t="s">
        <v>2279</v>
      </c>
      <c r="R171" s="70" t="s">
        <v>2279</v>
      </c>
      <c r="S171" s="70"/>
      <c r="T171" s="70"/>
      <c r="U171" s="70" t="s">
        <v>2279</v>
      </c>
      <c r="V171" s="70" t="s">
        <v>2279</v>
      </c>
      <c r="W171" s="70" t="s">
        <v>2279</v>
      </c>
      <c r="X171" s="70" t="s">
        <v>2279</v>
      </c>
      <c r="Y171" s="70" t="s">
        <v>2279</v>
      </c>
      <c r="Z171" s="70"/>
      <c r="AA171" s="70"/>
      <c r="AB171" s="70"/>
      <c r="AC171" s="70"/>
      <c r="AD171" s="70" t="s">
        <v>2279</v>
      </c>
      <c r="AE171" s="70" t="s">
        <v>2279</v>
      </c>
      <c r="AF171" s="70" t="s">
        <v>2279</v>
      </c>
      <c r="AG171" s="70"/>
      <c r="AH171" s="70"/>
      <c r="AI171" s="70" t="s">
        <v>2279</v>
      </c>
      <c r="AJ171" s="70"/>
      <c r="AK171" s="70"/>
      <c r="AL171" s="70"/>
      <c r="AM171" s="70"/>
      <c r="AN171" s="70"/>
    </row>
    <row r="172" spans="1:40" ht="15.75" hidden="1" thickBot="1" x14ac:dyDescent="0.3">
      <c r="A172" t="s">
        <v>186</v>
      </c>
      <c r="B172" t="s">
        <v>1545</v>
      </c>
      <c r="C172" t="s">
        <v>1061</v>
      </c>
      <c r="D172" t="s">
        <v>1546</v>
      </c>
      <c r="E172" s="30" t="s">
        <v>15</v>
      </c>
      <c r="F172" s="30" t="s">
        <v>28</v>
      </c>
      <c r="G172" s="30"/>
      <c r="H172" s="30" t="s">
        <v>1548</v>
      </c>
      <c r="I172" s="31">
        <f t="shared" si="10"/>
        <v>15</v>
      </c>
      <c r="J172" s="146" t="s">
        <v>1793</v>
      </c>
      <c r="K172" s="31">
        <f t="shared" si="11"/>
        <v>13</v>
      </c>
      <c r="L172" s="32">
        <f t="shared" si="12"/>
        <v>0.5357142857142857</v>
      </c>
      <c r="M172" s="70" t="s">
        <v>2279</v>
      </c>
      <c r="N172" s="70" t="s">
        <v>2279</v>
      </c>
      <c r="O172" s="70" t="s">
        <v>2279</v>
      </c>
      <c r="P172" s="70" t="s">
        <v>2279</v>
      </c>
      <c r="Q172" s="70" t="s">
        <v>2279</v>
      </c>
      <c r="R172" s="70" t="s">
        <v>2279</v>
      </c>
      <c r="S172" s="70"/>
      <c r="T172" s="70"/>
      <c r="U172" s="70" t="s">
        <v>2279</v>
      </c>
      <c r="V172" s="70" t="s">
        <v>2279</v>
      </c>
      <c r="W172" s="70" t="s">
        <v>2279</v>
      </c>
      <c r="X172" s="70"/>
      <c r="Y172" s="70"/>
      <c r="Z172" s="70"/>
      <c r="AA172" s="70"/>
      <c r="AB172" s="70"/>
      <c r="AC172" s="70"/>
      <c r="AD172" s="70" t="s">
        <v>2279</v>
      </c>
      <c r="AE172" s="70" t="s">
        <v>2279</v>
      </c>
      <c r="AF172" s="70" t="s">
        <v>2279</v>
      </c>
      <c r="AG172" s="70"/>
      <c r="AH172" s="70"/>
      <c r="AI172" s="70" t="s">
        <v>2279</v>
      </c>
      <c r="AJ172" s="70"/>
      <c r="AK172" s="70"/>
      <c r="AL172" s="70"/>
      <c r="AM172" s="70"/>
      <c r="AN172" s="70"/>
    </row>
    <row r="173" spans="1:40" ht="15.75" hidden="1" thickBot="1" x14ac:dyDescent="0.3">
      <c r="A173" t="s">
        <v>191</v>
      </c>
      <c r="B173" t="s">
        <v>194</v>
      </c>
      <c r="C173" t="s">
        <v>1061</v>
      </c>
      <c r="D173" t="s">
        <v>195</v>
      </c>
      <c r="E173" s="30" t="s">
        <v>19</v>
      </c>
      <c r="F173" s="30" t="s">
        <v>1054</v>
      </c>
      <c r="G173" s="30"/>
      <c r="H173" s="30" t="s">
        <v>1440</v>
      </c>
      <c r="I173" s="31">
        <f t="shared" si="10"/>
        <v>28</v>
      </c>
      <c r="J173" s="146" t="s">
        <v>1794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</row>
    <row r="174" spans="1:40" ht="15.75" hidden="1" thickBot="1" x14ac:dyDescent="0.3">
      <c r="A174" t="s">
        <v>196</v>
      </c>
      <c r="B174" t="s">
        <v>197</v>
      </c>
      <c r="C174" t="s">
        <v>1061</v>
      </c>
      <c r="D174" t="s">
        <v>198</v>
      </c>
      <c r="E174" s="30" t="s">
        <v>19</v>
      </c>
      <c r="F174" s="30" t="s">
        <v>1054</v>
      </c>
      <c r="G174" s="30" t="s">
        <v>458</v>
      </c>
      <c r="H174" s="30" t="s">
        <v>691</v>
      </c>
      <c r="I174" s="31">
        <f t="shared" si="10"/>
        <v>27</v>
      </c>
      <c r="J174" s="146" t="s">
        <v>1795</v>
      </c>
      <c r="K174" s="31">
        <f t="shared" si="11"/>
        <v>1</v>
      </c>
      <c r="L174" s="32">
        <f t="shared" si="12"/>
        <v>0.9642857142857143</v>
      </c>
      <c r="M174" s="70"/>
      <c r="N174" s="70"/>
      <c r="O174" s="70"/>
      <c r="P174" s="70" t="s">
        <v>2279</v>
      </c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</row>
    <row r="175" spans="1:40" ht="15.75" hidden="1" thickBot="1" x14ac:dyDescent="0.3">
      <c r="A175" t="s">
        <v>196</v>
      </c>
      <c r="B175" t="s">
        <v>200</v>
      </c>
      <c r="C175" t="s">
        <v>1061</v>
      </c>
      <c r="D175" t="s">
        <v>201</v>
      </c>
      <c r="E175" s="30" t="s">
        <v>15</v>
      </c>
      <c r="F175" s="30" t="s">
        <v>1054</v>
      </c>
      <c r="G175" s="30" t="s">
        <v>458</v>
      </c>
      <c r="H175" s="30" t="s">
        <v>692</v>
      </c>
      <c r="I175" s="31">
        <f t="shared" si="10"/>
        <v>28</v>
      </c>
      <c r="J175" s="146" t="s">
        <v>1796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</row>
    <row r="176" spans="1:40" ht="15.75" hidden="1" thickBot="1" x14ac:dyDescent="0.3">
      <c r="A176" t="s">
        <v>191</v>
      </c>
      <c r="B176" t="s">
        <v>202</v>
      </c>
      <c r="C176" t="s">
        <v>1061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0"/>
        <v>28</v>
      </c>
      <c r="J176" s="146" t="s">
        <v>1797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</row>
    <row r="177" spans="1:40" ht="15.75" hidden="1" thickBot="1" x14ac:dyDescent="0.3">
      <c r="A177" t="s">
        <v>191</v>
      </c>
      <c r="B177" t="s">
        <v>204</v>
      </c>
      <c r="C177" t="s">
        <v>1061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0"/>
        <v>28</v>
      </c>
      <c r="J177" s="146" t="s">
        <v>1798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</row>
    <row r="178" spans="1:40" s="73" customFormat="1" ht="15.75" hidden="1" thickBot="1" x14ac:dyDescent="0.3">
      <c r="A178" s="73" t="s">
        <v>191</v>
      </c>
      <c r="B178" s="73" t="s">
        <v>206</v>
      </c>
      <c r="C178" s="73" t="s">
        <v>1061</v>
      </c>
      <c r="D178" s="73" t="s">
        <v>207</v>
      </c>
      <c r="E178" s="85" t="s">
        <v>19</v>
      </c>
      <c r="F178" s="85" t="s">
        <v>1299</v>
      </c>
      <c r="G178" s="85"/>
      <c r="H178" s="85" t="s">
        <v>1426</v>
      </c>
      <c r="I178" s="141">
        <f t="shared" si="10"/>
        <v>23</v>
      </c>
      <c r="J178" s="146" t="s">
        <v>1799</v>
      </c>
      <c r="K178" s="141">
        <f t="shared" si="11"/>
        <v>5</v>
      </c>
      <c r="L178" s="142">
        <f t="shared" si="12"/>
        <v>0.8214285714285714</v>
      </c>
      <c r="M178" s="70" t="s">
        <v>2279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 t="s">
        <v>2279</v>
      </c>
      <c r="Z178" s="70"/>
      <c r="AA178" s="70"/>
      <c r="AB178" s="70"/>
      <c r="AC178" s="70"/>
      <c r="AD178" s="70" t="s">
        <v>2279</v>
      </c>
      <c r="AE178" s="70"/>
      <c r="AF178" s="70" t="s">
        <v>2279</v>
      </c>
      <c r="AG178" s="70"/>
      <c r="AH178" s="70"/>
      <c r="AI178" s="70" t="s">
        <v>2279</v>
      </c>
      <c r="AJ178" s="70"/>
      <c r="AK178" s="70"/>
      <c r="AL178" s="70"/>
      <c r="AM178" s="70"/>
      <c r="AN178" s="70"/>
    </row>
    <row r="179" spans="1:40" ht="15.75" hidden="1" thickBot="1" x14ac:dyDescent="0.3">
      <c r="A179" t="s">
        <v>191</v>
      </c>
      <c r="B179" t="s">
        <v>946</v>
      </c>
      <c r="C179" t="s">
        <v>1061</v>
      </c>
      <c r="D179" t="s">
        <v>192</v>
      </c>
      <c r="E179" s="30" t="s">
        <v>15</v>
      </c>
      <c r="F179" s="30" t="s">
        <v>1054</v>
      </c>
      <c r="G179" s="30" t="s">
        <v>458</v>
      </c>
      <c r="H179" s="30" t="s">
        <v>695</v>
      </c>
      <c r="I179" s="31">
        <f t="shared" si="10"/>
        <v>28</v>
      </c>
      <c r="J179" s="146" t="s">
        <v>1800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</row>
    <row r="180" spans="1:40" ht="15.75" hidden="1" thickBot="1" x14ac:dyDescent="0.3">
      <c r="A180" t="s">
        <v>191</v>
      </c>
      <c r="B180" t="s">
        <v>193</v>
      </c>
      <c r="C180" t="s">
        <v>1061</v>
      </c>
      <c r="D180" t="s">
        <v>945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0"/>
        <v>28</v>
      </c>
      <c r="J180" s="87"/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</row>
    <row r="181" spans="1:40" ht="15.75" hidden="1" thickBot="1" x14ac:dyDescent="0.3">
      <c r="A181" t="s">
        <v>191</v>
      </c>
      <c r="B181" t="s">
        <v>208</v>
      </c>
      <c r="C181" t="s">
        <v>1061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0"/>
        <v>28</v>
      </c>
      <c r="J181" s="146" t="s">
        <v>1801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</row>
    <row r="182" spans="1:40" ht="15.75" hidden="1" thickBot="1" x14ac:dyDescent="0.3">
      <c r="A182" t="s">
        <v>191</v>
      </c>
      <c r="B182" t="s">
        <v>210</v>
      </c>
      <c r="C182" t="s">
        <v>1061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0"/>
        <v>28</v>
      </c>
      <c r="J182" s="146" t="s">
        <v>1802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</row>
    <row r="183" spans="1:40" ht="15.75" hidden="1" thickBot="1" x14ac:dyDescent="0.3">
      <c r="A183" t="s">
        <v>191</v>
      </c>
      <c r="B183" t="s">
        <v>211</v>
      </c>
      <c r="C183" t="s">
        <v>1061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0"/>
        <v>28</v>
      </c>
      <c r="J183" s="146" t="s">
        <v>1803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</row>
    <row r="184" spans="1:40" ht="15.75" hidden="1" thickBot="1" x14ac:dyDescent="0.3">
      <c r="A184" t="s">
        <v>191</v>
      </c>
      <c r="B184" t="s">
        <v>213</v>
      </c>
      <c r="C184" t="s">
        <v>1061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0"/>
        <v>28</v>
      </c>
      <c r="J184" s="146" t="s">
        <v>1804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</row>
    <row r="185" spans="1:40" ht="15.75" hidden="1" thickBot="1" x14ac:dyDescent="0.3">
      <c r="A185" t="s">
        <v>191</v>
      </c>
      <c r="B185" s="30" t="s">
        <v>1168</v>
      </c>
      <c r="C185" s="30" t="s">
        <v>1061</v>
      </c>
      <c r="D185" t="s">
        <v>1151</v>
      </c>
      <c r="E185" s="30" t="s">
        <v>1112</v>
      </c>
      <c r="F185" s="30" t="s">
        <v>28</v>
      </c>
      <c r="G185" s="30"/>
      <c r="H185" s="30" t="s">
        <v>1152</v>
      </c>
      <c r="I185" s="31">
        <f t="shared" si="10"/>
        <v>28</v>
      </c>
      <c r="J185" s="146" t="s">
        <v>1805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</row>
    <row r="186" spans="1:40" ht="15.75" hidden="1" thickBot="1" x14ac:dyDescent="0.3">
      <c r="A186" t="s">
        <v>191</v>
      </c>
      <c r="B186" s="30" t="s">
        <v>1167</v>
      </c>
      <c r="C186" s="30" t="s">
        <v>1061</v>
      </c>
      <c r="D186" t="s">
        <v>1151</v>
      </c>
      <c r="E186" s="30" t="s">
        <v>1112</v>
      </c>
      <c r="F186" s="30" t="s">
        <v>28</v>
      </c>
      <c r="G186" s="30"/>
      <c r="H186" s="30" t="s">
        <v>1153</v>
      </c>
      <c r="I186" s="31">
        <f t="shared" si="10"/>
        <v>28</v>
      </c>
      <c r="J186" s="146" t="s">
        <v>1806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</row>
    <row r="187" spans="1:40" ht="15.75" hidden="1" thickBot="1" x14ac:dyDescent="0.3">
      <c r="A187" t="s">
        <v>191</v>
      </c>
      <c r="B187" s="30" t="s">
        <v>1170</v>
      </c>
      <c r="C187" s="30" t="s">
        <v>1061</v>
      </c>
      <c r="D187" t="s">
        <v>1148</v>
      </c>
      <c r="E187" s="30" t="s">
        <v>73</v>
      </c>
      <c r="F187" s="30" t="s">
        <v>28</v>
      </c>
      <c r="G187" s="30"/>
      <c r="H187" s="30" t="s">
        <v>1149</v>
      </c>
      <c r="I187" s="31">
        <f t="shared" si="10"/>
        <v>23</v>
      </c>
      <c r="J187" s="146" t="s">
        <v>1807</v>
      </c>
      <c r="K187" s="31">
        <f t="shared" si="11"/>
        <v>5</v>
      </c>
      <c r="L187" s="32">
        <f t="shared" si="12"/>
        <v>0.8214285714285714</v>
      </c>
      <c r="M187" s="70"/>
      <c r="N187" s="70"/>
      <c r="O187" s="70"/>
      <c r="P187" s="70"/>
      <c r="Q187" s="70"/>
      <c r="R187" s="70"/>
      <c r="S187" s="70"/>
      <c r="T187" s="70"/>
      <c r="U187" s="70" t="s">
        <v>2279</v>
      </c>
      <c r="V187" s="70" t="s">
        <v>2279</v>
      </c>
      <c r="W187" s="70" t="s">
        <v>2279</v>
      </c>
      <c r="X187" s="70" t="s">
        <v>2279</v>
      </c>
      <c r="Y187" s="70" t="s">
        <v>2279</v>
      </c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</row>
    <row r="188" spans="1:40" ht="15.75" hidden="1" thickBot="1" x14ac:dyDescent="0.3">
      <c r="A188" t="s">
        <v>191</v>
      </c>
      <c r="B188" s="30" t="s">
        <v>1171</v>
      </c>
      <c r="C188" s="30" t="s">
        <v>1061</v>
      </c>
      <c r="D188" t="s">
        <v>1148</v>
      </c>
      <c r="E188" s="30" t="s">
        <v>73</v>
      </c>
      <c r="F188" s="30" t="s">
        <v>28</v>
      </c>
      <c r="G188" s="30"/>
      <c r="H188" s="30" t="s">
        <v>1150</v>
      </c>
      <c r="I188" s="31">
        <f t="shared" si="10"/>
        <v>23</v>
      </c>
      <c r="J188" s="146" t="s">
        <v>1808</v>
      </c>
      <c r="K188" s="31">
        <f t="shared" si="11"/>
        <v>5</v>
      </c>
      <c r="L188" s="32">
        <f t="shared" si="12"/>
        <v>0.8214285714285714</v>
      </c>
      <c r="M188" s="70"/>
      <c r="N188" s="70"/>
      <c r="O188" s="70"/>
      <c r="P188" s="70"/>
      <c r="Q188" s="70"/>
      <c r="R188" s="70"/>
      <c r="S188" s="70"/>
      <c r="T188" s="70"/>
      <c r="U188" s="70" t="s">
        <v>2279</v>
      </c>
      <c r="V188" s="70" t="s">
        <v>2279</v>
      </c>
      <c r="W188" s="70" t="s">
        <v>2279</v>
      </c>
      <c r="X188" s="70" t="s">
        <v>2279</v>
      </c>
      <c r="Y188" s="70" t="s">
        <v>2279</v>
      </c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</row>
    <row r="189" spans="1:40" ht="15.75" hidden="1" thickBot="1" x14ac:dyDescent="0.3">
      <c r="A189" t="s">
        <v>191</v>
      </c>
      <c r="B189" s="30" t="s">
        <v>1510</v>
      </c>
      <c r="C189" s="30" t="s">
        <v>1061</v>
      </c>
      <c r="D189" t="s">
        <v>1511</v>
      </c>
      <c r="E189" s="30" t="s">
        <v>19</v>
      </c>
      <c r="F189" s="30" t="s">
        <v>28</v>
      </c>
      <c r="G189" s="30"/>
      <c r="H189" s="30" t="s">
        <v>1512</v>
      </c>
      <c r="I189" s="31">
        <f t="shared" si="10"/>
        <v>28</v>
      </c>
      <c r="J189" s="87"/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</row>
    <row r="190" spans="1:40" s="73" customFormat="1" ht="15.75" hidden="1" thickBot="1" x14ac:dyDescent="0.3">
      <c r="A190" s="73" t="s">
        <v>191</v>
      </c>
      <c r="B190" s="85" t="s">
        <v>1549</v>
      </c>
      <c r="C190" s="85" t="s">
        <v>1061</v>
      </c>
      <c r="D190" s="73" t="s">
        <v>1550</v>
      </c>
      <c r="E190" s="85" t="s">
        <v>19</v>
      </c>
      <c r="F190" s="85" t="s">
        <v>1299</v>
      </c>
      <c r="G190" s="85"/>
      <c r="H190" s="85" t="s">
        <v>1551</v>
      </c>
      <c r="I190" s="31">
        <f t="shared" si="10"/>
        <v>28</v>
      </c>
      <c r="J190" s="146" t="s">
        <v>1809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</row>
    <row r="191" spans="1:40" s="73" customFormat="1" ht="15.75" hidden="1" thickBot="1" x14ac:dyDescent="0.3">
      <c r="A191" s="73" t="s">
        <v>191</v>
      </c>
      <c r="B191" s="85" t="s">
        <v>2308</v>
      </c>
      <c r="C191" s="85" t="s">
        <v>1061</v>
      </c>
      <c r="D191" s="73" t="s">
        <v>2309</v>
      </c>
      <c r="E191" s="85" t="s">
        <v>1112</v>
      </c>
      <c r="F191" s="85" t="s">
        <v>1299</v>
      </c>
      <c r="G191" s="85"/>
      <c r="H191" s="85" t="s">
        <v>2310</v>
      </c>
      <c r="I191" s="31">
        <f t="shared" si="10"/>
        <v>28</v>
      </c>
      <c r="J191" s="146"/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</row>
    <row r="192" spans="1:40" s="73" customFormat="1" ht="15.75" hidden="1" thickBot="1" x14ac:dyDescent="0.3">
      <c r="A192" s="73" t="s">
        <v>191</v>
      </c>
      <c r="B192" s="85" t="s">
        <v>2161</v>
      </c>
      <c r="C192" s="85" t="s">
        <v>1061</v>
      </c>
      <c r="D192" s="73" t="s">
        <v>2162</v>
      </c>
      <c r="E192" s="85" t="s">
        <v>19</v>
      </c>
      <c r="F192" s="85" t="s">
        <v>1299</v>
      </c>
      <c r="G192" s="85"/>
      <c r="H192" s="85" t="s">
        <v>2163</v>
      </c>
      <c r="I192" s="31">
        <f t="shared" si="10"/>
        <v>28</v>
      </c>
      <c r="J192" s="146" t="s">
        <v>2164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</row>
    <row r="193" spans="1:40" s="73" customFormat="1" ht="15.75" hidden="1" thickBot="1" x14ac:dyDescent="0.3">
      <c r="A193" s="73" t="s">
        <v>191</v>
      </c>
      <c r="B193" s="85" t="s">
        <v>2227</v>
      </c>
      <c r="C193" s="85" t="s">
        <v>1061</v>
      </c>
      <c r="D193" s="73" t="s">
        <v>2228</v>
      </c>
      <c r="E193" s="85" t="s">
        <v>19</v>
      </c>
      <c r="F193" s="85" t="s">
        <v>1299</v>
      </c>
      <c r="G193" s="85"/>
      <c r="H193" s="85" t="s">
        <v>2229</v>
      </c>
      <c r="I193" s="31">
        <f t="shared" si="10"/>
        <v>28</v>
      </c>
      <c r="J193" s="146" t="s">
        <v>2164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s="73" customFormat="1" ht="15.75" hidden="1" thickBot="1" x14ac:dyDescent="0.3">
      <c r="B194" s="85" t="s">
        <v>2280</v>
      </c>
      <c r="C194" s="85" t="s">
        <v>1061</v>
      </c>
      <c r="D194" s="73" t="s">
        <v>1531</v>
      </c>
      <c r="E194" s="85" t="s">
        <v>1112</v>
      </c>
      <c r="F194" s="85" t="s">
        <v>1532</v>
      </c>
      <c r="G194" s="85"/>
      <c r="H194" s="85" t="s">
        <v>1533</v>
      </c>
      <c r="I194" s="31">
        <f t="shared" si="10"/>
        <v>28</v>
      </c>
      <c r="J194" s="146" t="s">
        <v>1810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ht="15.75" hidden="1" thickBot="1" x14ac:dyDescent="0.3">
      <c r="A195" t="s">
        <v>214</v>
      </c>
      <c r="B195" t="s">
        <v>947</v>
      </c>
      <c r="C195" t="s">
        <v>1061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0"/>
        <v>27</v>
      </c>
      <c r="J195" s="146" t="s">
        <v>1811</v>
      </c>
      <c r="K195" s="31">
        <f t="shared" si="11"/>
        <v>1</v>
      </c>
      <c r="L195" s="32">
        <f t="shared" si="12"/>
        <v>0.9642857142857143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 t="s">
        <v>2279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ht="15.75" hidden="1" thickBot="1" x14ac:dyDescent="0.3">
      <c r="A196" t="s">
        <v>214</v>
      </c>
      <c r="B196" t="s">
        <v>948</v>
      </c>
      <c r="C196" t="s">
        <v>1061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0"/>
        <v>27</v>
      </c>
      <c r="J196" s="146" t="s">
        <v>1812</v>
      </c>
      <c r="K196" s="31">
        <f t="shared" si="11"/>
        <v>1</v>
      </c>
      <c r="L196" s="32">
        <f t="shared" si="12"/>
        <v>0.9642857142857143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 t="s">
        <v>2279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s="136" customFormat="1" ht="15.75" hidden="1" thickBot="1" x14ac:dyDescent="0.3">
      <c r="A197" s="136" t="s">
        <v>217</v>
      </c>
      <c r="B197" s="136" t="s">
        <v>949</v>
      </c>
      <c r="C197" s="136" t="s">
        <v>1061</v>
      </c>
      <c r="D197" s="136" t="s">
        <v>218</v>
      </c>
      <c r="E197" s="86" t="s">
        <v>19</v>
      </c>
      <c r="F197" s="86" t="s">
        <v>28</v>
      </c>
      <c r="G197" s="86"/>
      <c r="H197" s="86" t="s">
        <v>702</v>
      </c>
      <c r="I197" s="137">
        <f t="shared" si="10"/>
        <v>14</v>
      </c>
      <c r="J197" s="87"/>
      <c r="K197" s="137">
        <f t="shared" si="11"/>
        <v>14</v>
      </c>
      <c r="L197" s="138">
        <f t="shared" si="12"/>
        <v>0.5</v>
      </c>
      <c r="M197" s="139" t="s">
        <v>2279</v>
      </c>
      <c r="N197" s="139" t="s">
        <v>2279</v>
      </c>
      <c r="O197" s="139" t="s">
        <v>2279</v>
      </c>
      <c r="P197" s="139" t="s">
        <v>2279</v>
      </c>
      <c r="Q197" s="139" t="s">
        <v>2279</v>
      </c>
      <c r="R197" s="139"/>
      <c r="S197" s="139"/>
      <c r="T197" s="139"/>
      <c r="U197" s="139" t="s">
        <v>2279</v>
      </c>
      <c r="V197" s="139" t="s">
        <v>2279</v>
      </c>
      <c r="W197" s="139" t="s">
        <v>2279</v>
      </c>
      <c r="X197" s="139" t="s">
        <v>2279</v>
      </c>
      <c r="Y197" s="139" t="s">
        <v>2279</v>
      </c>
      <c r="Z197" s="139"/>
      <c r="AA197" s="139"/>
      <c r="AB197" s="139"/>
      <c r="AC197" s="139"/>
      <c r="AD197" s="139" t="s">
        <v>2279</v>
      </c>
      <c r="AE197" s="139" t="s">
        <v>2279</v>
      </c>
      <c r="AF197" s="139" t="s">
        <v>2279</v>
      </c>
      <c r="AG197" s="70"/>
      <c r="AH197" s="139"/>
      <c r="AI197" s="139" t="s">
        <v>2279</v>
      </c>
      <c r="AJ197" s="139"/>
      <c r="AK197" s="139"/>
      <c r="AL197" s="139"/>
      <c r="AM197" s="139"/>
      <c r="AN197" s="139"/>
    </row>
    <row r="198" spans="1:40" s="73" customFormat="1" ht="15.75" hidden="1" thickBot="1" x14ac:dyDescent="0.3">
      <c r="A198" s="73" t="s">
        <v>229</v>
      </c>
      <c r="B198" s="73" t="s">
        <v>230</v>
      </c>
      <c r="C198" s="73" t="s">
        <v>1060</v>
      </c>
      <c r="D198" s="73" t="s">
        <v>231</v>
      </c>
      <c r="E198" s="85" t="s">
        <v>15</v>
      </c>
      <c r="F198" s="85" t="s">
        <v>1299</v>
      </c>
      <c r="G198" s="85"/>
      <c r="H198" s="85" t="s">
        <v>1388</v>
      </c>
      <c r="I198" s="141">
        <f t="shared" si="10"/>
        <v>13</v>
      </c>
      <c r="J198" s="146" t="s">
        <v>1813</v>
      </c>
      <c r="K198" s="141">
        <f t="shared" si="11"/>
        <v>15</v>
      </c>
      <c r="L198" s="142">
        <f t="shared" si="12"/>
        <v>0.4642857142857143</v>
      </c>
      <c r="M198" s="70" t="s">
        <v>2279</v>
      </c>
      <c r="N198" s="70" t="s">
        <v>2279</v>
      </c>
      <c r="O198" s="70" t="s">
        <v>2279</v>
      </c>
      <c r="P198" s="70" t="s">
        <v>2279</v>
      </c>
      <c r="Q198" s="70" t="s">
        <v>2279</v>
      </c>
      <c r="R198" s="70" t="s">
        <v>2279</v>
      </c>
      <c r="S198" s="70"/>
      <c r="T198" s="70"/>
      <c r="U198" s="70" t="s">
        <v>2279</v>
      </c>
      <c r="V198" s="70" t="s">
        <v>2279</v>
      </c>
      <c r="W198" s="70" t="s">
        <v>2279</v>
      </c>
      <c r="X198" s="70" t="s">
        <v>2279</v>
      </c>
      <c r="Y198" s="70" t="s">
        <v>2279</v>
      </c>
      <c r="Z198" s="70"/>
      <c r="AA198" s="70"/>
      <c r="AB198" s="70"/>
      <c r="AC198" s="70"/>
      <c r="AD198" s="70" t="s">
        <v>2279</v>
      </c>
      <c r="AE198" s="70" t="s">
        <v>2279</v>
      </c>
      <c r="AF198" s="70" t="s">
        <v>2279</v>
      </c>
      <c r="AG198" s="70"/>
      <c r="AH198" s="70"/>
      <c r="AI198" s="70" t="s">
        <v>2279</v>
      </c>
      <c r="AJ198" s="70"/>
      <c r="AK198" s="70"/>
      <c r="AL198" s="70"/>
      <c r="AM198" s="70"/>
      <c r="AN198" s="70"/>
    </row>
    <row r="199" spans="1:40" s="73" customFormat="1" ht="15.75" hidden="1" thickBot="1" x14ac:dyDescent="0.3">
      <c r="A199" s="73" t="s">
        <v>168</v>
      </c>
      <c r="B199" s="73" t="s">
        <v>232</v>
      </c>
      <c r="C199" s="73" t="s">
        <v>1060</v>
      </c>
      <c r="D199" s="73" t="s">
        <v>233</v>
      </c>
      <c r="E199" s="85" t="s">
        <v>19</v>
      </c>
      <c r="F199" s="85" t="s">
        <v>1299</v>
      </c>
      <c r="G199" s="85"/>
      <c r="H199" s="85" t="s">
        <v>1423</v>
      </c>
      <c r="I199" s="141">
        <f t="shared" si="10"/>
        <v>24</v>
      </c>
      <c r="J199" s="146" t="s">
        <v>1814</v>
      </c>
      <c r="K199" s="141">
        <f t="shared" si="11"/>
        <v>4</v>
      </c>
      <c r="L199" s="142">
        <f t="shared" si="12"/>
        <v>0.8571428571428571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 t="s">
        <v>2279</v>
      </c>
      <c r="AE199" s="70" t="s">
        <v>2279</v>
      </c>
      <c r="AF199" s="70" t="s">
        <v>2279</v>
      </c>
      <c r="AG199" s="70"/>
      <c r="AH199" s="70"/>
      <c r="AI199" s="70" t="s">
        <v>2279</v>
      </c>
      <c r="AJ199" s="70"/>
      <c r="AK199" s="70"/>
      <c r="AL199" s="70"/>
      <c r="AM199" s="70"/>
      <c r="AN199" s="70"/>
    </row>
    <row r="200" spans="1:40" ht="15.75" hidden="1" thickBot="1" x14ac:dyDescent="0.3">
      <c r="A200" t="s">
        <v>219</v>
      </c>
      <c r="B200" t="s">
        <v>234</v>
      </c>
      <c r="C200" t="s">
        <v>1060</v>
      </c>
      <c r="D200" t="s">
        <v>235</v>
      </c>
      <c r="E200" s="30" t="s">
        <v>19</v>
      </c>
      <c r="F200" s="30" t="s">
        <v>1054</v>
      </c>
      <c r="G200" s="30"/>
      <c r="H200" s="30" t="s">
        <v>1405</v>
      </c>
      <c r="I200" s="31">
        <f t="shared" si="10"/>
        <v>28</v>
      </c>
      <c r="J200" s="146" t="s">
        <v>1815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ht="15.75" hidden="1" thickBot="1" x14ac:dyDescent="0.3">
      <c r="A201" t="s">
        <v>219</v>
      </c>
      <c r="B201" t="s">
        <v>236</v>
      </c>
      <c r="C201" t="s">
        <v>1060</v>
      </c>
      <c r="D201" t="s">
        <v>237</v>
      </c>
      <c r="E201" s="30" t="s">
        <v>19</v>
      </c>
      <c r="F201" s="30" t="s">
        <v>1054</v>
      </c>
      <c r="G201" s="30"/>
      <c r="H201" s="30" t="s">
        <v>1431</v>
      </c>
      <c r="I201" s="31">
        <f t="shared" si="10"/>
        <v>13</v>
      </c>
      <c r="J201" s="146" t="s">
        <v>1816</v>
      </c>
      <c r="K201" s="31">
        <f t="shared" si="11"/>
        <v>15</v>
      </c>
      <c r="L201" s="32">
        <f t="shared" si="12"/>
        <v>0.4642857142857143</v>
      </c>
      <c r="M201" s="70" t="s">
        <v>2279</v>
      </c>
      <c r="N201" s="70" t="s">
        <v>2279</v>
      </c>
      <c r="O201" s="70" t="s">
        <v>2279</v>
      </c>
      <c r="P201" s="70" t="s">
        <v>2279</v>
      </c>
      <c r="Q201" s="70" t="s">
        <v>2279</v>
      </c>
      <c r="R201" s="70" t="s">
        <v>2279</v>
      </c>
      <c r="S201" s="70"/>
      <c r="T201" s="70"/>
      <c r="U201" s="70" t="s">
        <v>2279</v>
      </c>
      <c r="V201" s="70" t="s">
        <v>2279</v>
      </c>
      <c r="W201" s="70" t="s">
        <v>2279</v>
      </c>
      <c r="X201" s="70" t="s">
        <v>2279</v>
      </c>
      <c r="Y201" s="70" t="s">
        <v>2279</v>
      </c>
      <c r="Z201" s="70"/>
      <c r="AA201" s="70"/>
      <c r="AB201" s="70"/>
      <c r="AC201" s="70"/>
      <c r="AD201" s="70" t="s">
        <v>2279</v>
      </c>
      <c r="AE201" s="70" t="s">
        <v>2279</v>
      </c>
      <c r="AF201" s="70" t="s">
        <v>2279</v>
      </c>
      <c r="AG201" s="70"/>
      <c r="AH201" s="70"/>
      <c r="AI201" s="70" t="s">
        <v>2279</v>
      </c>
      <c r="AJ201" s="70"/>
      <c r="AK201" s="70"/>
      <c r="AL201" s="70"/>
      <c r="AM201" s="70"/>
      <c r="AN201" s="70"/>
    </row>
    <row r="202" spans="1:40" ht="15.75" hidden="1" thickBot="1" x14ac:dyDescent="0.3">
      <c r="A202" t="s">
        <v>219</v>
      </c>
      <c r="B202" t="s">
        <v>238</v>
      </c>
      <c r="C202" t="s">
        <v>1060</v>
      </c>
      <c r="D202" t="s">
        <v>239</v>
      </c>
      <c r="E202" s="30" t="s">
        <v>19</v>
      </c>
      <c r="F202" s="30" t="s">
        <v>1054</v>
      </c>
      <c r="G202" s="30"/>
      <c r="H202" s="30" t="s">
        <v>1432</v>
      </c>
      <c r="I202" s="31">
        <f t="shared" si="10"/>
        <v>24</v>
      </c>
      <c r="J202" s="146" t="s">
        <v>1817</v>
      </c>
      <c r="K202" s="31">
        <f t="shared" si="11"/>
        <v>4</v>
      </c>
      <c r="L202" s="32">
        <f t="shared" si="12"/>
        <v>0.8571428571428571</v>
      </c>
      <c r="M202" s="70"/>
      <c r="N202" s="70"/>
      <c r="O202" s="70" t="s">
        <v>2279</v>
      </c>
      <c r="P202" s="70"/>
      <c r="Q202" s="70"/>
      <c r="R202" s="70" t="s">
        <v>2279</v>
      </c>
      <c r="S202" s="70"/>
      <c r="T202" s="70"/>
      <c r="U202" s="70"/>
      <c r="V202" s="70"/>
      <c r="W202" s="70"/>
      <c r="X202" s="70"/>
      <c r="Y202" s="70" t="s">
        <v>2279</v>
      </c>
      <c r="Z202" s="70"/>
      <c r="AA202" s="70"/>
      <c r="AB202" s="70"/>
      <c r="AC202" s="70"/>
      <c r="AD202" s="70" t="s">
        <v>2279</v>
      </c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s="90" customFormat="1" ht="15.75" hidden="1" thickBot="1" x14ac:dyDescent="0.3">
      <c r="A203" s="90" t="s">
        <v>219</v>
      </c>
      <c r="B203" s="90" t="s">
        <v>240</v>
      </c>
      <c r="C203" s="90" t="s">
        <v>1060</v>
      </c>
      <c r="D203" s="90" t="s">
        <v>241</v>
      </c>
      <c r="E203" s="91" t="s">
        <v>15</v>
      </c>
      <c r="F203" s="91" t="s">
        <v>20</v>
      </c>
      <c r="G203" s="91"/>
      <c r="H203" s="91" t="s">
        <v>703</v>
      </c>
      <c r="I203" s="31">
        <f t="shared" si="10"/>
        <v>24</v>
      </c>
      <c r="J203" s="87"/>
      <c r="K203" s="31">
        <f t="shared" si="11"/>
        <v>4</v>
      </c>
      <c r="L203" s="32">
        <f t="shared" si="12"/>
        <v>0.8571428571428571</v>
      </c>
      <c r="M203" s="70" t="s">
        <v>2279</v>
      </c>
      <c r="N203" s="70" t="s">
        <v>2279</v>
      </c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92"/>
      <c r="AF203" s="92" t="s">
        <v>2279</v>
      </c>
      <c r="AG203" s="70"/>
      <c r="AH203" s="92"/>
      <c r="AI203" s="92" t="s">
        <v>2279</v>
      </c>
      <c r="AJ203" s="92"/>
      <c r="AK203" s="92"/>
      <c r="AL203" s="92"/>
      <c r="AM203" s="92"/>
      <c r="AN203" s="92"/>
    </row>
    <row r="204" spans="1:40" s="73" customFormat="1" ht="15.75" hidden="1" thickBot="1" x14ac:dyDescent="0.3">
      <c r="A204" s="73" t="s">
        <v>219</v>
      </c>
      <c r="B204" s="73" t="s">
        <v>220</v>
      </c>
      <c r="C204" s="73" t="s">
        <v>1060</v>
      </c>
      <c r="D204" s="73" t="s">
        <v>221</v>
      </c>
      <c r="E204" s="85" t="s">
        <v>15</v>
      </c>
      <c r="F204" s="85" t="s">
        <v>1299</v>
      </c>
      <c r="G204" s="85"/>
      <c r="H204" s="85" t="s">
        <v>1588</v>
      </c>
      <c r="I204" s="141">
        <f t="shared" si="10"/>
        <v>27</v>
      </c>
      <c r="J204" s="146" t="s">
        <v>1818</v>
      </c>
      <c r="K204" s="141">
        <f t="shared" si="11"/>
        <v>1</v>
      </c>
      <c r="L204" s="142">
        <f t="shared" si="12"/>
        <v>0.9642857142857143</v>
      </c>
      <c r="M204" s="70"/>
      <c r="N204" s="70"/>
      <c r="O204" s="70" t="s">
        <v>2279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</row>
    <row r="205" spans="1:40" ht="15.75" hidden="1" thickBot="1" x14ac:dyDescent="0.3">
      <c r="A205" t="s">
        <v>219</v>
      </c>
      <c r="B205" t="s">
        <v>954</v>
      </c>
      <c r="C205" t="s">
        <v>1060</v>
      </c>
      <c r="D205" t="s">
        <v>222</v>
      </c>
      <c r="E205" s="30" t="s">
        <v>15</v>
      </c>
      <c r="F205" s="30" t="s">
        <v>1299</v>
      </c>
      <c r="G205" s="30"/>
      <c r="H205" s="30" t="s">
        <v>1403</v>
      </c>
      <c r="I205" s="31">
        <f t="shared" si="10"/>
        <v>13</v>
      </c>
      <c r="J205" s="146" t="s">
        <v>1819</v>
      </c>
      <c r="K205" s="31">
        <f t="shared" si="11"/>
        <v>15</v>
      </c>
      <c r="L205" s="32">
        <f t="shared" si="12"/>
        <v>0.4642857142857143</v>
      </c>
      <c r="M205" s="70" t="s">
        <v>2279</v>
      </c>
      <c r="N205" s="70" t="s">
        <v>2279</v>
      </c>
      <c r="O205" s="70" t="s">
        <v>2279</v>
      </c>
      <c r="P205" s="70" t="s">
        <v>2279</v>
      </c>
      <c r="Q205" s="70" t="s">
        <v>2279</v>
      </c>
      <c r="R205" s="70" t="s">
        <v>2279</v>
      </c>
      <c r="S205" s="70"/>
      <c r="T205" s="70"/>
      <c r="U205" s="70" t="s">
        <v>2279</v>
      </c>
      <c r="V205" s="70" t="s">
        <v>2279</v>
      </c>
      <c r="W205" s="70" t="s">
        <v>2279</v>
      </c>
      <c r="X205" s="70" t="s">
        <v>2279</v>
      </c>
      <c r="Y205" s="70" t="s">
        <v>2279</v>
      </c>
      <c r="Z205" s="70"/>
      <c r="AA205" s="70"/>
      <c r="AB205" s="70"/>
      <c r="AC205" s="70"/>
      <c r="AD205" s="70" t="s">
        <v>2279</v>
      </c>
      <c r="AE205" s="70" t="s">
        <v>2279</v>
      </c>
      <c r="AF205" s="70" t="s">
        <v>2279</v>
      </c>
      <c r="AG205" s="70"/>
      <c r="AH205" s="70"/>
      <c r="AI205" s="70" t="s">
        <v>2279</v>
      </c>
      <c r="AJ205" s="70"/>
      <c r="AK205" s="70"/>
      <c r="AL205" s="70"/>
      <c r="AM205" s="70"/>
      <c r="AN205" s="70"/>
    </row>
    <row r="206" spans="1:40" ht="15.75" hidden="1" thickBot="1" x14ac:dyDescent="0.3">
      <c r="A206" t="s">
        <v>219</v>
      </c>
      <c r="B206" t="s">
        <v>955</v>
      </c>
      <c r="C206" t="s">
        <v>1060</v>
      </c>
      <c r="D206" t="s">
        <v>223</v>
      </c>
      <c r="E206" s="30" t="s">
        <v>15</v>
      </c>
      <c r="F206" s="30" t="s">
        <v>1054</v>
      </c>
      <c r="G206" s="30"/>
      <c r="H206" s="30" t="s">
        <v>1210</v>
      </c>
      <c r="I206" s="31">
        <f t="shared" si="10"/>
        <v>27</v>
      </c>
      <c r="J206" s="146" t="s">
        <v>1820</v>
      </c>
      <c r="K206" s="31">
        <f t="shared" si="11"/>
        <v>1</v>
      </c>
      <c r="L206" s="32">
        <f t="shared" si="12"/>
        <v>0.9642857142857143</v>
      </c>
      <c r="M206" s="70" t="s">
        <v>2279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s="73" customFormat="1" ht="15.75" hidden="1" thickBot="1" x14ac:dyDescent="0.3">
      <c r="A207" s="73" t="s">
        <v>219</v>
      </c>
      <c r="B207" s="73" t="s">
        <v>224</v>
      </c>
      <c r="C207" s="73" t="s">
        <v>1060</v>
      </c>
      <c r="D207" s="73" t="s">
        <v>225</v>
      </c>
      <c r="E207" s="85" t="s">
        <v>15</v>
      </c>
      <c r="F207" s="85" t="s">
        <v>1299</v>
      </c>
      <c r="G207" s="85"/>
      <c r="H207" s="85" t="s">
        <v>1402</v>
      </c>
      <c r="I207" s="141">
        <f t="shared" si="10"/>
        <v>28</v>
      </c>
      <c r="J207" s="146" t="s">
        <v>1821</v>
      </c>
      <c r="K207" s="141">
        <f t="shared" si="11"/>
        <v>0</v>
      </c>
      <c r="L207" s="14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ht="15.75" hidden="1" thickBot="1" x14ac:dyDescent="0.3">
      <c r="A208" t="s">
        <v>219</v>
      </c>
      <c r="B208" t="s">
        <v>242</v>
      </c>
      <c r="C208" t="s">
        <v>1060</v>
      </c>
      <c r="D208" t="s">
        <v>243</v>
      </c>
      <c r="E208" s="30" t="s">
        <v>15</v>
      </c>
      <c r="F208" s="30" t="s">
        <v>28</v>
      </c>
      <c r="G208" s="30"/>
      <c r="H208" s="30" t="s">
        <v>704</v>
      </c>
      <c r="I208" s="31">
        <f t="shared" si="10"/>
        <v>27</v>
      </c>
      <c r="J208" s="146" t="s">
        <v>1822</v>
      </c>
      <c r="K208" s="31">
        <f t="shared" si="11"/>
        <v>1</v>
      </c>
      <c r="L208" s="32">
        <f t="shared" si="12"/>
        <v>0.9642857142857143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 t="s">
        <v>2279</v>
      </c>
      <c r="AG208" s="70"/>
      <c r="AH208" s="70"/>
      <c r="AI208" s="70"/>
      <c r="AJ208" s="70"/>
      <c r="AK208" s="70"/>
      <c r="AL208" s="70"/>
      <c r="AM208" s="70"/>
      <c r="AN208" s="70"/>
    </row>
    <row r="209" spans="1:40" ht="15.75" hidden="1" thickBot="1" x14ac:dyDescent="0.3">
      <c r="A209" t="s">
        <v>219</v>
      </c>
      <c r="B209" t="s">
        <v>226</v>
      </c>
      <c r="C209" t="s">
        <v>1060</v>
      </c>
      <c r="D209" t="s">
        <v>227</v>
      </c>
      <c r="E209" s="30" t="s">
        <v>73</v>
      </c>
      <c r="F209" s="30" t="s">
        <v>1054</v>
      </c>
      <c r="G209" s="30" t="s">
        <v>1247</v>
      </c>
      <c r="H209" s="30" t="s">
        <v>705</v>
      </c>
      <c r="I209" s="31">
        <f t="shared" si="10"/>
        <v>25</v>
      </c>
      <c r="J209" s="146" t="s">
        <v>1823</v>
      </c>
      <c r="K209" s="31">
        <f t="shared" si="11"/>
        <v>3</v>
      </c>
      <c r="L209" s="32">
        <f t="shared" si="12"/>
        <v>0.8928571428571429</v>
      </c>
      <c r="M209" s="70"/>
      <c r="N209" s="70"/>
      <c r="O209" s="70"/>
      <c r="P209" s="70" t="s">
        <v>2279</v>
      </c>
      <c r="Q209" s="70" t="s">
        <v>2279</v>
      </c>
      <c r="R209" s="70" t="s">
        <v>2279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ht="15.75" hidden="1" thickBot="1" x14ac:dyDescent="0.3">
      <c r="A210" t="s">
        <v>219</v>
      </c>
      <c r="B210" t="s">
        <v>228</v>
      </c>
      <c r="C210" t="s">
        <v>1060</v>
      </c>
      <c r="D210" t="s">
        <v>227</v>
      </c>
      <c r="E210" s="30" t="s">
        <v>73</v>
      </c>
      <c r="F210" s="30" t="s">
        <v>1054</v>
      </c>
      <c r="G210" s="30" t="s">
        <v>1247</v>
      </c>
      <c r="H210" s="30" t="s">
        <v>706</v>
      </c>
      <c r="I210" s="31">
        <f t="shared" si="10"/>
        <v>25</v>
      </c>
      <c r="J210" s="146" t="s">
        <v>1824</v>
      </c>
      <c r="K210" s="31">
        <f t="shared" si="11"/>
        <v>3</v>
      </c>
      <c r="L210" s="32">
        <f t="shared" si="12"/>
        <v>0.8928571428571429</v>
      </c>
      <c r="M210" s="70"/>
      <c r="N210" s="70"/>
      <c r="O210" s="70"/>
      <c r="P210" s="70" t="s">
        <v>2279</v>
      </c>
      <c r="Q210" s="70" t="s">
        <v>2279</v>
      </c>
      <c r="R210" s="70" t="s">
        <v>2279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ht="15.75" hidden="1" thickBot="1" x14ac:dyDescent="0.3">
      <c r="A211" t="s">
        <v>219</v>
      </c>
      <c r="B211" t="s">
        <v>950</v>
      </c>
      <c r="C211" t="s">
        <v>1060</v>
      </c>
      <c r="D211" t="s">
        <v>244</v>
      </c>
      <c r="E211" s="30" t="s">
        <v>73</v>
      </c>
      <c r="F211" s="30" t="s">
        <v>1054</v>
      </c>
      <c r="G211" s="30" t="s">
        <v>1247</v>
      </c>
      <c r="H211" s="30" t="s">
        <v>707</v>
      </c>
      <c r="I211" s="31">
        <f t="shared" si="10"/>
        <v>28</v>
      </c>
      <c r="J211" s="146" t="s">
        <v>1825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ht="15.75" hidden="1" thickBot="1" x14ac:dyDescent="0.3">
      <c r="A212" t="s">
        <v>219</v>
      </c>
      <c r="B212" t="s">
        <v>951</v>
      </c>
      <c r="C212" t="s">
        <v>1060</v>
      </c>
      <c r="D212" t="s">
        <v>244</v>
      </c>
      <c r="E212" s="30" t="s">
        <v>73</v>
      </c>
      <c r="F212" s="30" t="s">
        <v>1054</v>
      </c>
      <c r="G212" s="30" t="s">
        <v>1247</v>
      </c>
      <c r="H212" s="30" t="s">
        <v>708</v>
      </c>
      <c r="I212" s="31">
        <f t="shared" si="10"/>
        <v>28</v>
      </c>
      <c r="J212" s="146" t="s">
        <v>1826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ht="15.75" hidden="1" thickBot="1" x14ac:dyDescent="0.3">
      <c r="A213" t="s">
        <v>219</v>
      </c>
      <c r="B213" t="s">
        <v>952</v>
      </c>
      <c r="C213" t="s">
        <v>1060</v>
      </c>
      <c r="D213" t="s">
        <v>245</v>
      </c>
      <c r="E213" s="30" t="s">
        <v>73</v>
      </c>
      <c r="F213" s="30" t="s">
        <v>1054</v>
      </c>
      <c r="G213" s="30" t="s">
        <v>1247</v>
      </c>
      <c r="H213" s="30" t="s">
        <v>709</v>
      </c>
      <c r="I213" s="31">
        <f t="shared" si="10"/>
        <v>23</v>
      </c>
      <c r="J213" s="146" t="s">
        <v>1827</v>
      </c>
      <c r="K213" s="31">
        <f t="shared" si="11"/>
        <v>5</v>
      </c>
      <c r="L213" s="32">
        <f t="shared" si="12"/>
        <v>0.8214285714285714</v>
      </c>
      <c r="M213" s="70"/>
      <c r="N213" s="70"/>
      <c r="O213" s="70"/>
      <c r="P213" s="70" t="s">
        <v>2279</v>
      </c>
      <c r="Q213" s="70" t="s">
        <v>2279</v>
      </c>
      <c r="R213" s="70" t="s">
        <v>2279</v>
      </c>
      <c r="S213" s="70"/>
      <c r="T213" s="70"/>
      <c r="U213" s="70" t="s">
        <v>2279</v>
      </c>
      <c r="V213" s="70"/>
      <c r="W213" s="70"/>
      <c r="X213" s="70" t="s">
        <v>2279</v>
      </c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ht="15.75" hidden="1" thickBot="1" x14ac:dyDescent="0.3">
      <c r="A214" t="s">
        <v>219</v>
      </c>
      <c r="B214" t="s">
        <v>953</v>
      </c>
      <c r="C214" t="s">
        <v>1060</v>
      </c>
      <c r="D214" t="s">
        <v>245</v>
      </c>
      <c r="E214" s="30" t="s">
        <v>73</v>
      </c>
      <c r="F214" s="30" t="s">
        <v>1054</v>
      </c>
      <c r="G214" s="30" t="s">
        <v>1247</v>
      </c>
      <c r="H214" s="30" t="s">
        <v>710</v>
      </c>
      <c r="I214" s="31">
        <f t="shared" si="10"/>
        <v>25</v>
      </c>
      <c r="J214" s="146" t="s">
        <v>1684</v>
      </c>
      <c r="K214" s="31">
        <f t="shared" si="11"/>
        <v>3</v>
      </c>
      <c r="L214" s="32">
        <f t="shared" si="12"/>
        <v>0.8928571428571429</v>
      </c>
      <c r="M214" s="70"/>
      <c r="N214" s="70"/>
      <c r="O214" s="70"/>
      <c r="P214" s="70" t="s">
        <v>2279</v>
      </c>
      <c r="Q214" s="70" t="s">
        <v>2279</v>
      </c>
      <c r="R214" s="70" t="s">
        <v>2279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  <row r="215" spans="1:40" s="73" customFormat="1" ht="15.75" hidden="1" thickBot="1" x14ac:dyDescent="0.3">
      <c r="A215" s="73" t="s">
        <v>219</v>
      </c>
      <c r="B215" s="73" t="s">
        <v>1228</v>
      </c>
      <c r="C215" s="73" t="s">
        <v>1060</v>
      </c>
      <c r="D215" s="73" t="s">
        <v>1227</v>
      </c>
      <c r="E215" s="73" t="s">
        <v>19</v>
      </c>
      <c r="F215" s="73" t="s">
        <v>1299</v>
      </c>
      <c r="H215" s="85" t="s">
        <v>1237</v>
      </c>
      <c r="I215" s="141">
        <f t="shared" si="10"/>
        <v>26</v>
      </c>
      <c r="J215" s="146" t="s">
        <v>1828</v>
      </c>
      <c r="K215" s="141">
        <f t="shared" si="11"/>
        <v>2</v>
      </c>
      <c r="L215" s="142">
        <f t="shared" si="12"/>
        <v>0.9285714285714286</v>
      </c>
      <c r="M215" s="70"/>
      <c r="N215" s="70"/>
      <c r="O215" s="70"/>
      <c r="P215" s="70"/>
      <c r="Q215" s="70"/>
      <c r="R215" s="70"/>
      <c r="S215" s="70"/>
      <c r="T215" s="70"/>
      <c r="U215" s="70" t="s">
        <v>2279</v>
      </c>
      <c r="V215" s="70" t="s">
        <v>2279</v>
      </c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</row>
    <row r="216" spans="1:40" s="73" customFormat="1" ht="15.75" hidden="1" thickBot="1" x14ac:dyDescent="0.3">
      <c r="A216" s="73" t="s">
        <v>219</v>
      </c>
      <c r="B216" s="73" t="s">
        <v>1585</v>
      </c>
      <c r="C216" s="73" t="s">
        <v>1060</v>
      </c>
      <c r="D216" s="73" t="s">
        <v>1586</v>
      </c>
      <c r="E216" s="85" t="s">
        <v>73</v>
      </c>
      <c r="F216" s="85" t="s">
        <v>1299</v>
      </c>
      <c r="H216" s="85" t="s">
        <v>1587</v>
      </c>
      <c r="I216" s="141">
        <f t="shared" si="10"/>
        <v>28</v>
      </c>
      <c r="J216" s="146" t="s">
        <v>1829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</row>
    <row r="217" spans="1:40" s="73" customFormat="1" ht="15.75" hidden="1" thickBot="1" x14ac:dyDescent="0.3">
      <c r="A217" s="73" t="s">
        <v>219</v>
      </c>
      <c r="B217" s="73" t="s">
        <v>2198</v>
      </c>
      <c r="C217" s="73" t="s">
        <v>1060</v>
      </c>
      <c r="D217" s="73" t="s">
        <v>2199</v>
      </c>
      <c r="E217" s="85" t="s">
        <v>73</v>
      </c>
      <c r="F217" s="85" t="s">
        <v>1299</v>
      </c>
      <c r="H217" s="85" t="s">
        <v>2200</v>
      </c>
      <c r="I217" s="141">
        <f t="shared" si="10"/>
        <v>28</v>
      </c>
      <c r="J217" s="146" t="s">
        <v>2201</v>
      </c>
      <c r="K217" s="141">
        <f t="shared" si="11"/>
        <v>0</v>
      </c>
      <c r="L217" s="14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</row>
    <row r="218" spans="1:40" ht="15.75" hidden="1" thickBot="1" x14ac:dyDescent="0.3">
      <c r="A218" t="s">
        <v>101</v>
      </c>
      <c r="B218" t="s">
        <v>246</v>
      </c>
      <c r="C218" t="s">
        <v>1060</v>
      </c>
      <c r="D218" t="s">
        <v>247</v>
      </c>
      <c r="E218" s="30" t="s">
        <v>15</v>
      </c>
      <c r="F218" s="30" t="s">
        <v>1054</v>
      </c>
      <c r="G218" s="30" t="s">
        <v>45</v>
      </c>
      <c r="H218" s="30" t="s">
        <v>711</v>
      </c>
      <c r="I218" s="31">
        <f t="shared" si="10"/>
        <v>28</v>
      </c>
      <c r="J218" s="146" t="s">
        <v>1830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</row>
    <row r="219" spans="1:40" s="73" customFormat="1" ht="15.75" hidden="1" thickBot="1" x14ac:dyDescent="0.3">
      <c r="A219" s="73" t="s">
        <v>101</v>
      </c>
      <c r="B219" s="73" t="s">
        <v>248</v>
      </c>
      <c r="C219" s="73" t="s">
        <v>1060</v>
      </c>
      <c r="D219" s="73" t="s">
        <v>249</v>
      </c>
      <c r="E219" s="85" t="s">
        <v>15</v>
      </c>
      <c r="F219" s="85" t="s">
        <v>1299</v>
      </c>
      <c r="G219" s="85" t="s">
        <v>45</v>
      </c>
      <c r="H219" s="85" t="s">
        <v>2281</v>
      </c>
      <c r="I219" s="141">
        <f t="shared" si="10"/>
        <v>28</v>
      </c>
      <c r="J219" s="146" t="s">
        <v>1831</v>
      </c>
      <c r="K219" s="141">
        <f t="shared" si="11"/>
        <v>0</v>
      </c>
      <c r="L219" s="14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</row>
    <row r="220" spans="1:40" s="73" customFormat="1" ht="15.75" hidden="1" thickBot="1" x14ac:dyDescent="0.3">
      <c r="A220" s="73" t="s">
        <v>101</v>
      </c>
      <c r="B220" s="73" t="s">
        <v>250</v>
      </c>
      <c r="C220" s="73" t="s">
        <v>1060</v>
      </c>
      <c r="D220" s="73" t="s">
        <v>251</v>
      </c>
      <c r="E220" s="85" t="s">
        <v>15</v>
      </c>
      <c r="F220" s="85" t="s">
        <v>1299</v>
      </c>
      <c r="G220" s="85" t="s">
        <v>45</v>
      </c>
      <c r="H220" s="85" t="s">
        <v>712</v>
      </c>
      <c r="I220" s="141">
        <f t="shared" si="10"/>
        <v>28</v>
      </c>
      <c r="J220" s="146" t="s">
        <v>1832</v>
      </c>
      <c r="K220" s="141">
        <f t="shared" si="11"/>
        <v>0</v>
      </c>
      <c r="L220" s="14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</row>
    <row r="221" spans="1:40" ht="15.75" hidden="1" thickBot="1" x14ac:dyDescent="0.3">
      <c r="A221" t="s">
        <v>101</v>
      </c>
      <c r="B221" t="s">
        <v>1514</v>
      </c>
      <c r="C221" t="s">
        <v>1060</v>
      </c>
      <c r="D221" t="s">
        <v>1515</v>
      </c>
      <c r="E221" s="30" t="s">
        <v>15</v>
      </c>
      <c r="F221" s="30" t="s">
        <v>28</v>
      </c>
      <c r="G221" s="30"/>
      <c r="H221" s="30" t="s">
        <v>1516</v>
      </c>
      <c r="I221" s="141">
        <f t="shared" si="10"/>
        <v>28</v>
      </c>
      <c r="J221" s="146" t="s">
        <v>1833</v>
      </c>
      <c r="K221" s="141">
        <f t="shared" si="11"/>
        <v>0</v>
      </c>
      <c r="L221" s="14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</row>
    <row r="222" spans="1:40" ht="15.75" hidden="1" thickBot="1" x14ac:dyDescent="0.3">
      <c r="A222" t="s">
        <v>101</v>
      </c>
      <c r="B222" t="s">
        <v>2264</v>
      </c>
      <c r="C222" t="s">
        <v>1060</v>
      </c>
      <c r="D222" t="s">
        <v>2265</v>
      </c>
      <c r="E222" s="30" t="s">
        <v>15</v>
      </c>
      <c r="F222" s="85" t="s">
        <v>1299</v>
      </c>
      <c r="G222" s="30"/>
      <c r="H222" s="30" t="s">
        <v>2266</v>
      </c>
      <c r="I222" s="141">
        <f t="shared" si="10"/>
        <v>28</v>
      </c>
      <c r="J222" s="150" t="s">
        <v>2267</v>
      </c>
      <c r="K222" s="141">
        <f t="shared" si="11"/>
        <v>0</v>
      </c>
      <c r="L222" s="14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</row>
    <row r="223" spans="1:40" ht="15.75" hidden="1" thickBot="1" x14ac:dyDescent="0.3">
      <c r="A223" t="s">
        <v>199</v>
      </c>
      <c r="B223" t="s">
        <v>1182</v>
      </c>
      <c r="C223" t="s">
        <v>1061</v>
      </c>
      <c r="D223" t="s">
        <v>1183</v>
      </c>
      <c r="E223" s="30" t="s">
        <v>73</v>
      </c>
      <c r="F223" s="30" t="s">
        <v>16</v>
      </c>
      <c r="G223" s="30"/>
      <c r="H223" s="30" t="s">
        <v>1268</v>
      </c>
      <c r="I223" s="31">
        <f t="shared" si="10"/>
        <v>28</v>
      </c>
      <c r="J223" s="87"/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</row>
    <row r="224" spans="1:40" ht="15.75" hidden="1" thickBot="1" x14ac:dyDescent="0.3">
      <c r="A224" t="s">
        <v>199</v>
      </c>
      <c r="B224" t="s">
        <v>1184</v>
      </c>
      <c r="C224" t="s">
        <v>1061</v>
      </c>
      <c r="D224" t="s">
        <v>1185</v>
      </c>
      <c r="E224" s="30" t="s">
        <v>73</v>
      </c>
      <c r="F224" s="30" t="s">
        <v>20</v>
      </c>
      <c r="G224" s="30"/>
      <c r="H224" s="30" t="s">
        <v>1269</v>
      </c>
      <c r="I224" s="31">
        <f t="shared" si="10"/>
        <v>28</v>
      </c>
      <c r="J224" s="87"/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</row>
    <row r="225" spans="1:40" ht="15.75" hidden="1" thickBot="1" x14ac:dyDescent="0.3">
      <c r="A225" t="s">
        <v>1441</v>
      </c>
      <c r="B225" t="s">
        <v>956</v>
      </c>
      <c r="C225" t="s">
        <v>1060</v>
      </c>
      <c r="D225" t="s">
        <v>1084</v>
      </c>
      <c r="E225" s="30" t="s">
        <v>19</v>
      </c>
      <c r="F225" s="30" t="s">
        <v>1054</v>
      </c>
      <c r="G225" s="30"/>
      <c r="H225" s="30" t="s">
        <v>1430</v>
      </c>
      <c r="I225" s="31">
        <f t="shared" si="10"/>
        <v>28</v>
      </c>
      <c r="J225" s="146" t="s">
        <v>1834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</row>
    <row r="226" spans="1:40" s="73" customFormat="1" ht="15.75" hidden="1" thickBot="1" x14ac:dyDescent="0.3">
      <c r="A226" s="73" t="s">
        <v>168</v>
      </c>
      <c r="B226" s="73" t="s">
        <v>252</v>
      </c>
      <c r="C226" s="73" t="s">
        <v>1060</v>
      </c>
      <c r="D226" s="73" t="s">
        <v>253</v>
      </c>
      <c r="E226" s="85" t="s">
        <v>19</v>
      </c>
      <c r="F226" s="85" t="s">
        <v>1299</v>
      </c>
      <c r="G226" s="85"/>
      <c r="H226" s="85" t="s">
        <v>1412</v>
      </c>
      <c r="I226" s="141">
        <f t="shared" si="10"/>
        <v>28</v>
      </c>
      <c r="J226" s="146" t="s">
        <v>1835</v>
      </c>
      <c r="K226" s="141">
        <f t="shared" si="11"/>
        <v>0</v>
      </c>
      <c r="L226" s="14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</row>
    <row r="227" spans="1:40" ht="15.75" hidden="1" thickBot="1" x14ac:dyDescent="0.3">
      <c r="A227" t="s">
        <v>254</v>
      </c>
      <c r="B227" t="s">
        <v>255</v>
      </c>
      <c r="C227" t="s">
        <v>1060</v>
      </c>
      <c r="D227" t="s">
        <v>256</v>
      </c>
      <c r="E227" s="30" t="s">
        <v>73</v>
      </c>
      <c r="F227" s="30" t="s">
        <v>28</v>
      </c>
      <c r="G227" s="30"/>
      <c r="H227" s="30" t="s">
        <v>713</v>
      </c>
      <c r="I227" s="31">
        <f t="shared" si="10"/>
        <v>28</v>
      </c>
      <c r="J227" s="146" t="s">
        <v>1836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</row>
    <row r="228" spans="1:40" ht="15.75" hidden="1" thickBot="1" x14ac:dyDescent="0.3">
      <c r="A228" t="s">
        <v>254</v>
      </c>
      <c r="B228" t="s">
        <v>257</v>
      </c>
      <c r="C228" t="s">
        <v>1060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0"/>
        <v>28</v>
      </c>
      <c r="J228" s="146" t="s">
        <v>1837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</row>
    <row r="229" spans="1:40" s="73" customFormat="1" ht="15.75" hidden="1" thickBot="1" x14ac:dyDescent="0.3">
      <c r="A229" s="73" t="s">
        <v>254</v>
      </c>
      <c r="B229" s="73" t="s">
        <v>1321</v>
      </c>
      <c r="C229" s="73" t="s">
        <v>1060</v>
      </c>
      <c r="D229" s="73" t="s">
        <v>1325</v>
      </c>
      <c r="E229" s="85" t="s">
        <v>15</v>
      </c>
      <c r="F229" s="85" t="s">
        <v>1299</v>
      </c>
      <c r="G229" s="85"/>
      <c r="H229" s="85" t="s">
        <v>1330</v>
      </c>
      <c r="I229" s="141">
        <f t="shared" si="10"/>
        <v>28</v>
      </c>
      <c r="J229" s="146" t="s">
        <v>1838</v>
      </c>
      <c r="K229" s="141">
        <f t="shared" si="11"/>
        <v>0</v>
      </c>
      <c r="L229" s="14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</row>
    <row r="230" spans="1:40" s="73" customFormat="1" ht="15.75" hidden="1" thickBot="1" x14ac:dyDescent="0.3">
      <c r="A230" s="73" t="s">
        <v>254</v>
      </c>
      <c r="B230" s="73" t="s">
        <v>1415</v>
      </c>
      <c r="C230" s="73" t="s">
        <v>1060</v>
      </c>
      <c r="D230" s="73" t="s">
        <v>1416</v>
      </c>
      <c r="E230" s="85" t="s">
        <v>15</v>
      </c>
      <c r="F230" s="85" t="s">
        <v>1299</v>
      </c>
      <c r="G230" s="85"/>
      <c r="H230" s="85" t="s">
        <v>1417</v>
      </c>
      <c r="I230" s="141">
        <f t="shared" si="10"/>
        <v>28</v>
      </c>
      <c r="J230" s="146" t="s">
        <v>1839</v>
      </c>
      <c r="K230" s="141">
        <f t="shared" si="11"/>
        <v>0</v>
      </c>
      <c r="L230" s="142">
        <f t="shared" si="12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</row>
    <row r="231" spans="1:40" s="73" customFormat="1" ht="15.75" hidden="1" thickBot="1" x14ac:dyDescent="0.3">
      <c r="A231" s="73" t="s">
        <v>254</v>
      </c>
      <c r="B231" s="73" t="s">
        <v>1589</v>
      </c>
      <c r="C231" s="73" t="s">
        <v>1060</v>
      </c>
      <c r="D231" s="73" t="s">
        <v>1590</v>
      </c>
      <c r="E231" s="85" t="s">
        <v>15</v>
      </c>
      <c r="F231" s="85" t="s">
        <v>1299</v>
      </c>
      <c r="G231" s="85"/>
      <c r="H231" s="85" t="s">
        <v>1591</v>
      </c>
      <c r="I231" s="141">
        <f t="shared" si="10"/>
        <v>28</v>
      </c>
      <c r="J231" s="87"/>
      <c r="K231" s="141">
        <f t="shared" si="11"/>
        <v>0</v>
      </c>
      <c r="L231" s="142">
        <f t="shared" si="12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</row>
    <row r="232" spans="1:40" s="73" customFormat="1" ht="15.75" hidden="1" thickBot="1" x14ac:dyDescent="0.3">
      <c r="A232" s="73" t="s">
        <v>254</v>
      </c>
      <c r="B232" s="73" t="s">
        <v>2282</v>
      </c>
      <c r="C232" s="73" t="s">
        <v>1060</v>
      </c>
      <c r="D232" s="73" t="s">
        <v>2283</v>
      </c>
      <c r="E232" s="85" t="s">
        <v>15</v>
      </c>
      <c r="F232" s="85" t="s">
        <v>1299</v>
      </c>
      <c r="G232" s="85"/>
      <c r="H232" s="85" t="s">
        <v>2284</v>
      </c>
      <c r="I232" s="141">
        <f t="shared" si="10"/>
        <v>28</v>
      </c>
      <c r="J232" s="151" t="s">
        <v>2285</v>
      </c>
      <c r="K232" s="141">
        <f t="shared" si="11"/>
        <v>0</v>
      </c>
      <c r="L232" s="142">
        <f t="shared" si="12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</row>
    <row r="233" spans="1:40" s="73" customFormat="1" ht="15.75" hidden="1" thickBot="1" x14ac:dyDescent="0.3">
      <c r="A233" s="73" t="s">
        <v>258</v>
      </c>
      <c r="B233" s="73" t="s">
        <v>957</v>
      </c>
      <c r="C233" s="73" t="s">
        <v>1061</v>
      </c>
      <c r="D233" s="73" t="s">
        <v>259</v>
      </c>
      <c r="E233" s="85" t="s">
        <v>15</v>
      </c>
      <c r="F233" s="85" t="s">
        <v>1299</v>
      </c>
      <c r="G233" s="85"/>
      <c r="H233" s="85" t="s">
        <v>714</v>
      </c>
      <c r="I233" s="141">
        <f t="shared" si="10"/>
        <v>28</v>
      </c>
      <c r="J233" s="146" t="s">
        <v>1840</v>
      </c>
      <c r="K233" s="141">
        <f t="shared" si="11"/>
        <v>0</v>
      </c>
      <c r="L233" s="14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</row>
    <row r="234" spans="1:40" s="73" customFormat="1" ht="15.75" hidden="1" thickBot="1" x14ac:dyDescent="0.3">
      <c r="A234" s="73" t="s">
        <v>258</v>
      </c>
      <c r="B234" s="73" t="s">
        <v>260</v>
      </c>
      <c r="C234" s="73" t="s">
        <v>1061</v>
      </c>
      <c r="D234" s="73" t="s">
        <v>261</v>
      </c>
      <c r="E234" s="85" t="s">
        <v>73</v>
      </c>
      <c r="F234" s="85" t="s">
        <v>1299</v>
      </c>
      <c r="G234" s="85"/>
      <c r="H234" s="85" t="s">
        <v>715</v>
      </c>
      <c r="I234" s="141">
        <f t="shared" si="10"/>
        <v>28</v>
      </c>
      <c r="J234" s="146" t="s">
        <v>1841</v>
      </c>
      <c r="K234" s="141">
        <f t="shared" si="11"/>
        <v>0</v>
      </c>
      <c r="L234" s="14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</row>
    <row r="235" spans="1:40" s="73" customFormat="1" ht="15.75" hidden="1" thickBot="1" x14ac:dyDescent="0.3">
      <c r="A235" s="73" t="s">
        <v>258</v>
      </c>
      <c r="B235" s="73" t="s">
        <v>262</v>
      </c>
      <c r="C235" s="73" t="s">
        <v>1061</v>
      </c>
      <c r="D235" s="73" t="s">
        <v>261</v>
      </c>
      <c r="E235" s="85" t="s">
        <v>73</v>
      </c>
      <c r="F235" s="85" t="s">
        <v>1299</v>
      </c>
      <c r="G235" s="85"/>
      <c r="H235" s="85" t="s">
        <v>716</v>
      </c>
      <c r="I235" s="141">
        <f t="shared" si="10"/>
        <v>28</v>
      </c>
      <c r="J235" s="146" t="s">
        <v>1842</v>
      </c>
      <c r="K235" s="141">
        <f t="shared" si="11"/>
        <v>0</v>
      </c>
      <c r="L235" s="14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</row>
    <row r="236" spans="1:40" s="73" customFormat="1" ht="15.75" hidden="1" thickBot="1" x14ac:dyDescent="0.3">
      <c r="A236" s="73" t="s">
        <v>258</v>
      </c>
      <c r="B236" s="73" t="s">
        <v>2274</v>
      </c>
      <c r="C236" s="73" t="s">
        <v>1061</v>
      </c>
      <c r="D236" s="73" t="s">
        <v>2275</v>
      </c>
      <c r="E236" s="85" t="s">
        <v>15</v>
      </c>
      <c r="F236" s="85" t="s">
        <v>1299</v>
      </c>
      <c r="G236" s="85"/>
      <c r="H236" s="85" t="s">
        <v>2276</v>
      </c>
      <c r="I236" s="141">
        <f t="shared" si="10"/>
        <v>28</v>
      </c>
      <c r="J236" s="146" t="s">
        <v>2277</v>
      </c>
      <c r="K236" s="141">
        <f t="shared" si="11"/>
        <v>0</v>
      </c>
      <c r="L236" s="14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</row>
    <row r="237" spans="1:40" ht="15.75" hidden="1" thickBot="1" x14ac:dyDescent="0.3">
      <c r="A237" t="s">
        <v>267</v>
      </c>
      <c r="B237" t="s">
        <v>958</v>
      </c>
      <c r="C237" t="s">
        <v>1060</v>
      </c>
      <c r="D237" t="s">
        <v>272</v>
      </c>
      <c r="E237" s="30" t="s">
        <v>73</v>
      </c>
      <c r="F237" s="30" t="s">
        <v>28</v>
      </c>
      <c r="G237" s="30"/>
      <c r="H237" s="30" t="s">
        <v>721</v>
      </c>
      <c r="I237" s="31">
        <f t="shared" si="10"/>
        <v>14</v>
      </c>
      <c r="J237" s="146" t="s">
        <v>1843</v>
      </c>
      <c r="K237" s="31">
        <f t="shared" si="11"/>
        <v>14</v>
      </c>
      <c r="L237" s="32">
        <f t="shared" si="12"/>
        <v>0.5</v>
      </c>
      <c r="M237" s="70" t="s">
        <v>2279</v>
      </c>
      <c r="N237" s="70" t="s">
        <v>2279</v>
      </c>
      <c r="O237" s="70"/>
      <c r="P237" s="70" t="s">
        <v>2279</v>
      </c>
      <c r="Q237" s="70" t="s">
        <v>2279</v>
      </c>
      <c r="R237" s="70" t="s">
        <v>2279</v>
      </c>
      <c r="S237" s="70"/>
      <c r="T237" s="70"/>
      <c r="U237" s="70" t="s">
        <v>2279</v>
      </c>
      <c r="V237" s="70" t="s">
        <v>2279</v>
      </c>
      <c r="W237" s="70" t="s">
        <v>2279</v>
      </c>
      <c r="X237" s="70" t="s">
        <v>2279</v>
      </c>
      <c r="Y237" s="70" t="s">
        <v>2279</v>
      </c>
      <c r="Z237" s="70"/>
      <c r="AA237" s="70"/>
      <c r="AB237" s="70"/>
      <c r="AC237" s="70"/>
      <c r="AD237" s="70" t="s">
        <v>2279</v>
      </c>
      <c r="AE237" s="70" t="s">
        <v>2279</v>
      </c>
      <c r="AF237" s="70" t="s">
        <v>2279</v>
      </c>
      <c r="AG237" s="70"/>
      <c r="AH237" s="70"/>
      <c r="AI237" s="70" t="s">
        <v>2279</v>
      </c>
      <c r="AJ237" s="70"/>
      <c r="AK237" s="70"/>
      <c r="AL237" s="70"/>
      <c r="AM237" s="70"/>
      <c r="AN237" s="70"/>
    </row>
    <row r="238" spans="1:40" ht="15.75" hidden="1" thickBot="1" x14ac:dyDescent="0.3">
      <c r="A238" t="s">
        <v>267</v>
      </c>
      <c r="B238" t="s">
        <v>959</v>
      </c>
      <c r="C238" t="s">
        <v>1060</v>
      </c>
      <c r="D238" t="s">
        <v>1085</v>
      </c>
      <c r="E238" s="30" t="s">
        <v>19</v>
      </c>
      <c r="F238" s="30" t="s">
        <v>28</v>
      </c>
      <c r="G238" s="30"/>
      <c r="H238" s="30" t="s">
        <v>723</v>
      </c>
      <c r="I238" s="31">
        <f t="shared" si="10"/>
        <v>28</v>
      </c>
      <c r="J238" s="146" t="s">
        <v>1844</v>
      </c>
      <c r="K238" s="31">
        <f t="shared" si="11"/>
        <v>0</v>
      </c>
      <c r="L238" s="32">
        <f t="shared" si="12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</row>
    <row r="239" spans="1:40" ht="15.75" hidden="1" thickBot="1" x14ac:dyDescent="0.3">
      <c r="A239" t="s">
        <v>267</v>
      </c>
      <c r="B239" t="s">
        <v>960</v>
      </c>
      <c r="C239" t="s">
        <v>1060</v>
      </c>
      <c r="D239" t="s">
        <v>279</v>
      </c>
      <c r="E239" s="30" t="s">
        <v>19</v>
      </c>
      <c r="F239" s="30" t="s">
        <v>28</v>
      </c>
      <c r="G239" s="30"/>
      <c r="H239" s="30" t="s">
        <v>1479</v>
      </c>
      <c r="I239" s="31">
        <f t="shared" si="10"/>
        <v>21</v>
      </c>
      <c r="J239" s="146" t="s">
        <v>1845</v>
      </c>
      <c r="K239" s="31">
        <f t="shared" si="11"/>
        <v>7</v>
      </c>
      <c r="L239" s="32">
        <f t="shared" si="12"/>
        <v>0.75</v>
      </c>
      <c r="M239" s="70" t="s">
        <v>2279</v>
      </c>
      <c r="N239" s="70" t="s">
        <v>2279</v>
      </c>
      <c r="O239" s="70" t="s">
        <v>2279</v>
      </c>
      <c r="P239" s="70" t="s">
        <v>2279</v>
      </c>
      <c r="Q239" s="70" t="s">
        <v>2279</v>
      </c>
      <c r="R239" s="70" t="s">
        <v>2279</v>
      </c>
      <c r="S239" s="70"/>
      <c r="T239" s="70"/>
      <c r="U239" s="70"/>
      <c r="V239" s="70" t="s">
        <v>2279</v>
      </c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</row>
    <row r="240" spans="1:40" ht="15.75" hidden="1" thickBot="1" x14ac:dyDescent="0.3">
      <c r="A240" t="s">
        <v>267</v>
      </c>
      <c r="B240" t="s">
        <v>961</v>
      </c>
      <c r="C240" t="s">
        <v>1060</v>
      </c>
      <c r="D240" t="s">
        <v>282</v>
      </c>
      <c r="E240" s="30" t="s">
        <v>73</v>
      </c>
      <c r="F240" s="30" t="s">
        <v>28</v>
      </c>
      <c r="G240" s="30"/>
      <c r="H240" s="30" t="s">
        <v>725</v>
      </c>
      <c r="I240" s="31">
        <f t="shared" si="10"/>
        <v>28</v>
      </c>
      <c r="J240" s="146" t="s">
        <v>1846</v>
      </c>
      <c r="K240" s="31">
        <f t="shared" si="11"/>
        <v>0</v>
      </c>
      <c r="L240" s="32">
        <f t="shared" si="12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</row>
    <row r="241" spans="1:40" ht="15.75" hidden="1" thickBot="1" x14ac:dyDescent="0.3">
      <c r="A241" t="s">
        <v>267</v>
      </c>
      <c r="B241" t="s">
        <v>962</v>
      </c>
      <c r="C241" t="s">
        <v>1060</v>
      </c>
      <c r="D241" t="s">
        <v>282</v>
      </c>
      <c r="E241" s="30" t="s">
        <v>73</v>
      </c>
      <c r="F241" s="30" t="s">
        <v>28</v>
      </c>
      <c r="G241" s="30"/>
      <c r="H241" s="30" t="s">
        <v>726</v>
      </c>
      <c r="I241" s="31">
        <f t="shared" si="10"/>
        <v>28</v>
      </c>
      <c r="J241" s="146" t="s">
        <v>1847</v>
      </c>
      <c r="K241" s="31">
        <f t="shared" si="11"/>
        <v>0</v>
      </c>
      <c r="L241" s="32">
        <f t="shared" si="12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</row>
    <row r="242" spans="1:40" ht="15.75" hidden="1" thickBot="1" x14ac:dyDescent="0.3">
      <c r="A242" t="s">
        <v>267</v>
      </c>
      <c r="B242" t="s">
        <v>963</v>
      </c>
      <c r="C242" t="s">
        <v>1060</v>
      </c>
      <c r="D242" t="s">
        <v>263</v>
      </c>
      <c r="E242" s="30" t="s">
        <v>46</v>
      </c>
      <c r="F242" s="30" t="s">
        <v>28</v>
      </c>
      <c r="G242" s="30"/>
      <c r="H242" s="30" t="s">
        <v>717</v>
      </c>
      <c r="I242" s="31">
        <f t="shared" si="10"/>
        <v>28</v>
      </c>
      <c r="J242" s="146" t="s">
        <v>1848</v>
      </c>
      <c r="K242" s="31">
        <f t="shared" si="11"/>
        <v>0</v>
      </c>
      <c r="L242" s="32">
        <f t="shared" si="12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</row>
    <row r="243" spans="1:40" ht="15.75" hidden="1" thickBot="1" x14ac:dyDescent="0.3">
      <c r="A243" t="s">
        <v>264</v>
      </c>
      <c r="B243" t="s">
        <v>265</v>
      </c>
      <c r="C243" t="s">
        <v>1060</v>
      </c>
      <c r="D243" t="s">
        <v>266</v>
      </c>
      <c r="E243" s="30" t="s">
        <v>19</v>
      </c>
      <c r="F243" s="30" t="s">
        <v>28</v>
      </c>
      <c r="G243" s="30"/>
      <c r="H243" s="30" t="s">
        <v>718</v>
      </c>
      <c r="I243" s="31">
        <f t="shared" si="10"/>
        <v>28</v>
      </c>
      <c r="J243" s="146" t="s">
        <v>1849</v>
      </c>
      <c r="K243" s="31">
        <f t="shared" si="11"/>
        <v>0</v>
      </c>
      <c r="L243" s="32">
        <f t="shared" si="12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</row>
    <row r="244" spans="1:40" ht="15.75" hidden="1" thickBot="1" x14ac:dyDescent="0.3">
      <c r="A244" t="s">
        <v>267</v>
      </c>
      <c r="B244" t="s">
        <v>268</v>
      </c>
      <c r="C244" t="s">
        <v>1060</v>
      </c>
      <c r="D244" t="s">
        <v>269</v>
      </c>
      <c r="E244" s="30" t="s">
        <v>73</v>
      </c>
      <c r="F244" s="30" t="s">
        <v>28</v>
      </c>
      <c r="G244" s="30"/>
      <c r="H244" s="30" t="s">
        <v>719</v>
      </c>
      <c r="I244" s="31">
        <f t="shared" si="10"/>
        <v>28</v>
      </c>
      <c r="J244" s="146" t="s">
        <v>1850</v>
      </c>
      <c r="K244" s="31">
        <f t="shared" si="11"/>
        <v>0</v>
      </c>
      <c r="L244" s="32">
        <f t="shared" si="12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</row>
    <row r="245" spans="1:40" ht="15.75" hidden="1" thickBot="1" x14ac:dyDescent="0.3">
      <c r="A245" t="s">
        <v>267</v>
      </c>
      <c r="B245" t="s">
        <v>270</v>
      </c>
      <c r="C245" t="s">
        <v>1060</v>
      </c>
      <c r="D245" t="s">
        <v>271</v>
      </c>
      <c r="E245" s="30" t="s">
        <v>46</v>
      </c>
      <c r="F245" s="30" t="s">
        <v>28</v>
      </c>
      <c r="G245" s="30"/>
      <c r="H245" s="30" t="s">
        <v>720</v>
      </c>
      <c r="I245" s="31">
        <f t="shared" ref="I245:I317" si="13">COUNTIF(M245:AN245,"")</f>
        <v>28</v>
      </c>
      <c r="J245" s="146" t="s">
        <v>1851</v>
      </c>
      <c r="K245" s="31">
        <f t="shared" ref="K245:K317" si="14">COUNTIF(M245:AN245,"APAGADO")</f>
        <v>0</v>
      </c>
      <c r="L245" s="32">
        <f t="shared" ref="L245:L317" si="15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</row>
    <row r="246" spans="1:40" ht="15.75" hidden="1" thickBot="1" x14ac:dyDescent="0.3">
      <c r="A246" t="s">
        <v>264</v>
      </c>
      <c r="B246" t="s">
        <v>273</v>
      </c>
      <c r="C246" t="s">
        <v>1060</v>
      </c>
      <c r="D246" t="s">
        <v>274</v>
      </c>
      <c r="E246" s="30" t="s">
        <v>19</v>
      </c>
      <c r="F246" s="30" t="s">
        <v>28</v>
      </c>
      <c r="G246" s="30"/>
      <c r="H246" s="30" t="s">
        <v>722</v>
      </c>
      <c r="I246" s="31">
        <f t="shared" si="13"/>
        <v>27</v>
      </c>
      <c r="J246" s="146" t="s">
        <v>1852</v>
      </c>
      <c r="K246" s="31">
        <f t="shared" si="14"/>
        <v>1</v>
      </c>
      <c r="L246" s="32">
        <f t="shared" si="15"/>
        <v>0.9642857142857143</v>
      </c>
      <c r="M246" s="70"/>
      <c r="N246" s="70" t="s">
        <v>2279</v>
      </c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</row>
    <row r="247" spans="1:40" ht="15.75" hidden="1" thickBot="1" x14ac:dyDescent="0.3">
      <c r="A247" t="s">
        <v>267</v>
      </c>
      <c r="B247" t="s">
        <v>275</v>
      </c>
      <c r="C247" t="s">
        <v>1060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3"/>
        <v>28</v>
      </c>
      <c r="J247" s="146" t="s">
        <v>1853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</row>
    <row r="248" spans="1:40" ht="15.75" hidden="1" thickBot="1" x14ac:dyDescent="0.3">
      <c r="A248" t="s">
        <v>267</v>
      </c>
      <c r="B248" t="s">
        <v>277</v>
      </c>
      <c r="C248" t="s">
        <v>1060</v>
      </c>
      <c r="D248" t="s">
        <v>278</v>
      </c>
      <c r="E248" s="30" t="s">
        <v>19</v>
      </c>
      <c r="F248" s="30" t="s">
        <v>28</v>
      </c>
      <c r="G248" s="30"/>
      <c r="H248" s="30" t="s">
        <v>1439</v>
      </c>
      <c r="I248" s="31">
        <f t="shared" si="13"/>
        <v>28</v>
      </c>
      <c r="J248" s="146" t="s">
        <v>1854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</row>
    <row r="249" spans="1:40" ht="15.75" hidden="1" thickBot="1" x14ac:dyDescent="0.3">
      <c r="A249" t="s">
        <v>267</v>
      </c>
      <c r="B249" t="s">
        <v>280</v>
      </c>
      <c r="C249" t="s">
        <v>1060</v>
      </c>
      <c r="D249" t="s">
        <v>281</v>
      </c>
      <c r="E249" s="30" t="s">
        <v>19</v>
      </c>
      <c r="F249" s="30" t="s">
        <v>28</v>
      </c>
      <c r="G249" s="30"/>
      <c r="H249" s="30" t="s">
        <v>724</v>
      </c>
      <c r="I249" s="31">
        <f t="shared" si="13"/>
        <v>28</v>
      </c>
      <c r="J249" s="146" t="s">
        <v>1855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</row>
    <row r="250" spans="1:40" ht="15.75" hidden="1" thickBot="1" x14ac:dyDescent="0.3">
      <c r="A250" t="s">
        <v>267</v>
      </c>
      <c r="B250" t="s">
        <v>283</v>
      </c>
      <c r="C250" t="s">
        <v>1060</v>
      </c>
      <c r="D250" t="s">
        <v>284</v>
      </c>
      <c r="E250" s="30" t="s">
        <v>15</v>
      </c>
      <c r="F250" s="30" t="s">
        <v>28</v>
      </c>
      <c r="G250" s="30"/>
      <c r="H250" s="30" t="s">
        <v>727</v>
      </c>
      <c r="I250" s="31">
        <f t="shared" si="13"/>
        <v>24</v>
      </c>
      <c r="J250" s="146" t="s">
        <v>1856</v>
      </c>
      <c r="K250" s="31">
        <f t="shared" si="14"/>
        <v>4</v>
      </c>
      <c r="L250" s="32">
        <f t="shared" si="15"/>
        <v>0.8571428571428571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 t="s">
        <v>2279</v>
      </c>
      <c r="AE250" s="70" t="s">
        <v>2279</v>
      </c>
      <c r="AF250" s="70" t="s">
        <v>2279</v>
      </c>
      <c r="AG250" s="70"/>
      <c r="AH250" s="70"/>
      <c r="AI250" s="70" t="s">
        <v>2279</v>
      </c>
      <c r="AJ250" s="70"/>
      <c r="AK250" s="70"/>
      <c r="AL250" s="70"/>
      <c r="AM250" s="70"/>
      <c r="AN250" s="70"/>
    </row>
    <row r="251" spans="1:40" ht="15.75" hidden="1" thickBot="1" x14ac:dyDescent="0.3">
      <c r="A251" t="s">
        <v>267</v>
      </c>
      <c r="B251" s="30" t="s">
        <v>1209</v>
      </c>
      <c r="C251" s="30" t="s">
        <v>1060</v>
      </c>
      <c r="D251" t="s">
        <v>1204</v>
      </c>
      <c r="E251" s="30" t="s">
        <v>15</v>
      </c>
      <c r="F251" s="30" t="s">
        <v>28</v>
      </c>
      <c r="G251" s="30"/>
      <c r="H251" s="30" t="s">
        <v>1205</v>
      </c>
      <c r="I251" s="31">
        <f t="shared" si="13"/>
        <v>14</v>
      </c>
      <c r="J251" s="146" t="s">
        <v>1857</v>
      </c>
      <c r="K251" s="31">
        <f t="shared" si="14"/>
        <v>14</v>
      </c>
      <c r="L251" s="32">
        <f t="shared" si="15"/>
        <v>0.5</v>
      </c>
      <c r="M251" s="70" t="s">
        <v>2279</v>
      </c>
      <c r="N251" s="70" t="s">
        <v>2279</v>
      </c>
      <c r="O251" s="70" t="s">
        <v>2279</v>
      </c>
      <c r="P251" s="70" t="s">
        <v>2279</v>
      </c>
      <c r="Q251" s="70" t="s">
        <v>2279</v>
      </c>
      <c r="R251" s="70" t="s">
        <v>2279</v>
      </c>
      <c r="S251" s="70"/>
      <c r="T251" s="70"/>
      <c r="U251" s="70"/>
      <c r="V251" s="70" t="s">
        <v>2279</v>
      </c>
      <c r="W251" s="70" t="s">
        <v>2279</v>
      </c>
      <c r="X251" s="70" t="s">
        <v>2279</v>
      </c>
      <c r="Y251" s="70" t="s">
        <v>2279</v>
      </c>
      <c r="Z251" s="70"/>
      <c r="AA251" s="70"/>
      <c r="AB251" s="70"/>
      <c r="AC251" s="70"/>
      <c r="AD251" s="70" t="s">
        <v>2279</v>
      </c>
      <c r="AE251" s="70" t="s">
        <v>2279</v>
      </c>
      <c r="AF251" s="70" t="s">
        <v>2279</v>
      </c>
      <c r="AG251" s="70"/>
      <c r="AH251" s="70"/>
      <c r="AI251" s="70" t="s">
        <v>2279</v>
      </c>
      <c r="AJ251" s="70"/>
      <c r="AK251" s="70"/>
      <c r="AL251" s="70"/>
      <c r="AM251" s="70"/>
      <c r="AN251" s="70"/>
    </row>
    <row r="252" spans="1:40" s="90" customFormat="1" ht="15.75" hidden="1" thickBot="1" x14ac:dyDescent="0.3">
      <c r="A252" s="73" t="s">
        <v>287</v>
      </c>
      <c r="B252" s="73" t="s">
        <v>964</v>
      </c>
      <c r="C252" s="90" t="s">
        <v>1061</v>
      </c>
      <c r="D252" s="73" t="s">
        <v>1086</v>
      </c>
      <c r="E252" s="91" t="s">
        <v>19</v>
      </c>
      <c r="F252" s="85" t="s">
        <v>1299</v>
      </c>
      <c r="G252" s="85"/>
      <c r="H252" s="85" t="s">
        <v>2250</v>
      </c>
      <c r="I252" s="31">
        <f t="shared" si="13"/>
        <v>28</v>
      </c>
      <c r="J252" s="87"/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</row>
    <row r="253" spans="1:40" ht="15.75" hidden="1" thickBot="1" x14ac:dyDescent="0.3">
      <c r="A253" t="s">
        <v>229</v>
      </c>
      <c r="B253" t="s">
        <v>285</v>
      </c>
      <c r="C253" t="s">
        <v>1061</v>
      </c>
      <c r="D253" t="s">
        <v>286</v>
      </c>
      <c r="E253" s="30" t="s">
        <v>15</v>
      </c>
      <c r="F253" s="30" t="s">
        <v>1054</v>
      </c>
      <c r="G253" s="30"/>
      <c r="H253" s="30" t="s">
        <v>1062</v>
      </c>
      <c r="I253" s="31">
        <f t="shared" si="13"/>
        <v>28</v>
      </c>
      <c r="J253" s="146" t="s">
        <v>1813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</row>
    <row r="254" spans="1:40" ht="15.75" hidden="1" thickBot="1" x14ac:dyDescent="0.3">
      <c r="A254" s="69" t="s">
        <v>287</v>
      </c>
      <c r="B254" s="69" t="s">
        <v>288</v>
      </c>
      <c r="C254" t="s">
        <v>1061</v>
      </c>
      <c r="D254" s="69" t="s">
        <v>289</v>
      </c>
      <c r="E254" s="30" t="s">
        <v>15</v>
      </c>
      <c r="F254" s="30" t="s">
        <v>28</v>
      </c>
      <c r="G254" s="30"/>
      <c r="H254" s="152" t="s">
        <v>728</v>
      </c>
      <c r="I254" s="31">
        <f t="shared" si="13"/>
        <v>13</v>
      </c>
      <c r="J254" s="146" t="s">
        <v>1858</v>
      </c>
      <c r="K254" s="31">
        <f t="shared" si="14"/>
        <v>15</v>
      </c>
      <c r="L254" s="32">
        <f t="shared" si="15"/>
        <v>0.4642857142857143</v>
      </c>
      <c r="M254" s="70" t="s">
        <v>2279</v>
      </c>
      <c r="N254" s="70" t="s">
        <v>2279</v>
      </c>
      <c r="O254" s="70" t="s">
        <v>2279</v>
      </c>
      <c r="P254" s="70" t="s">
        <v>2279</v>
      </c>
      <c r="Q254" s="70" t="s">
        <v>2279</v>
      </c>
      <c r="R254" s="70" t="s">
        <v>2279</v>
      </c>
      <c r="S254" s="70"/>
      <c r="T254" s="70"/>
      <c r="U254" s="70" t="s">
        <v>2279</v>
      </c>
      <c r="V254" s="70" t="s">
        <v>2279</v>
      </c>
      <c r="W254" s="70" t="s">
        <v>2279</v>
      </c>
      <c r="X254" s="70" t="s">
        <v>2279</v>
      </c>
      <c r="Y254" s="70" t="s">
        <v>2279</v>
      </c>
      <c r="Z254" s="70"/>
      <c r="AA254" s="70"/>
      <c r="AB254" s="70"/>
      <c r="AC254" s="70"/>
      <c r="AD254" s="70" t="s">
        <v>2279</v>
      </c>
      <c r="AE254" s="70" t="s">
        <v>2279</v>
      </c>
      <c r="AF254" s="70" t="s">
        <v>2279</v>
      </c>
      <c r="AG254" s="70"/>
      <c r="AH254" s="70"/>
      <c r="AI254" s="70" t="s">
        <v>2279</v>
      </c>
      <c r="AJ254" s="70"/>
      <c r="AK254" s="70"/>
      <c r="AL254" s="70"/>
      <c r="AM254" s="70"/>
      <c r="AN254" s="70"/>
    </row>
    <row r="255" spans="1:40" ht="15.75" hidden="1" thickBot="1" x14ac:dyDescent="0.3">
      <c r="A255" s="69" t="s">
        <v>287</v>
      </c>
      <c r="B255" s="69" t="s">
        <v>2292</v>
      </c>
      <c r="C255" t="s">
        <v>1061</v>
      </c>
      <c r="D255" s="69" t="s">
        <v>2293</v>
      </c>
      <c r="E255" s="30" t="s">
        <v>73</v>
      </c>
      <c r="F255" s="85" t="s">
        <v>1299</v>
      </c>
      <c r="G255" s="30"/>
      <c r="H255" s="152" t="s">
        <v>2294</v>
      </c>
      <c r="I255" s="31">
        <f t="shared" si="13"/>
        <v>13</v>
      </c>
      <c r="J255" s="146" t="s">
        <v>2295</v>
      </c>
      <c r="K255" s="31">
        <f t="shared" si="14"/>
        <v>15</v>
      </c>
      <c r="L255" s="32">
        <f t="shared" si="15"/>
        <v>0.4642857142857143</v>
      </c>
      <c r="M255" s="70" t="s">
        <v>2279</v>
      </c>
      <c r="N255" s="70" t="s">
        <v>2279</v>
      </c>
      <c r="O255" s="70" t="s">
        <v>2279</v>
      </c>
      <c r="P255" s="70" t="s">
        <v>2279</v>
      </c>
      <c r="Q255" s="70" t="s">
        <v>2279</v>
      </c>
      <c r="R255" s="70" t="s">
        <v>2279</v>
      </c>
      <c r="S255" s="70"/>
      <c r="T255" s="70"/>
      <c r="U255" s="70" t="s">
        <v>2279</v>
      </c>
      <c r="V255" s="70" t="s">
        <v>2279</v>
      </c>
      <c r="W255" s="70" t="s">
        <v>2279</v>
      </c>
      <c r="X255" s="70" t="s">
        <v>2279</v>
      </c>
      <c r="Y255" s="70" t="s">
        <v>2279</v>
      </c>
      <c r="Z255" s="70"/>
      <c r="AA255" s="70"/>
      <c r="AB255" s="70"/>
      <c r="AC255" s="70"/>
      <c r="AD255" s="70" t="s">
        <v>2279</v>
      </c>
      <c r="AE255" s="70" t="s">
        <v>2279</v>
      </c>
      <c r="AF255" s="70" t="s">
        <v>2279</v>
      </c>
      <c r="AG255" s="70"/>
      <c r="AH255" s="70"/>
      <c r="AI255" s="70" t="s">
        <v>2279</v>
      </c>
      <c r="AJ255" s="70"/>
      <c r="AK255" s="70"/>
      <c r="AL255" s="70"/>
      <c r="AM255" s="70"/>
      <c r="AN255" s="70"/>
    </row>
    <row r="256" spans="1:40" ht="15.75" hidden="1" thickBot="1" x14ac:dyDescent="0.3">
      <c r="A256" t="s">
        <v>287</v>
      </c>
      <c r="B256" t="s">
        <v>2296</v>
      </c>
      <c r="C256" t="s">
        <v>1061</v>
      </c>
      <c r="D256" t="s">
        <v>2293</v>
      </c>
      <c r="E256" s="30" t="s">
        <v>15</v>
      </c>
      <c r="F256" s="85" t="s">
        <v>1299</v>
      </c>
      <c r="G256" s="30"/>
      <c r="H256" s="30" t="s">
        <v>2297</v>
      </c>
      <c r="I256" s="31">
        <f t="shared" si="13"/>
        <v>28</v>
      </c>
      <c r="J256" s="150"/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</row>
    <row r="257" spans="1:40" ht="15.75" hidden="1" thickBot="1" x14ac:dyDescent="0.3">
      <c r="A257" t="s">
        <v>287</v>
      </c>
      <c r="B257" t="s">
        <v>2298</v>
      </c>
      <c r="C257" t="s">
        <v>1061</v>
      </c>
      <c r="D257" t="s">
        <v>2299</v>
      </c>
      <c r="E257" s="30" t="s">
        <v>15</v>
      </c>
      <c r="F257" s="85" t="s">
        <v>1299</v>
      </c>
      <c r="G257" s="30"/>
      <c r="H257" s="30" t="s">
        <v>2300</v>
      </c>
      <c r="I257" s="31">
        <f t="shared" si="13"/>
        <v>28</v>
      </c>
      <c r="J257" s="150"/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</row>
    <row r="258" spans="1:40" ht="15.75" hidden="1" thickBot="1" x14ac:dyDescent="0.3">
      <c r="A258" t="s">
        <v>12</v>
      </c>
      <c r="B258" s="33" t="s">
        <v>13</v>
      </c>
      <c r="C258" t="s">
        <v>1061</v>
      </c>
      <c r="D258" t="s">
        <v>14</v>
      </c>
      <c r="E258" s="30" t="s">
        <v>15</v>
      </c>
      <c r="F258" s="30" t="s">
        <v>1054</v>
      </c>
      <c r="G258" s="30"/>
      <c r="H258" s="30" t="s">
        <v>729</v>
      </c>
      <c r="I258" s="31">
        <f t="shared" si="13"/>
        <v>28</v>
      </c>
      <c r="J258" s="87"/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</row>
    <row r="259" spans="1:40" ht="15.75" hidden="1" thickBot="1" x14ac:dyDescent="0.3">
      <c r="A259" t="s">
        <v>375</v>
      </c>
      <c r="B259" t="s">
        <v>965</v>
      </c>
      <c r="C259" t="s">
        <v>1061</v>
      </c>
      <c r="D259" t="s">
        <v>966</v>
      </c>
      <c r="E259" s="30" t="s">
        <v>73</v>
      </c>
      <c r="F259" s="30" t="s">
        <v>28</v>
      </c>
      <c r="G259" s="30"/>
      <c r="H259" s="30" t="s">
        <v>1215</v>
      </c>
      <c r="I259" s="31">
        <f t="shared" si="13"/>
        <v>28</v>
      </c>
      <c r="J259" s="146" t="s">
        <v>1859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</row>
    <row r="260" spans="1:40" ht="15.75" hidden="1" thickBot="1" x14ac:dyDescent="0.3">
      <c r="A260" t="s">
        <v>967</v>
      </c>
      <c r="B260" t="s">
        <v>968</v>
      </c>
      <c r="C260" t="s">
        <v>1061</v>
      </c>
      <c r="D260" t="s">
        <v>966</v>
      </c>
      <c r="E260" s="30" t="s">
        <v>73</v>
      </c>
      <c r="F260" s="30" t="s">
        <v>28</v>
      </c>
      <c r="G260" s="30"/>
      <c r="H260" s="30" t="s">
        <v>1216</v>
      </c>
      <c r="I260" s="31">
        <f t="shared" si="13"/>
        <v>28</v>
      </c>
      <c r="J260" s="146" t="s">
        <v>1860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</row>
    <row r="261" spans="1:40" s="73" customFormat="1" ht="15.75" hidden="1" thickBot="1" x14ac:dyDescent="0.3">
      <c r="A261" s="73" t="s">
        <v>17</v>
      </c>
      <c r="B261" s="143" t="s">
        <v>18</v>
      </c>
      <c r="C261" s="73" t="s">
        <v>1061</v>
      </c>
      <c r="D261" s="73" t="s">
        <v>1087</v>
      </c>
      <c r="E261" s="85" t="s">
        <v>19</v>
      </c>
      <c r="F261" s="85" t="s">
        <v>1299</v>
      </c>
      <c r="G261" s="85"/>
      <c r="H261" s="85" t="s">
        <v>1374</v>
      </c>
      <c r="I261" s="141">
        <f t="shared" si="13"/>
        <v>28</v>
      </c>
      <c r="J261" s="146" t="s">
        <v>1861</v>
      </c>
      <c r="K261" s="141">
        <f t="shared" si="14"/>
        <v>0</v>
      </c>
      <c r="L261" s="14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</row>
    <row r="262" spans="1:40" s="73" customFormat="1" ht="15.75" hidden="1" thickBot="1" x14ac:dyDescent="0.3">
      <c r="A262" s="73" t="s">
        <v>17</v>
      </c>
      <c r="B262" s="143" t="s">
        <v>21</v>
      </c>
      <c r="C262" s="73" t="s">
        <v>1061</v>
      </c>
      <c r="D262" s="73" t="s">
        <v>22</v>
      </c>
      <c r="E262" s="85" t="s">
        <v>19</v>
      </c>
      <c r="F262" s="85" t="s">
        <v>1299</v>
      </c>
      <c r="G262" s="85"/>
      <c r="H262" s="85" t="s">
        <v>1375</v>
      </c>
      <c r="I262" s="141">
        <f t="shared" si="13"/>
        <v>28</v>
      </c>
      <c r="J262" s="146" t="s">
        <v>1862</v>
      </c>
      <c r="K262" s="141">
        <f t="shared" si="14"/>
        <v>0</v>
      </c>
      <c r="L262" s="14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</row>
    <row r="263" spans="1:40" ht="15.75" hidden="1" thickBot="1" x14ac:dyDescent="0.3">
      <c r="A263" t="s">
        <v>17</v>
      </c>
      <c r="B263" s="33" t="s">
        <v>23</v>
      </c>
      <c r="C263" t="s">
        <v>1061</v>
      </c>
      <c r="D263" t="s">
        <v>609</v>
      </c>
      <c r="E263" s="30" t="s">
        <v>15</v>
      </c>
      <c r="F263" s="30" t="s">
        <v>1054</v>
      </c>
      <c r="G263" s="30" t="s">
        <v>1252</v>
      </c>
      <c r="H263" s="30" t="s">
        <v>730</v>
      </c>
      <c r="I263" s="31">
        <f t="shared" si="13"/>
        <v>28</v>
      </c>
      <c r="J263" s="146" t="s">
        <v>1863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</row>
    <row r="264" spans="1:40" ht="13.5" hidden="1" customHeight="1" thickBot="1" x14ac:dyDescent="0.3">
      <c r="A264" t="s">
        <v>17</v>
      </c>
      <c r="B264" s="33" t="s">
        <v>24</v>
      </c>
      <c r="C264" t="s">
        <v>1061</v>
      </c>
      <c r="D264" t="s">
        <v>25</v>
      </c>
      <c r="E264" s="30" t="s">
        <v>15</v>
      </c>
      <c r="F264" s="30" t="s">
        <v>20</v>
      </c>
      <c r="G264" s="30"/>
      <c r="H264" s="30" t="s">
        <v>731</v>
      </c>
      <c r="I264" s="31">
        <f t="shared" si="13"/>
        <v>28</v>
      </c>
      <c r="J264" s="87"/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</row>
    <row r="265" spans="1:40" ht="18" hidden="1" customHeight="1" thickBot="1" x14ac:dyDescent="0.3">
      <c r="A265" s="69"/>
      <c r="B265" t="s">
        <v>1229</v>
      </c>
      <c r="C265" t="s">
        <v>1060</v>
      </c>
      <c r="D265" t="s">
        <v>1230</v>
      </c>
      <c r="E265" t="s">
        <v>19</v>
      </c>
      <c r="F265" t="s">
        <v>28</v>
      </c>
      <c r="G265"/>
      <c r="H265" s="30" t="s">
        <v>1270</v>
      </c>
      <c r="I265" s="31">
        <f t="shared" si="13"/>
        <v>27</v>
      </c>
      <c r="J265" s="146" t="s">
        <v>1864</v>
      </c>
      <c r="K265" s="31">
        <f t="shared" si="14"/>
        <v>1</v>
      </c>
      <c r="L265" s="32">
        <f t="shared" si="15"/>
        <v>0.9642857142857143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 t="s">
        <v>2279</v>
      </c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</row>
    <row r="266" spans="1:40" ht="15" hidden="1" customHeight="1" thickBot="1" x14ac:dyDescent="0.3">
      <c r="A266" s="73"/>
      <c r="B266" t="s">
        <v>1314</v>
      </c>
      <c r="C266" t="s">
        <v>1060</v>
      </c>
      <c r="D266" t="s">
        <v>1317</v>
      </c>
      <c r="E266" s="30" t="s">
        <v>15</v>
      </c>
      <c r="F266" s="30" t="s">
        <v>28</v>
      </c>
      <c r="G266"/>
      <c r="H266" s="30" t="s">
        <v>1329</v>
      </c>
      <c r="I266" s="31">
        <f t="shared" si="13"/>
        <v>23</v>
      </c>
      <c r="J266" s="146" t="s">
        <v>1865</v>
      </c>
      <c r="K266" s="31">
        <f t="shared" si="14"/>
        <v>5</v>
      </c>
      <c r="L266" s="32">
        <f t="shared" si="15"/>
        <v>0.8214285714285714</v>
      </c>
      <c r="M266" s="70"/>
      <c r="N266" s="70" t="s">
        <v>2279</v>
      </c>
      <c r="O266" s="70" t="s">
        <v>2279</v>
      </c>
      <c r="P266" s="70" t="s">
        <v>2279</v>
      </c>
      <c r="Q266" s="70" t="s">
        <v>2279</v>
      </c>
      <c r="R266" s="70" t="s">
        <v>2279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</row>
    <row r="267" spans="1:40" s="73" customFormat="1" ht="15.75" hidden="1" thickBot="1" x14ac:dyDescent="0.3">
      <c r="A267" s="73" t="s">
        <v>290</v>
      </c>
      <c r="B267" s="73" t="s">
        <v>969</v>
      </c>
      <c r="C267" s="73" t="s">
        <v>1060</v>
      </c>
      <c r="D267" s="73" t="s">
        <v>291</v>
      </c>
      <c r="E267" s="85" t="s">
        <v>73</v>
      </c>
      <c r="F267" s="85" t="s">
        <v>1299</v>
      </c>
      <c r="G267" s="85"/>
      <c r="H267" s="85" t="s">
        <v>732</v>
      </c>
      <c r="I267" s="141">
        <f t="shared" si="13"/>
        <v>28</v>
      </c>
      <c r="J267" s="146" t="s">
        <v>1866</v>
      </c>
      <c r="K267" s="141">
        <f t="shared" si="14"/>
        <v>0</v>
      </c>
      <c r="L267" s="14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</row>
    <row r="268" spans="1:40" ht="15.75" hidden="1" thickBot="1" x14ac:dyDescent="0.3">
      <c r="A268" t="s">
        <v>267</v>
      </c>
      <c r="B268" t="s">
        <v>292</v>
      </c>
      <c r="C268" t="s">
        <v>1060</v>
      </c>
      <c r="D268" t="s">
        <v>293</v>
      </c>
      <c r="E268" s="30" t="s">
        <v>73</v>
      </c>
      <c r="F268" s="30" t="s">
        <v>28</v>
      </c>
      <c r="G268" s="30"/>
      <c r="H268" s="30" t="s">
        <v>1058</v>
      </c>
      <c r="I268" s="31">
        <f t="shared" si="13"/>
        <v>28</v>
      </c>
      <c r="J268" s="146" t="s">
        <v>1867</v>
      </c>
      <c r="K268" s="31">
        <f t="shared" si="14"/>
        <v>0</v>
      </c>
      <c r="L268" s="32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</row>
    <row r="269" spans="1:40" ht="15.75" hidden="1" thickBot="1" x14ac:dyDescent="0.3">
      <c r="A269" t="s">
        <v>294</v>
      </c>
      <c r="B269" t="s">
        <v>970</v>
      </c>
      <c r="C269" t="s">
        <v>1060</v>
      </c>
      <c r="D269" t="s">
        <v>295</v>
      </c>
      <c r="E269" s="30" t="s">
        <v>19</v>
      </c>
      <c r="F269" s="30" t="s">
        <v>28</v>
      </c>
      <c r="G269" s="30"/>
      <c r="H269" s="30" t="s">
        <v>733</v>
      </c>
      <c r="I269" s="31">
        <f t="shared" si="13"/>
        <v>28</v>
      </c>
      <c r="J269" s="146" t="s">
        <v>1868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</row>
    <row r="270" spans="1:40" ht="15.75" hidden="1" thickBot="1" x14ac:dyDescent="0.3">
      <c r="A270" t="s">
        <v>290</v>
      </c>
      <c r="B270" t="s">
        <v>296</v>
      </c>
      <c r="C270" t="s">
        <v>1060</v>
      </c>
      <c r="D270" t="s">
        <v>297</v>
      </c>
      <c r="E270" s="30" t="s">
        <v>19</v>
      </c>
      <c r="F270" s="30" t="s">
        <v>28</v>
      </c>
      <c r="G270" s="30"/>
      <c r="H270" s="30" t="s">
        <v>734</v>
      </c>
      <c r="I270" s="31">
        <f t="shared" si="13"/>
        <v>28</v>
      </c>
      <c r="J270" s="146" t="s">
        <v>1855</v>
      </c>
      <c r="K270" s="31">
        <f t="shared" si="14"/>
        <v>0</v>
      </c>
      <c r="L270" s="32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</row>
    <row r="271" spans="1:40" ht="15.75" hidden="1" thickBot="1" x14ac:dyDescent="0.3">
      <c r="A271" t="s">
        <v>294</v>
      </c>
      <c r="B271" t="s">
        <v>971</v>
      </c>
      <c r="C271" t="s">
        <v>1060</v>
      </c>
      <c r="D271" t="s">
        <v>298</v>
      </c>
      <c r="E271" s="30" t="s">
        <v>19</v>
      </c>
      <c r="F271" s="30" t="s">
        <v>28</v>
      </c>
      <c r="G271" s="30"/>
      <c r="H271" s="30" t="s">
        <v>735</v>
      </c>
      <c r="I271" s="31">
        <f t="shared" si="13"/>
        <v>28</v>
      </c>
      <c r="J271" s="146" t="s">
        <v>1869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</row>
    <row r="272" spans="1:40" ht="15.75" hidden="1" thickBot="1" x14ac:dyDescent="0.3">
      <c r="A272" t="s">
        <v>294</v>
      </c>
      <c r="B272" t="s">
        <v>299</v>
      </c>
      <c r="C272" t="s">
        <v>1060</v>
      </c>
      <c r="D272" t="s">
        <v>300</v>
      </c>
      <c r="E272" s="30" t="s">
        <v>15</v>
      </c>
      <c r="F272" s="30" t="s">
        <v>1054</v>
      </c>
      <c r="G272" s="30"/>
      <c r="H272" s="30" t="s">
        <v>736</v>
      </c>
      <c r="I272" s="31">
        <f t="shared" si="13"/>
        <v>16</v>
      </c>
      <c r="J272" s="146" t="s">
        <v>1870</v>
      </c>
      <c r="K272" s="31">
        <f t="shared" si="14"/>
        <v>12</v>
      </c>
      <c r="L272" s="32">
        <f t="shared" si="15"/>
        <v>0.5714285714285714</v>
      </c>
      <c r="M272" s="70" t="s">
        <v>2279</v>
      </c>
      <c r="N272" s="70" t="s">
        <v>2279</v>
      </c>
      <c r="O272" s="70" t="s">
        <v>2279</v>
      </c>
      <c r="P272" s="70" t="s">
        <v>2279</v>
      </c>
      <c r="Q272" s="70" t="s">
        <v>2279</v>
      </c>
      <c r="R272" s="70" t="s">
        <v>2279</v>
      </c>
      <c r="S272" s="70"/>
      <c r="T272" s="70"/>
      <c r="U272" s="70" t="s">
        <v>2279</v>
      </c>
      <c r="V272" s="70"/>
      <c r="W272" s="70"/>
      <c r="X272" s="70" t="s">
        <v>2279</v>
      </c>
      <c r="Y272" s="70" t="s">
        <v>2279</v>
      </c>
      <c r="Z272" s="70"/>
      <c r="AA272" s="70"/>
      <c r="AB272" s="70"/>
      <c r="AC272" s="70"/>
      <c r="AD272" s="70" t="s">
        <v>2279</v>
      </c>
      <c r="AE272" s="70" t="s">
        <v>2279</v>
      </c>
      <c r="AF272" s="70" t="s">
        <v>2279</v>
      </c>
      <c r="AG272" s="70"/>
      <c r="AH272" s="70"/>
      <c r="AI272" s="70"/>
      <c r="AJ272" s="70"/>
      <c r="AK272" s="70"/>
      <c r="AL272" s="70"/>
      <c r="AM272" s="70"/>
      <c r="AN272" s="70"/>
    </row>
    <row r="273" spans="1:40" s="73" customFormat="1" ht="15.75" hidden="1" thickBot="1" x14ac:dyDescent="0.3">
      <c r="A273" s="73" t="s">
        <v>290</v>
      </c>
      <c r="B273" s="73" t="s">
        <v>1243</v>
      </c>
      <c r="C273" s="73" t="s">
        <v>1060</v>
      </c>
      <c r="D273" s="73" t="s">
        <v>1244</v>
      </c>
      <c r="E273" s="85" t="s">
        <v>19</v>
      </c>
      <c r="F273" s="85" t="s">
        <v>1299</v>
      </c>
      <c r="G273" s="85"/>
      <c r="H273" s="85" t="s">
        <v>1245</v>
      </c>
      <c r="I273" s="141">
        <f t="shared" si="13"/>
        <v>28</v>
      </c>
      <c r="J273" s="146" t="s">
        <v>1871</v>
      </c>
      <c r="K273" s="141">
        <f t="shared" si="14"/>
        <v>0</v>
      </c>
      <c r="L273" s="14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</row>
    <row r="274" spans="1:40" ht="15.75" hidden="1" thickBot="1" x14ac:dyDescent="0.3">
      <c r="A274" t="s">
        <v>290</v>
      </c>
      <c r="B274" t="s">
        <v>1282</v>
      </c>
      <c r="C274" t="s">
        <v>1060</v>
      </c>
      <c r="D274" t="s">
        <v>1283</v>
      </c>
      <c r="E274" s="30" t="s">
        <v>19</v>
      </c>
      <c r="F274" s="30" t="s">
        <v>1054</v>
      </c>
      <c r="G274" s="30"/>
      <c r="H274" s="30" t="s">
        <v>1357</v>
      </c>
      <c r="I274" s="31">
        <f t="shared" si="13"/>
        <v>28</v>
      </c>
      <c r="J274" s="146" t="s">
        <v>1872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</row>
    <row r="275" spans="1:40" ht="15.75" hidden="1" thickBot="1" x14ac:dyDescent="0.3">
      <c r="A275" t="s">
        <v>301</v>
      </c>
      <c r="B275" t="s">
        <v>302</v>
      </c>
      <c r="C275" t="s">
        <v>1060</v>
      </c>
      <c r="D275" t="s">
        <v>303</v>
      </c>
      <c r="E275" s="30" t="s">
        <v>73</v>
      </c>
      <c r="F275" s="30" t="s">
        <v>28</v>
      </c>
      <c r="G275" s="30"/>
      <c r="H275" s="30" t="s">
        <v>737</v>
      </c>
      <c r="I275" s="31">
        <f t="shared" si="13"/>
        <v>28</v>
      </c>
      <c r="J275" s="146" t="s">
        <v>1873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</row>
    <row r="276" spans="1:40" ht="15.75" hidden="1" thickBot="1" x14ac:dyDescent="0.3">
      <c r="A276" t="s">
        <v>301</v>
      </c>
      <c r="B276" t="s">
        <v>304</v>
      </c>
      <c r="C276" t="s">
        <v>1060</v>
      </c>
      <c r="D276" t="s">
        <v>305</v>
      </c>
      <c r="E276" s="30" t="s">
        <v>19</v>
      </c>
      <c r="F276" s="30" t="s">
        <v>28</v>
      </c>
      <c r="G276" s="30"/>
      <c r="H276" s="30" t="s">
        <v>738</v>
      </c>
      <c r="I276" s="31">
        <f t="shared" si="13"/>
        <v>28</v>
      </c>
      <c r="J276" s="149" t="s">
        <v>1874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</row>
    <row r="277" spans="1:40" ht="15.75" hidden="1" thickBot="1" x14ac:dyDescent="0.3">
      <c r="A277" t="s">
        <v>301</v>
      </c>
      <c r="B277" t="s">
        <v>306</v>
      </c>
      <c r="C277" t="s">
        <v>1060</v>
      </c>
      <c r="D277" t="s">
        <v>307</v>
      </c>
      <c r="E277" s="30" t="s">
        <v>19</v>
      </c>
      <c r="F277" s="30" t="s">
        <v>1054</v>
      </c>
      <c r="G277" s="30"/>
      <c r="H277" s="30" t="s">
        <v>1494</v>
      </c>
      <c r="I277" s="31">
        <f t="shared" si="13"/>
        <v>28</v>
      </c>
      <c r="J277" s="146" t="s">
        <v>1875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</row>
    <row r="278" spans="1:40" s="73" customFormat="1" ht="15.75" hidden="1" thickBot="1" x14ac:dyDescent="0.3">
      <c r="A278" s="73" t="s">
        <v>301</v>
      </c>
      <c r="B278" s="73" t="s">
        <v>308</v>
      </c>
      <c r="C278" s="73" t="s">
        <v>1060</v>
      </c>
      <c r="D278" s="73" t="s">
        <v>309</v>
      </c>
      <c r="E278" s="85" t="s">
        <v>19</v>
      </c>
      <c r="F278" s="85" t="s">
        <v>1299</v>
      </c>
      <c r="G278" s="85"/>
      <c r="H278" s="85" t="s">
        <v>1495</v>
      </c>
      <c r="I278" s="141">
        <f t="shared" si="13"/>
        <v>27</v>
      </c>
      <c r="J278" s="146" t="s">
        <v>1876</v>
      </c>
      <c r="K278" s="141">
        <f t="shared" si="14"/>
        <v>1</v>
      </c>
      <c r="L278" s="142">
        <f t="shared" si="15"/>
        <v>0.9642857142857143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 t="s">
        <v>2279</v>
      </c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</row>
    <row r="279" spans="1:40" ht="15.75" hidden="1" thickBot="1" x14ac:dyDescent="0.3">
      <c r="A279" t="s">
        <v>301</v>
      </c>
      <c r="B279" t="s">
        <v>1489</v>
      </c>
      <c r="C279" t="s">
        <v>1060</v>
      </c>
      <c r="D279" t="s">
        <v>1488</v>
      </c>
      <c r="E279" s="30" t="s">
        <v>73</v>
      </c>
      <c r="F279" s="30" t="s">
        <v>28</v>
      </c>
      <c r="G279" s="30"/>
      <c r="H279" s="30" t="s">
        <v>1490</v>
      </c>
      <c r="I279" s="141">
        <f t="shared" si="13"/>
        <v>28</v>
      </c>
      <c r="J279" s="146" t="s">
        <v>1877</v>
      </c>
      <c r="K279" s="141">
        <f t="shared" si="14"/>
        <v>0</v>
      </c>
      <c r="L279" s="14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</row>
    <row r="280" spans="1:40" ht="15.75" hidden="1" thickBot="1" x14ac:dyDescent="0.3">
      <c r="A280" t="s">
        <v>301</v>
      </c>
      <c r="B280" t="s">
        <v>1491</v>
      </c>
      <c r="C280" t="s">
        <v>1060</v>
      </c>
      <c r="D280" t="s">
        <v>1488</v>
      </c>
      <c r="E280" s="30" t="s">
        <v>73</v>
      </c>
      <c r="F280" s="30" t="s">
        <v>28</v>
      </c>
      <c r="G280" s="30"/>
      <c r="H280" s="30" t="s">
        <v>1496</v>
      </c>
      <c r="I280" s="141">
        <f t="shared" si="13"/>
        <v>28</v>
      </c>
      <c r="J280" s="146" t="s">
        <v>1878</v>
      </c>
      <c r="K280" s="141">
        <f t="shared" si="14"/>
        <v>0</v>
      </c>
      <c r="L280" s="14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</row>
    <row r="281" spans="1:40" ht="15.75" hidden="1" thickBot="1" x14ac:dyDescent="0.3">
      <c r="A281" t="s">
        <v>2204</v>
      </c>
      <c r="B281" t="s">
        <v>2205</v>
      </c>
      <c r="C281" t="s">
        <v>1061</v>
      </c>
      <c r="D281" t="s">
        <v>2206</v>
      </c>
      <c r="E281" s="30" t="s">
        <v>19</v>
      </c>
      <c r="F281" s="85" t="s">
        <v>1299</v>
      </c>
      <c r="G281" s="30"/>
      <c r="H281" s="30" t="s">
        <v>2207</v>
      </c>
      <c r="I281" s="141">
        <f t="shared" si="13"/>
        <v>28</v>
      </c>
      <c r="J281" s="146" t="s">
        <v>2208</v>
      </c>
      <c r="K281" s="141">
        <f t="shared" si="14"/>
        <v>0</v>
      </c>
      <c r="L281" s="14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</row>
    <row r="282" spans="1:40" ht="15.75" hidden="1" thickBot="1" x14ac:dyDescent="0.3">
      <c r="A282" t="s">
        <v>2204</v>
      </c>
      <c r="B282" t="s">
        <v>2209</v>
      </c>
      <c r="C282" t="s">
        <v>1061</v>
      </c>
      <c r="D282" t="s">
        <v>2211</v>
      </c>
      <c r="E282" s="30" t="s">
        <v>19</v>
      </c>
      <c r="F282" s="85" t="s">
        <v>1299</v>
      </c>
      <c r="G282" s="30"/>
      <c r="H282" s="30" t="s">
        <v>2210</v>
      </c>
      <c r="I282" s="141">
        <f t="shared" si="13"/>
        <v>28</v>
      </c>
      <c r="J282" s="146" t="s">
        <v>2212</v>
      </c>
      <c r="K282" s="141">
        <f t="shared" si="14"/>
        <v>0</v>
      </c>
      <c r="L282" s="14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</row>
    <row r="283" spans="1:40" ht="15.75" hidden="1" thickBot="1" x14ac:dyDescent="0.3">
      <c r="A283" t="s">
        <v>310</v>
      </c>
      <c r="B283" t="s">
        <v>972</v>
      </c>
      <c r="C283" t="s">
        <v>1060</v>
      </c>
      <c r="D283" t="s">
        <v>313</v>
      </c>
      <c r="E283" s="30" t="s">
        <v>19</v>
      </c>
      <c r="F283" s="30" t="s">
        <v>28</v>
      </c>
      <c r="G283" s="30"/>
      <c r="H283" s="30" t="s">
        <v>739</v>
      </c>
      <c r="I283" s="31">
        <f t="shared" si="13"/>
        <v>27</v>
      </c>
      <c r="J283" s="146" t="s">
        <v>1879</v>
      </c>
      <c r="K283" s="31">
        <f t="shared" si="14"/>
        <v>1</v>
      </c>
      <c r="L283" s="32">
        <f t="shared" si="15"/>
        <v>0.9642857142857143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 t="s">
        <v>2279</v>
      </c>
      <c r="AG283" s="70"/>
      <c r="AH283" s="70"/>
      <c r="AI283" s="70"/>
      <c r="AJ283" s="70"/>
      <c r="AK283" s="70"/>
      <c r="AL283" s="70"/>
      <c r="AM283" s="70"/>
      <c r="AN283" s="70"/>
    </row>
    <row r="284" spans="1:40" s="73" customFormat="1" ht="15.75" hidden="1" thickBot="1" x14ac:dyDescent="0.3">
      <c r="A284" s="73" t="s">
        <v>310</v>
      </c>
      <c r="B284" s="73" t="s">
        <v>314</v>
      </c>
      <c r="C284" s="73" t="s">
        <v>1060</v>
      </c>
      <c r="D284" s="73" t="s">
        <v>315</v>
      </c>
      <c r="E284" s="85" t="s">
        <v>19</v>
      </c>
      <c r="F284" s="85" t="s">
        <v>1299</v>
      </c>
      <c r="G284" s="85"/>
      <c r="H284" s="85" t="s">
        <v>1369</v>
      </c>
      <c r="I284" s="141">
        <f t="shared" si="13"/>
        <v>28</v>
      </c>
      <c r="J284" s="146" t="s">
        <v>1880</v>
      </c>
      <c r="K284" s="141">
        <f t="shared" si="14"/>
        <v>0</v>
      </c>
      <c r="L284" s="14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</row>
    <row r="285" spans="1:40" ht="15.75" hidden="1" thickBot="1" x14ac:dyDescent="0.3">
      <c r="A285" t="s">
        <v>310</v>
      </c>
      <c r="B285" t="s">
        <v>316</v>
      </c>
      <c r="C285" t="s">
        <v>1060</v>
      </c>
      <c r="D285" t="s">
        <v>317</v>
      </c>
      <c r="E285" s="30" t="s">
        <v>19</v>
      </c>
      <c r="F285" s="30" t="s">
        <v>1054</v>
      </c>
      <c r="G285" s="30" t="s">
        <v>1253</v>
      </c>
      <c r="H285" s="30" t="s">
        <v>740</v>
      </c>
      <c r="I285" s="31">
        <f t="shared" si="13"/>
        <v>28</v>
      </c>
      <c r="J285" s="146" t="s">
        <v>1881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</row>
    <row r="286" spans="1:40" s="73" customFormat="1" ht="15.75" hidden="1" thickBot="1" x14ac:dyDescent="0.3">
      <c r="A286" s="73" t="s">
        <v>310</v>
      </c>
      <c r="B286" s="73" t="s">
        <v>318</v>
      </c>
      <c r="C286" s="73" t="s">
        <v>1060</v>
      </c>
      <c r="D286" s="73" t="s">
        <v>319</v>
      </c>
      <c r="E286" s="85" t="s">
        <v>19</v>
      </c>
      <c r="F286" s="85" t="s">
        <v>1299</v>
      </c>
      <c r="G286" s="85"/>
      <c r="H286" s="85" t="s">
        <v>1359</v>
      </c>
      <c r="I286" s="141">
        <f t="shared" si="13"/>
        <v>27</v>
      </c>
      <c r="J286" s="146" t="s">
        <v>1882</v>
      </c>
      <c r="K286" s="141">
        <f t="shared" si="14"/>
        <v>1</v>
      </c>
      <c r="L286" s="142">
        <f t="shared" si="15"/>
        <v>0.9642857142857143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 t="s">
        <v>2279</v>
      </c>
      <c r="AG286" s="70"/>
      <c r="AH286" s="70"/>
      <c r="AI286" s="70"/>
      <c r="AJ286" s="70"/>
      <c r="AK286" s="70"/>
      <c r="AL286" s="70"/>
      <c r="AM286" s="70"/>
      <c r="AN286" s="70"/>
    </row>
    <row r="287" spans="1:40" s="73" customFormat="1" ht="15.75" hidden="1" thickBot="1" x14ac:dyDescent="0.3">
      <c r="A287" s="73" t="s">
        <v>320</v>
      </c>
      <c r="B287" s="73" t="s">
        <v>321</v>
      </c>
      <c r="C287" s="73" t="s">
        <v>1060</v>
      </c>
      <c r="D287" s="73" t="s">
        <v>322</v>
      </c>
      <c r="E287" s="85" t="s">
        <v>19</v>
      </c>
      <c r="F287" s="85" t="s">
        <v>1299</v>
      </c>
      <c r="G287" s="85"/>
      <c r="H287" s="144" t="s">
        <v>1360</v>
      </c>
      <c r="I287" s="141">
        <f t="shared" si="13"/>
        <v>24</v>
      </c>
      <c r="J287" s="146" t="s">
        <v>1883</v>
      </c>
      <c r="K287" s="141">
        <f t="shared" si="14"/>
        <v>4</v>
      </c>
      <c r="L287" s="142">
        <f t="shared" si="15"/>
        <v>0.8571428571428571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 t="s">
        <v>2279</v>
      </c>
      <c r="AE287" s="70" t="s">
        <v>2279</v>
      </c>
      <c r="AF287" s="70" t="s">
        <v>2279</v>
      </c>
      <c r="AG287" s="70"/>
      <c r="AH287" s="70"/>
      <c r="AI287" s="70" t="s">
        <v>2279</v>
      </c>
      <c r="AJ287" s="70"/>
      <c r="AK287" s="70"/>
      <c r="AL287" s="70"/>
      <c r="AM287" s="70"/>
      <c r="AN287" s="70"/>
    </row>
    <row r="288" spans="1:40" ht="15.75" hidden="1" thickBot="1" x14ac:dyDescent="0.3">
      <c r="A288" t="s">
        <v>52</v>
      </c>
      <c r="B288" t="s">
        <v>323</v>
      </c>
      <c r="C288" t="s">
        <v>1060</v>
      </c>
      <c r="D288" t="s">
        <v>324</v>
      </c>
      <c r="E288" s="30" t="s">
        <v>19</v>
      </c>
      <c r="F288" s="30" t="s">
        <v>28</v>
      </c>
      <c r="G288" s="30"/>
      <c r="H288" s="30" t="s">
        <v>741</v>
      </c>
      <c r="I288" s="31">
        <f t="shared" si="13"/>
        <v>28</v>
      </c>
      <c r="J288" s="146" t="s">
        <v>1685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</row>
    <row r="289" spans="1:40" ht="15.75" hidden="1" thickBot="1" x14ac:dyDescent="0.3">
      <c r="A289" t="s">
        <v>310</v>
      </c>
      <c r="B289" t="s">
        <v>325</v>
      </c>
      <c r="C289" t="s">
        <v>1060</v>
      </c>
      <c r="D289" t="s">
        <v>326</v>
      </c>
      <c r="E289" s="30" t="s">
        <v>19</v>
      </c>
      <c r="F289" s="30" t="s">
        <v>28</v>
      </c>
      <c r="G289" s="30"/>
      <c r="H289" s="30" t="s">
        <v>742</v>
      </c>
      <c r="I289" s="31">
        <f t="shared" si="13"/>
        <v>25</v>
      </c>
      <c r="J289" s="146" t="s">
        <v>1884</v>
      </c>
      <c r="K289" s="31">
        <f t="shared" si="14"/>
        <v>3</v>
      </c>
      <c r="L289" s="32">
        <f t="shared" si="15"/>
        <v>0.8928571428571429</v>
      </c>
      <c r="M289" s="70" t="s">
        <v>2279</v>
      </c>
      <c r="N289" s="70" t="s">
        <v>2279</v>
      </c>
      <c r="O289" s="70" t="s">
        <v>2279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</row>
    <row r="290" spans="1:40" s="73" customFormat="1" ht="15.75" hidden="1" thickBot="1" x14ac:dyDescent="0.3">
      <c r="A290" s="73" t="s">
        <v>310</v>
      </c>
      <c r="B290" s="73" t="s">
        <v>311</v>
      </c>
      <c r="C290" s="73" t="s">
        <v>1060</v>
      </c>
      <c r="D290" s="73" t="s">
        <v>312</v>
      </c>
      <c r="E290" s="85" t="s">
        <v>15</v>
      </c>
      <c r="F290" s="85" t="s">
        <v>1299</v>
      </c>
      <c r="G290" s="85"/>
      <c r="H290" s="85" t="s">
        <v>1368</v>
      </c>
      <c r="I290" s="141">
        <f t="shared" si="13"/>
        <v>28</v>
      </c>
      <c r="J290" s="146" t="s">
        <v>1885</v>
      </c>
      <c r="K290" s="141">
        <f t="shared" si="14"/>
        <v>0</v>
      </c>
      <c r="L290" s="14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</row>
    <row r="291" spans="1:40" s="73" customFormat="1" ht="15.75" hidden="1" thickBot="1" x14ac:dyDescent="0.3">
      <c r="A291" s="73" t="s">
        <v>310</v>
      </c>
      <c r="B291" s="73" t="s">
        <v>327</v>
      </c>
      <c r="C291" s="73" t="s">
        <v>1060</v>
      </c>
      <c r="D291" s="73" t="s">
        <v>328</v>
      </c>
      <c r="E291" s="85" t="s">
        <v>15</v>
      </c>
      <c r="F291" s="85" t="s">
        <v>1299</v>
      </c>
      <c r="G291" s="85"/>
      <c r="H291" s="85" t="s">
        <v>743</v>
      </c>
      <c r="I291" s="141">
        <f t="shared" si="13"/>
        <v>21</v>
      </c>
      <c r="J291" s="146" t="s">
        <v>1886</v>
      </c>
      <c r="K291" s="141">
        <f t="shared" si="14"/>
        <v>7</v>
      </c>
      <c r="L291" s="142">
        <f t="shared" si="15"/>
        <v>0.75</v>
      </c>
      <c r="M291" s="70" t="s">
        <v>2279</v>
      </c>
      <c r="N291" s="70" t="s">
        <v>2279</v>
      </c>
      <c r="O291" s="70" t="s">
        <v>2279</v>
      </c>
      <c r="P291" s="70"/>
      <c r="Q291" s="70"/>
      <c r="R291" s="70"/>
      <c r="S291" s="70"/>
      <c r="T291" s="70"/>
      <c r="U291" s="70"/>
      <c r="V291" s="70"/>
      <c r="W291" s="70"/>
      <c r="X291" s="70" t="s">
        <v>2279</v>
      </c>
      <c r="Y291" s="70"/>
      <c r="Z291" s="70"/>
      <c r="AA291" s="70"/>
      <c r="AB291" s="70"/>
      <c r="AC291" s="70"/>
      <c r="AD291" s="70" t="s">
        <v>2279</v>
      </c>
      <c r="AE291" s="70" t="s">
        <v>2279</v>
      </c>
      <c r="AF291" s="70" t="s">
        <v>2279</v>
      </c>
      <c r="AG291" s="70"/>
      <c r="AH291" s="70"/>
      <c r="AI291" s="70"/>
      <c r="AJ291" s="70"/>
      <c r="AK291" s="70"/>
      <c r="AL291" s="70"/>
      <c r="AM291" s="70"/>
      <c r="AN291" s="70"/>
    </row>
    <row r="292" spans="1:40" s="73" customFormat="1" ht="14.25" hidden="1" customHeight="1" thickBot="1" x14ac:dyDescent="0.3">
      <c r="A292" s="73" t="s">
        <v>310</v>
      </c>
      <c r="B292" s="73" t="s">
        <v>1340</v>
      </c>
      <c r="C292" s="73" t="s">
        <v>1060</v>
      </c>
      <c r="D292" s="73" t="s">
        <v>1341</v>
      </c>
      <c r="E292" s="85" t="s">
        <v>15</v>
      </c>
      <c r="F292" s="85" t="s">
        <v>1299</v>
      </c>
      <c r="G292" s="85"/>
      <c r="H292" s="85" t="s">
        <v>1355</v>
      </c>
      <c r="I292" s="141">
        <f t="shared" si="13"/>
        <v>28</v>
      </c>
      <c r="J292" s="146" t="s">
        <v>1887</v>
      </c>
      <c r="K292" s="141">
        <f t="shared" si="14"/>
        <v>0</v>
      </c>
      <c r="L292" s="14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</row>
    <row r="293" spans="1:40" s="73" customFormat="1" ht="15.75" hidden="1" thickBot="1" x14ac:dyDescent="0.3">
      <c r="A293" s="73" t="s">
        <v>1535</v>
      </c>
      <c r="B293" s="73" t="s">
        <v>1534</v>
      </c>
      <c r="C293" s="73" t="s">
        <v>1060</v>
      </c>
      <c r="D293" s="73" t="s">
        <v>1536</v>
      </c>
      <c r="E293" s="85" t="s">
        <v>19</v>
      </c>
      <c r="F293" s="85" t="s">
        <v>1299</v>
      </c>
      <c r="G293" s="85"/>
      <c r="H293" s="85" t="s">
        <v>1537</v>
      </c>
      <c r="I293" s="141">
        <f t="shared" si="13"/>
        <v>28</v>
      </c>
      <c r="J293" s="146" t="s">
        <v>1888</v>
      </c>
      <c r="K293" s="141">
        <f t="shared" si="14"/>
        <v>0</v>
      </c>
      <c r="L293" s="14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</row>
    <row r="294" spans="1:40" s="73" customFormat="1" ht="15.75" hidden="1" thickBot="1" x14ac:dyDescent="0.3">
      <c r="A294" s="73" t="s">
        <v>1535</v>
      </c>
      <c r="B294" s="73" t="s">
        <v>1645</v>
      </c>
      <c r="C294" s="73" t="s">
        <v>1060</v>
      </c>
      <c r="D294" s="73" t="s">
        <v>1646</v>
      </c>
      <c r="E294" s="85" t="s">
        <v>19</v>
      </c>
      <c r="F294" s="85" t="s">
        <v>28</v>
      </c>
      <c r="G294" s="85"/>
      <c r="H294" s="85" t="s">
        <v>1647</v>
      </c>
      <c r="I294" s="141">
        <f t="shared" si="13"/>
        <v>28</v>
      </c>
      <c r="J294" s="87" t="s">
        <v>2187</v>
      </c>
      <c r="K294" s="141">
        <f t="shared" si="14"/>
        <v>0</v>
      </c>
      <c r="L294" s="14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</row>
    <row r="295" spans="1:40" ht="15.75" hidden="1" thickBot="1" x14ac:dyDescent="0.3">
      <c r="A295" t="s">
        <v>331</v>
      </c>
      <c r="B295" t="s">
        <v>329</v>
      </c>
      <c r="C295" t="s">
        <v>1061</v>
      </c>
      <c r="D295" t="s">
        <v>330</v>
      </c>
      <c r="E295" s="30" t="s">
        <v>15</v>
      </c>
      <c r="F295" s="30" t="s">
        <v>28</v>
      </c>
      <c r="G295" s="30"/>
      <c r="H295" s="30" t="s">
        <v>744</v>
      </c>
      <c r="I295" s="31">
        <f t="shared" si="13"/>
        <v>28</v>
      </c>
      <c r="J295" s="146" t="s">
        <v>1889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</row>
    <row r="296" spans="1:40" ht="15.75" hidden="1" thickBot="1" x14ac:dyDescent="0.3">
      <c r="A296" t="s">
        <v>331</v>
      </c>
      <c r="B296" t="s">
        <v>332</v>
      </c>
      <c r="C296" t="s">
        <v>1061</v>
      </c>
      <c r="D296" t="s">
        <v>333</v>
      </c>
      <c r="E296" s="30" t="s">
        <v>73</v>
      </c>
      <c r="F296" s="30" t="s">
        <v>28</v>
      </c>
      <c r="G296" s="30"/>
      <c r="H296" s="30" t="s">
        <v>745</v>
      </c>
      <c r="I296" s="31">
        <f t="shared" si="13"/>
        <v>28</v>
      </c>
      <c r="J296" s="146" t="s">
        <v>1890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</row>
    <row r="297" spans="1:40" ht="15.75" hidden="1" thickBot="1" x14ac:dyDescent="0.3">
      <c r="A297" t="s">
        <v>331</v>
      </c>
      <c r="B297" t="s">
        <v>334</v>
      </c>
      <c r="C297" t="s">
        <v>1061</v>
      </c>
      <c r="D297" t="s">
        <v>333</v>
      </c>
      <c r="E297" s="30" t="s">
        <v>73</v>
      </c>
      <c r="F297" s="30" t="s">
        <v>28</v>
      </c>
      <c r="G297" s="30"/>
      <c r="H297" s="30" t="s">
        <v>746</v>
      </c>
      <c r="I297" s="31">
        <f t="shared" si="13"/>
        <v>28</v>
      </c>
      <c r="J297" s="146" t="s">
        <v>1891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</row>
    <row r="298" spans="1:40" ht="15.75" hidden="1" thickBot="1" x14ac:dyDescent="0.3">
      <c r="A298" t="s">
        <v>331</v>
      </c>
      <c r="B298" t="s">
        <v>335</v>
      </c>
      <c r="C298" t="s">
        <v>1061</v>
      </c>
      <c r="D298" t="s">
        <v>336</v>
      </c>
      <c r="E298" s="30" t="s">
        <v>73</v>
      </c>
      <c r="F298" s="30" t="s">
        <v>28</v>
      </c>
      <c r="G298" s="30"/>
      <c r="H298" s="30" t="s">
        <v>747</v>
      </c>
      <c r="I298" s="31">
        <f t="shared" si="13"/>
        <v>28</v>
      </c>
      <c r="J298" s="146" t="s">
        <v>1892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</row>
    <row r="299" spans="1:40" ht="15.75" hidden="1" thickBot="1" x14ac:dyDescent="0.3">
      <c r="A299" t="s">
        <v>331</v>
      </c>
      <c r="B299" t="s">
        <v>337</v>
      </c>
      <c r="C299" t="s">
        <v>1061</v>
      </c>
      <c r="D299" t="s">
        <v>336</v>
      </c>
      <c r="E299" s="30" t="s">
        <v>73</v>
      </c>
      <c r="F299" s="30" t="s">
        <v>28</v>
      </c>
      <c r="G299" s="30"/>
      <c r="H299" s="30" t="s">
        <v>748</v>
      </c>
      <c r="I299" s="31">
        <f t="shared" si="13"/>
        <v>28</v>
      </c>
      <c r="J299" s="146" t="s">
        <v>1893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</row>
    <row r="300" spans="1:40" ht="15.75" thickBot="1" x14ac:dyDescent="0.3">
      <c r="A300" t="s">
        <v>41</v>
      </c>
      <c r="B300" t="s">
        <v>339</v>
      </c>
      <c r="C300" t="s">
        <v>1060</v>
      </c>
      <c r="D300" t="s">
        <v>340</v>
      </c>
      <c r="E300" s="30" t="s">
        <v>15</v>
      </c>
      <c r="F300" s="30" t="s">
        <v>28</v>
      </c>
      <c r="G300" s="30"/>
      <c r="H300" s="30" t="s">
        <v>751</v>
      </c>
      <c r="I300" s="31">
        <f t="shared" si="13"/>
        <v>28</v>
      </c>
      <c r="J300" s="146" t="s">
        <v>1894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</row>
    <row r="301" spans="1:40" ht="15.75" thickBot="1" x14ac:dyDescent="0.3">
      <c r="A301" t="s">
        <v>41</v>
      </c>
      <c r="B301" t="s">
        <v>341</v>
      </c>
      <c r="C301" t="s">
        <v>1060</v>
      </c>
      <c r="D301" t="s">
        <v>340</v>
      </c>
      <c r="E301" s="30" t="s">
        <v>73</v>
      </c>
      <c r="F301" s="30" t="s">
        <v>28</v>
      </c>
      <c r="G301" s="30"/>
      <c r="H301" s="30" t="s">
        <v>752</v>
      </c>
      <c r="I301" s="31">
        <f t="shared" si="13"/>
        <v>28</v>
      </c>
      <c r="J301" s="146" t="s">
        <v>1895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</row>
    <row r="302" spans="1:40" ht="15.75" thickBot="1" x14ac:dyDescent="0.3">
      <c r="A302" t="s">
        <v>41</v>
      </c>
      <c r="B302" t="s">
        <v>974</v>
      </c>
      <c r="C302" t="s">
        <v>1060</v>
      </c>
      <c r="D302" t="s">
        <v>975</v>
      </c>
      <c r="E302" s="30" t="s">
        <v>73</v>
      </c>
      <c r="F302" s="30" t="s">
        <v>28</v>
      </c>
      <c r="G302" s="30"/>
      <c r="H302" s="30" t="s">
        <v>1271</v>
      </c>
      <c r="I302" s="31">
        <f t="shared" si="13"/>
        <v>28</v>
      </c>
      <c r="J302" s="146" t="s">
        <v>1896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</row>
    <row r="303" spans="1:40" ht="15.75" thickBot="1" x14ac:dyDescent="0.3">
      <c r="A303" t="s">
        <v>186</v>
      </c>
      <c r="B303" t="s">
        <v>342</v>
      </c>
      <c r="C303" t="s">
        <v>1061</v>
      </c>
      <c r="D303" t="s">
        <v>343</v>
      </c>
      <c r="E303" s="30" t="s">
        <v>15</v>
      </c>
      <c r="F303" s="30" t="s">
        <v>28</v>
      </c>
      <c r="G303" s="30"/>
      <c r="H303" s="30" t="s">
        <v>753</v>
      </c>
      <c r="I303" s="31">
        <f t="shared" si="13"/>
        <v>27</v>
      </c>
      <c r="J303" s="146" t="s">
        <v>1897</v>
      </c>
      <c r="K303" s="31">
        <f t="shared" si="14"/>
        <v>1</v>
      </c>
      <c r="L303" s="32">
        <f t="shared" si="15"/>
        <v>0.9642857142857143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 t="s">
        <v>2279</v>
      </c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</row>
    <row r="304" spans="1:40" ht="21" customHeight="1" thickBot="1" x14ac:dyDescent="0.3">
      <c r="A304" s="69" t="s">
        <v>186</v>
      </c>
      <c r="B304" s="69" t="s">
        <v>344</v>
      </c>
      <c r="C304" t="s">
        <v>1061</v>
      </c>
      <c r="D304" s="69" t="s">
        <v>343</v>
      </c>
      <c r="E304" s="30" t="s">
        <v>73</v>
      </c>
      <c r="F304" s="30" t="s">
        <v>28</v>
      </c>
      <c r="G304" s="30"/>
      <c r="H304" s="152" t="s">
        <v>754</v>
      </c>
      <c r="I304" s="31">
        <f t="shared" si="13"/>
        <v>13</v>
      </c>
      <c r="J304" s="146" t="s">
        <v>1898</v>
      </c>
      <c r="K304" s="31">
        <f t="shared" si="14"/>
        <v>15</v>
      </c>
      <c r="L304" s="32">
        <f t="shared" si="15"/>
        <v>0.4642857142857143</v>
      </c>
      <c r="M304" s="70" t="s">
        <v>2279</v>
      </c>
      <c r="N304" s="70" t="s">
        <v>2279</v>
      </c>
      <c r="O304" s="70" t="s">
        <v>2279</v>
      </c>
      <c r="P304" s="70" t="s">
        <v>2279</v>
      </c>
      <c r="Q304" s="70" t="s">
        <v>2279</v>
      </c>
      <c r="R304" s="70" t="s">
        <v>2279</v>
      </c>
      <c r="S304" s="70"/>
      <c r="T304" s="70"/>
      <c r="U304" s="70" t="s">
        <v>2279</v>
      </c>
      <c r="V304" s="70" t="s">
        <v>2279</v>
      </c>
      <c r="W304" s="70" t="s">
        <v>2279</v>
      </c>
      <c r="X304" s="70" t="s">
        <v>2279</v>
      </c>
      <c r="Y304" s="70" t="s">
        <v>2279</v>
      </c>
      <c r="Z304" s="70"/>
      <c r="AA304" s="70"/>
      <c r="AB304" s="70"/>
      <c r="AC304" s="70"/>
      <c r="AD304" s="70" t="s">
        <v>2279</v>
      </c>
      <c r="AE304" s="70" t="s">
        <v>2279</v>
      </c>
      <c r="AF304" s="70" t="s">
        <v>2279</v>
      </c>
      <c r="AG304" s="70"/>
      <c r="AH304" s="70"/>
      <c r="AI304" s="70" t="s">
        <v>2279</v>
      </c>
      <c r="AJ304" s="70"/>
      <c r="AK304" s="70"/>
      <c r="AL304" s="70"/>
      <c r="AM304" s="70"/>
      <c r="AN304" s="70"/>
    </row>
    <row r="305" spans="1:40" ht="15.75" thickBot="1" x14ac:dyDescent="0.3">
      <c r="A305" t="s">
        <v>186</v>
      </c>
      <c r="B305" t="s">
        <v>1293</v>
      </c>
      <c r="C305" t="s">
        <v>1061</v>
      </c>
      <c r="D305" t="s">
        <v>976</v>
      </c>
      <c r="E305" s="30" t="s">
        <v>73</v>
      </c>
      <c r="F305" s="30" t="s">
        <v>28</v>
      </c>
      <c r="G305" s="30"/>
      <c r="H305" s="30" t="s">
        <v>1272</v>
      </c>
      <c r="I305" s="31">
        <f t="shared" si="13"/>
        <v>27</v>
      </c>
      <c r="J305" s="146" t="s">
        <v>1899</v>
      </c>
      <c r="K305" s="31">
        <f t="shared" si="14"/>
        <v>1</v>
      </c>
      <c r="L305" s="32">
        <f t="shared" si="15"/>
        <v>0.9642857142857143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 t="s">
        <v>2279</v>
      </c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</row>
    <row r="306" spans="1:40" ht="15.75" thickBot="1" x14ac:dyDescent="0.3">
      <c r="A306" t="s">
        <v>214</v>
      </c>
      <c r="B306" t="s">
        <v>345</v>
      </c>
      <c r="C306" t="s">
        <v>1061</v>
      </c>
      <c r="D306" t="s">
        <v>346</v>
      </c>
      <c r="E306" s="30" t="s">
        <v>15</v>
      </c>
      <c r="F306" s="30" t="s">
        <v>28</v>
      </c>
      <c r="G306" s="30"/>
      <c r="H306" s="30" t="s">
        <v>755</v>
      </c>
      <c r="I306" s="31">
        <f t="shared" si="13"/>
        <v>27</v>
      </c>
      <c r="J306" s="146" t="s">
        <v>1900</v>
      </c>
      <c r="K306" s="31">
        <f t="shared" si="14"/>
        <v>1</v>
      </c>
      <c r="L306" s="32">
        <f t="shared" si="15"/>
        <v>0.9642857142857143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 t="s">
        <v>2279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</row>
    <row r="307" spans="1:40" ht="15.75" thickBot="1" x14ac:dyDescent="0.3">
      <c r="A307" t="s">
        <v>214</v>
      </c>
      <c r="B307" t="s">
        <v>347</v>
      </c>
      <c r="C307" t="s">
        <v>1061</v>
      </c>
      <c r="D307" t="s">
        <v>346</v>
      </c>
      <c r="E307" s="30" t="s">
        <v>73</v>
      </c>
      <c r="F307" s="30" t="s">
        <v>28</v>
      </c>
      <c r="G307" s="30"/>
      <c r="H307" s="30" t="s">
        <v>756</v>
      </c>
      <c r="I307" s="31">
        <f t="shared" si="13"/>
        <v>27</v>
      </c>
      <c r="J307" s="146" t="s">
        <v>1901</v>
      </c>
      <c r="K307" s="31">
        <f t="shared" si="14"/>
        <v>1</v>
      </c>
      <c r="L307" s="32">
        <f t="shared" si="15"/>
        <v>0.9642857142857143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 t="s">
        <v>2279</v>
      </c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</row>
    <row r="308" spans="1:40" ht="15.75" thickBot="1" x14ac:dyDescent="0.3">
      <c r="A308" t="s">
        <v>214</v>
      </c>
      <c r="B308" t="s">
        <v>1292</v>
      </c>
      <c r="C308" t="s">
        <v>1061</v>
      </c>
      <c r="D308" t="s">
        <v>977</v>
      </c>
      <c r="E308" s="30" t="s">
        <v>19</v>
      </c>
      <c r="F308" s="30" t="s">
        <v>28</v>
      </c>
      <c r="G308" s="30"/>
      <c r="H308" s="30" t="s">
        <v>1273</v>
      </c>
      <c r="I308" s="31">
        <f t="shared" si="13"/>
        <v>27</v>
      </c>
      <c r="J308" s="146" t="s">
        <v>1902</v>
      </c>
      <c r="K308" s="31">
        <f t="shared" si="14"/>
        <v>1</v>
      </c>
      <c r="L308" s="32">
        <f t="shared" si="15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 t="s">
        <v>2279</v>
      </c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</row>
    <row r="309" spans="1:40" ht="15.75" thickBot="1" x14ac:dyDescent="0.3">
      <c r="A309" t="s">
        <v>287</v>
      </c>
      <c r="B309" t="s">
        <v>348</v>
      </c>
      <c r="C309" t="s">
        <v>1061</v>
      </c>
      <c r="D309" t="s">
        <v>349</v>
      </c>
      <c r="E309" s="30" t="s">
        <v>73</v>
      </c>
      <c r="F309" s="30" t="s">
        <v>28</v>
      </c>
      <c r="G309" s="30"/>
      <c r="H309" s="30" t="s">
        <v>758</v>
      </c>
      <c r="I309" s="31">
        <f t="shared" si="13"/>
        <v>21</v>
      </c>
      <c r="J309" s="146" t="s">
        <v>1903</v>
      </c>
      <c r="K309" s="31">
        <f t="shared" si="14"/>
        <v>7</v>
      </c>
      <c r="L309" s="32">
        <f t="shared" si="15"/>
        <v>0.75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 t="s">
        <v>2279</v>
      </c>
      <c r="X309" s="70" t="s">
        <v>2279</v>
      </c>
      <c r="Y309" s="70" t="s">
        <v>2279</v>
      </c>
      <c r="Z309" s="70"/>
      <c r="AA309" s="70"/>
      <c r="AB309" s="70"/>
      <c r="AC309" s="70"/>
      <c r="AD309" s="70" t="s">
        <v>2279</v>
      </c>
      <c r="AE309" s="70" t="s">
        <v>2279</v>
      </c>
      <c r="AF309" s="70" t="s">
        <v>2279</v>
      </c>
      <c r="AG309" s="70"/>
      <c r="AH309" s="70"/>
      <c r="AI309" s="70" t="s">
        <v>2279</v>
      </c>
      <c r="AJ309" s="70"/>
      <c r="AK309" s="70"/>
      <c r="AL309" s="70"/>
      <c r="AM309" s="70"/>
      <c r="AN309" s="70"/>
    </row>
    <row r="310" spans="1:40" ht="15.75" thickBot="1" x14ac:dyDescent="0.3">
      <c r="A310" t="s">
        <v>287</v>
      </c>
      <c r="B310" t="s">
        <v>364</v>
      </c>
      <c r="C310" t="s">
        <v>1061</v>
      </c>
      <c r="D310" t="s">
        <v>349</v>
      </c>
      <c r="E310" s="30" t="s">
        <v>15</v>
      </c>
      <c r="F310" s="30" t="s">
        <v>28</v>
      </c>
      <c r="G310" s="30"/>
      <c r="H310" s="30" t="s">
        <v>759</v>
      </c>
      <c r="I310" s="31">
        <f t="shared" si="13"/>
        <v>21</v>
      </c>
      <c r="J310" s="146" t="s">
        <v>1904</v>
      </c>
      <c r="K310" s="31">
        <f t="shared" si="14"/>
        <v>7</v>
      </c>
      <c r="L310" s="32">
        <f t="shared" si="15"/>
        <v>0.75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 t="s">
        <v>2279</v>
      </c>
      <c r="X310" s="70" t="s">
        <v>2279</v>
      </c>
      <c r="Y310" s="70" t="s">
        <v>2279</v>
      </c>
      <c r="Z310" s="70"/>
      <c r="AA310" s="70"/>
      <c r="AB310" s="70"/>
      <c r="AC310" s="70"/>
      <c r="AD310" s="70" t="s">
        <v>2279</v>
      </c>
      <c r="AE310" s="70" t="s">
        <v>2279</v>
      </c>
      <c r="AF310" s="70" t="s">
        <v>2279</v>
      </c>
      <c r="AG310" s="70"/>
      <c r="AH310" s="70"/>
      <c r="AI310" s="70" t="s">
        <v>2279</v>
      </c>
      <c r="AJ310" s="70"/>
      <c r="AK310" s="70"/>
      <c r="AL310" s="70"/>
      <c r="AM310" s="70"/>
      <c r="AN310" s="70"/>
    </row>
    <row r="311" spans="1:40" ht="15.75" thickBot="1" x14ac:dyDescent="0.3">
      <c r="A311" t="s">
        <v>287</v>
      </c>
      <c r="B311" t="s">
        <v>978</v>
      </c>
      <c r="C311" t="s">
        <v>1061</v>
      </c>
      <c r="D311" t="s">
        <v>979</v>
      </c>
      <c r="E311" s="30" t="s">
        <v>73</v>
      </c>
      <c r="F311" s="30" t="s">
        <v>28</v>
      </c>
      <c r="G311" s="30"/>
      <c r="H311" s="30" t="s">
        <v>1274</v>
      </c>
      <c r="I311" s="31">
        <f t="shared" si="13"/>
        <v>21</v>
      </c>
      <c r="J311" s="146" t="s">
        <v>1905</v>
      </c>
      <c r="K311" s="31">
        <f t="shared" si="14"/>
        <v>7</v>
      </c>
      <c r="L311" s="32">
        <f t="shared" si="15"/>
        <v>0.75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 t="s">
        <v>2279</v>
      </c>
      <c r="X311" s="70" t="s">
        <v>2279</v>
      </c>
      <c r="Y311" s="70" t="s">
        <v>2279</v>
      </c>
      <c r="Z311" s="70"/>
      <c r="AA311" s="70"/>
      <c r="AB311" s="70"/>
      <c r="AC311" s="70"/>
      <c r="AD311" s="70" t="s">
        <v>2279</v>
      </c>
      <c r="AE311" s="70" t="s">
        <v>2279</v>
      </c>
      <c r="AF311" s="70" t="s">
        <v>2279</v>
      </c>
      <c r="AG311" s="70"/>
      <c r="AH311" s="70"/>
      <c r="AI311" s="70" t="s">
        <v>2279</v>
      </c>
      <c r="AJ311" s="70"/>
      <c r="AK311" s="70"/>
      <c r="AL311" s="70"/>
      <c r="AM311" s="70"/>
      <c r="AN311" s="70"/>
    </row>
    <row r="312" spans="1:40" ht="15.75" thickBot="1" x14ac:dyDescent="0.3">
      <c r="A312" t="s">
        <v>350</v>
      </c>
      <c r="B312" t="s">
        <v>351</v>
      </c>
      <c r="C312" t="s">
        <v>1061</v>
      </c>
      <c r="D312" t="s">
        <v>352</v>
      </c>
      <c r="E312" s="30" t="s">
        <v>15</v>
      </c>
      <c r="F312" s="30" t="s">
        <v>28</v>
      </c>
      <c r="G312" s="30"/>
      <c r="H312" s="30" t="s">
        <v>760</v>
      </c>
      <c r="I312" s="31">
        <f t="shared" si="13"/>
        <v>28</v>
      </c>
      <c r="J312" s="146" t="s">
        <v>1906</v>
      </c>
      <c r="K312" s="31">
        <f t="shared" si="14"/>
        <v>0</v>
      </c>
      <c r="L312" s="32">
        <f t="shared" si="15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</row>
    <row r="313" spans="1:40" ht="15.75" thickBot="1" x14ac:dyDescent="0.3">
      <c r="A313" t="s">
        <v>350</v>
      </c>
      <c r="B313" t="s">
        <v>353</v>
      </c>
      <c r="C313" t="s">
        <v>1061</v>
      </c>
      <c r="D313" t="s">
        <v>352</v>
      </c>
      <c r="E313" s="30" t="s">
        <v>73</v>
      </c>
      <c r="F313" s="30" t="s">
        <v>28</v>
      </c>
      <c r="G313" s="30"/>
      <c r="H313" s="30" t="s">
        <v>761</v>
      </c>
      <c r="I313" s="31">
        <f t="shared" si="13"/>
        <v>28</v>
      </c>
      <c r="J313" s="146" t="s">
        <v>1907</v>
      </c>
      <c r="K313" s="31">
        <f t="shared" si="14"/>
        <v>0</v>
      </c>
      <c r="L313" s="32">
        <f t="shared" si="15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</row>
    <row r="314" spans="1:40" ht="15.75" thickBot="1" x14ac:dyDescent="0.3">
      <c r="A314" t="s">
        <v>350</v>
      </c>
      <c r="B314" t="s">
        <v>980</v>
      </c>
      <c r="C314" t="s">
        <v>1061</v>
      </c>
      <c r="D314" t="s">
        <v>352</v>
      </c>
      <c r="E314" s="30" t="s">
        <v>19</v>
      </c>
      <c r="F314" s="30" t="s">
        <v>28</v>
      </c>
      <c r="G314" s="30"/>
      <c r="H314" s="30" t="s">
        <v>1275</v>
      </c>
      <c r="I314" s="31">
        <f t="shared" si="13"/>
        <v>28</v>
      </c>
      <c r="J314" s="146" t="s">
        <v>1908</v>
      </c>
      <c r="K314" s="31">
        <f t="shared" si="14"/>
        <v>0</v>
      </c>
      <c r="L314" s="32">
        <f t="shared" si="15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</row>
    <row r="315" spans="1:40" ht="15.75" thickBot="1" x14ac:dyDescent="0.3">
      <c r="A315" t="s">
        <v>354</v>
      </c>
      <c r="B315" t="s">
        <v>973</v>
      </c>
      <c r="C315" t="s">
        <v>1061</v>
      </c>
      <c r="D315" t="s">
        <v>355</v>
      </c>
      <c r="E315" s="30" t="s">
        <v>15</v>
      </c>
      <c r="F315" s="30" t="s">
        <v>28</v>
      </c>
      <c r="G315" s="30"/>
      <c r="H315" s="30" t="s">
        <v>766</v>
      </c>
      <c r="I315" s="31">
        <f t="shared" si="13"/>
        <v>28</v>
      </c>
      <c r="J315" s="87"/>
      <c r="K315" s="31">
        <f t="shared" si="14"/>
        <v>0</v>
      </c>
      <c r="L315" s="32">
        <f t="shared" si="15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</row>
    <row r="316" spans="1:40" s="73" customFormat="1" ht="15.75" thickBot="1" x14ac:dyDescent="0.3">
      <c r="A316" s="73" t="s">
        <v>196</v>
      </c>
      <c r="B316" s="73" t="s">
        <v>356</v>
      </c>
      <c r="C316" s="73" t="s">
        <v>1061</v>
      </c>
      <c r="D316" s="73" t="s">
        <v>357</v>
      </c>
      <c r="E316" s="85" t="s">
        <v>15</v>
      </c>
      <c r="F316" s="85" t="s">
        <v>1299</v>
      </c>
      <c r="G316" s="85"/>
      <c r="H316" s="85" t="s">
        <v>762</v>
      </c>
      <c r="I316" s="141">
        <f t="shared" si="13"/>
        <v>13</v>
      </c>
      <c r="J316" s="146" t="s">
        <v>1909</v>
      </c>
      <c r="K316" s="141">
        <f t="shared" si="14"/>
        <v>15</v>
      </c>
      <c r="L316" s="142">
        <f t="shared" si="15"/>
        <v>0.4642857142857143</v>
      </c>
      <c r="M316" s="70" t="s">
        <v>2279</v>
      </c>
      <c r="N316" s="70" t="s">
        <v>2279</v>
      </c>
      <c r="O316" s="70" t="s">
        <v>2279</v>
      </c>
      <c r="P316" s="70" t="s">
        <v>2279</v>
      </c>
      <c r="Q316" s="70" t="s">
        <v>2279</v>
      </c>
      <c r="R316" s="70" t="s">
        <v>2279</v>
      </c>
      <c r="S316" s="70"/>
      <c r="T316" s="70"/>
      <c r="U316" s="70" t="s">
        <v>2279</v>
      </c>
      <c r="V316" s="70" t="s">
        <v>2279</v>
      </c>
      <c r="W316" s="70" t="s">
        <v>2279</v>
      </c>
      <c r="X316" s="70" t="s">
        <v>2279</v>
      </c>
      <c r="Y316" s="70" t="s">
        <v>2279</v>
      </c>
      <c r="Z316" s="70"/>
      <c r="AA316" s="70"/>
      <c r="AB316" s="70"/>
      <c r="AC316" s="70"/>
      <c r="AD316" s="70" t="s">
        <v>2279</v>
      </c>
      <c r="AE316" s="70" t="s">
        <v>2279</v>
      </c>
      <c r="AF316" s="70" t="s">
        <v>2279</v>
      </c>
      <c r="AG316" s="70"/>
      <c r="AH316" s="70"/>
      <c r="AI316" s="70" t="s">
        <v>2279</v>
      </c>
      <c r="AJ316" s="70"/>
      <c r="AK316" s="70"/>
      <c r="AL316" s="70"/>
      <c r="AM316" s="70"/>
      <c r="AN316" s="70"/>
    </row>
    <row r="317" spans="1:40" s="73" customFormat="1" ht="15.75" thickBot="1" x14ac:dyDescent="0.3">
      <c r="A317" s="73" t="s">
        <v>196</v>
      </c>
      <c r="B317" s="73" t="s">
        <v>358</v>
      </c>
      <c r="C317" s="73" t="s">
        <v>1061</v>
      </c>
      <c r="D317" s="73" t="s">
        <v>357</v>
      </c>
      <c r="E317" s="85" t="s">
        <v>73</v>
      </c>
      <c r="F317" s="85" t="s">
        <v>1299</v>
      </c>
      <c r="G317" s="85"/>
      <c r="H317" s="85" t="s">
        <v>1624</v>
      </c>
      <c r="I317" s="141">
        <f t="shared" si="13"/>
        <v>28</v>
      </c>
      <c r="J317" s="146" t="s">
        <v>2144</v>
      </c>
      <c r="K317" s="141">
        <f t="shared" si="14"/>
        <v>0</v>
      </c>
      <c r="L317" s="142">
        <f t="shared" si="15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</row>
    <row r="318" spans="1:40" s="73" customFormat="1" ht="15.75" thickBot="1" x14ac:dyDescent="0.3">
      <c r="A318" s="73" t="s">
        <v>196</v>
      </c>
      <c r="B318" s="73" t="s">
        <v>981</v>
      </c>
      <c r="C318" s="73" t="s">
        <v>1061</v>
      </c>
      <c r="D318" s="73" t="s">
        <v>982</v>
      </c>
      <c r="E318" s="85" t="s">
        <v>73</v>
      </c>
      <c r="F318" s="85" t="s">
        <v>1299</v>
      </c>
      <c r="G318" s="85"/>
      <c r="H318" s="85" t="s">
        <v>1276</v>
      </c>
      <c r="I318" s="31">
        <f t="shared" ref="I318:I388" si="16">COUNTIF(M318:AN318,"")</f>
        <v>14</v>
      </c>
      <c r="J318" s="146" t="s">
        <v>1910</v>
      </c>
      <c r="K318" s="31">
        <f t="shared" ref="K318:K388" si="17">COUNTIF(M318:AN318,"APAGADO")</f>
        <v>14</v>
      </c>
      <c r="L318" s="32">
        <f t="shared" ref="L318:L388" si="18">(I318)/(K318+I318)</f>
        <v>0.5</v>
      </c>
      <c r="M318" s="70" t="s">
        <v>2279</v>
      </c>
      <c r="N318" s="70" t="s">
        <v>2279</v>
      </c>
      <c r="O318" s="70" t="s">
        <v>2279</v>
      </c>
      <c r="P318" s="70" t="s">
        <v>2279</v>
      </c>
      <c r="Q318" s="70" t="s">
        <v>2279</v>
      </c>
      <c r="R318" s="70" t="s">
        <v>2279</v>
      </c>
      <c r="S318" s="70"/>
      <c r="T318" s="70"/>
      <c r="U318" s="70"/>
      <c r="V318" s="70" t="s">
        <v>2279</v>
      </c>
      <c r="W318" s="70" t="s">
        <v>2279</v>
      </c>
      <c r="X318" s="70" t="s">
        <v>2279</v>
      </c>
      <c r="Y318" s="70" t="s">
        <v>2279</v>
      </c>
      <c r="Z318" s="70"/>
      <c r="AA318" s="70"/>
      <c r="AB318" s="70"/>
      <c r="AC318" s="70"/>
      <c r="AD318" s="70" t="s">
        <v>2279</v>
      </c>
      <c r="AE318" s="70" t="s">
        <v>2279</v>
      </c>
      <c r="AF318" s="70" t="s">
        <v>2279</v>
      </c>
      <c r="AG318" s="70"/>
      <c r="AH318" s="70"/>
      <c r="AI318" s="70" t="s">
        <v>2279</v>
      </c>
      <c r="AJ318" s="70"/>
      <c r="AK318" s="70"/>
      <c r="AL318" s="70"/>
      <c r="AM318" s="70"/>
      <c r="AN318" s="70"/>
    </row>
    <row r="319" spans="1:40" s="73" customFormat="1" ht="15.75" thickBot="1" x14ac:dyDescent="0.3">
      <c r="A319" s="73" t="s">
        <v>359</v>
      </c>
      <c r="B319" s="73" t="s">
        <v>1207</v>
      </c>
      <c r="C319" s="73" t="s">
        <v>1061</v>
      </c>
      <c r="D319" s="73" t="s">
        <v>1208</v>
      </c>
      <c r="E319" s="85" t="s">
        <v>15</v>
      </c>
      <c r="F319" s="85" t="s">
        <v>1299</v>
      </c>
      <c r="G319" s="85"/>
      <c r="H319" s="85" t="s">
        <v>767</v>
      </c>
      <c r="I319" s="141">
        <f t="shared" si="16"/>
        <v>14</v>
      </c>
      <c r="J319" s="146" t="s">
        <v>1911</v>
      </c>
      <c r="K319" s="141">
        <f t="shared" si="17"/>
        <v>14</v>
      </c>
      <c r="L319" s="142">
        <f t="shared" si="18"/>
        <v>0.5</v>
      </c>
      <c r="M319" s="70" t="s">
        <v>2279</v>
      </c>
      <c r="N319" s="70" t="s">
        <v>2279</v>
      </c>
      <c r="O319" s="70" t="s">
        <v>2279</v>
      </c>
      <c r="P319" s="70" t="s">
        <v>2279</v>
      </c>
      <c r="Q319" s="70" t="s">
        <v>2279</v>
      </c>
      <c r="R319" s="70" t="s">
        <v>2279</v>
      </c>
      <c r="S319" s="70"/>
      <c r="T319" s="70"/>
      <c r="U319" s="70"/>
      <c r="V319" s="70" t="s">
        <v>2279</v>
      </c>
      <c r="W319" s="70" t="s">
        <v>2279</v>
      </c>
      <c r="X319" s="70" t="s">
        <v>2279</v>
      </c>
      <c r="Y319" s="70" t="s">
        <v>2279</v>
      </c>
      <c r="Z319" s="70"/>
      <c r="AA319" s="70"/>
      <c r="AB319" s="70"/>
      <c r="AC319" s="70"/>
      <c r="AD319" s="70" t="s">
        <v>2279</v>
      </c>
      <c r="AE319" s="70" t="s">
        <v>2279</v>
      </c>
      <c r="AF319" s="70" t="s">
        <v>2279</v>
      </c>
      <c r="AG319" s="70"/>
      <c r="AH319" s="70"/>
      <c r="AI319" s="70" t="s">
        <v>2279</v>
      </c>
      <c r="AJ319" s="70"/>
      <c r="AK319" s="70"/>
      <c r="AL319" s="70"/>
      <c r="AM319" s="70"/>
      <c r="AN319" s="70"/>
    </row>
    <row r="320" spans="1:40" s="73" customFormat="1" ht="15.75" thickBot="1" x14ac:dyDescent="0.3">
      <c r="A320" s="73" t="s">
        <v>359</v>
      </c>
      <c r="B320" s="73" t="s">
        <v>360</v>
      </c>
      <c r="C320" s="73" t="s">
        <v>1061</v>
      </c>
      <c r="D320" s="73" t="s">
        <v>1208</v>
      </c>
      <c r="E320" s="85" t="s">
        <v>73</v>
      </c>
      <c r="F320" s="85" t="s">
        <v>1299</v>
      </c>
      <c r="G320" s="85"/>
      <c r="H320" s="85" t="s">
        <v>768</v>
      </c>
      <c r="I320" s="141">
        <f t="shared" si="16"/>
        <v>13</v>
      </c>
      <c r="J320" s="87" t="s">
        <v>2188</v>
      </c>
      <c r="K320" s="141">
        <f t="shared" si="17"/>
        <v>15</v>
      </c>
      <c r="L320" s="142">
        <f t="shared" si="18"/>
        <v>0.4642857142857143</v>
      </c>
      <c r="M320" s="70" t="s">
        <v>2279</v>
      </c>
      <c r="N320" s="70" t="s">
        <v>2279</v>
      </c>
      <c r="O320" s="70" t="s">
        <v>2279</v>
      </c>
      <c r="P320" s="70" t="s">
        <v>2279</v>
      </c>
      <c r="Q320" s="70" t="s">
        <v>2279</v>
      </c>
      <c r="R320" s="70" t="s">
        <v>2279</v>
      </c>
      <c r="S320" s="70"/>
      <c r="T320" s="70"/>
      <c r="U320" s="70" t="s">
        <v>2279</v>
      </c>
      <c r="V320" s="70" t="s">
        <v>2279</v>
      </c>
      <c r="W320" s="70" t="s">
        <v>2279</v>
      </c>
      <c r="X320" s="70" t="s">
        <v>2279</v>
      </c>
      <c r="Y320" s="70" t="s">
        <v>2279</v>
      </c>
      <c r="Z320" s="70"/>
      <c r="AA320" s="70"/>
      <c r="AB320" s="70"/>
      <c r="AC320" s="70"/>
      <c r="AD320" s="70" t="s">
        <v>2279</v>
      </c>
      <c r="AE320" s="70" t="s">
        <v>2279</v>
      </c>
      <c r="AF320" s="70" t="s">
        <v>2279</v>
      </c>
      <c r="AG320" s="70"/>
      <c r="AH320" s="70"/>
      <c r="AI320" s="70" t="s">
        <v>2279</v>
      </c>
      <c r="AJ320" s="70"/>
      <c r="AK320" s="70"/>
      <c r="AL320" s="70"/>
      <c r="AM320" s="70"/>
      <c r="AN320" s="70"/>
    </row>
    <row r="321" spans="1:40" s="73" customFormat="1" ht="15.75" thickBot="1" x14ac:dyDescent="0.3">
      <c r="A321" s="73" t="s">
        <v>359</v>
      </c>
      <c r="B321" s="73" t="s">
        <v>983</v>
      </c>
      <c r="C321" s="73" t="s">
        <v>1061</v>
      </c>
      <c r="D321" s="73" t="s">
        <v>984</v>
      </c>
      <c r="E321" s="85" t="s">
        <v>19</v>
      </c>
      <c r="F321" s="85" t="s">
        <v>1299</v>
      </c>
      <c r="G321" s="85"/>
      <c r="H321" s="85" t="s">
        <v>1277</v>
      </c>
      <c r="I321" s="141">
        <f t="shared" si="16"/>
        <v>13</v>
      </c>
      <c r="J321" s="146" t="s">
        <v>1912</v>
      </c>
      <c r="K321" s="141">
        <f t="shared" si="17"/>
        <v>15</v>
      </c>
      <c r="L321" s="142">
        <f t="shared" si="18"/>
        <v>0.4642857142857143</v>
      </c>
      <c r="M321" s="70" t="s">
        <v>2279</v>
      </c>
      <c r="N321" s="70" t="s">
        <v>2279</v>
      </c>
      <c r="O321" s="70" t="s">
        <v>2279</v>
      </c>
      <c r="P321" s="70" t="s">
        <v>2279</v>
      </c>
      <c r="Q321" s="70" t="s">
        <v>2279</v>
      </c>
      <c r="R321" s="70" t="s">
        <v>2279</v>
      </c>
      <c r="S321" s="70"/>
      <c r="T321" s="70"/>
      <c r="U321" s="70" t="s">
        <v>2279</v>
      </c>
      <c r="V321" s="70" t="s">
        <v>2279</v>
      </c>
      <c r="W321" s="70" t="s">
        <v>2279</v>
      </c>
      <c r="X321" s="70" t="s">
        <v>2279</v>
      </c>
      <c r="Y321" s="70" t="s">
        <v>2279</v>
      </c>
      <c r="Z321" s="70"/>
      <c r="AA321" s="70"/>
      <c r="AB321" s="70"/>
      <c r="AC321" s="70"/>
      <c r="AD321" s="70" t="s">
        <v>2279</v>
      </c>
      <c r="AE321" s="70" t="s">
        <v>2279</v>
      </c>
      <c r="AF321" s="70" t="s">
        <v>2279</v>
      </c>
      <c r="AG321" s="70"/>
      <c r="AH321" s="70"/>
      <c r="AI321" s="70" t="s">
        <v>2279</v>
      </c>
      <c r="AJ321" s="70"/>
      <c r="AK321" s="70"/>
      <c r="AL321" s="70"/>
      <c r="AM321" s="70"/>
      <c r="AN321" s="70"/>
    </row>
    <row r="322" spans="1:40" ht="15.75" thickBot="1" x14ac:dyDescent="0.3">
      <c r="A322" t="s">
        <v>350</v>
      </c>
      <c r="B322" t="s">
        <v>361</v>
      </c>
      <c r="C322" t="s">
        <v>1061</v>
      </c>
      <c r="D322" t="s">
        <v>362</v>
      </c>
      <c r="E322" s="30" t="s">
        <v>15</v>
      </c>
      <c r="F322" s="30" t="s">
        <v>28</v>
      </c>
      <c r="G322" s="30"/>
      <c r="H322" s="30" t="s">
        <v>764</v>
      </c>
      <c r="I322" s="31">
        <f t="shared" si="16"/>
        <v>15</v>
      </c>
      <c r="J322" s="146" t="s">
        <v>1913</v>
      </c>
      <c r="K322" s="31">
        <f t="shared" si="17"/>
        <v>13</v>
      </c>
      <c r="L322" s="32">
        <f t="shared" si="18"/>
        <v>0.5357142857142857</v>
      </c>
      <c r="M322" s="70" t="s">
        <v>2279</v>
      </c>
      <c r="N322" s="70" t="s">
        <v>2279</v>
      </c>
      <c r="O322" s="70" t="s">
        <v>2279</v>
      </c>
      <c r="P322" s="70" t="s">
        <v>2279</v>
      </c>
      <c r="Q322" s="70" t="s">
        <v>2279</v>
      </c>
      <c r="R322" s="70" t="s">
        <v>2279</v>
      </c>
      <c r="S322" s="70"/>
      <c r="T322" s="70"/>
      <c r="U322" s="70" t="s">
        <v>2279</v>
      </c>
      <c r="V322" s="70" t="s">
        <v>2279</v>
      </c>
      <c r="W322" s="70" t="s">
        <v>2279</v>
      </c>
      <c r="X322" s="70" t="s">
        <v>2279</v>
      </c>
      <c r="Y322" s="70" t="s">
        <v>2279</v>
      </c>
      <c r="Z322" s="70"/>
      <c r="AA322" s="70"/>
      <c r="AB322" s="70"/>
      <c r="AC322" s="70"/>
      <c r="AD322" s="70" t="s">
        <v>2279</v>
      </c>
      <c r="AE322" s="70"/>
      <c r="AF322" s="70"/>
      <c r="AG322" s="70"/>
      <c r="AH322" s="70"/>
      <c r="AI322" s="70" t="s">
        <v>2279</v>
      </c>
      <c r="AJ322" s="70"/>
      <c r="AK322" s="70"/>
      <c r="AL322" s="70"/>
      <c r="AM322" s="70"/>
      <c r="AN322" s="70"/>
    </row>
    <row r="323" spans="1:40" ht="15.75" thickBot="1" x14ac:dyDescent="0.3">
      <c r="A323" t="s">
        <v>350</v>
      </c>
      <c r="B323" t="s">
        <v>363</v>
      </c>
      <c r="C323" t="s">
        <v>1061</v>
      </c>
      <c r="D323" t="s">
        <v>362</v>
      </c>
      <c r="E323" s="30" t="s">
        <v>73</v>
      </c>
      <c r="F323" s="30" t="s">
        <v>28</v>
      </c>
      <c r="G323" s="30"/>
      <c r="H323" s="30" t="s">
        <v>763</v>
      </c>
      <c r="I323" s="31">
        <f t="shared" si="16"/>
        <v>25</v>
      </c>
      <c r="J323" s="146" t="s">
        <v>1914</v>
      </c>
      <c r="K323" s="31">
        <f t="shared" si="17"/>
        <v>3</v>
      </c>
      <c r="L323" s="32">
        <f t="shared" si="18"/>
        <v>0.8928571428571429</v>
      </c>
      <c r="M323" s="70" t="s">
        <v>2279</v>
      </c>
      <c r="N323" s="70" t="s">
        <v>2279</v>
      </c>
      <c r="O323" s="70" t="s">
        <v>2279</v>
      </c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</row>
    <row r="324" spans="1:40" ht="15.75" thickBot="1" x14ac:dyDescent="0.3">
      <c r="A324" t="s">
        <v>350</v>
      </c>
      <c r="B324" t="s">
        <v>985</v>
      </c>
      <c r="C324" t="s">
        <v>1061</v>
      </c>
      <c r="D324" t="s">
        <v>986</v>
      </c>
      <c r="E324" s="30" t="s">
        <v>73</v>
      </c>
      <c r="F324" s="30" t="s">
        <v>28</v>
      </c>
      <c r="G324" s="30"/>
      <c r="H324" s="30" t="s">
        <v>1278</v>
      </c>
      <c r="I324" s="31">
        <f t="shared" si="16"/>
        <v>25</v>
      </c>
      <c r="J324" s="146" t="s">
        <v>1915</v>
      </c>
      <c r="K324" s="31">
        <f t="shared" si="17"/>
        <v>3</v>
      </c>
      <c r="L324" s="32">
        <f t="shared" si="18"/>
        <v>0.8928571428571429</v>
      </c>
      <c r="M324" s="70" t="s">
        <v>2279</v>
      </c>
      <c r="N324" s="70" t="s">
        <v>2279</v>
      </c>
      <c r="O324" s="70" t="s">
        <v>2279</v>
      </c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</row>
    <row r="325" spans="1:40" ht="15.75" thickBot="1" x14ac:dyDescent="0.3">
      <c r="A325" t="s">
        <v>229</v>
      </c>
      <c r="B325" t="s">
        <v>1289</v>
      </c>
      <c r="C325" t="s">
        <v>1061</v>
      </c>
      <c r="D325" t="s">
        <v>988</v>
      </c>
      <c r="E325" s="30" t="s">
        <v>73</v>
      </c>
      <c r="F325" s="30" t="s">
        <v>28</v>
      </c>
      <c r="G325" s="30"/>
      <c r="H325" s="30" t="s">
        <v>765</v>
      </c>
      <c r="I325" s="31">
        <f t="shared" si="16"/>
        <v>28</v>
      </c>
      <c r="J325" s="146" t="s">
        <v>1916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</row>
    <row r="326" spans="1:40" ht="15.75" thickBot="1" x14ac:dyDescent="0.3">
      <c r="A326" t="s">
        <v>229</v>
      </c>
      <c r="B326" t="s">
        <v>1290</v>
      </c>
      <c r="C326" t="s">
        <v>1061</v>
      </c>
      <c r="D326" t="s">
        <v>988</v>
      </c>
      <c r="E326" s="30" t="s">
        <v>73</v>
      </c>
      <c r="F326" s="30" t="s">
        <v>28</v>
      </c>
      <c r="G326" s="30"/>
      <c r="H326" s="30" t="s">
        <v>757</v>
      </c>
      <c r="I326" s="31">
        <f t="shared" si="16"/>
        <v>28</v>
      </c>
      <c r="J326" s="146" t="s">
        <v>1917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</row>
    <row r="327" spans="1:40" ht="15.75" thickBot="1" x14ac:dyDescent="0.3">
      <c r="A327" t="s">
        <v>229</v>
      </c>
      <c r="B327" t="s">
        <v>987</v>
      </c>
      <c r="C327" t="s">
        <v>1061</v>
      </c>
      <c r="D327" t="s">
        <v>988</v>
      </c>
      <c r="E327" s="30" t="s">
        <v>73</v>
      </c>
      <c r="F327" s="30" t="s">
        <v>28</v>
      </c>
      <c r="G327" s="30"/>
      <c r="H327" s="30" t="s">
        <v>1291</v>
      </c>
      <c r="I327" s="31">
        <f t="shared" si="16"/>
        <v>28</v>
      </c>
      <c r="J327" s="146" t="s">
        <v>1918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</row>
    <row r="328" spans="1:40" ht="15.75" hidden="1" thickBot="1" x14ac:dyDescent="0.3">
      <c r="A328" t="s">
        <v>365</v>
      </c>
      <c r="B328" t="s">
        <v>366</v>
      </c>
      <c r="C328" t="s">
        <v>1061</v>
      </c>
      <c r="D328" t="s">
        <v>367</v>
      </c>
      <c r="E328" s="30" t="s">
        <v>15</v>
      </c>
      <c r="F328" s="30" t="s">
        <v>28</v>
      </c>
      <c r="G328" s="30"/>
      <c r="H328" s="30" t="s">
        <v>769</v>
      </c>
      <c r="I328" s="31">
        <f t="shared" si="16"/>
        <v>27</v>
      </c>
      <c r="J328" s="146" t="s">
        <v>1919</v>
      </c>
      <c r="K328" s="31">
        <f t="shared" si="17"/>
        <v>1</v>
      </c>
      <c r="L328" s="32">
        <f t="shared" si="18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 t="s">
        <v>2279</v>
      </c>
      <c r="AF328" s="70"/>
      <c r="AG328" s="70"/>
      <c r="AH328" s="70"/>
      <c r="AI328" s="70"/>
      <c r="AJ328" s="70"/>
      <c r="AK328" s="70"/>
      <c r="AL328" s="70"/>
      <c r="AM328" s="70"/>
      <c r="AN328" s="70"/>
    </row>
    <row r="329" spans="1:40" ht="15.75" hidden="1" thickBot="1" x14ac:dyDescent="0.3">
      <c r="A329" t="s">
        <v>365</v>
      </c>
      <c r="B329" t="s">
        <v>989</v>
      </c>
      <c r="C329" t="s">
        <v>1061</v>
      </c>
      <c r="D329" t="s">
        <v>368</v>
      </c>
      <c r="E329" s="30" t="s">
        <v>15</v>
      </c>
      <c r="F329" s="30" t="s">
        <v>28</v>
      </c>
      <c r="G329" s="30"/>
      <c r="H329" s="30" t="s">
        <v>770</v>
      </c>
      <c r="I329" s="31">
        <f t="shared" si="16"/>
        <v>28</v>
      </c>
      <c r="J329" s="146" t="s">
        <v>1920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</row>
    <row r="330" spans="1:40" ht="15.75" hidden="1" thickBot="1" x14ac:dyDescent="0.3">
      <c r="A330" t="s">
        <v>365</v>
      </c>
      <c r="B330" t="s">
        <v>369</v>
      </c>
      <c r="C330" t="s">
        <v>1061</v>
      </c>
      <c r="D330" t="s">
        <v>370</v>
      </c>
      <c r="E330" s="30" t="s">
        <v>73</v>
      </c>
      <c r="F330" s="30" t="s">
        <v>28</v>
      </c>
      <c r="G330" s="30"/>
      <c r="H330" s="30" t="s">
        <v>771</v>
      </c>
      <c r="I330" s="31">
        <f t="shared" si="16"/>
        <v>28</v>
      </c>
      <c r="J330" s="146" t="s">
        <v>1921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</row>
    <row r="331" spans="1:40" ht="15.75" hidden="1" thickBot="1" x14ac:dyDescent="0.3">
      <c r="A331" t="s">
        <v>365</v>
      </c>
      <c r="B331" t="s">
        <v>371</v>
      </c>
      <c r="C331" t="s">
        <v>1061</v>
      </c>
      <c r="D331" t="s">
        <v>370</v>
      </c>
      <c r="E331" s="30" t="s">
        <v>73</v>
      </c>
      <c r="F331" s="30" t="s">
        <v>28</v>
      </c>
      <c r="G331" s="30"/>
      <c r="H331" s="30" t="s">
        <v>772</v>
      </c>
      <c r="I331" s="31">
        <f t="shared" si="16"/>
        <v>28</v>
      </c>
      <c r="J331" s="146" t="s">
        <v>1922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</row>
    <row r="332" spans="1:40" ht="15.75" hidden="1" thickBot="1" x14ac:dyDescent="0.3">
      <c r="A332" t="s">
        <v>365</v>
      </c>
      <c r="B332" t="s">
        <v>372</v>
      </c>
      <c r="C332" t="s">
        <v>1061</v>
      </c>
      <c r="D332" t="s">
        <v>373</v>
      </c>
      <c r="E332" s="30" t="s">
        <v>73</v>
      </c>
      <c r="F332" s="30" t="s">
        <v>28</v>
      </c>
      <c r="G332" s="30"/>
      <c r="H332" s="30" t="s">
        <v>773</v>
      </c>
      <c r="I332" s="31">
        <f t="shared" si="16"/>
        <v>28</v>
      </c>
      <c r="J332" s="146" t="s">
        <v>1923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</row>
    <row r="333" spans="1:40" ht="15.75" hidden="1" thickBot="1" x14ac:dyDescent="0.3">
      <c r="A333" t="s">
        <v>365</v>
      </c>
      <c r="B333" t="s">
        <v>374</v>
      </c>
      <c r="C333" t="s">
        <v>1061</v>
      </c>
      <c r="D333" t="s">
        <v>373</v>
      </c>
      <c r="E333" s="30" t="s">
        <v>46</v>
      </c>
      <c r="F333" s="30" t="s">
        <v>28</v>
      </c>
      <c r="G333" s="30"/>
      <c r="H333" s="30" t="s">
        <v>774</v>
      </c>
      <c r="I333" s="31">
        <f t="shared" si="16"/>
        <v>28</v>
      </c>
      <c r="J333" s="146" t="s">
        <v>1924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</row>
    <row r="334" spans="1:40" ht="15.75" hidden="1" thickBot="1" x14ac:dyDescent="0.3">
      <c r="A334" t="s">
        <v>365</v>
      </c>
      <c r="B334" t="s">
        <v>1333</v>
      </c>
      <c r="C334" t="s">
        <v>1060</v>
      </c>
      <c r="D334" t="s">
        <v>1334</v>
      </c>
      <c r="E334" s="30"/>
      <c r="F334" s="30" t="s">
        <v>28</v>
      </c>
      <c r="G334" s="30"/>
      <c r="H334" s="30" t="s">
        <v>1344</v>
      </c>
      <c r="I334" s="31">
        <f t="shared" si="16"/>
        <v>23</v>
      </c>
      <c r="J334" s="146" t="s">
        <v>1925</v>
      </c>
      <c r="K334" s="31">
        <f t="shared" si="17"/>
        <v>5</v>
      </c>
      <c r="L334" s="32">
        <f t="shared" si="18"/>
        <v>0.8214285714285714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 t="s">
        <v>2279</v>
      </c>
      <c r="Z334" s="70"/>
      <c r="AA334" s="70"/>
      <c r="AB334" s="70"/>
      <c r="AC334" s="70"/>
      <c r="AD334" s="70" t="s">
        <v>2279</v>
      </c>
      <c r="AE334" s="70" t="s">
        <v>2279</v>
      </c>
      <c r="AF334" s="70" t="s">
        <v>2279</v>
      </c>
      <c r="AG334" s="70"/>
      <c r="AH334" s="70"/>
      <c r="AI334" s="70" t="s">
        <v>2279</v>
      </c>
      <c r="AJ334" s="70"/>
      <c r="AK334" s="70"/>
      <c r="AL334" s="70"/>
      <c r="AM334" s="70"/>
      <c r="AN334" s="70"/>
    </row>
    <row r="335" spans="1:40" ht="15.75" hidden="1" thickBot="1" x14ac:dyDescent="0.3">
      <c r="A335" t="s">
        <v>365</v>
      </c>
      <c r="B335" t="s">
        <v>1376</v>
      </c>
      <c r="C335" t="s">
        <v>1061</v>
      </c>
      <c r="D335" s="68" t="s">
        <v>1379</v>
      </c>
      <c r="E335" s="30" t="s">
        <v>19</v>
      </c>
      <c r="F335" s="30" t="s">
        <v>28</v>
      </c>
      <c r="G335" s="30"/>
      <c r="H335" s="30" t="s">
        <v>1391</v>
      </c>
      <c r="I335" s="31">
        <f t="shared" si="16"/>
        <v>21</v>
      </c>
      <c r="J335" s="146" t="s">
        <v>1926</v>
      </c>
      <c r="K335" s="31">
        <f t="shared" si="17"/>
        <v>7</v>
      </c>
      <c r="L335" s="32">
        <f t="shared" si="18"/>
        <v>0.75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 t="s">
        <v>2279</v>
      </c>
      <c r="W335" s="70" t="s">
        <v>2279</v>
      </c>
      <c r="X335" s="70" t="s">
        <v>2279</v>
      </c>
      <c r="Y335" s="70" t="s">
        <v>2279</v>
      </c>
      <c r="Z335" s="70"/>
      <c r="AA335" s="70"/>
      <c r="AB335" s="70"/>
      <c r="AC335" s="70"/>
      <c r="AD335" s="70" t="s">
        <v>2279</v>
      </c>
      <c r="AE335" s="70" t="s">
        <v>2279</v>
      </c>
      <c r="AF335" s="70" t="s">
        <v>2279</v>
      </c>
      <c r="AG335" s="70"/>
      <c r="AH335" s="70"/>
      <c r="AI335" s="70"/>
      <c r="AJ335" s="70"/>
      <c r="AK335" s="70"/>
      <c r="AL335" s="70"/>
      <c r="AM335" s="70"/>
      <c r="AN335" s="70"/>
    </row>
    <row r="336" spans="1:40" ht="15.75" hidden="1" thickBot="1" x14ac:dyDescent="0.3">
      <c r="A336" t="s">
        <v>365</v>
      </c>
      <c r="B336" t="s">
        <v>1377</v>
      </c>
      <c r="C336" t="s">
        <v>1061</v>
      </c>
      <c r="D336" s="68" t="s">
        <v>1380</v>
      </c>
      <c r="E336" s="30" t="s">
        <v>73</v>
      </c>
      <c r="F336" s="30" t="s">
        <v>28</v>
      </c>
      <c r="G336" s="30"/>
      <c r="H336" s="30" t="s">
        <v>1392</v>
      </c>
      <c r="I336" s="31">
        <f t="shared" si="16"/>
        <v>20</v>
      </c>
      <c r="J336" s="146" t="s">
        <v>1927</v>
      </c>
      <c r="K336" s="31">
        <f t="shared" si="17"/>
        <v>8</v>
      </c>
      <c r="L336" s="32">
        <f t="shared" si="18"/>
        <v>0.7142857142857143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 t="s">
        <v>2279</v>
      </c>
      <c r="W336" s="70" t="s">
        <v>2279</v>
      </c>
      <c r="X336" s="70" t="s">
        <v>2279</v>
      </c>
      <c r="Y336" s="70" t="s">
        <v>2279</v>
      </c>
      <c r="Z336" s="70"/>
      <c r="AA336" s="70"/>
      <c r="AB336" s="70"/>
      <c r="AC336" s="70"/>
      <c r="AD336" s="70" t="s">
        <v>2279</v>
      </c>
      <c r="AE336" s="70" t="s">
        <v>2279</v>
      </c>
      <c r="AF336" s="70" t="s">
        <v>2279</v>
      </c>
      <c r="AG336" s="70"/>
      <c r="AH336" s="70"/>
      <c r="AI336" s="70" t="s">
        <v>2279</v>
      </c>
      <c r="AJ336" s="70"/>
      <c r="AK336" s="70"/>
      <c r="AL336" s="70"/>
      <c r="AM336" s="70"/>
      <c r="AN336" s="70"/>
    </row>
    <row r="337" spans="1:40" ht="15.75" hidden="1" thickBot="1" x14ac:dyDescent="0.3">
      <c r="A337" t="s">
        <v>365</v>
      </c>
      <c r="B337" t="s">
        <v>1378</v>
      </c>
      <c r="C337" t="s">
        <v>1061</v>
      </c>
      <c r="D337" s="68" t="s">
        <v>1381</v>
      </c>
      <c r="E337" s="30" t="s">
        <v>73</v>
      </c>
      <c r="F337" s="30" t="s">
        <v>28</v>
      </c>
      <c r="G337" s="30"/>
      <c r="H337" s="30" t="s">
        <v>1393</v>
      </c>
      <c r="I337" s="31">
        <f t="shared" si="16"/>
        <v>20</v>
      </c>
      <c r="J337" s="146" t="s">
        <v>1928</v>
      </c>
      <c r="K337" s="31">
        <f t="shared" si="17"/>
        <v>8</v>
      </c>
      <c r="L337" s="32">
        <f t="shared" si="18"/>
        <v>0.7142857142857143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 t="s">
        <v>2279</v>
      </c>
      <c r="W337" s="70" t="s">
        <v>2279</v>
      </c>
      <c r="X337" s="70" t="s">
        <v>2279</v>
      </c>
      <c r="Y337" s="70" t="s">
        <v>2279</v>
      </c>
      <c r="Z337" s="70"/>
      <c r="AA337" s="70"/>
      <c r="AB337" s="70"/>
      <c r="AC337" s="70"/>
      <c r="AD337" s="70" t="s">
        <v>2279</v>
      </c>
      <c r="AE337" s="70" t="s">
        <v>2279</v>
      </c>
      <c r="AF337" s="70" t="s">
        <v>2279</v>
      </c>
      <c r="AG337" s="70"/>
      <c r="AH337" s="70"/>
      <c r="AI337" s="70" t="s">
        <v>2279</v>
      </c>
      <c r="AJ337" s="70"/>
      <c r="AK337" s="70"/>
      <c r="AL337" s="70"/>
      <c r="AM337" s="70"/>
      <c r="AN337" s="70"/>
    </row>
    <row r="338" spans="1:40" ht="15.75" hidden="1" thickBot="1" x14ac:dyDescent="0.3">
      <c r="A338" t="s">
        <v>365</v>
      </c>
      <c r="B338" t="s">
        <v>2248</v>
      </c>
      <c r="C338" t="s">
        <v>1061</v>
      </c>
      <c r="D338" s="68" t="s">
        <v>2230</v>
      </c>
      <c r="E338" s="85" t="s">
        <v>15</v>
      </c>
      <c r="F338" s="30" t="s">
        <v>28</v>
      </c>
      <c r="G338" s="30"/>
      <c r="H338" s="30" t="s">
        <v>2249</v>
      </c>
      <c r="I338" s="31">
        <f t="shared" si="16"/>
        <v>20</v>
      </c>
      <c r="J338" s="151" t="s">
        <v>2231</v>
      </c>
      <c r="K338" s="31">
        <f t="shared" si="17"/>
        <v>8</v>
      </c>
      <c r="L338" s="32">
        <f t="shared" si="18"/>
        <v>0.7142857142857143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 t="s">
        <v>2279</v>
      </c>
      <c r="W338" s="70" t="s">
        <v>2279</v>
      </c>
      <c r="X338" s="70" t="s">
        <v>2279</v>
      </c>
      <c r="Y338" s="70" t="s">
        <v>2279</v>
      </c>
      <c r="Z338" s="70"/>
      <c r="AA338" s="70"/>
      <c r="AB338" s="70"/>
      <c r="AC338" s="70"/>
      <c r="AD338" s="70" t="s">
        <v>2279</v>
      </c>
      <c r="AE338" s="70" t="s">
        <v>2279</v>
      </c>
      <c r="AF338" s="70" t="s">
        <v>2279</v>
      </c>
      <c r="AG338" s="70"/>
      <c r="AH338" s="70"/>
      <c r="AI338" s="70" t="s">
        <v>2279</v>
      </c>
      <c r="AJ338" s="70"/>
      <c r="AK338" s="70"/>
      <c r="AL338" s="70"/>
      <c r="AM338" s="70"/>
      <c r="AN338" s="70"/>
    </row>
    <row r="339" spans="1:40" ht="15.75" hidden="1" thickBot="1" x14ac:dyDescent="0.3">
      <c r="A339" t="s">
        <v>365</v>
      </c>
      <c r="B339" t="s">
        <v>2232</v>
      </c>
      <c r="C339" t="s">
        <v>1061</v>
      </c>
      <c r="D339" s="68" t="s">
        <v>2233</v>
      </c>
      <c r="E339" s="85" t="s">
        <v>15</v>
      </c>
      <c r="F339" s="30" t="s">
        <v>28</v>
      </c>
      <c r="G339" s="30"/>
      <c r="H339" s="30" t="s">
        <v>2234</v>
      </c>
      <c r="I339" s="31">
        <f t="shared" si="16"/>
        <v>20</v>
      </c>
      <c r="J339" s="146" t="s">
        <v>2235</v>
      </c>
      <c r="K339" s="31">
        <f t="shared" si="17"/>
        <v>8</v>
      </c>
      <c r="L339" s="32">
        <f t="shared" si="18"/>
        <v>0.7142857142857143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 t="s">
        <v>2279</v>
      </c>
      <c r="W339" s="70" t="s">
        <v>2279</v>
      </c>
      <c r="X339" s="70" t="s">
        <v>2279</v>
      </c>
      <c r="Y339" s="70" t="s">
        <v>2279</v>
      </c>
      <c r="Z339" s="70"/>
      <c r="AA339" s="70"/>
      <c r="AB339" s="70"/>
      <c r="AC339" s="70"/>
      <c r="AD339" s="70" t="s">
        <v>2279</v>
      </c>
      <c r="AE339" s="70" t="s">
        <v>2279</v>
      </c>
      <c r="AF339" s="70" t="s">
        <v>2279</v>
      </c>
      <c r="AG339" s="70"/>
      <c r="AH339" s="70"/>
      <c r="AI339" s="70" t="s">
        <v>2279</v>
      </c>
      <c r="AJ339" s="70"/>
      <c r="AK339" s="70"/>
      <c r="AL339" s="70"/>
      <c r="AM339" s="70"/>
      <c r="AN339" s="70"/>
    </row>
    <row r="340" spans="1:40" s="73" customFormat="1" ht="15.75" hidden="1" thickBot="1" x14ac:dyDescent="0.3">
      <c r="A340" s="73" t="s">
        <v>375</v>
      </c>
      <c r="B340" s="73" t="s">
        <v>999</v>
      </c>
      <c r="C340" s="73" t="s">
        <v>1061</v>
      </c>
      <c r="D340" s="73" t="s">
        <v>376</v>
      </c>
      <c r="E340" s="85" t="s">
        <v>15</v>
      </c>
      <c r="F340" s="85" t="s">
        <v>28</v>
      </c>
      <c r="G340" s="85"/>
      <c r="H340" s="85" t="s">
        <v>775</v>
      </c>
      <c r="I340" s="87">
        <f t="shared" si="16"/>
        <v>28</v>
      </c>
      <c r="J340" s="146" t="s">
        <v>1929</v>
      </c>
      <c r="K340" s="87">
        <f t="shared" si="17"/>
        <v>0</v>
      </c>
      <c r="L340" s="88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</row>
    <row r="341" spans="1:40" ht="15.75" hidden="1" thickBot="1" x14ac:dyDescent="0.3">
      <c r="A341" t="s">
        <v>375</v>
      </c>
      <c r="B341" t="s">
        <v>1000</v>
      </c>
      <c r="C341" t="s">
        <v>1061</v>
      </c>
      <c r="D341" t="s">
        <v>377</v>
      </c>
      <c r="E341" s="30" t="s">
        <v>15</v>
      </c>
      <c r="F341" s="30" t="s">
        <v>28</v>
      </c>
      <c r="G341" s="30"/>
      <c r="H341" s="30" t="s">
        <v>778</v>
      </c>
      <c r="I341" s="31">
        <f t="shared" si="16"/>
        <v>28</v>
      </c>
      <c r="J341" s="146" t="s">
        <v>1930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</row>
    <row r="342" spans="1:40" ht="15.75" hidden="1" thickBot="1" x14ac:dyDescent="0.3">
      <c r="A342" t="s">
        <v>375</v>
      </c>
      <c r="B342" t="s">
        <v>378</v>
      </c>
      <c r="C342" t="s">
        <v>1061</v>
      </c>
      <c r="D342" t="s">
        <v>379</v>
      </c>
      <c r="E342" s="30" t="s">
        <v>73</v>
      </c>
      <c r="F342" s="30" t="s">
        <v>28</v>
      </c>
      <c r="G342" s="30"/>
      <c r="H342" s="30" t="s">
        <v>776</v>
      </c>
      <c r="I342" s="31">
        <f t="shared" si="16"/>
        <v>28</v>
      </c>
      <c r="J342" s="146" t="s">
        <v>1931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</row>
    <row r="343" spans="1:40" ht="15.75" hidden="1" thickBot="1" x14ac:dyDescent="0.3">
      <c r="A343" t="s">
        <v>375</v>
      </c>
      <c r="B343" t="s">
        <v>380</v>
      </c>
      <c r="C343" t="s">
        <v>1061</v>
      </c>
      <c r="D343" t="s">
        <v>379</v>
      </c>
      <c r="E343" s="30" t="s">
        <v>73</v>
      </c>
      <c r="F343" s="30" t="s">
        <v>28</v>
      </c>
      <c r="G343" s="30"/>
      <c r="H343" s="30" t="s">
        <v>777</v>
      </c>
      <c r="I343" s="31">
        <f t="shared" si="16"/>
        <v>28</v>
      </c>
      <c r="J343" s="146" t="s">
        <v>1932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</row>
    <row r="344" spans="1:40" ht="15.75" hidden="1" thickBot="1" x14ac:dyDescent="0.3">
      <c r="A344" t="s">
        <v>375</v>
      </c>
      <c r="B344" t="s">
        <v>990</v>
      </c>
      <c r="C344" t="s">
        <v>1061</v>
      </c>
      <c r="D344" t="s">
        <v>381</v>
      </c>
      <c r="E344" s="30" t="s">
        <v>15</v>
      </c>
      <c r="F344" s="30" t="s">
        <v>28</v>
      </c>
      <c r="G344" s="30"/>
      <c r="H344" s="30" t="s">
        <v>779</v>
      </c>
      <c r="I344" s="31">
        <f t="shared" si="16"/>
        <v>28</v>
      </c>
      <c r="J344" s="146" t="s">
        <v>1933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</row>
    <row r="345" spans="1:40" ht="15.75" hidden="1" thickBot="1" x14ac:dyDescent="0.3">
      <c r="A345" t="s">
        <v>375</v>
      </c>
      <c r="B345" t="s">
        <v>991</v>
      </c>
      <c r="C345" t="s">
        <v>1061</v>
      </c>
      <c r="D345" t="s">
        <v>992</v>
      </c>
      <c r="E345" s="30" t="s">
        <v>19</v>
      </c>
      <c r="F345" s="30" t="s">
        <v>28</v>
      </c>
      <c r="G345" s="30"/>
      <c r="H345" s="30" t="s">
        <v>904</v>
      </c>
      <c r="I345" s="31">
        <f t="shared" si="16"/>
        <v>26</v>
      </c>
      <c r="J345" s="146" t="s">
        <v>1934</v>
      </c>
      <c r="K345" s="31">
        <f t="shared" si="17"/>
        <v>2</v>
      </c>
      <c r="L345" s="32">
        <f t="shared" si="18"/>
        <v>0.9285714285714286</v>
      </c>
      <c r="M345" s="70"/>
      <c r="N345" s="70"/>
      <c r="O345" s="70"/>
      <c r="P345" s="70"/>
      <c r="Q345" s="70"/>
      <c r="R345" s="70"/>
      <c r="S345" s="70"/>
      <c r="T345" s="70"/>
      <c r="U345" s="70" t="s">
        <v>2279</v>
      </c>
      <c r="V345" s="70" t="s">
        <v>2279</v>
      </c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</row>
    <row r="346" spans="1:40" ht="15.75" hidden="1" thickBot="1" x14ac:dyDescent="0.3">
      <c r="A346" t="s">
        <v>375</v>
      </c>
      <c r="B346" t="s">
        <v>993</v>
      </c>
      <c r="C346" t="s">
        <v>1061</v>
      </c>
      <c r="D346" t="s">
        <v>994</v>
      </c>
      <c r="E346" s="30" t="s">
        <v>19</v>
      </c>
      <c r="F346" s="30" t="s">
        <v>28</v>
      </c>
      <c r="G346" s="30"/>
      <c r="H346" s="30" t="s">
        <v>905</v>
      </c>
      <c r="I346" s="31">
        <f t="shared" si="16"/>
        <v>28</v>
      </c>
      <c r="J346" s="146" t="s">
        <v>1935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</row>
    <row r="347" spans="1:40" ht="15.75" hidden="1" thickBot="1" x14ac:dyDescent="0.3">
      <c r="A347" t="s">
        <v>375</v>
      </c>
      <c r="B347" t="s">
        <v>995</v>
      </c>
      <c r="C347" t="s">
        <v>1061</v>
      </c>
      <c r="D347" t="s">
        <v>996</v>
      </c>
      <c r="E347" s="30" t="s">
        <v>19</v>
      </c>
      <c r="F347" s="30" t="s">
        <v>28</v>
      </c>
      <c r="G347" s="30"/>
      <c r="H347" s="30" t="s">
        <v>906</v>
      </c>
      <c r="I347" s="31">
        <f t="shared" si="16"/>
        <v>28</v>
      </c>
      <c r="J347" s="146" t="s">
        <v>1936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</row>
    <row r="348" spans="1:40" ht="15.75" hidden="1" thickBot="1" x14ac:dyDescent="0.3">
      <c r="A348" t="s">
        <v>375</v>
      </c>
      <c r="B348" t="s">
        <v>997</v>
      </c>
      <c r="C348" t="s">
        <v>1061</v>
      </c>
      <c r="D348" t="s">
        <v>998</v>
      </c>
      <c r="E348" s="30" t="s">
        <v>19</v>
      </c>
      <c r="F348" s="30" t="s">
        <v>28</v>
      </c>
      <c r="G348" s="30"/>
      <c r="H348" s="30" t="s">
        <v>907</v>
      </c>
      <c r="I348" s="31">
        <f t="shared" si="16"/>
        <v>26</v>
      </c>
      <c r="J348" s="146" t="s">
        <v>1937</v>
      </c>
      <c r="K348" s="31">
        <f t="shared" si="17"/>
        <v>2</v>
      </c>
      <c r="L348" s="32">
        <f t="shared" si="18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 t="s">
        <v>2279</v>
      </c>
      <c r="V348" s="70" t="s">
        <v>2279</v>
      </c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</row>
    <row r="349" spans="1:40" ht="15.75" hidden="1" thickBot="1" x14ac:dyDescent="0.3">
      <c r="A349" t="s">
        <v>375</v>
      </c>
      <c r="B349" t="s">
        <v>1172</v>
      </c>
      <c r="C349" t="s">
        <v>1061</v>
      </c>
      <c r="D349" t="s">
        <v>1155</v>
      </c>
      <c r="E349" s="30" t="s">
        <v>19</v>
      </c>
      <c r="F349" s="30" t="s">
        <v>28</v>
      </c>
      <c r="G349" s="30"/>
      <c r="H349" s="30" t="s">
        <v>1157</v>
      </c>
      <c r="I349" s="31">
        <f t="shared" si="16"/>
        <v>28</v>
      </c>
      <c r="J349" s="146" t="s">
        <v>1938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</row>
    <row r="350" spans="1:40" ht="15.75" hidden="1" thickBot="1" x14ac:dyDescent="0.3">
      <c r="A350" t="s">
        <v>375</v>
      </c>
      <c r="B350" t="s">
        <v>1173</v>
      </c>
      <c r="C350" t="s">
        <v>1061</v>
      </c>
      <c r="D350" t="s">
        <v>1155</v>
      </c>
      <c r="E350" s="30" t="s">
        <v>19</v>
      </c>
      <c r="F350" s="30" t="s">
        <v>28</v>
      </c>
      <c r="G350" s="30"/>
      <c r="H350" s="30" t="s">
        <v>1158</v>
      </c>
      <c r="I350" s="31">
        <f t="shared" si="16"/>
        <v>28</v>
      </c>
      <c r="J350" s="146" t="s">
        <v>1939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</row>
    <row r="351" spans="1:40" ht="15.75" hidden="1" thickBot="1" x14ac:dyDescent="0.3">
      <c r="A351" t="s">
        <v>375</v>
      </c>
      <c r="B351" t="s">
        <v>1191</v>
      </c>
      <c r="C351" t="s">
        <v>1061</v>
      </c>
      <c r="D351" t="s">
        <v>1154</v>
      </c>
      <c r="E351" s="30" t="s">
        <v>15</v>
      </c>
      <c r="F351" s="30" t="s">
        <v>28</v>
      </c>
      <c r="G351" s="30"/>
      <c r="H351" s="30" t="s">
        <v>1156</v>
      </c>
      <c r="I351" s="31">
        <f t="shared" si="16"/>
        <v>28</v>
      </c>
      <c r="J351" s="146" t="s">
        <v>1940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</row>
    <row r="352" spans="1:40" ht="15.75" hidden="1" thickBot="1" x14ac:dyDescent="0.3">
      <c r="A352" t="s">
        <v>375</v>
      </c>
      <c r="B352" t="s">
        <v>1294</v>
      </c>
      <c r="C352" t="s">
        <v>1061</v>
      </c>
      <c r="D352" t="s">
        <v>1295</v>
      </c>
      <c r="E352" s="30" t="s">
        <v>73</v>
      </c>
      <c r="F352" s="30" t="s">
        <v>28</v>
      </c>
      <c r="G352" s="30"/>
      <c r="H352" s="30" t="s">
        <v>1481</v>
      </c>
      <c r="I352" s="31">
        <f t="shared" si="16"/>
        <v>28</v>
      </c>
      <c r="J352" s="146" t="s">
        <v>1941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</row>
    <row r="353" spans="1:40" ht="15.75" hidden="1" thickBot="1" x14ac:dyDescent="0.3">
      <c r="A353" t="s">
        <v>375</v>
      </c>
      <c r="B353" t="s">
        <v>1382</v>
      </c>
      <c r="C353" t="s">
        <v>1061</v>
      </c>
      <c r="D353" s="68" t="s">
        <v>1385</v>
      </c>
      <c r="E353" s="30" t="s">
        <v>15</v>
      </c>
      <c r="F353" s="30" t="s">
        <v>1054</v>
      </c>
      <c r="G353" s="30"/>
      <c r="H353" s="30" t="s">
        <v>1389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</row>
    <row r="354" spans="1:40" ht="15.75" hidden="1" thickBot="1" x14ac:dyDescent="0.3">
      <c r="A354" t="s">
        <v>375</v>
      </c>
      <c r="B354" t="s">
        <v>1383</v>
      </c>
      <c r="C354" t="s">
        <v>1061</v>
      </c>
      <c r="D354" s="68" t="s">
        <v>1386</v>
      </c>
      <c r="E354" s="30" t="s">
        <v>73</v>
      </c>
      <c r="F354" s="30" t="s">
        <v>1054</v>
      </c>
      <c r="G354" s="30"/>
      <c r="H354" s="30" t="s">
        <v>1390</v>
      </c>
      <c r="I354" s="31">
        <f t="shared" si="16"/>
        <v>28</v>
      </c>
      <c r="J354" s="87"/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</row>
    <row r="355" spans="1:40" ht="15.75" hidden="1" thickBot="1" x14ac:dyDescent="0.3">
      <c r="A355" t="s">
        <v>375</v>
      </c>
      <c r="B355" t="s">
        <v>1384</v>
      </c>
      <c r="C355" t="s">
        <v>1061</v>
      </c>
      <c r="D355" s="68" t="s">
        <v>1387</v>
      </c>
      <c r="E355" s="30" t="s">
        <v>15</v>
      </c>
      <c r="F355" s="30" t="s">
        <v>28</v>
      </c>
      <c r="G355" s="30"/>
      <c r="H355" s="30" t="s">
        <v>1498</v>
      </c>
      <c r="I355" s="31">
        <f t="shared" si="16"/>
        <v>28</v>
      </c>
      <c r="J355" s="146" t="s">
        <v>1942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</row>
    <row r="356" spans="1:40" s="73" customFormat="1" ht="15.75" hidden="1" thickBot="1" x14ac:dyDescent="0.3">
      <c r="A356" s="73" t="s">
        <v>897</v>
      </c>
      <c r="B356" s="73" t="s">
        <v>1001</v>
      </c>
      <c r="C356" s="73" t="s">
        <v>1061</v>
      </c>
      <c r="D356" s="73" t="s">
        <v>1002</v>
      </c>
      <c r="E356" s="85" t="s">
        <v>1055</v>
      </c>
      <c r="F356" s="85" t="s">
        <v>1299</v>
      </c>
      <c r="G356" s="30"/>
      <c r="H356" s="85" t="s">
        <v>899</v>
      </c>
      <c r="I356" s="141">
        <f t="shared" si="16"/>
        <v>28</v>
      </c>
      <c r="J356" s="87"/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</row>
    <row r="357" spans="1:40" s="73" customFormat="1" ht="15.75" hidden="1" thickBot="1" x14ac:dyDescent="0.3">
      <c r="A357" s="73" t="s">
        <v>897</v>
      </c>
      <c r="B357" s="73" t="s">
        <v>896</v>
      </c>
      <c r="C357" s="73" t="s">
        <v>1061</v>
      </c>
      <c r="D357" s="73" t="s">
        <v>1002</v>
      </c>
      <c r="E357" s="85" t="s">
        <v>1056</v>
      </c>
      <c r="F357" s="85" t="s">
        <v>1299</v>
      </c>
      <c r="G357" s="30"/>
      <c r="H357" s="85" t="s">
        <v>898</v>
      </c>
      <c r="I357" s="141">
        <f t="shared" si="16"/>
        <v>28</v>
      </c>
      <c r="J357" s="87"/>
      <c r="K357" s="141">
        <f t="shared" si="17"/>
        <v>0</v>
      </c>
      <c r="L357" s="14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</row>
    <row r="358" spans="1:40" ht="15.75" hidden="1" thickBot="1" x14ac:dyDescent="0.3">
      <c r="A358" t="s">
        <v>264</v>
      </c>
      <c r="B358" t="s">
        <v>382</v>
      </c>
      <c r="C358" t="s">
        <v>1060</v>
      </c>
      <c r="D358" t="s">
        <v>383</v>
      </c>
      <c r="E358" s="30" t="s">
        <v>19</v>
      </c>
      <c r="F358" s="30" t="s">
        <v>28</v>
      </c>
      <c r="G358" s="30"/>
      <c r="H358" s="30" t="s">
        <v>780</v>
      </c>
      <c r="I358" s="31">
        <f t="shared" si="16"/>
        <v>28</v>
      </c>
      <c r="J358" s="146" t="s">
        <v>1943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</row>
    <row r="359" spans="1:40" s="73" customFormat="1" ht="15.75" hidden="1" thickBot="1" x14ac:dyDescent="0.3">
      <c r="A359" s="73" t="s">
        <v>264</v>
      </c>
      <c r="B359" s="73" t="s">
        <v>1003</v>
      </c>
      <c r="C359" s="73" t="s">
        <v>1060</v>
      </c>
      <c r="D359" s="73" t="s">
        <v>338</v>
      </c>
      <c r="E359" s="85" t="s">
        <v>73</v>
      </c>
      <c r="F359" s="85" t="s">
        <v>1299</v>
      </c>
      <c r="G359" s="30"/>
      <c r="H359" s="85" t="s">
        <v>749</v>
      </c>
      <c r="I359" s="141">
        <f t="shared" si="16"/>
        <v>28</v>
      </c>
      <c r="J359" s="146" t="s">
        <v>1944</v>
      </c>
      <c r="K359" s="141">
        <f t="shared" si="17"/>
        <v>0</v>
      </c>
      <c r="L359" s="14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</row>
    <row r="360" spans="1:40" s="73" customFormat="1" ht="15.75" hidden="1" thickBot="1" x14ac:dyDescent="0.3">
      <c r="A360" s="73" t="s">
        <v>264</v>
      </c>
      <c r="B360" s="73" t="s">
        <v>1004</v>
      </c>
      <c r="C360" s="73" t="s">
        <v>1060</v>
      </c>
      <c r="D360" s="73" t="s">
        <v>338</v>
      </c>
      <c r="E360" s="85" t="s">
        <v>73</v>
      </c>
      <c r="F360" s="85" t="s">
        <v>1299</v>
      </c>
      <c r="G360" s="30"/>
      <c r="H360" s="85" t="s">
        <v>750</v>
      </c>
      <c r="I360" s="141">
        <f t="shared" si="16"/>
        <v>28</v>
      </c>
      <c r="J360" s="146" t="s">
        <v>1945</v>
      </c>
      <c r="K360" s="141">
        <f t="shared" si="17"/>
        <v>0</v>
      </c>
      <c r="L360" s="14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</row>
    <row r="361" spans="1:40" ht="15.75" hidden="1" thickBot="1" x14ac:dyDescent="0.3">
      <c r="A361" t="s">
        <v>264</v>
      </c>
      <c r="B361" t="s">
        <v>1005</v>
      </c>
      <c r="C361" t="s">
        <v>1060</v>
      </c>
      <c r="D361" t="s">
        <v>1006</v>
      </c>
      <c r="E361" s="30" t="s">
        <v>19</v>
      </c>
      <c r="F361" s="30" t="s">
        <v>28</v>
      </c>
      <c r="G361" s="30"/>
      <c r="H361" s="30" t="s">
        <v>2225</v>
      </c>
      <c r="I361" s="31">
        <f t="shared" si="16"/>
        <v>28</v>
      </c>
      <c r="J361" s="146" t="s">
        <v>1946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</row>
    <row r="362" spans="1:40" ht="15.75" hidden="1" thickBot="1" x14ac:dyDescent="0.3">
      <c r="A362" t="s">
        <v>264</v>
      </c>
      <c r="B362" t="s">
        <v>1007</v>
      </c>
      <c r="C362" t="s">
        <v>1060</v>
      </c>
      <c r="D362" t="s">
        <v>1008</v>
      </c>
      <c r="E362" s="30" t="s">
        <v>19</v>
      </c>
      <c r="F362" s="30" t="s">
        <v>28</v>
      </c>
      <c r="G362" s="30"/>
      <c r="H362" s="30" t="s">
        <v>2226</v>
      </c>
      <c r="I362" s="31">
        <f t="shared" si="16"/>
        <v>28</v>
      </c>
      <c r="J362" s="146" t="s">
        <v>1947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</row>
    <row r="363" spans="1:40" ht="15.75" hidden="1" thickBot="1" x14ac:dyDescent="0.3">
      <c r="A363" t="s">
        <v>264</v>
      </c>
      <c r="B363" t="s">
        <v>1128</v>
      </c>
      <c r="C363" t="s">
        <v>1060</v>
      </c>
      <c r="D363" t="s">
        <v>1125</v>
      </c>
      <c r="E363" s="30" t="s">
        <v>73</v>
      </c>
      <c r="F363" s="30" t="s">
        <v>28</v>
      </c>
      <c r="G363" s="30"/>
      <c r="H363" s="30" t="s">
        <v>1134</v>
      </c>
      <c r="I363" s="31">
        <f t="shared" si="16"/>
        <v>28</v>
      </c>
      <c r="J363" s="146" t="s">
        <v>1948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</row>
    <row r="364" spans="1:40" ht="15.75" hidden="1" thickBot="1" x14ac:dyDescent="0.3">
      <c r="A364" t="s">
        <v>264</v>
      </c>
      <c r="B364" t="s">
        <v>1129</v>
      </c>
      <c r="C364" t="s">
        <v>1060</v>
      </c>
      <c r="D364" t="s">
        <v>1125</v>
      </c>
      <c r="E364" s="30" t="s">
        <v>73</v>
      </c>
      <c r="F364" s="30" t="s">
        <v>28</v>
      </c>
      <c r="G364" s="30"/>
      <c r="H364" s="30" t="s">
        <v>1135</v>
      </c>
      <c r="I364" s="31">
        <f t="shared" si="16"/>
        <v>28</v>
      </c>
      <c r="J364" s="146" t="s">
        <v>1949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</row>
    <row r="365" spans="1:40" ht="15.75" hidden="1" thickBot="1" x14ac:dyDescent="0.3">
      <c r="A365" t="s">
        <v>264</v>
      </c>
      <c r="B365" t="s">
        <v>1130</v>
      </c>
      <c r="C365" t="s">
        <v>1060</v>
      </c>
      <c r="D365" t="s">
        <v>1126</v>
      </c>
      <c r="E365" s="30" t="s">
        <v>73</v>
      </c>
      <c r="F365" s="30" t="s">
        <v>28</v>
      </c>
      <c r="G365" s="30"/>
      <c r="H365" s="30" t="s">
        <v>1136</v>
      </c>
      <c r="I365" s="31">
        <f t="shared" si="16"/>
        <v>28</v>
      </c>
      <c r="J365" s="146" t="s">
        <v>1950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</row>
    <row r="366" spans="1:40" ht="15.75" hidden="1" thickBot="1" x14ac:dyDescent="0.3">
      <c r="A366" t="s">
        <v>264</v>
      </c>
      <c r="B366" t="s">
        <v>1131</v>
      </c>
      <c r="C366" t="s">
        <v>1060</v>
      </c>
      <c r="D366" t="s">
        <v>1126</v>
      </c>
      <c r="E366" s="30" t="s">
        <v>73</v>
      </c>
      <c r="F366" s="30" t="s">
        <v>28</v>
      </c>
      <c r="G366" s="30"/>
      <c r="H366" s="30" t="s">
        <v>1137</v>
      </c>
      <c r="I366" s="31">
        <f t="shared" si="16"/>
        <v>28</v>
      </c>
      <c r="J366" s="146" t="s">
        <v>1951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</row>
    <row r="367" spans="1:40" ht="15.75" hidden="1" thickBot="1" x14ac:dyDescent="0.3">
      <c r="A367" s="73" t="s">
        <v>1318</v>
      </c>
      <c r="B367" t="s">
        <v>1231</v>
      </c>
      <c r="C367" t="s">
        <v>1060</v>
      </c>
      <c r="D367" t="s">
        <v>1232</v>
      </c>
      <c r="E367" t="s">
        <v>19</v>
      </c>
      <c r="F367" t="s">
        <v>28</v>
      </c>
      <c r="G367"/>
      <c r="H367" s="30" t="s">
        <v>1238</v>
      </c>
      <c r="I367" s="31">
        <f t="shared" si="16"/>
        <v>28</v>
      </c>
      <c r="J367" s="146" t="s">
        <v>1952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</row>
    <row r="368" spans="1:40" ht="15.75" hidden="1" thickBot="1" x14ac:dyDescent="0.3">
      <c r="A368" s="73" t="s">
        <v>1318</v>
      </c>
      <c r="B368" t="s">
        <v>1233</v>
      </c>
      <c r="C368" t="s">
        <v>1060</v>
      </c>
      <c r="D368" t="s">
        <v>1234</v>
      </c>
      <c r="E368" t="s">
        <v>19</v>
      </c>
      <c r="F368" t="s">
        <v>28</v>
      </c>
      <c r="G368"/>
      <c r="H368" s="30" t="s">
        <v>1239</v>
      </c>
      <c r="I368" s="31">
        <f t="shared" si="16"/>
        <v>28</v>
      </c>
      <c r="J368" s="146" t="s">
        <v>1953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</row>
    <row r="369" spans="1:40" s="73" customFormat="1" ht="15.75" hidden="1" thickBot="1" x14ac:dyDescent="0.3">
      <c r="A369" s="73" t="s">
        <v>1318</v>
      </c>
      <c r="B369" s="73" t="s">
        <v>1570</v>
      </c>
      <c r="C369" s="73" t="s">
        <v>1060</v>
      </c>
      <c r="D369" s="73" t="s">
        <v>1573</v>
      </c>
      <c r="E369" s="85" t="s">
        <v>73</v>
      </c>
      <c r="F369" s="85" t="s">
        <v>1299</v>
      </c>
      <c r="G369"/>
      <c r="H369" s="85" t="s">
        <v>1574</v>
      </c>
      <c r="I369" s="31">
        <f t="shared" si="16"/>
        <v>28</v>
      </c>
      <c r="J369" s="146" t="s">
        <v>1954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</row>
    <row r="370" spans="1:40" s="73" customFormat="1" ht="15.75" hidden="1" thickBot="1" x14ac:dyDescent="0.3">
      <c r="A370" s="73" t="s">
        <v>1318</v>
      </c>
      <c r="B370" s="73" t="s">
        <v>1571</v>
      </c>
      <c r="C370" s="73" t="s">
        <v>1060</v>
      </c>
      <c r="D370" s="73" t="s">
        <v>1575</v>
      </c>
      <c r="E370" s="73" t="s">
        <v>73</v>
      </c>
      <c r="F370" s="85" t="s">
        <v>1299</v>
      </c>
      <c r="G370"/>
      <c r="H370" s="85" t="s">
        <v>1576</v>
      </c>
      <c r="I370" s="31">
        <f t="shared" si="16"/>
        <v>26</v>
      </c>
      <c r="J370" s="146" t="s">
        <v>1955</v>
      </c>
      <c r="K370" s="31">
        <f t="shared" si="17"/>
        <v>2</v>
      </c>
      <c r="L370" s="32">
        <f t="shared" si="18"/>
        <v>0.9285714285714286</v>
      </c>
      <c r="M370" s="70"/>
      <c r="N370" s="70"/>
      <c r="O370" s="70"/>
      <c r="P370" s="70"/>
      <c r="Q370" s="70"/>
      <c r="R370" s="70"/>
      <c r="S370" s="70"/>
      <c r="T370" s="70"/>
      <c r="U370" s="70" t="s">
        <v>2279</v>
      </c>
      <c r="V370" s="70" t="s">
        <v>2279</v>
      </c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</row>
    <row r="371" spans="1:40" s="73" customFormat="1" ht="15.75" hidden="1" thickBot="1" x14ac:dyDescent="0.3">
      <c r="A371" s="73" t="s">
        <v>1318</v>
      </c>
      <c r="B371" s="73" t="s">
        <v>1572</v>
      </c>
      <c r="C371" s="73" t="s">
        <v>1060</v>
      </c>
      <c r="D371" s="73" t="s">
        <v>1577</v>
      </c>
      <c r="E371" s="73" t="s">
        <v>73</v>
      </c>
      <c r="F371" s="85" t="s">
        <v>1299</v>
      </c>
      <c r="G371"/>
      <c r="H371" s="85" t="s">
        <v>1578</v>
      </c>
      <c r="I371" s="31">
        <f t="shared" si="16"/>
        <v>28</v>
      </c>
      <c r="J371" s="146" t="s">
        <v>1956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</row>
    <row r="372" spans="1:40" s="73" customFormat="1" ht="15.75" hidden="1" thickBot="1" x14ac:dyDescent="0.3">
      <c r="A372" s="73" t="s">
        <v>1318</v>
      </c>
      <c r="B372" s="73" t="s">
        <v>1627</v>
      </c>
      <c r="C372" s="73" t="s">
        <v>1060</v>
      </c>
      <c r="D372" s="73" t="s">
        <v>1628</v>
      </c>
      <c r="E372" s="73" t="s">
        <v>19</v>
      </c>
      <c r="F372" s="85" t="s">
        <v>1299</v>
      </c>
      <c r="G372"/>
      <c r="H372" s="85" t="s">
        <v>1629</v>
      </c>
      <c r="I372" s="31">
        <f t="shared" si="16"/>
        <v>28</v>
      </c>
      <c r="J372" s="146" t="s">
        <v>2138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</row>
    <row r="373" spans="1:40" ht="15.75" hidden="1" thickBot="1" x14ac:dyDescent="0.3">
      <c r="A373" t="s">
        <v>384</v>
      </c>
      <c r="B373" t="s">
        <v>385</v>
      </c>
      <c r="C373" t="s">
        <v>1060</v>
      </c>
      <c r="D373" t="s">
        <v>386</v>
      </c>
      <c r="E373" s="30" t="s">
        <v>19</v>
      </c>
      <c r="F373" s="30" t="s">
        <v>28</v>
      </c>
      <c r="G373"/>
      <c r="H373" s="30" t="s">
        <v>781</v>
      </c>
      <c r="I373" s="31">
        <f t="shared" si="16"/>
        <v>28</v>
      </c>
      <c r="J373" s="146" t="s">
        <v>1957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</row>
    <row r="374" spans="1:40" ht="15.75" hidden="1" thickBot="1" x14ac:dyDescent="0.3">
      <c r="A374" t="s">
        <v>384</v>
      </c>
      <c r="B374" t="s">
        <v>387</v>
      </c>
      <c r="C374" t="s">
        <v>1060</v>
      </c>
      <c r="D374" t="s">
        <v>388</v>
      </c>
      <c r="E374" s="30" t="s">
        <v>19</v>
      </c>
      <c r="F374" s="30" t="s">
        <v>28</v>
      </c>
      <c r="G374"/>
      <c r="H374" s="30" t="s">
        <v>782</v>
      </c>
      <c r="I374" s="31">
        <f t="shared" si="16"/>
        <v>28</v>
      </c>
      <c r="J374" s="146" t="s">
        <v>1958</v>
      </c>
      <c r="K374" s="31">
        <f t="shared" si="17"/>
        <v>0</v>
      </c>
      <c r="L374" s="3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</row>
    <row r="375" spans="1:40" s="73" customFormat="1" ht="15.75" hidden="1" thickBot="1" x14ac:dyDescent="0.3">
      <c r="A375" s="73" t="s">
        <v>389</v>
      </c>
      <c r="B375" s="73" t="s">
        <v>390</v>
      </c>
      <c r="C375" s="73" t="s">
        <v>1060</v>
      </c>
      <c r="D375" s="73" t="s">
        <v>391</v>
      </c>
      <c r="E375" s="85" t="s">
        <v>19</v>
      </c>
      <c r="F375" s="85" t="s">
        <v>1299</v>
      </c>
      <c r="G375"/>
      <c r="H375" s="85" t="s">
        <v>1480</v>
      </c>
      <c r="I375" s="141">
        <f t="shared" si="16"/>
        <v>28</v>
      </c>
      <c r="J375" s="87"/>
      <c r="K375" s="141">
        <f t="shared" si="17"/>
        <v>0</v>
      </c>
      <c r="L375" s="14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</row>
    <row r="376" spans="1:40" s="73" customFormat="1" ht="15.75" hidden="1" thickBot="1" x14ac:dyDescent="0.3">
      <c r="A376" s="73" t="s">
        <v>384</v>
      </c>
      <c r="B376" s="73" t="s">
        <v>2168</v>
      </c>
      <c r="C376" s="73" t="s">
        <v>1060</v>
      </c>
      <c r="D376" s="73" t="s">
        <v>2169</v>
      </c>
      <c r="E376" s="85" t="s">
        <v>73</v>
      </c>
      <c r="F376" s="30" t="s">
        <v>28</v>
      </c>
      <c r="G376"/>
      <c r="H376" s="85" t="s">
        <v>2170</v>
      </c>
      <c r="I376" s="141">
        <f t="shared" si="16"/>
        <v>28</v>
      </c>
      <c r="J376" s="151" t="s">
        <v>2171</v>
      </c>
      <c r="K376" s="141">
        <f t="shared" si="17"/>
        <v>0</v>
      </c>
      <c r="L376" s="14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</row>
    <row r="377" spans="1:40" ht="15.75" hidden="1" thickBot="1" x14ac:dyDescent="0.3">
      <c r="A377" t="s">
        <v>294</v>
      </c>
      <c r="B377" t="s">
        <v>392</v>
      </c>
      <c r="C377" t="s">
        <v>1060</v>
      </c>
      <c r="D377" t="s">
        <v>393</v>
      </c>
      <c r="E377" s="30" t="s">
        <v>19</v>
      </c>
      <c r="F377" s="30" t="s">
        <v>28</v>
      </c>
      <c r="G377"/>
      <c r="H377" s="30" t="s">
        <v>785</v>
      </c>
      <c r="I377" s="31">
        <f t="shared" si="16"/>
        <v>28</v>
      </c>
      <c r="J377" s="146" t="s">
        <v>1959</v>
      </c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</row>
    <row r="378" spans="1:40" ht="15.75" hidden="1" thickBot="1" x14ac:dyDescent="0.3">
      <c r="A378" t="s">
        <v>294</v>
      </c>
      <c r="B378" t="s">
        <v>1009</v>
      </c>
      <c r="C378" t="s">
        <v>1060</v>
      </c>
      <c r="D378" t="s">
        <v>394</v>
      </c>
      <c r="E378" s="30" t="s">
        <v>19</v>
      </c>
      <c r="F378" s="30" t="s">
        <v>28</v>
      </c>
      <c r="G378" s="30"/>
      <c r="H378" s="30" t="s">
        <v>786</v>
      </c>
      <c r="I378" s="31">
        <f t="shared" si="16"/>
        <v>28</v>
      </c>
      <c r="J378" s="87"/>
      <c r="K378" s="31">
        <f t="shared" si="17"/>
        <v>0</v>
      </c>
      <c r="L378" s="32">
        <f t="shared" si="18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</row>
    <row r="379" spans="1:40" ht="15.75" hidden="1" thickBot="1" x14ac:dyDescent="0.3">
      <c r="A379" t="s">
        <v>294</v>
      </c>
      <c r="B379" t="s">
        <v>395</v>
      </c>
      <c r="C379" t="s">
        <v>1060</v>
      </c>
      <c r="D379" t="s">
        <v>396</v>
      </c>
      <c r="E379" s="30" t="s">
        <v>73</v>
      </c>
      <c r="F379" s="30" t="s">
        <v>28</v>
      </c>
      <c r="G379" s="30"/>
      <c r="H379" s="30" t="s">
        <v>783</v>
      </c>
      <c r="I379" s="31">
        <f t="shared" si="16"/>
        <v>28</v>
      </c>
      <c r="J379" s="146" t="s">
        <v>1960</v>
      </c>
      <c r="K379" s="31">
        <f t="shared" si="17"/>
        <v>0</v>
      </c>
      <c r="L379" s="32">
        <f t="shared" si="18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</row>
    <row r="380" spans="1:40" ht="15.75" hidden="1" thickBot="1" x14ac:dyDescent="0.3">
      <c r="A380" t="s">
        <v>294</v>
      </c>
      <c r="B380" t="s">
        <v>397</v>
      </c>
      <c r="C380" t="s">
        <v>1060</v>
      </c>
      <c r="D380" t="s">
        <v>396</v>
      </c>
      <c r="E380" s="30" t="s">
        <v>73</v>
      </c>
      <c r="F380" s="30" t="s">
        <v>28</v>
      </c>
      <c r="G380" s="30"/>
      <c r="H380" s="30" t="s">
        <v>784</v>
      </c>
      <c r="I380" s="31">
        <f t="shared" si="16"/>
        <v>28</v>
      </c>
      <c r="J380" s="146" t="s">
        <v>1961</v>
      </c>
      <c r="K380" s="31">
        <f t="shared" si="17"/>
        <v>0</v>
      </c>
      <c r="L380" s="32">
        <f t="shared" si="18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</row>
    <row r="381" spans="1:40" ht="15.75" hidden="1" thickBot="1" x14ac:dyDescent="0.3">
      <c r="A381" t="s">
        <v>294</v>
      </c>
      <c r="B381" t="s">
        <v>1262</v>
      </c>
      <c r="C381" t="s">
        <v>1060</v>
      </c>
      <c r="D381" t="s">
        <v>1263</v>
      </c>
      <c r="E381" s="30" t="s">
        <v>15</v>
      </c>
      <c r="F381" s="30" t="s">
        <v>1054</v>
      </c>
      <c r="G381" s="30" t="s">
        <v>1265</v>
      </c>
      <c r="H381" s="30" t="s">
        <v>1264</v>
      </c>
      <c r="I381" s="31">
        <f t="shared" si="16"/>
        <v>28</v>
      </c>
      <c r="J381" s="146" t="s">
        <v>1962</v>
      </c>
      <c r="K381" s="31">
        <f t="shared" si="17"/>
        <v>0</v>
      </c>
      <c r="L381" s="32">
        <f t="shared" si="18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</row>
    <row r="382" spans="1:40" s="73" customFormat="1" ht="15.75" hidden="1" thickBot="1" x14ac:dyDescent="0.3">
      <c r="A382" s="73" t="s">
        <v>294</v>
      </c>
      <c r="B382" s="73" t="s">
        <v>1311</v>
      </c>
      <c r="C382" s="73" t="s">
        <v>1061</v>
      </c>
      <c r="D382" s="73" t="s">
        <v>1312</v>
      </c>
      <c r="E382" s="85" t="s">
        <v>15</v>
      </c>
      <c r="F382" s="85" t="s">
        <v>1299</v>
      </c>
      <c r="G382" s="85"/>
      <c r="H382" s="85" t="s">
        <v>1313</v>
      </c>
      <c r="I382" s="31">
        <f t="shared" si="16"/>
        <v>28</v>
      </c>
      <c r="J382" s="146" t="s">
        <v>1963</v>
      </c>
      <c r="K382" s="31">
        <f t="shared" si="17"/>
        <v>0</v>
      </c>
      <c r="L382" s="32">
        <f t="shared" si="18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</row>
    <row r="383" spans="1:40" s="90" customFormat="1" ht="15.75" hidden="1" thickBot="1" x14ac:dyDescent="0.3">
      <c r="A383" s="90" t="s">
        <v>402</v>
      </c>
      <c r="B383" s="90" t="s">
        <v>407</v>
      </c>
      <c r="C383" s="90" t="s">
        <v>1060</v>
      </c>
      <c r="D383" s="90" t="s">
        <v>408</v>
      </c>
      <c r="E383" s="91" t="s">
        <v>15</v>
      </c>
      <c r="F383" s="91" t="s">
        <v>20</v>
      </c>
      <c r="G383" s="91"/>
      <c r="H383" s="91" t="s">
        <v>787</v>
      </c>
      <c r="I383" s="31">
        <f t="shared" si="16"/>
        <v>13</v>
      </c>
      <c r="J383" s="73"/>
      <c r="K383" s="31">
        <f t="shared" si="17"/>
        <v>15</v>
      </c>
      <c r="L383" s="32">
        <f t="shared" si="18"/>
        <v>0.4642857142857143</v>
      </c>
      <c r="M383" s="70" t="s">
        <v>2279</v>
      </c>
      <c r="N383" s="70" t="s">
        <v>2279</v>
      </c>
      <c r="O383" s="70" t="s">
        <v>2279</v>
      </c>
      <c r="P383" s="70" t="s">
        <v>2279</v>
      </c>
      <c r="Q383" s="70" t="s">
        <v>2279</v>
      </c>
      <c r="R383" s="70" t="s">
        <v>2279</v>
      </c>
      <c r="S383" s="70"/>
      <c r="T383" s="70"/>
      <c r="U383" s="70" t="s">
        <v>2279</v>
      </c>
      <c r="V383" s="70" t="s">
        <v>2279</v>
      </c>
      <c r="W383" s="70" t="s">
        <v>2279</v>
      </c>
      <c r="X383" s="70" t="s">
        <v>2279</v>
      </c>
      <c r="Y383" s="70" t="s">
        <v>2279</v>
      </c>
      <c r="Z383" s="70"/>
      <c r="AA383" s="70"/>
      <c r="AB383" s="70"/>
      <c r="AC383" s="70"/>
      <c r="AD383" s="70" t="s">
        <v>2279</v>
      </c>
      <c r="AE383" s="92" t="s">
        <v>2279</v>
      </c>
      <c r="AF383" s="92" t="s">
        <v>2279</v>
      </c>
      <c r="AG383" s="70"/>
      <c r="AH383" s="92"/>
      <c r="AI383" s="92" t="s">
        <v>2279</v>
      </c>
      <c r="AJ383" s="92"/>
      <c r="AK383" s="92"/>
      <c r="AL383" s="92"/>
      <c r="AM383" s="92"/>
      <c r="AN383" s="92"/>
    </row>
    <row r="384" spans="1:40" s="73" customFormat="1" ht="15.75" hidden="1" thickBot="1" x14ac:dyDescent="0.3">
      <c r="A384" s="73" t="s">
        <v>384</v>
      </c>
      <c r="B384" s="73" t="s">
        <v>398</v>
      </c>
      <c r="C384" s="73" t="s">
        <v>1060</v>
      </c>
      <c r="D384" s="73" t="s">
        <v>399</v>
      </c>
      <c r="E384" s="85" t="s">
        <v>19</v>
      </c>
      <c r="F384" s="85" t="s">
        <v>1299</v>
      </c>
      <c r="G384" s="85"/>
      <c r="H384" s="85" t="s">
        <v>2115</v>
      </c>
      <c r="I384" s="141">
        <f t="shared" si="16"/>
        <v>23</v>
      </c>
      <c r="J384" s="146" t="s">
        <v>1964</v>
      </c>
      <c r="K384" s="141">
        <f t="shared" si="17"/>
        <v>5</v>
      </c>
      <c r="L384" s="142">
        <f t="shared" si="18"/>
        <v>0.8214285714285714</v>
      </c>
      <c r="M384" s="70"/>
      <c r="N384" s="70"/>
      <c r="O384" s="70"/>
      <c r="P384" s="70" t="s">
        <v>2279</v>
      </c>
      <c r="Q384" s="70" t="s">
        <v>2279</v>
      </c>
      <c r="R384" s="70" t="s">
        <v>2279</v>
      </c>
      <c r="S384" s="70"/>
      <c r="T384" s="70"/>
      <c r="U384" s="70" t="s">
        <v>2279</v>
      </c>
      <c r="V384" s="70" t="s">
        <v>2279</v>
      </c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</row>
    <row r="385" spans="1:40" s="73" customFormat="1" ht="15.75" hidden="1" thickBot="1" x14ac:dyDescent="0.3">
      <c r="A385" s="73" t="s">
        <v>384</v>
      </c>
      <c r="B385" s="73" t="s">
        <v>400</v>
      </c>
      <c r="C385" s="73" t="s">
        <v>1060</v>
      </c>
      <c r="D385" s="73" t="s">
        <v>401</v>
      </c>
      <c r="E385" s="85" t="s">
        <v>15</v>
      </c>
      <c r="F385" s="85" t="s">
        <v>28</v>
      </c>
      <c r="G385" s="85"/>
      <c r="H385" s="85" t="s">
        <v>1513</v>
      </c>
      <c r="I385" s="87">
        <f t="shared" si="16"/>
        <v>28</v>
      </c>
      <c r="J385" s="146" t="s">
        <v>1965</v>
      </c>
      <c r="K385" s="87">
        <f t="shared" si="17"/>
        <v>0</v>
      </c>
      <c r="L385" s="88">
        <f t="shared" si="18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</row>
    <row r="386" spans="1:40" ht="15.75" hidden="1" thickBot="1" x14ac:dyDescent="0.3">
      <c r="A386" t="s">
        <v>402</v>
      </c>
      <c r="B386" t="s">
        <v>403</v>
      </c>
      <c r="C386" t="s">
        <v>1060</v>
      </c>
      <c r="D386" t="s">
        <v>404</v>
      </c>
      <c r="E386" s="30" t="s">
        <v>19</v>
      </c>
      <c r="F386" s="30" t="s">
        <v>28</v>
      </c>
      <c r="G386" s="30"/>
      <c r="H386" s="30" t="s">
        <v>788</v>
      </c>
      <c r="I386" s="31">
        <f t="shared" si="16"/>
        <v>27</v>
      </c>
      <c r="J386" s="146" t="s">
        <v>1966</v>
      </c>
      <c r="K386" s="31">
        <f t="shared" si="17"/>
        <v>1</v>
      </c>
      <c r="L386" s="32">
        <f t="shared" si="18"/>
        <v>0.9642857142857143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 t="s">
        <v>2279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</row>
    <row r="387" spans="1:40" ht="15.75" hidden="1" thickBot="1" x14ac:dyDescent="0.3">
      <c r="A387" t="s">
        <v>402</v>
      </c>
      <c r="B387" t="s">
        <v>405</v>
      </c>
      <c r="C387" t="s">
        <v>1060</v>
      </c>
      <c r="D387" t="s">
        <v>404</v>
      </c>
      <c r="E387" s="30" t="s">
        <v>73</v>
      </c>
      <c r="F387" s="30" t="s">
        <v>28</v>
      </c>
      <c r="G387" s="30"/>
      <c r="H387" s="30" t="s">
        <v>789</v>
      </c>
      <c r="I387" s="31">
        <f t="shared" si="16"/>
        <v>27</v>
      </c>
      <c r="J387" s="146" t="s">
        <v>1967</v>
      </c>
      <c r="K387" s="31">
        <f t="shared" si="17"/>
        <v>1</v>
      </c>
      <c r="L387" s="32">
        <f t="shared" si="18"/>
        <v>0.9642857142857143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 t="s">
        <v>2279</v>
      </c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</row>
    <row r="388" spans="1:40" ht="15.75" hidden="1" thickBot="1" x14ac:dyDescent="0.3">
      <c r="A388" t="s">
        <v>402</v>
      </c>
      <c r="B388" t="s">
        <v>406</v>
      </c>
      <c r="C388" t="s">
        <v>1060</v>
      </c>
      <c r="D388" t="s">
        <v>404</v>
      </c>
      <c r="E388" s="30" t="s">
        <v>73</v>
      </c>
      <c r="F388" s="30" t="s">
        <v>28</v>
      </c>
      <c r="G388" s="30"/>
      <c r="H388" s="30" t="s">
        <v>790</v>
      </c>
      <c r="I388" s="31">
        <f t="shared" si="16"/>
        <v>27</v>
      </c>
      <c r="J388" s="146" t="s">
        <v>1968</v>
      </c>
      <c r="K388" s="31">
        <f t="shared" si="17"/>
        <v>1</v>
      </c>
      <c r="L388" s="32">
        <f t="shared" si="18"/>
        <v>0.9642857142857143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 t="s">
        <v>2279</v>
      </c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</row>
    <row r="389" spans="1:40" ht="15.75" hidden="1" thickBot="1" x14ac:dyDescent="0.3">
      <c r="A389" s="69" t="s">
        <v>409</v>
      </c>
      <c r="B389" s="69" t="s">
        <v>410</v>
      </c>
      <c r="C389" t="s">
        <v>1060</v>
      </c>
      <c r="D389" s="69" t="s">
        <v>411</v>
      </c>
      <c r="E389" s="30" t="s">
        <v>73</v>
      </c>
      <c r="F389" s="30" t="s">
        <v>28</v>
      </c>
      <c r="G389" s="30"/>
      <c r="H389" s="152" t="s">
        <v>791</v>
      </c>
      <c r="I389" s="31">
        <f t="shared" ref="I389:I470" si="19">COUNTIF(M389:AN389,"")</f>
        <v>13</v>
      </c>
      <c r="J389" s="146" t="s">
        <v>1969</v>
      </c>
      <c r="K389" s="31">
        <f t="shared" ref="K389:K470" si="20">COUNTIF(M389:AN389,"APAGADO")</f>
        <v>15</v>
      </c>
      <c r="L389" s="32">
        <f t="shared" ref="L389:L470" si="21">(I389)/(K389+I389)</f>
        <v>0.4642857142857143</v>
      </c>
      <c r="M389" s="70" t="s">
        <v>2279</v>
      </c>
      <c r="N389" s="70" t="s">
        <v>2279</v>
      </c>
      <c r="O389" s="70" t="s">
        <v>2279</v>
      </c>
      <c r="P389" s="70" t="s">
        <v>2279</v>
      </c>
      <c r="Q389" s="70" t="s">
        <v>2279</v>
      </c>
      <c r="R389" s="70" t="s">
        <v>2279</v>
      </c>
      <c r="S389" s="70"/>
      <c r="T389" s="70"/>
      <c r="U389" s="70" t="s">
        <v>2279</v>
      </c>
      <c r="V389" s="70" t="s">
        <v>2279</v>
      </c>
      <c r="W389" s="70" t="s">
        <v>2279</v>
      </c>
      <c r="X389" s="70" t="s">
        <v>2279</v>
      </c>
      <c r="Y389" s="70" t="s">
        <v>2279</v>
      </c>
      <c r="Z389" s="70"/>
      <c r="AA389" s="70"/>
      <c r="AB389" s="70"/>
      <c r="AC389" s="70"/>
      <c r="AD389" s="70" t="s">
        <v>2279</v>
      </c>
      <c r="AE389" s="70" t="s">
        <v>2279</v>
      </c>
      <c r="AF389" s="70" t="s">
        <v>2279</v>
      </c>
      <c r="AG389" s="70"/>
      <c r="AH389" s="70"/>
      <c r="AI389" s="70" t="s">
        <v>2279</v>
      </c>
      <c r="AJ389" s="70"/>
      <c r="AK389" s="70"/>
      <c r="AL389" s="70"/>
      <c r="AM389" s="70"/>
      <c r="AN389" s="70"/>
    </row>
    <row r="390" spans="1:40" ht="15.75" hidden="1" thickBot="1" x14ac:dyDescent="0.3">
      <c r="A390" s="69" t="s">
        <v>409</v>
      </c>
      <c r="B390" s="69" t="s">
        <v>412</v>
      </c>
      <c r="C390" t="s">
        <v>1060</v>
      </c>
      <c r="D390" s="69" t="s">
        <v>411</v>
      </c>
      <c r="E390" s="30" t="s">
        <v>73</v>
      </c>
      <c r="F390" s="30" t="s">
        <v>28</v>
      </c>
      <c r="G390" s="30"/>
      <c r="H390" s="152" t="s">
        <v>792</v>
      </c>
      <c r="I390" s="31">
        <f t="shared" si="19"/>
        <v>13</v>
      </c>
      <c r="J390" s="146" t="s">
        <v>1970</v>
      </c>
      <c r="K390" s="31">
        <f t="shared" si="20"/>
        <v>15</v>
      </c>
      <c r="L390" s="32">
        <f t="shared" si="21"/>
        <v>0.4642857142857143</v>
      </c>
      <c r="M390" s="70" t="s">
        <v>2279</v>
      </c>
      <c r="N390" s="70" t="s">
        <v>2279</v>
      </c>
      <c r="O390" s="70" t="s">
        <v>2279</v>
      </c>
      <c r="P390" s="70" t="s">
        <v>2279</v>
      </c>
      <c r="Q390" s="70" t="s">
        <v>2279</v>
      </c>
      <c r="R390" s="70" t="s">
        <v>2279</v>
      </c>
      <c r="S390" s="70"/>
      <c r="T390" s="70"/>
      <c r="U390" s="70" t="s">
        <v>2279</v>
      </c>
      <c r="V390" s="70" t="s">
        <v>2279</v>
      </c>
      <c r="W390" s="70" t="s">
        <v>2279</v>
      </c>
      <c r="X390" s="70" t="s">
        <v>2279</v>
      </c>
      <c r="Y390" s="70" t="s">
        <v>2279</v>
      </c>
      <c r="Z390" s="70"/>
      <c r="AA390" s="70"/>
      <c r="AB390" s="70"/>
      <c r="AC390" s="70"/>
      <c r="AD390" s="70" t="s">
        <v>2279</v>
      </c>
      <c r="AE390" s="70" t="s">
        <v>2279</v>
      </c>
      <c r="AF390" s="70" t="s">
        <v>2279</v>
      </c>
      <c r="AG390" s="70"/>
      <c r="AH390" s="70"/>
      <c r="AI390" s="70" t="s">
        <v>2279</v>
      </c>
      <c r="AJ390" s="70"/>
      <c r="AK390" s="70"/>
      <c r="AL390" s="70"/>
      <c r="AM390" s="70"/>
      <c r="AN390" s="70"/>
    </row>
    <row r="391" spans="1:40" ht="15.75" hidden="1" thickBot="1" x14ac:dyDescent="0.3">
      <c r="A391" t="s">
        <v>402</v>
      </c>
      <c r="B391" t="s">
        <v>413</v>
      </c>
      <c r="C391" t="s">
        <v>1060</v>
      </c>
      <c r="D391" t="s">
        <v>414</v>
      </c>
      <c r="E391" s="30" t="s">
        <v>73</v>
      </c>
      <c r="F391" s="30" t="s">
        <v>28</v>
      </c>
      <c r="G391" s="30"/>
      <c r="H391" s="30" t="s">
        <v>793</v>
      </c>
      <c r="I391" s="31">
        <f t="shared" si="19"/>
        <v>27</v>
      </c>
      <c r="J391" s="146" t="s">
        <v>1971</v>
      </c>
      <c r="K391" s="31">
        <f t="shared" si="20"/>
        <v>1</v>
      </c>
      <c r="L391" s="32">
        <f t="shared" si="21"/>
        <v>0.9642857142857143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 t="s">
        <v>2279</v>
      </c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</row>
    <row r="392" spans="1:40" ht="15.75" hidden="1" thickBot="1" x14ac:dyDescent="0.3">
      <c r="A392" t="s">
        <v>402</v>
      </c>
      <c r="B392" t="s">
        <v>415</v>
      </c>
      <c r="C392" t="s">
        <v>1060</v>
      </c>
      <c r="D392" t="s">
        <v>414</v>
      </c>
      <c r="E392" s="30" t="s">
        <v>73</v>
      </c>
      <c r="F392" s="30" t="s">
        <v>28</v>
      </c>
      <c r="G392" s="30"/>
      <c r="H392" s="30" t="s">
        <v>794</v>
      </c>
      <c r="I392" s="31">
        <f t="shared" si="19"/>
        <v>27</v>
      </c>
      <c r="J392" s="146" t="s">
        <v>1972</v>
      </c>
      <c r="K392" s="31">
        <f t="shared" si="20"/>
        <v>1</v>
      </c>
      <c r="L392" s="32">
        <f t="shared" si="21"/>
        <v>0.9642857142857143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 t="s">
        <v>2279</v>
      </c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</row>
    <row r="393" spans="1:40" ht="15.75" hidden="1" thickBot="1" x14ac:dyDescent="0.3">
      <c r="A393" t="s">
        <v>402</v>
      </c>
      <c r="B393" t="s">
        <v>416</v>
      </c>
      <c r="C393" t="s">
        <v>1060</v>
      </c>
      <c r="D393" t="s">
        <v>417</v>
      </c>
      <c r="E393" s="30" t="s">
        <v>73</v>
      </c>
      <c r="F393" s="30" t="s">
        <v>28</v>
      </c>
      <c r="G393" s="30"/>
      <c r="H393" s="30" t="s">
        <v>795</v>
      </c>
      <c r="I393" s="31">
        <f t="shared" si="19"/>
        <v>27</v>
      </c>
      <c r="J393" s="146" t="s">
        <v>1973</v>
      </c>
      <c r="K393" s="31">
        <f t="shared" si="20"/>
        <v>1</v>
      </c>
      <c r="L393" s="32">
        <f t="shared" si="21"/>
        <v>0.9642857142857143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 t="s">
        <v>2279</v>
      </c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</row>
    <row r="394" spans="1:40" ht="15.75" hidden="1" thickBot="1" x14ac:dyDescent="0.3">
      <c r="A394" t="s">
        <v>402</v>
      </c>
      <c r="B394" t="s">
        <v>418</v>
      </c>
      <c r="C394" t="s">
        <v>1060</v>
      </c>
      <c r="D394" t="s">
        <v>417</v>
      </c>
      <c r="E394" s="30" t="s">
        <v>73</v>
      </c>
      <c r="F394" s="30" t="s">
        <v>28</v>
      </c>
      <c r="G394" s="30"/>
      <c r="H394" s="30" t="s">
        <v>796</v>
      </c>
      <c r="I394" s="31">
        <f t="shared" si="19"/>
        <v>27</v>
      </c>
      <c r="J394" s="146" t="s">
        <v>1974</v>
      </c>
      <c r="K394" s="31">
        <f t="shared" si="20"/>
        <v>1</v>
      </c>
      <c r="L394" s="32">
        <f t="shared" si="21"/>
        <v>0.9642857142857143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 t="s">
        <v>2279</v>
      </c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</row>
    <row r="395" spans="1:40" ht="15.75" hidden="1" thickBot="1" x14ac:dyDescent="0.3">
      <c r="A395" s="69" t="s">
        <v>409</v>
      </c>
      <c r="B395" s="69" t="s">
        <v>900</v>
      </c>
      <c r="C395" t="s">
        <v>1060</v>
      </c>
      <c r="D395" s="69" t="s">
        <v>901</v>
      </c>
      <c r="E395" s="30" t="s">
        <v>19</v>
      </c>
      <c r="F395" s="30" t="s">
        <v>28</v>
      </c>
      <c r="G395" s="30"/>
      <c r="H395" s="152" t="s">
        <v>908</v>
      </c>
      <c r="I395" s="31">
        <f t="shared" si="19"/>
        <v>13</v>
      </c>
      <c r="J395" s="146" t="s">
        <v>1975</v>
      </c>
      <c r="K395" s="31">
        <f t="shared" si="20"/>
        <v>15</v>
      </c>
      <c r="L395" s="32">
        <f t="shared" si="21"/>
        <v>0.4642857142857143</v>
      </c>
      <c r="M395" s="70" t="s">
        <v>2279</v>
      </c>
      <c r="N395" s="70" t="s">
        <v>2279</v>
      </c>
      <c r="O395" s="70" t="s">
        <v>2279</v>
      </c>
      <c r="P395" s="70" t="s">
        <v>2279</v>
      </c>
      <c r="Q395" s="70" t="s">
        <v>2279</v>
      </c>
      <c r="R395" s="70" t="s">
        <v>2279</v>
      </c>
      <c r="S395" s="70"/>
      <c r="T395" s="70"/>
      <c r="U395" s="70" t="s">
        <v>2279</v>
      </c>
      <c r="V395" s="70" t="s">
        <v>2279</v>
      </c>
      <c r="W395" s="70" t="s">
        <v>2279</v>
      </c>
      <c r="X395" s="70" t="s">
        <v>2279</v>
      </c>
      <c r="Y395" s="70" t="s">
        <v>2279</v>
      </c>
      <c r="Z395" s="70"/>
      <c r="AA395" s="70"/>
      <c r="AB395" s="70"/>
      <c r="AC395" s="70"/>
      <c r="AD395" s="70" t="s">
        <v>2279</v>
      </c>
      <c r="AE395" s="70" t="s">
        <v>2279</v>
      </c>
      <c r="AF395" s="70" t="s">
        <v>2279</v>
      </c>
      <c r="AG395" s="70"/>
      <c r="AH395" s="70"/>
      <c r="AI395" s="70" t="s">
        <v>2279</v>
      </c>
      <c r="AJ395" s="70"/>
      <c r="AK395" s="70"/>
      <c r="AL395" s="70"/>
      <c r="AM395" s="70"/>
      <c r="AN395" s="70"/>
    </row>
    <row r="396" spans="1:40" ht="15.75" hidden="1" thickBot="1" x14ac:dyDescent="0.3">
      <c r="A396" s="69" t="s">
        <v>402</v>
      </c>
      <c r="B396" s="69" t="s">
        <v>902</v>
      </c>
      <c r="C396" t="s">
        <v>1060</v>
      </c>
      <c r="D396" s="69" t="s">
        <v>903</v>
      </c>
      <c r="E396" s="30" t="s">
        <v>19</v>
      </c>
      <c r="F396" s="30" t="s">
        <v>28</v>
      </c>
      <c r="G396" s="30"/>
      <c r="H396" s="152" t="s">
        <v>909</v>
      </c>
      <c r="I396" s="31">
        <f t="shared" si="19"/>
        <v>13</v>
      </c>
      <c r="J396" s="146" t="s">
        <v>1976</v>
      </c>
      <c r="K396" s="31">
        <f t="shared" si="20"/>
        <v>15</v>
      </c>
      <c r="L396" s="32">
        <f t="shared" si="21"/>
        <v>0.4642857142857143</v>
      </c>
      <c r="M396" s="70" t="s">
        <v>2279</v>
      </c>
      <c r="N396" s="70" t="s">
        <v>2279</v>
      </c>
      <c r="O396" s="70" t="s">
        <v>2279</v>
      </c>
      <c r="P396" s="70" t="s">
        <v>2279</v>
      </c>
      <c r="Q396" s="70" t="s">
        <v>2279</v>
      </c>
      <c r="R396" s="70" t="s">
        <v>2279</v>
      </c>
      <c r="S396" s="70"/>
      <c r="T396" s="70"/>
      <c r="U396" s="70" t="s">
        <v>2279</v>
      </c>
      <c r="V396" s="70" t="s">
        <v>2279</v>
      </c>
      <c r="W396" s="70" t="s">
        <v>2279</v>
      </c>
      <c r="X396" s="70" t="s">
        <v>2279</v>
      </c>
      <c r="Y396" s="70" t="s">
        <v>2279</v>
      </c>
      <c r="Z396" s="70"/>
      <c r="AA396" s="70"/>
      <c r="AB396" s="70"/>
      <c r="AC396" s="70"/>
      <c r="AD396" s="70" t="s">
        <v>2279</v>
      </c>
      <c r="AE396" s="70" t="s">
        <v>2279</v>
      </c>
      <c r="AF396" s="70" t="s">
        <v>2279</v>
      </c>
      <c r="AG396" s="70"/>
      <c r="AH396" s="70"/>
      <c r="AI396" s="70" t="s">
        <v>2279</v>
      </c>
      <c r="AJ396" s="70"/>
      <c r="AK396" s="70"/>
      <c r="AL396" s="70"/>
      <c r="AM396" s="70"/>
      <c r="AN396" s="70"/>
    </row>
    <row r="397" spans="1:40" ht="15.75" hidden="1" thickBot="1" x14ac:dyDescent="0.3">
      <c r="A397" t="s">
        <v>402</v>
      </c>
      <c r="B397" t="s">
        <v>1010</v>
      </c>
      <c r="C397" t="s">
        <v>1060</v>
      </c>
      <c r="D397" t="s">
        <v>1011</v>
      </c>
      <c r="E397" s="30" t="s">
        <v>19</v>
      </c>
      <c r="F397" s="30" t="s">
        <v>28</v>
      </c>
      <c r="G397" s="30"/>
      <c r="H397" s="30" t="s">
        <v>1217</v>
      </c>
      <c r="I397" s="31">
        <f t="shared" si="19"/>
        <v>24</v>
      </c>
      <c r="J397" s="146" t="s">
        <v>1977</v>
      </c>
      <c r="K397" s="31">
        <f t="shared" si="20"/>
        <v>4</v>
      </c>
      <c r="L397" s="32">
        <f t="shared" si="21"/>
        <v>0.8571428571428571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 t="s">
        <v>2279</v>
      </c>
      <c r="Y397" s="70"/>
      <c r="Z397" s="70"/>
      <c r="AA397" s="70"/>
      <c r="AB397" s="70"/>
      <c r="AC397" s="70"/>
      <c r="AD397" s="70"/>
      <c r="AE397" s="70" t="s">
        <v>2279</v>
      </c>
      <c r="AF397" s="70" t="s">
        <v>2279</v>
      </c>
      <c r="AG397" s="70"/>
      <c r="AH397" s="70"/>
      <c r="AI397" s="70" t="s">
        <v>2279</v>
      </c>
      <c r="AJ397" s="70"/>
      <c r="AK397" s="70"/>
      <c r="AL397" s="70"/>
      <c r="AM397" s="70"/>
      <c r="AN397" s="70"/>
    </row>
    <row r="398" spans="1:40" s="73" customFormat="1" ht="15.75" hidden="1" thickBot="1" x14ac:dyDescent="0.3">
      <c r="A398" s="73" t="s">
        <v>402</v>
      </c>
      <c r="B398" s="73" t="s">
        <v>1433</v>
      </c>
      <c r="C398" s="73" t="s">
        <v>1060</v>
      </c>
      <c r="D398" s="73" t="s">
        <v>1436</v>
      </c>
      <c r="E398" s="30" t="s">
        <v>19</v>
      </c>
      <c r="F398" s="85" t="s">
        <v>1299</v>
      </c>
      <c r="G398" s="30"/>
      <c r="H398" s="85" t="s">
        <v>1437</v>
      </c>
      <c r="I398" s="141">
        <f t="shared" si="19"/>
        <v>28</v>
      </c>
      <c r="J398" s="146" t="s">
        <v>1978</v>
      </c>
      <c r="K398" s="141">
        <f t="shared" si="20"/>
        <v>0</v>
      </c>
      <c r="L398" s="142">
        <f t="shared" si="21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</row>
    <row r="399" spans="1:40" ht="15.75" hidden="1" thickBot="1" x14ac:dyDescent="0.3">
      <c r="A399" t="s">
        <v>402</v>
      </c>
      <c r="B399" t="s">
        <v>1434</v>
      </c>
      <c r="C399" t="s">
        <v>1060</v>
      </c>
      <c r="D399" t="s">
        <v>1436</v>
      </c>
      <c r="E399" s="30" t="s">
        <v>73</v>
      </c>
      <c r="F399" s="30" t="s">
        <v>28</v>
      </c>
      <c r="G399" s="30"/>
      <c r="H399" s="85" t="s">
        <v>1499</v>
      </c>
      <c r="I399" s="31">
        <f t="shared" si="19"/>
        <v>28</v>
      </c>
      <c r="J399" s="146" t="s">
        <v>1979</v>
      </c>
      <c r="K399" s="31">
        <f t="shared" si="20"/>
        <v>0</v>
      </c>
      <c r="L399" s="32">
        <f t="shared" si="21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</row>
    <row r="400" spans="1:40" ht="15.75" hidden="1" thickBot="1" x14ac:dyDescent="0.3">
      <c r="A400" t="s">
        <v>402</v>
      </c>
      <c r="B400" t="s">
        <v>1435</v>
      </c>
      <c r="C400" t="s">
        <v>1060</v>
      </c>
      <c r="D400" t="s">
        <v>1436</v>
      </c>
      <c r="E400" s="30" t="s">
        <v>73</v>
      </c>
      <c r="F400" s="30" t="s">
        <v>28</v>
      </c>
      <c r="G400" s="30"/>
      <c r="H400" s="85" t="s">
        <v>1497</v>
      </c>
      <c r="I400" s="31">
        <f t="shared" si="19"/>
        <v>28</v>
      </c>
      <c r="J400" s="146" t="s">
        <v>1980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</row>
    <row r="401" spans="1:40" ht="15.75" hidden="1" thickBot="1" x14ac:dyDescent="0.3">
      <c r="A401" t="s">
        <v>402</v>
      </c>
      <c r="B401" t="s">
        <v>1625</v>
      </c>
      <c r="C401" t="s">
        <v>1060</v>
      </c>
      <c r="D401" t="s">
        <v>2317</v>
      </c>
      <c r="E401" s="30" t="s">
        <v>19</v>
      </c>
      <c r="F401" s="30" t="s">
        <v>28</v>
      </c>
      <c r="G401" s="30"/>
      <c r="H401" s="85" t="s">
        <v>1626</v>
      </c>
      <c r="I401" s="31">
        <f t="shared" si="19"/>
        <v>27</v>
      </c>
      <c r="J401" s="87"/>
      <c r="K401" s="31">
        <f t="shared" si="20"/>
        <v>1</v>
      </c>
      <c r="L401" s="32">
        <f t="shared" si="21"/>
        <v>0.9642857142857143</v>
      </c>
      <c r="M401" s="70"/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 t="s">
        <v>2279</v>
      </c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</row>
    <row r="402" spans="1:40" ht="15.75" hidden="1" thickBot="1" x14ac:dyDescent="0.3">
      <c r="A402" t="s">
        <v>402</v>
      </c>
      <c r="B402" t="s">
        <v>2271</v>
      </c>
      <c r="C402" t="s">
        <v>1060</v>
      </c>
      <c r="D402" t="s">
        <v>2272</v>
      </c>
      <c r="E402" s="30" t="s">
        <v>19</v>
      </c>
      <c r="F402" s="85" t="s">
        <v>1299</v>
      </c>
      <c r="G402" s="30"/>
      <c r="H402" s="85" t="s">
        <v>2273</v>
      </c>
      <c r="I402" s="31">
        <f t="shared" si="19"/>
        <v>25</v>
      </c>
      <c r="J402" s="87"/>
      <c r="K402" s="31">
        <f t="shared" si="20"/>
        <v>3</v>
      </c>
      <c r="L402" s="32">
        <f t="shared" si="21"/>
        <v>0.8928571428571429</v>
      </c>
      <c r="M402" s="70"/>
      <c r="N402" s="70"/>
      <c r="O402" s="70"/>
      <c r="P402" s="84"/>
      <c r="Q402" s="84"/>
      <c r="R402" s="84"/>
      <c r="S402" s="84"/>
      <c r="T402" s="84"/>
      <c r="U402" s="84"/>
      <c r="V402" s="84"/>
      <c r="W402" s="84"/>
      <c r="X402" s="84" t="s">
        <v>2279</v>
      </c>
      <c r="Y402" s="84"/>
      <c r="Z402" s="84"/>
      <c r="AA402" s="84"/>
      <c r="AB402" s="84"/>
      <c r="AC402" s="84"/>
      <c r="AD402" s="84"/>
      <c r="AE402" s="84"/>
      <c r="AF402" s="84" t="s">
        <v>2279</v>
      </c>
      <c r="AG402" s="84"/>
      <c r="AH402" s="84"/>
      <c r="AI402" s="84" t="s">
        <v>2279</v>
      </c>
      <c r="AJ402" s="84"/>
      <c r="AK402" s="84"/>
      <c r="AL402" s="84"/>
      <c r="AM402" s="84"/>
      <c r="AN402" s="84"/>
    </row>
    <row r="403" spans="1:40" ht="15.75" hidden="1" thickBot="1" x14ac:dyDescent="0.3">
      <c r="A403" t="s">
        <v>196</v>
      </c>
      <c r="B403" t="s">
        <v>419</v>
      </c>
      <c r="C403" t="s">
        <v>1061</v>
      </c>
      <c r="D403" t="s">
        <v>420</v>
      </c>
      <c r="E403" s="30" t="s">
        <v>15</v>
      </c>
      <c r="F403" s="30" t="s">
        <v>20</v>
      </c>
      <c r="G403" s="30"/>
      <c r="H403" s="30" t="s">
        <v>798</v>
      </c>
      <c r="I403" s="31">
        <f t="shared" si="19"/>
        <v>19</v>
      </c>
      <c r="J403" s="87"/>
      <c r="K403" s="31">
        <f t="shared" si="20"/>
        <v>9</v>
      </c>
      <c r="L403" s="32">
        <f t="shared" si="21"/>
        <v>0.6785714285714286</v>
      </c>
      <c r="M403" s="70"/>
      <c r="N403" s="70"/>
      <c r="O403" s="70"/>
      <c r="P403" s="70"/>
      <c r="Q403" s="70"/>
      <c r="R403" s="70"/>
      <c r="S403" s="70"/>
      <c r="T403" s="70"/>
      <c r="U403" s="70" t="s">
        <v>2279</v>
      </c>
      <c r="V403" s="70" t="s">
        <v>2279</v>
      </c>
      <c r="W403" s="70" t="s">
        <v>2279</v>
      </c>
      <c r="X403" s="70" t="s">
        <v>2279</v>
      </c>
      <c r="Y403" s="70" t="s">
        <v>2279</v>
      </c>
      <c r="Z403" s="70"/>
      <c r="AA403" s="70"/>
      <c r="AB403" s="70"/>
      <c r="AC403" s="70"/>
      <c r="AD403" s="70" t="s">
        <v>2279</v>
      </c>
      <c r="AE403" s="70" t="s">
        <v>2279</v>
      </c>
      <c r="AF403" s="70" t="s">
        <v>2279</v>
      </c>
      <c r="AG403" s="70"/>
      <c r="AH403" s="70"/>
      <c r="AI403" s="70" t="s">
        <v>2279</v>
      </c>
      <c r="AJ403" s="70"/>
      <c r="AK403" s="70"/>
      <c r="AL403" s="70"/>
      <c r="AM403" s="70"/>
      <c r="AN403" s="70"/>
    </row>
    <row r="404" spans="1:40" s="73" customFormat="1" ht="15.75" hidden="1" thickBot="1" x14ac:dyDescent="0.3">
      <c r="A404" s="73" t="s">
        <v>196</v>
      </c>
      <c r="B404" s="73" t="s">
        <v>421</v>
      </c>
      <c r="C404" s="73" t="s">
        <v>1061</v>
      </c>
      <c r="D404" s="73" t="s">
        <v>422</v>
      </c>
      <c r="E404" s="85" t="s">
        <v>15</v>
      </c>
      <c r="F404" s="85" t="s">
        <v>1299</v>
      </c>
      <c r="G404" s="85"/>
      <c r="H404" s="85" t="s">
        <v>1427</v>
      </c>
      <c r="I404" s="141">
        <f t="shared" si="19"/>
        <v>28</v>
      </c>
      <c r="J404" s="146" t="s">
        <v>1981</v>
      </c>
      <c r="K404" s="141">
        <f t="shared" si="20"/>
        <v>0</v>
      </c>
      <c r="L404" s="14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</row>
    <row r="405" spans="1:40" ht="15.75" hidden="1" thickBot="1" x14ac:dyDescent="0.3">
      <c r="A405" t="s">
        <v>196</v>
      </c>
      <c r="B405" t="s">
        <v>1012</v>
      </c>
      <c r="C405" t="s">
        <v>1061</v>
      </c>
      <c r="D405" t="s">
        <v>1013</v>
      </c>
      <c r="E405" s="30" t="s">
        <v>73</v>
      </c>
      <c r="F405" s="30" t="s">
        <v>20</v>
      </c>
      <c r="G405" s="30"/>
      <c r="H405" s="30" t="s">
        <v>1279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</row>
    <row r="406" spans="1:40" ht="15.75" hidden="1" thickBot="1" x14ac:dyDescent="0.3">
      <c r="A406" t="s">
        <v>196</v>
      </c>
      <c r="B406" t="s">
        <v>1014</v>
      </c>
      <c r="C406" t="s">
        <v>1061</v>
      </c>
      <c r="D406" t="s">
        <v>1013</v>
      </c>
      <c r="E406" s="30" t="s">
        <v>73</v>
      </c>
      <c r="F406" s="30" t="s">
        <v>20</v>
      </c>
      <c r="G406" s="30"/>
      <c r="H406" s="30" t="s">
        <v>1395</v>
      </c>
      <c r="I406" s="31">
        <f t="shared" si="19"/>
        <v>28</v>
      </c>
      <c r="J406" s="87"/>
      <c r="K406" s="31">
        <f t="shared" si="20"/>
        <v>0</v>
      </c>
      <c r="L406" s="32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</row>
    <row r="407" spans="1:40" s="73" customFormat="1" ht="15.75" hidden="1" thickBot="1" x14ac:dyDescent="0.3">
      <c r="A407" s="73" t="s">
        <v>196</v>
      </c>
      <c r="B407" s="73" t="s">
        <v>423</v>
      </c>
      <c r="C407" s="73" t="s">
        <v>1061</v>
      </c>
      <c r="D407" s="73" t="s">
        <v>424</v>
      </c>
      <c r="E407" s="85" t="s">
        <v>19</v>
      </c>
      <c r="F407" s="30" t="s">
        <v>1054</v>
      </c>
      <c r="G407" s="85"/>
      <c r="H407" s="85" t="s">
        <v>1428</v>
      </c>
      <c r="I407" s="87">
        <f t="shared" si="19"/>
        <v>14</v>
      </c>
      <c r="J407" s="146" t="s">
        <v>1982</v>
      </c>
      <c r="K407" s="87">
        <f t="shared" si="20"/>
        <v>14</v>
      </c>
      <c r="L407" s="88">
        <f t="shared" si="21"/>
        <v>0.5</v>
      </c>
      <c r="M407" s="89" t="s">
        <v>2279</v>
      </c>
      <c r="N407" s="89" t="s">
        <v>2279</v>
      </c>
      <c r="O407" s="89" t="s">
        <v>2279</v>
      </c>
      <c r="P407" s="89" t="s">
        <v>2279</v>
      </c>
      <c r="Q407" s="89" t="s">
        <v>2279</v>
      </c>
      <c r="R407" s="89" t="s">
        <v>2279</v>
      </c>
      <c r="S407" s="89"/>
      <c r="T407" s="89"/>
      <c r="U407" s="89"/>
      <c r="V407" s="89" t="s">
        <v>2279</v>
      </c>
      <c r="W407" s="89" t="s">
        <v>2279</v>
      </c>
      <c r="X407" s="89" t="s">
        <v>2279</v>
      </c>
      <c r="Y407" s="89" t="s">
        <v>2279</v>
      </c>
      <c r="Z407" s="89"/>
      <c r="AA407" s="89"/>
      <c r="AB407" s="89"/>
      <c r="AC407" s="89"/>
      <c r="AD407" s="89" t="s">
        <v>2279</v>
      </c>
      <c r="AE407" s="89" t="s">
        <v>2279</v>
      </c>
      <c r="AF407" s="89" t="s">
        <v>2279</v>
      </c>
      <c r="AG407" s="89"/>
      <c r="AH407" s="89"/>
      <c r="AI407" s="89" t="s">
        <v>2279</v>
      </c>
      <c r="AJ407" s="89"/>
      <c r="AK407" s="89"/>
      <c r="AL407" s="89"/>
      <c r="AM407" s="89"/>
      <c r="AN407" s="89"/>
    </row>
    <row r="408" spans="1:40" ht="15.75" hidden="1" thickBot="1" x14ac:dyDescent="0.3">
      <c r="A408" t="s">
        <v>196</v>
      </c>
      <c r="B408" t="s">
        <v>425</v>
      </c>
      <c r="C408" t="s">
        <v>1061</v>
      </c>
      <c r="D408" t="s">
        <v>426</v>
      </c>
      <c r="E408" s="30" t="s">
        <v>19</v>
      </c>
      <c r="F408" s="30" t="s">
        <v>20</v>
      </c>
      <c r="G408" s="30"/>
      <c r="H408" s="30" t="s">
        <v>797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</row>
    <row r="409" spans="1:40" ht="15.75" hidden="1" thickBot="1" x14ac:dyDescent="0.3">
      <c r="A409" t="s">
        <v>196</v>
      </c>
      <c r="B409" t="s">
        <v>427</v>
      </c>
      <c r="C409" t="s">
        <v>1061</v>
      </c>
      <c r="D409" t="s">
        <v>428</v>
      </c>
      <c r="E409" s="30" t="s">
        <v>73</v>
      </c>
      <c r="F409" s="30" t="s">
        <v>28</v>
      </c>
      <c r="G409" s="30"/>
      <c r="H409" s="30" t="s">
        <v>800</v>
      </c>
      <c r="I409" s="31">
        <f t="shared" si="19"/>
        <v>13</v>
      </c>
      <c r="J409" s="146" t="s">
        <v>1983</v>
      </c>
      <c r="K409" s="31">
        <f t="shared" si="20"/>
        <v>15</v>
      </c>
      <c r="L409" s="32">
        <f t="shared" si="21"/>
        <v>0.4642857142857143</v>
      </c>
      <c r="M409" s="70" t="s">
        <v>2279</v>
      </c>
      <c r="N409" s="70" t="s">
        <v>2279</v>
      </c>
      <c r="O409" s="70" t="s">
        <v>2279</v>
      </c>
      <c r="P409" s="70" t="s">
        <v>2279</v>
      </c>
      <c r="Q409" s="70" t="s">
        <v>2279</v>
      </c>
      <c r="R409" s="70" t="s">
        <v>2279</v>
      </c>
      <c r="S409" s="70"/>
      <c r="T409" s="70"/>
      <c r="U409" s="70" t="s">
        <v>2279</v>
      </c>
      <c r="V409" s="70" t="s">
        <v>2279</v>
      </c>
      <c r="W409" s="70" t="s">
        <v>2279</v>
      </c>
      <c r="X409" s="70" t="s">
        <v>2279</v>
      </c>
      <c r="Y409" s="70" t="s">
        <v>2279</v>
      </c>
      <c r="Z409" s="70"/>
      <c r="AA409" s="70"/>
      <c r="AB409" s="70"/>
      <c r="AC409" s="70"/>
      <c r="AD409" s="70" t="s">
        <v>2279</v>
      </c>
      <c r="AE409" s="70" t="s">
        <v>2279</v>
      </c>
      <c r="AF409" s="70" t="s">
        <v>2279</v>
      </c>
      <c r="AG409" s="70"/>
      <c r="AH409" s="70"/>
      <c r="AI409" s="70" t="s">
        <v>2279</v>
      </c>
      <c r="AJ409" s="70"/>
      <c r="AK409" s="70"/>
      <c r="AL409" s="70"/>
      <c r="AM409" s="70"/>
      <c r="AN409" s="70"/>
    </row>
    <row r="410" spans="1:40" ht="15.75" hidden="1" thickBot="1" x14ac:dyDescent="0.3">
      <c r="A410" t="s">
        <v>196</v>
      </c>
      <c r="B410" t="s">
        <v>429</v>
      </c>
      <c r="C410" t="s">
        <v>1061</v>
      </c>
      <c r="D410" t="s">
        <v>428</v>
      </c>
      <c r="E410" s="30" t="s">
        <v>73</v>
      </c>
      <c r="F410" s="30" t="s">
        <v>28</v>
      </c>
      <c r="G410" s="30"/>
      <c r="H410" s="30" t="s">
        <v>801</v>
      </c>
      <c r="I410" s="31">
        <f t="shared" si="19"/>
        <v>13</v>
      </c>
      <c r="J410" s="146" t="s">
        <v>1984</v>
      </c>
      <c r="K410" s="31">
        <f t="shared" si="20"/>
        <v>15</v>
      </c>
      <c r="L410" s="32">
        <f t="shared" si="21"/>
        <v>0.4642857142857143</v>
      </c>
      <c r="M410" s="70" t="s">
        <v>2279</v>
      </c>
      <c r="N410" s="70" t="s">
        <v>2279</v>
      </c>
      <c r="O410" s="70" t="s">
        <v>2279</v>
      </c>
      <c r="P410" s="70" t="s">
        <v>2279</v>
      </c>
      <c r="Q410" s="70" t="s">
        <v>2279</v>
      </c>
      <c r="R410" s="70" t="s">
        <v>2279</v>
      </c>
      <c r="S410" s="70"/>
      <c r="T410" s="70"/>
      <c r="U410" s="70" t="s">
        <v>2279</v>
      </c>
      <c r="V410" s="70" t="s">
        <v>2279</v>
      </c>
      <c r="W410" s="70" t="s">
        <v>2279</v>
      </c>
      <c r="X410" s="70" t="s">
        <v>2279</v>
      </c>
      <c r="Y410" s="70" t="s">
        <v>2279</v>
      </c>
      <c r="Z410" s="70"/>
      <c r="AA410" s="70"/>
      <c r="AB410" s="70"/>
      <c r="AC410" s="70"/>
      <c r="AD410" s="70" t="s">
        <v>2279</v>
      </c>
      <c r="AE410" s="70" t="s">
        <v>2279</v>
      </c>
      <c r="AF410" s="70" t="s">
        <v>2279</v>
      </c>
      <c r="AG410" s="70"/>
      <c r="AH410" s="70"/>
      <c r="AI410" s="70" t="s">
        <v>2279</v>
      </c>
      <c r="AJ410" s="70"/>
      <c r="AK410" s="70"/>
      <c r="AL410" s="70"/>
      <c r="AM410" s="70"/>
      <c r="AN410" s="70"/>
    </row>
    <row r="411" spans="1:40" s="73" customFormat="1" ht="15.75" hidden="1" thickBot="1" x14ac:dyDescent="0.3">
      <c r="A411" s="73" t="s">
        <v>196</v>
      </c>
      <c r="B411" s="73" t="s">
        <v>430</v>
      </c>
      <c r="C411" s="73" t="s">
        <v>1061</v>
      </c>
      <c r="D411" s="73" t="s">
        <v>431</v>
      </c>
      <c r="E411" s="85" t="s">
        <v>73</v>
      </c>
      <c r="F411" s="85" t="s">
        <v>1299</v>
      </c>
      <c r="G411" s="85"/>
      <c r="H411" s="85" t="s">
        <v>802</v>
      </c>
      <c r="I411" s="141">
        <f t="shared" si="19"/>
        <v>19</v>
      </c>
      <c r="J411" s="146" t="s">
        <v>1985</v>
      </c>
      <c r="K411" s="141">
        <f t="shared" si="20"/>
        <v>9</v>
      </c>
      <c r="L411" s="142">
        <f t="shared" si="21"/>
        <v>0.6785714285714286</v>
      </c>
      <c r="M411" s="70"/>
      <c r="N411" s="70"/>
      <c r="O411" s="70"/>
      <c r="P411" s="70"/>
      <c r="Q411" s="70"/>
      <c r="R411" s="70"/>
      <c r="S411" s="70"/>
      <c r="T411" s="70"/>
      <c r="U411" s="70" t="s">
        <v>2279</v>
      </c>
      <c r="V411" s="70" t="s">
        <v>2279</v>
      </c>
      <c r="W411" s="70" t="s">
        <v>2279</v>
      </c>
      <c r="X411" s="70" t="s">
        <v>2279</v>
      </c>
      <c r="Y411" s="70" t="s">
        <v>2279</v>
      </c>
      <c r="Z411" s="70"/>
      <c r="AA411" s="70"/>
      <c r="AB411" s="70"/>
      <c r="AC411" s="70"/>
      <c r="AD411" s="70" t="s">
        <v>2279</v>
      </c>
      <c r="AE411" s="70" t="s">
        <v>2279</v>
      </c>
      <c r="AF411" s="70" t="s">
        <v>2279</v>
      </c>
      <c r="AG411" s="70"/>
      <c r="AH411" s="70"/>
      <c r="AI411" s="70" t="s">
        <v>2279</v>
      </c>
      <c r="AJ411" s="70"/>
      <c r="AK411" s="70"/>
      <c r="AL411" s="70"/>
      <c r="AM411" s="70"/>
      <c r="AN411" s="70"/>
    </row>
    <row r="412" spans="1:40" s="73" customFormat="1" ht="17.25" hidden="1" customHeight="1" thickBot="1" x14ac:dyDescent="0.3">
      <c r="A412" s="73" t="s">
        <v>196</v>
      </c>
      <c r="B412" s="73" t="s">
        <v>432</v>
      </c>
      <c r="C412" s="73" t="s">
        <v>1061</v>
      </c>
      <c r="D412" s="73" t="s">
        <v>431</v>
      </c>
      <c r="E412" s="85" t="s">
        <v>73</v>
      </c>
      <c r="F412" s="85" t="s">
        <v>1299</v>
      </c>
      <c r="G412" s="85"/>
      <c r="H412" s="85" t="s">
        <v>803</v>
      </c>
      <c r="I412" s="141">
        <f t="shared" si="19"/>
        <v>19</v>
      </c>
      <c r="J412" s="146" t="s">
        <v>1986</v>
      </c>
      <c r="K412" s="141">
        <f t="shared" si="20"/>
        <v>9</v>
      </c>
      <c r="L412" s="142">
        <f t="shared" si="21"/>
        <v>0.6785714285714286</v>
      </c>
      <c r="M412" s="70"/>
      <c r="N412" s="70"/>
      <c r="O412" s="70"/>
      <c r="P412" s="70"/>
      <c r="Q412" s="70"/>
      <c r="R412" s="70"/>
      <c r="S412" s="70"/>
      <c r="T412" s="70"/>
      <c r="U412" s="70" t="s">
        <v>2279</v>
      </c>
      <c r="V412" s="70" t="s">
        <v>2279</v>
      </c>
      <c r="W412" s="70" t="s">
        <v>2279</v>
      </c>
      <c r="X412" s="70" t="s">
        <v>2279</v>
      </c>
      <c r="Y412" s="70" t="s">
        <v>2279</v>
      </c>
      <c r="Z412" s="70"/>
      <c r="AA412" s="70"/>
      <c r="AB412" s="70"/>
      <c r="AC412" s="70"/>
      <c r="AD412" s="70" t="s">
        <v>2279</v>
      </c>
      <c r="AE412" s="70" t="s">
        <v>2279</v>
      </c>
      <c r="AF412" s="70" t="s">
        <v>2279</v>
      </c>
      <c r="AG412" s="70"/>
      <c r="AH412" s="70"/>
      <c r="AI412" s="70" t="s">
        <v>2279</v>
      </c>
      <c r="AJ412" s="70"/>
      <c r="AK412" s="70"/>
      <c r="AL412" s="70"/>
      <c r="AM412" s="70"/>
      <c r="AN412" s="70"/>
    </row>
    <row r="413" spans="1:40" s="73" customFormat="1" ht="15.75" hidden="1" thickBot="1" x14ac:dyDescent="0.3">
      <c r="A413" s="73" t="s">
        <v>196</v>
      </c>
      <c r="B413" s="73" t="s">
        <v>1541</v>
      </c>
      <c r="C413" s="73" t="s">
        <v>1061</v>
      </c>
      <c r="D413" s="73" t="s">
        <v>1542</v>
      </c>
      <c r="E413" s="85" t="s">
        <v>73</v>
      </c>
      <c r="F413" s="85" t="s">
        <v>1299</v>
      </c>
      <c r="G413" s="85"/>
      <c r="H413" s="85"/>
      <c r="I413" s="141">
        <f t="shared" si="19"/>
        <v>28</v>
      </c>
      <c r="J413" s="87"/>
      <c r="K413" s="141">
        <f t="shared" si="20"/>
        <v>0</v>
      </c>
      <c r="L413" s="14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</row>
    <row r="414" spans="1:40" s="73" customFormat="1" ht="15.75" hidden="1" thickBot="1" x14ac:dyDescent="0.3">
      <c r="A414" s="73" t="s">
        <v>196</v>
      </c>
      <c r="B414" s="73" t="s">
        <v>1543</v>
      </c>
      <c r="C414" s="73" t="s">
        <v>1061</v>
      </c>
      <c r="D414" s="73" t="s">
        <v>1542</v>
      </c>
      <c r="E414" s="85" t="s">
        <v>73</v>
      </c>
      <c r="F414" s="85" t="s">
        <v>1299</v>
      </c>
      <c r="G414" s="85"/>
      <c r="H414" s="85"/>
      <c r="I414" s="141">
        <f t="shared" si="19"/>
        <v>28</v>
      </c>
      <c r="J414" s="87"/>
      <c r="K414" s="141">
        <f t="shared" si="20"/>
        <v>0</v>
      </c>
      <c r="L414" s="14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</row>
    <row r="415" spans="1:40" s="73" customFormat="1" ht="15.75" hidden="1" thickBot="1" x14ac:dyDescent="0.3">
      <c r="A415" s="73" t="s">
        <v>196</v>
      </c>
      <c r="B415" s="73" t="s">
        <v>1621</v>
      </c>
      <c r="C415" s="73" t="s">
        <v>1061</v>
      </c>
      <c r="D415" s="73" t="s">
        <v>1622</v>
      </c>
      <c r="E415" s="85" t="s">
        <v>73</v>
      </c>
      <c r="F415" s="85" t="s">
        <v>1299</v>
      </c>
      <c r="G415" s="85"/>
      <c r="H415" s="85" t="s">
        <v>1623</v>
      </c>
      <c r="I415" s="141">
        <f t="shared" si="19"/>
        <v>28</v>
      </c>
      <c r="J415" s="87" t="s">
        <v>2143</v>
      </c>
      <c r="K415" s="141">
        <f t="shared" si="20"/>
        <v>0</v>
      </c>
      <c r="L415" s="14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</row>
    <row r="416" spans="1:40" s="73" customFormat="1" ht="15.75" hidden="1" thickBot="1" x14ac:dyDescent="0.3">
      <c r="A416" s="73" t="s">
        <v>196</v>
      </c>
      <c r="B416" s="73" t="s">
        <v>2139</v>
      </c>
      <c r="C416" s="73" t="s">
        <v>1061</v>
      </c>
      <c r="D416" s="73" t="s">
        <v>2140</v>
      </c>
      <c r="E416" s="91" t="s">
        <v>19</v>
      </c>
      <c r="F416" s="85" t="s">
        <v>1299</v>
      </c>
      <c r="G416" s="85"/>
      <c r="H416" s="85" t="s">
        <v>2141</v>
      </c>
      <c r="I416" s="141">
        <f t="shared" si="19"/>
        <v>18</v>
      </c>
      <c r="J416" s="87" t="s">
        <v>2142</v>
      </c>
      <c r="K416" s="141">
        <f t="shared" si="20"/>
        <v>10</v>
      </c>
      <c r="L416" s="142">
        <f t="shared" si="21"/>
        <v>0.6428571428571429</v>
      </c>
      <c r="M416" s="70"/>
      <c r="N416" s="70"/>
      <c r="O416" s="70"/>
      <c r="P416" s="70" t="s">
        <v>2279</v>
      </c>
      <c r="Q416" s="70" t="s">
        <v>2279</v>
      </c>
      <c r="R416" s="70" t="s">
        <v>2279</v>
      </c>
      <c r="S416" s="70"/>
      <c r="T416" s="70"/>
      <c r="U416" s="70" t="s">
        <v>2279</v>
      </c>
      <c r="V416" s="70"/>
      <c r="W416" s="70" t="s">
        <v>2279</v>
      </c>
      <c r="X416" s="70" t="s">
        <v>2279</v>
      </c>
      <c r="Y416" s="70" t="s">
        <v>2279</v>
      </c>
      <c r="Z416" s="70"/>
      <c r="AA416" s="70"/>
      <c r="AB416" s="70"/>
      <c r="AC416" s="70"/>
      <c r="AD416" s="70" t="s">
        <v>2279</v>
      </c>
      <c r="AE416" s="70"/>
      <c r="AF416" s="70" t="s">
        <v>2279</v>
      </c>
      <c r="AG416" s="70"/>
      <c r="AH416" s="70"/>
      <c r="AI416" s="70" t="s">
        <v>2279</v>
      </c>
      <c r="AJ416" s="70"/>
      <c r="AK416" s="70"/>
      <c r="AL416" s="70"/>
      <c r="AM416" s="70"/>
      <c r="AN416" s="70"/>
    </row>
    <row r="417" spans="1:40" s="90" customFormat="1" ht="15.75" hidden="1" thickBot="1" x14ac:dyDescent="0.3">
      <c r="A417" s="73" t="s">
        <v>2263</v>
      </c>
      <c r="B417" s="73" t="s">
        <v>434</v>
      </c>
      <c r="C417" s="90" t="s">
        <v>1061</v>
      </c>
      <c r="D417" s="73" t="s">
        <v>435</v>
      </c>
      <c r="E417" s="91" t="s">
        <v>19</v>
      </c>
      <c r="F417" s="85" t="s">
        <v>1299</v>
      </c>
      <c r="G417" s="85"/>
      <c r="H417" s="85" t="s">
        <v>2192</v>
      </c>
      <c r="I417" s="31">
        <f t="shared" si="19"/>
        <v>28</v>
      </c>
      <c r="J417" s="87" t="s">
        <v>2193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</row>
    <row r="418" spans="1:40" s="73" customFormat="1" ht="15.75" hidden="1" thickBot="1" x14ac:dyDescent="0.3">
      <c r="A418" s="73" t="s">
        <v>2263</v>
      </c>
      <c r="B418" s="73" t="s">
        <v>1350</v>
      </c>
      <c r="C418" s="73" t="s">
        <v>1061</v>
      </c>
      <c r="D418" s="73" t="s">
        <v>1351</v>
      </c>
      <c r="E418" s="91" t="s">
        <v>19</v>
      </c>
      <c r="F418" s="85" t="s">
        <v>1299</v>
      </c>
      <c r="G418" s="85"/>
      <c r="H418" s="85" t="s">
        <v>1411</v>
      </c>
      <c r="I418" s="141">
        <f t="shared" si="19"/>
        <v>28</v>
      </c>
      <c r="J418" s="146" t="s">
        <v>1987</v>
      </c>
      <c r="K418" s="141">
        <f t="shared" si="20"/>
        <v>0</v>
      </c>
      <c r="L418" s="14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</row>
    <row r="419" spans="1:40" s="73" customFormat="1" ht="15.75" hidden="1" thickBot="1" x14ac:dyDescent="0.3">
      <c r="A419" s="73" t="s">
        <v>2263</v>
      </c>
      <c r="B419" s="73" t="s">
        <v>1399</v>
      </c>
      <c r="C419" s="73" t="s">
        <v>1061</v>
      </c>
      <c r="D419" s="73" t="s">
        <v>1400</v>
      </c>
      <c r="E419" s="91" t="s">
        <v>19</v>
      </c>
      <c r="F419" s="85" t="s">
        <v>1299</v>
      </c>
      <c r="G419" s="85"/>
      <c r="H419" s="85" t="s">
        <v>1401</v>
      </c>
      <c r="I419" s="141">
        <f t="shared" si="19"/>
        <v>28</v>
      </c>
      <c r="J419" s="146" t="s">
        <v>1988</v>
      </c>
      <c r="K419" s="141">
        <f t="shared" si="20"/>
        <v>0</v>
      </c>
      <c r="L419" s="142">
        <f t="shared" si="21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</row>
    <row r="420" spans="1:40" s="73" customFormat="1" ht="15.75" hidden="1" thickBot="1" x14ac:dyDescent="0.3">
      <c r="A420" s="73" t="s">
        <v>2263</v>
      </c>
      <c r="B420" s="73" t="s">
        <v>2259</v>
      </c>
      <c r="C420" s="73" t="s">
        <v>1061</v>
      </c>
      <c r="D420" s="73" t="s">
        <v>2260</v>
      </c>
      <c r="E420" s="91" t="s">
        <v>19</v>
      </c>
      <c r="F420" s="85" t="s">
        <v>1299</v>
      </c>
      <c r="G420" s="85"/>
      <c r="H420" s="85" t="s">
        <v>2261</v>
      </c>
      <c r="I420" s="141">
        <f t="shared" si="19"/>
        <v>28</v>
      </c>
      <c r="J420" s="146" t="s">
        <v>2262</v>
      </c>
      <c r="K420" s="141">
        <f t="shared" si="20"/>
        <v>0</v>
      </c>
      <c r="L420" s="142">
        <f t="shared" si="21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</row>
    <row r="421" spans="1:40" s="73" customFormat="1" ht="15.75" hidden="1" thickBot="1" x14ac:dyDescent="0.3">
      <c r="A421" s="73" t="s">
        <v>438</v>
      </c>
      <c r="B421" s="73" t="s">
        <v>445</v>
      </c>
      <c r="C421" s="73" t="s">
        <v>1061</v>
      </c>
      <c r="D421" s="73" t="s">
        <v>446</v>
      </c>
      <c r="E421" s="85" t="s">
        <v>15</v>
      </c>
      <c r="F421" s="85" t="s">
        <v>1299</v>
      </c>
      <c r="G421" s="85"/>
      <c r="H421" s="85" t="s">
        <v>1370</v>
      </c>
      <c r="I421" s="141">
        <f t="shared" si="19"/>
        <v>28</v>
      </c>
      <c r="J421" s="146" t="s">
        <v>1989</v>
      </c>
      <c r="K421" s="141">
        <f t="shared" si="20"/>
        <v>0</v>
      </c>
      <c r="L421" s="14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</row>
    <row r="422" spans="1:40" s="73" customFormat="1" ht="15.75" hidden="1" thickBot="1" x14ac:dyDescent="0.3">
      <c r="A422" s="73" t="s">
        <v>438</v>
      </c>
      <c r="B422" s="73" t="s">
        <v>447</v>
      </c>
      <c r="C422" s="73" t="s">
        <v>1061</v>
      </c>
      <c r="D422" s="73" t="s">
        <v>448</v>
      </c>
      <c r="E422" s="85" t="s">
        <v>19</v>
      </c>
      <c r="F422" s="85" t="s">
        <v>1299</v>
      </c>
      <c r="G422" s="85"/>
      <c r="H422" s="85" t="s">
        <v>1420</v>
      </c>
      <c r="I422" s="141">
        <f t="shared" si="19"/>
        <v>28</v>
      </c>
      <c r="J422" s="146" t="s">
        <v>1990</v>
      </c>
      <c r="K422" s="141">
        <f t="shared" si="20"/>
        <v>0</v>
      </c>
      <c r="L422" s="14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</row>
    <row r="423" spans="1:40" s="90" customFormat="1" ht="15.75" hidden="1" thickBot="1" x14ac:dyDescent="0.3">
      <c r="A423" s="90" t="s">
        <v>438</v>
      </c>
      <c r="B423" s="90" t="s">
        <v>436</v>
      </c>
      <c r="C423" s="90" t="s">
        <v>1061</v>
      </c>
      <c r="D423" s="90" t="s">
        <v>437</v>
      </c>
      <c r="E423" s="91" t="s">
        <v>19</v>
      </c>
      <c r="F423" s="91" t="s">
        <v>20</v>
      </c>
      <c r="G423" s="91"/>
      <c r="H423" s="91" t="s">
        <v>804</v>
      </c>
      <c r="I423" s="31">
        <f t="shared" si="19"/>
        <v>13</v>
      </c>
      <c r="J423" s="87"/>
      <c r="K423" s="31">
        <f t="shared" si="20"/>
        <v>15</v>
      </c>
      <c r="L423" s="32">
        <f t="shared" si="21"/>
        <v>0.4642857142857143</v>
      </c>
      <c r="M423" s="70" t="s">
        <v>2279</v>
      </c>
      <c r="N423" s="70" t="s">
        <v>2279</v>
      </c>
      <c r="O423" s="70" t="s">
        <v>2279</v>
      </c>
      <c r="P423" s="70" t="s">
        <v>2279</v>
      </c>
      <c r="Q423" s="70" t="s">
        <v>2279</v>
      </c>
      <c r="R423" s="70" t="s">
        <v>2279</v>
      </c>
      <c r="S423" s="70"/>
      <c r="T423" s="70"/>
      <c r="U423" s="70" t="s">
        <v>2279</v>
      </c>
      <c r="V423" s="70" t="s">
        <v>2279</v>
      </c>
      <c r="W423" s="70" t="s">
        <v>2279</v>
      </c>
      <c r="X423" s="70" t="s">
        <v>2279</v>
      </c>
      <c r="Y423" s="70" t="s">
        <v>2279</v>
      </c>
      <c r="Z423" s="70"/>
      <c r="AA423" s="70"/>
      <c r="AB423" s="70"/>
      <c r="AC423" s="70"/>
      <c r="AD423" s="70" t="s">
        <v>2279</v>
      </c>
      <c r="AE423" s="92" t="s">
        <v>2279</v>
      </c>
      <c r="AF423" s="92" t="s">
        <v>2279</v>
      </c>
      <c r="AG423" s="70"/>
      <c r="AH423" s="92"/>
      <c r="AI423" s="92" t="s">
        <v>2279</v>
      </c>
      <c r="AJ423" s="92"/>
      <c r="AK423" s="92"/>
      <c r="AL423" s="92"/>
      <c r="AM423" s="92"/>
      <c r="AN423" s="92"/>
    </row>
    <row r="424" spans="1:40" s="73" customFormat="1" ht="15.75" hidden="1" thickBot="1" x14ac:dyDescent="0.3">
      <c r="A424" s="73" t="s">
        <v>438</v>
      </c>
      <c r="B424" s="73" t="s">
        <v>439</v>
      </c>
      <c r="C424" s="73" t="s">
        <v>1061</v>
      </c>
      <c r="D424" s="73" t="s">
        <v>440</v>
      </c>
      <c r="E424" s="85" t="s">
        <v>46</v>
      </c>
      <c r="F424" s="85" t="s">
        <v>1299</v>
      </c>
      <c r="G424" s="85"/>
      <c r="H424" s="85" t="s">
        <v>1371</v>
      </c>
      <c r="I424" s="141">
        <f t="shared" si="19"/>
        <v>28</v>
      </c>
      <c r="J424" s="146" t="s">
        <v>1991</v>
      </c>
      <c r="K424" s="141">
        <f t="shared" si="20"/>
        <v>0</v>
      </c>
      <c r="L424" s="14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</row>
    <row r="425" spans="1:40" ht="15.75" hidden="1" thickBot="1" x14ac:dyDescent="0.3">
      <c r="A425" t="s">
        <v>438</v>
      </c>
      <c r="B425" t="s">
        <v>449</v>
      </c>
      <c r="C425" t="s">
        <v>1061</v>
      </c>
      <c r="D425" t="s">
        <v>450</v>
      </c>
      <c r="E425" s="30" t="s">
        <v>15</v>
      </c>
      <c r="F425" s="30" t="s">
        <v>1054</v>
      </c>
      <c r="G425" s="30" t="s">
        <v>1254</v>
      </c>
      <c r="H425" s="30" t="s">
        <v>805</v>
      </c>
      <c r="I425" s="31">
        <f t="shared" si="19"/>
        <v>28</v>
      </c>
      <c r="J425" s="146" t="s">
        <v>1992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</row>
    <row r="426" spans="1:40" ht="15.75" hidden="1" thickBot="1" x14ac:dyDescent="0.3">
      <c r="A426" t="s">
        <v>438</v>
      </c>
      <c r="B426" t="s">
        <v>441</v>
      </c>
      <c r="C426" t="s">
        <v>1061</v>
      </c>
      <c r="D426" t="s">
        <v>442</v>
      </c>
      <c r="E426" s="30" t="s">
        <v>15</v>
      </c>
      <c r="F426" s="30" t="s">
        <v>28</v>
      </c>
      <c r="G426" s="30"/>
      <c r="H426" s="30" t="s">
        <v>806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</row>
    <row r="427" spans="1:40" s="73" customFormat="1" ht="15.75" hidden="1" thickBot="1" x14ac:dyDescent="0.3">
      <c r="A427" s="73" t="s">
        <v>438</v>
      </c>
      <c r="B427" s="73" t="s">
        <v>443</v>
      </c>
      <c r="C427" s="73" t="s">
        <v>1061</v>
      </c>
      <c r="D427" s="73" t="s">
        <v>444</v>
      </c>
      <c r="E427" s="85" t="s">
        <v>15</v>
      </c>
      <c r="F427" s="85" t="s">
        <v>1299</v>
      </c>
      <c r="G427" s="85"/>
      <c r="H427" s="85" t="s">
        <v>807</v>
      </c>
      <c r="I427" s="141">
        <f t="shared" si="19"/>
        <v>28</v>
      </c>
      <c r="J427" s="73" t="s">
        <v>1993</v>
      </c>
      <c r="K427" s="141">
        <f t="shared" si="20"/>
        <v>0</v>
      </c>
      <c r="L427" s="14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</row>
    <row r="428" spans="1:40" ht="15.75" hidden="1" thickBot="1" x14ac:dyDescent="0.3">
      <c r="A428" t="s">
        <v>1122</v>
      </c>
      <c r="B428" t="s">
        <v>1123</v>
      </c>
      <c r="C428" t="s">
        <v>1061</v>
      </c>
      <c r="D428" t="s">
        <v>1124</v>
      </c>
      <c r="E428" s="30" t="s">
        <v>1112</v>
      </c>
      <c r="F428" s="30" t="s">
        <v>28</v>
      </c>
      <c r="G428" s="30"/>
      <c r="H428" s="30" t="s">
        <v>1138</v>
      </c>
      <c r="I428" s="31">
        <f t="shared" si="19"/>
        <v>28</v>
      </c>
      <c r="J428" s="146" t="s">
        <v>1994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</row>
    <row r="429" spans="1:40" ht="16.899999999999999" hidden="1" customHeight="1" thickBot="1" x14ac:dyDescent="0.3">
      <c r="A429" t="s">
        <v>1122</v>
      </c>
      <c r="B429" t="s">
        <v>1142</v>
      </c>
      <c r="C429" t="s">
        <v>1061</v>
      </c>
      <c r="D429" t="s">
        <v>1124</v>
      </c>
      <c r="E429" s="30" t="s">
        <v>1112</v>
      </c>
      <c r="F429" s="30" t="s">
        <v>28</v>
      </c>
      <c r="G429" s="30"/>
      <c r="H429" s="30" t="s">
        <v>1139</v>
      </c>
      <c r="I429" s="31">
        <f t="shared" si="19"/>
        <v>28</v>
      </c>
      <c r="J429" s="146" t="s">
        <v>1995</v>
      </c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</row>
    <row r="430" spans="1:40" s="73" customFormat="1" ht="16.899999999999999" hidden="1" customHeight="1" thickBot="1" x14ac:dyDescent="0.3">
      <c r="A430" t="s">
        <v>1122</v>
      </c>
      <c r="B430" s="73" t="s">
        <v>1556</v>
      </c>
      <c r="C430" s="73" t="s">
        <v>1061</v>
      </c>
      <c r="D430" s="73" t="s">
        <v>1557</v>
      </c>
      <c r="E430" s="85" t="s">
        <v>1112</v>
      </c>
      <c r="F430" s="85" t="s">
        <v>1299</v>
      </c>
      <c r="G430" s="85"/>
      <c r="H430" s="85" t="s">
        <v>1559</v>
      </c>
      <c r="I430" s="31">
        <f t="shared" si="19"/>
        <v>24</v>
      </c>
      <c r="J430" s="146" t="s">
        <v>1996</v>
      </c>
      <c r="K430" s="31">
        <f t="shared" si="20"/>
        <v>4</v>
      </c>
      <c r="L430" s="32">
        <f t="shared" si="21"/>
        <v>0.8571428571428571</v>
      </c>
      <c r="M430" s="70"/>
      <c r="N430" s="70"/>
      <c r="O430" s="70"/>
      <c r="P430" s="70"/>
      <c r="Q430" s="70"/>
      <c r="R430" s="70" t="s">
        <v>2279</v>
      </c>
      <c r="S430" s="70"/>
      <c r="T430" s="70"/>
      <c r="U430" s="70" t="s">
        <v>2279</v>
      </c>
      <c r="V430" s="70" t="s">
        <v>2279</v>
      </c>
      <c r="W430" s="70" t="s">
        <v>2279</v>
      </c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</row>
    <row r="431" spans="1:40" s="73" customFormat="1" ht="16.899999999999999" hidden="1" customHeight="1" thickBot="1" x14ac:dyDescent="0.3">
      <c r="A431" t="s">
        <v>1122</v>
      </c>
      <c r="B431" s="73" t="s">
        <v>1555</v>
      </c>
      <c r="C431" s="73" t="s">
        <v>1061</v>
      </c>
      <c r="D431" s="73" t="s">
        <v>1558</v>
      </c>
      <c r="E431" s="85" t="s">
        <v>1112</v>
      </c>
      <c r="F431" s="85" t="s">
        <v>1299</v>
      </c>
      <c r="G431" s="85"/>
      <c r="H431" s="85" t="s">
        <v>1560</v>
      </c>
      <c r="I431" s="31">
        <f t="shared" si="19"/>
        <v>24</v>
      </c>
      <c r="J431" s="146" t="s">
        <v>1997</v>
      </c>
      <c r="K431" s="31">
        <f t="shared" si="20"/>
        <v>4</v>
      </c>
      <c r="L431" s="32">
        <f t="shared" si="21"/>
        <v>0.8571428571428571</v>
      </c>
      <c r="M431" s="70"/>
      <c r="N431" s="70"/>
      <c r="O431" s="70"/>
      <c r="P431" s="70"/>
      <c r="Q431" s="70"/>
      <c r="R431" s="70" t="s">
        <v>2279</v>
      </c>
      <c r="S431" s="70"/>
      <c r="T431" s="70"/>
      <c r="U431" s="70" t="s">
        <v>2279</v>
      </c>
      <c r="V431" s="70" t="s">
        <v>2279</v>
      </c>
      <c r="W431" s="70" t="s">
        <v>2279</v>
      </c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</row>
    <row r="432" spans="1:40" s="73" customFormat="1" ht="16.899999999999999" hidden="1" customHeight="1" thickBot="1" x14ac:dyDescent="0.3">
      <c r="A432" t="s">
        <v>1122</v>
      </c>
      <c r="B432" s="73" t="s">
        <v>2244</v>
      </c>
      <c r="C432" s="73" t="s">
        <v>1061</v>
      </c>
      <c r="D432" s="73" t="s">
        <v>2245</v>
      </c>
      <c r="E432" s="85" t="s">
        <v>1112</v>
      </c>
      <c r="F432" s="85"/>
      <c r="G432" s="85"/>
      <c r="H432" s="85" t="s">
        <v>2246</v>
      </c>
      <c r="I432" s="31">
        <f t="shared" si="19"/>
        <v>24</v>
      </c>
      <c r="J432" s="146"/>
      <c r="K432" s="31">
        <f t="shared" si="20"/>
        <v>4</v>
      </c>
      <c r="L432" s="32">
        <f t="shared" si="21"/>
        <v>0.8571428571428571</v>
      </c>
      <c r="M432" s="70"/>
      <c r="N432" s="70"/>
      <c r="O432" s="70"/>
      <c r="P432" s="70"/>
      <c r="Q432" s="70"/>
      <c r="R432" s="70" t="s">
        <v>2279</v>
      </c>
      <c r="S432" s="70"/>
      <c r="T432" s="70"/>
      <c r="U432" s="70" t="s">
        <v>2279</v>
      </c>
      <c r="V432" s="70" t="s">
        <v>2279</v>
      </c>
      <c r="W432" s="70" t="s">
        <v>2279</v>
      </c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</row>
    <row r="433" spans="1:40" ht="15.75" hidden="1" thickBot="1" x14ac:dyDescent="0.3">
      <c r="A433" t="s">
        <v>165</v>
      </c>
      <c r="B433" t="s">
        <v>451</v>
      </c>
      <c r="C433" t="s">
        <v>1060</v>
      </c>
      <c r="D433" t="s">
        <v>452</v>
      </c>
      <c r="E433" s="30" t="s">
        <v>73</v>
      </c>
      <c r="F433" s="30" t="s">
        <v>28</v>
      </c>
      <c r="G433" s="30"/>
      <c r="H433" s="30" t="s">
        <v>808</v>
      </c>
      <c r="I433" s="31">
        <f t="shared" si="19"/>
        <v>28</v>
      </c>
      <c r="J433" s="146" t="s">
        <v>1998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</row>
    <row r="434" spans="1:40" ht="15.75" hidden="1" thickBot="1" x14ac:dyDescent="0.3">
      <c r="A434" t="s">
        <v>165</v>
      </c>
      <c r="B434" t="s">
        <v>453</v>
      </c>
      <c r="C434" t="s">
        <v>1060</v>
      </c>
      <c r="D434" t="s">
        <v>452</v>
      </c>
      <c r="E434" s="30" t="s">
        <v>73</v>
      </c>
      <c r="F434" s="30" t="s">
        <v>28</v>
      </c>
      <c r="G434" s="30"/>
      <c r="H434" s="30" t="s">
        <v>809</v>
      </c>
      <c r="I434" s="31">
        <f t="shared" si="19"/>
        <v>28</v>
      </c>
      <c r="J434" s="146" t="s">
        <v>1999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</row>
    <row r="435" spans="1:40" ht="15.75" hidden="1" thickBot="1" x14ac:dyDescent="0.3">
      <c r="A435" t="s">
        <v>165</v>
      </c>
      <c r="B435" t="s">
        <v>1015</v>
      </c>
      <c r="C435" t="s">
        <v>1060</v>
      </c>
      <c r="D435" t="s">
        <v>454</v>
      </c>
      <c r="E435" s="30" t="s">
        <v>73</v>
      </c>
      <c r="F435" s="30" t="s">
        <v>28</v>
      </c>
      <c r="G435" s="30"/>
      <c r="H435" s="30" t="s">
        <v>810</v>
      </c>
      <c r="I435" s="31">
        <f t="shared" si="19"/>
        <v>28</v>
      </c>
      <c r="J435" s="146" t="s">
        <v>2000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</row>
    <row r="436" spans="1:40" ht="15.75" hidden="1" thickBot="1" x14ac:dyDescent="0.3">
      <c r="A436" t="s">
        <v>165</v>
      </c>
      <c r="B436" t="s">
        <v>1016</v>
      </c>
      <c r="C436" t="s">
        <v>1060</v>
      </c>
      <c r="D436" t="s">
        <v>454</v>
      </c>
      <c r="E436" s="30" t="s">
        <v>73</v>
      </c>
      <c r="F436" s="30" t="s">
        <v>28</v>
      </c>
      <c r="G436" s="30"/>
      <c r="H436" s="30" t="s">
        <v>811</v>
      </c>
      <c r="I436" s="31">
        <f t="shared" si="19"/>
        <v>28</v>
      </c>
      <c r="J436" s="146" t="s">
        <v>2001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</row>
    <row r="437" spans="1:40" ht="15.75" hidden="1" thickBot="1" x14ac:dyDescent="0.3">
      <c r="A437" t="s">
        <v>455</v>
      </c>
      <c r="B437" t="s">
        <v>464</v>
      </c>
      <c r="C437" t="s">
        <v>1061</v>
      </c>
      <c r="D437" t="s">
        <v>1023</v>
      </c>
      <c r="E437" s="30" t="s">
        <v>19</v>
      </c>
      <c r="F437" s="30" t="s">
        <v>1054</v>
      </c>
      <c r="G437" s="30"/>
      <c r="H437" s="30" t="s">
        <v>1407</v>
      </c>
      <c r="I437" s="31">
        <f t="shared" si="19"/>
        <v>25</v>
      </c>
      <c r="J437" s="146" t="s">
        <v>2002</v>
      </c>
      <c r="K437" s="31">
        <f t="shared" si="20"/>
        <v>3</v>
      </c>
      <c r="L437" s="32">
        <f t="shared" si="21"/>
        <v>0.8928571428571429</v>
      </c>
      <c r="M437" s="70" t="s">
        <v>2279</v>
      </c>
      <c r="N437" s="70" t="s">
        <v>2279</v>
      </c>
      <c r="O437" s="70" t="s">
        <v>2279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</row>
    <row r="438" spans="1:40" ht="15.75" hidden="1" thickBot="1" x14ac:dyDescent="0.3">
      <c r="A438" t="s">
        <v>350</v>
      </c>
      <c r="B438" t="s">
        <v>465</v>
      </c>
      <c r="C438" t="s">
        <v>1061</v>
      </c>
      <c r="D438" t="s">
        <v>1319</v>
      </c>
      <c r="E438" s="30" t="s">
        <v>19</v>
      </c>
      <c r="F438" s="30" t="s">
        <v>1054</v>
      </c>
      <c r="G438" s="30"/>
      <c r="H438" s="30" t="s">
        <v>1408</v>
      </c>
      <c r="I438" s="31">
        <f t="shared" si="19"/>
        <v>25</v>
      </c>
      <c r="J438" s="146" t="s">
        <v>2003</v>
      </c>
      <c r="K438" s="31">
        <f t="shared" si="20"/>
        <v>3</v>
      </c>
      <c r="L438" s="32">
        <f t="shared" si="21"/>
        <v>0.8928571428571429</v>
      </c>
      <c r="M438" s="70" t="s">
        <v>2279</v>
      </c>
      <c r="N438" s="70" t="s">
        <v>2279</v>
      </c>
      <c r="O438" s="70" t="s">
        <v>2279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</row>
    <row r="439" spans="1:40" s="73" customFormat="1" ht="15.75" hidden="1" thickBot="1" x14ac:dyDescent="0.3">
      <c r="A439" s="73" t="s">
        <v>455</v>
      </c>
      <c r="B439" s="73" t="s">
        <v>466</v>
      </c>
      <c r="C439" s="73" t="s">
        <v>1061</v>
      </c>
      <c r="D439" s="73" t="s">
        <v>467</v>
      </c>
      <c r="E439" s="85" t="s">
        <v>19</v>
      </c>
      <c r="F439" s="85" t="s">
        <v>1299</v>
      </c>
      <c r="G439" s="85"/>
      <c r="H439" s="85" t="s">
        <v>1419</v>
      </c>
      <c r="I439" s="141">
        <f t="shared" si="19"/>
        <v>28</v>
      </c>
      <c r="J439" s="146" t="s">
        <v>2004</v>
      </c>
      <c r="K439" s="141">
        <f t="shared" si="20"/>
        <v>0</v>
      </c>
      <c r="L439" s="14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</row>
    <row r="440" spans="1:40" s="73" customFormat="1" ht="15.75" hidden="1" thickBot="1" x14ac:dyDescent="0.3">
      <c r="A440" s="73" t="s">
        <v>455</v>
      </c>
      <c r="B440" s="73" t="s">
        <v>1017</v>
      </c>
      <c r="C440" s="73" t="s">
        <v>1061</v>
      </c>
      <c r="D440" s="73" t="s">
        <v>468</v>
      </c>
      <c r="E440" s="85" t="s">
        <v>19</v>
      </c>
      <c r="F440" s="85" t="s">
        <v>1299</v>
      </c>
      <c r="G440" s="85"/>
      <c r="H440" s="85" t="s">
        <v>1326</v>
      </c>
      <c r="I440" s="141">
        <f t="shared" si="19"/>
        <v>28</v>
      </c>
      <c r="J440" s="146" t="s">
        <v>2005</v>
      </c>
      <c r="K440" s="141">
        <f t="shared" si="20"/>
        <v>0</v>
      </c>
      <c r="L440" s="14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</row>
    <row r="441" spans="1:40" ht="15.75" hidden="1" thickBot="1" x14ac:dyDescent="0.3">
      <c r="A441" t="s">
        <v>455</v>
      </c>
      <c r="B441" t="s">
        <v>1024</v>
      </c>
      <c r="C441" t="s">
        <v>1061</v>
      </c>
      <c r="D441" t="s">
        <v>456</v>
      </c>
      <c r="E441" s="30" t="s">
        <v>15</v>
      </c>
      <c r="F441" s="30" t="s">
        <v>20</v>
      </c>
      <c r="G441" s="30"/>
      <c r="H441" s="30" t="s">
        <v>814</v>
      </c>
      <c r="I441" s="31">
        <f t="shared" si="19"/>
        <v>28</v>
      </c>
      <c r="J441" s="87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</row>
    <row r="442" spans="1:40" ht="15.75" hidden="1" thickBot="1" x14ac:dyDescent="0.3">
      <c r="A442" t="s">
        <v>455</v>
      </c>
      <c r="B442" t="s">
        <v>1025</v>
      </c>
      <c r="C442" t="s">
        <v>1061</v>
      </c>
      <c r="D442" t="s">
        <v>457</v>
      </c>
      <c r="E442" s="30" t="s">
        <v>19</v>
      </c>
      <c r="F442" s="30" t="s">
        <v>28</v>
      </c>
      <c r="G442" s="30"/>
      <c r="H442" s="30" t="s">
        <v>815</v>
      </c>
      <c r="I442" s="31">
        <f t="shared" si="19"/>
        <v>28</v>
      </c>
      <c r="J442" s="146" t="s">
        <v>2006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</row>
    <row r="443" spans="1:40" ht="15.75" hidden="1" thickBot="1" x14ac:dyDescent="0.3">
      <c r="A443" t="s">
        <v>455</v>
      </c>
      <c r="B443" t="s">
        <v>1026</v>
      </c>
      <c r="C443" t="s">
        <v>1061</v>
      </c>
      <c r="D443" t="s">
        <v>458</v>
      </c>
      <c r="E443" s="30" t="s">
        <v>19</v>
      </c>
      <c r="F443" s="30" t="s">
        <v>28</v>
      </c>
      <c r="G443" s="30"/>
      <c r="H443" s="30" t="s">
        <v>816</v>
      </c>
      <c r="I443" s="31">
        <f t="shared" si="19"/>
        <v>28</v>
      </c>
      <c r="J443" s="146" t="s">
        <v>2007</v>
      </c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</row>
    <row r="444" spans="1:40" ht="15.75" hidden="1" thickBot="1" x14ac:dyDescent="0.3">
      <c r="A444" t="s">
        <v>455</v>
      </c>
      <c r="B444" t="s">
        <v>459</v>
      </c>
      <c r="C444" t="s">
        <v>1061</v>
      </c>
      <c r="D444" t="s">
        <v>460</v>
      </c>
      <c r="E444" s="30" t="s">
        <v>19</v>
      </c>
      <c r="F444" s="30" t="s">
        <v>28</v>
      </c>
      <c r="G444" s="30"/>
      <c r="H444" s="30" t="s">
        <v>817</v>
      </c>
      <c r="I444" s="31">
        <f t="shared" si="19"/>
        <v>28</v>
      </c>
      <c r="J444" s="146" t="s">
        <v>2008</v>
      </c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</row>
    <row r="445" spans="1:40" ht="15.75" hidden="1" thickBot="1" x14ac:dyDescent="0.3">
      <c r="A445" t="s">
        <v>455</v>
      </c>
      <c r="B445" t="s">
        <v>1027</v>
      </c>
      <c r="C445" t="s">
        <v>1061</v>
      </c>
      <c r="D445" t="s">
        <v>461</v>
      </c>
      <c r="E445" s="30" t="s">
        <v>15</v>
      </c>
      <c r="F445" s="30" t="s">
        <v>20</v>
      </c>
      <c r="G445" s="30"/>
      <c r="H445" s="30" t="s">
        <v>799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</row>
    <row r="446" spans="1:40" ht="15.75" hidden="1" thickBot="1" x14ac:dyDescent="0.3">
      <c r="A446" t="s">
        <v>455</v>
      </c>
      <c r="B446" t="s">
        <v>1028</v>
      </c>
      <c r="C446" t="s">
        <v>1061</v>
      </c>
      <c r="D446" t="s">
        <v>462</v>
      </c>
      <c r="E446" s="30" t="s">
        <v>15</v>
      </c>
      <c r="F446" s="30" t="s">
        <v>20</v>
      </c>
      <c r="G446" s="30"/>
      <c r="H446" s="30" t="s">
        <v>818</v>
      </c>
      <c r="I446" s="31">
        <f t="shared" si="19"/>
        <v>28</v>
      </c>
      <c r="J446" s="87"/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</row>
    <row r="447" spans="1:40" ht="15.75" hidden="1" thickBot="1" x14ac:dyDescent="0.3">
      <c r="A447" t="s">
        <v>455</v>
      </c>
      <c r="B447" t="s">
        <v>1018</v>
      </c>
      <c r="C447" t="s">
        <v>1061</v>
      </c>
      <c r="D447" t="s">
        <v>469</v>
      </c>
      <c r="E447" s="30" t="s">
        <v>15</v>
      </c>
      <c r="F447" s="30" t="s">
        <v>20</v>
      </c>
      <c r="G447" s="30"/>
      <c r="H447" s="30" t="s">
        <v>812</v>
      </c>
      <c r="I447" s="31">
        <f t="shared" si="19"/>
        <v>28</v>
      </c>
      <c r="J447" s="87"/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</row>
    <row r="448" spans="1:40" ht="15.75" hidden="1" thickBot="1" x14ac:dyDescent="0.3">
      <c r="A448" t="s">
        <v>455</v>
      </c>
      <c r="B448" t="s">
        <v>470</v>
      </c>
      <c r="C448" t="s">
        <v>1061</v>
      </c>
      <c r="D448" t="s">
        <v>471</v>
      </c>
      <c r="E448" s="30" t="s">
        <v>15</v>
      </c>
      <c r="F448" s="30" t="s">
        <v>20</v>
      </c>
      <c r="G448" s="30"/>
      <c r="H448" s="30" t="s">
        <v>813</v>
      </c>
      <c r="I448" s="31">
        <f t="shared" si="19"/>
        <v>27</v>
      </c>
      <c r="J448" s="87"/>
      <c r="K448" s="31">
        <f t="shared" si="20"/>
        <v>1</v>
      </c>
      <c r="L448" s="32">
        <f t="shared" si="21"/>
        <v>0.9642857142857143</v>
      </c>
      <c r="M448" s="70" t="s">
        <v>2279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</row>
    <row r="449" spans="1:40" ht="15.75" hidden="1" thickBot="1" x14ac:dyDescent="0.3">
      <c r="A449" t="s">
        <v>350</v>
      </c>
      <c r="B449" t="s">
        <v>1019</v>
      </c>
      <c r="C449" t="s">
        <v>1061</v>
      </c>
      <c r="D449" t="s">
        <v>472</v>
      </c>
      <c r="E449" s="30" t="s">
        <v>73</v>
      </c>
      <c r="F449" s="30" t="s">
        <v>1054</v>
      </c>
      <c r="G449" s="30"/>
      <c r="H449" s="30" t="s">
        <v>1409</v>
      </c>
      <c r="I449" s="31">
        <f t="shared" si="19"/>
        <v>25</v>
      </c>
      <c r="J449" s="146" t="s">
        <v>2009</v>
      </c>
      <c r="K449" s="31">
        <f t="shared" si="20"/>
        <v>3</v>
      </c>
      <c r="L449" s="32">
        <f t="shared" si="21"/>
        <v>0.8928571428571429</v>
      </c>
      <c r="M449" s="70" t="s">
        <v>2279</v>
      </c>
      <c r="N449" s="70" t="s">
        <v>2279</v>
      </c>
      <c r="O449" s="70" t="s">
        <v>2279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</row>
    <row r="450" spans="1:40" ht="15.75" hidden="1" thickBot="1" x14ac:dyDescent="0.3">
      <c r="A450" t="s">
        <v>350</v>
      </c>
      <c r="B450" t="s">
        <v>1020</v>
      </c>
      <c r="C450" t="s">
        <v>1061</v>
      </c>
      <c r="D450" t="s">
        <v>472</v>
      </c>
      <c r="E450" s="30" t="s">
        <v>73</v>
      </c>
      <c r="F450" s="30" t="s">
        <v>1054</v>
      </c>
      <c r="G450" s="30"/>
      <c r="H450" s="30" t="s">
        <v>1410</v>
      </c>
      <c r="I450" s="31">
        <f t="shared" si="19"/>
        <v>14</v>
      </c>
      <c r="J450" s="146" t="s">
        <v>2010</v>
      </c>
      <c r="K450" s="31">
        <f t="shared" si="20"/>
        <v>14</v>
      </c>
      <c r="L450" s="32">
        <f t="shared" si="21"/>
        <v>0.5</v>
      </c>
      <c r="M450" s="70"/>
      <c r="N450" s="70" t="s">
        <v>2279</v>
      </c>
      <c r="O450" s="70" t="s">
        <v>2279</v>
      </c>
      <c r="P450" s="70" t="s">
        <v>2279</v>
      </c>
      <c r="Q450" s="70" t="s">
        <v>2279</v>
      </c>
      <c r="R450" s="70" t="s">
        <v>2279</v>
      </c>
      <c r="S450" s="70"/>
      <c r="T450" s="70"/>
      <c r="U450" s="70" t="s">
        <v>2279</v>
      </c>
      <c r="V450" s="70" t="s">
        <v>2279</v>
      </c>
      <c r="W450" s="70" t="s">
        <v>2279</v>
      </c>
      <c r="X450" s="70" t="s">
        <v>2279</v>
      </c>
      <c r="Y450" s="70" t="s">
        <v>2279</v>
      </c>
      <c r="Z450" s="70"/>
      <c r="AA450" s="70"/>
      <c r="AB450" s="70"/>
      <c r="AC450" s="70"/>
      <c r="AD450" s="70" t="s">
        <v>2279</v>
      </c>
      <c r="AE450" s="70" t="s">
        <v>2279</v>
      </c>
      <c r="AF450" s="70" t="s">
        <v>2279</v>
      </c>
      <c r="AG450" s="70"/>
      <c r="AH450" s="70"/>
      <c r="AI450" s="70" t="s">
        <v>2279</v>
      </c>
      <c r="AJ450" s="70"/>
      <c r="AK450" s="70"/>
      <c r="AL450" s="70"/>
      <c r="AM450" s="70"/>
      <c r="AN450" s="70"/>
    </row>
    <row r="451" spans="1:40" s="73" customFormat="1" ht="15.75" hidden="1" thickBot="1" x14ac:dyDescent="0.3">
      <c r="A451" s="73" t="s">
        <v>455</v>
      </c>
      <c r="B451" s="73" t="s">
        <v>473</v>
      </c>
      <c r="C451" s="73" t="s">
        <v>1061</v>
      </c>
      <c r="D451" s="73" t="s">
        <v>474</v>
      </c>
      <c r="E451" s="85" t="s">
        <v>15</v>
      </c>
      <c r="F451" s="85" t="s">
        <v>1299</v>
      </c>
      <c r="G451" s="85"/>
      <c r="H451" s="85" t="s">
        <v>819</v>
      </c>
      <c r="I451" s="141">
        <f t="shared" si="19"/>
        <v>28</v>
      </c>
      <c r="J451" s="146" t="s">
        <v>2011</v>
      </c>
      <c r="K451" s="141">
        <f t="shared" si="20"/>
        <v>0</v>
      </c>
      <c r="L451" s="14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</row>
    <row r="452" spans="1:40" s="73" customFormat="1" ht="15.75" hidden="1" thickBot="1" x14ac:dyDescent="0.3">
      <c r="A452" s="73" t="s">
        <v>455</v>
      </c>
      <c r="B452" s="73" t="s">
        <v>1029</v>
      </c>
      <c r="C452" s="73" t="s">
        <v>1061</v>
      </c>
      <c r="D452" s="73" t="s">
        <v>463</v>
      </c>
      <c r="E452" s="85" t="s">
        <v>73</v>
      </c>
      <c r="F452" s="85" t="s">
        <v>1299</v>
      </c>
      <c r="G452" s="85"/>
      <c r="H452" s="85" t="s">
        <v>820</v>
      </c>
      <c r="I452" s="141">
        <f t="shared" si="19"/>
        <v>28</v>
      </c>
      <c r="J452" s="146" t="s">
        <v>2012</v>
      </c>
      <c r="K452" s="141">
        <f t="shared" si="20"/>
        <v>0</v>
      </c>
      <c r="L452" s="14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</row>
    <row r="453" spans="1:40" s="73" customFormat="1" ht="15.75" hidden="1" thickBot="1" x14ac:dyDescent="0.3">
      <c r="A453" s="73" t="s">
        <v>455</v>
      </c>
      <c r="B453" s="73" t="s">
        <v>1030</v>
      </c>
      <c r="C453" s="73" t="s">
        <v>1061</v>
      </c>
      <c r="D453" s="73" t="s">
        <v>463</v>
      </c>
      <c r="E453" s="85" t="s">
        <v>73</v>
      </c>
      <c r="F453" s="85" t="s">
        <v>1299</v>
      </c>
      <c r="G453" s="85"/>
      <c r="H453" s="85" t="s">
        <v>821</v>
      </c>
      <c r="I453" s="141">
        <f t="shared" si="19"/>
        <v>28</v>
      </c>
      <c r="J453" s="146" t="s">
        <v>2013</v>
      </c>
      <c r="K453" s="141">
        <f t="shared" si="20"/>
        <v>0</v>
      </c>
      <c r="L453" s="14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</row>
    <row r="454" spans="1:40" ht="15.75" hidden="1" thickBot="1" x14ac:dyDescent="0.3">
      <c r="A454" t="s">
        <v>455</v>
      </c>
      <c r="B454" t="s">
        <v>1021</v>
      </c>
      <c r="C454" t="s">
        <v>1061</v>
      </c>
      <c r="D454" t="s">
        <v>475</v>
      </c>
      <c r="E454" s="30" t="s">
        <v>73</v>
      </c>
      <c r="F454" s="30" t="s">
        <v>28</v>
      </c>
      <c r="G454" s="30"/>
      <c r="H454" s="30" t="s">
        <v>822</v>
      </c>
      <c r="I454" s="31">
        <f t="shared" si="19"/>
        <v>21</v>
      </c>
      <c r="J454" s="146" t="s">
        <v>2014</v>
      </c>
      <c r="K454" s="31">
        <f t="shared" si="20"/>
        <v>7</v>
      </c>
      <c r="L454" s="32">
        <f t="shared" si="21"/>
        <v>0.75</v>
      </c>
      <c r="M454" s="70" t="s">
        <v>2279</v>
      </c>
      <c r="N454" s="70" t="s">
        <v>2279</v>
      </c>
      <c r="O454" s="70" t="s">
        <v>2279</v>
      </c>
      <c r="P454" s="70" t="s">
        <v>2279</v>
      </c>
      <c r="Q454" s="70"/>
      <c r="R454" s="70" t="s">
        <v>2279</v>
      </c>
      <c r="S454" s="70"/>
      <c r="T454" s="70"/>
      <c r="U454" s="70" t="s">
        <v>2279</v>
      </c>
      <c r="V454" s="70" t="s">
        <v>2279</v>
      </c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</row>
    <row r="455" spans="1:40" ht="15.75" hidden="1" thickBot="1" x14ac:dyDescent="0.3">
      <c r="A455" t="s">
        <v>455</v>
      </c>
      <c r="B455" t="s">
        <v>1022</v>
      </c>
      <c r="C455" t="s">
        <v>1061</v>
      </c>
      <c r="D455" t="s">
        <v>475</v>
      </c>
      <c r="E455" s="30" t="s">
        <v>73</v>
      </c>
      <c r="F455" s="30" t="s">
        <v>28</v>
      </c>
      <c r="G455" s="30"/>
      <c r="H455" s="30" t="s">
        <v>823</v>
      </c>
      <c r="I455" s="31">
        <f t="shared" si="19"/>
        <v>21</v>
      </c>
      <c r="J455" s="146" t="s">
        <v>2015</v>
      </c>
      <c r="K455" s="31">
        <f t="shared" si="20"/>
        <v>7</v>
      </c>
      <c r="L455" s="32">
        <f t="shared" si="21"/>
        <v>0.75</v>
      </c>
      <c r="M455" s="70" t="s">
        <v>2279</v>
      </c>
      <c r="N455" s="70" t="s">
        <v>2279</v>
      </c>
      <c r="O455" s="70" t="s">
        <v>2279</v>
      </c>
      <c r="P455" s="70" t="s">
        <v>2279</v>
      </c>
      <c r="Q455" s="70"/>
      <c r="R455" s="70" t="s">
        <v>2279</v>
      </c>
      <c r="S455" s="70"/>
      <c r="T455" s="70"/>
      <c r="U455" s="70" t="s">
        <v>2279</v>
      </c>
      <c r="V455" s="70" t="s">
        <v>2279</v>
      </c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</row>
    <row r="456" spans="1:40" ht="15.75" hidden="1" thickBot="1" x14ac:dyDescent="0.3">
      <c r="A456" t="s">
        <v>455</v>
      </c>
      <c r="B456" s="30" t="s">
        <v>1286</v>
      </c>
      <c r="C456" t="s">
        <v>1061</v>
      </c>
      <c r="D456" s="68" t="s">
        <v>1285</v>
      </c>
      <c r="E456" s="30" t="s">
        <v>73</v>
      </c>
      <c r="F456" s="30" t="s">
        <v>28</v>
      </c>
      <c r="G456" s="30"/>
      <c r="H456" s="30" t="s">
        <v>1287</v>
      </c>
      <c r="I456" s="31">
        <f t="shared" si="19"/>
        <v>28</v>
      </c>
      <c r="J456" s="146" t="s">
        <v>2016</v>
      </c>
      <c r="K456" s="31">
        <f t="shared" si="20"/>
        <v>0</v>
      </c>
      <c r="L456" s="32">
        <f t="shared" si="21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</row>
    <row r="457" spans="1:40" ht="15.75" hidden="1" thickBot="1" x14ac:dyDescent="0.3">
      <c r="A457" t="s">
        <v>455</v>
      </c>
      <c r="B457" t="s">
        <v>1284</v>
      </c>
      <c r="C457" t="s">
        <v>1061</v>
      </c>
      <c r="D457" s="68" t="s">
        <v>1285</v>
      </c>
      <c r="E457" s="30" t="s">
        <v>73</v>
      </c>
      <c r="F457" s="30" t="s">
        <v>28</v>
      </c>
      <c r="G457" s="30"/>
      <c r="H457" s="30" t="s">
        <v>1288</v>
      </c>
      <c r="I457" s="31">
        <f t="shared" si="19"/>
        <v>28</v>
      </c>
      <c r="J457" s="146" t="s">
        <v>2017</v>
      </c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</row>
    <row r="458" spans="1:40" s="73" customFormat="1" ht="15.75" hidden="1" thickBot="1" x14ac:dyDescent="0.3">
      <c r="A458" s="73" t="s">
        <v>1597</v>
      </c>
      <c r="B458" s="73" t="s">
        <v>1598</v>
      </c>
      <c r="C458" s="73" t="s">
        <v>1061</v>
      </c>
      <c r="D458" s="145" t="s">
        <v>1599</v>
      </c>
      <c r="E458" s="85" t="s">
        <v>15</v>
      </c>
      <c r="F458" s="85" t="s">
        <v>1299</v>
      </c>
      <c r="G458" s="85"/>
      <c r="H458" s="85" t="s">
        <v>1600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</row>
    <row r="459" spans="1:40" s="73" customFormat="1" ht="15.75" hidden="1" thickBot="1" x14ac:dyDescent="0.3">
      <c r="A459" s="73" t="s">
        <v>1597</v>
      </c>
      <c r="B459" s="73" t="s">
        <v>1609</v>
      </c>
      <c r="C459" s="73" t="s">
        <v>1061</v>
      </c>
      <c r="D459" s="145" t="s">
        <v>1610</v>
      </c>
      <c r="E459" s="85" t="s">
        <v>19</v>
      </c>
      <c r="F459" s="85" t="s">
        <v>1299</v>
      </c>
      <c r="G459" s="85"/>
      <c r="H459" s="85" t="s">
        <v>1611</v>
      </c>
      <c r="I459" s="31">
        <f t="shared" si="19"/>
        <v>28</v>
      </c>
      <c r="J459" s="87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</row>
    <row r="460" spans="1:40" s="73" customFormat="1" ht="15.75" hidden="1" thickBot="1" x14ac:dyDescent="0.3">
      <c r="A460" s="73" t="s">
        <v>1603</v>
      </c>
      <c r="B460" s="73" t="s">
        <v>1602</v>
      </c>
      <c r="C460" s="73" t="s">
        <v>1061</v>
      </c>
      <c r="D460" s="145" t="s">
        <v>1604</v>
      </c>
      <c r="E460" s="85" t="s">
        <v>73</v>
      </c>
      <c r="F460" s="85" t="s">
        <v>1299</v>
      </c>
      <c r="G460" s="85"/>
      <c r="H460" s="85" t="s">
        <v>1605</v>
      </c>
      <c r="I460" s="31">
        <f t="shared" si="19"/>
        <v>28</v>
      </c>
      <c r="J460" s="87"/>
      <c r="K460" s="31">
        <f t="shared" si="20"/>
        <v>0</v>
      </c>
      <c r="L460" s="32">
        <f t="shared" si="21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</row>
    <row r="461" spans="1:40" s="73" customFormat="1" ht="15.75" hidden="1" thickBot="1" x14ac:dyDescent="0.3">
      <c r="A461" s="73" t="s">
        <v>1597</v>
      </c>
      <c r="B461" s="73" t="s">
        <v>1653</v>
      </c>
      <c r="C461" s="73" t="s">
        <v>1061</v>
      </c>
      <c r="D461" s="145" t="s">
        <v>1651</v>
      </c>
      <c r="E461" s="85" t="s">
        <v>73</v>
      </c>
      <c r="F461" s="85" t="s">
        <v>1299</v>
      </c>
      <c r="G461" s="85"/>
      <c r="H461" s="85" t="s">
        <v>1655</v>
      </c>
      <c r="I461" s="31">
        <f t="shared" si="19"/>
        <v>28</v>
      </c>
      <c r="J461" s="87"/>
      <c r="K461" s="31">
        <f t="shared" si="20"/>
        <v>0</v>
      </c>
      <c r="L461" s="32">
        <f t="shared" si="21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</row>
    <row r="462" spans="1:40" s="73" customFormat="1" ht="15.75" hidden="1" thickBot="1" x14ac:dyDescent="0.3">
      <c r="A462" s="73" t="s">
        <v>1597</v>
      </c>
      <c r="B462" s="73" t="s">
        <v>1654</v>
      </c>
      <c r="C462" s="73" t="s">
        <v>1061</v>
      </c>
      <c r="D462" s="145" t="s">
        <v>1652</v>
      </c>
      <c r="E462" s="85" t="s">
        <v>73</v>
      </c>
      <c r="F462" s="85" t="s">
        <v>1299</v>
      </c>
      <c r="G462" s="85"/>
      <c r="H462" s="85" t="s">
        <v>1656</v>
      </c>
      <c r="I462" s="31">
        <f t="shared" si="19"/>
        <v>28</v>
      </c>
      <c r="J462" s="87"/>
      <c r="K462" s="31">
        <f t="shared" si="20"/>
        <v>0</v>
      </c>
      <c r="L462" s="32">
        <f t="shared" si="21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</row>
    <row r="463" spans="1:40" s="73" customFormat="1" ht="15.75" hidden="1" thickBot="1" x14ac:dyDescent="0.3">
      <c r="A463" s="73" t="s">
        <v>1597</v>
      </c>
      <c r="B463" s="73" t="s">
        <v>2165</v>
      </c>
      <c r="C463" s="73" t="s">
        <v>1061</v>
      </c>
      <c r="D463" s="145" t="s">
        <v>2166</v>
      </c>
      <c r="E463" s="85"/>
      <c r="F463" s="85" t="s">
        <v>1299</v>
      </c>
      <c r="G463" s="85"/>
      <c r="H463" s="85" t="s">
        <v>2167</v>
      </c>
      <c r="I463" s="31">
        <f t="shared" si="19"/>
        <v>28</v>
      </c>
      <c r="J463" s="151"/>
      <c r="K463" s="31">
        <f t="shared" si="20"/>
        <v>0</v>
      </c>
      <c r="L463" s="32">
        <f t="shared" si="21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</row>
    <row r="464" spans="1:40" s="73" customFormat="1" ht="15.75" hidden="1" thickBot="1" x14ac:dyDescent="0.3">
      <c r="A464" s="73" t="s">
        <v>359</v>
      </c>
      <c r="B464" s="73" t="s">
        <v>476</v>
      </c>
      <c r="C464" s="73" t="s">
        <v>1061</v>
      </c>
      <c r="D464" s="73" t="s">
        <v>477</v>
      </c>
      <c r="E464" s="85" t="s">
        <v>73</v>
      </c>
      <c r="F464" s="85" t="s">
        <v>1299</v>
      </c>
      <c r="G464" s="85"/>
      <c r="H464" s="85" t="s">
        <v>824</v>
      </c>
      <c r="I464" s="141">
        <f t="shared" si="19"/>
        <v>14</v>
      </c>
      <c r="J464" s="146" t="s">
        <v>2018</v>
      </c>
      <c r="K464" s="141">
        <f t="shared" si="20"/>
        <v>14</v>
      </c>
      <c r="L464" s="142">
        <f t="shared" si="21"/>
        <v>0.5</v>
      </c>
      <c r="M464" s="70" t="s">
        <v>2279</v>
      </c>
      <c r="N464" s="70" t="s">
        <v>2279</v>
      </c>
      <c r="O464" s="70" t="s">
        <v>2279</v>
      </c>
      <c r="P464" s="70" t="s">
        <v>2279</v>
      </c>
      <c r="Q464" s="70" t="s">
        <v>2279</v>
      </c>
      <c r="R464" s="70" t="s">
        <v>2279</v>
      </c>
      <c r="S464" s="70"/>
      <c r="T464" s="70"/>
      <c r="U464" s="70" t="s">
        <v>2279</v>
      </c>
      <c r="V464" s="70" t="s">
        <v>2279</v>
      </c>
      <c r="W464" s="70" t="s">
        <v>2279</v>
      </c>
      <c r="X464" s="70"/>
      <c r="Y464" s="70" t="s">
        <v>2279</v>
      </c>
      <c r="Z464" s="70"/>
      <c r="AA464" s="70"/>
      <c r="AB464" s="70"/>
      <c r="AC464" s="70"/>
      <c r="AD464" s="70" t="s">
        <v>2279</v>
      </c>
      <c r="AE464" s="70" t="s">
        <v>2279</v>
      </c>
      <c r="AF464" s="70" t="s">
        <v>2279</v>
      </c>
      <c r="AG464" s="70"/>
      <c r="AH464" s="70"/>
      <c r="AI464" s="70" t="s">
        <v>2279</v>
      </c>
      <c r="AJ464" s="70"/>
      <c r="AK464" s="70"/>
      <c r="AL464" s="70"/>
      <c r="AM464" s="70"/>
      <c r="AN464" s="70"/>
    </row>
    <row r="465" spans="1:40" s="73" customFormat="1" ht="15.75" hidden="1" thickBot="1" x14ac:dyDescent="0.3">
      <c r="A465" s="73" t="s">
        <v>359</v>
      </c>
      <c r="B465" s="73" t="s">
        <v>478</v>
      </c>
      <c r="C465" s="73" t="s">
        <v>1061</v>
      </c>
      <c r="D465" s="73" t="s">
        <v>477</v>
      </c>
      <c r="E465" s="85" t="s">
        <v>73</v>
      </c>
      <c r="F465" s="85" t="s">
        <v>1299</v>
      </c>
      <c r="G465" s="85"/>
      <c r="H465" s="85" t="s">
        <v>825</v>
      </c>
      <c r="I465" s="141">
        <f t="shared" si="19"/>
        <v>13</v>
      </c>
      <c r="J465" s="146" t="s">
        <v>2019</v>
      </c>
      <c r="K465" s="141">
        <f t="shared" si="20"/>
        <v>15</v>
      </c>
      <c r="L465" s="142">
        <f t="shared" si="21"/>
        <v>0.4642857142857143</v>
      </c>
      <c r="M465" s="70" t="s">
        <v>2279</v>
      </c>
      <c r="N465" s="70" t="s">
        <v>2279</v>
      </c>
      <c r="O465" s="70" t="s">
        <v>2279</v>
      </c>
      <c r="P465" s="70" t="s">
        <v>2279</v>
      </c>
      <c r="Q465" s="70" t="s">
        <v>2279</v>
      </c>
      <c r="R465" s="70" t="s">
        <v>2279</v>
      </c>
      <c r="S465" s="70"/>
      <c r="T465" s="70"/>
      <c r="U465" s="70" t="s">
        <v>2279</v>
      </c>
      <c r="V465" s="70" t="s">
        <v>2279</v>
      </c>
      <c r="W465" s="70" t="s">
        <v>2279</v>
      </c>
      <c r="X465" s="70" t="s">
        <v>2279</v>
      </c>
      <c r="Y465" s="70" t="s">
        <v>2279</v>
      </c>
      <c r="Z465" s="70"/>
      <c r="AA465" s="70"/>
      <c r="AB465" s="70"/>
      <c r="AC465" s="70"/>
      <c r="AD465" s="70" t="s">
        <v>2279</v>
      </c>
      <c r="AE465" s="70" t="s">
        <v>2279</v>
      </c>
      <c r="AF465" s="70" t="s">
        <v>2279</v>
      </c>
      <c r="AG465" s="70"/>
      <c r="AH465" s="70"/>
      <c r="AI465" s="70" t="s">
        <v>2279</v>
      </c>
      <c r="AJ465" s="70"/>
      <c r="AK465" s="70"/>
      <c r="AL465" s="70"/>
      <c r="AM465" s="70"/>
      <c r="AN465" s="70"/>
    </row>
    <row r="466" spans="1:40" s="73" customFormat="1" ht="15.75" hidden="1" thickBot="1" x14ac:dyDescent="0.3">
      <c r="A466" s="73" t="s">
        <v>359</v>
      </c>
      <c r="B466" s="85" t="s">
        <v>1103</v>
      </c>
      <c r="C466" s="85" t="s">
        <v>1061</v>
      </c>
      <c r="D466" s="73" t="s">
        <v>1102</v>
      </c>
      <c r="E466" s="85" t="s">
        <v>15</v>
      </c>
      <c r="F466" s="85" t="s">
        <v>1299</v>
      </c>
      <c r="G466" s="85"/>
      <c r="H466" s="85" t="s">
        <v>1104</v>
      </c>
      <c r="I466" s="141">
        <f t="shared" si="19"/>
        <v>13</v>
      </c>
      <c r="J466" s="87"/>
      <c r="K466" s="141">
        <f t="shared" si="20"/>
        <v>15</v>
      </c>
      <c r="L466" s="142">
        <f t="shared" si="21"/>
        <v>0.4642857142857143</v>
      </c>
      <c r="M466" s="70" t="s">
        <v>2279</v>
      </c>
      <c r="N466" s="70" t="s">
        <v>2279</v>
      </c>
      <c r="O466" s="70" t="s">
        <v>2279</v>
      </c>
      <c r="P466" s="70" t="s">
        <v>2279</v>
      </c>
      <c r="Q466" s="70" t="s">
        <v>2279</v>
      </c>
      <c r="R466" s="70" t="s">
        <v>2279</v>
      </c>
      <c r="S466" s="70"/>
      <c r="T466" s="70"/>
      <c r="U466" s="70" t="s">
        <v>2279</v>
      </c>
      <c r="V466" s="70" t="s">
        <v>2279</v>
      </c>
      <c r="W466" s="70" t="s">
        <v>2279</v>
      </c>
      <c r="X466" s="70" t="s">
        <v>2279</v>
      </c>
      <c r="Y466" s="70" t="s">
        <v>2279</v>
      </c>
      <c r="Z466" s="70"/>
      <c r="AA466" s="70"/>
      <c r="AB466" s="70"/>
      <c r="AC466" s="70"/>
      <c r="AD466" s="70" t="s">
        <v>2279</v>
      </c>
      <c r="AE466" s="70" t="s">
        <v>2279</v>
      </c>
      <c r="AF466" s="70" t="s">
        <v>2279</v>
      </c>
      <c r="AG466" s="70"/>
      <c r="AH466" s="70"/>
      <c r="AI466" s="70" t="s">
        <v>2279</v>
      </c>
      <c r="AJ466" s="70"/>
      <c r="AK466" s="70"/>
      <c r="AL466" s="70"/>
      <c r="AM466" s="70"/>
      <c r="AN466" s="70"/>
    </row>
    <row r="467" spans="1:40" s="73" customFormat="1" ht="15.75" hidden="1" thickBot="1" x14ac:dyDescent="0.3">
      <c r="A467" s="73" t="s">
        <v>433</v>
      </c>
      <c r="B467" s="85" t="s">
        <v>2134</v>
      </c>
      <c r="C467" t="s">
        <v>1060</v>
      </c>
      <c r="D467" s="73" t="s">
        <v>2135</v>
      </c>
      <c r="E467" s="85" t="s">
        <v>15</v>
      </c>
      <c r="F467" s="85" t="s">
        <v>1299</v>
      </c>
      <c r="G467" s="85"/>
      <c r="H467" s="85" t="s">
        <v>2136</v>
      </c>
      <c r="I467" s="141">
        <f t="shared" si="19"/>
        <v>28</v>
      </c>
      <c r="J467" s="151" t="s">
        <v>2137</v>
      </c>
      <c r="K467" s="141">
        <f t="shared" si="20"/>
        <v>0</v>
      </c>
      <c r="L467" s="142">
        <f t="shared" si="21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</row>
    <row r="468" spans="1:40" s="73" customFormat="1" ht="15.75" hidden="1" thickBot="1" x14ac:dyDescent="0.3">
      <c r="B468" s="85" t="s">
        <v>2278</v>
      </c>
      <c r="C468" t="s">
        <v>1060</v>
      </c>
      <c r="D468" s="73" t="s">
        <v>2301</v>
      </c>
      <c r="E468" s="85" t="s">
        <v>73</v>
      </c>
      <c r="F468" s="85"/>
      <c r="G468" s="85"/>
      <c r="H468" s="85"/>
      <c r="I468" s="141">
        <f t="shared" si="19"/>
        <v>14</v>
      </c>
      <c r="J468" s="151"/>
      <c r="K468" s="141">
        <f t="shared" si="20"/>
        <v>14</v>
      </c>
      <c r="L468" s="142">
        <f t="shared" si="21"/>
        <v>0.5</v>
      </c>
      <c r="M468" s="70" t="s">
        <v>2279</v>
      </c>
      <c r="N468" s="70" t="s">
        <v>2279</v>
      </c>
      <c r="O468" s="70" t="s">
        <v>2279</v>
      </c>
      <c r="P468" s="70" t="s">
        <v>2279</v>
      </c>
      <c r="Q468" s="70" t="s">
        <v>2279</v>
      </c>
      <c r="R468" s="70" t="s">
        <v>2279</v>
      </c>
      <c r="S468" s="70"/>
      <c r="T468" s="70"/>
      <c r="U468" s="70" t="s">
        <v>2279</v>
      </c>
      <c r="V468" s="70" t="s">
        <v>2279</v>
      </c>
      <c r="W468" s="70" t="s">
        <v>2279</v>
      </c>
      <c r="X468" s="70" t="s">
        <v>2279</v>
      </c>
      <c r="Y468" s="70"/>
      <c r="Z468" s="70"/>
      <c r="AA468" s="70"/>
      <c r="AB468" s="70"/>
      <c r="AC468" s="70"/>
      <c r="AD468" s="70" t="s">
        <v>2279</v>
      </c>
      <c r="AE468" s="70" t="s">
        <v>2279</v>
      </c>
      <c r="AF468" s="70" t="s">
        <v>2279</v>
      </c>
      <c r="AG468" s="70"/>
      <c r="AH468" s="70"/>
      <c r="AI468" s="70" t="s">
        <v>2279</v>
      </c>
      <c r="AJ468" s="70"/>
      <c r="AK468" s="70"/>
      <c r="AL468" s="70"/>
      <c r="AM468" s="70"/>
      <c r="AN468" s="70"/>
    </row>
    <row r="469" spans="1:40" ht="15.75" hidden="1" thickBot="1" x14ac:dyDescent="0.3">
      <c r="A469" t="s">
        <v>264</v>
      </c>
      <c r="B469" t="s">
        <v>1031</v>
      </c>
      <c r="C469" t="s">
        <v>1060</v>
      </c>
      <c r="D469" t="s">
        <v>496</v>
      </c>
      <c r="E469" s="30" t="s">
        <v>19</v>
      </c>
      <c r="F469" s="30" t="s">
        <v>1054</v>
      </c>
      <c r="G469" s="30" t="s">
        <v>1255</v>
      </c>
      <c r="H469" s="30" t="s">
        <v>834</v>
      </c>
      <c r="I469" s="31">
        <f t="shared" si="19"/>
        <v>25</v>
      </c>
      <c r="J469" s="146" t="s">
        <v>2020</v>
      </c>
      <c r="K469" s="31">
        <f t="shared" si="20"/>
        <v>3</v>
      </c>
      <c r="L469" s="32">
        <f t="shared" si="21"/>
        <v>0.8928571428571429</v>
      </c>
      <c r="M469" s="70"/>
      <c r="N469" s="70"/>
      <c r="O469" s="70"/>
      <c r="P469" s="70"/>
      <c r="Q469" s="70"/>
      <c r="R469" s="70"/>
      <c r="S469" s="70"/>
      <c r="T469" s="70"/>
      <c r="U469" s="70" t="s">
        <v>2279</v>
      </c>
      <c r="V469" s="70"/>
      <c r="W469" s="70" t="s">
        <v>2279</v>
      </c>
      <c r="X469" s="70" t="s">
        <v>2279</v>
      </c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</row>
    <row r="470" spans="1:40" ht="15.75" hidden="1" thickBot="1" x14ac:dyDescent="0.3">
      <c r="A470" t="s">
        <v>479</v>
      </c>
      <c r="B470" t="s">
        <v>480</v>
      </c>
      <c r="C470" t="s">
        <v>1060</v>
      </c>
      <c r="D470" t="s">
        <v>1607</v>
      </c>
      <c r="E470" s="30" t="s">
        <v>19</v>
      </c>
      <c r="F470" s="30" t="s">
        <v>1054</v>
      </c>
      <c r="G470" s="30" t="s">
        <v>1255</v>
      </c>
      <c r="H470" s="30" t="s">
        <v>826</v>
      </c>
      <c r="I470" s="31">
        <f t="shared" si="19"/>
        <v>13</v>
      </c>
      <c r="J470" s="146" t="s">
        <v>2021</v>
      </c>
      <c r="K470" s="31">
        <f t="shared" si="20"/>
        <v>15</v>
      </c>
      <c r="L470" s="32">
        <f t="shared" si="21"/>
        <v>0.4642857142857143</v>
      </c>
      <c r="M470" s="70" t="s">
        <v>2279</v>
      </c>
      <c r="N470" s="70" t="s">
        <v>2279</v>
      </c>
      <c r="O470" s="70" t="s">
        <v>2279</v>
      </c>
      <c r="P470" s="70" t="s">
        <v>2279</v>
      </c>
      <c r="Q470" s="70" t="s">
        <v>2279</v>
      </c>
      <c r="R470" s="70" t="s">
        <v>2279</v>
      </c>
      <c r="S470" s="70"/>
      <c r="T470" s="70"/>
      <c r="U470" s="70" t="s">
        <v>2279</v>
      </c>
      <c r="V470" s="70" t="s">
        <v>2279</v>
      </c>
      <c r="W470" s="70" t="s">
        <v>2279</v>
      </c>
      <c r="X470" s="70" t="s">
        <v>2279</v>
      </c>
      <c r="Y470" s="70" t="s">
        <v>2279</v>
      </c>
      <c r="Z470" s="70"/>
      <c r="AA470" s="70"/>
      <c r="AB470" s="70"/>
      <c r="AC470" s="70"/>
      <c r="AD470" s="70" t="s">
        <v>2279</v>
      </c>
      <c r="AE470" s="70" t="s">
        <v>2279</v>
      </c>
      <c r="AF470" s="70" t="s">
        <v>2279</v>
      </c>
      <c r="AG470" s="70"/>
      <c r="AH470" s="70"/>
      <c r="AI470" s="70" t="s">
        <v>2279</v>
      </c>
      <c r="AJ470" s="70"/>
      <c r="AK470" s="70"/>
      <c r="AL470" s="70"/>
      <c r="AM470" s="70"/>
      <c r="AN470" s="70"/>
    </row>
    <row r="471" spans="1:40" ht="15.75" hidden="1" thickBot="1" x14ac:dyDescent="0.3">
      <c r="A471" t="s">
        <v>479</v>
      </c>
      <c r="B471" t="s">
        <v>481</v>
      </c>
      <c r="C471" t="s">
        <v>1060</v>
      </c>
      <c r="D471" t="s">
        <v>482</v>
      </c>
      <c r="E471" s="30" t="s">
        <v>19</v>
      </c>
      <c r="F471" s="30" t="s">
        <v>28</v>
      </c>
      <c r="G471" s="30"/>
      <c r="H471" s="30" t="s">
        <v>827</v>
      </c>
      <c r="I471" s="31">
        <f t="shared" ref="I471:I544" si="22">COUNTIF(M471:AN471,"")</f>
        <v>28</v>
      </c>
      <c r="J471" s="146" t="s">
        <v>2022</v>
      </c>
      <c r="K471" s="31">
        <f t="shared" ref="K471:K544" si="23">COUNTIF(M471:AN471,"APAGADO")</f>
        <v>0</v>
      </c>
      <c r="L471" s="32">
        <f t="shared" ref="L471:L544" si="24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</row>
    <row r="472" spans="1:40" ht="15.75" hidden="1" thickBot="1" x14ac:dyDescent="0.3">
      <c r="A472" t="s">
        <v>483</v>
      </c>
      <c r="B472" t="s">
        <v>484</v>
      </c>
      <c r="C472" t="s">
        <v>1060</v>
      </c>
      <c r="D472" t="s">
        <v>485</v>
      </c>
      <c r="E472" s="30" t="s">
        <v>19</v>
      </c>
      <c r="F472" s="30" t="s">
        <v>28</v>
      </c>
      <c r="G472" s="30"/>
      <c r="H472" s="30" t="s">
        <v>828</v>
      </c>
      <c r="I472" s="31">
        <f t="shared" si="22"/>
        <v>28</v>
      </c>
      <c r="J472" s="146" t="s">
        <v>2023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</row>
    <row r="473" spans="1:40" ht="15.75" hidden="1" thickBot="1" x14ac:dyDescent="0.3">
      <c r="A473" t="s">
        <v>479</v>
      </c>
      <c r="B473" t="s">
        <v>486</v>
      </c>
      <c r="C473" t="s">
        <v>1060</v>
      </c>
      <c r="D473" t="s">
        <v>487</v>
      </c>
      <c r="E473" s="30" t="s">
        <v>15</v>
      </c>
      <c r="F473" s="30" t="s">
        <v>28</v>
      </c>
      <c r="G473" s="30"/>
      <c r="H473" s="30" t="s">
        <v>829</v>
      </c>
      <c r="I473" s="31">
        <f t="shared" si="22"/>
        <v>28</v>
      </c>
      <c r="J473" s="146" t="s">
        <v>2024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</row>
    <row r="474" spans="1:40" ht="15.75" hidden="1" thickBot="1" x14ac:dyDescent="0.3">
      <c r="A474" t="s">
        <v>479</v>
      </c>
      <c r="B474" t="s">
        <v>488</v>
      </c>
      <c r="C474" t="s">
        <v>1060</v>
      </c>
      <c r="D474" t="s">
        <v>489</v>
      </c>
      <c r="E474" s="30" t="s">
        <v>19</v>
      </c>
      <c r="F474" s="30" t="s">
        <v>28</v>
      </c>
      <c r="G474" s="30"/>
      <c r="H474" s="30" t="s">
        <v>830</v>
      </c>
      <c r="I474" s="31">
        <f t="shared" si="22"/>
        <v>28</v>
      </c>
      <c r="J474" s="146" t="s">
        <v>2025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</row>
    <row r="475" spans="1:40" s="73" customFormat="1" ht="15.75" hidden="1" thickBot="1" x14ac:dyDescent="0.3">
      <c r="A475" s="73" t="s">
        <v>479</v>
      </c>
      <c r="B475" s="73" t="s">
        <v>490</v>
      </c>
      <c r="C475" s="73" t="s">
        <v>1060</v>
      </c>
      <c r="D475" s="73" t="s">
        <v>491</v>
      </c>
      <c r="E475" s="85" t="s">
        <v>15</v>
      </c>
      <c r="F475" s="85" t="s">
        <v>1299</v>
      </c>
      <c r="G475" s="85"/>
      <c r="H475" s="85" t="s">
        <v>831</v>
      </c>
      <c r="I475" s="141">
        <f t="shared" si="22"/>
        <v>28</v>
      </c>
      <c r="J475" s="146" t="s">
        <v>2026</v>
      </c>
      <c r="K475" s="141">
        <f t="shared" si="23"/>
        <v>0</v>
      </c>
      <c r="L475" s="14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</row>
    <row r="476" spans="1:40" s="73" customFormat="1" ht="15.75" hidden="1" thickBot="1" x14ac:dyDescent="0.3">
      <c r="A476" s="73" t="s">
        <v>479</v>
      </c>
      <c r="B476" s="73" t="s">
        <v>492</v>
      </c>
      <c r="C476" s="73" t="s">
        <v>1060</v>
      </c>
      <c r="D476" s="73" t="s">
        <v>493</v>
      </c>
      <c r="E476" s="85" t="s">
        <v>19</v>
      </c>
      <c r="F476" s="85" t="s">
        <v>1299</v>
      </c>
      <c r="G476" s="85"/>
      <c r="H476" s="85" t="s">
        <v>832</v>
      </c>
      <c r="I476" s="31">
        <f t="shared" si="22"/>
        <v>28</v>
      </c>
      <c r="J476" s="146" t="s">
        <v>2027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</row>
    <row r="477" spans="1:40" ht="15.75" hidden="1" thickBot="1" x14ac:dyDescent="0.3">
      <c r="A477" t="s">
        <v>479</v>
      </c>
      <c r="B477" t="s">
        <v>494</v>
      </c>
      <c r="C477" t="s">
        <v>1060</v>
      </c>
      <c r="D477" t="s">
        <v>495</v>
      </c>
      <c r="E477" s="30" t="s">
        <v>19</v>
      </c>
      <c r="F477" s="30" t="s">
        <v>1054</v>
      </c>
      <c r="G477" s="30" t="s">
        <v>1256</v>
      </c>
      <c r="H477" s="30" t="s">
        <v>833</v>
      </c>
      <c r="I477" s="31">
        <f t="shared" si="22"/>
        <v>28</v>
      </c>
      <c r="J477" s="146" t="s">
        <v>2028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</row>
    <row r="478" spans="1:40" s="73" customFormat="1" ht="15.75" hidden="1" thickBot="1" x14ac:dyDescent="0.3">
      <c r="A478" s="73" t="s">
        <v>479</v>
      </c>
      <c r="B478" s="73" t="s">
        <v>1186</v>
      </c>
      <c r="C478" s="73" t="s">
        <v>1060</v>
      </c>
      <c r="D478" s="73" t="s">
        <v>1187</v>
      </c>
      <c r="E478" s="85" t="s">
        <v>1112</v>
      </c>
      <c r="F478" s="85" t="s">
        <v>1299</v>
      </c>
      <c r="G478" s="85"/>
      <c r="H478" s="85" t="s">
        <v>1188</v>
      </c>
      <c r="I478" s="141">
        <f t="shared" si="22"/>
        <v>28</v>
      </c>
      <c r="J478" s="146" t="s">
        <v>2029</v>
      </c>
      <c r="K478" s="141">
        <f t="shared" si="23"/>
        <v>0</v>
      </c>
      <c r="L478" s="14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</row>
    <row r="479" spans="1:40" s="73" customFormat="1" ht="15.75" hidden="1" thickBot="1" x14ac:dyDescent="0.3">
      <c r="A479" s="73" t="s">
        <v>479</v>
      </c>
      <c r="B479" s="73" t="s">
        <v>1189</v>
      </c>
      <c r="C479" s="73" t="s">
        <v>1060</v>
      </c>
      <c r="D479" s="73" t="s">
        <v>1187</v>
      </c>
      <c r="E479" s="85" t="s">
        <v>1112</v>
      </c>
      <c r="F479" s="85" t="s">
        <v>28</v>
      </c>
      <c r="G479" s="85"/>
      <c r="H479" s="85" t="s">
        <v>1190</v>
      </c>
      <c r="I479" s="87">
        <f t="shared" si="22"/>
        <v>28</v>
      </c>
      <c r="J479" s="146" t="s">
        <v>2030</v>
      </c>
      <c r="K479" s="87">
        <f t="shared" si="23"/>
        <v>0</v>
      </c>
      <c r="L479" s="88">
        <f t="shared" si="24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</row>
    <row r="480" spans="1:40" ht="15.75" hidden="1" thickBot="1" x14ac:dyDescent="0.3">
      <c r="A480" t="s">
        <v>479</v>
      </c>
      <c r="B480" t="s">
        <v>1219</v>
      </c>
      <c r="C480" t="s">
        <v>1060</v>
      </c>
      <c r="D480" t="s">
        <v>1235</v>
      </c>
      <c r="E480" t="s">
        <v>73</v>
      </c>
      <c r="F480" t="s">
        <v>28</v>
      </c>
      <c r="G480"/>
      <c r="H480" s="30" t="s">
        <v>1280</v>
      </c>
      <c r="I480" s="31">
        <f t="shared" si="22"/>
        <v>28</v>
      </c>
      <c r="J480" s="146" t="s">
        <v>2031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</row>
    <row r="481" spans="1:40" ht="15.75" hidden="1" thickBot="1" x14ac:dyDescent="0.3">
      <c r="A481" t="s">
        <v>479</v>
      </c>
      <c r="B481" t="s">
        <v>1220</v>
      </c>
      <c r="C481" t="s">
        <v>1060</v>
      </c>
      <c r="D481" t="s">
        <v>1235</v>
      </c>
      <c r="E481" t="s">
        <v>73</v>
      </c>
      <c r="F481" t="s">
        <v>28</v>
      </c>
      <c r="G481"/>
      <c r="H481" s="30" t="s">
        <v>1281</v>
      </c>
      <c r="I481" s="31">
        <f t="shared" si="22"/>
        <v>28</v>
      </c>
      <c r="J481" s="146" t="s">
        <v>2032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</row>
    <row r="482" spans="1:40" ht="15.75" hidden="1" thickBot="1" x14ac:dyDescent="0.3">
      <c r="A482" t="s">
        <v>479</v>
      </c>
      <c r="B482" t="s">
        <v>1338</v>
      </c>
      <c r="C482" t="s">
        <v>1060</v>
      </c>
      <c r="D482" s="68" t="s">
        <v>1339</v>
      </c>
      <c r="E482" t="s">
        <v>73</v>
      </c>
      <c r="F482"/>
      <c r="G482"/>
      <c r="H482" s="30" t="s">
        <v>1328</v>
      </c>
      <c r="I482" s="31">
        <f t="shared" si="22"/>
        <v>28</v>
      </c>
      <c r="J482" s="146" t="s">
        <v>2033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</row>
    <row r="483" spans="1:40" s="73" customFormat="1" ht="15.75" hidden="1" thickBot="1" x14ac:dyDescent="0.3">
      <c r="A483" s="73" t="s">
        <v>479</v>
      </c>
      <c r="B483" s="73" t="s">
        <v>1349</v>
      </c>
      <c r="C483" s="73" t="s">
        <v>1060</v>
      </c>
      <c r="D483" s="145" t="s">
        <v>1356</v>
      </c>
      <c r="E483" s="73" t="s">
        <v>15</v>
      </c>
      <c r="F483" s="73" t="s">
        <v>1299</v>
      </c>
      <c r="H483" s="85" t="s">
        <v>1418</v>
      </c>
      <c r="I483" s="87">
        <f t="shared" si="22"/>
        <v>28</v>
      </c>
      <c r="J483" s="146" t="s">
        <v>2034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</row>
    <row r="484" spans="1:40" s="73" customFormat="1" ht="15.75" hidden="1" thickBot="1" x14ac:dyDescent="0.3">
      <c r="A484" s="73" t="s">
        <v>479</v>
      </c>
      <c r="B484" s="73" t="s">
        <v>1601</v>
      </c>
      <c r="C484" s="73" t="s">
        <v>1060</v>
      </c>
      <c r="D484" s="145" t="s">
        <v>1606</v>
      </c>
      <c r="E484" s="73" t="s">
        <v>15</v>
      </c>
      <c r="F484" s="73" t="s">
        <v>1299</v>
      </c>
      <c r="H484" s="85" t="s">
        <v>1608</v>
      </c>
      <c r="I484" s="87">
        <f t="shared" si="22"/>
        <v>28</v>
      </c>
      <c r="J484" s="87" t="s">
        <v>2157</v>
      </c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</row>
    <row r="485" spans="1:40" s="73" customFormat="1" ht="15.75" hidden="1" thickBot="1" x14ac:dyDescent="0.3">
      <c r="A485" s="73" t="s">
        <v>479</v>
      </c>
      <c r="B485" s="73" t="s">
        <v>1619</v>
      </c>
      <c r="C485" s="73" t="s">
        <v>1060</v>
      </c>
      <c r="D485" s="145" t="s">
        <v>1612</v>
      </c>
      <c r="E485" s="73" t="s">
        <v>19</v>
      </c>
      <c r="F485" s="73" t="s">
        <v>1299</v>
      </c>
      <c r="H485" s="85" t="s">
        <v>1620</v>
      </c>
      <c r="I485" s="87">
        <f t="shared" si="22"/>
        <v>28</v>
      </c>
      <c r="J485" s="87" t="s">
        <v>2158</v>
      </c>
      <c r="K485" s="87">
        <f t="shared" si="23"/>
        <v>0</v>
      </c>
      <c r="L485" s="88">
        <f t="shared" si="24"/>
        <v>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</row>
    <row r="486" spans="1:40" s="73" customFormat="1" ht="15.75" hidden="1" thickBot="1" x14ac:dyDescent="0.3">
      <c r="A486" s="73" t="s">
        <v>479</v>
      </c>
      <c r="B486" s="73" t="s">
        <v>1614</v>
      </c>
      <c r="C486" s="73" t="s">
        <v>1060</v>
      </c>
      <c r="D486" s="145" t="s">
        <v>1613</v>
      </c>
      <c r="E486" s="73" t="s">
        <v>1112</v>
      </c>
      <c r="F486" s="73" t="s">
        <v>1299</v>
      </c>
      <c r="H486" s="85" t="s">
        <v>1618</v>
      </c>
      <c r="I486" s="87">
        <f t="shared" si="22"/>
        <v>28</v>
      </c>
      <c r="J486" s="87" t="s">
        <v>2159</v>
      </c>
      <c r="K486" s="87">
        <f t="shared" si="23"/>
        <v>0</v>
      </c>
      <c r="L486" s="88">
        <f t="shared" si="24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</row>
    <row r="487" spans="1:40" s="73" customFormat="1" ht="15.75" hidden="1" thickBot="1" x14ac:dyDescent="0.3">
      <c r="A487" s="73" t="s">
        <v>479</v>
      </c>
      <c r="B487" s="73" t="s">
        <v>1615</v>
      </c>
      <c r="C487" s="73" t="s">
        <v>1060</v>
      </c>
      <c r="D487" s="145" t="s">
        <v>1616</v>
      </c>
      <c r="E487" s="73" t="s">
        <v>1112</v>
      </c>
      <c r="F487" s="73" t="s">
        <v>1299</v>
      </c>
      <c r="H487" s="85" t="s">
        <v>1617</v>
      </c>
      <c r="I487" s="87">
        <f t="shared" si="22"/>
        <v>28</v>
      </c>
      <c r="J487" s="87" t="s">
        <v>2160</v>
      </c>
      <c r="K487" s="87">
        <f t="shared" si="23"/>
        <v>0</v>
      </c>
      <c r="L487" s="88">
        <f t="shared" si="24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</row>
    <row r="488" spans="1:40" s="73" customFormat="1" ht="15.75" hidden="1" thickBot="1" x14ac:dyDescent="0.3">
      <c r="A488" s="73" t="s">
        <v>479</v>
      </c>
      <c r="B488" s="73" t="s">
        <v>2290</v>
      </c>
      <c r="C488" s="73" t="s">
        <v>1060</v>
      </c>
      <c r="D488" s="145" t="s">
        <v>2291</v>
      </c>
      <c r="E488" s="30" t="s">
        <v>15</v>
      </c>
      <c r="F488" s="73" t="s">
        <v>1299</v>
      </c>
      <c r="H488" s="85" t="s">
        <v>2315</v>
      </c>
      <c r="I488" s="87">
        <f t="shared" si="22"/>
        <v>28</v>
      </c>
      <c r="J488" s="151" t="s">
        <v>2316</v>
      </c>
      <c r="K488" s="87">
        <f t="shared" si="23"/>
        <v>0</v>
      </c>
      <c r="L488" s="88">
        <f t="shared" si="24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</row>
    <row r="489" spans="1:40" s="73" customFormat="1" ht="15.75" hidden="1" thickBot="1" x14ac:dyDescent="0.3">
      <c r="A489" s="73" t="s">
        <v>229</v>
      </c>
      <c r="B489" s="73" t="s">
        <v>497</v>
      </c>
      <c r="C489" s="73" t="s">
        <v>1061</v>
      </c>
      <c r="D489" s="73" t="s">
        <v>498</v>
      </c>
      <c r="E489" s="85" t="s">
        <v>19</v>
      </c>
      <c r="F489" s="85" t="s">
        <v>1299</v>
      </c>
      <c r="G489" s="85"/>
      <c r="H489" s="85" t="s">
        <v>835</v>
      </c>
      <c r="I489" s="141">
        <f t="shared" si="22"/>
        <v>28</v>
      </c>
      <c r="J489" s="146" t="s">
        <v>2035</v>
      </c>
      <c r="K489" s="141">
        <f t="shared" si="23"/>
        <v>0</v>
      </c>
      <c r="L489" s="14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</row>
    <row r="490" spans="1:40" ht="15.75" hidden="1" thickBot="1" x14ac:dyDescent="0.3">
      <c r="A490" t="s">
        <v>229</v>
      </c>
      <c r="B490" t="s">
        <v>499</v>
      </c>
      <c r="C490" t="s">
        <v>1061</v>
      </c>
      <c r="D490" t="s">
        <v>500</v>
      </c>
      <c r="E490" s="30" t="s">
        <v>15</v>
      </c>
      <c r="F490" s="30" t="s">
        <v>20</v>
      </c>
      <c r="G490" s="30"/>
      <c r="H490" s="30" t="s">
        <v>836</v>
      </c>
      <c r="I490" s="31">
        <f t="shared" si="22"/>
        <v>28</v>
      </c>
      <c r="J490" s="87"/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</row>
    <row r="491" spans="1:40" ht="15.75" hidden="1" thickBot="1" x14ac:dyDescent="0.3">
      <c r="A491" t="s">
        <v>229</v>
      </c>
      <c r="B491" t="s">
        <v>501</v>
      </c>
      <c r="C491" t="s">
        <v>1061</v>
      </c>
      <c r="D491" t="s">
        <v>502</v>
      </c>
      <c r="E491" s="30" t="s">
        <v>73</v>
      </c>
      <c r="F491" s="30" t="s">
        <v>20</v>
      </c>
      <c r="G491" s="30"/>
      <c r="H491" s="30" t="s">
        <v>837</v>
      </c>
      <c r="I491" s="31">
        <f t="shared" si="22"/>
        <v>28</v>
      </c>
      <c r="J491" s="87"/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</row>
    <row r="492" spans="1:40" ht="15.75" hidden="1" thickBot="1" x14ac:dyDescent="0.3">
      <c r="A492" t="s">
        <v>229</v>
      </c>
      <c r="B492" t="s">
        <v>503</v>
      </c>
      <c r="C492" t="s">
        <v>1061</v>
      </c>
      <c r="D492" t="s">
        <v>502</v>
      </c>
      <c r="E492" s="30" t="s">
        <v>73</v>
      </c>
      <c r="F492" s="30" t="s">
        <v>20</v>
      </c>
      <c r="G492" s="30"/>
      <c r="H492" s="30" t="s">
        <v>838</v>
      </c>
      <c r="I492" s="31">
        <f t="shared" si="22"/>
        <v>28</v>
      </c>
      <c r="J492" s="87"/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</row>
    <row r="493" spans="1:40" ht="15.75" hidden="1" thickBot="1" x14ac:dyDescent="0.3">
      <c r="A493" t="s">
        <v>229</v>
      </c>
      <c r="B493" t="s">
        <v>504</v>
      </c>
      <c r="C493" t="s">
        <v>1061</v>
      </c>
      <c r="D493" t="s">
        <v>505</v>
      </c>
      <c r="E493" s="30" t="s">
        <v>73</v>
      </c>
      <c r="F493" s="30" t="s">
        <v>20</v>
      </c>
      <c r="G493" s="30"/>
      <c r="H493" s="30" t="s">
        <v>839</v>
      </c>
      <c r="I493" s="31">
        <f t="shared" si="22"/>
        <v>28</v>
      </c>
      <c r="J493" s="87"/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</row>
    <row r="494" spans="1:40" ht="15.75" hidden="1" thickBot="1" x14ac:dyDescent="0.3">
      <c r="A494" t="s">
        <v>229</v>
      </c>
      <c r="B494" t="s">
        <v>506</v>
      </c>
      <c r="C494" t="s">
        <v>1061</v>
      </c>
      <c r="D494" t="s">
        <v>505</v>
      </c>
      <c r="E494" s="30" t="s">
        <v>73</v>
      </c>
      <c r="F494" s="30" t="s">
        <v>20</v>
      </c>
      <c r="G494" s="30"/>
      <c r="H494" s="30" t="s">
        <v>840</v>
      </c>
      <c r="I494" s="31">
        <f t="shared" si="22"/>
        <v>28</v>
      </c>
      <c r="J494" s="87"/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</row>
    <row r="495" spans="1:40" ht="15.75" hidden="1" thickBot="1" x14ac:dyDescent="0.3">
      <c r="A495" t="s">
        <v>229</v>
      </c>
      <c r="B495" t="s">
        <v>507</v>
      </c>
      <c r="C495" t="s">
        <v>1061</v>
      </c>
      <c r="D495" t="s">
        <v>508</v>
      </c>
      <c r="E495" s="30" t="s">
        <v>15</v>
      </c>
      <c r="F495" s="30" t="s">
        <v>28</v>
      </c>
      <c r="G495" s="30"/>
      <c r="H495" s="30" t="s">
        <v>841</v>
      </c>
      <c r="I495" s="31">
        <f t="shared" si="22"/>
        <v>27</v>
      </c>
      <c r="J495" s="146" t="s">
        <v>2036</v>
      </c>
      <c r="K495" s="31">
        <f t="shared" si="23"/>
        <v>1</v>
      </c>
      <c r="L495" s="32">
        <f t="shared" si="24"/>
        <v>0.9642857142857143</v>
      </c>
      <c r="M495" s="70"/>
      <c r="N495" s="70"/>
      <c r="O495" s="70" t="s">
        <v>2279</v>
      </c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</row>
    <row r="496" spans="1:40" ht="15.75" hidden="1" thickBot="1" x14ac:dyDescent="0.3">
      <c r="A496" t="s">
        <v>229</v>
      </c>
      <c r="B496" t="s">
        <v>1032</v>
      </c>
      <c r="C496" t="s">
        <v>1061</v>
      </c>
      <c r="D496" t="s">
        <v>509</v>
      </c>
      <c r="E496" s="30" t="s">
        <v>73</v>
      </c>
      <c r="F496" s="30" t="s">
        <v>28</v>
      </c>
      <c r="G496" s="30"/>
      <c r="H496" s="30" t="s">
        <v>842</v>
      </c>
      <c r="I496" s="31">
        <f t="shared" si="22"/>
        <v>28</v>
      </c>
      <c r="J496" s="146" t="s">
        <v>2037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</row>
    <row r="497" spans="1:40" ht="15.75" hidden="1" thickBot="1" x14ac:dyDescent="0.3">
      <c r="A497" t="s">
        <v>229</v>
      </c>
      <c r="B497" t="s">
        <v>1033</v>
      </c>
      <c r="C497" t="s">
        <v>1061</v>
      </c>
      <c r="D497" t="s">
        <v>509</v>
      </c>
      <c r="E497" s="30" t="s">
        <v>73</v>
      </c>
      <c r="F497" s="30" t="s">
        <v>28</v>
      </c>
      <c r="G497" s="30"/>
      <c r="H497" s="30" t="s">
        <v>843</v>
      </c>
      <c r="I497" s="31">
        <f t="shared" si="22"/>
        <v>28</v>
      </c>
      <c r="J497" s="146" t="s">
        <v>2038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</row>
    <row r="498" spans="1:40" ht="15.75" hidden="1" thickBot="1" x14ac:dyDescent="0.3">
      <c r="A498" t="s">
        <v>229</v>
      </c>
      <c r="B498" t="s">
        <v>510</v>
      </c>
      <c r="C498" t="s">
        <v>1061</v>
      </c>
      <c r="D498" t="s">
        <v>511</v>
      </c>
      <c r="E498" s="30" t="s">
        <v>73</v>
      </c>
      <c r="F498" s="30" t="s">
        <v>28</v>
      </c>
      <c r="G498" s="30"/>
      <c r="H498" s="30" t="s">
        <v>844</v>
      </c>
      <c r="I498" s="31">
        <f t="shared" si="22"/>
        <v>28</v>
      </c>
      <c r="J498" s="146" t="s">
        <v>2039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</row>
    <row r="499" spans="1:40" ht="15.75" hidden="1" thickBot="1" x14ac:dyDescent="0.3">
      <c r="A499" t="s">
        <v>229</v>
      </c>
      <c r="B499" t="s">
        <v>512</v>
      </c>
      <c r="C499" t="s">
        <v>1061</v>
      </c>
      <c r="D499" t="s">
        <v>511</v>
      </c>
      <c r="E499" s="30" t="s">
        <v>73</v>
      </c>
      <c r="F499" s="30" t="s">
        <v>28</v>
      </c>
      <c r="G499" s="30"/>
      <c r="H499" s="30" t="s">
        <v>845</v>
      </c>
      <c r="I499" s="31">
        <f t="shared" si="22"/>
        <v>28</v>
      </c>
      <c r="J499" s="146" t="s">
        <v>2040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</row>
    <row r="500" spans="1:40" ht="15.75" hidden="1" thickBot="1" x14ac:dyDescent="0.3">
      <c r="A500" t="s">
        <v>229</v>
      </c>
      <c r="B500" s="30" t="s">
        <v>1093</v>
      </c>
      <c r="C500" s="30" t="s">
        <v>1061</v>
      </c>
      <c r="D500" t="s">
        <v>1094</v>
      </c>
      <c r="E500" s="30" t="s">
        <v>19</v>
      </c>
      <c r="F500" s="30" t="s">
        <v>28</v>
      </c>
      <c r="G500" s="30"/>
      <c r="H500" s="30" t="s">
        <v>1095</v>
      </c>
      <c r="I500" s="31">
        <f t="shared" si="22"/>
        <v>28</v>
      </c>
      <c r="J500" s="146" t="s">
        <v>2041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</row>
    <row r="501" spans="1:40" ht="15.75" hidden="1" thickBot="1" x14ac:dyDescent="0.3">
      <c r="A501" t="s">
        <v>229</v>
      </c>
      <c r="B501" s="30" t="s">
        <v>1098</v>
      </c>
      <c r="C501" s="30" t="s">
        <v>1061</v>
      </c>
      <c r="D501" t="s">
        <v>1096</v>
      </c>
      <c r="E501" s="30" t="s">
        <v>19</v>
      </c>
      <c r="F501" s="30" t="s">
        <v>28</v>
      </c>
      <c r="G501" s="30"/>
      <c r="H501" s="30" t="s">
        <v>1097</v>
      </c>
      <c r="I501" s="31">
        <f t="shared" si="22"/>
        <v>28</v>
      </c>
      <c r="J501" s="146" t="s">
        <v>2042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</row>
    <row r="502" spans="1:40" ht="15.75" hidden="1" thickBot="1" x14ac:dyDescent="0.3">
      <c r="A502" t="s">
        <v>229</v>
      </c>
      <c r="B502" s="30" t="s">
        <v>1099</v>
      </c>
      <c r="C502" s="30" t="s">
        <v>1061</v>
      </c>
      <c r="D502" t="s">
        <v>1100</v>
      </c>
      <c r="E502" s="30" t="s">
        <v>19</v>
      </c>
      <c r="F502" s="30" t="s">
        <v>28</v>
      </c>
      <c r="G502" s="30"/>
      <c r="H502" s="30" t="s">
        <v>1101</v>
      </c>
      <c r="I502" s="31">
        <f t="shared" si="22"/>
        <v>28</v>
      </c>
      <c r="J502" s="146" t="s">
        <v>2043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</row>
    <row r="503" spans="1:40" ht="15.75" hidden="1" thickBot="1" x14ac:dyDescent="0.3">
      <c r="A503" t="s">
        <v>518</v>
      </c>
      <c r="B503" t="s">
        <v>526</v>
      </c>
      <c r="C503" t="s">
        <v>1061</v>
      </c>
      <c r="D503" t="s">
        <v>2247</v>
      </c>
      <c r="E503" s="30" t="s">
        <v>19</v>
      </c>
      <c r="F503" s="30" t="s">
        <v>28</v>
      </c>
      <c r="G503" s="30"/>
      <c r="H503" s="30" t="s">
        <v>846</v>
      </c>
      <c r="I503" s="31">
        <f t="shared" si="22"/>
        <v>28</v>
      </c>
      <c r="J503" s="146" t="s">
        <v>2044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</row>
    <row r="504" spans="1:40" ht="15.75" hidden="1" thickBot="1" x14ac:dyDescent="0.3">
      <c r="A504" t="s">
        <v>514</v>
      </c>
      <c r="B504" t="s">
        <v>527</v>
      </c>
      <c r="C504" t="s">
        <v>1061</v>
      </c>
      <c r="D504" t="s">
        <v>1089</v>
      </c>
      <c r="E504" s="30" t="s">
        <v>19</v>
      </c>
      <c r="F504" s="30" t="s">
        <v>28</v>
      </c>
      <c r="G504" s="30"/>
      <c r="H504" s="30" t="s">
        <v>847</v>
      </c>
      <c r="I504" s="31">
        <f t="shared" si="22"/>
        <v>23</v>
      </c>
      <c r="J504" s="146" t="s">
        <v>2045</v>
      </c>
      <c r="K504" s="31">
        <f t="shared" si="23"/>
        <v>5</v>
      </c>
      <c r="L504" s="32">
        <f t="shared" si="24"/>
        <v>0.8214285714285714</v>
      </c>
      <c r="M504" s="70"/>
      <c r="N504" s="70"/>
      <c r="O504" s="70"/>
      <c r="P504" s="70"/>
      <c r="Q504" s="70"/>
      <c r="R504" s="70"/>
      <c r="S504" s="70"/>
      <c r="T504" s="70"/>
      <c r="U504" s="70" t="s">
        <v>2279</v>
      </c>
      <c r="V504" s="70" t="s">
        <v>2279</v>
      </c>
      <c r="W504" s="70" t="s">
        <v>2279</v>
      </c>
      <c r="X504" s="70" t="s">
        <v>2279</v>
      </c>
      <c r="Y504" s="70" t="s">
        <v>2279</v>
      </c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</row>
    <row r="505" spans="1:40" ht="15.75" hidden="1" thickBot="1" x14ac:dyDescent="0.3">
      <c r="A505" t="s">
        <v>514</v>
      </c>
      <c r="B505" t="s">
        <v>528</v>
      </c>
      <c r="C505" t="s">
        <v>1061</v>
      </c>
      <c r="D505" t="s">
        <v>529</v>
      </c>
      <c r="E505" s="30" t="s">
        <v>19</v>
      </c>
      <c r="F505" s="30" t="s">
        <v>28</v>
      </c>
      <c r="G505" s="30"/>
      <c r="H505" s="30" t="s">
        <v>848</v>
      </c>
      <c r="I505" s="31">
        <f t="shared" si="22"/>
        <v>23</v>
      </c>
      <c r="J505" s="146" t="s">
        <v>2046</v>
      </c>
      <c r="K505" s="31">
        <f t="shared" si="23"/>
        <v>5</v>
      </c>
      <c r="L505" s="32">
        <f t="shared" si="24"/>
        <v>0.8214285714285714</v>
      </c>
      <c r="M505" s="70"/>
      <c r="N505" s="70"/>
      <c r="O505" s="70"/>
      <c r="P505" s="70"/>
      <c r="Q505" s="70"/>
      <c r="R505" s="70"/>
      <c r="S505" s="70"/>
      <c r="T505" s="70"/>
      <c r="U505" s="70" t="s">
        <v>2279</v>
      </c>
      <c r="V505" s="70" t="s">
        <v>2279</v>
      </c>
      <c r="W505" s="70" t="s">
        <v>2279</v>
      </c>
      <c r="X505" s="70" t="s">
        <v>2279</v>
      </c>
      <c r="Y505" s="70" t="s">
        <v>2279</v>
      </c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</row>
    <row r="506" spans="1:40" ht="15.75" hidden="1" thickBot="1" x14ac:dyDescent="0.3">
      <c r="A506" s="73" t="s">
        <v>514</v>
      </c>
      <c r="B506" s="73" t="s">
        <v>530</v>
      </c>
      <c r="C506" s="73" t="s">
        <v>1061</v>
      </c>
      <c r="D506" s="73" t="s">
        <v>531</v>
      </c>
      <c r="E506" s="85" t="s">
        <v>19</v>
      </c>
      <c r="F506" s="85" t="s">
        <v>28</v>
      </c>
      <c r="G506" s="85"/>
      <c r="H506" s="85" t="s">
        <v>849</v>
      </c>
      <c r="I506" s="31">
        <f t="shared" si="22"/>
        <v>28</v>
      </c>
      <c r="J506" s="146" t="s">
        <v>2047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</row>
    <row r="507" spans="1:40" s="73" customFormat="1" ht="15.75" hidden="1" thickBot="1" x14ac:dyDescent="0.3">
      <c r="A507" s="73" t="s">
        <v>514</v>
      </c>
      <c r="B507" s="73" t="s">
        <v>532</v>
      </c>
      <c r="C507" s="73" t="s">
        <v>1061</v>
      </c>
      <c r="D507" s="73" t="s">
        <v>533</v>
      </c>
      <c r="E507" s="85" t="s">
        <v>19</v>
      </c>
      <c r="F507" s="85" t="s">
        <v>1299</v>
      </c>
      <c r="G507" s="85"/>
      <c r="H507" s="85" t="s">
        <v>1500</v>
      </c>
      <c r="I507" s="141">
        <f t="shared" si="22"/>
        <v>28</v>
      </c>
      <c r="J507" s="146" t="s">
        <v>2048</v>
      </c>
      <c r="K507" s="141">
        <f t="shared" si="23"/>
        <v>0</v>
      </c>
      <c r="L507" s="14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</row>
    <row r="508" spans="1:40" ht="15.75" hidden="1" thickBot="1" x14ac:dyDescent="0.3">
      <c r="A508" t="s">
        <v>514</v>
      </c>
      <c r="B508" t="s">
        <v>534</v>
      </c>
      <c r="C508" t="s">
        <v>1061</v>
      </c>
      <c r="D508" t="s">
        <v>1067</v>
      </c>
      <c r="E508" s="30" t="s">
        <v>19</v>
      </c>
      <c r="F508" s="30" t="s">
        <v>28</v>
      </c>
      <c r="G508" s="30"/>
      <c r="H508" s="30" t="s">
        <v>850</v>
      </c>
      <c r="I508" s="31">
        <f t="shared" si="22"/>
        <v>28</v>
      </c>
      <c r="J508" s="146" t="s">
        <v>2049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</row>
    <row r="509" spans="1:40" ht="15.75" hidden="1" thickBot="1" x14ac:dyDescent="0.3">
      <c r="A509" t="s">
        <v>514</v>
      </c>
      <c r="B509" t="s">
        <v>535</v>
      </c>
      <c r="C509" t="s">
        <v>1060</v>
      </c>
      <c r="D509" t="s">
        <v>1066</v>
      </c>
      <c r="E509" s="30" t="s">
        <v>19</v>
      </c>
      <c r="F509" s="30" t="s">
        <v>28</v>
      </c>
      <c r="G509" s="30"/>
      <c r="H509" s="30" t="s">
        <v>851</v>
      </c>
      <c r="I509" s="31">
        <f t="shared" si="22"/>
        <v>28</v>
      </c>
      <c r="J509" s="146" t="s">
        <v>2050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</row>
    <row r="510" spans="1:40" s="73" customFormat="1" ht="15.75" hidden="1" thickBot="1" x14ac:dyDescent="0.3">
      <c r="A510" s="73" t="s">
        <v>518</v>
      </c>
      <c r="B510" s="73" t="s">
        <v>536</v>
      </c>
      <c r="C510" s="73" t="s">
        <v>1061</v>
      </c>
      <c r="D510" s="73" t="s">
        <v>537</v>
      </c>
      <c r="E510" s="85" t="s">
        <v>19</v>
      </c>
      <c r="F510" s="85" t="s">
        <v>1299</v>
      </c>
      <c r="G510" s="85"/>
      <c r="H510" s="85" t="s">
        <v>852</v>
      </c>
      <c r="I510" s="141">
        <f t="shared" si="22"/>
        <v>28</v>
      </c>
      <c r="J510" s="146" t="s">
        <v>2051</v>
      </c>
      <c r="K510" s="141">
        <f t="shared" si="23"/>
        <v>0</v>
      </c>
      <c r="L510" s="14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</row>
    <row r="511" spans="1:40" ht="15.75" hidden="1" thickBot="1" x14ac:dyDescent="0.3">
      <c r="A511" t="s">
        <v>518</v>
      </c>
      <c r="B511" t="s">
        <v>538</v>
      </c>
      <c r="C511" t="s">
        <v>1061</v>
      </c>
      <c r="D511" t="s">
        <v>539</v>
      </c>
      <c r="E511" s="30" t="s">
        <v>19</v>
      </c>
      <c r="F511" s="30" t="s">
        <v>28</v>
      </c>
      <c r="G511" s="30"/>
      <c r="H511" s="30" t="s">
        <v>853</v>
      </c>
      <c r="I511" s="31">
        <f t="shared" si="22"/>
        <v>28</v>
      </c>
      <c r="J511" s="146" t="s">
        <v>2052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</row>
    <row r="512" spans="1:40" ht="15.75" hidden="1" thickBot="1" x14ac:dyDescent="0.3">
      <c r="A512" t="s">
        <v>514</v>
      </c>
      <c r="B512" t="s">
        <v>1034</v>
      </c>
      <c r="C512" t="s">
        <v>1061</v>
      </c>
      <c r="D512" t="s">
        <v>540</v>
      </c>
      <c r="E512" s="30" t="s">
        <v>19</v>
      </c>
      <c r="F512" s="30" t="s">
        <v>28</v>
      </c>
      <c r="G512" s="30"/>
      <c r="H512" s="30" t="s">
        <v>854</v>
      </c>
      <c r="I512" s="31">
        <f t="shared" si="22"/>
        <v>22</v>
      </c>
      <c r="J512" s="146" t="s">
        <v>2053</v>
      </c>
      <c r="K512" s="31">
        <f t="shared" si="23"/>
        <v>6</v>
      </c>
      <c r="L512" s="32">
        <f t="shared" si="24"/>
        <v>0.7857142857142857</v>
      </c>
      <c r="M512" s="70"/>
      <c r="N512" s="70"/>
      <c r="O512" s="70"/>
      <c r="P512" s="70"/>
      <c r="Q512" s="70"/>
      <c r="R512" s="70" t="s">
        <v>2279</v>
      </c>
      <c r="S512" s="70"/>
      <c r="T512" s="70"/>
      <c r="U512" s="70" t="s">
        <v>2279</v>
      </c>
      <c r="V512" s="70" t="s">
        <v>2279</v>
      </c>
      <c r="W512" s="70" t="s">
        <v>2279</v>
      </c>
      <c r="X512" s="70" t="s">
        <v>2279</v>
      </c>
      <c r="Y512" s="70" t="s">
        <v>2279</v>
      </c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</row>
    <row r="513" spans="1:40" ht="15.75" hidden="1" thickBot="1" x14ac:dyDescent="0.3">
      <c r="A513" t="s">
        <v>518</v>
      </c>
      <c r="B513" t="s">
        <v>541</v>
      </c>
      <c r="C513" t="s">
        <v>1061</v>
      </c>
      <c r="D513" t="s">
        <v>542</v>
      </c>
      <c r="E513" s="30" t="s">
        <v>19</v>
      </c>
      <c r="F513" s="85" t="s">
        <v>1299</v>
      </c>
      <c r="G513" s="30"/>
      <c r="H513" s="30" t="s">
        <v>855</v>
      </c>
      <c r="I513" s="31">
        <f t="shared" si="22"/>
        <v>28</v>
      </c>
      <c r="J513" s="146" t="s">
        <v>2054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</row>
    <row r="514" spans="1:40" ht="15.75" hidden="1" thickBot="1" x14ac:dyDescent="0.3">
      <c r="A514" t="s">
        <v>518</v>
      </c>
      <c r="B514" t="s">
        <v>1038</v>
      </c>
      <c r="C514" t="s">
        <v>1061</v>
      </c>
      <c r="D514" t="s">
        <v>513</v>
      </c>
      <c r="E514" s="30" t="s">
        <v>15</v>
      </c>
      <c r="F514" s="30" t="s">
        <v>1054</v>
      </c>
      <c r="G514" s="30" t="s">
        <v>1257</v>
      </c>
      <c r="H514" s="30" t="s">
        <v>856</v>
      </c>
      <c r="I514" s="31">
        <f t="shared" si="22"/>
        <v>28</v>
      </c>
      <c r="J514" s="146" t="s">
        <v>2055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</row>
    <row r="515" spans="1:40" ht="15.75" hidden="1" thickBot="1" x14ac:dyDescent="0.3">
      <c r="A515" t="s">
        <v>514</v>
      </c>
      <c r="B515" t="s">
        <v>1039</v>
      </c>
      <c r="C515" t="s">
        <v>1061</v>
      </c>
      <c r="D515" t="s">
        <v>515</v>
      </c>
      <c r="E515" s="30" t="s">
        <v>19</v>
      </c>
      <c r="F515" s="30" t="s">
        <v>28</v>
      </c>
      <c r="G515" s="30"/>
      <c r="H515" s="30" t="s">
        <v>857</v>
      </c>
      <c r="I515" s="31">
        <f t="shared" si="22"/>
        <v>24</v>
      </c>
      <c r="J515" s="146" t="s">
        <v>2056</v>
      </c>
      <c r="K515" s="31">
        <f t="shared" si="23"/>
        <v>4</v>
      </c>
      <c r="L515" s="32">
        <f t="shared" si="24"/>
        <v>0.8571428571428571</v>
      </c>
      <c r="M515" s="70" t="s">
        <v>2279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 t="s">
        <v>2279</v>
      </c>
      <c r="Y515" s="70"/>
      <c r="Z515" s="70"/>
      <c r="AA515" s="70"/>
      <c r="AB515" s="70"/>
      <c r="AC515" s="70"/>
      <c r="AD515" s="70"/>
      <c r="AE515" s="70"/>
      <c r="AF515" s="70" t="s">
        <v>2279</v>
      </c>
      <c r="AG515" s="70"/>
      <c r="AH515" s="70"/>
      <c r="AI515" s="70" t="s">
        <v>2279</v>
      </c>
      <c r="AJ515" s="70"/>
      <c r="AK515" s="70"/>
      <c r="AL515" s="70"/>
      <c r="AM515" s="70"/>
      <c r="AN515" s="70"/>
    </row>
    <row r="516" spans="1:40" ht="15.75" hidden="1" thickBot="1" x14ac:dyDescent="0.3">
      <c r="A516" t="s">
        <v>518</v>
      </c>
      <c r="B516" t="s">
        <v>1035</v>
      </c>
      <c r="C516" t="s">
        <v>1061</v>
      </c>
      <c r="D516" t="s">
        <v>543</v>
      </c>
      <c r="E516" s="30" t="s">
        <v>15</v>
      </c>
      <c r="F516" s="30" t="s">
        <v>28</v>
      </c>
      <c r="G516" s="30"/>
      <c r="H516" s="30" t="s">
        <v>858</v>
      </c>
      <c r="I516" s="31">
        <f t="shared" si="22"/>
        <v>28</v>
      </c>
      <c r="J516" s="146" t="s">
        <v>2057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</row>
    <row r="517" spans="1:40" ht="15.75" hidden="1" thickBot="1" x14ac:dyDescent="0.3">
      <c r="A517" t="s">
        <v>518</v>
      </c>
      <c r="B517" t="s">
        <v>516</v>
      </c>
      <c r="C517" t="s">
        <v>1061</v>
      </c>
      <c r="D517" t="s">
        <v>517</v>
      </c>
      <c r="E517" s="30" t="s">
        <v>15</v>
      </c>
      <c r="F517" s="30" t="s">
        <v>1054</v>
      </c>
      <c r="G517" s="30" t="s">
        <v>1258</v>
      </c>
      <c r="H517" s="30" t="s">
        <v>859</v>
      </c>
      <c r="I517" s="31">
        <f t="shared" si="22"/>
        <v>24</v>
      </c>
      <c r="J517" s="146" t="s">
        <v>2058</v>
      </c>
      <c r="K517" s="31">
        <f t="shared" si="23"/>
        <v>4</v>
      </c>
      <c r="L517" s="32">
        <f t="shared" si="24"/>
        <v>0.8571428571428571</v>
      </c>
      <c r="M517" s="70"/>
      <c r="N517" s="70"/>
      <c r="O517" s="70"/>
      <c r="P517" s="70"/>
      <c r="Q517" s="70"/>
      <c r="R517" s="70"/>
      <c r="S517" s="70"/>
      <c r="T517" s="70"/>
      <c r="U517" s="70" t="s">
        <v>2279</v>
      </c>
      <c r="V517" s="70" t="s">
        <v>2279</v>
      </c>
      <c r="W517" s="70" t="s">
        <v>2279</v>
      </c>
      <c r="X517" s="70" t="s">
        <v>2279</v>
      </c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</row>
    <row r="518" spans="1:40" ht="15.75" hidden="1" thickBot="1" x14ac:dyDescent="0.3">
      <c r="A518" t="s">
        <v>518</v>
      </c>
      <c r="B518" t="s">
        <v>519</v>
      </c>
      <c r="C518" t="s">
        <v>1061</v>
      </c>
      <c r="D518" t="s">
        <v>520</v>
      </c>
      <c r="E518" s="30" t="s">
        <v>15</v>
      </c>
      <c r="F518" s="30" t="s">
        <v>1054</v>
      </c>
      <c r="G518" s="30" t="s">
        <v>1254</v>
      </c>
      <c r="H518" s="30" t="s">
        <v>860</v>
      </c>
      <c r="I518" s="31">
        <f t="shared" si="22"/>
        <v>28</v>
      </c>
      <c r="J518" s="146" t="s">
        <v>2059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</row>
    <row r="519" spans="1:40" ht="15.75" hidden="1" thickBot="1" x14ac:dyDescent="0.3">
      <c r="A519" t="s">
        <v>518</v>
      </c>
      <c r="B519" t="s">
        <v>521</v>
      </c>
      <c r="C519" t="s">
        <v>1061</v>
      </c>
      <c r="D519" t="s">
        <v>1088</v>
      </c>
      <c r="E519" s="30" t="s">
        <v>15</v>
      </c>
      <c r="F519" s="30" t="s">
        <v>1054</v>
      </c>
      <c r="G519" s="30" t="s">
        <v>1259</v>
      </c>
      <c r="H519" s="30" t="s">
        <v>861</v>
      </c>
      <c r="I519" s="31">
        <f t="shared" si="22"/>
        <v>13</v>
      </c>
      <c r="J519" s="146" t="s">
        <v>2060</v>
      </c>
      <c r="K519" s="31">
        <f t="shared" si="23"/>
        <v>15</v>
      </c>
      <c r="L519" s="32">
        <f t="shared" si="24"/>
        <v>0.4642857142857143</v>
      </c>
      <c r="M519" s="70" t="s">
        <v>2279</v>
      </c>
      <c r="N519" s="70" t="s">
        <v>2279</v>
      </c>
      <c r="O519" s="70" t="s">
        <v>2279</v>
      </c>
      <c r="P519" s="70" t="s">
        <v>2279</v>
      </c>
      <c r="Q519" s="70" t="s">
        <v>2279</v>
      </c>
      <c r="R519" s="70" t="s">
        <v>2279</v>
      </c>
      <c r="S519" s="70"/>
      <c r="T519" s="70"/>
      <c r="U519" s="70" t="s">
        <v>2279</v>
      </c>
      <c r="V519" s="70" t="s">
        <v>2279</v>
      </c>
      <c r="W519" s="70" t="s">
        <v>2279</v>
      </c>
      <c r="X519" s="70" t="s">
        <v>2279</v>
      </c>
      <c r="Y519" s="70" t="s">
        <v>2279</v>
      </c>
      <c r="Z519" s="70"/>
      <c r="AA519" s="70"/>
      <c r="AB519" s="70"/>
      <c r="AC519" s="70"/>
      <c r="AD519" s="70" t="s">
        <v>2279</v>
      </c>
      <c r="AE519" s="70" t="s">
        <v>2279</v>
      </c>
      <c r="AF519" s="70" t="s">
        <v>2279</v>
      </c>
      <c r="AG519" s="70"/>
      <c r="AH519" s="70"/>
      <c r="AI519" s="70" t="s">
        <v>2279</v>
      </c>
      <c r="AJ519" s="70"/>
      <c r="AK519" s="70"/>
      <c r="AL519" s="70"/>
      <c r="AM519" s="70"/>
      <c r="AN519" s="70"/>
    </row>
    <row r="520" spans="1:40" ht="15.75" hidden="1" thickBot="1" x14ac:dyDescent="0.3">
      <c r="A520" t="s">
        <v>514</v>
      </c>
      <c r="B520" t="s">
        <v>1040</v>
      </c>
      <c r="C520" t="s">
        <v>1061</v>
      </c>
      <c r="D520" t="s">
        <v>522</v>
      </c>
      <c r="E520" s="30" t="s">
        <v>15</v>
      </c>
      <c r="F520" s="30" t="s">
        <v>1054</v>
      </c>
      <c r="G520" s="30" t="s">
        <v>1260</v>
      </c>
      <c r="H520" s="30" t="s">
        <v>862</v>
      </c>
      <c r="I520" s="31">
        <f t="shared" si="22"/>
        <v>23</v>
      </c>
      <c r="J520" s="146" t="s">
        <v>2061</v>
      </c>
      <c r="K520" s="31">
        <f t="shared" si="23"/>
        <v>5</v>
      </c>
      <c r="L520" s="32">
        <f t="shared" si="24"/>
        <v>0.8214285714285714</v>
      </c>
      <c r="M520" s="70"/>
      <c r="N520" s="70"/>
      <c r="O520" s="70"/>
      <c r="P520" s="70"/>
      <c r="Q520" s="70"/>
      <c r="R520" s="70"/>
      <c r="S520" s="70"/>
      <c r="T520" s="70"/>
      <c r="U520" s="70" t="s">
        <v>2279</v>
      </c>
      <c r="V520" s="70" t="s">
        <v>2279</v>
      </c>
      <c r="W520" s="70" t="s">
        <v>2279</v>
      </c>
      <c r="X520" s="70" t="s">
        <v>2279</v>
      </c>
      <c r="Y520" s="70" t="s">
        <v>2279</v>
      </c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</row>
    <row r="521" spans="1:40" ht="15.75" hidden="1" thickBot="1" x14ac:dyDescent="0.3">
      <c r="A521" t="s">
        <v>514</v>
      </c>
      <c r="B521" t="s">
        <v>1041</v>
      </c>
      <c r="C521" t="s">
        <v>1061</v>
      </c>
      <c r="D521" t="s">
        <v>523</v>
      </c>
      <c r="E521" s="30" t="s">
        <v>15</v>
      </c>
      <c r="F521" s="30" t="s">
        <v>20</v>
      </c>
      <c r="G521" s="30"/>
      <c r="H521" s="30" t="s">
        <v>863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</row>
    <row r="522" spans="1:40" s="73" customFormat="1" ht="15.75" hidden="1" thickBot="1" x14ac:dyDescent="0.3">
      <c r="A522" s="73" t="s">
        <v>518</v>
      </c>
      <c r="B522" s="73" t="s">
        <v>524</v>
      </c>
      <c r="C522" s="73" t="s">
        <v>1061</v>
      </c>
      <c r="D522" s="73" t="s">
        <v>525</v>
      </c>
      <c r="E522" s="85" t="s">
        <v>46</v>
      </c>
      <c r="F522" s="85" t="s">
        <v>1299</v>
      </c>
      <c r="G522" s="85"/>
      <c r="H522" s="85" t="s">
        <v>1363</v>
      </c>
      <c r="I522" s="141">
        <f t="shared" si="22"/>
        <v>28</v>
      </c>
      <c r="J522" s="146" t="s">
        <v>2062</v>
      </c>
      <c r="K522" s="141">
        <f t="shared" si="23"/>
        <v>0</v>
      </c>
      <c r="L522" s="14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</row>
    <row r="523" spans="1:40" ht="15.75" hidden="1" thickBot="1" x14ac:dyDescent="0.3">
      <c r="A523" t="s">
        <v>514</v>
      </c>
      <c r="B523" t="s">
        <v>1036</v>
      </c>
      <c r="C523" t="s">
        <v>1061</v>
      </c>
      <c r="D523" t="s">
        <v>544</v>
      </c>
      <c r="E523" s="30" t="s">
        <v>73</v>
      </c>
      <c r="F523" s="30" t="s">
        <v>28</v>
      </c>
      <c r="G523" s="30"/>
      <c r="H523" s="30" t="s">
        <v>864</v>
      </c>
      <c r="I523" s="31">
        <f t="shared" si="22"/>
        <v>23</v>
      </c>
      <c r="J523" s="146" t="s">
        <v>2063</v>
      </c>
      <c r="K523" s="31">
        <f t="shared" si="23"/>
        <v>5</v>
      </c>
      <c r="L523" s="32">
        <f t="shared" si="24"/>
        <v>0.8214285714285714</v>
      </c>
      <c r="M523" s="70"/>
      <c r="N523" s="70"/>
      <c r="O523" s="70"/>
      <c r="P523" s="70"/>
      <c r="Q523" s="70"/>
      <c r="R523" s="70"/>
      <c r="S523" s="70"/>
      <c r="T523" s="70"/>
      <c r="U523" s="70" t="s">
        <v>2279</v>
      </c>
      <c r="V523" s="70" t="s">
        <v>2279</v>
      </c>
      <c r="W523" s="70" t="s">
        <v>2279</v>
      </c>
      <c r="X523" s="70" t="s">
        <v>2279</v>
      </c>
      <c r="Y523" s="70" t="s">
        <v>2279</v>
      </c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</row>
    <row r="524" spans="1:40" ht="15.75" hidden="1" thickBot="1" x14ac:dyDescent="0.3">
      <c r="A524" t="s">
        <v>514</v>
      </c>
      <c r="B524" t="s">
        <v>1037</v>
      </c>
      <c r="C524" t="s">
        <v>1061</v>
      </c>
      <c r="D524" t="s">
        <v>544</v>
      </c>
      <c r="E524" s="30" t="s">
        <v>73</v>
      </c>
      <c r="F524" s="30" t="s">
        <v>28</v>
      </c>
      <c r="G524" s="30"/>
      <c r="H524" s="30" t="s">
        <v>865</v>
      </c>
      <c r="I524" s="31">
        <f t="shared" si="22"/>
        <v>23</v>
      </c>
      <c r="J524" s="146" t="s">
        <v>2064</v>
      </c>
      <c r="K524" s="31">
        <f t="shared" si="23"/>
        <v>5</v>
      </c>
      <c r="L524" s="32">
        <f t="shared" si="24"/>
        <v>0.8214285714285714</v>
      </c>
      <c r="M524" s="70"/>
      <c r="N524" s="70"/>
      <c r="O524" s="70"/>
      <c r="P524" s="70"/>
      <c r="Q524" s="70"/>
      <c r="R524" s="70"/>
      <c r="S524" s="70"/>
      <c r="T524" s="70"/>
      <c r="U524" s="70" t="s">
        <v>2279</v>
      </c>
      <c r="V524" s="70" t="s">
        <v>2279</v>
      </c>
      <c r="W524" s="70" t="s">
        <v>2279</v>
      </c>
      <c r="X524" s="70" t="s">
        <v>2279</v>
      </c>
      <c r="Y524" s="70" t="s">
        <v>2279</v>
      </c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</row>
    <row r="525" spans="1:40" ht="15.75" hidden="1" thickBot="1" x14ac:dyDescent="0.3">
      <c r="A525" t="s">
        <v>514</v>
      </c>
      <c r="B525" t="s">
        <v>545</v>
      </c>
      <c r="C525" t="s">
        <v>1060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2"/>
        <v>28</v>
      </c>
      <c r="J525" s="146" t="s">
        <v>2065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</row>
    <row r="526" spans="1:40" ht="15.75" hidden="1" thickBot="1" x14ac:dyDescent="0.3">
      <c r="A526" t="s">
        <v>514</v>
      </c>
      <c r="B526" t="s">
        <v>547</v>
      </c>
      <c r="C526" t="s">
        <v>1060</v>
      </c>
      <c r="D526" t="s">
        <v>546</v>
      </c>
      <c r="E526" s="30" t="s">
        <v>73</v>
      </c>
      <c r="F526" s="30" t="s">
        <v>28</v>
      </c>
      <c r="G526" s="30"/>
      <c r="H526" s="30" t="s">
        <v>866</v>
      </c>
      <c r="I526" s="31">
        <f t="shared" si="22"/>
        <v>28</v>
      </c>
      <c r="J526" s="146" t="s">
        <v>2066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</row>
    <row r="527" spans="1:40" ht="15.75" hidden="1" thickBot="1" x14ac:dyDescent="0.3">
      <c r="A527" t="s">
        <v>514</v>
      </c>
      <c r="B527" t="s">
        <v>1143</v>
      </c>
      <c r="C527" t="s">
        <v>1061</v>
      </c>
      <c r="D527" t="s">
        <v>1145</v>
      </c>
      <c r="E527" s="30" t="s">
        <v>73</v>
      </c>
      <c r="F527" s="30" t="s">
        <v>28</v>
      </c>
      <c r="G527" s="30"/>
      <c r="H527" s="30" t="s">
        <v>1146</v>
      </c>
      <c r="I527" s="31">
        <f t="shared" si="22"/>
        <v>28</v>
      </c>
      <c r="J527" s="146" t="s">
        <v>2067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</row>
    <row r="528" spans="1:40" ht="15.75" hidden="1" thickBot="1" x14ac:dyDescent="0.3">
      <c r="A528" t="s">
        <v>514</v>
      </c>
      <c r="B528" t="s">
        <v>1144</v>
      </c>
      <c r="C528" t="s">
        <v>1061</v>
      </c>
      <c r="D528" t="s">
        <v>1145</v>
      </c>
      <c r="E528" s="30" t="s">
        <v>1112</v>
      </c>
      <c r="F528" s="30" t="s">
        <v>28</v>
      </c>
      <c r="G528" s="30"/>
      <c r="H528" s="30" t="s">
        <v>1147</v>
      </c>
      <c r="I528" s="31">
        <f t="shared" si="22"/>
        <v>28</v>
      </c>
      <c r="J528" s="146" t="s">
        <v>2068</v>
      </c>
      <c r="K528" s="31">
        <f t="shared" si="23"/>
        <v>0</v>
      </c>
      <c r="L528" s="32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</row>
    <row r="529" spans="1:40" s="73" customFormat="1" ht="15.75" hidden="1" thickBot="1" x14ac:dyDescent="0.3">
      <c r="A529" s="73" t="s">
        <v>518</v>
      </c>
      <c r="B529" s="85" t="s">
        <v>1206</v>
      </c>
      <c r="C529" s="85" t="s">
        <v>1061</v>
      </c>
      <c r="D529" s="73" t="s">
        <v>1202</v>
      </c>
      <c r="E529" s="85" t="s">
        <v>15</v>
      </c>
      <c r="F529" s="85" t="s">
        <v>1299</v>
      </c>
      <c r="G529" s="85"/>
      <c r="H529" s="85" t="s">
        <v>1203</v>
      </c>
      <c r="I529" s="141">
        <f t="shared" si="22"/>
        <v>14</v>
      </c>
      <c r="J529" s="146" t="s">
        <v>2069</v>
      </c>
      <c r="K529" s="141">
        <f t="shared" si="23"/>
        <v>14</v>
      </c>
      <c r="L529" s="142">
        <f t="shared" si="24"/>
        <v>0.5</v>
      </c>
      <c r="M529" s="70" t="s">
        <v>2279</v>
      </c>
      <c r="N529" s="70" t="s">
        <v>2279</v>
      </c>
      <c r="O529" s="70" t="s">
        <v>2279</v>
      </c>
      <c r="P529" s="70" t="s">
        <v>2279</v>
      </c>
      <c r="Q529" s="70" t="s">
        <v>2279</v>
      </c>
      <c r="R529" s="70" t="s">
        <v>2279</v>
      </c>
      <c r="S529" s="70"/>
      <c r="T529" s="70"/>
      <c r="U529" s="70" t="s">
        <v>2279</v>
      </c>
      <c r="V529" s="70" t="s">
        <v>2279</v>
      </c>
      <c r="W529" s="70" t="s">
        <v>2279</v>
      </c>
      <c r="X529" s="70" t="s">
        <v>2279</v>
      </c>
      <c r="Y529" s="70" t="s">
        <v>2279</v>
      </c>
      <c r="Z529" s="70"/>
      <c r="AA529" s="70"/>
      <c r="AB529" s="70"/>
      <c r="AC529" s="70"/>
      <c r="AD529" s="70"/>
      <c r="AE529" s="70" t="s">
        <v>2279</v>
      </c>
      <c r="AF529" s="70" t="s">
        <v>2279</v>
      </c>
      <c r="AG529" s="70"/>
      <c r="AH529" s="70"/>
      <c r="AI529" s="70" t="s">
        <v>2279</v>
      </c>
      <c r="AJ529" s="70"/>
      <c r="AK529" s="70"/>
      <c r="AL529" s="70"/>
      <c r="AM529" s="70"/>
      <c r="AN529" s="70"/>
    </row>
    <row r="530" spans="1:40" ht="15.75" hidden="1" thickBot="1" x14ac:dyDescent="0.3">
      <c r="A530" t="s">
        <v>518</v>
      </c>
      <c r="B530" s="30" t="s">
        <v>1528</v>
      </c>
      <c r="C530" s="30" t="s">
        <v>1061</v>
      </c>
      <c r="D530" t="s">
        <v>1529</v>
      </c>
      <c r="E530" s="30" t="s">
        <v>1112</v>
      </c>
      <c r="F530" s="30" t="s">
        <v>28</v>
      </c>
      <c r="G530" s="30"/>
      <c r="H530" s="30" t="s">
        <v>1530</v>
      </c>
      <c r="I530" s="141">
        <f t="shared" si="22"/>
        <v>28</v>
      </c>
      <c r="J530" s="146" t="s">
        <v>2070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</row>
    <row r="531" spans="1:40" s="73" customFormat="1" ht="15.75" hidden="1" thickBot="1" x14ac:dyDescent="0.3">
      <c r="A531" s="73" t="s">
        <v>518</v>
      </c>
      <c r="B531" s="85" t="s">
        <v>1579</v>
      </c>
      <c r="C531" s="85" t="s">
        <v>1061</v>
      </c>
      <c r="D531" s="73" t="s">
        <v>1580</v>
      </c>
      <c r="E531" s="85" t="s">
        <v>15</v>
      </c>
      <c r="F531" s="85" t="s">
        <v>1299</v>
      </c>
      <c r="G531" s="85"/>
      <c r="H531" s="85" t="s">
        <v>1581</v>
      </c>
      <c r="I531" s="141">
        <f t="shared" si="22"/>
        <v>28</v>
      </c>
      <c r="J531" s="146" t="s">
        <v>2071</v>
      </c>
      <c r="K531" s="141">
        <f t="shared" si="23"/>
        <v>0</v>
      </c>
      <c r="L531" s="14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</row>
    <row r="532" spans="1:40" s="73" customFormat="1" ht="15.75" hidden="1" thickBot="1" x14ac:dyDescent="0.3">
      <c r="A532" s="73" t="s">
        <v>518</v>
      </c>
      <c r="B532" s="85" t="s">
        <v>1582</v>
      </c>
      <c r="C532" s="85" t="s">
        <v>1061</v>
      </c>
      <c r="D532" s="73" t="s">
        <v>1583</v>
      </c>
      <c r="E532" s="85" t="s">
        <v>15</v>
      </c>
      <c r="F532" s="85" t="s">
        <v>1299</v>
      </c>
      <c r="G532" s="85"/>
      <c r="H532" s="85" t="s">
        <v>1584</v>
      </c>
      <c r="I532" s="141">
        <f t="shared" si="22"/>
        <v>28</v>
      </c>
      <c r="J532" s="146" t="s">
        <v>2072</v>
      </c>
      <c r="K532" s="141">
        <f t="shared" si="23"/>
        <v>0</v>
      </c>
      <c r="L532" s="14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</row>
    <row r="533" spans="1:40" s="73" customFormat="1" ht="15.75" hidden="1" thickBot="1" x14ac:dyDescent="0.3">
      <c r="A533" s="73" t="s">
        <v>518</v>
      </c>
      <c r="B533" s="85" t="s">
        <v>2217</v>
      </c>
      <c r="C533" s="85" t="s">
        <v>1061</v>
      </c>
      <c r="D533" s="73" t="s">
        <v>2218</v>
      </c>
      <c r="E533" s="30" t="s">
        <v>73</v>
      </c>
      <c r="F533" s="85" t="s">
        <v>1299</v>
      </c>
      <c r="G533" s="85"/>
      <c r="H533" s="85" t="s">
        <v>2219</v>
      </c>
      <c r="I533" s="141">
        <f t="shared" si="22"/>
        <v>28</v>
      </c>
      <c r="J533" s="146" t="s">
        <v>2220</v>
      </c>
      <c r="K533" s="141">
        <f t="shared" si="23"/>
        <v>0</v>
      </c>
      <c r="L533" s="14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</row>
    <row r="534" spans="1:40" s="73" customFormat="1" ht="15.75" hidden="1" thickBot="1" x14ac:dyDescent="0.3">
      <c r="A534" s="73" t="s">
        <v>518</v>
      </c>
      <c r="B534" s="85" t="s">
        <v>2221</v>
      </c>
      <c r="C534" s="85" t="s">
        <v>1061</v>
      </c>
      <c r="D534" s="73" t="s">
        <v>2222</v>
      </c>
      <c r="E534" s="85" t="s">
        <v>15</v>
      </c>
      <c r="F534" s="85" t="s">
        <v>1299</v>
      </c>
      <c r="G534" s="85"/>
      <c r="H534" s="85" t="s">
        <v>2223</v>
      </c>
      <c r="I534" s="141">
        <f t="shared" si="22"/>
        <v>28</v>
      </c>
      <c r="J534" s="146" t="s">
        <v>2224</v>
      </c>
      <c r="K534" s="141">
        <f t="shared" si="23"/>
        <v>0</v>
      </c>
      <c r="L534" s="14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</row>
    <row r="535" spans="1:40" ht="15.75" hidden="1" thickBot="1" x14ac:dyDescent="0.3">
      <c r="A535" t="s">
        <v>409</v>
      </c>
      <c r="B535" t="s">
        <v>1042</v>
      </c>
      <c r="C535" t="s">
        <v>1060</v>
      </c>
      <c r="D535" t="s">
        <v>550</v>
      </c>
      <c r="E535" s="30" t="s">
        <v>19</v>
      </c>
      <c r="F535" s="30" t="s">
        <v>28</v>
      </c>
      <c r="G535" s="30"/>
      <c r="H535" s="30" t="s">
        <v>869</v>
      </c>
      <c r="I535" s="31">
        <f t="shared" si="22"/>
        <v>28</v>
      </c>
      <c r="J535" s="146" t="s">
        <v>2073</v>
      </c>
      <c r="K535" s="31">
        <f t="shared" si="23"/>
        <v>0</v>
      </c>
      <c r="L535" s="32">
        <f t="shared" si="24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</row>
    <row r="536" spans="1:40" ht="15.75" hidden="1" thickBot="1" x14ac:dyDescent="0.3">
      <c r="A536" t="s">
        <v>294</v>
      </c>
      <c r="B536" t="s">
        <v>1043</v>
      </c>
      <c r="C536" t="s">
        <v>1060</v>
      </c>
      <c r="D536" t="s">
        <v>551</v>
      </c>
      <c r="E536" s="30" t="s">
        <v>19</v>
      </c>
      <c r="F536" s="30" t="s">
        <v>28</v>
      </c>
      <c r="G536" s="30"/>
      <c r="H536" s="30" t="s">
        <v>870</v>
      </c>
      <c r="I536" s="31">
        <f t="shared" si="22"/>
        <v>28</v>
      </c>
      <c r="J536" s="146" t="s">
        <v>2074</v>
      </c>
      <c r="K536" s="31">
        <f t="shared" si="23"/>
        <v>0</v>
      </c>
      <c r="L536" s="32">
        <f t="shared" si="24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</row>
    <row r="537" spans="1:40" ht="15.75" hidden="1" thickBot="1" x14ac:dyDescent="0.3">
      <c r="A537" t="s">
        <v>409</v>
      </c>
      <c r="B537" t="s">
        <v>552</v>
      </c>
      <c r="C537" t="s">
        <v>1060</v>
      </c>
      <c r="D537" t="s">
        <v>553</v>
      </c>
      <c r="E537" s="30" t="s">
        <v>73</v>
      </c>
      <c r="F537" s="30" t="s">
        <v>28</v>
      </c>
      <c r="G537" s="30"/>
      <c r="H537" s="30" t="s">
        <v>867</v>
      </c>
      <c r="I537" s="31">
        <f t="shared" si="22"/>
        <v>28</v>
      </c>
      <c r="J537" s="146" t="s">
        <v>2075</v>
      </c>
      <c r="K537" s="31">
        <f t="shared" si="23"/>
        <v>0</v>
      </c>
      <c r="L537" s="32">
        <f t="shared" si="24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</row>
    <row r="538" spans="1:40" ht="15.75" hidden="1" thickBot="1" x14ac:dyDescent="0.3">
      <c r="A538" t="s">
        <v>409</v>
      </c>
      <c r="B538" t="s">
        <v>554</v>
      </c>
      <c r="C538" t="s">
        <v>1060</v>
      </c>
      <c r="D538" t="s">
        <v>553</v>
      </c>
      <c r="E538" s="30" t="s">
        <v>73</v>
      </c>
      <c r="F538" s="30" t="s">
        <v>28</v>
      </c>
      <c r="G538" s="30"/>
      <c r="H538" s="30" t="s">
        <v>868</v>
      </c>
      <c r="I538" s="31">
        <f t="shared" si="22"/>
        <v>28</v>
      </c>
      <c r="J538" s="146" t="s">
        <v>2076</v>
      </c>
      <c r="K538" s="31">
        <f t="shared" si="23"/>
        <v>0</v>
      </c>
      <c r="L538" s="32">
        <f t="shared" si="24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</row>
    <row r="539" spans="1:40" ht="15.75" hidden="1" thickBot="1" x14ac:dyDescent="0.3">
      <c r="A539" t="s">
        <v>409</v>
      </c>
      <c r="B539" t="s">
        <v>555</v>
      </c>
      <c r="C539" t="s">
        <v>1060</v>
      </c>
      <c r="D539" t="s">
        <v>556</v>
      </c>
      <c r="E539" s="30" t="s">
        <v>73</v>
      </c>
      <c r="F539" s="30" t="s">
        <v>28</v>
      </c>
      <c r="G539" s="30"/>
      <c r="H539" s="30" t="s">
        <v>871</v>
      </c>
      <c r="I539" s="31">
        <f t="shared" si="22"/>
        <v>28</v>
      </c>
      <c r="J539" s="146" t="s">
        <v>2077</v>
      </c>
      <c r="K539" s="31">
        <f t="shared" si="23"/>
        <v>0</v>
      </c>
      <c r="L539" s="32">
        <f t="shared" si="24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</row>
    <row r="540" spans="1:40" ht="15.75" hidden="1" thickBot="1" x14ac:dyDescent="0.3">
      <c r="A540" t="s">
        <v>409</v>
      </c>
      <c r="B540" t="s">
        <v>557</v>
      </c>
      <c r="C540" t="s">
        <v>1060</v>
      </c>
      <c r="D540" t="s">
        <v>556</v>
      </c>
      <c r="E540" s="30" t="s">
        <v>73</v>
      </c>
      <c r="F540" s="30" t="s">
        <v>28</v>
      </c>
      <c r="G540" s="30"/>
      <c r="H540" s="30" t="s">
        <v>872</v>
      </c>
      <c r="I540" s="31">
        <f t="shared" si="22"/>
        <v>28</v>
      </c>
      <c r="J540" s="146" t="s">
        <v>2078</v>
      </c>
      <c r="K540" s="31">
        <f t="shared" si="23"/>
        <v>0</v>
      </c>
      <c r="L540" s="32">
        <f t="shared" si="24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</row>
    <row r="541" spans="1:40" s="90" customFormat="1" ht="15.75" hidden="1" thickBot="1" x14ac:dyDescent="0.3">
      <c r="A541" s="73" t="s">
        <v>409</v>
      </c>
      <c r="B541" s="73" t="s">
        <v>548</v>
      </c>
      <c r="C541" s="90" t="s">
        <v>1060</v>
      </c>
      <c r="D541" s="73" t="s">
        <v>549</v>
      </c>
      <c r="E541" s="91" t="s">
        <v>19</v>
      </c>
      <c r="F541" s="85" t="s">
        <v>28</v>
      </c>
      <c r="G541" s="85"/>
      <c r="H541" s="85" t="s">
        <v>873</v>
      </c>
      <c r="I541" s="31">
        <f t="shared" si="22"/>
        <v>28</v>
      </c>
      <c r="J541" s="73"/>
      <c r="K541" s="31">
        <f t="shared" si="23"/>
        <v>0</v>
      </c>
      <c r="L541" s="32">
        <f t="shared" si="24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</row>
    <row r="542" spans="1:40" s="90" customFormat="1" ht="15.75" hidden="1" thickBot="1" x14ac:dyDescent="0.3">
      <c r="A542" s="73" t="s">
        <v>409</v>
      </c>
      <c r="B542" s="73" t="s">
        <v>558</v>
      </c>
      <c r="C542" s="90" t="s">
        <v>1060</v>
      </c>
      <c r="D542" s="73" t="s">
        <v>559</v>
      </c>
      <c r="E542" s="91" t="s">
        <v>15</v>
      </c>
      <c r="F542" s="85" t="s">
        <v>28</v>
      </c>
      <c r="G542" s="85"/>
      <c r="H542" s="85" t="s">
        <v>1502</v>
      </c>
      <c r="I542" s="31">
        <f t="shared" si="22"/>
        <v>28</v>
      </c>
      <c r="J542" s="146" t="s">
        <v>2079</v>
      </c>
      <c r="K542" s="31">
        <f t="shared" si="23"/>
        <v>0</v>
      </c>
      <c r="L542" s="32">
        <f t="shared" si="24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</row>
    <row r="543" spans="1:40" s="73" customFormat="1" ht="15.75" hidden="1" thickBot="1" x14ac:dyDescent="0.3">
      <c r="A543" s="73" t="s">
        <v>483</v>
      </c>
      <c r="B543" s="73" t="s">
        <v>1342</v>
      </c>
      <c r="C543" s="85" t="s">
        <v>1060</v>
      </c>
      <c r="D543" s="73" t="s">
        <v>1343</v>
      </c>
      <c r="E543" s="91" t="s">
        <v>15</v>
      </c>
      <c r="F543" s="85" t="s">
        <v>1299</v>
      </c>
      <c r="G543" s="85"/>
      <c r="H543" s="85" t="s">
        <v>1348</v>
      </c>
      <c r="I543" s="141">
        <f t="shared" si="22"/>
        <v>28</v>
      </c>
      <c r="J543" s="146" t="s">
        <v>2080</v>
      </c>
      <c r="K543" s="141">
        <f t="shared" si="23"/>
        <v>0</v>
      </c>
      <c r="L543" s="142">
        <f t="shared" si="24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</row>
    <row r="544" spans="1:40" ht="15.75" hidden="1" thickBot="1" x14ac:dyDescent="0.3">
      <c r="A544" t="s">
        <v>483</v>
      </c>
      <c r="B544" t="s">
        <v>560</v>
      </c>
      <c r="C544" t="s">
        <v>1060</v>
      </c>
      <c r="D544" t="s">
        <v>561</v>
      </c>
      <c r="E544" s="30" t="s">
        <v>19</v>
      </c>
      <c r="F544" s="30" t="s">
        <v>28</v>
      </c>
      <c r="G544" s="30"/>
      <c r="H544" s="30" t="s">
        <v>874</v>
      </c>
      <c r="I544" s="31">
        <f t="shared" si="22"/>
        <v>28</v>
      </c>
      <c r="J544" s="146" t="s">
        <v>2081</v>
      </c>
      <c r="K544" s="31">
        <f t="shared" si="23"/>
        <v>0</v>
      </c>
      <c r="L544" s="32">
        <f t="shared" si="24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</row>
    <row r="545" spans="1:40" s="73" customFormat="1" ht="15.75" hidden="1" thickBot="1" x14ac:dyDescent="0.3">
      <c r="A545" s="73" t="s">
        <v>483</v>
      </c>
      <c r="B545" s="73" t="s">
        <v>562</v>
      </c>
      <c r="C545" s="73" t="s">
        <v>1060</v>
      </c>
      <c r="D545" s="73" t="s">
        <v>563</v>
      </c>
      <c r="E545" s="85" t="s">
        <v>19</v>
      </c>
      <c r="F545" s="85" t="s">
        <v>1299</v>
      </c>
      <c r="G545" s="85"/>
      <c r="H545" s="85" t="s">
        <v>1366</v>
      </c>
      <c r="I545" s="141">
        <f t="shared" ref="I545:I591" si="25">COUNTIF(M545:AN545,"")</f>
        <v>18</v>
      </c>
      <c r="J545" s="146" t="s">
        <v>2082</v>
      </c>
      <c r="K545" s="141">
        <f t="shared" ref="K545:K591" si="26">COUNTIF(M545:AN545,"APAGADO")</f>
        <v>10</v>
      </c>
      <c r="L545" s="142">
        <f t="shared" ref="L545:L591" si="27">(I545)/(K545+I545)</f>
        <v>0.6428571428571429</v>
      </c>
      <c r="M545" s="70"/>
      <c r="N545" s="70"/>
      <c r="O545" s="70"/>
      <c r="P545" s="70"/>
      <c r="Q545" s="70"/>
      <c r="R545" s="70" t="s">
        <v>2279</v>
      </c>
      <c r="S545" s="70"/>
      <c r="T545" s="70"/>
      <c r="U545" s="70" t="s">
        <v>2279</v>
      </c>
      <c r="V545" s="70" t="s">
        <v>2279</v>
      </c>
      <c r="W545" s="70" t="s">
        <v>2279</v>
      </c>
      <c r="X545" s="70" t="s">
        <v>2279</v>
      </c>
      <c r="Y545" s="70" t="s">
        <v>2279</v>
      </c>
      <c r="Z545" s="70"/>
      <c r="AA545" s="70"/>
      <c r="AB545" s="70"/>
      <c r="AC545" s="70"/>
      <c r="AD545" s="70" t="s">
        <v>2279</v>
      </c>
      <c r="AE545" s="70" t="s">
        <v>2279</v>
      </c>
      <c r="AF545" s="70" t="s">
        <v>2279</v>
      </c>
      <c r="AG545" s="70"/>
      <c r="AH545" s="70"/>
      <c r="AI545" s="70" t="s">
        <v>2279</v>
      </c>
      <c r="AJ545" s="70"/>
      <c r="AK545" s="70"/>
      <c r="AL545" s="70"/>
      <c r="AM545" s="70"/>
      <c r="AN545" s="70"/>
    </row>
    <row r="546" spans="1:40" s="73" customFormat="1" ht="15.75" hidden="1" thickBot="1" x14ac:dyDescent="0.3">
      <c r="A546" s="73" t="s">
        <v>483</v>
      </c>
      <c r="B546" s="73" t="s">
        <v>564</v>
      </c>
      <c r="C546" s="73" t="s">
        <v>1060</v>
      </c>
      <c r="D546" s="73" t="s">
        <v>565</v>
      </c>
      <c r="E546" s="85" t="s">
        <v>19</v>
      </c>
      <c r="F546" s="85" t="s">
        <v>1299</v>
      </c>
      <c r="G546" s="85"/>
      <c r="H546" s="85" t="s">
        <v>1424</v>
      </c>
      <c r="I546" s="141">
        <f t="shared" si="25"/>
        <v>28</v>
      </c>
      <c r="J546" s="146" t="s">
        <v>2083</v>
      </c>
      <c r="K546" s="141">
        <f t="shared" si="26"/>
        <v>0</v>
      </c>
      <c r="L546" s="14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</row>
    <row r="547" spans="1:40" ht="15.75" hidden="1" thickBot="1" x14ac:dyDescent="0.3">
      <c r="A547" t="s">
        <v>483</v>
      </c>
      <c r="B547" t="s">
        <v>566</v>
      </c>
      <c r="C547" t="s">
        <v>1060</v>
      </c>
      <c r="D547" t="s">
        <v>567</v>
      </c>
      <c r="E547" s="30" t="s">
        <v>19</v>
      </c>
      <c r="F547" s="30" t="s">
        <v>1054</v>
      </c>
      <c r="G547" s="30" t="s">
        <v>1261</v>
      </c>
      <c r="H547" s="30" t="s">
        <v>875</v>
      </c>
      <c r="I547" s="31">
        <f t="shared" si="25"/>
        <v>28</v>
      </c>
      <c r="J547" s="146" t="s">
        <v>2084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</row>
    <row r="548" spans="1:40" s="73" customFormat="1" ht="15.75" hidden="1" thickBot="1" x14ac:dyDescent="0.3">
      <c r="A548" s="73" t="s">
        <v>479</v>
      </c>
      <c r="B548" s="73" t="s">
        <v>568</v>
      </c>
      <c r="C548" s="73" t="s">
        <v>1060</v>
      </c>
      <c r="D548" s="73" t="s">
        <v>569</v>
      </c>
      <c r="E548" s="85" t="s">
        <v>19</v>
      </c>
      <c r="F548" s="85" t="s">
        <v>1299</v>
      </c>
      <c r="G548" s="85"/>
      <c r="H548" s="85" t="s">
        <v>1501</v>
      </c>
      <c r="I548" s="141">
        <f t="shared" si="25"/>
        <v>28</v>
      </c>
      <c r="J548" s="146" t="s">
        <v>2085</v>
      </c>
      <c r="K548" s="141">
        <f t="shared" si="26"/>
        <v>0</v>
      </c>
      <c r="L548" s="14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</row>
    <row r="549" spans="1:40" ht="15.75" hidden="1" thickBot="1" x14ac:dyDescent="0.3">
      <c r="A549" t="s">
        <v>479</v>
      </c>
      <c r="B549" t="s">
        <v>1310</v>
      </c>
      <c r="C549" t="s">
        <v>1060</v>
      </c>
      <c r="D549" t="s">
        <v>2189</v>
      </c>
      <c r="E549" s="85" t="s">
        <v>15</v>
      </c>
      <c r="F549" s="85" t="s">
        <v>1299</v>
      </c>
      <c r="G549" s="30"/>
      <c r="H549" s="30" t="s">
        <v>2190</v>
      </c>
      <c r="I549" s="31">
        <f t="shared" si="25"/>
        <v>28</v>
      </c>
      <c r="J549" s="146" t="s">
        <v>2191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</row>
    <row r="550" spans="1:40" ht="15.75" hidden="1" thickBot="1" x14ac:dyDescent="0.3">
      <c r="A550" t="s">
        <v>483</v>
      </c>
      <c r="B550" t="s">
        <v>2125</v>
      </c>
      <c r="C550" t="s">
        <v>1060</v>
      </c>
      <c r="D550" s="73" t="s">
        <v>2126</v>
      </c>
      <c r="E550" s="85" t="s">
        <v>15</v>
      </c>
      <c r="F550" s="85" t="s">
        <v>1299</v>
      </c>
      <c r="G550" s="30"/>
      <c r="H550" s="30" t="s">
        <v>2127</v>
      </c>
      <c r="I550" s="31">
        <f t="shared" si="25"/>
        <v>28</v>
      </c>
      <c r="J550" s="146" t="s">
        <v>2128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</row>
    <row r="551" spans="1:40" s="73" customFormat="1" ht="15.75" hidden="1" thickBot="1" x14ac:dyDescent="0.3">
      <c r="A551" s="73" t="s">
        <v>570</v>
      </c>
      <c r="B551" s="73" t="s">
        <v>571</v>
      </c>
      <c r="C551" s="73" t="s">
        <v>1061</v>
      </c>
      <c r="D551" s="73" t="s">
        <v>572</v>
      </c>
      <c r="E551" s="85" t="s">
        <v>15</v>
      </c>
      <c r="F551" s="85" t="s">
        <v>1299</v>
      </c>
      <c r="G551" s="85"/>
      <c r="H551" s="85" t="s">
        <v>876</v>
      </c>
      <c r="I551" s="141">
        <f t="shared" si="25"/>
        <v>27</v>
      </c>
      <c r="J551" s="146" t="s">
        <v>2086</v>
      </c>
      <c r="K551" s="141">
        <f t="shared" si="26"/>
        <v>1</v>
      </c>
      <c r="L551" s="142">
        <f t="shared" si="27"/>
        <v>0.9642857142857143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 t="s">
        <v>2279</v>
      </c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</row>
    <row r="552" spans="1:40" s="73" customFormat="1" ht="15.75" hidden="1" thickBot="1" x14ac:dyDescent="0.3">
      <c r="A552" s="73" t="s">
        <v>570</v>
      </c>
      <c r="B552" s="73" t="s">
        <v>1459</v>
      </c>
      <c r="C552" s="73" t="s">
        <v>1061</v>
      </c>
      <c r="D552" s="73" t="s">
        <v>573</v>
      </c>
      <c r="E552" s="85" t="s">
        <v>15</v>
      </c>
      <c r="F552" s="85" t="s">
        <v>1299</v>
      </c>
      <c r="G552" s="85"/>
      <c r="H552" s="85" t="s">
        <v>877</v>
      </c>
      <c r="I552" s="141">
        <f t="shared" si="25"/>
        <v>28</v>
      </c>
      <c r="J552" s="146" t="s">
        <v>2087</v>
      </c>
      <c r="K552" s="141">
        <f t="shared" si="26"/>
        <v>0</v>
      </c>
      <c r="L552" s="14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</row>
    <row r="553" spans="1:40" s="73" customFormat="1" ht="15.75" hidden="1" thickBot="1" x14ac:dyDescent="0.3">
      <c r="A553" s="73" t="s">
        <v>570</v>
      </c>
      <c r="B553" s="73" t="s">
        <v>1044</v>
      </c>
      <c r="C553" s="73" t="s">
        <v>1061</v>
      </c>
      <c r="D553" s="73" t="s">
        <v>574</v>
      </c>
      <c r="E553" s="85" t="s">
        <v>73</v>
      </c>
      <c r="F553" s="85" t="s">
        <v>1299</v>
      </c>
      <c r="G553" s="85"/>
      <c r="H553" s="85" t="s">
        <v>878</v>
      </c>
      <c r="I553" s="141">
        <f t="shared" si="25"/>
        <v>28</v>
      </c>
      <c r="J553" s="146" t="s">
        <v>2088</v>
      </c>
      <c r="K553" s="141">
        <f t="shared" si="26"/>
        <v>0</v>
      </c>
      <c r="L553" s="14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</row>
    <row r="554" spans="1:40" s="73" customFormat="1" ht="15.75" hidden="1" thickBot="1" x14ac:dyDescent="0.3">
      <c r="A554" s="73" t="s">
        <v>570</v>
      </c>
      <c r="B554" s="73" t="s">
        <v>1045</v>
      </c>
      <c r="C554" s="73" t="s">
        <v>1061</v>
      </c>
      <c r="D554" s="73" t="s">
        <v>574</v>
      </c>
      <c r="E554" s="85" t="s">
        <v>73</v>
      </c>
      <c r="F554" s="85" t="s">
        <v>1299</v>
      </c>
      <c r="G554" s="85"/>
      <c r="H554" s="85" t="s">
        <v>879</v>
      </c>
      <c r="I554" s="141">
        <f t="shared" si="25"/>
        <v>28</v>
      </c>
      <c r="J554" s="146" t="s">
        <v>2089</v>
      </c>
      <c r="K554" s="141">
        <f t="shared" si="26"/>
        <v>0</v>
      </c>
      <c r="L554" s="14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</row>
    <row r="555" spans="1:40" s="73" customFormat="1" ht="15.75" hidden="1" thickBot="1" x14ac:dyDescent="0.3">
      <c r="A555" s="73" t="s">
        <v>570</v>
      </c>
      <c r="B555" s="73" t="s">
        <v>1635</v>
      </c>
      <c r="C555" s="73" t="s">
        <v>1061</v>
      </c>
      <c r="D555" s="73" t="s">
        <v>1642</v>
      </c>
      <c r="E555" s="85" t="s">
        <v>1112</v>
      </c>
      <c r="F555" s="85" t="s">
        <v>28</v>
      </c>
      <c r="G555" s="85"/>
      <c r="H555" s="85" t="s">
        <v>1637</v>
      </c>
      <c r="I555" s="141">
        <f t="shared" si="25"/>
        <v>28</v>
      </c>
      <c r="J555" s="87" t="s">
        <v>2179</v>
      </c>
      <c r="K555" s="141">
        <f t="shared" si="26"/>
        <v>0</v>
      </c>
      <c r="L555" s="14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</row>
    <row r="556" spans="1:40" s="73" customFormat="1" ht="15.75" hidden="1" thickBot="1" x14ac:dyDescent="0.3">
      <c r="A556" s="73" t="s">
        <v>570</v>
      </c>
      <c r="B556" s="73" t="s">
        <v>2119</v>
      </c>
      <c r="C556" s="73" t="s">
        <v>1061</v>
      </c>
      <c r="D556" s="73" t="s">
        <v>2120</v>
      </c>
      <c r="E556" s="30" t="s">
        <v>15</v>
      </c>
      <c r="F556" s="85" t="s">
        <v>1299</v>
      </c>
      <c r="G556" s="85"/>
      <c r="H556" s="85" t="s">
        <v>2122</v>
      </c>
      <c r="I556" s="141">
        <f t="shared" si="25"/>
        <v>24</v>
      </c>
      <c r="J556" s="87"/>
      <c r="K556" s="141">
        <f t="shared" si="26"/>
        <v>4</v>
      </c>
      <c r="L556" s="142">
        <f t="shared" si="27"/>
        <v>0.8571428571428571</v>
      </c>
      <c r="M556" s="70" t="s">
        <v>2279</v>
      </c>
      <c r="N556" s="70" t="s">
        <v>2279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 t="s">
        <v>2279</v>
      </c>
      <c r="AE556" s="70"/>
      <c r="AF556" s="70" t="s">
        <v>2279</v>
      </c>
      <c r="AG556" s="70"/>
      <c r="AH556" s="70"/>
      <c r="AI556" s="70"/>
      <c r="AJ556" s="70"/>
      <c r="AK556" s="70"/>
      <c r="AL556" s="70"/>
      <c r="AM556" s="70"/>
      <c r="AN556" s="70"/>
    </row>
    <row r="557" spans="1:40" s="73" customFormat="1" ht="15.75" hidden="1" thickBot="1" x14ac:dyDescent="0.3">
      <c r="A557" s="73" t="s">
        <v>570</v>
      </c>
      <c r="B557" s="73" t="s">
        <v>1648</v>
      </c>
      <c r="C557" s="73" t="s">
        <v>1061</v>
      </c>
      <c r="D557" s="73" t="s">
        <v>1649</v>
      </c>
      <c r="E557" s="85" t="s">
        <v>15</v>
      </c>
      <c r="F557" s="85" t="s">
        <v>1299</v>
      </c>
      <c r="G557" s="85"/>
      <c r="H557" s="85" t="s">
        <v>1650</v>
      </c>
      <c r="I557" s="141">
        <f t="shared" si="25"/>
        <v>14</v>
      </c>
      <c r="J557" s="87" t="s">
        <v>2180</v>
      </c>
      <c r="K557" s="141">
        <f t="shared" si="26"/>
        <v>14</v>
      </c>
      <c r="L557" s="142">
        <f t="shared" si="27"/>
        <v>0.5</v>
      </c>
      <c r="M557" s="70" t="s">
        <v>2279</v>
      </c>
      <c r="N557" s="70" t="s">
        <v>2279</v>
      </c>
      <c r="O557" s="70"/>
      <c r="P557" s="70" t="s">
        <v>2279</v>
      </c>
      <c r="Q557" s="70" t="s">
        <v>2279</v>
      </c>
      <c r="R557" s="70" t="s">
        <v>2279</v>
      </c>
      <c r="S557" s="70"/>
      <c r="T557" s="70"/>
      <c r="U557" s="70" t="s">
        <v>2279</v>
      </c>
      <c r="V557" s="70" t="s">
        <v>2279</v>
      </c>
      <c r="W557" s="70" t="s">
        <v>2279</v>
      </c>
      <c r="X557" s="70" t="s">
        <v>2279</v>
      </c>
      <c r="Y557" s="70" t="s">
        <v>2279</v>
      </c>
      <c r="Z557" s="70"/>
      <c r="AA557" s="70"/>
      <c r="AB557" s="70"/>
      <c r="AC557" s="70"/>
      <c r="AD557" s="70" t="s">
        <v>2279</v>
      </c>
      <c r="AE557" s="70" t="s">
        <v>2279</v>
      </c>
      <c r="AF557" s="70" t="s">
        <v>2279</v>
      </c>
      <c r="AG557" s="70"/>
      <c r="AH557" s="70"/>
      <c r="AI557" s="70" t="s">
        <v>2279</v>
      </c>
      <c r="AJ557" s="70"/>
      <c r="AK557" s="70"/>
      <c r="AL557" s="70"/>
      <c r="AM557" s="70"/>
      <c r="AN557" s="70"/>
    </row>
    <row r="558" spans="1:40" ht="15.75" hidden="1" thickBot="1" x14ac:dyDescent="0.3">
      <c r="A558" t="s">
        <v>575</v>
      </c>
      <c r="B558" t="s">
        <v>1046</v>
      </c>
      <c r="C558" t="s">
        <v>1061</v>
      </c>
      <c r="D558" t="s">
        <v>576</v>
      </c>
      <c r="E558" s="30" t="s">
        <v>73</v>
      </c>
      <c r="F558" s="85" t="s">
        <v>1299</v>
      </c>
      <c r="G558" s="30"/>
      <c r="H558" s="30" t="s">
        <v>880</v>
      </c>
      <c r="I558" s="31">
        <f t="shared" si="25"/>
        <v>13</v>
      </c>
      <c r="J558" s="87" t="s">
        <v>2176</v>
      </c>
      <c r="K558" s="31">
        <f t="shared" si="26"/>
        <v>15</v>
      </c>
      <c r="L558" s="32">
        <f t="shared" si="27"/>
        <v>0.4642857142857143</v>
      </c>
      <c r="M558" s="70" t="s">
        <v>2279</v>
      </c>
      <c r="N558" s="70" t="s">
        <v>2279</v>
      </c>
      <c r="O558" s="70" t="s">
        <v>2279</v>
      </c>
      <c r="P558" s="70" t="s">
        <v>2279</v>
      </c>
      <c r="Q558" s="70" t="s">
        <v>2279</v>
      </c>
      <c r="R558" s="70" t="s">
        <v>2279</v>
      </c>
      <c r="S558" s="70"/>
      <c r="T558" s="70"/>
      <c r="U558" s="70" t="s">
        <v>2279</v>
      </c>
      <c r="V558" s="70" t="s">
        <v>2279</v>
      </c>
      <c r="W558" s="70" t="s">
        <v>2279</v>
      </c>
      <c r="X558" s="70" t="s">
        <v>2279</v>
      </c>
      <c r="Y558" s="70" t="s">
        <v>2279</v>
      </c>
      <c r="Z558" s="70"/>
      <c r="AA558" s="70"/>
      <c r="AB558" s="70"/>
      <c r="AC558" s="70"/>
      <c r="AD558" s="70" t="s">
        <v>2279</v>
      </c>
      <c r="AE558" s="70" t="s">
        <v>2279</v>
      </c>
      <c r="AF558" s="70" t="s">
        <v>2279</v>
      </c>
      <c r="AG558" s="70"/>
      <c r="AH558" s="70"/>
      <c r="AI558" s="70" t="s">
        <v>2279</v>
      </c>
      <c r="AJ558" s="70"/>
      <c r="AK558" s="70"/>
      <c r="AL558" s="70"/>
      <c r="AM558" s="70"/>
      <c r="AN558" s="70"/>
    </row>
    <row r="559" spans="1:40" ht="15.75" hidden="1" thickBot="1" x14ac:dyDescent="0.3">
      <c r="A559" t="s">
        <v>575</v>
      </c>
      <c r="B559" t="s">
        <v>1047</v>
      </c>
      <c r="C559" t="s">
        <v>1061</v>
      </c>
      <c r="D559" t="s">
        <v>577</v>
      </c>
      <c r="E559" s="30" t="s">
        <v>15</v>
      </c>
      <c r="F559" s="30" t="s">
        <v>28</v>
      </c>
      <c r="G559" s="30"/>
      <c r="H559" s="30" t="s">
        <v>881</v>
      </c>
      <c r="I559" s="31">
        <f t="shared" si="25"/>
        <v>28</v>
      </c>
      <c r="J559" s="146" t="s">
        <v>2090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</row>
    <row r="560" spans="1:40" ht="15.75" hidden="1" thickBot="1" x14ac:dyDescent="0.3">
      <c r="A560" t="s">
        <v>575</v>
      </c>
      <c r="B560" t="s">
        <v>578</v>
      </c>
      <c r="C560" t="s">
        <v>1061</v>
      </c>
      <c r="D560" t="s">
        <v>579</v>
      </c>
      <c r="E560" s="30" t="s">
        <v>73</v>
      </c>
      <c r="F560" s="85" t="s">
        <v>1299</v>
      </c>
      <c r="G560" s="30"/>
      <c r="H560" s="30" t="s">
        <v>882</v>
      </c>
      <c r="I560" s="31">
        <f t="shared" si="25"/>
        <v>13</v>
      </c>
      <c r="J560" s="87" t="s">
        <v>2177</v>
      </c>
      <c r="K560" s="31">
        <f t="shared" si="26"/>
        <v>15</v>
      </c>
      <c r="L560" s="32">
        <f t="shared" si="27"/>
        <v>0.4642857142857143</v>
      </c>
      <c r="M560" s="70" t="s">
        <v>2279</v>
      </c>
      <c r="N560" s="70" t="s">
        <v>2279</v>
      </c>
      <c r="O560" s="70" t="s">
        <v>2279</v>
      </c>
      <c r="P560" s="70" t="s">
        <v>2279</v>
      </c>
      <c r="Q560" s="70" t="s">
        <v>2279</v>
      </c>
      <c r="R560" s="70" t="s">
        <v>2279</v>
      </c>
      <c r="S560" s="70"/>
      <c r="T560" s="70"/>
      <c r="U560" s="70" t="s">
        <v>2279</v>
      </c>
      <c r="V560" s="70" t="s">
        <v>2279</v>
      </c>
      <c r="W560" s="70" t="s">
        <v>2279</v>
      </c>
      <c r="X560" s="70" t="s">
        <v>2279</v>
      </c>
      <c r="Y560" s="70" t="s">
        <v>2279</v>
      </c>
      <c r="Z560" s="70"/>
      <c r="AA560" s="70"/>
      <c r="AB560" s="70"/>
      <c r="AC560" s="70"/>
      <c r="AD560" s="70" t="s">
        <v>2279</v>
      </c>
      <c r="AE560" s="70" t="s">
        <v>2279</v>
      </c>
      <c r="AF560" s="70" t="s">
        <v>2279</v>
      </c>
      <c r="AG560" s="70"/>
      <c r="AH560" s="70"/>
      <c r="AI560" s="70" t="s">
        <v>2279</v>
      </c>
      <c r="AJ560" s="70"/>
      <c r="AK560" s="70"/>
      <c r="AL560" s="70"/>
      <c r="AM560" s="70"/>
      <c r="AN560" s="70"/>
    </row>
    <row r="561" spans="1:40" ht="15.75" hidden="1" thickBot="1" x14ac:dyDescent="0.3">
      <c r="A561" t="s">
        <v>575</v>
      </c>
      <c r="B561" t="s">
        <v>580</v>
      </c>
      <c r="C561" t="s">
        <v>1061</v>
      </c>
      <c r="D561" t="s">
        <v>581</v>
      </c>
      <c r="E561" s="30" t="s">
        <v>15</v>
      </c>
      <c r="F561" s="30" t="s">
        <v>28</v>
      </c>
      <c r="G561" s="30"/>
      <c r="H561" s="30" t="s">
        <v>883</v>
      </c>
      <c r="I561" s="31">
        <f t="shared" si="25"/>
        <v>28</v>
      </c>
      <c r="J561" s="146" t="s">
        <v>2091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</row>
    <row r="562" spans="1:40" s="73" customFormat="1" ht="15.75" hidden="1" thickBot="1" x14ac:dyDescent="0.3">
      <c r="A562" s="73" t="s">
        <v>575</v>
      </c>
      <c r="B562" s="73" t="s">
        <v>582</v>
      </c>
      <c r="C562" s="73" t="s">
        <v>1061</v>
      </c>
      <c r="D562" s="73" t="s">
        <v>583</v>
      </c>
      <c r="E562" s="85" t="s">
        <v>15</v>
      </c>
      <c r="F562" s="85" t="s">
        <v>1299</v>
      </c>
      <c r="G562" s="85"/>
      <c r="H562" s="85" t="s">
        <v>884</v>
      </c>
      <c r="I562" s="141">
        <f t="shared" si="25"/>
        <v>28</v>
      </c>
      <c r="J562" s="146" t="s">
        <v>2092</v>
      </c>
      <c r="K562" s="141">
        <f t="shared" si="26"/>
        <v>0</v>
      </c>
      <c r="L562" s="14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</row>
    <row r="563" spans="1:40" s="73" customFormat="1" ht="15.75" hidden="1" thickBot="1" x14ac:dyDescent="0.3">
      <c r="A563" s="73" t="s">
        <v>2131</v>
      </c>
      <c r="B563" s="73" t="s">
        <v>2129</v>
      </c>
      <c r="C563" t="s">
        <v>1060</v>
      </c>
      <c r="D563" s="73" t="s">
        <v>2130</v>
      </c>
      <c r="E563" s="85" t="s">
        <v>15</v>
      </c>
      <c r="F563" s="85" t="s">
        <v>1299</v>
      </c>
      <c r="G563" s="85"/>
      <c r="H563" s="85" t="s">
        <v>2132</v>
      </c>
      <c r="I563" s="141">
        <f t="shared" si="25"/>
        <v>28</v>
      </c>
      <c r="J563" s="150" t="s">
        <v>2133</v>
      </c>
      <c r="K563" s="141">
        <f t="shared" si="26"/>
        <v>0</v>
      </c>
      <c r="L563" s="14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</row>
    <row r="564" spans="1:40" ht="15.75" hidden="1" thickBot="1" x14ac:dyDescent="0.3">
      <c r="A564" t="s">
        <v>175</v>
      </c>
      <c r="B564" t="s">
        <v>584</v>
      </c>
      <c r="C564" t="s">
        <v>1061</v>
      </c>
      <c r="D564" t="s">
        <v>1090</v>
      </c>
      <c r="E564" s="30" t="s">
        <v>19</v>
      </c>
      <c r="F564" s="30" t="s">
        <v>20</v>
      </c>
      <c r="G564" s="30"/>
      <c r="H564" s="30" t="s">
        <v>1394</v>
      </c>
      <c r="I564" s="31">
        <f t="shared" si="25"/>
        <v>28</v>
      </c>
      <c r="J564" s="87" t="s">
        <v>2178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</row>
    <row r="565" spans="1:40" ht="15.75" hidden="1" thickBot="1" x14ac:dyDescent="0.3">
      <c r="A565" t="s">
        <v>175</v>
      </c>
      <c r="B565" t="s">
        <v>1048</v>
      </c>
      <c r="C565" t="s">
        <v>1061</v>
      </c>
      <c r="D565" t="s">
        <v>1091</v>
      </c>
      <c r="E565" s="30" t="s">
        <v>73</v>
      </c>
      <c r="F565" s="30" t="s">
        <v>28</v>
      </c>
      <c r="G565" s="30"/>
      <c r="H565" s="30" t="s">
        <v>885</v>
      </c>
      <c r="I565" s="31">
        <f t="shared" si="25"/>
        <v>28</v>
      </c>
      <c r="J565" s="146" t="s">
        <v>2093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</row>
    <row r="566" spans="1:40" ht="15.75" hidden="1" thickBot="1" x14ac:dyDescent="0.3">
      <c r="A566" t="s">
        <v>175</v>
      </c>
      <c r="B566" t="s">
        <v>1049</v>
      </c>
      <c r="C566" t="s">
        <v>1061</v>
      </c>
      <c r="D566" t="s">
        <v>1091</v>
      </c>
      <c r="E566" s="30" t="s">
        <v>73</v>
      </c>
      <c r="F566" s="30" t="s">
        <v>28</v>
      </c>
      <c r="G566" s="30"/>
      <c r="H566" s="30" t="s">
        <v>886</v>
      </c>
      <c r="I566" s="31">
        <f t="shared" si="25"/>
        <v>28</v>
      </c>
      <c r="J566" s="146" t="s">
        <v>2094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</row>
    <row r="567" spans="1:40" ht="15.75" hidden="1" thickBot="1" x14ac:dyDescent="0.3">
      <c r="A567" t="s">
        <v>175</v>
      </c>
      <c r="B567" t="s">
        <v>1050</v>
      </c>
      <c r="C567" t="s">
        <v>1061</v>
      </c>
      <c r="D567" t="s">
        <v>1105</v>
      </c>
      <c r="E567" s="30" t="s">
        <v>15</v>
      </c>
      <c r="F567" s="30" t="s">
        <v>28</v>
      </c>
      <c r="G567" s="30"/>
      <c r="H567" s="30" t="s">
        <v>887</v>
      </c>
      <c r="I567" s="31">
        <f t="shared" si="25"/>
        <v>28</v>
      </c>
      <c r="J567" s="146" t="s">
        <v>2095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</row>
    <row r="568" spans="1:40" ht="15.75" hidden="1" thickBot="1" x14ac:dyDescent="0.3">
      <c r="A568" t="s">
        <v>175</v>
      </c>
      <c r="B568" t="s">
        <v>585</v>
      </c>
      <c r="C568" t="s">
        <v>1061</v>
      </c>
      <c r="D568" t="s">
        <v>1092</v>
      </c>
      <c r="E568" s="30" t="s">
        <v>15</v>
      </c>
      <c r="F568" s="30" t="s">
        <v>28</v>
      </c>
      <c r="G568" s="30"/>
      <c r="H568" s="30" t="s">
        <v>1218</v>
      </c>
      <c r="I568" s="31">
        <f t="shared" si="25"/>
        <v>13</v>
      </c>
      <c r="J568" s="146" t="s">
        <v>2096</v>
      </c>
      <c r="K568" s="31">
        <f t="shared" si="26"/>
        <v>15</v>
      </c>
      <c r="L568" s="32">
        <f t="shared" si="27"/>
        <v>0.4642857142857143</v>
      </c>
      <c r="M568" s="70" t="s">
        <v>2279</v>
      </c>
      <c r="N568" s="70" t="s">
        <v>2279</v>
      </c>
      <c r="O568" s="70" t="s">
        <v>2279</v>
      </c>
      <c r="P568" s="70" t="s">
        <v>2279</v>
      </c>
      <c r="Q568" s="70" t="s">
        <v>2279</v>
      </c>
      <c r="R568" s="70" t="s">
        <v>2279</v>
      </c>
      <c r="S568" s="70"/>
      <c r="T568" s="70"/>
      <c r="U568" s="70" t="s">
        <v>2279</v>
      </c>
      <c r="V568" s="70" t="s">
        <v>2279</v>
      </c>
      <c r="W568" s="70" t="s">
        <v>2279</v>
      </c>
      <c r="X568" s="70" t="s">
        <v>2279</v>
      </c>
      <c r="Y568" s="70" t="s">
        <v>2279</v>
      </c>
      <c r="Z568" s="70"/>
      <c r="AA568" s="70"/>
      <c r="AB568" s="70"/>
      <c r="AC568" s="70"/>
      <c r="AD568" s="70" t="s">
        <v>2279</v>
      </c>
      <c r="AE568" s="70" t="s">
        <v>2279</v>
      </c>
      <c r="AF568" s="70" t="s">
        <v>2279</v>
      </c>
      <c r="AG568" s="70"/>
      <c r="AH568" s="70"/>
      <c r="AI568" s="70" t="s">
        <v>2279</v>
      </c>
      <c r="AJ568" s="70"/>
      <c r="AK568" s="70"/>
      <c r="AL568" s="70"/>
      <c r="AM568" s="70"/>
      <c r="AN568" s="70"/>
    </row>
    <row r="569" spans="1:40" ht="15.75" hidden="1" thickBot="1" x14ac:dyDescent="0.3">
      <c r="A569" t="s">
        <v>586</v>
      </c>
      <c r="B569" t="s">
        <v>587</v>
      </c>
      <c r="C569" t="s">
        <v>1061</v>
      </c>
      <c r="D569" t="s">
        <v>588</v>
      </c>
      <c r="E569" s="30" t="s">
        <v>73</v>
      </c>
      <c r="F569" s="30" t="s">
        <v>28</v>
      </c>
      <c r="G569" s="30"/>
      <c r="H569" s="30" t="s">
        <v>888</v>
      </c>
      <c r="I569" s="31">
        <f t="shared" si="25"/>
        <v>13</v>
      </c>
      <c r="J569" s="146" t="s">
        <v>2097</v>
      </c>
      <c r="K569" s="31">
        <f t="shared" si="26"/>
        <v>15</v>
      </c>
      <c r="L569" s="32">
        <f t="shared" si="27"/>
        <v>0.4642857142857143</v>
      </c>
      <c r="M569" s="70" t="s">
        <v>2279</v>
      </c>
      <c r="N569" s="70" t="s">
        <v>2279</v>
      </c>
      <c r="O569" s="70" t="s">
        <v>2279</v>
      </c>
      <c r="P569" s="70" t="s">
        <v>2279</v>
      </c>
      <c r="Q569" s="70" t="s">
        <v>2279</v>
      </c>
      <c r="R569" s="70" t="s">
        <v>2279</v>
      </c>
      <c r="S569" s="70"/>
      <c r="T569" s="70"/>
      <c r="U569" s="70" t="s">
        <v>2279</v>
      </c>
      <c r="V569" s="70" t="s">
        <v>2279</v>
      </c>
      <c r="W569" s="70" t="s">
        <v>2279</v>
      </c>
      <c r="X569" s="70" t="s">
        <v>2279</v>
      </c>
      <c r="Y569" s="70" t="s">
        <v>2279</v>
      </c>
      <c r="Z569" s="70"/>
      <c r="AA569" s="70"/>
      <c r="AB569" s="70"/>
      <c r="AC569" s="70"/>
      <c r="AD569" s="70" t="s">
        <v>2279</v>
      </c>
      <c r="AE569" s="70" t="s">
        <v>2279</v>
      </c>
      <c r="AF569" s="70" t="s">
        <v>2279</v>
      </c>
      <c r="AG569" s="70"/>
      <c r="AH569" s="70"/>
      <c r="AI569" s="70" t="s">
        <v>2279</v>
      </c>
      <c r="AJ569" s="70"/>
      <c r="AK569" s="70"/>
      <c r="AL569" s="70"/>
      <c r="AM569" s="70"/>
      <c r="AN569" s="70"/>
    </row>
    <row r="570" spans="1:40" ht="15.75" hidden="1" thickBot="1" x14ac:dyDescent="0.3">
      <c r="A570" t="s">
        <v>586</v>
      </c>
      <c r="B570" t="s">
        <v>1051</v>
      </c>
      <c r="C570" t="s">
        <v>1061</v>
      </c>
      <c r="D570" t="s">
        <v>588</v>
      </c>
      <c r="E570" s="30" t="s">
        <v>73</v>
      </c>
      <c r="F570" s="30" t="s">
        <v>28</v>
      </c>
      <c r="G570" s="30"/>
      <c r="H570" s="30" t="s">
        <v>889</v>
      </c>
      <c r="I570" s="31">
        <f t="shared" si="25"/>
        <v>13</v>
      </c>
      <c r="J570" s="146" t="s">
        <v>2098</v>
      </c>
      <c r="K570" s="31">
        <f t="shared" si="26"/>
        <v>15</v>
      </c>
      <c r="L570" s="32">
        <f t="shared" si="27"/>
        <v>0.4642857142857143</v>
      </c>
      <c r="M570" s="70" t="s">
        <v>2279</v>
      </c>
      <c r="N570" s="70" t="s">
        <v>2279</v>
      </c>
      <c r="O570" s="70" t="s">
        <v>2279</v>
      </c>
      <c r="P570" s="70" t="s">
        <v>2279</v>
      </c>
      <c r="Q570" s="70" t="s">
        <v>2279</v>
      </c>
      <c r="R570" s="70" t="s">
        <v>2279</v>
      </c>
      <c r="S570" s="70"/>
      <c r="T570" s="70"/>
      <c r="U570" s="70" t="s">
        <v>2279</v>
      </c>
      <c r="V570" s="70" t="s">
        <v>2279</v>
      </c>
      <c r="W570" s="70" t="s">
        <v>2279</v>
      </c>
      <c r="X570" s="70" t="s">
        <v>2279</v>
      </c>
      <c r="Y570" s="70" t="s">
        <v>2279</v>
      </c>
      <c r="Z570" s="70"/>
      <c r="AA570" s="70"/>
      <c r="AB570" s="70"/>
      <c r="AC570" s="70"/>
      <c r="AD570" s="70" t="s">
        <v>2279</v>
      </c>
      <c r="AE570" s="70" t="s">
        <v>2279</v>
      </c>
      <c r="AF570" s="70" t="s">
        <v>2279</v>
      </c>
      <c r="AG570" s="70"/>
      <c r="AH570" s="70"/>
      <c r="AI570" s="70" t="s">
        <v>2279</v>
      </c>
      <c r="AJ570" s="70"/>
      <c r="AK570" s="70"/>
      <c r="AL570" s="70"/>
      <c r="AM570" s="70"/>
      <c r="AN570" s="70"/>
    </row>
    <row r="571" spans="1:40" ht="15.75" hidden="1" thickBot="1" x14ac:dyDescent="0.3">
      <c r="A571" t="s">
        <v>586</v>
      </c>
      <c r="B571" t="s">
        <v>1052</v>
      </c>
      <c r="C571" t="s">
        <v>1061</v>
      </c>
      <c r="D571" t="s">
        <v>589</v>
      </c>
      <c r="E571" s="30" t="s">
        <v>73</v>
      </c>
      <c r="F571" s="30" t="s">
        <v>28</v>
      </c>
      <c r="G571" s="30"/>
      <c r="H571" s="30" t="s">
        <v>890</v>
      </c>
      <c r="I571" s="31">
        <f t="shared" si="25"/>
        <v>13</v>
      </c>
      <c r="J571" s="146" t="s">
        <v>2099</v>
      </c>
      <c r="K571" s="31">
        <f t="shared" si="26"/>
        <v>15</v>
      </c>
      <c r="L571" s="32">
        <f t="shared" si="27"/>
        <v>0.4642857142857143</v>
      </c>
      <c r="M571" s="70" t="s">
        <v>2279</v>
      </c>
      <c r="N571" s="70" t="s">
        <v>2279</v>
      </c>
      <c r="O571" s="70" t="s">
        <v>2279</v>
      </c>
      <c r="P571" s="70" t="s">
        <v>2279</v>
      </c>
      <c r="Q571" s="70" t="s">
        <v>2279</v>
      </c>
      <c r="R571" s="70" t="s">
        <v>2279</v>
      </c>
      <c r="S571" s="70"/>
      <c r="T571" s="70"/>
      <c r="U571" s="70" t="s">
        <v>2279</v>
      </c>
      <c r="V571" s="70" t="s">
        <v>2279</v>
      </c>
      <c r="W571" s="70" t="s">
        <v>2279</v>
      </c>
      <c r="X571" s="70" t="s">
        <v>2279</v>
      </c>
      <c r="Y571" s="70" t="s">
        <v>2279</v>
      </c>
      <c r="Z571" s="70"/>
      <c r="AA571" s="70"/>
      <c r="AB571" s="70"/>
      <c r="AC571" s="70"/>
      <c r="AD571" s="70" t="s">
        <v>2279</v>
      </c>
      <c r="AE571" s="70" t="s">
        <v>2279</v>
      </c>
      <c r="AF571" s="70" t="s">
        <v>2279</v>
      </c>
      <c r="AG571" s="70"/>
      <c r="AH571" s="70"/>
      <c r="AI571" s="70" t="s">
        <v>2279</v>
      </c>
      <c r="AJ571" s="70"/>
      <c r="AK571" s="70"/>
      <c r="AL571" s="70"/>
      <c r="AM571" s="70"/>
      <c r="AN571" s="70"/>
    </row>
    <row r="572" spans="1:40" ht="15.75" hidden="1" thickBot="1" x14ac:dyDescent="0.3">
      <c r="A572" t="s">
        <v>586</v>
      </c>
      <c r="B572" t="s">
        <v>590</v>
      </c>
      <c r="C572" t="s">
        <v>1061</v>
      </c>
      <c r="D572" t="s">
        <v>589</v>
      </c>
      <c r="E572" s="30" t="s">
        <v>73</v>
      </c>
      <c r="F572" s="30" t="s">
        <v>28</v>
      </c>
      <c r="G572" s="30"/>
      <c r="H572" s="30" t="s">
        <v>891</v>
      </c>
      <c r="I572" s="31">
        <f t="shared" si="25"/>
        <v>14</v>
      </c>
      <c r="J572" s="146" t="s">
        <v>2100</v>
      </c>
      <c r="K572" s="31">
        <f t="shared" si="26"/>
        <v>14</v>
      </c>
      <c r="L572" s="32">
        <f t="shared" si="27"/>
        <v>0.5</v>
      </c>
      <c r="M572" s="70" t="s">
        <v>2279</v>
      </c>
      <c r="N572" s="70" t="s">
        <v>2279</v>
      </c>
      <c r="O572" s="70" t="s">
        <v>2279</v>
      </c>
      <c r="P572" s="70" t="s">
        <v>2279</v>
      </c>
      <c r="Q572" s="70" t="s">
        <v>2279</v>
      </c>
      <c r="R572" s="70" t="s">
        <v>2279</v>
      </c>
      <c r="S572" s="70"/>
      <c r="T572" s="70"/>
      <c r="U572" s="70"/>
      <c r="V572" s="70" t="s">
        <v>2279</v>
      </c>
      <c r="W572" s="70" t="s">
        <v>2279</v>
      </c>
      <c r="X572" s="70" t="s">
        <v>2279</v>
      </c>
      <c r="Y572" s="70" t="s">
        <v>2279</v>
      </c>
      <c r="Z572" s="70"/>
      <c r="AA572" s="70"/>
      <c r="AB572" s="70"/>
      <c r="AC572" s="70"/>
      <c r="AD572" s="70" t="s">
        <v>2279</v>
      </c>
      <c r="AE572" s="70" t="s">
        <v>2279</v>
      </c>
      <c r="AF572" s="70" t="s">
        <v>2279</v>
      </c>
      <c r="AG572" s="70"/>
      <c r="AH572" s="70"/>
      <c r="AI572" s="70" t="s">
        <v>2279</v>
      </c>
      <c r="AJ572" s="70"/>
      <c r="AK572" s="70"/>
      <c r="AL572" s="70"/>
      <c r="AM572" s="70"/>
      <c r="AN572" s="70"/>
    </row>
    <row r="573" spans="1:40" s="73" customFormat="1" ht="15.75" hidden="1" thickBot="1" x14ac:dyDescent="0.3">
      <c r="A573" s="73" t="s">
        <v>591</v>
      </c>
      <c r="B573" s="73" t="s">
        <v>592</v>
      </c>
      <c r="C573" s="73" t="s">
        <v>1061</v>
      </c>
      <c r="D573" s="73" t="s">
        <v>593</v>
      </c>
      <c r="E573" s="85" t="s">
        <v>15</v>
      </c>
      <c r="F573" s="85" t="s">
        <v>1299</v>
      </c>
      <c r="G573" s="85"/>
      <c r="H573" s="85" t="s">
        <v>892</v>
      </c>
      <c r="I573" s="141">
        <f t="shared" si="25"/>
        <v>28</v>
      </c>
      <c r="J573" s="87" t="s">
        <v>2194</v>
      </c>
      <c r="K573" s="141">
        <f t="shared" si="26"/>
        <v>0</v>
      </c>
      <c r="L573" s="14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</row>
    <row r="574" spans="1:40" s="73" customFormat="1" ht="15.75" hidden="1" thickBot="1" x14ac:dyDescent="0.3">
      <c r="A574" s="73" t="s">
        <v>591</v>
      </c>
      <c r="B574" s="73" t="s">
        <v>2255</v>
      </c>
      <c r="C574" s="73" t="s">
        <v>1061</v>
      </c>
      <c r="D574" s="73" t="s">
        <v>2256</v>
      </c>
      <c r="E574" s="85" t="s">
        <v>15</v>
      </c>
      <c r="F574" s="85" t="s">
        <v>1299</v>
      </c>
      <c r="G574" s="85"/>
      <c r="H574" s="85" t="s">
        <v>2257</v>
      </c>
      <c r="I574" s="141">
        <f t="shared" si="25"/>
        <v>28</v>
      </c>
      <c r="J574" s="87" t="s">
        <v>2258</v>
      </c>
      <c r="K574" s="141">
        <f t="shared" si="26"/>
        <v>0</v>
      </c>
      <c r="L574" s="14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</row>
    <row r="575" spans="1:40" s="73" customFormat="1" ht="15.75" hidden="1" thickBot="1" x14ac:dyDescent="0.3">
      <c r="A575" s="73" t="s">
        <v>591</v>
      </c>
      <c r="B575" s="73" t="s">
        <v>2268</v>
      </c>
      <c r="C575" s="73" t="s">
        <v>1061</v>
      </c>
      <c r="D575" s="73" t="s">
        <v>2269</v>
      </c>
      <c r="E575" s="85" t="s">
        <v>15</v>
      </c>
      <c r="F575" s="85"/>
      <c r="G575" s="85"/>
      <c r="H575" s="85" t="s">
        <v>2270</v>
      </c>
      <c r="I575" s="141">
        <f t="shared" si="25"/>
        <v>28</v>
      </c>
      <c r="J575" s="87"/>
      <c r="K575" s="141">
        <f t="shared" si="26"/>
        <v>0</v>
      </c>
      <c r="L575" s="142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</row>
    <row r="576" spans="1:40" ht="14.25" hidden="1" customHeight="1" thickBot="1" x14ac:dyDescent="0.3">
      <c r="A576" t="s">
        <v>594</v>
      </c>
      <c r="B576" t="s">
        <v>1053</v>
      </c>
      <c r="C576" t="s">
        <v>1061</v>
      </c>
      <c r="D576" t="s">
        <v>595</v>
      </c>
      <c r="E576" s="30" t="s">
        <v>15</v>
      </c>
      <c r="F576" s="30" t="s">
        <v>20</v>
      </c>
      <c r="G576" s="30"/>
      <c r="H576" s="30" t="s">
        <v>893</v>
      </c>
      <c r="I576" s="31">
        <f t="shared" si="25"/>
        <v>28</v>
      </c>
      <c r="J576" s="87" t="s">
        <v>2195</v>
      </c>
      <c r="K576" s="31">
        <f t="shared" si="26"/>
        <v>0</v>
      </c>
      <c r="L576" s="32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</row>
    <row r="577" spans="1:40" ht="15.75" hidden="1" thickBot="1" x14ac:dyDescent="0.3">
      <c r="A577" t="s">
        <v>594</v>
      </c>
      <c r="B577" t="s">
        <v>596</v>
      </c>
      <c r="C577" t="s">
        <v>1061</v>
      </c>
      <c r="D577" t="s">
        <v>597</v>
      </c>
      <c r="E577" s="30" t="s">
        <v>15</v>
      </c>
      <c r="F577" s="30" t="s">
        <v>20</v>
      </c>
      <c r="G577" s="30"/>
      <c r="H577" s="30" t="s">
        <v>894</v>
      </c>
      <c r="I577" s="31">
        <f t="shared" si="25"/>
        <v>26</v>
      </c>
      <c r="J577" s="87" t="s">
        <v>2196</v>
      </c>
      <c r="K577" s="31">
        <f t="shared" si="26"/>
        <v>2</v>
      </c>
      <c r="L577" s="32">
        <f t="shared" si="27"/>
        <v>0.9285714285714286</v>
      </c>
      <c r="M577" s="70"/>
      <c r="N577" s="70"/>
      <c r="O577" s="70"/>
      <c r="P577" s="70" t="s">
        <v>2279</v>
      </c>
      <c r="Q577" s="70" t="s">
        <v>2279</v>
      </c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</row>
    <row r="578" spans="1:40" ht="15.75" hidden="1" thickBot="1" x14ac:dyDescent="0.3">
      <c r="A578" t="s">
        <v>594</v>
      </c>
      <c r="B578" t="s">
        <v>598</v>
      </c>
      <c r="C578" t="s">
        <v>1061</v>
      </c>
      <c r="D578" t="s">
        <v>599</v>
      </c>
      <c r="E578" s="30" t="s">
        <v>15</v>
      </c>
      <c r="F578" s="30" t="s">
        <v>20</v>
      </c>
      <c r="G578" s="30"/>
      <c r="H578" s="30" t="s">
        <v>895</v>
      </c>
      <c r="I578" s="31">
        <f t="shared" si="25"/>
        <v>28</v>
      </c>
      <c r="J578" s="87" t="s">
        <v>2197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</row>
    <row r="579" spans="1:40" ht="15.75" hidden="1" thickBot="1" x14ac:dyDescent="0.3">
      <c r="A579" t="s">
        <v>594</v>
      </c>
      <c r="B579" s="30" t="s">
        <v>1113</v>
      </c>
      <c r="C579" s="30" t="s">
        <v>1061</v>
      </c>
      <c r="D579" t="s">
        <v>1115</v>
      </c>
      <c r="E579" s="30" t="s">
        <v>1112</v>
      </c>
      <c r="F579" s="30" t="s">
        <v>28</v>
      </c>
      <c r="G579" s="30"/>
      <c r="H579" s="30" t="s">
        <v>1120</v>
      </c>
      <c r="I579" s="31">
        <f t="shared" si="25"/>
        <v>28</v>
      </c>
      <c r="J579" s="146" t="s">
        <v>2102</v>
      </c>
      <c r="K579" s="31">
        <f t="shared" si="26"/>
        <v>0</v>
      </c>
      <c r="L579" s="3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</row>
    <row r="580" spans="1:40" ht="15.75" hidden="1" thickBot="1" x14ac:dyDescent="0.3">
      <c r="A580" t="s">
        <v>594</v>
      </c>
      <c r="B580" s="30" t="s">
        <v>1114</v>
      </c>
      <c r="C580" s="30" t="s">
        <v>1061</v>
      </c>
      <c r="D580" t="s">
        <v>1115</v>
      </c>
      <c r="E580" s="30" t="s">
        <v>1112</v>
      </c>
      <c r="F580" s="30" t="s">
        <v>28</v>
      </c>
      <c r="G580" s="30"/>
      <c r="H580" s="30" t="s">
        <v>1121</v>
      </c>
      <c r="I580" s="31">
        <f t="shared" si="25"/>
        <v>28</v>
      </c>
      <c r="J580" s="146" t="s">
        <v>2101</v>
      </c>
      <c r="K580" s="31">
        <f t="shared" si="26"/>
        <v>0</v>
      </c>
      <c r="L580" s="3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</row>
    <row r="581" spans="1:40" ht="15.75" hidden="1" thickBot="1" x14ac:dyDescent="0.3">
      <c r="A581" t="s">
        <v>594</v>
      </c>
      <c r="B581" s="30" t="s">
        <v>1199</v>
      </c>
      <c r="C581" s="30" t="s">
        <v>1061</v>
      </c>
      <c r="D581" t="s">
        <v>1200</v>
      </c>
      <c r="E581" s="30" t="s">
        <v>15</v>
      </c>
      <c r="F581" s="30" t="s">
        <v>28</v>
      </c>
      <c r="G581" s="30"/>
      <c r="H581" s="30" t="s">
        <v>1201</v>
      </c>
      <c r="I581" s="31">
        <f t="shared" si="25"/>
        <v>28</v>
      </c>
      <c r="J581" s="146" t="s">
        <v>2103</v>
      </c>
      <c r="K581" s="31">
        <f t="shared" si="26"/>
        <v>0</v>
      </c>
      <c r="L581" s="3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</row>
    <row r="582" spans="1:40" ht="15.75" hidden="1" thickBot="1" x14ac:dyDescent="0.3">
      <c r="A582" t="s">
        <v>389</v>
      </c>
      <c r="B582" s="30" t="s">
        <v>2172</v>
      </c>
      <c r="C582" s="73" t="s">
        <v>1060</v>
      </c>
      <c r="D582" t="s">
        <v>2173</v>
      </c>
      <c r="E582" s="85" t="s">
        <v>46</v>
      </c>
      <c r="F582" s="30" t="s">
        <v>28</v>
      </c>
      <c r="G582" s="30"/>
      <c r="H582" s="30" t="s">
        <v>2174</v>
      </c>
      <c r="I582" s="31">
        <f t="shared" si="25"/>
        <v>28</v>
      </c>
      <c r="J582" s="146" t="s">
        <v>2175</v>
      </c>
      <c r="K582" s="31">
        <f t="shared" si="26"/>
        <v>0</v>
      </c>
      <c r="L582" s="32">
        <f t="shared" si="27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</row>
    <row r="583" spans="1:40" s="73" customFormat="1" ht="15.75" hidden="1" thickBot="1" x14ac:dyDescent="0.3">
      <c r="A583" s="73" t="s">
        <v>602</v>
      </c>
      <c r="B583" s="73" t="s">
        <v>603</v>
      </c>
      <c r="C583" s="73" t="s">
        <v>1061</v>
      </c>
      <c r="D583" s="73" t="s">
        <v>604</v>
      </c>
      <c r="E583" s="85" t="s">
        <v>19</v>
      </c>
      <c r="F583" s="85" t="s">
        <v>1299</v>
      </c>
      <c r="G583" s="85"/>
      <c r="H583" s="85" t="s">
        <v>1367</v>
      </c>
      <c r="I583" s="141">
        <f t="shared" si="25"/>
        <v>28</v>
      </c>
      <c r="J583" s="146" t="s">
        <v>2104</v>
      </c>
      <c r="K583" s="141">
        <f t="shared" si="26"/>
        <v>0</v>
      </c>
      <c r="L583" s="142">
        <f t="shared" si="27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</row>
    <row r="584" spans="1:40" s="73" customFormat="1" ht="15.75" hidden="1" thickBot="1" x14ac:dyDescent="0.3">
      <c r="A584" s="73" t="s">
        <v>310</v>
      </c>
      <c r="B584" s="73" t="s">
        <v>605</v>
      </c>
      <c r="C584" s="73" t="s">
        <v>1061</v>
      </c>
      <c r="D584" s="73" t="s">
        <v>606</v>
      </c>
      <c r="E584" s="85" t="s">
        <v>19</v>
      </c>
      <c r="F584" s="85" t="s">
        <v>1299</v>
      </c>
      <c r="G584" s="85"/>
      <c r="H584" s="85" t="s">
        <v>1364</v>
      </c>
      <c r="I584" s="141">
        <f t="shared" si="25"/>
        <v>28</v>
      </c>
      <c r="J584" s="146" t="s">
        <v>2105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</row>
    <row r="585" spans="1:40" s="73" customFormat="1" ht="15.75" hidden="1" thickBot="1" x14ac:dyDescent="0.3">
      <c r="A585" s="73" t="s">
        <v>602</v>
      </c>
      <c r="B585" s="73" t="s">
        <v>607</v>
      </c>
      <c r="C585" s="73" t="s">
        <v>1060</v>
      </c>
      <c r="D585" s="73" t="s">
        <v>608</v>
      </c>
      <c r="E585" s="85" t="s">
        <v>15</v>
      </c>
      <c r="F585" s="85" t="s">
        <v>1299</v>
      </c>
      <c r="G585" s="85"/>
      <c r="H585" s="85" t="s">
        <v>1503</v>
      </c>
      <c r="I585" s="141">
        <f t="shared" si="25"/>
        <v>28</v>
      </c>
      <c r="J585" s="146" t="s">
        <v>2106</v>
      </c>
      <c r="K585" s="141">
        <f t="shared" si="26"/>
        <v>0</v>
      </c>
      <c r="L585" s="142">
        <f t="shared" si="27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</row>
    <row r="586" spans="1:40" s="73" customFormat="1" ht="15.75" hidden="1" thickBot="1" x14ac:dyDescent="0.3">
      <c r="A586" s="73" t="s">
        <v>602</v>
      </c>
      <c r="B586" s="73" t="s">
        <v>600</v>
      </c>
      <c r="C586" s="73" t="s">
        <v>1060</v>
      </c>
      <c r="D586" s="73" t="s">
        <v>601</v>
      </c>
      <c r="E586" s="85" t="s">
        <v>19</v>
      </c>
      <c r="F586" s="85" t="s">
        <v>1299</v>
      </c>
      <c r="G586" s="85"/>
      <c r="H586" s="85" t="s">
        <v>1425</v>
      </c>
      <c r="I586" s="141">
        <f t="shared" si="25"/>
        <v>13</v>
      </c>
      <c r="J586" s="146" t="s">
        <v>2107</v>
      </c>
      <c r="K586" s="141">
        <f t="shared" si="26"/>
        <v>15</v>
      </c>
      <c r="L586" s="142">
        <f t="shared" si="27"/>
        <v>0.4642857142857143</v>
      </c>
      <c r="M586" s="70" t="s">
        <v>2279</v>
      </c>
      <c r="N586" s="70" t="s">
        <v>2279</v>
      </c>
      <c r="O586" s="70" t="s">
        <v>2279</v>
      </c>
      <c r="P586" s="70" t="s">
        <v>2279</v>
      </c>
      <c r="Q586" s="70" t="s">
        <v>2279</v>
      </c>
      <c r="R586" s="70" t="s">
        <v>2279</v>
      </c>
      <c r="S586" s="70"/>
      <c r="T586" s="70"/>
      <c r="U586" s="70" t="s">
        <v>2279</v>
      </c>
      <c r="V586" s="70" t="s">
        <v>2279</v>
      </c>
      <c r="W586" s="70" t="s">
        <v>2279</v>
      </c>
      <c r="X586" s="70" t="s">
        <v>2279</v>
      </c>
      <c r="Y586" s="70" t="s">
        <v>2279</v>
      </c>
      <c r="Z586" s="70"/>
      <c r="AA586" s="70"/>
      <c r="AB586" s="70"/>
      <c r="AC586" s="70"/>
      <c r="AD586" s="70" t="s">
        <v>2279</v>
      </c>
      <c r="AE586" s="70" t="s">
        <v>2279</v>
      </c>
      <c r="AF586" s="70" t="s">
        <v>2279</v>
      </c>
      <c r="AG586" s="70"/>
      <c r="AH586" s="70"/>
      <c r="AI586" s="70" t="s">
        <v>2279</v>
      </c>
      <c r="AJ586" s="70"/>
      <c r="AK586" s="70"/>
      <c r="AL586" s="70"/>
      <c r="AM586" s="70"/>
      <c r="AN586" s="70"/>
    </row>
    <row r="587" spans="1:40" s="73" customFormat="1" ht="15.75" hidden="1" thickBot="1" x14ac:dyDescent="0.3">
      <c r="A587" s="73" t="s">
        <v>602</v>
      </c>
      <c r="B587" s="73" t="s">
        <v>1443</v>
      </c>
      <c r="C587" s="73" t="s">
        <v>1060</v>
      </c>
      <c r="D587" s="73" t="s">
        <v>1444</v>
      </c>
      <c r="E587" s="85" t="s">
        <v>46</v>
      </c>
      <c r="F587" s="85" t="s">
        <v>1299</v>
      </c>
      <c r="G587" s="85"/>
      <c r="H587" s="85" t="s">
        <v>1449</v>
      </c>
      <c r="I587" s="141">
        <f t="shared" si="25"/>
        <v>28</v>
      </c>
      <c r="J587" s="146" t="s">
        <v>2108</v>
      </c>
      <c r="K587" s="141">
        <f t="shared" si="26"/>
        <v>0</v>
      </c>
      <c r="L587" s="142">
        <f t="shared" si="27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</row>
    <row r="588" spans="1:40" s="73" customFormat="1" ht="15.75" hidden="1" thickBot="1" x14ac:dyDescent="0.3">
      <c r="A588" s="73" t="s">
        <v>602</v>
      </c>
      <c r="B588" s="73" t="s">
        <v>1446</v>
      </c>
      <c r="C588" s="73" t="s">
        <v>1060</v>
      </c>
      <c r="D588" s="73" t="s">
        <v>1445</v>
      </c>
      <c r="E588" s="85" t="s">
        <v>73</v>
      </c>
      <c r="F588" s="85" t="s">
        <v>1299</v>
      </c>
      <c r="G588" s="85"/>
      <c r="H588" s="85" t="s">
        <v>1450</v>
      </c>
      <c r="I588" s="141">
        <f t="shared" si="25"/>
        <v>28</v>
      </c>
      <c r="J588" s="146" t="s">
        <v>2109</v>
      </c>
      <c r="K588" s="141">
        <f t="shared" si="26"/>
        <v>0</v>
      </c>
      <c r="L588" s="142">
        <f t="shared" si="27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</row>
    <row r="589" spans="1:40" s="73" customFormat="1" ht="15.75" hidden="1" thickBot="1" x14ac:dyDescent="0.3">
      <c r="A589" s="73" t="s">
        <v>602</v>
      </c>
      <c r="B589" s="73" t="s">
        <v>1447</v>
      </c>
      <c r="C589" s="73" t="s">
        <v>1060</v>
      </c>
      <c r="D589" s="73" t="s">
        <v>1448</v>
      </c>
      <c r="E589" s="85" t="s">
        <v>73</v>
      </c>
      <c r="F589" s="85" t="s">
        <v>1299</v>
      </c>
      <c r="G589" s="85"/>
      <c r="H589" s="85" t="s">
        <v>1451</v>
      </c>
      <c r="I589" s="141">
        <f t="shared" si="25"/>
        <v>28</v>
      </c>
      <c r="J589" s="146" t="s">
        <v>2110</v>
      </c>
      <c r="K589" s="141">
        <f t="shared" si="26"/>
        <v>0</v>
      </c>
      <c r="L589" s="142">
        <f t="shared" si="27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</row>
    <row r="590" spans="1:40" s="73" customFormat="1" ht="15.75" hidden="1" thickBot="1" x14ac:dyDescent="0.3">
      <c r="A590" s="73" t="s">
        <v>602</v>
      </c>
      <c r="B590" s="73" t="s">
        <v>2111</v>
      </c>
      <c r="C590" s="73" t="s">
        <v>1060</v>
      </c>
      <c r="D590" s="73" t="s">
        <v>2112</v>
      </c>
      <c r="E590" s="85" t="s">
        <v>15</v>
      </c>
      <c r="F590" s="85" t="s">
        <v>1299</v>
      </c>
      <c r="G590" s="85"/>
      <c r="H590" s="85" t="s">
        <v>2113</v>
      </c>
      <c r="I590" s="141">
        <f t="shared" si="25"/>
        <v>28</v>
      </c>
      <c r="J590" s="150" t="s">
        <v>2114</v>
      </c>
      <c r="K590" s="141">
        <f t="shared" si="26"/>
        <v>0</v>
      </c>
      <c r="L590" s="142">
        <f t="shared" si="27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</row>
    <row r="591" spans="1:40" ht="17.25" hidden="1" customHeight="1" thickBot="1" x14ac:dyDescent="0.3">
      <c r="A591" s="73" t="s">
        <v>602</v>
      </c>
      <c r="B591" s="73" t="s">
        <v>2286</v>
      </c>
      <c r="C591" s="73" t="s">
        <v>1060</v>
      </c>
      <c r="D591" s="73" t="s">
        <v>2287</v>
      </c>
      <c r="E591" s="85" t="s">
        <v>15</v>
      </c>
      <c r="F591" s="85" t="s">
        <v>1299</v>
      </c>
      <c r="G591" s="85"/>
      <c r="H591" s="85" t="s">
        <v>2288</v>
      </c>
      <c r="I591" s="141">
        <f t="shared" si="25"/>
        <v>21</v>
      </c>
      <c r="J591" s="150" t="s">
        <v>2289</v>
      </c>
      <c r="K591" s="141">
        <f t="shared" si="26"/>
        <v>7</v>
      </c>
      <c r="L591" s="142">
        <f t="shared" si="27"/>
        <v>0.75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 t="s">
        <v>2279</v>
      </c>
      <c r="W591" s="71"/>
      <c r="X591" s="71" t="s">
        <v>2279</v>
      </c>
      <c r="Y591" s="71" t="s">
        <v>2279</v>
      </c>
      <c r="Z591" s="71"/>
      <c r="AA591" s="71"/>
      <c r="AB591" s="71"/>
      <c r="AC591" s="71"/>
      <c r="AD591" s="71" t="s">
        <v>2279</v>
      </c>
      <c r="AE591" s="71" t="s">
        <v>2279</v>
      </c>
      <c r="AF591" s="71" t="s">
        <v>2279</v>
      </c>
      <c r="AG591" s="71"/>
      <c r="AH591" s="71"/>
      <c r="AI591" s="71" t="s">
        <v>2279</v>
      </c>
      <c r="AJ591" s="71"/>
      <c r="AK591" s="71"/>
      <c r="AL591" s="71"/>
      <c r="AM591" s="71"/>
      <c r="AN591" s="71"/>
    </row>
    <row r="671" spans="13:40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</row>
    <row r="672" spans="13:40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</row>
    <row r="673" spans="5:40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spans="5:40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spans="5:40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spans="5:40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spans="5:40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spans="5:40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spans="5:40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spans="5:40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spans="5:40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spans="5:40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spans="5:40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spans="5:40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spans="5:40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spans="5:40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spans="5:40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spans="5:40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spans="5:40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spans="5:40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spans="5:40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spans="5:40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spans="5:40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spans="5:40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spans="5:40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spans="5:40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spans="5:40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spans="5:40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spans="5:40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spans="5:40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spans="5:40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spans="5:40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spans="5:40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spans="5:40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spans="5:40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spans="5:40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spans="5:40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spans="5:40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spans="5:40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spans="5:40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spans="5:40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spans="5:40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spans="5:40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spans="5:40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</row>
    <row r="748" spans="5:40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</row>
    <row r="749" spans="5:40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</row>
    <row r="750" spans="5:40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5:40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5:40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5:40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5:40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5:40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5:40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5:40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5:40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5:40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5:40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5:40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5:40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5:40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5:40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5:40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5:40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5:40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5:40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5:40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5:40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5:40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5:40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5:40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5:40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5:40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5:40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5:40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5:40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5:40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5:40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5:40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5:40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5:40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5:40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5:40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5:40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5:40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5:40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5:40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5:40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5:40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5:40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5:40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5:40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0" x14ac:dyDescent="0.25">
      <c r="E837" s="30"/>
      <c r="F837" s="30"/>
      <c r="G837" s="30"/>
      <c r="H837" s="30"/>
      <c r="L837" s="13"/>
      <c r="O837" s="70"/>
    </row>
    <row r="838" spans="5:40" x14ac:dyDescent="0.25">
      <c r="E838" s="30"/>
      <c r="F838" s="30"/>
      <c r="G838" s="30"/>
      <c r="H838" s="30"/>
      <c r="L838" s="13"/>
      <c r="O838" s="70"/>
    </row>
    <row r="839" spans="5:40" x14ac:dyDescent="0.25">
      <c r="E839" s="30"/>
      <c r="F839" s="30"/>
      <c r="G839" s="30"/>
      <c r="H839" s="30"/>
      <c r="L839" s="13"/>
      <c r="O839" s="70"/>
    </row>
    <row r="840" spans="5:40" x14ac:dyDescent="0.25">
      <c r="L840" s="13"/>
      <c r="O840" s="70"/>
    </row>
    <row r="841" spans="5:40" x14ac:dyDescent="0.25">
      <c r="O841" s="70"/>
    </row>
    <row r="842" spans="5:40" x14ac:dyDescent="0.25">
      <c r="O842" s="70"/>
    </row>
    <row r="843" spans="5:40" x14ac:dyDescent="0.25">
      <c r="O843" s="70"/>
    </row>
    <row r="844" spans="5:40" x14ac:dyDescent="0.25">
      <c r="O844" s="70"/>
    </row>
    <row r="845" spans="5:40" x14ac:dyDescent="0.25">
      <c r="O845" s="70"/>
    </row>
    <row r="846" spans="5:40" x14ac:dyDescent="0.25">
      <c r="O846" s="70"/>
    </row>
    <row r="847" spans="5:40" x14ac:dyDescent="0.25">
      <c r="O847" s="70"/>
    </row>
    <row r="848" spans="5:40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N591" xr:uid="{00000000-0001-0000-0000-000000000000}">
    <filterColumn colId="1">
      <filters>
        <filter val="PUNTO SEGURO - AGUSTIN RAMIREZ (domo)"/>
        <filter val="PUNTO SEGURO - AGUSTIN RAMIREZ (fija)"/>
        <filter val="PUNTO SEGURO - EL PARQUE (domo)"/>
        <filter val="PUNTO SEGURO - EL PARQUE (fija)"/>
        <filter val="PUNTO SEGURO - EL PARQUE INTERCOMUNICADOR"/>
        <filter val="PUNTO SEGURO - ING ALLAN INTERCOMUNICADOR"/>
        <filter val="PUNTO SEGURO - ING. ALLAN (domo)"/>
        <filter val="PUNTO SEGURO - ING. ALLAN (fija)"/>
        <filter val="PUNTO SEGURO - LUJAN (fija)"/>
        <filter val="PUNTO SEGURO - PICO DE ORO (domo)"/>
        <filter val="PUNTO SEGURO - PICO DE ORO (fija)"/>
        <filter val="PUNTO SEGURO - SAN FRANCISCO (domo)"/>
        <filter val="Punto Seguro - San Jorge (Domo)"/>
        <filter val="Punto Seguro - San Jorge (Fija)"/>
        <filter val="PUNTO SEGURO - SAN RUDECINDO (fija)"/>
        <filter val="PUNTO SEGURO - SANTA ROSA (domo)"/>
        <filter val="PUNTO SEGURO - SANTA ROSA (fija)"/>
        <filter val="PUNTO SEGURO AGUSTIN RAMIREZ INTERCOMUNICADOR"/>
        <filter val="PUNTO SEGURO LUJAN (domo)"/>
        <filter val="PUNTO SEGURO LUJAN INTERCOMUNICADOR"/>
        <filter val="PUNTO SEGURO PICO DE ORO INTERCOMUNICADOR"/>
        <filter val="PUNTO SEGURO SAN JORGE INTERCOMUNICADOR"/>
        <filter val="PUNTO SEGURO- SAN RUDECINDO (domo)"/>
        <filter val="PUNTO SEGURO SAN RUDECINDO INTERCOMUNICADOR"/>
        <filter val="PUNTO SEGURO SANTA ROSA INTERCOMUNICADOR"/>
        <filter val="PUNTO SEGURO VILLA ARGENTINA domo"/>
        <filter val="PUNTO SEGURO VILLA ARGENTINA fija"/>
        <filter val="PUNTO SEGURO VILLA ARGENTINA INTERCOMUNICADOR"/>
      </filters>
    </filterColumn>
  </autoFilter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H133 F134:F135 E160:H229 E231:F232 E233:H396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M36:AD36 AF36:AN36 M37:AN93 M94:AG94 AI94:AN94 M95:AN119 M120:U120 W120:AN120 M121:AN229 Z230:Z232 M233:AN322 M323:U323 W323:AN323 M324:AN346 M347:AB347 AD347:AN347 M348:AN397 N398:O398 M398:M402 N399:N402 O399:O403 M403:N403 P403:AN403 M404:AN411 O412:AN418 M412:N420 M421:AN591 AI673:AN1048576">
    <cfRule type="cellIs" dxfId="61" priority="108" operator="equal">
      <formula>"APAGADO"</formula>
    </cfRule>
  </conditionalFormatting>
  <conditionalFormatting sqref="M673:AN749 W673:AH1048576">
    <cfRule type="cellIs" dxfId="60" priority="109" operator="equal">
      <formula>"apagado"</formula>
    </cfRule>
  </conditionalFormatting>
  <conditionalFormatting sqref="M673:AN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ISERROR(SEARCH("Caida",O673))</formula>
    </cfRule>
    <cfRule type="containsText" dxfId="52" priority="289" operator="containsText" text="Caida">
      <formula>NOT(ISERROR(SEARCH("Caida",O673)))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AE610" activePane="bottomRight" state="frozen"/>
      <selection pane="topRight" activeCell="F1" sqref="F1"/>
      <selection pane="bottomLeft" activeCell="A5" sqref="A5"/>
      <selection pane="bottomRight" activeCell="AH618" sqref="AH6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3 16379:16379" ht="18.75" x14ac:dyDescent="0.3">
      <c r="C1" s="28" t="s">
        <v>1301</v>
      </c>
      <c r="D1" s="29">
        <f>COUNTIFS(A5:A602,"=paradas seguras")/2</f>
        <v>0</v>
      </c>
      <c r="E1" s="77" t="s">
        <v>1302</v>
      </c>
      <c r="F1" s="77"/>
      <c r="G1" s="77"/>
      <c r="H1" s="78">
        <f>COUNTIFS(A5:A602,"=paradas seguras")</f>
        <v>0</v>
      </c>
      <c r="I1" s="79" t="s">
        <v>1303</v>
      </c>
      <c r="J1" s="79"/>
      <c r="K1" s="80">
        <f>COUNTIFS(D5:D602,"=GFIJA")</f>
        <v>0</v>
      </c>
      <c r="L1" s="81" t="s">
        <v>1304</v>
      </c>
      <c r="M1" s="81"/>
      <c r="N1" s="81"/>
      <c r="O1" s="82">
        <f>COUNTIFS(D5:D602,"=INTERCOMUNICADOR")</f>
        <v>0</v>
      </c>
    </row>
    <row r="2" spans="1:33 16379:16379" ht="21" x14ac:dyDescent="0.35">
      <c r="E2" s="16" t="s">
        <v>1306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</row>
    <row r="3" spans="1:33 16379:16379" ht="21.75" thickBot="1" x14ac:dyDescent="0.4">
      <c r="E3" s="16" t="s">
        <v>1298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</row>
    <row r="4" spans="1:33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46054</v>
      </c>
      <c r="G4" s="11">
        <f>'RESUMEN TOTAL'!N7</f>
        <v>46055</v>
      </c>
      <c r="H4" s="11">
        <f>'RESUMEN TOTAL'!O7</f>
        <v>46056</v>
      </c>
      <c r="I4" s="11">
        <f>'RESUMEN TOTAL'!P7</f>
        <v>46057</v>
      </c>
      <c r="J4" s="11">
        <f>'RESUMEN TOTAL'!Q7</f>
        <v>46058</v>
      </c>
      <c r="K4" s="11">
        <f>'RESUMEN TOTAL'!R7</f>
        <v>46059</v>
      </c>
      <c r="L4" s="11">
        <f>'RESUMEN TOTAL'!S7</f>
        <v>46060</v>
      </c>
      <c r="M4" s="11">
        <f>'RESUMEN TOTAL'!T7</f>
        <v>46061</v>
      </c>
      <c r="N4" s="11">
        <f>'RESUMEN TOTAL'!U7</f>
        <v>46062</v>
      </c>
      <c r="O4" s="11">
        <f>'RESUMEN TOTAL'!V7</f>
        <v>46063</v>
      </c>
      <c r="P4" s="11">
        <f>'RESUMEN TOTAL'!W7</f>
        <v>46064</v>
      </c>
      <c r="Q4" s="11">
        <f>'RESUMEN TOTAL'!X7</f>
        <v>46065</v>
      </c>
      <c r="R4" s="11">
        <f>'RESUMEN TOTAL'!Y7</f>
        <v>46066</v>
      </c>
      <c r="S4" s="11">
        <f>'RESUMEN TOTAL'!Z7</f>
        <v>46067</v>
      </c>
      <c r="T4" s="11">
        <f>'RESUMEN TOTAL'!AA7</f>
        <v>46068</v>
      </c>
      <c r="U4" s="11">
        <f>'RESUMEN TOTAL'!AB7</f>
        <v>46069</v>
      </c>
      <c r="V4" s="11">
        <f>'RESUMEN TOTAL'!AC7</f>
        <v>46070</v>
      </c>
      <c r="W4" s="11">
        <f>'RESUMEN TOTAL'!AD7</f>
        <v>46071</v>
      </c>
      <c r="X4" s="11">
        <f>'RESUMEN TOTAL'!AE7</f>
        <v>46072</v>
      </c>
      <c r="Y4" s="11">
        <f>'RESUMEN TOTAL'!AF7</f>
        <v>46073</v>
      </c>
      <c r="Z4" s="11">
        <f>'RESUMEN TOTAL'!AG7</f>
        <v>46074</v>
      </c>
      <c r="AA4" s="11">
        <f>'RESUMEN TOTAL'!AH7</f>
        <v>46075</v>
      </c>
      <c r="AB4" s="11">
        <f>'RESUMEN TOTAL'!AI7</f>
        <v>46076</v>
      </c>
      <c r="AC4" s="11">
        <f>'RESUMEN TOTAL'!AJ7</f>
        <v>46077</v>
      </c>
      <c r="AD4" s="11">
        <f>'RESUMEN TOTAL'!AK7</f>
        <v>46078</v>
      </c>
      <c r="AE4" s="11">
        <f>'RESUMEN TOTAL'!AL7</f>
        <v>46079</v>
      </c>
      <c r="AF4" s="11">
        <f>'RESUMEN TOTAL'!AM7</f>
        <v>46080</v>
      </c>
      <c r="AG4" s="11">
        <f>'RESUMEN TOTAL'!AN7</f>
        <v>46081</v>
      </c>
      <c r="XEY4" s="15">
        <f>SUM(F4:XEX4)</f>
        <v>1289890</v>
      </c>
    </row>
    <row r="5" spans="1:33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>
        <f>'RESUMEN TOTAL'!S8</f>
        <v>0</v>
      </c>
      <c r="M5" s="70">
        <f>'RESUMEN TOTAL'!T8</f>
        <v>0</v>
      </c>
      <c r="N5" s="70" t="str">
        <f>'RESUMEN TOTAL'!U8</f>
        <v>APAGADO</v>
      </c>
      <c r="O5" s="70" t="str">
        <f>'RESUMEN TOTAL'!V8</f>
        <v>APAGADO</v>
      </c>
      <c r="P5" s="70" t="str">
        <f>'RESUMEN TOTAL'!W8</f>
        <v>APAGADO</v>
      </c>
      <c r="Q5" s="70" t="str">
        <f>'RESUMEN TOTAL'!X8</f>
        <v>APAGADO</v>
      </c>
      <c r="R5" s="70" t="str">
        <f>'RESUMEN TOTAL'!Y8</f>
        <v>APAGADO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 t="str">
        <f>'RESUMEN TOTAL'!AD8</f>
        <v>APAGADO</v>
      </c>
      <c r="X5" s="70" t="str">
        <f>'RESUMEN TOTAL'!AE8</f>
        <v>APAGADO</v>
      </c>
      <c r="Y5" s="70" t="str">
        <f>'RESUMEN TOTAL'!AF8</f>
        <v>APAGADO</v>
      </c>
      <c r="Z5" s="70">
        <f>'RESUMEN TOTAL'!AG8</f>
        <v>0</v>
      </c>
      <c r="AA5" s="70">
        <f>'RESUMEN TOTAL'!AH8</f>
        <v>0</v>
      </c>
      <c r="AB5" s="70" t="str">
        <f>'RESUMEN TOTAL'!AI8</f>
        <v>APAGADO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</row>
    <row r="6" spans="1:33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>
        <f>'RESUMEN TOTAL'!S9</f>
        <v>0</v>
      </c>
      <c r="M6" s="70">
        <f>'RESUMEN TOTAL'!T9</f>
        <v>0</v>
      </c>
      <c r="N6" s="70" t="str">
        <f>'RESUMEN TOTAL'!U9</f>
        <v>APAGADO</v>
      </c>
      <c r="O6" s="70" t="str">
        <f>'RESUMEN TOTAL'!V9</f>
        <v>APAGADO</v>
      </c>
      <c r="P6" s="70" t="str">
        <f>'RESUMEN TOTAL'!W9</f>
        <v>APAGADO</v>
      </c>
      <c r="Q6" s="70" t="str">
        <f>'RESUMEN TOTAL'!X9</f>
        <v>APAGADO</v>
      </c>
      <c r="R6" s="70" t="str">
        <f>'RESUMEN TOTAL'!Y9</f>
        <v>APAGADO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 t="str">
        <f>'RESUMEN TOTAL'!AD9</f>
        <v>APAGADO</v>
      </c>
      <c r="X6" s="70" t="str">
        <f>'RESUMEN TOTAL'!AE9</f>
        <v>APAGADO</v>
      </c>
      <c r="Y6" s="70" t="str">
        <f>'RESUMEN TOTAL'!AF9</f>
        <v>APAGADO</v>
      </c>
      <c r="Z6" s="70">
        <f>'RESUMEN TOTAL'!AG9</f>
        <v>0</v>
      </c>
      <c r="AA6" s="70">
        <f>'RESUMEN TOTAL'!AH9</f>
        <v>0</v>
      </c>
      <c r="AB6" s="70" t="str">
        <f>'RESUMEN TOTAL'!AI9</f>
        <v>APAGADO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</row>
    <row r="7" spans="1:33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</row>
    <row r="8" spans="1:33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</row>
    <row r="9" spans="1:33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</row>
    <row r="10" spans="1:33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</row>
    <row r="11" spans="1:33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>
        <f>'RESUMEN TOTAL'!S14</f>
        <v>0</v>
      </c>
      <c r="M11" s="70">
        <f>'RESUMEN TOTAL'!T14</f>
        <v>0</v>
      </c>
      <c r="N11" s="70" t="str">
        <f>'RESUMEN TOTAL'!U14</f>
        <v>APAGADO</v>
      </c>
      <c r="O11" s="70" t="str">
        <f>'RESUMEN TOTAL'!V14</f>
        <v>APAGADO</v>
      </c>
      <c r="P11" s="70" t="str">
        <f>'RESUMEN TOTAL'!W14</f>
        <v>APAGADO</v>
      </c>
      <c r="Q11" s="70" t="str">
        <f>'RESUMEN TOTAL'!X14</f>
        <v>APAGADO</v>
      </c>
      <c r="R11" s="70" t="str">
        <f>'RESUMEN TOTAL'!Y14</f>
        <v>APAGADO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 t="str">
        <f>'RESUMEN TOTAL'!AD14</f>
        <v>APAGADO</v>
      </c>
      <c r="X11" s="70" t="str">
        <f>'RESUMEN TOTAL'!AE14</f>
        <v>APAGADO</v>
      </c>
      <c r="Y11" s="70" t="str">
        <f>'RESUMEN TOTAL'!AF14</f>
        <v>APAGADO</v>
      </c>
      <c r="Z11" s="70">
        <f>'RESUMEN TOTAL'!AG14</f>
        <v>0</v>
      </c>
      <c r="AA11" s="70">
        <f>'RESUMEN TOTAL'!AH14</f>
        <v>0</v>
      </c>
      <c r="AB11" s="70" t="str">
        <f>'RESUMEN TOTAL'!AI14</f>
        <v>APAGADO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</row>
    <row r="12" spans="1:33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</row>
    <row r="13" spans="1:33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</row>
    <row r="14" spans="1:33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</row>
    <row r="15" spans="1:33 16379:16379" x14ac:dyDescent="0.25">
      <c r="A15" t="str">
        <f>'RESUMEN TOTAL'!A18</f>
        <v>ALTAMIRA</v>
      </c>
      <c r="B15" t="str">
        <f>'RESUMEN TOTAL'!B18</f>
        <v>ALT 11</v>
      </c>
      <c r="C15" s="68" t="s">
        <v>1525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</row>
    <row r="16" spans="1:33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>
        <f>'RESUMEN TOTAL'!S19</f>
        <v>0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>
        <f>'RESUMEN TOTAL'!AG19</f>
        <v>0</v>
      </c>
      <c r="AA16" s="70">
        <f>'RESUMEN TOTAL'!AH19</f>
        <v>0</v>
      </c>
      <c r="AB16" s="70" t="str">
        <f>'RESUMEN TOTAL'!AI19</f>
        <v>APAGADO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</row>
    <row r="17" spans="1:33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</row>
    <row r="18" spans="1:33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</row>
    <row r="19" spans="1:33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 t="str">
        <f>'RESUMEN TOTAL'!Q24</f>
        <v>APAGADO</v>
      </c>
      <c r="K19" s="70" t="str">
        <f>'RESUMEN TOTAL'!R24</f>
        <v>APAGADO</v>
      </c>
      <c r="L19" s="70">
        <f>'RESUMEN TOTAL'!S24</f>
        <v>0</v>
      </c>
      <c r="M19" s="70">
        <f>'RESUMEN TOTAL'!T24</f>
        <v>0</v>
      </c>
      <c r="N19" s="70" t="str">
        <f>'RESUMEN TOTAL'!U24</f>
        <v>APAGADO</v>
      </c>
      <c r="O19" s="70" t="str">
        <f>'RESUMEN TOTAL'!V24</f>
        <v>APAGADO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</row>
    <row r="20" spans="1:33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 t="str">
        <f>'RESUMEN TOTAL'!Q25</f>
        <v>APAGADO</v>
      </c>
      <c r="K20" s="70" t="str">
        <f>'RESUMEN TOTAL'!R25</f>
        <v>APAGADO</v>
      </c>
      <c r="L20" s="70">
        <f>'RESUMEN TOTAL'!S25</f>
        <v>0</v>
      </c>
      <c r="M20" s="70">
        <f>'RESUMEN TOTAL'!T25</f>
        <v>0</v>
      </c>
      <c r="N20" s="70" t="str">
        <f>'RESUMEN TOTAL'!U25</f>
        <v>APAGADO</v>
      </c>
      <c r="O20" s="70" t="str">
        <f>'RESUMEN TOTAL'!V25</f>
        <v>APAGADO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</row>
    <row r="21" spans="1:33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 t="str">
        <f>'RESUMEN TOTAL'!Q26</f>
        <v>APAGADO</v>
      </c>
      <c r="K21" s="70" t="str">
        <f>'RESUMEN TOTAL'!R26</f>
        <v>APAGADO</v>
      </c>
      <c r="L21" s="70">
        <f>'RESUMEN TOTAL'!S26</f>
        <v>0</v>
      </c>
      <c r="M21" s="70">
        <f>'RESUMEN TOTAL'!T26</f>
        <v>0</v>
      </c>
      <c r="N21" s="70" t="str">
        <f>'RESUMEN TOTAL'!U26</f>
        <v>APAGADO</v>
      </c>
      <c r="O21" s="70" t="str">
        <f>'RESUMEN TOTAL'!V26</f>
        <v>APAGADO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</row>
    <row r="22" spans="1:33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 t="str">
        <f>'RESUMEN TOTAL'!Q27</f>
        <v>APAGADO</v>
      </c>
      <c r="K22" s="70" t="str">
        <f>'RESUMEN TOTAL'!R27</f>
        <v>APAGADO</v>
      </c>
      <c r="L22" s="70">
        <f>'RESUMEN TOTAL'!S27</f>
        <v>0</v>
      </c>
      <c r="M22" s="70">
        <f>'RESUMEN TOTAL'!T27</f>
        <v>0</v>
      </c>
      <c r="N22" s="70" t="str">
        <f>'RESUMEN TOTAL'!U27</f>
        <v>APAGADO</v>
      </c>
      <c r="O22" s="70" t="str">
        <f>'RESUMEN TOTAL'!V27</f>
        <v>APAGADO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</row>
    <row r="23" spans="1:33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</row>
    <row r="24" spans="1:33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</row>
    <row r="25" spans="1:33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</row>
    <row r="26" spans="1:33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</row>
    <row r="27" spans="1:33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</row>
    <row r="28" spans="1:33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</row>
    <row r="29" spans="1:33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</row>
    <row r="30" spans="1:33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 t="str">
        <f>'RESUMEN TOTAL'!Y52</f>
        <v>APAGADO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 t="str">
        <f>'RESUMEN TOTAL'!AI52</f>
        <v>APAGADO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</row>
    <row r="31" spans="1:33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</row>
    <row r="32" spans="1:33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</row>
    <row r="33" spans="1:33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</row>
    <row r="34" spans="1:33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</row>
    <row r="35" spans="1:33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</row>
    <row r="36" spans="1:33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</row>
    <row r="37" spans="1:33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</row>
    <row r="38" spans="1:33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</row>
    <row r="39" spans="1:33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 t="str">
        <f>'RESUMEN TOTAL'!Y61</f>
        <v>APAGADO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 t="str">
        <f>'RESUMEN TOTAL'!AI61</f>
        <v>APAGADO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</row>
    <row r="40" spans="1:33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</row>
    <row r="41" spans="1:33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</row>
    <row r="42" spans="1:33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</row>
    <row r="43" spans="1:33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</row>
    <row r="44" spans="1:33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</row>
    <row r="45" spans="1:33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</row>
    <row r="46" spans="1:33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</row>
    <row r="47" spans="1:33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</row>
    <row r="48" spans="1:33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</row>
    <row r="49" spans="1:33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</row>
    <row r="50" spans="1:33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</row>
    <row r="51" spans="1:33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</row>
    <row r="52" spans="1:33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</row>
    <row r="53" spans="1:33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 t="str">
        <f>'RESUMEN TOTAL'!W75</f>
        <v>APAGADO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 t="str">
        <f>'RESUMEN TOTAL'!AF75</f>
        <v>APAGADO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</row>
    <row r="54" spans="1:33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</row>
    <row r="55" spans="1:33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</row>
    <row r="56" spans="1:33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</row>
    <row r="57" spans="1:33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</row>
    <row r="58" spans="1:33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</row>
    <row r="59" spans="1:33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</row>
    <row r="60" spans="1:33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</row>
    <row r="61" spans="1:33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</row>
    <row r="62" spans="1:33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</row>
    <row r="63" spans="1:33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</row>
    <row r="64" spans="1:33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</row>
    <row r="65" spans="1:33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</row>
    <row r="66" spans="1:33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</row>
    <row r="67" spans="1:33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 t="str">
        <f>'RESUMEN TOTAL'!W89</f>
        <v>APAGADO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</row>
    <row r="68" spans="1:33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>
        <f>'RESUMEN TOTAL'!S90</f>
        <v>0</v>
      </c>
      <c r="M68" s="70">
        <f>'RESUMEN TOTAL'!T90</f>
        <v>0</v>
      </c>
      <c r="N68" s="70" t="str">
        <f>'RESUMEN TOTAL'!U90</f>
        <v>APAGADO</v>
      </c>
      <c r="O68" s="70" t="str">
        <f>'RESUMEN TOTAL'!V90</f>
        <v>APAGADO</v>
      </c>
      <c r="P68" s="70" t="str">
        <f>'RESUMEN TOTAL'!W90</f>
        <v>APAGADO</v>
      </c>
      <c r="Q68" s="70" t="str">
        <f>'RESUMEN TOTAL'!X90</f>
        <v>APAGADO</v>
      </c>
      <c r="R68" s="70" t="str">
        <f>'RESUMEN TOTAL'!Y90</f>
        <v>APAGADO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 t="str">
        <f>'RESUMEN TOTAL'!AD90</f>
        <v>APAGADO</v>
      </c>
      <c r="X68" s="70">
        <f>'RESUMEN TOTAL'!AE90</f>
        <v>0</v>
      </c>
      <c r="Y68" s="70" t="str">
        <f>'RESUMEN TOTAL'!AF90</f>
        <v>APAGADO</v>
      </c>
      <c r="Z68" s="70">
        <f>'RESUMEN TOTAL'!AG90</f>
        <v>0</v>
      </c>
      <c r="AA68" s="70">
        <f>'RESUMEN TOTAL'!AH90</f>
        <v>0</v>
      </c>
      <c r="AB68" s="70" t="str">
        <f>'RESUMEN TOTAL'!AI90</f>
        <v>APAGADO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</row>
    <row r="69" spans="1:33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</row>
    <row r="70" spans="1:33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</row>
    <row r="71" spans="1:33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</row>
    <row r="72" spans="1:33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</row>
    <row r="73" spans="1:33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 t="str">
        <f>'RESUMEN TOTAL'!AD95</f>
        <v>APAGADO</v>
      </c>
      <c r="X73" s="70" t="str">
        <f>'RESUMEN TOTAL'!AE95</f>
        <v>APAGADO</v>
      </c>
      <c r="Y73" s="70" t="str">
        <f>'RESUMEN TOTAL'!AF95</f>
        <v>APAGADO</v>
      </c>
      <c r="Z73" s="70">
        <f>'RESUMEN TOTAL'!AG95</f>
        <v>0</v>
      </c>
      <c r="AA73" s="70">
        <f>'RESUMEN TOTAL'!AH95</f>
        <v>0</v>
      </c>
      <c r="AB73" s="70" t="str">
        <f>'RESUMEN TOTAL'!AI95</f>
        <v>APAGADO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</row>
    <row r="74" spans="1:33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 t="str">
        <f>'RESUMEN TOTAL'!AI96</f>
        <v>APAGADO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</row>
    <row r="75" spans="1:33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</row>
    <row r="76" spans="1:33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</row>
    <row r="77" spans="1:33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 t="str">
        <f>'RESUMEN TOTAL'!M99</f>
        <v>APAGADO</v>
      </c>
      <c r="G77" s="70" t="str">
        <f>'RESUMEN TOTAL'!N99</f>
        <v>APAGADO</v>
      </c>
      <c r="H77" s="70" t="str">
        <f>'RESUMEN TOTAL'!O99</f>
        <v>APAGADO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</row>
    <row r="78" spans="1:33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</row>
    <row r="79" spans="1:33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</row>
    <row r="80" spans="1:33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</row>
    <row r="81" spans="1:33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</row>
    <row r="82" spans="1:33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</row>
    <row r="83" spans="1:33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</row>
    <row r="84" spans="1:33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</row>
    <row r="85" spans="1:33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</row>
    <row r="86" spans="1:33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</row>
    <row r="87" spans="1:33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</row>
    <row r="88" spans="1:33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</row>
    <row r="89" spans="1:33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</row>
    <row r="90" spans="1:33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</row>
    <row r="91" spans="1:33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</row>
    <row r="92" spans="1:33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</row>
    <row r="93" spans="1:33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</row>
    <row r="94" spans="1:33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</row>
    <row r="95" spans="1:33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</row>
    <row r="96" spans="1:33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</row>
    <row r="97" spans="1:33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</row>
    <row r="98" spans="1:33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 t="str">
        <f>'RESUMEN TOTAL'!V121</f>
        <v>APAGADO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</row>
    <row r="99" spans="1:33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 t="str">
        <f>'RESUMEN TOTAL'!P121</f>
        <v>APAGADO</v>
      </c>
      <c r="J99" s="70" t="str">
        <f>'RESUMEN TOTAL'!Q121</f>
        <v>APAGADO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 t="str">
        <f>'RESUMEN TOTAL'!W121</f>
        <v>APAGADO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 t="str">
        <f>'RESUMEN TOTAL'!AD121</f>
        <v>APAGADO</v>
      </c>
      <c r="X99" s="70" t="str">
        <f>'RESUMEN TOTAL'!AE121</f>
        <v>APAGADO</v>
      </c>
      <c r="Y99" s="70" t="str">
        <f>'RESUMEN TOTAL'!AF121</f>
        <v>APAGADO</v>
      </c>
      <c r="Z99" s="70">
        <f>'RESUMEN TOTAL'!AG121</f>
        <v>0</v>
      </c>
      <c r="AA99" s="70">
        <f>'RESUMEN TOTAL'!AH121</f>
        <v>0</v>
      </c>
      <c r="AB99" s="70" t="str">
        <f>'RESUMEN TOTAL'!AI121</f>
        <v>APAGADO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</row>
    <row r="100" spans="1:33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</row>
    <row r="101" spans="1:33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</row>
    <row r="102" spans="1:33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</row>
    <row r="103" spans="1:33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</row>
    <row r="104" spans="1:33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</row>
    <row r="105" spans="1:33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 t="str">
        <f>'RESUMEN TOTAL'!P127</f>
        <v>APAGADO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 t="str">
        <f>'RESUMEN TOTAL'!Y127</f>
        <v>APAGADO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 t="str">
        <f>'RESUMEN TOTAL'!AI127</f>
        <v>APAGADO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</row>
    <row r="106" spans="1:33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 t="str">
        <f>'RESUMEN TOTAL'!Q128</f>
        <v>APAGADO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</row>
    <row r="107" spans="1:33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</row>
    <row r="108" spans="1:33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</row>
    <row r="109" spans="1:33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 t="str">
        <f>'RESUMEN TOTAL'!O131</f>
        <v>APAGADO</v>
      </c>
      <c r="I109" s="70" t="str">
        <f>'RESUMEN TOTAL'!P131</f>
        <v>APAGADO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 t="str">
        <f>'RESUMEN TOTAL'!U131</f>
        <v>APAGADO</v>
      </c>
      <c r="O109" s="70" t="str">
        <f>'RESUMEN TOTAL'!V131</f>
        <v>APAGADO</v>
      </c>
      <c r="P109" s="70" t="str">
        <f>'RESUMEN TOTAL'!W131</f>
        <v>APAGADO</v>
      </c>
      <c r="Q109" s="70" t="str">
        <f>'RESUMEN TOTAL'!X131</f>
        <v>APAGADO</v>
      </c>
      <c r="R109" s="70" t="str">
        <f>'RESUMEN TOTAL'!Y131</f>
        <v>APAGADO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 t="str">
        <f>'RESUMEN TOTAL'!AF131</f>
        <v>APAGADO</v>
      </c>
      <c r="Z109" s="70">
        <f>'RESUMEN TOTAL'!AG131</f>
        <v>0</v>
      </c>
      <c r="AA109" s="70">
        <f>'RESUMEN TOTAL'!AH131</f>
        <v>0</v>
      </c>
      <c r="AB109" s="70" t="str">
        <f>'RESUMEN TOTAL'!AI131</f>
        <v>APAGADO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</row>
    <row r="110" spans="1:33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</row>
    <row r="111" spans="1:33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</row>
    <row r="112" spans="1:33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</row>
    <row r="113" spans="1:33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</row>
    <row r="114" spans="1:33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</row>
    <row r="115" spans="1:33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</row>
    <row r="116" spans="1:33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>
        <f>'RESUMEN TOTAL'!M152</f>
        <v>0</v>
      </c>
      <c r="G116" s="70" t="str">
        <f>'RESUMEN TOTAL'!N152</f>
        <v>APAGADO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 t="str">
        <f>'RESUMEN TOTAL'!U152</f>
        <v>APAGADO</v>
      </c>
      <c r="O116" s="70" t="str">
        <f>'RESUMEN TOTAL'!V152</f>
        <v>APAGADO</v>
      </c>
      <c r="P116" s="70" t="str">
        <f>'RESUMEN TOTAL'!W152</f>
        <v>APAGADO</v>
      </c>
      <c r="Q116" s="70" t="str">
        <f>'RESUMEN TOTAL'!X152</f>
        <v>APAGADO</v>
      </c>
      <c r="R116" s="70" t="str">
        <f>'RESUMEN TOTAL'!Y152</f>
        <v>APAGADO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 t="str">
        <f>'RESUMEN TOTAL'!AD152</f>
        <v>APAGADO</v>
      </c>
      <c r="X116" s="70" t="str">
        <f>'RESUMEN TOTAL'!AE152</f>
        <v>APAGADO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 t="str">
        <f>'RESUMEN TOTAL'!AI152</f>
        <v>APAGADO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</row>
    <row r="117" spans="1:33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</row>
    <row r="118" spans="1:33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</row>
    <row r="119" spans="1:33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 t="str">
        <f>'RESUMEN TOTAL'!P155</f>
        <v>APAGADO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</row>
    <row r="120" spans="1:33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</row>
    <row r="121" spans="1:33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</row>
    <row r="122" spans="1:33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</row>
    <row r="123" spans="1:33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</row>
    <row r="124" spans="1:33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</row>
    <row r="125" spans="1:33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</row>
    <row r="126" spans="1:33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 t="str">
        <f>'RESUMEN TOTAL'!V167</f>
        <v>APAGADO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</row>
    <row r="127" spans="1:33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 t="str">
        <f>'RESUMEN TOTAL'!V168</f>
        <v>APAGADO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</row>
    <row r="128" spans="1:33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 t="str">
        <f>'RESUMEN TOTAL'!V169</f>
        <v>APAGADO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</row>
    <row r="129" spans="1:33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 t="str">
        <f>'RESUMEN TOTAL'!V170</f>
        <v>APAGADO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</row>
    <row r="130" spans="1:33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</row>
    <row r="131" spans="1:33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 t="str">
        <f>'RESUMEN TOTAL'!P174</f>
        <v>APAGADO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</row>
    <row r="132" spans="1:33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</row>
    <row r="133" spans="1:33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</row>
    <row r="134" spans="1:33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</row>
    <row r="135" spans="1:33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TOTAL'!M178</f>
        <v>APAGADO</v>
      </c>
      <c r="G135" s="70">
        <f>'RESUMEN TOTAL'!N178</f>
        <v>0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 t="str">
        <f>'RESUMEN TOTAL'!Y178</f>
        <v>APAGADO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 t="str">
        <f>'RESUMEN TOTAL'!AD178</f>
        <v>APAGADO</v>
      </c>
      <c r="X135" s="70">
        <f>'RESUMEN TOTAL'!AE178</f>
        <v>0</v>
      </c>
      <c r="Y135" s="70" t="str">
        <f>'RESUMEN TOTAL'!AF178</f>
        <v>APAGADO</v>
      </c>
      <c r="Z135" s="70">
        <f>'RESUMEN TOTAL'!AG178</f>
        <v>0</v>
      </c>
      <c r="AA135" s="70">
        <f>'RESUMEN TOTAL'!AH178</f>
        <v>0</v>
      </c>
      <c r="AB135" s="70" t="str">
        <f>'RESUMEN TOTAL'!AI178</f>
        <v>APAGADO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</row>
    <row r="136" spans="1:33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</row>
    <row r="137" spans="1:33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</row>
    <row r="138" spans="1:33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</row>
    <row r="139" spans="1:33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</row>
    <row r="140" spans="1:33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</row>
    <row r="141" spans="1:33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</row>
    <row r="142" spans="1:33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</row>
    <row r="143" spans="1:33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</row>
    <row r="144" spans="1:33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>
        <f>'RESUMEN TOTAL'!M187</f>
        <v>0</v>
      </c>
      <c r="G144" s="70">
        <f>'RESUMEN TOTAL'!N187</f>
        <v>0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 t="str">
        <f>'RESUMEN TOTAL'!U187</f>
        <v>APAGADO</v>
      </c>
      <c r="O144" s="70" t="str">
        <f>'RESUMEN TOTAL'!V187</f>
        <v>APAGADO</v>
      </c>
      <c r="P144" s="70" t="str">
        <f>'RESUMEN TOTAL'!W187</f>
        <v>APAGADO</v>
      </c>
      <c r="Q144" s="70" t="str">
        <f>'RESUMEN TOTAL'!X187</f>
        <v>APAGADO</v>
      </c>
      <c r="R144" s="70" t="str">
        <f>'RESUMEN TOTAL'!Y187</f>
        <v>APAGADO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</row>
    <row r="145" spans="1:33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>
        <f>'RESUMEN TOTAL'!M188</f>
        <v>0</v>
      </c>
      <c r="G145" s="70">
        <f>'RESUMEN TOTAL'!N188</f>
        <v>0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 t="str">
        <f>'RESUMEN TOTAL'!U188</f>
        <v>APAGADO</v>
      </c>
      <c r="O145" s="70" t="str">
        <f>'RESUMEN TOTAL'!V188</f>
        <v>APAGADO</v>
      </c>
      <c r="P145" s="70" t="str">
        <f>'RESUMEN TOTAL'!W188</f>
        <v>APAGADO</v>
      </c>
      <c r="Q145" s="70" t="str">
        <f>'RESUMEN TOTAL'!X188</f>
        <v>APAGADO</v>
      </c>
      <c r="R145" s="70" t="str">
        <f>'RESUMEN TOTAL'!Y188</f>
        <v>APAGADO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</row>
    <row r="146" spans="1:33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 t="str">
        <f>'RESUMEN TOTAL'!V195</f>
        <v>APAGADO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</row>
    <row r="147" spans="1:33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 t="str">
        <f>'RESUMEN TOTAL'!V196</f>
        <v>APAGADO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</row>
    <row r="148" spans="1:33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 t="str">
        <f>'RESUMEN TOTAL'!U197</f>
        <v>APAGADO</v>
      </c>
      <c r="O148" s="70" t="str">
        <f>'RESUMEN TOTAL'!V197</f>
        <v>APAGADO</v>
      </c>
      <c r="P148" s="70" t="str">
        <f>'RESUMEN TOTAL'!W197</f>
        <v>APAGADO</v>
      </c>
      <c r="Q148" s="70" t="str">
        <f>'RESUMEN TOTAL'!X197</f>
        <v>APAGADO</v>
      </c>
      <c r="R148" s="70" t="str">
        <f>'RESUMEN TOTAL'!Y197</f>
        <v>APAGADO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 t="str">
        <f>'RESUMEN TOTAL'!AD197</f>
        <v>APAGADO</v>
      </c>
      <c r="X148" s="70" t="str">
        <f>'RESUMEN TOTAL'!AE197</f>
        <v>APAGADO</v>
      </c>
      <c r="Y148" s="70" t="str">
        <f>'RESUMEN TOTAL'!AF197</f>
        <v>APAGADO</v>
      </c>
      <c r="Z148" s="70">
        <f>'RESUMEN TOTAL'!AG197</f>
        <v>0</v>
      </c>
      <c r="AA148" s="70">
        <f>'RESUMEN TOTAL'!AH197</f>
        <v>0</v>
      </c>
      <c r="AB148" s="70" t="str">
        <f>'RESUMEN TOTAL'!AI197</f>
        <v>APAGADO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</row>
    <row r="149" spans="1:33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>
        <f>'RESUMEN TOTAL'!S198</f>
        <v>0</v>
      </c>
      <c r="M149" s="70">
        <f>'RESUMEN TOTAL'!T198</f>
        <v>0</v>
      </c>
      <c r="N149" s="70" t="str">
        <f>'RESUMEN TOTAL'!U198</f>
        <v>APAGADO</v>
      </c>
      <c r="O149" s="70" t="str">
        <f>'RESUMEN TOTAL'!V198</f>
        <v>APAGADO</v>
      </c>
      <c r="P149" s="70" t="str">
        <f>'RESUMEN TOTAL'!W198</f>
        <v>APAGADO</v>
      </c>
      <c r="Q149" s="70" t="str">
        <f>'RESUMEN TOTAL'!X198</f>
        <v>APAGADO</v>
      </c>
      <c r="R149" s="70" t="str">
        <f>'RESUMEN TOTAL'!Y198</f>
        <v>APAGADO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 t="str">
        <f>'RESUMEN TOTAL'!AD198</f>
        <v>APAGADO</v>
      </c>
      <c r="X149" s="70" t="str">
        <f>'RESUMEN TOTAL'!AE198</f>
        <v>APAGADO</v>
      </c>
      <c r="Y149" s="70" t="str">
        <f>'RESUMEN TOTAL'!AF198</f>
        <v>APAGADO</v>
      </c>
      <c r="Z149" s="70">
        <f>'RESUMEN TOTAL'!AG198</f>
        <v>0</v>
      </c>
      <c r="AA149" s="70">
        <f>'RESUMEN TOTAL'!AH198</f>
        <v>0</v>
      </c>
      <c r="AB149" s="70" t="str">
        <f>'RESUMEN TOTAL'!AI198</f>
        <v>APAGADO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</row>
    <row r="150" spans="1:33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>
        <f>'RESUMEN TOTAL'!M199</f>
        <v>0</v>
      </c>
      <c r="G150" s="70">
        <f>'RESUMEN TOTAL'!N199</f>
        <v>0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 t="str">
        <f>'RESUMEN TOTAL'!AD199</f>
        <v>APAGADO</v>
      </c>
      <c r="X150" s="70" t="str">
        <f>'RESUMEN TOTAL'!AE199</f>
        <v>APAGADO</v>
      </c>
      <c r="Y150" s="70" t="str">
        <f>'RESUMEN TOTAL'!AF199</f>
        <v>APAGADO</v>
      </c>
      <c r="Z150" s="70">
        <f>'RESUMEN TOTAL'!AG199</f>
        <v>0</v>
      </c>
      <c r="AA150" s="70">
        <f>'RESUMEN TOTAL'!AH199</f>
        <v>0</v>
      </c>
      <c r="AB150" s="70" t="str">
        <f>'RESUMEN TOTAL'!AI199</f>
        <v>APAGADO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</row>
    <row r="151" spans="1:33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</row>
    <row r="152" spans="1:33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>
        <f>'RESUMEN TOTAL'!S201</f>
        <v>0</v>
      </c>
      <c r="M152" s="70">
        <f>'RESUMEN TOTAL'!T201</f>
        <v>0</v>
      </c>
      <c r="N152" s="70" t="str">
        <f>'RESUMEN TOTAL'!U201</f>
        <v>APAGADO</v>
      </c>
      <c r="O152" s="70" t="str">
        <f>'RESUMEN TOTAL'!V201</f>
        <v>APAGADO</v>
      </c>
      <c r="P152" s="70" t="str">
        <f>'RESUMEN TOTAL'!W201</f>
        <v>APAGADO</v>
      </c>
      <c r="Q152" s="70" t="str">
        <f>'RESUMEN TOTAL'!X201</f>
        <v>APAGADO</v>
      </c>
      <c r="R152" s="70" t="str">
        <f>'RESUMEN TOTAL'!Y201</f>
        <v>APAGADO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 t="str">
        <f>'RESUMEN TOTAL'!AD201</f>
        <v>APAGADO</v>
      </c>
      <c r="X152" s="70" t="str">
        <f>'RESUMEN TOTAL'!AE201</f>
        <v>APAGADO</v>
      </c>
      <c r="Y152" s="70" t="str">
        <f>'RESUMEN TOTAL'!AF201</f>
        <v>APAGADO</v>
      </c>
      <c r="Z152" s="70">
        <f>'RESUMEN TOTAL'!AG201</f>
        <v>0</v>
      </c>
      <c r="AA152" s="70">
        <f>'RESUMEN TOTAL'!AH201</f>
        <v>0</v>
      </c>
      <c r="AB152" s="70" t="str">
        <f>'RESUMEN TOTAL'!AI201</f>
        <v>APAGADO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</row>
    <row r="153" spans="1:33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 t="str">
        <f>'RESUMEN TOTAL'!O202</f>
        <v>APAGADO</v>
      </c>
      <c r="I153" s="70">
        <f>'RESUMEN TOTAL'!P202</f>
        <v>0</v>
      </c>
      <c r="J153" s="70">
        <f>'RESUMEN TOTAL'!Q202</f>
        <v>0</v>
      </c>
      <c r="K153" s="70" t="str">
        <f>'RESUMEN TOTAL'!R202</f>
        <v>APAGADO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 t="str">
        <f>'RESUMEN TOTAL'!Y202</f>
        <v>APAGADO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 t="str">
        <f>'RESUMEN TOTAL'!AD202</f>
        <v>APAGADO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</row>
    <row r="154" spans="1:33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Radio</v>
      </c>
      <c r="F154" s="70" t="str">
        <f>'RESUMEN TOTAL'!M203</f>
        <v>APAGADO</v>
      </c>
      <c r="G154" s="70" t="str">
        <f>'RESUMEN TOTAL'!N203</f>
        <v>APAGADO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 t="str">
        <f>'RESUMEN TOTAL'!AF203</f>
        <v>APAGADO</v>
      </c>
      <c r="Z154" s="70">
        <f>'RESUMEN TOTAL'!AG203</f>
        <v>0</v>
      </c>
      <c r="AA154" s="70">
        <f>'RESUMEN TOTAL'!AH203</f>
        <v>0</v>
      </c>
      <c r="AB154" s="70" t="str">
        <f>'RESUMEN TOTAL'!AI203</f>
        <v>APAGADO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</row>
    <row r="155" spans="1:33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 t="str">
        <f>'RESUMEN TOTAL'!O204</f>
        <v>APAGADO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</row>
    <row r="156" spans="1:33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 t="str">
        <f>'RESUMEN TOTAL'!M205</f>
        <v>APAGADO</v>
      </c>
      <c r="G156" s="70" t="str">
        <f>'RESUMEN TOTAL'!N205</f>
        <v>APAGADO</v>
      </c>
      <c r="H156" s="70" t="str">
        <f>'RESUMEN TOTAL'!O205</f>
        <v>APAGADO</v>
      </c>
      <c r="I156" s="70" t="str">
        <f>'RESUMEN TOTAL'!P205</f>
        <v>APAGADO</v>
      </c>
      <c r="J156" s="70" t="str">
        <f>'RESUMEN TOTAL'!Q205</f>
        <v>APAGADO</v>
      </c>
      <c r="K156" s="70" t="str">
        <f>'RESUMEN TOTAL'!R205</f>
        <v>APAGADO</v>
      </c>
      <c r="L156" s="70">
        <f>'RESUMEN TOTAL'!S205</f>
        <v>0</v>
      </c>
      <c r="M156" s="70">
        <f>'RESUMEN TOTAL'!T205</f>
        <v>0</v>
      </c>
      <c r="N156" s="70" t="str">
        <f>'RESUMEN TOTAL'!U205</f>
        <v>APAGADO</v>
      </c>
      <c r="O156" s="70" t="str">
        <f>'RESUMEN TOTAL'!V205</f>
        <v>APAGADO</v>
      </c>
      <c r="P156" s="70" t="str">
        <f>'RESUMEN TOTAL'!W205</f>
        <v>APAGADO</v>
      </c>
      <c r="Q156" s="70" t="str">
        <f>'RESUMEN TOTAL'!X205</f>
        <v>APAGADO</v>
      </c>
      <c r="R156" s="70" t="str">
        <f>'RESUMEN TOTAL'!Y205</f>
        <v>APAGADO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 t="str">
        <f>'RESUMEN TOTAL'!AD205</f>
        <v>APAGADO</v>
      </c>
      <c r="X156" s="70" t="str">
        <f>'RESUMEN TOTAL'!AE205</f>
        <v>APAGADO</v>
      </c>
      <c r="Y156" s="70" t="str">
        <f>'RESUMEN TOTAL'!AF205</f>
        <v>APAGADO</v>
      </c>
      <c r="Z156" s="70">
        <f>'RESUMEN TOTAL'!AG205</f>
        <v>0</v>
      </c>
      <c r="AA156" s="70">
        <f>'RESUMEN TOTAL'!AH205</f>
        <v>0</v>
      </c>
      <c r="AB156" s="70" t="str">
        <f>'RESUMEN TOTAL'!AI205</f>
        <v>APAGADO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</row>
    <row r="157" spans="1:33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 t="str">
        <f>'RESUMEN TOTAL'!M206</f>
        <v>APAGADO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</row>
    <row r="158" spans="1:33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</row>
    <row r="159" spans="1:33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 t="str">
        <f>'RESUMEN TOTAL'!AF208</f>
        <v>APAGADO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</row>
    <row r="160" spans="1:33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 t="str">
        <f>'RESUMEN TOTAL'!P209</f>
        <v>APAGADO</v>
      </c>
      <c r="J160" s="70" t="str">
        <f>'RESUMEN TOTAL'!Q209</f>
        <v>APAGADO</v>
      </c>
      <c r="K160" s="70" t="str">
        <f>'RESUMEN TOTAL'!R209</f>
        <v>APAGADO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</row>
    <row r="161" spans="1:33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 t="str">
        <f>'RESUMEN TOTAL'!P210</f>
        <v>APAGADO</v>
      </c>
      <c r="J161" s="70" t="str">
        <f>'RESUMEN TOTAL'!Q210</f>
        <v>APAGADO</v>
      </c>
      <c r="K161" s="70" t="str">
        <f>'RESUMEN TOTAL'!R210</f>
        <v>APAGADO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</row>
    <row r="162" spans="1:33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</row>
    <row r="163" spans="1:33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</row>
    <row r="164" spans="1:33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 t="str">
        <f>'RESUMEN TOTAL'!P213</f>
        <v>APAGADO</v>
      </c>
      <c r="J164" s="70" t="str">
        <f>'RESUMEN TOTAL'!Q213</f>
        <v>APAGADO</v>
      </c>
      <c r="K164" s="70" t="str">
        <f>'RESUMEN TOTAL'!R213</f>
        <v>APAGADO</v>
      </c>
      <c r="L164" s="70">
        <f>'RESUMEN TOTAL'!S213</f>
        <v>0</v>
      </c>
      <c r="M164" s="70">
        <f>'RESUMEN TOTAL'!T213</f>
        <v>0</v>
      </c>
      <c r="N164" s="70" t="str">
        <f>'RESUMEN TOTAL'!U213</f>
        <v>APAGADO</v>
      </c>
      <c r="O164" s="70">
        <f>'RESUMEN TOTAL'!V213</f>
        <v>0</v>
      </c>
      <c r="P164" s="70">
        <f>'RESUMEN TOTAL'!W213</f>
        <v>0</v>
      </c>
      <c r="Q164" s="70" t="str">
        <f>'RESUMEN TOTAL'!X213</f>
        <v>APAGADO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</row>
    <row r="165" spans="1:33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 t="str">
        <f>'RESUMEN TOTAL'!P214</f>
        <v>APAGADO</v>
      </c>
      <c r="J165" s="70" t="str">
        <f>'RESUMEN TOTAL'!Q214</f>
        <v>APAGADO</v>
      </c>
      <c r="K165" s="70" t="str">
        <f>'RESUMEN TOTAL'!R214</f>
        <v>APAGADO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</row>
    <row r="166" spans="1:33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 t="str">
        <f>'RESUMEN TOTAL'!U215</f>
        <v>APAGADO</v>
      </c>
      <c r="O166" s="70" t="str">
        <f>'RESUMEN TOTAL'!V215</f>
        <v>APAGADO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</row>
    <row r="167" spans="1:33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</row>
    <row r="168" spans="1:33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</row>
    <row r="169" spans="1:33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</row>
    <row r="170" spans="1:33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</row>
    <row r="171" spans="1:33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</row>
    <row r="172" spans="1:33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</row>
    <row r="173" spans="1:33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</row>
    <row r="174" spans="1:33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</row>
    <row r="175" spans="1:33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</row>
    <row r="176" spans="1:33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</row>
    <row r="177" spans="1:33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</row>
    <row r="178" spans="1:33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</row>
    <row r="179" spans="1:33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>
        <f>'RESUMEN TOTAL'!O237</f>
        <v>0</v>
      </c>
      <c r="I179" s="70" t="str">
        <f>'RESUMEN TOTAL'!P237</f>
        <v>APAGADO</v>
      </c>
      <c r="J179" s="70" t="str">
        <f>'RESUMEN TOTAL'!Q237</f>
        <v>APAGADO</v>
      </c>
      <c r="K179" s="70" t="str">
        <f>'RESUMEN TOTAL'!R237</f>
        <v>APAGADO</v>
      </c>
      <c r="L179" s="70">
        <f>'RESUMEN TOTAL'!S237</f>
        <v>0</v>
      </c>
      <c r="M179" s="70">
        <f>'RESUMEN TOTAL'!T237</f>
        <v>0</v>
      </c>
      <c r="N179" s="70" t="str">
        <f>'RESUMEN TOTAL'!U237</f>
        <v>APAGADO</v>
      </c>
      <c r="O179" s="70" t="str">
        <f>'RESUMEN TOTAL'!V237</f>
        <v>APAGADO</v>
      </c>
      <c r="P179" s="70" t="str">
        <f>'RESUMEN TOTAL'!W237</f>
        <v>APAGADO</v>
      </c>
      <c r="Q179" s="70" t="str">
        <f>'RESUMEN TOTAL'!X237</f>
        <v>APAGADO</v>
      </c>
      <c r="R179" s="70" t="str">
        <f>'RESUMEN TOTAL'!Y237</f>
        <v>APAGADO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 t="str">
        <f>'RESUMEN TOTAL'!AD237</f>
        <v>APAGADO</v>
      </c>
      <c r="X179" s="70" t="str">
        <f>'RESUMEN TOTAL'!AE237</f>
        <v>APAGADO</v>
      </c>
      <c r="Y179" s="70" t="str">
        <f>'RESUMEN TOTAL'!AF237</f>
        <v>APAGADO</v>
      </c>
      <c r="Z179" s="70">
        <f>'RESUMEN TOTAL'!AG237</f>
        <v>0</v>
      </c>
      <c r="AA179" s="70">
        <f>'RESUMEN TOTAL'!AH237</f>
        <v>0</v>
      </c>
      <c r="AB179" s="70" t="str">
        <f>'RESUMEN TOTAL'!AI237</f>
        <v>APAGADO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</row>
    <row r="180" spans="1:33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</row>
    <row r="181" spans="1:33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 t="str">
        <f>'RESUMEN TOTAL'!M239</f>
        <v>APAGADO</v>
      </c>
      <c r="G181" s="70" t="str">
        <f>'RESUMEN TOTAL'!N239</f>
        <v>APAGADO</v>
      </c>
      <c r="H181" s="70" t="str">
        <f>'RESUMEN TOTAL'!O239</f>
        <v>APAGADO</v>
      </c>
      <c r="I181" s="70" t="str">
        <f>'RESUMEN TOTAL'!P239</f>
        <v>APAGADO</v>
      </c>
      <c r="J181" s="70" t="str">
        <f>'RESUMEN TOTAL'!Q239</f>
        <v>APAGADO</v>
      </c>
      <c r="K181" s="70" t="str">
        <f>'RESUMEN TOTAL'!R239</f>
        <v>APAGADO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 t="str">
        <f>'RESUMEN TOTAL'!V239</f>
        <v>APAGADO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</row>
    <row r="182" spans="1:33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</row>
    <row r="183" spans="1:33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</row>
    <row r="184" spans="1:33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</row>
    <row r="185" spans="1:33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</row>
    <row r="186" spans="1:33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</row>
    <row r="187" spans="1:33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</row>
    <row r="188" spans="1:33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 t="str">
        <f>'RESUMEN TOTAL'!N246</f>
        <v>APAGADO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</row>
    <row r="189" spans="1:33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</row>
    <row r="190" spans="1:33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</row>
    <row r="191" spans="1:33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</row>
    <row r="192" spans="1:33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>
        <f>'RESUMEN TOTAL'!M250</f>
        <v>0</v>
      </c>
      <c r="G192" s="70">
        <f>'RESUMEN TOTAL'!N250</f>
        <v>0</v>
      </c>
      <c r="H192" s="70">
        <f>'RESUMEN TOTAL'!O250</f>
        <v>0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 t="str">
        <f>'RESUMEN TOTAL'!AD250</f>
        <v>APAGADO</v>
      </c>
      <c r="X192" s="70" t="str">
        <f>'RESUMEN TOTAL'!AE250</f>
        <v>APAGADO</v>
      </c>
      <c r="Y192" s="70" t="str">
        <f>'RESUMEN TOTAL'!AF250</f>
        <v>APAGADO</v>
      </c>
      <c r="Z192" s="70">
        <f>'RESUMEN TOTAL'!AG250</f>
        <v>0</v>
      </c>
      <c r="AA192" s="70">
        <f>'RESUMEN TOTAL'!AH250</f>
        <v>0</v>
      </c>
      <c r="AB192" s="70" t="str">
        <f>'RESUMEN TOTAL'!AI250</f>
        <v>APAGADO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</row>
    <row r="193" spans="1:33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 t="str">
        <f>'RESUMEN TOTAL'!V251</f>
        <v>APAGADO</v>
      </c>
      <c r="P193" s="70" t="str">
        <f>'RESUMEN TOTAL'!W251</f>
        <v>APAGADO</v>
      </c>
      <c r="Q193" s="70" t="str">
        <f>'RESUMEN TOTAL'!X251</f>
        <v>APAGADO</v>
      </c>
      <c r="R193" s="70" t="str">
        <f>'RESUMEN TOTAL'!Y251</f>
        <v>APAGADO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 t="str">
        <f>'RESUMEN TOTAL'!AD251</f>
        <v>APAGADO</v>
      </c>
      <c r="X193" s="70" t="str">
        <f>'RESUMEN TOTAL'!AE251</f>
        <v>APAGADO</v>
      </c>
      <c r="Y193" s="70" t="str">
        <f>'RESUMEN TOTAL'!AF251</f>
        <v>APAGADO</v>
      </c>
      <c r="Z193" s="70">
        <f>'RESUMEN TOTAL'!AG251</f>
        <v>0</v>
      </c>
      <c r="AA193" s="70">
        <f>'RESUMEN TOTAL'!AH251</f>
        <v>0</v>
      </c>
      <c r="AB193" s="70" t="str">
        <f>'RESUMEN TOTAL'!AI251</f>
        <v>APAGADO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</row>
    <row r="194" spans="1:33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</row>
    <row r="195" spans="1:33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</row>
    <row r="196" spans="1:33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>
        <f>'RESUMEN TOTAL'!S254</f>
        <v>0</v>
      </c>
      <c r="M196" s="70">
        <f>'RESUMEN TOTAL'!T254</f>
        <v>0</v>
      </c>
      <c r="N196" s="70" t="str">
        <f>'RESUMEN TOTAL'!U254</f>
        <v>APAGADO</v>
      </c>
      <c r="O196" s="70" t="str">
        <f>'RESUMEN TOTAL'!V254</f>
        <v>APAGADO</v>
      </c>
      <c r="P196" s="70" t="str">
        <f>'RESUMEN TOTAL'!W254</f>
        <v>APAGADO</v>
      </c>
      <c r="Q196" s="70" t="str">
        <f>'RESUMEN TOTAL'!X254</f>
        <v>APAGADO</v>
      </c>
      <c r="R196" s="70" t="str">
        <f>'RESUMEN TOTAL'!Y254</f>
        <v>APAGADO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 t="str">
        <f>'RESUMEN TOTAL'!AD254</f>
        <v>APAGADO</v>
      </c>
      <c r="X196" s="70" t="str">
        <f>'RESUMEN TOTAL'!AE254</f>
        <v>APAGADO</v>
      </c>
      <c r="Y196" s="70" t="str">
        <f>'RESUMEN TOTAL'!AF254</f>
        <v>APAGADO</v>
      </c>
      <c r="Z196" s="70">
        <f>'RESUMEN TOTAL'!AG254</f>
        <v>0</v>
      </c>
      <c r="AA196" s="70">
        <f>'RESUMEN TOTAL'!AH254</f>
        <v>0</v>
      </c>
      <c r="AB196" s="70" t="str">
        <f>'RESUMEN TOTAL'!AI254</f>
        <v>APAGADO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</row>
    <row r="197" spans="1:33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</row>
    <row r="198" spans="1:33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</row>
    <row r="199" spans="1:33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</row>
    <row r="200" spans="1:33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</row>
    <row r="201" spans="1:33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</row>
    <row r="202" spans="1:33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</row>
    <row r="203" spans="1:33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</row>
    <row r="204" spans="1:33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 t="str">
        <f>'RESUMEN TOTAL'!X265</f>
        <v>APAGADO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</row>
    <row r="205" spans="1:33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 t="str">
        <f>'RESUMEN TOTAL'!N266</f>
        <v>APAGADO</v>
      </c>
      <c r="H205" s="70" t="str">
        <f>'RESUMEN TOTAL'!O266</f>
        <v>APAGADO</v>
      </c>
      <c r="I205" s="70" t="str">
        <f>'RESUMEN TOTAL'!P266</f>
        <v>APAGADO</v>
      </c>
      <c r="J205" s="70" t="str">
        <f>'RESUMEN TOTAL'!Q266</f>
        <v>APAGADO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</row>
    <row r="206" spans="1:33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</row>
    <row r="207" spans="1:33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</row>
    <row r="208" spans="1:33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</row>
    <row r="209" spans="1:33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</row>
    <row r="210" spans="1:33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</row>
    <row r="211" spans="1:33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 t="str">
        <f>'RESUMEN TOTAL'!U272</f>
        <v>APAGADO</v>
      </c>
      <c r="O211" s="70">
        <f>'RESUMEN TOTAL'!V272</f>
        <v>0</v>
      </c>
      <c r="P211" s="70">
        <f>'RESUMEN TOTAL'!W272</f>
        <v>0</v>
      </c>
      <c r="Q211" s="70" t="str">
        <f>'RESUMEN TOTAL'!X272</f>
        <v>APAGADO</v>
      </c>
      <c r="R211" s="70" t="str">
        <f>'RESUMEN TOTAL'!Y272</f>
        <v>APAGADO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 t="str">
        <f>'RESUMEN TOTAL'!AD272</f>
        <v>APAGADO</v>
      </c>
      <c r="X211" s="70" t="str">
        <f>'RESUMEN TOTAL'!AE272</f>
        <v>APAGADO</v>
      </c>
      <c r="Y211" s="70" t="str">
        <f>'RESUMEN TOTAL'!AF272</f>
        <v>APAGADO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</row>
    <row r="212" spans="1:33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</row>
    <row r="213" spans="1:33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</row>
    <row r="214" spans="1:33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</row>
    <row r="215" spans="1:33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</row>
    <row r="216" spans="1:33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</row>
    <row r="217" spans="1:33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 t="str">
        <f>'RESUMEN TOTAL'!X278</f>
        <v>APAGADO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</row>
    <row r="218" spans="1:33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 t="str">
        <f>'RESUMEN TOTAL'!AF283</f>
        <v>APAGADO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</row>
    <row r="219" spans="1:33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</row>
    <row r="220" spans="1:33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>
        <f>'RESUMEN TOTAL'!N285</f>
        <v>0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</row>
    <row r="221" spans="1:33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>
        <f>'RESUMEN TOTAL'!O286</f>
        <v>0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 t="str">
        <f>'RESUMEN TOTAL'!AF286</f>
        <v>APAGADO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</row>
    <row r="222" spans="1:33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TOTAL'!M287</f>
        <v>0</v>
      </c>
      <c r="G222" s="70">
        <f>'RESUMEN TOTAL'!N287</f>
        <v>0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 t="str">
        <f>'RESUMEN TOTAL'!AD287</f>
        <v>APAGADO</v>
      </c>
      <c r="X222" s="70" t="str">
        <f>'RESUMEN TOTAL'!AE287</f>
        <v>APAGADO</v>
      </c>
      <c r="Y222" s="70" t="str">
        <f>'RESUMEN TOTAL'!AF287</f>
        <v>APAGADO</v>
      </c>
      <c r="Z222" s="70">
        <f>'RESUMEN TOTAL'!AG287</f>
        <v>0</v>
      </c>
      <c r="AA222" s="70">
        <f>'RESUMEN TOTAL'!AH287</f>
        <v>0</v>
      </c>
      <c r="AB222" s="70" t="str">
        <f>'RESUMEN TOTAL'!AI287</f>
        <v>APAGADO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</row>
    <row r="223" spans="1:33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</row>
    <row r="224" spans="1:33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TOTAL'!M289</f>
        <v>APAGADO</v>
      </c>
      <c r="G224" s="70" t="str">
        <f>'RESUMEN TOTAL'!N289</f>
        <v>APAGADO</v>
      </c>
      <c r="H224" s="70" t="str">
        <f>'RESUMEN TOTAL'!O289</f>
        <v>APAGADO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</row>
    <row r="225" spans="1:33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</row>
    <row r="226" spans="1:33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 t="str">
        <f>'RESUMEN TOTAL'!M291</f>
        <v>APAGADO</v>
      </c>
      <c r="G226" s="70" t="str">
        <f>'RESUMEN TOTAL'!N291</f>
        <v>APAGADO</v>
      </c>
      <c r="H226" s="70" t="str">
        <f>'RESUMEN TOTAL'!O291</f>
        <v>APAGADO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 t="str">
        <f>'RESUMEN TOTAL'!X291</f>
        <v>APAGADO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 t="str">
        <f>'RESUMEN TOTAL'!AD291</f>
        <v>APAGADO</v>
      </c>
      <c r="X226" s="70" t="str">
        <f>'RESUMEN TOTAL'!AE291</f>
        <v>APAGADO</v>
      </c>
      <c r="Y226" s="70" t="str">
        <f>'RESUMEN TOTAL'!AF291</f>
        <v>APAGADO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</row>
    <row r="227" spans="1:33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</row>
    <row r="228" spans="1:33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</row>
    <row r="229" spans="1:33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</row>
    <row r="230" spans="1:33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</row>
    <row r="231" spans="1:33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</row>
    <row r="232" spans="1:33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</row>
    <row r="233" spans="1:33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</row>
    <row r="234" spans="1:33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</row>
    <row r="235" spans="1:33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 t="str">
        <f>'RESUMEN TOTAL'!V303</f>
        <v>APAGADO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</row>
    <row r="236" spans="1:33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>
        <f>'RESUMEN TOTAL'!S304</f>
        <v>0</v>
      </c>
      <c r="M236" s="70">
        <f>'RESUMEN TOTAL'!T304</f>
        <v>0</v>
      </c>
      <c r="N236" s="70" t="str">
        <f>'RESUMEN TOTAL'!U304</f>
        <v>APAGADO</v>
      </c>
      <c r="O236" s="70" t="str">
        <f>'RESUMEN TOTAL'!V304</f>
        <v>APAGADO</v>
      </c>
      <c r="P236" s="70" t="str">
        <f>'RESUMEN TOTAL'!W304</f>
        <v>APAGADO</v>
      </c>
      <c r="Q236" s="70" t="str">
        <f>'RESUMEN TOTAL'!X304</f>
        <v>APAGADO</v>
      </c>
      <c r="R236" s="70" t="str">
        <f>'RESUMEN TOTAL'!Y304</f>
        <v>APAGADO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 t="str">
        <f>'RESUMEN TOTAL'!AD304</f>
        <v>APAGADO</v>
      </c>
      <c r="X236" s="70" t="str">
        <f>'RESUMEN TOTAL'!AE304</f>
        <v>APAGADO</v>
      </c>
      <c r="Y236" s="70" t="str">
        <f>'RESUMEN TOTAL'!AF304</f>
        <v>APAGADO</v>
      </c>
      <c r="Z236" s="70">
        <f>'RESUMEN TOTAL'!AG304</f>
        <v>0</v>
      </c>
      <c r="AA236" s="70">
        <f>'RESUMEN TOTAL'!AH304</f>
        <v>0</v>
      </c>
      <c r="AB236" s="70" t="str">
        <f>'RESUMEN TOTAL'!AI304</f>
        <v>APAGADO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</row>
    <row r="237" spans="1:33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 t="str">
        <f>'RESUMEN TOTAL'!V305</f>
        <v>APAGADO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</row>
    <row r="238" spans="1:33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 t="str">
        <f>'RESUMEN TOTAL'!V306</f>
        <v>APAGADO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</row>
    <row r="239" spans="1:33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 t="str">
        <f>'RESUMEN TOTAL'!V307</f>
        <v>APAGADO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</row>
    <row r="240" spans="1:33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 t="str">
        <f>'RESUMEN TOTAL'!V308</f>
        <v>APAGADO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</row>
    <row r="241" spans="1:33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 t="str">
        <f>'RESUMEN TOTAL'!W309</f>
        <v>APAGADO</v>
      </c>
      <c r="Q241" s="70" t="str">
        <f>'RESUMEN TOTAL'!X309</f>
        <v>APAGADO</v>
      </c>
      <c r="R241" s="70" t="str">
        <f>'RESUMEN TOTAL'!Y309</f>
        <v>APAGADO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 t="str">
        <f>'RESUMEN TOTAL'!AD309</f>
        <v>APAGADO</v>
      </c>
      <c r="X241" s="70" t="str">
        <f>'RESUMEN TOTAL'!AE309</f>
        <v>APAGADO</v>
      </c>
      <c r="Y241" s="70" t="str">
        <f>'RESUMEN TOTAL'!AF309</f>
        <v>APAGADO</v>
      </c>
      <c r="Z241" s="70">
        <f>'RESUMEN TOTAL'!AG309</f>
        <v>0</v>
      </c>
      <c r="AA241" s="70">
        <f>'RESUMEN TOTAL'!AH309</f>
        <v>0</v>
      </c>
      <c r="AB241" s="70" t="str">
        <f>'RESUMEN TOTAL'!AI309</f>
        <v>APAGADO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</row>
    <row r="242" spans="1:33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 t="str">
        <f>'RESUMEN TOTAL'!W310</f>
        <v>APAGADO</v>
      </c>
      <c r="Q242" s="70" t="str">
        <f>'RESUMEN TOTAL'!X310</f>
        <v>APAGADO</v>
      </c>
      <c r="R242" s="70" t="str">
        <f>'RESUMEN TOTAL'!Y310</f>
        <v>APAGADO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 t="str">
        <f>'RESUMEN TOTAL'!AD310</f>
        <v>APAGADO</v>
      </c>
      <c r="X242" s="70" t="str">
        <f>'RESUMEN TOTAL'!AE310</f>
        <v>APAGADO</v>
      </c>
      <c r="Y242" s="70" t="str">
        <f>'RESUMEN TOTAL'!AF310</f>
        <v>APAGADO</v>
      </c>
      <c r="Z242" s="70">
        <f>'RESUMEN TOTAL'!AG310</f>
        <v>0</v>
      </c>
      <c r="AA242" s="70">
        <f>'RESUMEN TOTAL'!AH310</f>
        <v>0</v>
      </c>
      <c r="AB242" s="70" t="str">
        <f>'RESUMEN TOTAL'!AI310</f>
        <v>APAGADO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</row>
    <row r="243" spans="1:33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TOTAL'!M311</f>
        <v>0</v>
      </c>
      <c r="G243" s="70">
        <f>'RESUMEN TOTAL'!N311</f>
        <v>0</v>
      </c>
      <c r="H243" s="70">
        <f>'RESUMEN TOTAL'!O311</f>
        <v>0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 t="str">
        <f>'RESUMEN TOTAL'!W311</f>
        <v>APAGADO</v>
      </c>
      <c r="Q243" s="70" t="str">
        <f>'RESUMEN TOTAL'!X311</f>
        <v>APAGADO</v>
      </c>
      <c r="R243" s="70" t="str">
        <f>'RESUMEN TOTAL'!Y311</f>
        <v>APAGADO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 t="str">
        <f>'RESUMEN TOTAL'!AD311</f>
        <v>APAGADO</v>
      </c>
      <c r="X243" s="70" t="str">
        <f>'RESUMEN TOTAL'!AE311</f>
        <v>APAGADO</v>
      </c>
      <c r="Y243" s="70" t="str">
        <f>'RESUMEN TOTAL'!AF311</f>
        <v>APAGADO</v>
      </c>
      <c r="Z243" s="70">
        <f>'RESUMEN TOTAL'!AG311</f>
        <v>0</v>
      </c>
      <c r="AA243" s="70">
        <f>'RESUMEN TOTAL'!AH311</f>
        <v>0</v>
      </c>
      <c r="AB243" s="70" t="str">
        <f>'RESUMEN TOTAL'!AI311</f>
        <v>APAGADO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</row>
    <row r="244" spans="1:33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</row>
    <row r="245" spans="1:33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</row>
    <row r="246" spans="1:33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</row>
    <row r="247" spans="1:33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</row>
    <row r="248" spans="1:33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>
        <f>'RESUMEN TOTAL'!S316</f>
        <v>0</v>
      </c>
      <c r="M248" s="70">
        <f>'RESUMEN TOTAL'!T316</f>
        <v>0</v>
      </c>
      <c r="N248" s="70" t="str">
        <f>'RESUMEN TOTAL'!U316</f>
        <v>APAGADO</v>
      </c>
      <c r="O248" s="70" t="str">
        <f>'RESUMEN TOTAL'!V316</f>
        <v>APAGADO</v>
      </c>
      <c r="P248" s="70" t="str">
        <f>'RESUMEN TOTAL'!W316</f>
        <v>APAGADO</v>
      </c>
      <c r="Q248" s="70" t="str">
        <f>'RESUMEN TOTAL'!X316</f>
        <v>APAGADO</v>
      </c>
      <c r="R248" s="70" t="str">
        <f>'RESUMEN TOTAL'!Y316</f>
        <v>APAGADO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 t="str">
        <f>'RESUMEN TOTAL'!AD316</f>
        <v>APAGADO</v>
      </c>
      <c r="X248" s="70" t="str">
        <f>'RESUMEN TOTAL'!AE316</f>
        <v>APAGADO</v>
      </c>
      <c r="Y248" s="70" t="str">
        <f>'RESUMEN TOTAL'!AF316</f>
        <v>APAGADO</v>
      </c>
      <c r="Z248" s="70">
        <f>'RESUMEN TOTAL'!AG316</f>
        <v>0</v>
      </c>
      <c r="AA248" s="70">
        <f>'RESUMEN TOTAL'!AH316</f>
        <v>0</v>
      </c>
      <c r="AB248" s="70" t="str">
        <f>'RESUMEN TOTAL'!AI316</f>
        <v>APAGADO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</row>
    <row r="249" spans="1:33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</row>
    <row r="250" spans="1:33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 t="str">
        <f>'RESUMEN TOTAL'!V318</f>
        <v>APAGADO</v>
      </c>
      <c r="P250" s="70" t="str">
        <f>'RESUMEN TOTAL'!W318</f>
        <v>APAGADO</v>
      </c>
      <c r="Q250" s="70" t="str">
        <f>'RESUMEN TOTAL'!X318</f>
        <v>APAGADO</v>
      </c>
      <c r="R250" s="70" t="str">
        <f>'RESUMEN TOTAL'!Y318</f>
        <v>APAGADO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 t="str">
        <f>'RESUMEN TOTAL'!AD318</f>
        <v>APAGADO</v>
      </c>
      <c r="X250" s="70" t="str">
        <f>'RESUMEN TOTAL'!AE318</f>
        <v>APAGADO</v>
      </c>
      <c r="Y250" s="70" t="str">
        <f>'RESUMEN TOTAL'!AF318</f>
        <v>APAGADO</v>
      </c>
      <c r="Z250" s="70">
        <f>'RESUMEN TOTAL'!AG318</f>
        <v>0</v>
      </c>
      <c r="AA250" s="70">
        <f>'RESUMEN TOTAL'!AH318</f>
        <v>0</v>
      </c>
      <c r="AB250" s="70" t="str">
        <f>'RESUMEN TOTAL'!AI318</f>
        <v>APAGADO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</row>
    <row r="251" spans="1:33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 t="str">
        <f>'RESUMEN TOTAL'!V319</f>
        <v>APAGADO</v>
      </c>
      <c r="P251" s="70" t="str">
        <f>'RESUMEN TOTAL'!W319</f>
        <v>APAGADO</v>
      </c>
      <c r="Q251" s="70" t="str">
        <f>'RESUMEN TOTAL'!X319</f>
        <v>APAGADO</v>
      </c>
      <c r="R251" s="70" t="str">
        <f>'RESUMEN TOTAL'!Y319</f>
        <v>APAGADO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 t="str">
        <f>'RESUMEN TOTAL'!AD319</f>
        <v>APAGADO</v>
      </c>
      <c r="X251" s="70" t="str">
        <f>'RESUMEN TOTAL'!AE319</f>
        <v>APAGADO</v>
      </c>
      <c r="Y251" s="70" t="str">
        <f>'RESUMEN TOTAL'!AF319</f>
        <v>APAGADO</v>
      </c>
      <c r="Z251" s="70">
        <f>'RESUMEN TOTAL'!AG319</f>
        <v>0</v>
      </c>
      <c r="AA251" s="70">
        <f>'RESUMEN TOTAL'!AH319</f>
        <v>0</v>
      </c>
      <c r="AB251" s="70" t="str">
        <f>'RESUMEN TOTAL'!AI319</f>
        <v>APAGADO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</row>
    <row r="252" spans="1:33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>
        <f>'RESUMEN TOTAL'!S320</f>
        <v>0</v>
      </c>
      <c r="M252" s="70">
        <f>'RESUMEN TOTAL'!T320</f>
        <v>0</v>
      </c>
      <c r="N252" s="70" t="str">
        <f>'RESUMEN TOTAL'!U320</f>
        <v>APAGADO</v>
      </c>
      <c r="O252" s="70" t="str">
        <f>'RESUMEN TOTAL'!V320</f>
        <v>APAGADO</v>
      </c>
      <c r="P252" s="70" t="str">
        <f>'RESUMEN TOTAL'!W320</f>
        <v>APAGADO</v>
      </c>
      <c r="Q252" s="70" t="str">
        <f>'RESUMEN TOTAL'!X320</f>
        <v>APAGADO</v>
      </c>
      <c r="R252" s="70" t="str">
        <f>'RESUMEN TOTAL'!Y320</f>
        <v>APAGADO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 t="str">
        <f>'RESUMEN TOTAL'!AD320</f>
        <v>APAGADO</v>
      </c>
      <c r="X252" s="70" t="str">
        <f>'RESUMEN TOTAL'!AE320</f>
        <v>APAGADO</v>
      </c>
      <c r="Y252" s="70" t="str">
        <f>'RESUMEN TOTAL'!AF320</f>
        <v>APAGADO</v>
      </c>
      <c r="Z252" s="70">
        <f>'RESUMEN TOTAL'!AG320</f>
        <v>0</v>
      </c>
      <c r="AA252" s="70">
        <f>'RESUMEN TOTAL'!AH320</f>
        <v>0</v>
      </c>
      <c r="AB252" s="70" t="str">
        <f>'RESUMEN TOTAL'!AI320</f>
        <v>APAGADO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</row>
    <row r="253" spans="1:33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>
        <f>'RESUMEN TOTAL'!S321</f>
        <v>0</v>
      </c>
      <c r="M253" s="70">
        <f>'RESUMEN TOTAL'!T321</f>
        <v>0</v>
      </c>
      <c r="N253" s="70" t="str">
        <f>'RESUMEN TOTAL'!U321</f>
        <v>APAGADO</v>
      </c>
      <c r="O253" s="70" t="str">
        <f>'RESUMEN TOTAL'!V321</f>
        <v>APAGADO</v>
      </c>
      <c r="P253" s="70" t="str">
        <f>'RESUMEN TOTAL'!W321</f>
        <v>APAGADO</v>
      </c>
      <c r="Q253" s="70" t="str">
        <f>'RESUMEN TOTAL'!X321</f>
        <v>APAGADO</v>
      </c>
      <c r="R253" s="70" t="str">
        <f>'RESUMEN TOTAL'!Y321</f>
        <v>APAGADO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 t="str">
        <f>'RESUMEN TOTAL'!AD321</f>
        <v>APAGADO</v>
      </c>
      <c r="X253" s="70" t="str">
        <f>'RESUMEN TOTAL'!AE321</f>
        <v>APAGADO</v>
      </c>
      <c r="Y253" s="70" t="str">
        <f>'RESUMEN TOTAL'!AF321</f>
        <v>APAGADO</v>
      </c>
      <c r="Z253" s="70">
        <f>'RESUMEN TOTAL'!AG321</f>
        <v>0</v>
      </c>
      <c r="AA253" s="70">
        <f>'RESUMEN TOTAL'!AH321</f>
        <v>0</v>
      </c>
      <c r="AB253" s="70" t="str">
        <f>'RESUMEN TOTAL'!AI321</f>
        <v>APAGADO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</row>
    <row r="254" spans="1:33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TOTAL'!M322</f>
        <v>APAGADO</v>
      </c>
      <c r="G254" s="70" t="str">
        <f>'RESUMEN TOTAL'!N322</f>
        <v>APAGADO</v>
      </c>
      <c r="H254" s="70" t="str">
        <f>'RESUMEN TOTAL'!O322</f>
        <v>APAGADO</v>
      </c>
      <c r="I254" s="70" t="str">
        <f>'RESUMEN TOTAL'!P322</f>
        <v>APAGADO</v>
      </c>
      <c r="J254" s="70" t="str">
        <f>'RESUMEN TOTAL'!Q322</f>
        <v>APAGADO</v>
      </c>
      <c r="K254" s="70" t="str">
        <f>'RESUMEN TOTAL'!R322</f>
        <v>APAGADO</v>
      </c>
      <c r="L254" s="70">
        <f>'RESUMEN TOTAL'!S322</f>
        <v>0</v>
      </c>
      <c r="M254" s="70">
        <f>'RESUMEN TOTAL'!T322</f>
        <v>0</v>
      </c>
      <c r="N254" s="70" t="str">
        <f>'RESUMEN TOTAL'!U322</f>
        <v>APAGADO</v>
      </c>
      <c r="O254" s="70" t="e">
        <f>'RESUMEN TOTAL'!#REF!</f>
        <v>#REF!</v>
      </c>
      <c r="P254" s="70" t="str">
        <f>'RESUMEN TOTAL'!W322</f>
        <v>APAGADO</v>
      </c>
      <c r="Q254" s="70" t="str">
        <f>'RESUMEN TOTAL'!X322</f>
        <v>APAGADO</v>
      </c>
      <c r="R254" s="70" t="str">
        <f>'RESUMEN TOTAL'!Y322</f>
        <v>APAGADO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 t="str">
        <f>'RESUMEN TOTAL'!AD322</f>
        <v>APAGADO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 t="str">
        <f>'RESUMEN TOTAL'!AI322</f>
        <v>APAGADO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</row>
    <row r="255" spans="1:33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 t="str">
        <f>'RESUMEN TOTAL'!M323</f>
        <v>APAGADO</v>
      </c>
      <c r="G255" s="70" t="str">
        <f>'RESUMEN TOTAL'!N323</f>
        <v>APAGADO</v>
      </c>
      <c r="H255" s="70" t="str">
        <f>'RESUMEN TOTAL'!O323</f>
        <v>APAGADO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 t="str">
        <f>'RESUMEN TOTAL'!V322</f>
        <v>APAGADO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</row>
    <row r="256" spans="1:33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 t="str">
        <f>'RESUMEN TOTAL'!M324</f>
        <v>APAGADO</v>
      </c>
      <c r="G256" s="70" t="str">
        <f>'RESUMEN TOTAL'!N324</f>
        <v>APAGADO</v>
      </c>
      <c r="H256" s="70" t="str">
        <f>'RESUMEN TOTAL'!O324</f>
        <v>APAGADO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</row>
    <row r="257" spans="1:33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</row>
    <row r="258" spans="1:33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</row>
    <row r="259" spans="1:33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</row>
    <row r="260" spans="1:33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 t="str">
        <f>'RESUMEN TOTAL'!AE328</f>
        <v>APAGADO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</row>
    <row r="261" spans="1:33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</row>
    <row r="262" spans="1:33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</row>
    <row r="263" spans="1:33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</row>
    <row r="264" spans="1:33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</row>
    <row r="265" spans="1:33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</row>
    <row r="266" spans="1:33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</row>
    <row r="267" spans="1:33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</row>
    <row r="268" spans="1:33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</row>
    <row r="269" spans="1:33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</row>
    <row r="270" spans="1:33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</row>
    <row r="271" spans="1:33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 t="str">
        <f>'RESUMEN TOTAL'!U345</f>
        <v>APAGADO</v>
      </c>
      <c r="O271" s="70" t="str">
        <f>'RESUMEN TOTAL'!V345</f>
        <v>APAGADO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</row>
    <row r="272" spans="1:33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</row>
    <row r="273" spans="1:33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</row>
    <row r="274" spans="1:33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 t="str">
        <f>'RESUMEN TOTAL'!U348</f>
        <v>APAGADO</v>
      </c>
      <c r="O274" s="70" t="str">
        <f>'RESUMEN TOTAL'!V348</f>
        <v>APAGADO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</row>
    <row r="275" spans="1:33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</row>
    <row r="276" spans="1:33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</row>
    <row r="277" spans="1:33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</row>
    <row r="278" spans="1:33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</row>
    <row r="279" spans="1:33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</row>
    <row r="280" spans="1:33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</row>
    <row r="281" spans="1:33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</row>
    <row r="282" spans="1:33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</row>
    <row r="283" spans="1:33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</row>
    <row r="284" spans="1:33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</row>
    <row r="285" spans="1:33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</row>
    <row r="286" spans="1:33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</row>
    <row r="287" spans="1:33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</row>
    <row r="288" spans="1:33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</row>
    <row r="289" spans="1:33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</row>
    <row r="290" spans="1:33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</row>
    <row r="291" spans="1:33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</row>
    <row r="292" spans="1:33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</row>
    <row r="293" spans="1:33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</row>
    <row r="294" spans="1:33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</row>
    <row r="295" spans="1:33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</row>
    <row r="296" spans="1:33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</row>
    <row r="297" spans="1:33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</row>
    <row r="298" spans="1:33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</row>
    <row r="299" spans="1:33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</row>
    <row r="300" spans="1:33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</row>
    <row r="301" spans="1:33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>
        <f>'RESUMEN TOTAL'!S383</f>
        <v>0</v>
      </c>
      <c r="M301" s="70">
        <f>'RESUMEN TOTAL'!T383</f>
        <v>0</v>
      </c>
      <c r="N301" s="70" t="str">
        <f>'RESUMEN TOTAL'!U383</f>
        <v>APAGADO</v>
      </c>
      <c r="O301" s="70" t="str">
        <f>'RESUMEN TOTAL'!V383</f>
        <v>APAGADO</v>
      </c>
      <c r="P301" s="70" t="str">
        <f>'RESUMEN TOTAL'!W383</f>
        <v>APAGADO</v>
      </c>
      <c r="Q301" s="70" t="str">
        <f>'RESUMEN TOTAL'!X383</f>
        <v>APAGADO</v>
      </c>
      <c r="R301" s="70" t="str">
        <f>'RESUMEN TOTAL'!Y383</f>
        <v>APAGADO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 t="str">
        <f>'RESUMEN TOTAL'!AD383</f>
        <v>APAGADO</v>
      </c>
      <c r="X301" s="70" t="str">
        <f>'RESUMEN TOTAL'!AE383</f>
        <v>APAGADO</v>
      </c>
      <c r="Y301" s="70" t="str">
        <f>'RESUMEN TOTAL'!AF383</f>
        <v>APAGADO</v>
      </c>
      <c r="Z301" s="70">
        <f>'RESUMEN TOTAL'!AG383</f>
        <v>0</v>
      </c>
      <c r="AA301" s="70">
        <f>'RESUMEN TOTAL'!AH383</f>
        <v>0</v>
      </c>
      <c r="AB301" s="70" t="str">
        <f>'RESUMEN TOTAL'!AI383</f>
        <v>APAGADO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</row>
    <row r="302" spans="1:33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>
        <f>'RESUMEN TOTAL'!M384</f>
        <v>0</v>
      </c>
      <c r="G302" s="70">
        <f>'RESUMEN TOTAL'!N384</f>
        <v>0</v>
      </c>
      <c r="H302" s="70">
        <f>'RESUMEN TOTAL'!O384</f>
        <v>0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 t="str">
        <f>'RESUMEN TOTAL'!U384</f>
        <v>APAGADO</v>
      </c>
      <c r="O302" s="70" t="str">
        <f>'RESUMEN TOTAL'!V384</f>
        <v>APAGADO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</row>
    <row r="303" spans="1:33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</row>
    <row r="304" spans="1:33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 t="str">
        <f>'RESUMEN TOTAL'!X386</f>
        <v>APAGADO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</row>
    <row r="305" spans="1:33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 t="str">
        <f>'RESUMEN TOTAL'!X387</f>
        <v>APAGADO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</row>
    <row r="306" spans="1:33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 t="str">
        <f>'RESUMEN TOTAL'!X388</f>
        <v>APAGADO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</row>
    <row r="307" spans="1:33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>
        <f>'RESUMEN TOTAL'!S389</f>
        <v>0</v>
      </c>
      <c r="M307" s="70">
        <f>'RESUMEN TOTAL'!T389</f>
        <v>0</v>
      </c>
      <c r="N307" s="70" t="str">
        <f>'RESUMEN TOTAL'!U389</f>
        <v>APAGADO</v>
      </c>
      <c r="O307" s="70" t="str">
        <f>'RESUMEN TOTAL'!V389</f>
        <v>APAGADO</v>
      </c>
      <c r="P307" s="70" t="str">
        <f>'RESUMEN TOTAL'!W389</f>
        <v>APAGADO</v>
      </c>
      <c r="Q307" s="70" t="str">
        <f>'RESUMEN TOTAL'!X389</f>
        <v>APAGADO</v>
      </c>
      <c r="R307" s="70" t="str">
        <f>'RESUMEN TOTAL'!Y389</f>
        <v>APAGADO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 t="str">
        <f>'RESUMEN TOTAL'!AD389</f>
        <v>APAGADO</v>
      </c>
      <c r="X307" s="70" t="str">
        <f>'RESUMEN TOTAL'!AE389</f>
        <v>APAGADO</v>
      </c>
      <c r="Y307" s="70" t="str">
        <f>'RESUMEN TOTAL'!AF389</f>
        <v>APAGADO</v>
      </c>
      <c r="Z307" s="70">
        <f>'RESUMEN TOTAL'!AG389</f>
        <v>0</v>
      </c>
      <c r="AA307" s="70">
        <f>'RESUMEN TOTAL'!AH389</f>
        <v>0</v>
      </c>
      <c r="AB307" s="70" t="str">
        <f>'RESUMEN TOTAL'!AI389</f>
        <v>APAGADO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</row>
    <row r="308" spans="1:33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>
        <f>'RESUMEN TOTAL'!S390</f>
        <v>0</v>
      </c>
      <c r="M308" s="70">
        <f>'RESUMEN TOTAL'!T390</f>
        <v>0</v>
      </c>
      <c r="N308" s="70" t="str">
        <f>'RESUMEN TOTAL'!U390</f>
        <v>APAGADO</v>
      </c>
      <c r="O308" s="70" t="str">
        <f>'RESUMEN TOTAL'!V390</f>
        <v>APAGADO</v>
      </c>
      <c r="P308" s="70" t="str">
        <f>'RESUMEN TOTAL'!W390</f>
        <v>APAGADO</v>
      </c>
      <c r="Q308" s="70" t="str">
        <f>'RESUMEN TOTAL'!X390</f>
        <v>APAGADO</v>
      </c>
      <c r="R308" s="70" t="str">
        <f>'RESUMEN TOTAL'!Y390</f>
        <v>APAGADO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 t="str">
        <f>'RESUMEN TOTAL'!AD390</f>
        <v>APAGADO</v>
      </c>
      <c r="X308" s="70" t="str">
        <f>'RESUMEN TOTAL'!AE390</f>
        <v>APAGADO</v>
      </c>
      <c r="Y308" s="70" t="str">
        <f>'RESUMEN TOTAL'!AF390</f>
        <v>APAGADO</v>
      </c>
      <c r="Z308" s="70">
        <f>'RESUMEN TOTAL'!AG390</f>
        <v>0</v>
      </c>
      <c r="AA308" s="70">
        <f>'RESUMEN TOTAL'!AH390</f>
        <v>0</v>
      </c>
      <c r="AB308" s="70" t="str">
        <f>'RESUMEN TOTAL'!AI390</f>
        <v>APAGADO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</row>
    <row r="309" spans="1:33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 t="str">
        <f>'RESUMEN TOTAL'!X391</f>
        <v>APAGADO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</row>
    <row r="310" spans="1:33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 t="str">
        <f>'RESUMEN TOTAL'!X392</f>
        <v>APAGADO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</row>
    <row r="311" spans="1:33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 t="str">
        <f>'RESUMEN TOTAL'!X393</f>
        <v>APAGADO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</row>
    <row r="312" spans="1:33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 t="str">
        <f>'RESUMEN TOTAL'!X394</f>
        <v>APAGADO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</row>
    <row r="313" spans="1:33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>
        <f>'RESUMEN TOTAL'!S395</f>
        <v>0</v>
      </c>
      <c r="M313" s="70">
        <f>'RESUMEN TOTAL'!T395</f>
        <v>0</v>
      </c>
      <c r="N313" s="70" t="str">
        <f>'RESUMEN TOTAL'!U395</f>
        <v>APAGADO</v>
      </c>
      <c r="O313" s="70" t="str">
        <f>'RESUMEN TOTAL'!V395</f>
        <v>APAGADO</v>
      </c>
      <c r="P313" s="70" t="str">
        <f>'RESUMEN TOTAL'!W395</f>
        <v>APAGADO</v>
      </c>
      <c r="Q313" s="70" t="str">
        <f>'RESUMEN TOTAL'!X395</f>
        <v>APAGADO</v>
      </c>
      <c r="R313" s="70" t="str">
        <f>'RESUMEN TOTAL'!Y395</f>
        <v>APAGADO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 t="str">
        <f>'RESUMEN TOTAL'!AD395</f>
        <v>APAGADO</v>
      </c>
      <c r="X313" s="70" t="str">
        <f>'RESUMEN TOTAL'!AE395</f>
        <v>APAGADO</v>
      </c>
      <c r="Y313" s="70" t="str">
        <f>'RESUMEN TOTAL'!AF395</f>
        <v>APAGADO</v>
      </c>
      <c r="Z313" s="70">
        <f>'RESUMEN TOTAL'!AG395</f>
        <v>0</v>
      </c>
      <c r="AA313" s="70">
        <f>'RESUMEN TOTAL'!AH395</f>
        <v>0</v>
      </c>
      <c r="AB313" s="70" t="str">
        <f>'RESUMEN TOTAL'!AI395</f>
        <v>APAGADO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</row>
    <row r="314" spans="1:33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>
        <f>'RESUMEN TOTAL'!S396</f>
        <v>0</v>
      </c>
      <c r="M314" s="70">
        <f>'RESUMEN TOTAL'!T396</f>
        <v>0</v>
      </c>
      <c r="N314" s="70" t="str">
        <f>'RESUMEN TOTAL'!U396</f>
        <v>APAGADO</v>
      </c>
      <c r="O314" s="70" t="str">
        <f>'RESUMEN TOTAL'!V396</f>
        <v>APAGADO</v>
      </c>
      <c r="P314" s="70" t="str">
        <f>'RESUMEN TOTAL'!W396</f>
        <v>APAGADO</v>
      </c>
      <c r="Q314" s="70" t="str">
        <f>'RESUMEN TOTAL'!X396</f>
        <v>APAGADO</v>
      </c>
      <c r="R314" s="70" t="str">
        <f>'RESUMEN TOTAL'!Y396</f>
        <v>APAGADO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 t="str">
        <f>'RESUMEN TOTAL'!AD396</f>
        <v>APAGADO</v>
      </c>
      <c r="X314" s="70" t="str">
        <f>'RESUMEN TOTAL'!AE396</f>
        <v>APAGADO</v>
      </c>
      <c r="Y314" s="70" t="str">
        <f>'RESUMEN TOTAL'!AF396</f>
        <v>APAGADO</v>
      </c>
      <c r="Z314" s="70">
        <f>'RESUMEN TOTAL'!AG396</f>
        <v>0</v>
      </c>
      <c r="AA314" s="70">
        <f>'RESUMEN TOTAL'!AH396</f>
        <v>0</v>
      </c>
      <c r="AB314" s="70" t="str">
        <f>'RESUMEN TOTAL'!AI396</f>
        <v>APAGADO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</row>
    <row r="315" spans="1:33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>
        <f>'RESUMEN TOTAL'!M397</f>
        <v>0</v>
      </c>
      <c r="G315" s="70">
        <f>'RESUMEN TOTAL'!N397</f>
        <v>0</v>
      </c>
      <c r="H315" s="70">
        <f>'RESUMEN TOTAL'!O397</f>
        <v>0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 t="str">
        <f>'RESUMEN TOTAL'!X397</f>
        <v>APAGADO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 t="str">
        <f>'RESUMEN TOTAL'!AE397</f>
        <v>APAGADO</v>
      </c>
      <c r="Y315" s="70" t="str">
        <f>'RESUMEN TOTAL'!AF397</f>
        <v>APAGADO</v>
      </c>
      <c r="Z315" s="70">
        <f>'RESUMEN TOTAL'!AG397</f>
        <v>0</v>
      </c>
      <c r="AA315" s="70">
        <f>'RESUMEN TOTAL'!AH397</f>
        <v>0</v>
      </c>
      <c r="AB315" s="70" t="str">
        <f>'RESUMEN TOTAL'!AI397</f>
        <v>APAGADO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</row>
    <row r="316" spans="1:33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>
        <f>'RESUMEN TOTAL'!M403</f>
        <v>0</v>
      </c>
      <c r="G316" s="70">
        <f>'RESUMEN TOTAL'!N403</f>
        <v>0</v>
      </c>
      <c r="H316" s="70">
        <f>'RESUMEN TOTAL'!O403</f>
        <v>0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 t="str">
        <f>'RESUMEN TOTAL'!U403</f>
        <v>APAGADO</v>
      </c>
      <c r="O316" s="70" t="str">
        <f>'RESUMEN TOTAL'!V403</f>
        <v>APAGADO</v>
      </c>
      <c r="P316" s="70" t="str">
        <f>'RESUMEN TOTAL'!W403</f>
        <v>APAGADO</v>
      </c>
      <c r="Q316" s="70" t="str">
        <f>'RESUMEN TOTAL'!X403</f>
        <v>APAGADO</v>
      </c>
      <c r="R316" s="70" t="str">
        <f>'RESUMEN TOTAL'!Y403</f>
        <v>APAGADO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 t="str">
        <f>'RESUMEN TOTAL'!AD403</f>
        <v>APAGADO</v>
      </c>
      <c r="X316" s="70" t="str">
        <f>'RESUMEN TOTAL'!AE403</f>
        <v>APAGADO</v>
      </c>
      <c r="Y316" s="70" t="str">
        <f>'RESUMEN TOTAL'!AF403</f>
        <v>APAGADO</v>
      </c>
      <c r="Z316" s="70">
        <f>'RESUMEN TOTAL'!AG403</f>
        <v>0</v>
      </c>
      <c r="AA316" s="70">
        <f>'RESUMEN TOTAL'!AH403</f>
        <v>0</v>
      </c>
      <c r="AB316" s="70" t="str">
        <f>'RESUMEN TOTAL'!AI403</f>
        <v>APAGADO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</row>
    <row r="317" spans="1:33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</row>
    <row r="318" spans="1:33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</row>
    <row r="319" spans="1:33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</row>
    <row r="320" spans="1:33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 t="str">
        <f>'RESUMEN TOTAL'!V407</f>
        <v>APAGADO</v>
      </c>
      <c r="P320" s="70" t="str">
        <f>'RESUMEN TOTAL'!W407</f>
        <v>APAGADO</v>
      </c>
      <c r="Q320" s="70" t="str">
        <f>'RESUMEN TOTAL'!X407</f>
        <v>APAGADO</v>
      </c>
      <c r="R320" s="70" t="str">
        <f>'RESUMEN TOTAL'!Y407</f>
        <v>APAGADO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 t="str">
        <f>'RESUMEN TOTAL'!AD407</f>
        <v>APAGADO</v>
      </c>
      <c r="X320" s="70" t="str">
        <f>'RESUMEN TOTAL'!AE407</f>
        <v>APAGADO</v>
      </c>
      <c r="Y320" s="70" t="str">
        <f>'RESUMEN TOTAL'!AF407</f>
        <v>APAGADO</v>
      </c>
      <c r="Z320" s="70">
        <f>'RESUMEN TOTAL'!AG407</f>
        <v>0</v>
      </c>
      <c r="AA320" s="70">
        <f>'RESUMEN TOTAL'!AH407</f>
        <v>0</v>
      </c>
      <c r="AB320" s="70" t="str">
        <f>'RESUMEN TOTAL'!AI407</f>
        <v>APAGADO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</row>
    <row r="321" spans="1:33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</row>
    <row r="322" spans="1:33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 t="str">
        <f>'RESUMEN TOTAL'!U409</f>
        <v>APAGADO</v>
      </c>
      <c r="O322" s="70" t="str">
        <f>'RESUMEN TOTAL'!V409</f>
        <v>APAGADO</v>
      </c>
      <c r="P322" s="70" t="str">
        <f>'RESUMEN TOTAL'!W409</f>
        <v>APAGADO</v>
      </c>
      <c r="Q322" s="70" t="str">
        <f>'RESUMEN TOTAL'!X409</f>
        <v>APAGADO</v>
      </c>
      <c r="R322" s="70" t="str">
        <f>'RESUMEN TOTAL'!Y409</f>
        <v>APAGADO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 t="str">
        <f>'RESUMEN TOTAL'!AD409</f>
        <v>APAGADO</v>
      </c>
      <c r="X322" s="70" t="str">
        <f>'RESUMEN TOTAL'!AE409</f>
        <v>APAGADO</v>
      </c>
      <c r="Y322" s="70" t="str">
        <f>'RESUMEN TOTAL'!AF409</f>
        <v>APAGADO</v>
      </c>
      <c r="Z322" s="70">
        <f>'RESUMEN TOTAL'!AG409</f>
        <v>0</v>
      </c>
      <c r="AA322" s="70">
        <f>'RESUMEN TOTAL'!AH409</f>
        <v>0</v>
      </c>
      <c r="AB322" s="70" t="str">
        <f>'RESUMEN TOTAL'!AI409</f>
        <v>APAGADO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</row>
    <row r="323" spans="1:33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 t="str">
        <f>'RESUMEN TOTAL'!U410</f>
        <v>APAGADO</v>
      </c>
      <c r="O323" s="70" t="str">
        <f>'RESUMEN TOTAL'!V410</f>
        <v>APAGADO</v>
      </c>
      <c r="P323" s="70" t="str">
        <f>'RESUMEN TOTAL'!W410</f>
        <v>APAGADO</v>
      </c>
      <c r="Q323" s="70" t="str">
        <f>'RESUMEN TOTAL'!X410</f>
        <v>APAGADO</v>
      </c>
      <c r="R323" s="70" t="str">
        <f>'RESUMEN TOTAL'!Y410</f>
        <v>APAGADO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 t="str">
        <f>'RESUMEN TOTAL'!AD410</f>
        <v>APAGADO</v>
      </c>
      <c r="X323" s="70" t="str">
        <f>'RESUMEN TOTAL'!AE410</f>
        <v>APAGADO</v>
      </c>
      <c r="Y323" s="70" t="str">
        <f>'RESUMEN TOTAL'!AF410</f>
        <v>APAGADO</v>
      </c>
      <c r="Z323" s="70">
        <f>'RESUMEN TOTAL'!AG410</f>
        <v>0</v>
      </c>
      <c r="AA323" s="70">
        <f>'RESUMEN TOTAL'!AH410</f>
        <v>0</v>
      </c>
      <c r="AB323" s="70" t="str">
        <f>'RESUMEN TOTAL'!AI410</f>
        <v>APAGADO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</row>
    <row r="324" spans="1:33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>
        <f>'RESUMEN TOTAL'!M411</f>
        <v>0</v>
      </c>
      <c r="G324" s="70">
        <f>'RESUMEN TOTAL'!N411</f>
        <v>0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 t="str">
        <f>'RESUMEN TOTAL'!U411</f>
        <v>APAGADO</v>
      </c>
      <c r="O324" s="70" t="str">
        <f>'RESUMEN TOTAL'!V411</f>
        <v>APAGADO</v>
      </c>
      <c r="P324" s="70" t="str">
        <f>'RESUMEN TOTAL'!W411</f>
        <v>APAGADO</v>
      </c>
      <c r="Q324" s="70" t="str">
        <f>'RESUMEN TOTAL'!X411</f>
        <v>APAGADO</v>
      </c>
      <c r="R324" s="70" t="str">
        <f>'RESUMEN TOTAL'!Y411</f>
        <v>APAGADO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 t="str">
        <f>'RESUMEN TOTAL'!AD411</f>
        <v>APAGADO</v>
      </c>
      <c r="X324" s="70" t="str">
        <f>'RESUMEN TOTAL'!AE411</f>
        <v>APAGADO</v>
      </c>
      <c r="Y324" s="70" t="str">
        <f>'RESUMEN TOTAL'!AF411</f>
        <v>APAGADO</v>
      </c>
      <c r="Z324" s="70">
        <f>'RESUMEN TOTAL'!AG411</f>
        <v>0</v>
      </c>
      <c r="AA324" s="70">
        <f>'RESUMEN TOTAL'!AH411</f>
        <v>0</v>
      </c>
      <c r="AB324" s="70" t="str">
        <f>'RESUMEN TOTAL'!AI411</f>
        <v>APAGADO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</row>
    <row r="325" spans="1:33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>
        <f>'RESUMEN TOTAL'!M412</f>
        <v>0</v>
      </c>
      <c r="G325" s="70">
        <f>'RESUMEN TOTAL'!N412</f>
        <v>0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 t="str">
        <f>'RESUMEN TOTAL'!U412</f>
        <v>APAGADO</v>
      </c>
      <c r="O325" s="70" t="str">
        <f>'RESUMEN TOTAL'!V412</f>
        <v>APAGADO</v>
      </c>
      <c r="P325" s="70" t="str">
        <f>'RESUMEN TOTAL'!W412</f>
        <v>APAGADO</v>
      </c>
      <c r="Q325" s="70" t="str">
        <f>'RESUMEN TOTAL'!X412</f>
        <v>APAGADO</v>
      </c>
      <c r="R325" s="70" t="str">
        <f>'RESUMEN TOTAL'!Y412</f>
        <v>APAGADO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 t="str">
        <f>'RESUMEN TOTAL'!AD412</f>
        <v>APAGADO</v>
      </c>
      <c r="X325" s="70" t="str">
        <f>'RESUMEN TOTAL'!AE412</f>
        <v>APAGADO</v>
      </c>
      <c r="Y325" s="70" t="str">
        <f>'RESUMEN TOTAL'!AF412</f>
        <v>APAGADO</v>
      </c>
      <c r="Z325" s="70">
        <f>'RESUMEN TOTAL'!AG412</f>
        <v>0</v>
      </c>
      <c r="AA325" s="70">
        <f>'RESUMEN TOTAL'!AH412</f>
        <v>0</v>
      </c>
      <c r="AB325" s="70" t="str">
        <f>'RESUMEN TOTAL'!AI412</f>
        <v>APAGADO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</row>
    <row r="326" spans="1:33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</row>
    <row r="327" spans="1:33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</row>
    <row r="328" spans="1:33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</row>
    <row r="329" spans="1:33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>
        <f>'RESUMEN TOTAL'!S423</f>
        <v>0</v>
      </c>
      <c r="M329" s="70">
        <f>'RESUMEN TOTAL'!T423</f>
        <v>0</v>
      </c>
      <c r="N329" s="70" t="str">
        <f>'RESUMEN TOTAL'!U423</f>
        <v>APAGADO</v>
      </c>
      <c r="O329" s="70" t="str">
        <f>'RESUMEN TOTAL'!V423</f>
        <v>APAGADO</v>
      </c>
      <c r="P329" s="70" t="str">
        <f>'RESUMEN TOTAL'!W423</f>
        <v>APAGADO</v>
      </c>
      <c r="Q329" s="70" t="str">
        <f>'RESUMEN TOTAL'!X423</f>
        <v>APAGADO</v>
      </c>
      <c r="R329" s="70" t="str">
        <f>'RESUMEN TOTAL'!Y423</f>
        <v>APAGADO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 t="str">
        <f>'RESUMEN TOTAL'!AD423</f>
        <v>APAGADO</v>
      </c>
      <c r="X329" s="70" t="str">
        <f>'RESUMEN TOTAL'!AE423</f>
        <v>APAGADO</v>
      </c>
      <c r="Y329" s="70" t="str">
        <f>'RESUMEN TOTAL'!AF423</f>
        <v>APAGADO</v>
      </c>
      <c r="Z329" s="70">
        <f>'RESUMEN TOTAL'!AG423</f>
        <v>0</v>
      </c>
      <c r="AA329" s="70">
        <f>'RESUMEN TOTAL'!AH423</f>
        <v>0</v>
      </c>
      <c r="AB329" s="70" t="str">
        <f>'RESUMEN TOTAL'!AI423</f>
        <v>APAGADO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</row>
    <row r="330" spans="1:33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</row>
    <row r="331" spans="1:33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</row>
    <row r="332" spans="1:33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</row>
    <row r="333" spans="1:33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</row>
    <row r="334" spans="1:33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</row>
    <row r="335" spans="1:33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</row>
    <row r="336" spans="1:33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</row>
    <row r="337" spans="1:33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</row>
    <row r="338" spans="1:33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</row>
    <row r="339" spans="1:33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</row>
    <row r="340" spans="1:33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TOTAL'!M437</f>
        <v>APAGADO</v>
      </c>
      <c r="G340" s="70" t="str">
        <f>'RESUMEN TOTAL'!N437</f>
        <v>APAGADO</v>
      </c>
      <c r="H340" s="70" t="str">
        <f>'RESUMEN TOTAL'!O437</f>
        <v>APAGADO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</row>
    <row r="341" spans="1:33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TOTAL'!M438</f>
        <v>APAGADO</v>
      </c>
      <c r="G341" s="70" t="str">
        <f>'RESUMEN TOTAL'!N438</f>
        <v>APAGADO</v>
      </c>
      <c r="H341" s="70" t="str">
        <f>'RESUMEN TOTAL'!O438</f>
        <v>APAGADO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</row>
    <row r="342" spans="1:33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</row>
    <row r="343" spans="1:33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</row>
    <row r="344" spans="1:33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</row>
    <row r="345" spans="1:33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</row>
    <row r="346" spans="1:33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</row>
    <row r="347" spans="1:33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</row>
    <row r="348" spans="1:33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</row>
    <row r="349" spans="1:33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>
        <f>'RESUMEN TOTAL'!N446</f>
        <v>0</v>
      </c>
      <c r="H349" s="70">
        <f>'RESUMEN TOTAL'!O446</f>
        <v>0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</row>
    <row r="350" spans="1:33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>
        <f>'RESUMEN TOTAL'!N447</f>
        <v>0</v>
      </c>
      <c r="H350" s="70">
        <f>'RESUMEN TOTAL'!O447</f>
        <v>0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</row>
    <row r="351" spans="1:33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 t="str">
        <f>'RESUMEN TOTAL'!M448</f>
        <v>APAGADO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</row>
    <row r="352" spans="1:33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TOTAL'!M449</f>
        <v>APAGADO</v>
      </c>
      <c r="G352" s="70" t="str">
        <f>'RESUMEN TOTAL'!N449</f>
        <v>APAGADO</v>
      </c>
      <c r="H352" s="70" t="str">
        <f>'RESUMEN TOTAL'!O449</f>
        <v>APAGADO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</row>
    <row r="353" spans="1:33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>
        <f>'RESUMEN TOTAL'!M450</f>
        <v>0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>
        <f>'RESUMEN TOTAL'!S450</f>
        <v>0</v>
      </c>
      <c r="M353" s="70">
        <f>'RESUMEN TOTAL'!T450</f>
        <v>0</v>
      </c>
      <c r="N353" s="70" t="str">
        <f>'RESUMEN TOTAL'!U450</f>
        <v>APAGADO</v>
      </c>
      <c r="O353" s="70" t="str">
        <f>'RESUMEN TOTAL'!V450</f>
        <v>APAGADO</v>
      </c>
      <c r="P353" s="70" t="str">
        <f>'RESUMEN TOTAL'!W450</f>
        <v>APAGADO</v>
      </c>
      <c r="Q353" s="70" t="str">
        <f>'RESUMEN TOTAL'!X450</f>
        <v>APAGADO</v>
      </c>
      <c r="R353" s="70" t="str">
        <f>'RESUMEN TOTAL'!Y450</f>
        <v>APAGADO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 t="str">
        <f>'RESUMEN TOTAL'!AD450</f>
        <v>APAGADO</v>
      </c>
      <c r="X353" s="70" t="str">
        <f>'RESUMEN TOTAL'!AE450</f>
        <v>APAGADO</v>
      </c>
      <c r="Y353" s="70" t="str">
        <f>'RESUMEN TOTAL'!AF450</f>
        <v>APAGADO</v>
      </c>
      <c r="Z353" s="70">
        <f>'RESUMEN TOTAL'!AG450</f>
        <v>0</v>
      </c>
      <c r="AA353" s="70">
        <f>'RESUMEN TOTAL'!AH450</f>
        <v>0</v>
      </c>
      <c r="AB353" s="70" t="str">
        <f>'RESUMEN TOTAL'!AI450</f>
        <v>APAGADO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</row>
    <row r="354" spans="1:33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</row>
    <row r="355" spans="1:33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</row>
    <row r="356" spans="1:33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</row>
    <row r="357" spans="1:33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 t="str">
        <f>'RESUMEN TOTAL'!M454</f>
        <v>APAGADO</v>
      </c>
      <c r="G357" s="70" t="str">
        <f>'RESUMEN TOTAL'!N454</f>
        <v>APAGADO</v>
      </c>
      <c r="H357" s="70" t="str">
        <f>'RESUMEN TOTAL'!O454</f>
        <v>APAGADO</v>
      </c>
      <c r="I357" s="70" t="str">
        <f>'RESUMEN TOTAL'!P454</f>
        <v>APAGADO</v>
      </c>
      <c r="J357" s="70">
        <f>'RESUMEN TOTAL'!Q454</f>
        <v>0</v>
      </c>
      <c r="K357" s="70" t="str">
        <f>'RESUMEN TOTAL'!R454</f>
        <v>APAGADO</v>
      </c>
      <c r="L357" s="70">
        <f>'RESUMEN TOTAL'!S454</f>
        <v>0</v>
      </c>
      <c r="M357" s="70">
        <f>'RESUMEN TOTAL'!T454</f>
        <v>0</v>
      </c>
      <c r="N357" s="70" t="str">
        <f>'RESUMEN TOTAL'!U454</f>
        <v>APAGADO</v>
      </c>
      <c r="O357" s="70" t="str">
        <f>'RESUMEN TOTAL'!V454</f>
        <v>APAGADO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</row>
    <row r="358" spans="1:33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 t="str">
        <f>'RESUMEN TOTAL'!M455</f>
        <v>APAGADO</v>
      </c>
      <c r="G358" s="70" t="str">
        <f>'RESUMEN TOTAL'!N455</f>
        <v>APAGADO</v>
      </c>
      <c r="H358" s="70" t="str">
        <f>'RESUMEN TOTAL'!O455</f>
        <v>APAGADO</v>
      </c>
      <c r="I358" s="70" t="str">
        <f>'RESUMEN TOTAL'!P455</f>
        <v>APAGADO</v>
      </c>
      <c r="J358" s="70">
        <f>'RESUMEN TOTAL'!Q455</f>
        <v>0</v>
      </c>
      <c r="K358" s="70" t="str">
        <f>'RESUMEN TOTAL'!R455</f>
        <v>APAGADO</v>
      </c>
      <c r="L358" s="70">
        <f>'RESUMEN TOTAL'!S455</f>
        <v>0</v>
      </c>
      <c r="M358" s="70">
        <f>'RESUMEN TOTAL'!T455</f>
        <v>0</v>
      </c>
      <c r="N358" s="70" t="str">
        <f>'RESUMEN TOTAL'!U455</f>
        <v>APAGADO</v>
      </c>
      <c r="O358" s="70" t="str">
        <f>'RESUMEN TOTAL'!V455</f>
        <v>APAGADO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</row>
    <row r="359" spans="1:33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</row>
    <row r="360" spans="1:33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</row>
    <row r="361" spans="1:33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>
        <f>'RESUMEN TOTAL'!S464</f>
        <v>0</v>
      </c>
      <c r="M361" s="70">
        <f>'RESUMEN TOTAL'!T464</f>
        <v>0</v>
      </c>
      <c r="N361" s="70" t="str">
        <f>'RESUMEN TOTAL'!U464</f>
        <v>APAGADO</v>
      </c>
      <c r="O361" s="70" t="str">
        <f>'RESUMEN TOTAL'!V464</f>
        <v>APAGADO</v>
      </c>
      <c r="P361" s="70" t="str">
        <f>'RESUMEN TOTAL'!W464</f>
        <v>APAGADO</v>
      </c>
      <c r="Q361" s="70">
        <f>'RESUMEN TOTAL'!X464</f>
        <v>0</v>
      </c>
      <c r="R361" s="70" t="str">
        <f>'RESUMEN TOTAL'!Y464</f>
        <v>APAGADO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 t="str">
        <f>'RESUMEN TOTAL'!AD464</f>
        <v>APAGADO</v>
      </c>
      <c r="X361" s="70" t="str">
        <f>'RESUMEN TOTAL'!AE464</f>
        <v>APAGADO</v>
      </c>
      <c r="Y361" s="70" t="str">
        <f>'RESUMEN TOTAL'!AF464</f>
        <v>APAGADO</v>
      </c>
      <c r="Z361" s="70">
        <f>'RESUMEN TOTAL'!AG464</f>
        <v>0</v>
      </c>
      <c r="AA361" s="70">
        <f>'RESUMEN TOTAL'!AH464</f>
        <v>0</v>
      </c>
      <c r="AB361" s="70" t="str">
        <f>'RESUMEN TOTAL'!AI464</f>
        <v>APAGADO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</row>
    <row r="362" spans="1:33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>
        <f>'RESUMEN TOTAL'!S465</f>
        <v>0</v>
      </c>
      <c r="M362" s="70">
        <f>'RESUMEN TOTAL'!T465</f>
        <v>0</v>
      </c>
      <c r="N362" s="70" t="str">
        <f>'RESUMEN TOTAL'!U465</f>
        <v>APAGADO</v>
      </c>
      <c r="O362" s="70" t="str">
        <f>'RESUMEN TOTAL'!V465</f>
        <v>APAGADO</v>
      </c>
      <c r="P362" s="70" t="str">
        <f>'RESUMEN TOTAL'!W465</f>
        <v>APAGADO</v>
      </c>
      <c r="Q362" s="70" t="str">
        <f>'RESUMEN TOTAL'!X465</f>
        <v>APAGADO</v>
      </c>
      <c r="R362" s="70" t="str">
        <f>'RESUMEN TOTAL'!Y465</f>
        <v>APAGADO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 t="str">
        <f>'RESUMEN TOTAL'!AD465</f>
        <v>APAGADO</v>
      </c>
      <c r="X362" s="70" t="str">
        <f>'RESUMEN TOTAL'!AE465</f>
        <v>APAGADO</v>
      </c>
      <c r="Y362" s="70" t="str">
        <f>'RESUMEN TOTAL'!AF465</f>
        <v>APAGADO</v>
      </c>
      <c r="Z362" s="70">
        <f>'RESUMEN TOTAL'!AG465</f>
        <v>0</v>
      </c>
      <c r="AA362" s="70">
        <f>'RESUMEN TOTAL'!AH465</f>
        <v>0</v>
      </c>
      <c r="AB362" s="70" t="str">
        <f>'RESUMEN TOTAL'!AI465</f>
        <v>APAGADO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</row>
    <row r="363" spans="1:33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 t="str">
        <f>'RESUMEN TOTAL'!P466</f>
        <v>APAGADO</v>
      </c>
      <c r="J363" s="70" t="str">
        <f>'RESUMEN TOTAL'!Q466</f>
        <v>APAGADO</v>
      </c>
      <c r="K363" s="70" t="str">
        <f>'RESUMEN TOTAL'!R466</f>
        <v>APAGADO</v>
      </c>
      <c r="L363" s="70">
        <f>'RESUMEN TOTAL'!S466</f>
        <v>0</v>
      </c>
      <c r="M363" s="70">
        <f>'RESUMEN TOTAL'!T466</f>
        <v>0</v>
      </c>
      <c r="N363" s="70" t="str">
        <f>'RESUMEN TOTAL'!U466</f>
        <v>APAGADO</v>
      </c>
      <c r="O363" s="70" t="str">
        <f>'RESUMEN TOTAL'!V466</f>
        <v>APAGADO</v>
      </c>
      <c r="P363" s="70" t="str">
        <f>'RESUMEN TOTAL'!W466</f>
        <v>APAGADO</v>
      </c>
      <c r="Q363" s="70" t="str">
        <f>'RESUMEN TOTAL'!X466</f>
        <v>APAGADO</v>
      </c>
      <c r="R363" s="70" t="str">
        <f>'RESUMEN TOTAL'!Y466</f>
        <v>APAGADO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 t="str">
        <f>'RESUMEN TOTAL'!AD466</f>
        <v>APAGADO</v>
      </c>
      <c r="X363" s="70" t="str">
        <f>'RESUMEN TOTAL'!AE466</f>
        <v>APAGADO</v>
      </c>
      <c r="Y363" s="70" t="str">
        <f>'RESUMEN TOTAL'!AF466</f>
        <v>APAGADO</v>
      </c>
      <c r="Z363" s="70">
        <f>'RESUMEN TOTAL'!AG466</f>
        <v>0</v>
      </c>
      <c r="AA363" s="70">
        <f>'RESUMEN TOTAL'!AH466</f>
        <v>0</v>
      </c>
      <c r="AB363" s="70" t="str">
        <f>'RESUMEN TOTAL'!AI466</f>
        <v>APAGADO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</row>
    <row r="364" spans="1:33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 t="str">
        <f>'RESUMEN TOTAL'!U469</f>
        <v>APAGADO</v>
      </c>
      <c r="O364" s="70">
        <f>'RESUMEN TOTAL'!V469</f>
        <v>0</v>
      </c>
      <c r="P364" s="70" t="str">
        <f>'RESUMEN TOTAL'!W469</f>
        <v>APAGADO</v>
      </c>
      <c r="Q364" s="70" t="str">
        <f>'RESUMEN TOTAL'!X469</f>
        <v>APAGADO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</row>
    <row r="365" spans="1:33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>
        <f>'RESUMEN TOTAL'!S470</f>
        <v>0</v>
      </c>
      <c r="M365" s="70">
        <f>'RESUMEN TOTAL'!T470</f>
        <v>0</v>
      </c>
      <c r="N365" s="70" t="str">
        <f>'RESUMEN TOTAL'!U470</f>
        <v>APAGADO</v>
      </c>
      <c r="O365" s="70" t="str">
        <f>'RESUMEN TOTAL'!V470</f>
        <v>APAGADO</v>
      </c>
      <c r="P365" s="70" t="str">
        <f>'RESUMEN TOTAL'!W470</f>
        <v>APAGADO</v>
      </c>
      <c r="Q365" s="70" t="str">
        <f>'RESUMEN TOTAL'!X470</f>
        <v>APAGADO</v>
      </c>
      <c r="R365" s="70" t="str">
        <f>'RESUMEN TOTAL'!Y470</f>
        <v>APAGADO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 t="str">
        <f>'RESUMEN TOTAL'!AD470</f>
        <v>APAGADO</v>
      </c>
      <c r="X365" s="70" t="str">
        <f>'RESUMEN TOTAL'!AE470</f>
        <v>APAGADO</v>
      </c>
      <c r="Y365" s="70" t="str">
        <f>'RESUMEN TOTAL'!AF470</f>
        <v>APAGADO</v>
      </c>
      <c r="Z365" s="70">
        <f>'RESUMEN TOTAL'!AG470</f>
        <v>0</v>
      </c>
      <c r="AA365" s="70">
        <f>'RESUMEN TOTAL'!AH470</f>
        <v>0</v>
      </c>
      <c r="AB365" s="70" t="str">
        <f>'RESUMEN TOTAL'!AI470</f>
        <v>APAGADO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</row>
    <row r="366" spans="1:33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</row>
    <row r="367" spans="1:33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</row>
    <row r="368" spans="1:33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</row>
    <row r="369" spans="1:33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</row>
    <row r="370" spans="1:33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</row>
    <row r="371" spans="1:33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</row>
    <row r="372" spans="1:33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</row>
    <row r="373" spans="1:33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</row>
    <row r="374" spans="1:33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</row>
    <row r="375" spans="1:33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</row>
    <row r="376" spans="1:33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</row>
    <row r="377" spans="1:33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</row>
    <row r="378" spans="1:33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</row>
    <row r="379" spans="1:33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</row>
    <row r="380" spans="1:33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</row>
    <row r="381" spans="1:33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</row>
    <row r="382" spans="1:33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</row>
    <row r="383" spans="1:33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 t="str">
        <f>'RESUMEN TOTAL'!O495</f>
        <v>APAGADO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</row>
    <row r="384" spans="1:33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</row>
    <row r="385" spans="1:33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</row>
    <row r="386" spans="1:33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</row>
    <row r="387" spans="1:33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</row>
    <row r="388" spans="1:33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</row>
    <row r="389" spans="1:33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</row>
    <row r="390" spans="1:33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</row>
    <row r="391" spans="1:33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</row>
    <row r="392" spans="1:33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 t="str">
        <f>'RESUMEN TOTAL'!U504</f>
        <v>APAGADO</v>
      </c>
      <c r="O392" s="70" t="str">
        <f>'RESUMEN TOTAL'!V504</f>
        <v>APAGADO</v>
      </c>
      <c r="P392" s="70" t="str">
        <f>'RESUMEN TOTAL'!W504</f>
        <v>APAGADO</v>
      </c>
      <c r="Q392" s="70" t="str">
        <f>'RESUMEN TOTAL'!X504</f>
        <v>APAGADO</v>
      </c>
      <c r="R392" s="70" t="str">
        <f>'RESUMEN TOTAL'!Y504</f>
        <v>APAGADO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</row>
    <row r="393" spans="1:33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 t="str">
        <f>'RESUMEN TOTAL'!U505</f>
        <v>APAGADO</v>
      </c>
      <c r="O393" s="70" t="str">
        <f>'RESUMEN TOTAL'!V505</f>
        <v>APAGADO</v>
      </c>
      <c r="P393" s="70" t="str">
        <f>'RESUMEN TOTAL'!W505</f>
        <v>APAGADO</v>
      </c>
      <c r="Q393" s="70" t="str">
        <f>'RESUMEN TOTAL'!X505</f>
        <v>APAGADO</v>
      </c>
      <c r="R393" s="70" t="str">
        <f>'RESUMEN TOTAL'!Y505</f>
        <v>APAGADO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</row>
    <row r="394" spans="1:33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</row>
    <row r="395" spans="1:33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</row>
    <row r="396" spans="1:33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</row>
    <row r="397" spans="1:33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</row>
    <row r="398" spans="1:33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</row>
    <row r="399" spans="1:33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</row>
    <row r="400" spans="1:33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 t="str">
        <f>'RESUMEN TOTAL'!R512</f>
        <v>APAGADO</v>
      </c>
      <c r="L400" s="70">
        <f>'RESUMEN TOTAL'!S512</f>
        <v>0</v>
      </c>
      <c r="M400" s="70">
        <f>'RESUMEN TOTAL'!T512</f>
        <v>0</v>
      </c>
      <c r="N400" s="70" t="str">
        <f>'RESUMEN TOTAL'!U512</f>
        <v>APAGADO</v>
      </c>
      <c r="O400" s="70" t="str">
        <f>'RESUMEN TOTAL'!V512</f>
        <v>APAGADO</v>
      </c>
      <c r="P400" s="70" t="str">
        <f>'RESUMEN TOTAL'!W512</f>
        <v>APAGADO</v>
      </c>
      <c r="Q400" s="70" t="str">
        <f>'RESUMEN TOTAL'!X512</f>
        <v>APAGADO</v>
      </c>
      <c r="R400" s="70" t="str">
        <f>'RESUMEN TOTAL'!Y512</f>
        <v>APAGADO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</row>
    <row r="401" spans="1:33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</row>
    <row r="402" spans="1:33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TOTAL'!M514</f>
        <v>0</v>
      </c>
      <c r="G402" s="70">
        <f>'RESUMEN TOTAL'!N514</f>
        <v>0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</row>
    <row r="403" spans="1:33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>
        <f>'RESUMEN TOTAL'!N515</f>
        <v>0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 t="str">
        <f>'RESUMEN TOTAL'!X515</f>
        <v>APAGADO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 t="str">
        <f>'RESUMEN TOTAL'!AF515</f>
        <v>APAGADO</v>
      </c>
      <c r="Z403" s="70">
        <f>'RESUMEN TOTAL'!AG515</f>
        <v>0</v>
      </c>
      <c r="AA403" s="70">
        <f>'RESUMEN TOTAL'!AH515</f>
        <v>0</v>
      </c>
      <c r="AB403" s="70" t="str">
        <f>'RESUMEN TOTAL'!AI515</f>
        <v>APAGADO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</row>
    <row r="404" spans="1:33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</row>
    <row r="405" spans="1:33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 t="str">
        <f>'RESUMEN TOTAL'!U517</f>
        <v>APAGADO</v>
      </c>
      <c r="O405" s="70" t="str">
        <f>'RESUMEN TOTAL'!V517</f>
        <v>APAGADO</v>
      </c>
      <c r="P405" s="70" t="str">
        <f>'RESUMEN TOTAL'!W517</f>
        <v>APAGADO</v>
      </c>
      <c r="Q405" s="70" t="str">
        <f>'RESUMEN TOTAL'!X517</f>
        <v>APAGADO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</row>
    <row r="406" spans="1:33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</row>
    <row r="407" spans="1:33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 t="str">
        <f>'RESUMEN TOTAL'!O519</f>
        <v>APAGADO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>
        <f>'RESUMEN TOTAL'!S519</f>
        <v>0</v>
      </c>
      <c r="M407" s="70">
        <f>'RESUMEN TOTAL'!T519</f>
        <v>0</v>
      </c>
      <c r="N407" s="70" t="str">
        <f>'RESUMEN TOTAL'!U519</f>
        <v>APAGADO</v>
      </c>
      <c r="O407" s="70" t="str">
        <f>'RESUMEN TOTAL'!V519</f>
        <v>APAGADO</v>
      </c>
      <c r="P407" s="70" t="str">
        <f>'RESUMEN TOTAL'!W519</f>
        <v>APAGADO</v>
      </c>
      <c r="Q407" s="70" t="str">
        <f>'RESUMEN TOTAL'!X519</f>
        <v>APAGADO</v>
      </c>
      <c r="R407" s="70" t="str">
        <f>'RESUMEN TOTAL'!Y519</f>
        <v>APAGADO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 t="str">
        <f>'RESUMEN TOTAL'!AD519</f>
        <v>APAGADO</v>
      </c>
      <c r="X407" s="70" t="str">
        <f>'RESUMEN TOTAL'!AE519</f>
        <v>APAGADO</v>
      </c>
      <c r="Y407" s="70" t="str">
        <f>'RESUMEN TOTAL'!AF519</f>
        <v>APAGADO</v>
      </c>
      <c r="Z407" s="70">
        <f>'RESUMEN TOTAL'!AG519</f>
        <v>0</v>
      </c>
      <c r="AA407" s="70">
        <f>'RESUMEN TOTAL'!AH519</f>
        <v>0</v>
      </c>
      <c r="AB407" s="70" t="str">
        <f>'RESUMEN TOTAL'!AI519</f>
        <v>APAGADO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</row>
    <row r="408" spans="1:33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 t="str">
        <f>'RESUMEN TOTAL'!U520</f>
        <v>APAGADO</v>
      </c>
      <c r="O408" s="70" t="str">
        <f>'RESUMEN TOTAL'!V520</f>
        <v>APAGADO</v>
      </c>
      <c r="P408" s="70" t="str">
        <f>'RESUMEN TOTAL'!W520</f>
        <v>APAGADO</v>
      </c>
      <c r="Q408" s="70" t="str">
        <f>'RESUMEN TOTAL'!X520</f>
        <v>APAGADO</v>
      </c>
      <c r="R408" s="70" t="str">
        <f>'RESUMEN TOTAL'!Y520</f>
        <v>APAGADO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</row>
    <row r="409" spans="1:33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</row>
    <row r="410" spans="1:33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</row>
    <row r="411" spans="1:33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 t="str">
        <f>'RESUMEN TOTAL'!U523</f>
        <v>APAGADO</v>
      </c>
      <c r="O411" s="70" t="str">
        <f>'RESUMEN TOTAL'!V523</f>
        <v>APAGADO</v>
      </c>
      <c r="P411" s="70" t="str">
        <f>'RESUMEN TOTAL'!W523</f>
        <v>APAGADO</v>
      </c>
      <c r="Q411" s="70" t="str">
        <f>'RESUMEN TOTAL'!X523</f>
        <v>APAGADO</v>
      </c>
      <c r="R411" s="70" t="str">
        <f>'RESUMEN TOTAL'!Y523</f>
        <v>APAGADO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</row>
    <row r="412" spans="1:33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 t="str">
        <f>'RESUMEN TOTAL'!U524</f>
        <v>APAGADO</v>
      </c>
      <c r="O412" s="70" t="str">
        <f>'RESUMEN TOTAL'!V524</f>
        <v>APAGADO</v>
      </c>
      <c r="P412" s="70" t="str">
        <f>'RESUMEN TOTAL'!W524</f>
        <v>APAGADO</v>
      </c>
      <c r="Q412" s="70" t="str">
        <f>'RESUMEN TOTAL'!X524</f>
        <v>APAGADO</v>
      </c>
      <c r="R412" s="70" t="str">
        <f>'RESUMEN TOTAL'!Y524</f>
        <v>APAGADO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</row>
    <row r="413" spans="1:33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</row>
    <row r="414" spans="1:33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</row>
    <row r="415" spans="1:33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</row>
    <row r="416" spans="1:33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</row>
    <row r="417" spans="1:33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 t="str">
        <f>'RESUMEN TOTAL'!M529</f>
        <v>APAGADO</v>
      </c>
      <c r="G417" s="70" t="str">
        <f>'RESUMEN TOTAL'!N529</f>
        <v>APAGADO</v>
      </c>
      <c r="H417" s="70" t="str">
        <f>'RESUMEN TOTAL'!O529</f>
        <v>APAGADO</v>
      </c>
      <c r="I417" s="70" t="str">
        <f>'RESUMEN TOTAL'!P529</f>
        <v>APAGADO</v>
      </c>
      <c r="J417" s="70" t="str">
        <f>'RESUMEN TOTAL'!Q529</f>
        <v>APAGADO</v>
      </c>
      <c r="K417" s="70" t="str">
        <f>'RESUMEN TOTAL'!R529</f>
        <v>APAGADO</v>
      </c>
      <c r="L417" s="70">
        <f>'RESUMEN TOTAL'!S529</f>
        <v>0</v>
      </c>
      <c r="M417" s="70">
        <f>'RESUMEN TOTAL'!T529</f>
        <v>0</v>
      </c>
      <c r="N417" s="70" t="str">
        <f>'RESUMEN TOTAL'!U529</f>
        <v>APAGADO</v>
      </c>
      <c r="O417" s="70" t="str">
        <f>'RESUMEN TOTAL'!V529</f>
        <v>APAGADO</v>
      </c>
      <c r="P417" s="70" t="str">
        <f>'RESUMEN TOTAL'!W529</f>
        <v>APAGADO</v>
      </c>
      <c r="Q417" s="70" t="str">
        <f>'RESUMEN TOTAL'!X529</f>
        <v>APAGADO</v>
      </c>
      <c r="R417" s="70" t="str">
        <f>'RESUMEN TOTAL'!Y529</f>
        <v>APAGADO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 t="str">
        <f>'RESUMEN TOTAL'!AE529</f>
        <v>APAGADO</v>
      </c>
      <c r="Y417" s="70" t="str">
        <f>'RESUMEN TOTAL'!AF529</f>
        <v>APAGADO</v>
      </c>
      <c r="Z417" s="70">
        <f>'RESUMEN TOTAL'!AG529</f>
        <v>0</v>
      </c>
      <c r="AA417" s="70">
        <f>'RESUMEN TOTAL'!AH529</f>
        <v>0</v>
      </c>
      <c r="AB417" s="70" t="str">
        <f>'RESUMEN TOTAL'!AI529</f>
        <v>APAGADO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</row>
    <row r="418" spans="1:33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</row>
    <row r="419" spans="1:33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</row>
    <row r="420" spans="1:33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</row>
    <row r="421" spans="1:33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</row>
    <row r="422" spans="1:33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</row>
    <row r="423" spans="1:33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</row>
    <row r="424" spans="1:33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</row>
    <row r="425" spans="1:33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</row>
    <row r="426" spans="1:33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</row>
    <row r="427" spans="1:33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TOTAL'!M545</f>
        <v>0</v>
      </c>
      <c r="G427" s="70">
        <f>'RESUMEN TOTAL'!N545</f>
        <v>0</v>
      </c>
      <c r="H427" s="70">
        <f>'RESUMEN TOTAL'!O545</f>
        <v>0</v>
      </c>
      <c r="I427" s="70">
        <f>'RESUMEN TOTAL'!P545</f>
        <v>0</v>
      </c>
      <c r="J427" s="70">
        <f>'RESUMEN TOTAL'!Q545</f>
        <v>0</v>
      </c>
      <c r="K427" s="70" t="str">
        <f>'RESUMEN TOTAL'!R545</f>
        <v>APAGADO</v>
      </c>
      <c r="L427" s="70">
        <f>'RESUMEN TOTAL'!S545</f>
        <v>0</v>
      </c>
      <c r="M427" s="70">
        <f>'RESUMEN TOTAL'!T545</f>
        <v>0</v>
      </c>
      <c r="N427" s="70" t="str">
        <f>'RESUMEN TOTAL'!U545</f>
        <v>APAGADO</v>
      </c>
      <c r="O427" s="70" t="str">
        <f>'RESUMEN TOTAL'!V545</f>
        <v>APAGADO</v>
      </c>
      <c r="P427" s="70" t="str">
        <f>'RESUMEN TOTAL'!W545</f>
        <v>APAGADO</v>
      </c>
      <c r="Q427" s="70" t="str">
        <f>'RESUMEN TOTAL'!X545</f>
        <v>APAGADO</v>
      </c>
      <c r="R427" s="70" t="str">
        <f>'RESUMEN TOTAL'!Y545</f>
        <v>APAGADO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 t="str">
        <f>'RESUMEN TOTAL'!AD545</f>
        <v>APAGADO</v>
      </c>
      <c r="X427" s="70" t="str">
        <f>'RESUMEN TOTAL'!AE545</f>
        <v>APAGADO</v>
      </c>
      <c r="Y427" s="70" t="str">
        <f>'RESUMEN TOTAL'!AF545</f>
        <v>APAGADO</v>
      </c>
      <c r="Z427" s="70">
        <f>'RESUMEN TOTAL'!AG545</f>
        <v>0</v>
      </c>
      <c r="AA427" s="70">
        <f>'RESUMEN TOTAL'!AH545</f>
        <v>0</v>
      </c>
      <c r="AB427" s="70" t="str">
        <f>'RESUMEN TOTAL'!AI545</f>
        <v>APAGADO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</row>
    <row r="428" spans="1:33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</row>
    <row r="429" spans="1:33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</row>
    <row r="430" spans="1:33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</row>
    <row r="431" spans="1:33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</row>
    <row r="432" spans="1:33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 t="str">
        <f>'RESUMEN TOTAL'!AD551</f>
        <v>APAGADO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</row>
    <row r="433" spans="1:33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</row>
    <row r="434" spans="1:33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</row>
    <row r="435" spans="1:33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</row>
    <row r="436" spans="1:33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>
        <f>'RESUMEN TOTAL'!S558</f>
        <v>0</v>
      </c>
      <c r="M436" s="70">
        <f>'RESUMEN TOTAL'!T558</f>
        <v>0</v>
      </c>
      <c r="N436" s="70" t="str">
        <f>'RESUMEN TOTAL'!U558</f>
        <v>APAGADO</v>
      </c>
      <c r="O436" s="70" t="str">
        <f>'RESUMEN TOTAL'!V558</f>
        <v>APAGADO</v>
      </c>
      <c r="P436" s="70" t="str">
        <f>'RESUMEN TOTAL'!W558</f>
        <v>APAGADO</v>
      </c>
      <c r="Q436" s="70" t="str">
        <f>'RESUMEN TOTAL'!X558</f>
        <v>APAGADO</v>
      </c>
      <c r="R436" s="70" t="str">
        <f>'RESUMEN TOTAL'!Y558</f>
        <v>APAGADO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 t="str">
        <f>'RESUMEN TOTAL'!AD558</f>
        <v>APAGADO</v>
      </c>
      <c r="X436" s="70" t="str">
        <f>'RESUMEN TOTAL'!AE558</f>
        <v>APAGADO</v>
      </c>
      <c r="Y436" s="70" t="str">
        <f>'RESUMEN TOTAL'!AF558</f>
        <v>APAGADO</v>
      </c>
      <c r="Z436" s="70">
        <f>'RESUMEN TOTAL'!AG558</f>
        <v>0</v>
      </c>
      <c r="AA436" s="70">
        <f>'RESUMEN TOTAL'!AH558</f>
        <v>0</v>
      </c>
      <c r="AB436" s="70" t="str">
        <f>'RESUMEN TOTAL'!AI558</f>
        <v>APAGADO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</row>
    <row r="437" spans="1:33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</row>
    <row r="438" spans="1:33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>
        <f>'RESUMEN TOTAL'!S560</f>
        <v>0</v>
      </c>
      <c r="M438" s="70">
        <f>'RESUMEN TOTAL'!T560</f>
        <v>0</v>
      </c>
      <c r="N438" s="70" t="str">
        <f>'RESUMEN TOTAL'!U560</f>
        <v>APAGADO</v>
      </c>
      <c r="O438" s="70" t="str">
        <f>'RESUMEN TOTAL'!V560</f>
        <v>APAGADO</v>
      </c>
      <c r="P438" s="70" t="str">
        <f>'RESUMEN TOTAL'!W560</f>
        <v>APAGADO</v>
      </c>
      <c r="Q438" s="70" t="str">
        <f>'RESUMEN TOTAL'!X560</f>
        <v>APAGADO</v>
      </c>
      <c r="R438" s="70" t="str">
        <f>'RESUMEN TOTAL'!Y560</f>
        <v>APAGADO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 t="str">
        <f>'RESUMEN TOTAL'!AD560</f>
        <v>APAGADO</v>
      </c>
      <c r="X438" s="70" t="str">
        <f>'RESUMEN TOTAL'!AE560</f>
        <v>APAGADO</v>
      </c>
      <c r="Y438" s="70" t="str">
        <f>'RESUMEN TOTAL'!AF560</f>
        <v>APAGADO</v>
      </c>
      <c r="Z438" s="70">
        <f>'RESUMEN TOTAL'!AG560</f>
        <v>0</v>
      </c>
      <c r="AA438" s="70">
        <f>'RESUMEN TOTAL'!AH560</f>
        <v>0</v>
      </c>
      <c r="AB438" s="70" t="str">
        <f>'RESUMEN TOTAL'!AI560</f>
        <v>APAGADO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</row>
    <row r="439" spans="1:33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</row>
    <row r="440" spans="1:33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</row>
    <row r="441" spans="1:33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</row>
    <row r="442" spans="1:33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</row>
    <row r="443" spans="1:33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</row>
    <row r="444" spans="1:33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</row>
    <row r="445" spans="1:33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>
        <f>'RESUMEN TOTAL'!S568</f>
        <v>0</v>
      </c>
      <c r="M445" s="70">
        <f>'RESUMEN TOTAL'!T568</f>
        <v>0</v>
      </c>
      <c r="N445" s="70" t="str">
        <f>'RESUMEN TOTAL'!U568</f>
        <v>APAGADO</v>
      </c>
      <c r="O445" s="70" t="str">
        <f>'RESUMEN TOTAL'!V568</f>
        <v>APAGADO</v>
      </c>
      <c r="P445" s="70" t="str">
        <f>'RESUMEN TOTAL'!W568</f>
        <v>APAGADO</v>
      </c>
      <c r="Q445" s="70" t="str">
        <f>'RESUMEN TOTAL'!X568</f>
        <v>APAGADO</v>
      </c>
      <c r="R445" s="70" t="str">
        <f>'RESUMEN TOTAL'!Y568</f>
        <v>APAGADO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 t="str">
        <f>'RESUMEN TOTAL'!AD568</f>
        <v>APAGADO</v>
      </c>
      <c r="X445" s="70" t="str">
        <f>'RESUMEN TOTAL'!AE568</f>
        <v>APAGADO</v>
      </c>
      <c r="Y445" s="70" t="str">
        <f>'RESUMEN TOTAL'!AF568</f>
        <v>APAGADO</v>
      </c>
      <c r="Z445" s="70">
        <f>'RESUMEN TOTAL'!AG568</f>
        <v>0</v>
      </c>
      <c r="AA445" s="70">
        <f>'RESUMEN TOTAL'!AH568</f>
        <v>0</v>
      </c>
      <c r="AB445" s="70" t="str">
        <f>'RESUMEN TOTAL'!AI568</f>
        <v>APAGADO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</row>
    <row r="446" spans="1:33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>
        <f>'RESUMEN TOTAL'!S569</f>
        <v>0</v>
      </c>
      <c r="M446" s="70">
        <f>'RESUMEN TOTAL'!T569</f>
        <v>0</v>
      </c>
      <c r="N446" s="70" t="str">
        <f>'RESUMEN TOTAL'!U569</f>
        <v>APAGADO</v>
      </c>
      <c r="O446" s="70" t="str">
        <f>'RESUMEN TOTAL'!V569</f>
        <v>APAGADO</v>
      </c>
      <c r="P446" s="70" t="str">
        <f>'RESUMEN TOTAL'!W569</f>
        <v>APAGADO</v>
      </c>
      <c r="Q446" s="70" t="str">
        <f>'RESUMEN TOTAL'!X569</f>
        <v>APAGADO</v>
      </c>
      <c r="R446" s="70" t="str">
        <f>'RESUMEN TOTAL'!Y569</f>
        <v>APAGADO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 t="str">
        <f>'RESUMEN TOTAL'!AD569</f>
        <v>APAGADO</v>
      </c>
      <c r="X446" s="70" t="str">
        <f>'RESUMEN TOTAL'!AE569</f>
        <v>APAGADO</v>
      </c>
      <c r="Y446" s="70" t="str">
        <f>'RESUMEN TOTAL'!AF569</f>
        <v>APAGADO</v>
      </c>
      <c r="Z446" s="70">
        <f>'RESUMEN TOTAL'!AG569</f>
        <v>0</v>
      </c>
      <c r="AA446" s="70">
        <f>'RESUMEN TOTAL'!AH569</f>
        <v>0</v>
      </c>
      <c r="AB446" s="70" t="str">
        <f>'RESUMEN TOTAL'!AI569</f>
        <v>APAGADO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</row>
    <row r="447" spans="1:33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>
        <f>'RESUMEN TOTAL'!S570</f>
        <v>0</v>
      </c>
      <c r="M447" s="70">
        <f>'RESUMEN TOTAL'!T570</f>
        <v>0</v>
      </c>
      <c r="N447" s="70" t="str">
        <f>'RESUMEN TOTAL'!U570</f>
        <v>APAGADO</v>
      </c>
      <c r="O447" s="70" t="str">
        <f>'RESUMEN TOTAL'!V570</f>
        <v>APAGADO</v>
      </c>
      <c r="P447" s="70" t="str">
        <f>'RESUMEN TOTAL'!W570</f>
        <v>APAGADO</v>
      </c>
      <c r="Q447" s="70" t="str">
        <f>'RESUMEN TOTAL'!X570</f>
        <v>APAGADO</v>
      </c>
      <c r="R447" s="70" t="str">
        <f>'RESUMEN TOTAL'!Y570</f>
        <v>APAGADO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 t="str">
        <f>'RESUMEN TOTAL'!AD570</f>
        <v>APAGADO</v>
      </c>
      <c r="X447" s="70" t="str">
        <f>'RESUMEN TOTAL'!AE570</f>
        <v>APAGADO</v>
      </c>
      <c r="Y447" s="70" t="str">
        <f>'RESUMEN TOTAL'!AF570</f>
        <v>APAGADO</v>
      </c>
      <c r="Z447" s="70">
        <f>'RESUMEN TOTAL'!AG570</f>
        <v>0</v>
      </c>
      <c r="AA447" s="70">
        <f>'RESUMEN TOTAL'!AH570</f>
        <v>0</v>
      </c>
      <c r="AB447" s="70" t="str">
        <f>'RESUMEN TOTAL'!AI570</f>
        <v>APAGADO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</row>
    <row r="448" spans="1:33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>
        <f>'RESUMEN TOTAL'!S571</f>
        <v>0</v>
      </c>
      <c r="M448" s="70">
        <f>'RESUMEN TOTAL'!T571</f>
        <v>0</v>
      </c>
      <c r="N448" s="70" t="str">
        <f>'RESUMEN TOTAL'!U571</f>
        <v>APAGADO</v>
      </c>
      <c r="O448" s="70" t="str">
        <f>'RESUMEN TOTAL'!V571</f>
        <v>APAGADO</v>
      </c>
      <c r="P448" s="70" t="str">
        <f>'RESUMEN TOTAL'!W571</f>
        <v>APAGADO</v>
      </c>
      <c r="Q448" s="70" t="str">
        <f>'RESUMEN TOTAL'!X571</f>
        <v>APAGADO</v>
      </c>
      <c r="R448" s="70" t="str">
        <f>'RESUMEN TOTAL'!Y571</f>
        <v>APAGADO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 t="str">
        <f>'RESUMEN TOTAL'!AD571</f>
        <v>APAGADO</v>
      </c>
      <c r="X448" s="70" t="str">
        <f>'RESUMEN TOTAL'!AE571</f>
        <v>APAGADO</v>
      </c>
      <c r="Y448" s="70" t="str">
        <f>'RESUMEN TOTAL'!AF571</f>
        <v>APAGADO</v>
      </c>
      <c r="Z448" s="70">
        <f>'RESUMEN TOTAL'!AG571</f>
        <v>0</v>
      </c>
      <c r="AA448" s="70">
        <f>'RESUMEN TOTAL'!AH571</f>
        <v>0</v>
      </c>
      <c r="AB448" s="70" t="str">
        <f>'RESUMEN TOTAL'!AI571</f>
        <v>APAGADO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</row>
    <row r="449" spans="1:33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 t="str">
        <f>'RESUMEN TOTAL'!V572</f>
        <v>APAGADO</v>
      </c>
      <c r="P449" s="70" t="str">
        <f>'RESUMEN TOTAL'!W572</f>
        <v>APAGADO</v>
      </c>
      <c r="Q449" s="70" t="str">
        <f>'RESUMEN TOTAL'!X572</f>
        <v>APAGADO</v>
      </c>
      <c r="R449" s="70" t="str">
        <f>'RESUMEN TOTAL'!Y572</f>
        <v>APAGADO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 t="str">
        <f>'RESUMEN TOTAL'!AD572</f>
        <v>APAGADO</v>
      </c>
      <c r="X449" s="70" t="str">
        <f>'RESUMEN TOTAL'!AE572</f>
        <v>APAGADO</v>
      </c>
      <c r="Y449" s="70" t="str">
        <f>'RESUMEN TOTAL'!AF572</f>
        <v>APAGADO</v>
      </c>
      <c r="Z449" s="70">
        <f>'RESUMEN TOTAL'!AG572</f>
        <v>0</v>
      </c>
      <c r="AA449" s="70">
        <f>'RESUMEN TOTAL'!AH572</f>
        <v>0</v>
      </c>
      <c r="AB449" s="70" t="str">
        <f>'RESUMEN TOTAL'!AI572</f>
        <v>APAGADO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</row>
    <row r="450" spans="1:33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</row>
    <row r="451" spans="1:33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</row>
    <row r="452" spans="1:33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 t="str">
        <f>'RESUMEN TOTAL'!P577</f>
        <v>APAGADO</v>
      </c>
      <c r="J452" s="70" t="str">
        <f>'RESUMEN TOTAL'!Q577</f>
        <v>APAGADO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</row>
    <row r="453" spans="1:33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</row>
    <row r="454" spans="1:33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</row>
    <row r="455" spans="1:33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</row>
    <row r="456" spans="1:33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</row>
    <row r="457" spans="1:33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</row>
    <row r="458" spans="1:33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</row>
    <row r="459" spans="1:33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</row>
    <row r="460" spans="1:33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TOTAL'!M586</f>
        <v>APAGADO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>
        <f>'RESUMEN TOTAL'!S586</f>
        <v>0</v>
      </c>
      <c r="M460" s="70">
        <f>'RESUMEN TOTAL'!T586</f>
        <v>0</v>
      </c>
      <c r="N460" s="70" t="str">
        <f>'RESUMEN TOTAL'!U586</f>
        <v>APAGADO</v>
      </c>
      <c r="O460" s="70" t="str">
        <f>'RESUMEN TOTAL'!V586</f>
        <v>APAGADO</v>
      </c>
      <c r="P460" s="70" t="str">
        <f>'RESUMEN TOTAL'!W586</f>
        <v>APAGADO</v>
      </c>
      <c r="Q460" s="70" t="str">
        <f>'RESUMEN TOTAL'!X586</f>
        <v>APAGADO</v>
      </c>
      <c r="R460" s="70" t="str">
        <f>'RESUMEN TOTAL'!Y586</f>
        <v>APAGADO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 t="str">
        <f>'RESUMEN TOTAL'!AD586</f>
        <v>APAGADO</v>
      </c>
      <c r="X460" s="70" t="str">
        <f>'RESUMEN TOTAL'!AE586</f>
        <v>APAGADO</v>
      </c>
      <c r="Y460" s="70" t="str">
        <f>'RESUMEN TOTAL'!AF586</f>
        <v>APAGADO</v>
      </c>
      <c r="Z460" s="70">
        <f>'RESUMEN TOTAL'!AG586</f>
        <v>0</v>
      </c>
      <c r="AA460" s="70">
        <f>'RESUMEN TOTAL'!AH586</f>
        <v>0</v>
      </c>
      <c r="AB460" s="70" t="str">
        <f>'RESUMEN TOTAL'!AI586</f>
        <v>APAGADO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</row>
    <row r="461" spans="1:33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</row>
    <row r="462" spans="1:33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</row>
    <row r="463" spans="1:33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</row>
    <row r="464" spans="1:33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</row>
    <row r="465" spans="1:33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</row>
    <row r="466" spans="1:33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</row>
    <row r="467" spans="1:33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</row>
    <row r="468" spans="1:33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</row>
    <row r="469" spans="1:33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</row>
    <row r="470" spans="1:33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</row>
    <row r="471" spans="1:33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</row>
    <row r="472" spans="1:33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</row>
    <row r="473" spans="1:33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</row>
    <row r="474" spans="1:33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</row>
    <row r="475" spans="1:33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</row>
    <row r="476" spans="1:33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</row>
    <row r="477" spans="1:33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</row>
    <row r="478" spans="1:33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</row>
    <row r="479" spans="1:33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</row>
    <row r="480" spans="1:33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</row>
    <row r="481" spans="1:33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</row>
    <row r="482" spans="1:33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</row>
    <row r="483" spans="1:33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</row>
    <row r="484" spans="1:33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</row>
    <row r="485" spans="1:33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</row>
    <row r="486" spans="1:33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</row>
    <row r="487" spans="1:33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</row>
    <row r="488" spans="1:33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</row>
    <row r="489" spans="1:33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</row>
    <row r="490" spans="1:33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</row>
    <row r="491" spans="1:33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</row>
    <row r="492" spans="1:33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</row>
    <row r="493" spans="1:33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</row>
    <row r="494" spans="1:33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</row>
    <row r="495" spans="1:33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</row>
    <row r="496" spans="1:33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</row>
    <row r="497" spans="1:33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</row>
    <row r="498" spans="1:33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</row>
    <row r="499" spans="1:33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</row>
    <row r="500" spans="1:33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</row>
    <row r="501" spans="1:33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</row>
    <row r="502" spans="1:33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</row>
    <row r="503" spans="1:33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</row>
    <row r="504" spans="1:33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</row>
    <row r="505" spans="1:33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</row>
    <row r="506" spans="1:33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</row>
    <row r="507" spans="1:33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</row>
    <row r="508" spans="1:33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</row>
    <row r="509" spans="1:33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</row>
    <row r="510" spans="1:33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</row>
    <row r="511" spans="1:33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</row>
    <row r="512" spans="1:33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</row>
    <row r="513" spans="1:33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</row>
    <row r="514" spans="1:33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</row>
    <row r="515" spans="1:33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</row>
    <row r="516" spans="1:33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</row>
    <row r="517" spans="1:33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</row>
    <row r="518" spans="1:33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</row>
    <row r="519" spans="1:33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</row>
    <row r="520" spans="1:33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</row>
    <row r="521" spans="1:33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</row>
    <row r="522" spans="1:33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</row>
    <row r="523" spans="1:33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</row>
    <row r="524" spans="1:33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</row>
    <row r="525" spans="1:33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</row>
    <row r="526" spans="1:33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</row>
    <row r="527" spans="1:33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</row>
    <row r="528" spans="1:33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</row>
    <row r="529" spans="1:33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</row>
    <row r="530" spans="1:33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</row>
    <row r="531" spans="1:33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</row>
    <row r="532" spans="1:33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</row>
    <row r="533" spans="1:33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</row>
    <row r="534" spans="1:33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</row>
    <row r="535" spans="1:33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</row>
    <row r="536" spans="1:33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</row>
    <row r="537" spans="1:33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</row>
    <row r="538" spans="1:33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</row>
    <row r="539" spans="1:33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</row>
    <row r="540" spans="1:33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</row>
    <row r="541" spans="1:33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</row>
    <row r="542" spans="1:33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</row>
    <row r="543" spans="1:33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</row>
    <row r="544" spans="1:33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</row>
    <row r="545" spans="1:33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</row>
    <row r="546" spans="1:33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</row>
    <row r="547" spans="1:33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</row>
    <row r="548" spans="1:33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</row>
    <row r="549" spans="1:33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</row>
    <row r="550" spans="1:33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</row>
    <row r="551" spans="1:33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</row>
    <row r="552" spans="1:33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</row>
    <row r="553" spans="1:33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</row>
    <row r="554" spans="1:33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</row>
    <row r="555" spans="1:33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</row>
    <row r="556" spans="1:33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</row>
    <row r="557" spans="1:33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</row>
    <row r="558" spans="1:33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</row>
    <row r="559" spans="1:33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</row>
    <row r="560" spans="1:33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</row>
    <row r="561" spans="1:33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</row>
    <row r="562" spans="1:33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</row>
    <row r="563" spans="1:33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</row>
    <row r="564" spans="1:33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</row>
    <row r="565" spans="1:33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</row>
    <row r="566" spans="1:33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</row>
    <row r="567" spans="1:33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</row>
    <row r="568" spans="1:33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</row>
    <row r="569" spans="1:33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</row>
    <row r="570" spans="1:33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</row>
    <row r="571" spans="1:33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</row>
    <row r="572" spans="1:33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</row>
    <row r="573" spans="1:33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</row>
    <row r="574" spans="1:33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</row>
    <row r="575" spans="1:33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</row>
    <row r="576" spans="1:33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</row>
    <row r="577" spans="1:33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</row>
    <row r="578" spans="1:33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</row>
    <row r="579" spans="1:33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</row>
    <row r="580" spans="1:33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</row>
    <row r="581" spans="1:33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</row>
    <row r="582" spans="1:33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</row>
    <row r="583" spans="1:33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</row>
    <row r="584" spans="1:33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</row>
    <row r="585" spans="1:33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</row>
    <row r="586" spans="1:33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</row>
    <row r="587" spans="1:33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</row>
    <row r="588" spans="1:33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</row>
    <row r="589" spans="1:33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</row>
    <row r="590" spans="1:33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</row>
    <row r="591" spans="1:33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</row>
    <row r="592" spans="1:33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</row>
    <row r="593" spans="1:33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</row>
    <row r="594" spans="1:33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</row>
    <row r="595" spans="1:33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</row>
    <row r="596" spans="1:33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</row>
    <row r="597" spans="1:33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</row>
    <row r="598" spans="1:33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</row>
    <row r="599" spans="1:33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</row>
    <row r="600" spans="1:33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</row>
    <row r="601" spans="1:33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</row>
    <row r="602" spans="1:33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</row>
    <row r="603" spans="1:33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</row>
    <row r="604" spans="1:33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</row>
    <row r="605" spans="1:33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</row>
    <row r="606" spans="1:33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</row>
    <row r="607" spans="1:33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</row>
    <row r="608" spans="1:33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</row>
    <row r="609" spans="1:33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</row>
    <row r="610" spans="1:33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</row>
    <row r="611" spans="1:33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</row>
    <row r="612" spans="1:33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</row>
    <row r="613" spans="1:33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</row>
    <row r="614" spans="1:33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</row>
    <row r="615" spans="1:33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</row>
    <row r="616" spans="1:33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</row>
    <row r="617" spans="1:33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</row>
    <row r="618" spans="1:33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</row>
    <row r="619" spans="1:33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</row>
    <row r="620" spans="1:33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</row>
    <row r="621" spans="1:33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</row>
    <row r="622" spans="1:33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</row>
    <row r="623" spans="1:33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</row>
    <row r="624" spans="1:33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</row>
    <row r="625" spans="1:33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</row>
    <row r="626" spans="1:33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</row>
    <row r="627" spans="1:33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</row>
    <row r="628" spans="1:33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</row>
    <row r="629" spans="1:33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</row>
    <row r="630" spans="1:33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</row>
    <row r="631" spans="1:33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</row>
    <row r="632" spans="1:33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</row>
    <row r="633" spans="1:33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</row>
    <row r="634" spans="1:33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</row>
    <row r="635" spans="1:33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</row>
    <row r="636" spans="1:33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</row>
    <row r="637" spans="1:33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</row>
    <row r="638" spans="1:33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</row>
    <row r="639" spans="1:33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</row>
    <row r="640" spans="1:33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</row>
    <row r="641" spans="1:33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</row>
    <row r="642" spans="1:33" x14ac:dyDescent="0.25">
      <c r="A642" t="s">
        <v>1300</v>
      </c>
      <c r="B642" t="s">
        <v>1336</v>
      </c>
      <c r="C642" t="s">
        <v>1335</v>
      </c>
      <c r="D642" s="30" t="s">
        <v>1305</v>
      </c>
      <c r="E642" s="30" t="s">
        <v>1299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</row>
    <row r="643" spans="1:33" x14ac:dyDescent="0.25">
      <c r="A643" t="s">
        <v>1300</v>
      </c>
      <c r="B643" t="s">
        <v>1337</v>
      </c>
      <c r="C643" t="s">
        <v>1335</v>
      </c>
      <c r="D643" t="s">
        <v>1298</v>
      </c>
      <c r="E643" s="30" t="s">
        <v>1299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</row>
    <row r="644" spans="1:33" x14ac:dyDescent="0.25">
      <c r="E644" s="30"/>
    </row>
    <row r="645" spans="1:33" x14ac:dyDescent="0.25">
      <c r="E645" s="30"/>
    </row>
    <row r="646" spans="1:33" x14ac:dyDescent="0.25">
      <c r="E646" s="30"/>
    </row>
    <row r="647" spans="1:33" x14ac:dyDescent="0.25">
      <c r="E647" s="30"/>
    </row>
    <row r="648" spans="1:33" x14ac:dyDescent="0.25">
      <c r="E648" s="30"/>
    </row>
    <row r="649" spans="1:33" x14ac:dyDescent="0.25">
      <c r="E649" s="30"/>
    </row>
    <row r="650" spans="1:33" x14ac:dyDescent="0.25">
      <c r="E650" s="30"/>
    </row>
    <row r="651" spans="1:33" x14ac:dyDescent="0.25">
      <c r="E651" s="30"/>
    </row>
    <row r="652" spans="1:33" x14ac:dyDescent="0.25">
      <c r="E652" s="30"/>
    </row>
    <row r="653" spans="1:33" x14ac:dyDescent="0.25">
      <c r="E653" s="30"/>
    </row>
    <row r="654" spans="1:33" x14ac:dyDescent="0.25">
      <c r="E654" s="30"/>
    </row>
    <row r="655" spans="1:33" x14ac:dyDescent="0.25">
      <c r="E655" s="30"/>
    </row>
    <row r="656" spans="1:33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G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showGridLines="0" topLeftCell="F1" zoomScale="90" zoomScaleNormal="90" workbookViewId="0">
      <selection activeCell="W4" sqref="W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0"/>
      <c r="B1" s="44" t="s">
        <v>1068</v>
      </c>
      <c r="C1" s="36">
        <v>45992</v>
      </c>
    </row>
    <row r="2" spans="1:33" ht="16.5" thickTop="1" thickBot="1" x14ac:dyDescent="0.3">
      <c r="A2" s="49" t="s">
        <v>1060</v>
      </c>
      <c r="B2" s="41">
        <f>COUNTIFS('RESUMEN TOTAL'!C8:C621,"=BONOMO")</f>
        <v>308</v>
      </c>
      <c r="C2" s="46">
        <v>0</v>
      </c>
      <c r="F2" s="36">
        <v>46054</v>
      </c>
      <c r="G2" s="36">
        <v>46055</v>
      </c>
      <c r="H2" s="36">
        <v>46056</v>
      </c>
      <c r="I2" s="36">
        <v>46057</v>
      </c>
      <c r="J2" s="36">
        <v>46058</v>
      </c>
      <c r="K2" s="36">
        <v>46059</v>
      </c>
      <c r="L2" s="36">
        <v>46060</v>
      </c>
      <c r="M2" s="36">
        <v>46061</v>
      </c>
      <c r="N2" s="36">
        <v>46062</v>
      </c>
      <c r="O2" s="36">
        <v>46063</v>
      </c>
      <c r="P2" s="36">
        <v>46064</v>
      </c>
      <c r="Q2" s="36">
        <v>46065</v>
      </c>
      <c r="R2" s="36">
        <v>46066</v>
      </c>
      <c r="S2" s="36">
        <v>46067</v>
      </c>
      <c r="T2" s="36">
        <v>46068</v>
      </c>
      <c r="U2" s="36">
        <v>46069</v>
      </c>
      <c r="V2" s="36">
        <v>46070</v>
      </c>
      <c r="W2" s="36">
        <v>46071</v>
      </c>
      <c r="X2" s="36">
        <v>46072</v>
      </c>
      <c r="Y2" s="36">
        <v>46073</v>
      </c>
      <c r="Z2" s="36">
        <v>46074</v>
      </c>
      <c r="AA2" s="36">
        <v>46075</v>
      </c>
      <c r="AB2" s="36">
        <v>46076</v>
      </c>
      <c r="AC2" s="36">
        <v>46077</v>
      </c>
      <c r="AD2" s="36">
        <v>46078</v>
      </c>
      <c r="AE2" s="36">
        <v>46079</v>
      </c>
      <c r="AF2" s="36">
        <v>46080</v>
      </c>
      <c r="AG2" s="36">
        <v>46081</v>
      </c>
    </row>
    <row r="3" spans="1:33" ht="16.5" thickTop="1" thickBot="1" x14ac:dyDescent="0.3">
      <c r="A3" s="42"/>
      <c r="B3" s="43"/>
      <c r="C3" s="50">
        <v>0</v>
      </c>
      <c r="D3" s="38" t="s">
        <v>1060</v>
      </c>
      <c r="E3" s="45" t="s">
        <v>1069</v>
      </c>
      <c r="F3" s="46">
        <v>0</v>
      </c>
      <c r="G3" s="46">
        <v>27</v>
      </c>
      <c r="H3" s="46">
        <v>0</v>
      </c>
      <c r="I3" s="46">
        <v>0</v>
      </c>
      <c r="J3" s="46">
        <v>29</v>
      </c>
      <c r="K3" s="46">
        <f>COUNTIFS('RESUMEN TOTAL'!R8:R698,"=APAGADO",'RESUMEN TOTAL'!C8:C698,"=BONOMO")</f>
        <v>29</v>
      </c>
      <c r="L3" s="46">
        <v>0</v>
      </c>
      <c r="M3" s="46">
        <v>0</v>
      </c>
      <c r="N3" s="46">
        <f>COUNTIFS('RESUMEN TOTAL'!U8:U698,"=APAGADO",'RESUMEN TOTAL'!C8:C698,"=BONOMO")</f>
        <v>26</v>
      </c>
      <c r="O3" s="46">
        <f>COUNTIFS('RESUMEN TOTAL'!V8:V698,"=APAGADO",'RESUMEN TOTAL'!C8:C698,"=BONOMO")</f>
        <v>27</v>
      </c>
      <c r="P3" s="46">
        <f>COUNTIFS('RESUMEN TOTAL'!W8:W698,"=APAGADO",'RESUMEN TOTAL'!C8:C698,"=BONOMO")</f>
        <v>25</v>
      </c>
      <c r="Q3" s="46">
        <f>COUNTIFS('RESUMEN TOTAL'!X8:X698,"=APAGADO",'RESUMEN TOTAL'!C8:C698,"=BONOMO")</f>
        <v>38</v>
      </c>
      <c r="R3" s="46">
        <f>COUNTIFS('RESUMEN TOTAL'!Y8:Y698,"=APAGADO",'RESUMEN TOTAL'!C8:C698,"=BONOMO")</f>
        <v>27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f>COUNTIFS('RESUMEN TOTAL'!AD8:AD698,"=APAGADO",'RESUMEN TOTAL'!C8:C698,"=BONOMO")</f>
        <v>30</v>
      </c>
      <c r="X3" s="46">
        <f>COUNTIFS('RESUMEN TOTAL'!AE8:AE698,"=APAGADO",'RESUMEN TOTAL'!C8:C698,"=BONOMO")</f>
        <v>29</v>
      </c>
      <c r="Y3" s="46">
        <f>COUNTIFS('RESUMEN TOTAL'!AF8:AF698,"=APAGADO",'RESUMEN TOTAL'!C8:C698,"=BONOMO")</f>
        <v>37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37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</row>
    <row r="4" spans="1:33" ht="16.5" thickTop="1" thickBot="1" x14ac:dyDescent="0.3">
      <c r="A4" s="48" t="s">
        <v>1061</v>
      </c>
      <c r="B4" s="41">
        <f>COUNTIFS('RESUMEN TOTAL'!C8:C621,"=COSEIDI")</f>
        <v>276</v>
      </c>
      <c r="C4" s="46">
        <v>0</v>
      </c>
      <c r="D4" s="39"/>
      <c r="E4" s="37" t="s">
        <v>1071</v>
      </c>
      <c r="F4" s="50">
        <v>0</v>
      </c>
      <c r="G4" s="50">
        <f t="shared" ref="G4:AG4" si="0">G3/BONOMOcam</f>
        <v>8.7662337662337664E-2</v>
      </c>
      <c r="H4" s="50">
        <f t="shared" si="0"/>
        <v>0</v>
      </c>
      <c r="I4" s="50">
        <v>0</v>
      </c>
      <c r="J4" s="50">
        <v>0.09</v>
      </c>
      <c r="K4" s="50">
        <f t="shared" si="0"/>
        <v>9.4155844155844159E-2</v>
      </c>
      <c r="L4" s="50">
        <f t="shared" si="0"/>
        <v>0</v>
      </c>
      <c r="M4" s="50">
        <v>0</v>
      </c>
      <c r="N4" s="50">
        <f t="shared" si="0"/>
        <v>8.4415584415584416E-2</v>
      </c>
      <c r="O4" s="50">
        <f t="shared" si="0"/>
        <v>8.7662337662337664E-2</v>
      </c>
      <c r="P4" s="50">
        <f t="shared" si="0"/>
        <v>8.1168831168831168E-2</v>
      </c>
      <c r="Q4" s="50">
        <f t="shared" si="0"/>
        <v>0.12337662337662338</v>
      </c>
      <c r="R4" s="50">
        <f t="shared" si="0"/>
        <v>8.7662337662337664E-2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9.4155844155844159E-2</v>
      </c>
      <c r="Y4" s="50">
        <f t="shared" si="0"/>
        <v>0.12012987012987013</v>
      </c>
      <c r="Z4" s="50">
        <f t="shared" si="0"/>
        <v>0</v>
      </c>
      <c r="AA4" s="50">
        <f t="shared" si="0"/>
        <v>0</v>
      </c>
      <c r="AB4" s="50">
        <f t="shared" si="0"/>
        <v>0.12012987012987013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</row>
    <row r="5" spans="1:33" ht="16.5" thickTop="1" thickBot="1" x14ac:dyDescent="0.3">
      <c r="A5" s="42"/>
      <c r="B5" s="43"/>
      <c r="C5" s="50">
        <v>0</v>
      </c>
      <c r="D5" s="38" t="s">
        <v>1061</v>
      </c>
      <c r="E5" s="47" t="s">
        <v>1070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TOTAL'!Q10:Q700,"=APAGADO",'RESUMEN TOTAL'!C10:C700,"=COSEIDI")</f>
        <v>39</v>
      </c>
      <c r="K5" s="46">
        <f>COUNTIFS('RESUMEN TOTAL'!R10:R700,"=APAGADO",'RESUMEN TOTAL'!C10:C700,"=COSEIDI")</f>
        <v>43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54</v>
      </c>
      <c r="O5" s="46">
        <f>COUNTIFS('RESUMEN TOTAL'!V10:V700,"=APAGADO",'RESUMEN TOTAL'!C10:C700,"=COSEIDI")</f>
        <v>76</v>
      </c>
      <c r="P5" s="46">
        <f>COUNTIFS('RESUMEN TOTAL'!W10:W700,"=APAGADO",'RESUMEN TOTAL'!C10:C700,"=COSEIDI")</f>
        <v>59</v>
      </c>
      <c r="Q5" s="46">
        <f>COUNTIFS('RESUMEN TOTAL'!X10:X700,"=APAGADO",'RESUMEN TOTAL'!C10:C700,"=COSEIDI")</f>
        <v>54</v>
      </c>
      <c r="R5" s="46">
        <f>COUNTIFS('RESUMEN TOTAL'!Y10:Y700,"=APAGADO",'RESUMEN TOTAL'!C10:C700,"=COSEIDI")</f>
        <v>57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51</v>
      </c>
      <c r="X5" s="46">
        <f>COUNTIFS('RESUMEN TOTAL'!AE10:AE700,"=APAGADO",'RESUMEN TOTAL'!C10:C700,"=COSEIDI")</f>
        <v>47</v>
      </c>
      <c r="Y5" s="46">
        <f>COUNTIFS('RESUMEN TOTAL'!AF10:AF700,"=APAGADO",'RESUMEN TOTAL'!C10:C700,"=COSEIDI")</f>
        <v>49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49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v>0</v>
      </c>
      <c r="AG5" s="46">
        <v>0</v>
      </c>
    </row>
    <row r="6" spans="1:33" ht="16.5" thickTop="1" thickBot="1" x14ac:dyDescent="0.3">
      <c r="D6" s="39"/>
      <c r="E6" s="37" t="s">
        <v>1072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0.14000000000000001</v>
      </c>
      <c r="K6" s="50">
        <f t="shared" ref="K6:AF6" si="1">K5/COSEIDIcam</f>
        <v>0.15579710144927536</v>
      </c>
      <c r="L6" s="50">
        <f t="shared" si="1"/>
        <v>0</v>
      </c>
      <c r="M6" s="50">
        <v>0</v>
      </c>
      <c r="N6" s="50">
        <f t="shared" si="1"/>
        <v>0.19565217391304349</v>
      </c>
      <c r="O6" s="50">
        <f t="shared" si="1"/>
        <v>0.27536231884057971</v>
      </c>
      <c r="P6" s="50">
        <v>0</v>
      </c>
      <c r="Q6" s="50">
        <f t="shared" si="1"/>
        <v>0.19565217391304349</v>
      </c>
      <c r="R6" s="50">
        <f t="shared" si="1"/>
        <v>0.20652173913043478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0.18478260869565216</v>
      </c>
      <c r="X6" s="50">
        <f t="shared" si="1"/>
        <v>0.17028985507246377</v>
      </c>
      <c r="Y6" s="50">
        <f t="shared" si="1"/>
        <v>0.17753623188405798</v>
      </c>
      <c r="Z6" s="50">
        <f t="shared" si="1"/>
        <v>0</v>
      </c>
      <c r="AA6" s="50">
        <f t="shared" si="1"/>
        <v>0</v>
      </c>
      <c r="AB6" s="50">
        <f t="shared" si="1"/>
        <v>0.17753623188405798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</row>
    <row r="7" spans="1:33" ht="15.75" thickTop="1" x14ac:dyDescent="0.25"/>
    <row r="16" spans="1:33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G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G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36" zoomScaleNormal="100" workbookViewId="0">
      <selection activeCell="H213" sqref="H21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910</v>
      </c>
      <c r="D1" s="107" t="s">
        <v>1460</v>
      </c>
      <c r="E1" s="108" t="s">
        <v>911</v>
      </c>
    </row>
    <row r="2" spans="1:6" ht="15.6" customHeight="1" thickTop="1" x14ac:dyDescent="0.25">
      <c r="A2" s="75"/>
      <c r="B2" s="52" t="s">
        <v>1240</v>
      </c>
      <c r="C2" s="99">
        <f>CANTIDAD_DE_CAMARAS</f>
        <v>584</v>
      </c>
      <c r="D2" s="100"/>
      <c r="E2" s="105"/>
      <c r="F2" s="153">
        <v>46054</v>
      </c>
    </row>
    <row r="3" spans="1:6" ht="15" customHeight="1" x14ac:dyDescent="0.25">
      <c r="A3" s="76" t="s">
        <v>1472</v>
      </c>
      <c r="B3" s="53" t="s">
        <v>6</v>
      </c>
      <c r="C3" s="66">
        <f>'RESUMEN TOTAL'!M3</f>
        <v>69</v>
      </c>
      <c r="D3" s="54"/>
      <c r="E3" s="55">
        <f>C3/C2</f>
        <v>0.11815068493150685</v>
      </c>
      <c r="F3" s="154"/>
    </row>
    <row r="4" spans="1:6" x14ac:dyDescent="0.25">
      <c r="A4" s="76"/>
      <c r="B4" s="53" t="s">
        <v>1241</v>
      </c>
      <c r="C4" s="67">
        <v>0</v>
      </c>
      <c r="D4" s="102">
        <v>0</v>
      </c>
      <c r="E4" s="55">
        <f>D4/C2</f>
        <v>0</v>
      </c>
      <c r="F4" s="154"/>
    </row>
    <row r="5" spans="1:6" x14ac:dyDescent="0.25">
      <c r="A5" s="76"/>
      <c r="B5" s="53" t="s">
        <v>1242</v>
      </c>
      <c r="C5" s="67">
        <v>0</v>
      </c>
      <c r="D5" s="102">
        <v>0</v>
      </c>
      <c r="E5" s="55">
        <f>D5/C2</f>
        <v>0</v>
      </c>
      <c r="F5" s="154"/>
    </row>
    <row r="6" spans="1:6" x14ac:dyDescent="0.25">
      <c r="A6" s="96" t="s">
        <v>1472</v>
      </c>
      <c r="B6" s="53" t="s">
        <v>16</v>
      </c>
      <c r="C6" s="93">
        <v>0</v>
      </c>
      <c r="D6" s="102">
        <v>0</v>
      </c>
      <c r="E6" s="55">
        <f>D6/C2</f>
        <v>0</v>
      </c>
      <c r="F6" s="154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4"/>
    </row>
    <row r="8" spans="1:6" ht="16.5" thickTop="1" thickBot="1" x14ac:dyDescent="0.3">
      <c r="A8" s="94"/>
      <c r="B8" s="110"/>
      <c r="C8" s="109" t="s">
        <v>910</v>
      </c>
      <c r="D8" s="95" t="s">
        <v>1460</v>
      </c>
      <c r="E8" s="101" t="s">
        <v>911</v>
      </c>
      <c r="F8" s="154"/>
    </row>
    <row r="9" spans="1:6" ht="15" customHeight="1" thickTop="1" thickBot="1" x14ac:dyDescent="0.3">
      <c r="A9" s="35" t="s">
        <v>1474</v>
      </c>
      <c r="B9" s="97" t="s">
        <v>1060</v>
      </c>
      <c r="C9" s="98">
        <v>307</v>
      </c>
      <c r="D9" s="114"/>
      <c r="E9" s="104"/>
      <c r="F9" s="154"/>
    </row>
    <row r="10" spans="1:6" ht="15.75" thickBot="1" x14ac:dyDescent="0.3">
      <c r="A10" t="s">
        <v>1474</v>
      </c>
      <c r="B10" s="111" t="s">
        <v>1061</v>
      </c>
      <c r="C10" s="112">
        <f>COSEIDIcam</f>
        <v>276</v>
      </c>
      <c r="D10" s="112">
        <f>Hoja1!F5</f>
        <v>0</v>
      </c>
      <c r="E10" s="113"/>
      <c r="F10" s="155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910</v>
      </c>
      <c r="D12" s="107" t="s">
        <v>1460</v>
      </c>
      <c r="E12" s="108" t="s">
        <v>911</v>
      </c>
    </row>
    <row r="13" spans="1:6" ht="15" customHeight="1" thickTop="1" x14ac:dyDescent="0.25">
      <c r="B13" s="52" t="s">
        <v>1240</v>
      </c>
      <c r="C13" s="99">
        <f>CANTIDAD_DE_CAMARAS</f>
        <v>584</v>
      </c>
      <c r="D13" s="100"/>
      <c r="E13" s="105"/>
      <c r="F13" s="153">
        <v>46055</v>
      </c>
    </row>
    <row r="14" spans="1:6" x14ac:dyDescent="0.25">
      <c r="A14" t="s">
        <v>1473</v>
      </c>
      <c r="B14" s="53" t="s">
        <v>6</v>
      </c>
      <c r="C14" s="66">
        <v>68</v>
      </c>
      <c r="D14" s="54"/>
      <c r="E14" s="55">
        <f>C14/C13</f>
        <v>0.11643835616438356</v>
      </c>
      <c r="F14" s="154"/>
    </row>
    <row r="15" spans="1:6" x14ac:dyDescent="0.25">
      <c r="B15" s="53" t="s">
        <v>1241</v>
      </c>
      <c r="C15" s="67">
        <v>2</v>
      </c>
      <c r="D15" s="102">
        <v>66</v>
      </c>
      <c r="E15" s="55">
        <f>D15/C13</f>
        <v>0.11301369863013698</v>
      </c>
      <c r="F15" s="154"/>
    </row>
    <row r="16" spans="1:6" x14ac:dyDescent="0.25">
      <c r="B16" s="53" t="s">
        <v>1242</v>
      </c>
      <c r="C16" s="67">
        <v>6</v>
      </c>
      <c r="D16" s="102">
        <v>60</v>
      </c>
      <c r="E16" s="55">
        <f>D16/C13</f>
        <v>0.10273972602739725</v>
      </c>
      <c r="F16" s="154"/>
    </row>
    <row r="17" spans="1:6" x14ac:dyDescent="0.25">
      <c r="A17" t="s">
        <v>1473</v>
      </c>
      <c r="B17" s="53" t="s">
        <v>16</v>
      </c>
      <c r="C17" s="93">
        <v>3</v>
      </c>
      <c r="D17" s="102">
        <f>D16-C17</f>
        <v>57</v>
      </c>
      <c r="E17" s="55">
        <f>D17/C13</f>
        <v>9.7602739726027399E-2</v>
      </c>
      <c r="F17" s="154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4"/>
    </row>
    <row r="19" spans="1:6" ht="16.5" thickTop="1" thickBot="1" x14ac:dyDescent="0.3">
      <c r="B19" s="110"/>
      <c r="C19" s="109" t="s">
        <v>910</v>
      </c>
      <c r="D19" s="95" t="s">
        <v>1460</v>
      </c>
      <c r="E19" s="101" t="s">
        <v>911</v>
      </c>
      <c r="F19" s="154"/>
    </row>
    <row r="20" spans="1:6" ht="16.5" thickTop="1" thickBot="1" x14ac:dyDescent="0.3">
      <c r="A20" t="s">
        <v>1475</v>
      </c>
      <c r="B20" s="97" t="s">
        <v>1060</v>
      </c>
      <c r="C20" s="98">
        <v>307</v>
      </c>
      <c r="D20" s="114">
        <v>27</v>
      </c>
      <c r="E20" s="104">
        <f>D20/C20</f>
        <v>8.7947882736156349E-2</v>
      </c>
      <c r="F20" s="154"/>
    </row>
    <row r="21" spans="1:6" ht="15.75" thickBot="1" x14ac:dyDescent="0.3">
      <c r="A21" t="s">
        <v>1475</v>
      </c>
      <c r="B21" s="111" t="s">
        <v>1061</v>
      </c>
      <c r="C21" s="112">
        <f>COSEIDIcam</f>
        <v>276</v>
      </c>
      <c r="D21" s="112">
        <v>41</v>
      </c>
      <c r="E21" s="113">
        <f>D21/C21</f>
        <v>0.14855072463768115</v>
      </c>
      <c r="F21" s="155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910</v>
      </c>
      <c r="D23" s="107" t="s">
        <v>1460</v>
      </c>
      <c r="E23" s="108" t="s">
        <v>911</v>
      </c>
    </row>
    <row r="24" spans="1:6" ht="15.75" thickTop="1" x14ac:dyDescent="0.25">
      <c r="B24" s="52" t="s">
        <v>1240</v>
      </c>
      <c r="C24" s="99">
        <f>CANTIDAD_DE_CAMARAS</f>
        <v>584</v>
      </c>
      <c r="D24" s="100"/>
      <c r="E24" s="105"/>
      <c r="F24" s="153">
        <v>46056</v>
      </c>
    </row>
    <row r="25" spans="1:6" x14ac:dyDescent="0.25">
      <c r="A25" t="s">
        <v>1466</v>
      </c>
      <c r="B25" s="53" t="s">
        <v>6</v>
      </c>
      <c r="C25" s="66">
        <f>'RESUMEN TOTAL'!O3</f>
        <v>66</v>
      </c>
      <c r="D25" s="54"/>
      <c r="E25" s="55">
        <f>C25/C24</f>
        <v>0.11301369863013698</v>
      </c>
      <c r="F25" s="154"/>
    </row>
    <row r="26" spans="1:6" x14ac:dyDescent="0.25">
      <c r="B26" s="53" t="s">
        <v>1241</v>
      </c>
      <c r="C26" s="67">
        <v>9</v>
      </c>
      <c r="D26" s="102">
        <f>C25-C26</f>
        <v>57</v>
      </c>
      <c r="E26" s="55">
        <f>D26/C24</f>
        <v>9.7602739726027399E-2</v>
      </c>
      <c r="F26" s="154"/>
    </row>
    <row r="27" spans="1:6" x14ac:dyDescent="0.25">
      <c r="B27" s="53" t="s">
        <v>1242</v>
      </c>
      <c r="C27" s="67">
        <v>8</v>
      </c>
      <c r="D27" s="102">
        <f>D26-C27</f>
        <v>49</v>
      </c>
      <c r="E27" s="55">
        <f>D27/C24</f>
        <v>8.3904109589041098E-2</v>
      </c>
      <c r="F27" s="154"/>
    </row>
    <row r="28" spans="1:6" x14ac:dyDescent="0.25">
      <c r="A28" t="s">
        <v>1466</v>
      </c>
      <c r="B28" s="53" t="s">
        <v>16</v>
      </c>
      <c r="C28" s="93">
        <f>'RESUMEN TOTAL'!O5</f>
        <v>2</v>
      </c>
      <c r="D28" s="102">
        <f>D27-C28</f>
        <v>47</v>
      </c>
      <c r="E28" s="55">
        <f>D28/C24</f>
        <v>8.0479452054794523E-2</v>
      </c>
      <c r="F28" s="154"/>
    </row>
    <row r="29" spans="1:6" ht="15.75" thickBot="1" x14ac:dyDescent="0.3">
      <c r="B29" s="56"/>
      <c r="C29" s="130">
        <v>0</v>
      </c>
      <c r="D29" s="103">
        <f>D28-C29</f>
        <v>47</v>
      </c>
      <c r="E29" s="74">
        <f>D29/C24</f>
        <v>8.0479452054794523E-2</v>
      </c>
      <c r="F29" s="154"/>
    </row>
    <row r="30" spans="1:6" ht="16.5" thickTop="1" thickBot="1" x14ac:dyDescent="0.3">
      <c r="B30" s="110"/>
      <c r="C30" s="109" t="s">
        <v>910</v>
      </c>
      <c r="D30" s="95" t="s">
        <v>1460</v>
      </c>
      <c r="E30" s="101" t="s">
        <v>911</v>
      </c>
      <c r="F30" s="154"/>
    </row>
    <row r="31" spans="1:6" ht="16.5" thickTop="1" thickBot="1" x14ac:dyDescent="0.3">
      <c r="B31" s="97" t="s">
        <v>1060</v>
      </c>
      <c r="C31" s="98">
        <v>307</v>
      </c>
      <c r="D31" s="114">
        <v>26</v>
      </c>
      <c r="E31" s="104">
        <f>D31/C31</f>
        <v>8.4690553745928335E-2</v>
      </c>
      <c r="F31" s="154"/>
    </row>
    <row r="32" spans="1:6" ht="15.75" thickBot="1" x14ac:dyDescent="0.3">
      <c r="B32" s="111" t="s">
        <v>1061</v>
      </c>
      <c r="C32" s="112">
        <f>COSEIDIcam</f>
        <v>276</v>
      </c>
      <c r="D32" s="112">
        <v>40</v>
      </c>
      <c r="E32" s="113">
        <f>D32/C32</f>
        <v>0.14492753623188406</v>
      </c>
      <c r="F32" s="155"/>
    </row>
    <row r="33" spans="1:6" ht="16.5" thickTop="1" thickBot="1" x14ac:dyDescent="0.3"/>
    <row r="34" spans="1:6" ht="16.5" thickTop="1" thickBot="1" x14ac:dyDescent="0.3">
      <c r="C34" s="106" t="s">
        <v>910</v>
      </c>
      <c r="D34" s="107" t="s">
        <v>1460</v>
      </c>
      <c r="E34" s="108" t="s">
        <v>911</v>
      </c>
    </row>
    <row r="35" spans="1:6" ht="15.75" thickTop="1" x14ac:dyDescent="0.25">
      <c r="B35" s="52" t="s">
        <v>1240</v>
      </c>
      <c r="C35" s="99">
        <f>CANTIDAD_DE_CAMARAS</f>
        <v>584</v>
      </c>
      <c r="D35" s="100"/>
      <c r="E35" s="105"/>
      <c r="F35" s="153">
        <v>46057</v>
      </c>
    </row>
    <row r="36" spans="1:6" x14ac:dyDescent="0.25">
      <c r="A36" t="s">
        <v>1465</v>
      </c>
      <c r="B36" s="53" t="s">
        <v>6</v>
      </c>
      <c r="C36" s="66">
        <f>'RESUMEN TOTAL'!P3</f>
        <v>71</v>
      </c>
      <c r="D36" s="54"/>
      <c r="E36" s="55">
        <f>C36/C35</f>
        <v>0.12157534246575342</v>
      </c>
      <c r="F36" s="154"/>
    </row>
    <row r="37" spans="1:6" x14ac:dyDescent="0.25">
      <c r="B37" s="53" t="s">
        <v>1241</v>
      </c>
      <c r="C37" s="67">
        <v>0</v>
      </c>
      <c r="D37" s="102">
        <v>0</v>
      </c>
      <c r="E37" s="55">
        <f>D37/C35</f>
        <v>0</v>
      </c>
      <c r="F37" s="154"/>
    </row>
    <row r="38" spans="1:6" x14ac:dyDescent="0.25">
      <c r="B38" s="53" t="s">
        <v>1242</v>
      </c>
      <c r="C38" s="67">
        <v>0</v>
      </c>
      <c r="D38" s="102">
        <v>0</v>
      </c>
      <c r="E38" s="55">
        <f>D38/C35</f>
        <v>0</v>
      </c>
      <c r="F38" s="154"/>
    </row>
    <row r="39" spans="1:6" x14ac:dyDescent="0.25">
      <c r="A39" t="s">
        <v>1465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4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4"/>
    </row>
    <row r="41" spans="1:6" ht="16.5" thickTop="1" thickBot="1" x14ac:dyDescent="0.3">
      <c r="B41" s="110"/>
      <c r="C41" s="109" t="s">
        <v>910</v>
      </c>
      <c r="D41" s="95" t="s">
        <v>1460</v>
      </c>
      <c r="E41" s="101" t="s">
        <v>911</v>
      </c>
      <c r="F41" s="154"/>
    </row>
    <row r="42" spans="1:6" ht="16.5" thickTop="1" thickBot="1" x14ac:dyDescent="0.3">
      <c r="B42" s="97" t="s">
        <v>1060</v>
      </c>
      <c r="C42" s="98">
        <v>307</v>
      </c>
      <c r="D42" s="114">
        <v>0</v>
      </c>
      <c r="E42" s="104">
        <f>D42/C42</f>
        <v>0</v>
      </c>
      <c r="F42" s="154"/>
    </row>
    <row r="43" spans="1:6" ht="15.75" thickBot="1" x14ac:dyDescent="0.3">
      <c r="B43" s="111" t="s">
        <v>1061</v>
      </c>
      <c r="C43" s="112">
        <f>COSEIDIcam</f>
        <v>276</v>
      </c>
      <c r="D43" s="112">
        <f>Hoja1!I5</f>
        <v>0</v>
      </c>
      <c r="E43" s="113">
        <v>0.24</v>
      </c>
      <c r="F43" s="155"/>
    </row>
    <row r="44" spans="1:6" ht="16.5" thickTop="1" thickBot="1" x14ac:dyDescent="0.3"/>
    <row r="45" spans="1:6" ht="16.5" thickTop="1" thickBot="1" x14ac:dyDescent="0.3">
      <c r="C45" s="106" t="s">
        <v>910</v>
      </c>
      <c r="D45" s="107" t="s">
        <v>1460</v>
      </c>
      <c r="E45" s="108" t="s">
        <v>911</v>
      </c>
    </row>
    <row r="46" spans="1:6" ht="15.75" thickTop="1" x14ac:dyDescent="0.25">
      <c r="B46" s="52" t="s">
        <v>1240</v>
      </c>
      <c r="C46" s="99">
        <f>CANTIDAD_DE_CAMARAS</f>
        <v>584</v>
      </c>
      <c r="D46" s="100"/>
      <c r="E46" s="105"/>
      <c r="F46" s="153">
        <v>46058</v>
      </c>
    </row>
    <row r="47" spans="1:6" x14ac:dyDescent="0.25">
      <c r="A47" t="s">
        <v>1467</v>
      </c>
      <c r="B47" s="53" t="s">
        <v>6</v>
      </c>
      <c r="C47" s="66">
        <f>'RESUMEN TOTAL'!Q3</f>
        <v>68</v>
      </c>
      <c r="D47" s="54"/>
      <c r="E47" s="55">
        <f>C47/C46</f>
        <v>0.11643835616438356</v>
      </c>
      <c r="F47" s="154"/>
    </row>
    <row r="48" spans="1:6" x14ac:dyDescent="0.25">
      <c r="B48" s="53" t="s">
        <v>1241</v>
      </c>
      <c r="C48" s="67">
        <v>8</v>
      </c>
      <c r="D48" s="102">
        <v>60</v>
      </c>
      <c r="E48" s="55">
        <f>D48/C46</f>
        <v>0.10273972602739725</v>
      </c>
      <c r="F48" s="154"/>
    </row>
    <row r="49" spans="1:6" x14ac:dyDescent="0.25">
      <c r="B49" s="53" t="s">
        <v>1242</v>
      </c>
      <c r="C49" s="67">
        <v>8</v>
      </c>
      <c r="D49" s="102">
        <v>52</v>
      </c>
      <c r="E49" s="55">
        <f>D49/C46</f>
        <v>8.9041095890410954E-2</v>
      </c>
      <c r="F49" s="154"/>
    </row>
    <row r="50" spans="1:6" x14ac:dyDescent="0.25">
      <c r="A50" t="s">
        <v>1467</v>
      </c>
      <c r="B50" s="53" t="s">
        <v>16</v>
      </c>
      <c r="C50" s="93">
        <f>'RESUMEN TOTAL'!Q5</f>
        <v>3</v>
      </c>
      <c r="D50" s="102">
        <v>49</v>
      </c>
      <c r="E50" s="55">
        <f>D50/C46</f>
        <v>8.3904109589041098E-2</v>
      </c>
      <c r="F50" s="154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4"/>
    </row>
    <row r="52" spans="1:6" ht="16.5" thickTop="1" thickBot="1" x14ac:dyDescent="0.3">
      <c r="B52" s="110"/>
      <c r="C52" s="109" t="s">
        <v>910</v>
      </c>
      <c r="D52" s="95" t="s">
        <v>1460</v>
      </c>
      <c r="E52" s="101" t="s">
        <v>911</v>
      </c>
      <c r="F52" s="154"/>
    </row>
    <row r="53" spans="1:6" ht="16.5" thickTop="1" thickBot="1" x14ac:dyDescent="0.3">
      <c r="B53" s="97" t="s">
        <v>1060</v>
      </c>
      <c r="C53" s="98">
        <v>307</v>
      </c>
      <c r="D53" s="114">
        <f>Hoja1!J3</f>
        <v>29</v>
      </c>
      <c r="E53" s="104">
        <v>0.09</v>
      </c>
      <c r="F53" s="154"/>
    </row>
    <row r="54" spans="1:6" ht="15.75" thickBot="1" x14ac:dyDescent="0.3">
      <c r="B54" s="111" t="s">
        <v>1061</v>
      </c>
      <c r="C54" s="112">
        <f>COSEIDIcam</f>
        <v>276</v>
      </c>
      <c r="D54" s="112">
        <f>Hoja1!J5</f>
        <v>39</v>
      </c>
      <c r="E54" s="113">
        <v>0.14000000000000001</v>
      </c>
      <c r="F54" s="155"/>
    </row>
    <row r="55" spans="1:6" ht="16.5" thickTop="1" thickBot="1" x14ac:dyDescent="0.3"/>
    <row r="56" spans="1:6" ht="16.5" thickTop="1" thickBot="1" x14ac:dyDescent="0.3">
      <c r="C56" s="106" t="s">
        <v>910</v>
      </c>
      <c r="D56" s="107" t="s">
        <v>1460</v>
      </c>
      <c r="E56" s="108" t="s">
        <v>911</v>
      </c>
    </row>
    <row r="57" spans="1:6" ht="15.75" thickTop="1" x14ac:dyDescent="0.25">
      <c r="B57" s="52" t="s">
        <v>1240</v>
      </c>
      <c r="C57" s="99">
        <f>CANTIDAD_DE_CAMARAS</f>
        <v>584</v>
      </c>
      <c r="D57" s="100"/>
      <c r="E57" s="105"/>
      <c r="F57" s="153">
        <v>46059</v>
      </c>
    </row>
    <row r="58" spans="1:6" x14ac:dyDescent="0.25">
      <c r="A58" t="s">
        <v>1468</v>
      </c>
      <c r="B58" s="53" t="s">
        <v>6</v>
      </c>
      <c r="C58" s="66">
        <f>'RESUMEN TOTAL'!R3</f>
        <v>72</v>
      </c>
      <c r="D58" s="54"/>
      <c r="E58" s="55">
        <f>C58/C57</f>
        <v>0.12328767123287671</v>
      </c>
      <c r="F58" s="154"/>
    </row>
    <row r="59" spans="1:6" x14ac:dyDescent="0.25">
      <c r="B59" s="53" t="s">
        <v>1241</v>
      </c>
      <c r="C59" s="67">
        <v>7</v>
      </c>
      <c r="D59" s="102">
        <v>65</v>
      </c>
      <c r="E59" s="55">
        <f>D59/C57</f>
        <v>0.1113013698630137</v>
      </c>
      <c r="F59" s="154"/>
    </row>
    <row r="60" spans="1:6" x14ac:dyDescent="0.25">
      <c r="B60" s="53" t="s">
        <v>1242</v>
      </c>
      <c r="C60" s="67">
        <v>8</v>
      </c>
      <c r="D60" s="102">
        <v>57</v>
      </c>
      <c r="E60" s="55">
        <f>D60/C57</f>
        <v>9.7602739726027399E-2</v>
      </c>
      <c r="F60" s="154"/>
    </row>
    <row r="61" spans="1:6" x14ac:dyDescent="0.25">
      <c r="A61" t="s">
        <v>1468</v>
      </c>
      <c r="B61" s="53" t="s">
        <v>16</v>
      </c>
      <c r="C61" s="93">
        <f>'RESUMEN TOTAL'!R5</f>
        <v>2</v>
      </c>
      <c r="D61" s="102">
        <v>55</v>
      </c>
      <c r="E61" s="55">
        <f>D61/C57</f>
        <v>9.4178082191780824E-2</v>
      </c>
      <c r="F61" s="154"/>
    </row>
    <row r="62" spans="1:6" ht="15.75" thickBot="1" x14ac:dyDescent="0.3">
      <c r="B62" s="56"/>
      <c r="C62" s="130"/>
      <c r="D62" s="103"/>
      <c r="E62" s="74">
        <f>D62/C57</f>
        <v>0</v>
      </c>
      <c r="F62" s="154"/>
    </row>
    <row r="63" spans="1:6" ht="16.5" thickTop="1" thickBot="1" x14ac:dyDescent="0.3">
      <c r="B63" s="110"/>
      <c r="C63" s="109" t="s">
        <v>910</v>
      </c>
      <c r="D63" s="95" t="s">
        <v>1460</v>
      </c>
      <c r="E63" s="101" t="s">
        <v>911</v>
      </c>
      <c r="F63" s="154"/>
    </row>
    <row r="64" spans="1:6" ht="16.5" thickTop="1" thickBot="1" x14ac:dyDescent="0.3">
      <c r="B64" s="97" t="s">
        <v>1060</v>
      </c>
      <c r="C64" s="98">
        <v>307</v>
      </c>
      <c r="D64" s="114">
        <f>Hoja1!K3</f>
        <v>29</v>
      </c>
      <c r="E64" s="104">
        <f>D64/C64</f>
        <v>9.4462540716612378E-2</v>
      </c>
      <c r="F64" s="154"/>
    </row>
    <row r="65" spans="1:6" ht="15.75" thickBot="1" x14ac:dyDescent="0.3">
      <c r="B65" s="111" t="s">
        <v>1061</v>
      </c>
      <c r="C65" s="112">
        <f>COSEIDIcam</f>
        <v>276</v>
      </c>
      <c r="D65" s="112">
        <f>Hoja1!K5</f>
        <v>43</v>
      </c>
      <c r="E65" s="113">
        <f>D65/C65</f>
        <v>0.15579710144927536</v>
      </c>
      <c r="F65" s="155"/>
    </row>
    <row r="66" spans="1:6" ht="16.5" thickTop="1" thickBot="1" x14ac:dyDescent="0.3"/>
    <row r="67" spans="1:6" ht="16.5" thickTop="1" thickBot="1" x14ac:dyDescent="0.3">
      <c r="C67" s="106" t="s">
        <v>910</v>
      </c>
      <c r="D67" s="107" t="s">
        <v>1460</v>
      </c>
      <c r="E67" s="108" t="s">
        <v>911</v>
      </c>
    </row>
    <row r="68" spans="1:6" ht="15.75" thickTop="1" x14ac:dyDescent="0.25">
      <c r="B68" s="52" t="s">
        <v>1240</v>
      </c>
      <c r="C68" s="99">
        <f>CANTIDAD_DE_CAMARAS</f>
        <v>584</v>
      </c>
      <c r="D68" s="100"/>
      <c r="E68" s="105"/>
      <c r="F68" s="153">
        <v>46060</v>
      </c>
    </row>
    <row r="69" spans="1:6" x14ac:dyDescent="0.25">
      <c r="A69" t="s">
        <v>1469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4"/>
    </row>
    <row r="70" spans="1:6" x14ac:dyDescent="0.25">
      <c r="B70" s="53" t="s">
        <v>1241</v>
      </c>
      <c r="C70" s="67">
        <v>0</v>
      </c>
      <c r="D70" s="102">
        <v>0</v>
      </c>
      <c r="E70" s="55">
        <f>D70/C68</f>
        <v>0</v>
      </c>
      <c r="F70" s="154"/>
    </row>
    <row r="71" spans="1:6" x14ac:dyDescent="0.25">
      <c r="B71" s="53" t="s">
        <v>1242</v>
      </c>
      <c r="C71" s="67">
        <v>0</v>
      </c>
      <c r="D71" s="102">
        <f>D70-C71</f>
        <v>0</v>
      </c>
      <c r="E71" s="55">
        <f>D71/C68</f>
        <v>0</v>
      </c>
      <c r="F71" s="154"/>
    </row>
    <row r="72" spans="1:6" x14ac:dyDescent="0.25">
      <c r="A72" t="s">
        <v>1469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4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4"/>
    </row>
    <row r="74" spans="1:6" ht="16.5" thickTop="1" thickBot="1" x14ac:dyDescent="0.3">
      <c r="B74" s="110"/>
      <c r="C74" s="109" t="s">
        <v>910</v>
      </c>
      <c r="D74" s="95" t="s">
        <v>1460</v>
      </c>
      <c r="E74" s="101" t="s">
        <v>911</v>
      </c>
      <c r="F74" s="154"/>
    </row>
    <row r="75" spans="1:6" ht="16.5" thickTop="1" thickBot="1" x14ac:dyDescent="0.3">
      <c r="B75" s="97" t="s">
        <v>1060</v>
      </c>
      <c r="C75" s="98">
        <v>307</v>
      </c>
      <c r="D75" s="114">
        <v>0</v>
      </c>
      <c r="E75" s="104">
        <v>0</v>
      </c>
      <c r="F75" s="154"/>
    </row>
    <row r="76" spans="1:6" ht="15.75" thickBot="1" x14ac:dyDescent="0.3">
      <c r="B76" s="111" t="s">
        <v>1061</v>
      </c>
      <c r="C76" s="112">
        <f>COSEIDIcam</f>
        <v>276</v>
      </c>
      <c r="D76" s="112">
        <f>Hoja1!L5</f>
        <v>0</v>
      </c>
      <c r="E76" s="113">
        <f>D76/C76</f>
        <v>0</v>
      </c>
      <c r="F76" s="155"/>
    </row>
    <row r="77" spans="1:6" ht="16.5" thickTop="1" thickBot="1" x14ac:dyDescent="0.3"/>
    <row r="78" spans="1:6" ht="16.5" thickTop="1" thickBot="1" x14ac:dyDescent="0.3">
      <c r="C78" s="106" t="s">
        <v>910</v>
      </c>
      <c r="D78" s="107" t="s">
        <v>1460</v>
      </c>
      <c r="E78" s="108" t="s">
        <v>911</v>
      </c>
    </row>
    <row r="79" spans="1:6" ht="15.75" thickTop="1" x14ac:dyDescent="0.25">
      <c r="B79" s="52" t="s">
        <v>1240</v>
      </c>
      <c r="C79" s="99">
        <f>CANTIDAD_DE_CAMARAS</f>
        <v>584</v>
      </c>
      <c r="D79" s="100"/>
      <c r="E79" s="105"/>
      <c r="F79" s="153">
        <v>46061</v>
      </c>
    </row>
    <row r="80" spans="1:6" x14ac:dyDescent="0.25">
      <c r="A80" t="s">
        <v>1464</v>
      </c>
      <c r="B80" s="53" t="s">
        <v>6</v>
      </c>
      <c r="C80" s="66">
        <v>0</v>
      </c>
      <c r="D80" s="54"/>
      <c r="E80" s="55">
        <f>C80/C79</f>
        <v>0</v>
      </c>
      <c r="F80" s="154"/>
    </row>
    <row r="81" spans="1:6" x14ac:dyDescent="0.25">
      <c r="B81" s="53" t="s">
        <v>1241</v>
      </c>
      <c r="C81" s="67">
        <v>0</v>
      </c>
      <c r="D81" s="102">
        <v>0</v>
      </c>
      <c r="E81" s="55">
        <f>D81/C79</f>
        <v>0</v>
      </c>
      <c r="F81" s="154"/>
    </row>
    <row r="82" spans="1:6" x14ac:dyDescent="0.25">
      <c r="B82" s="53" t="s">
        <v>1242</v>
      </c>
      <c r="C82" s="67">
        <v>0</v>
      </c>
      <c r="D82" s="102">
        <v>0</v>
      </c>
      <c r="E82" s="55">
        <f>D82/C79</f>
        <v>0</v>
      </c>
      <c r="F82" s="154"/>
    </row>
    <row r="83" spans="1:6" x14ac:dyDescent="0.25">
      <c r="A83" t="s">
        <v>1464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4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4"/>
    </row>
    <row r="85" spans="1:6" ht="16.5" thickTop="1" thickBot="1" x14ac:dyDescent="0.3">
      <c r="B85" s="110"/>
      <c r="C85" s="109" t="s">
        <v>910</v>
      </c>
      <c r="D85" s="95" t="s">
        <v>1460</v>
      </c>
      <c r="E85" s="101" t="s">
        <v>911</v>
      </c>
      <c r="F85" s="154"/>
    </row>
    <row r="86" spans="1:6" ht="16.5" thickTop="1" thickBot="1" x14ac:dyDescent="0.3">
      <c r="B86" s="97" t="s">
        <v>1060</v>
      </c>
      <c r="C86" s="98">
        <v>307</v>
      </c>
      <c r="D86" s="114">
        <v>0</v>
      </c>
      <c r="E86" s="104">
        <v>0</v>
      </c>
      <c r="F86" s="154"/>
    </row>
    <row r="87" spans="1:6" ht="15.75" thickBot="1" x14ac:dyDescent="0.3">
      <c r="B87" s="111" t="s">
        <v>1061</v>
      </c>
      <c r="C87" s="112">
        <f>COSEIDIcam</f>
        <v>276</v>
      </c>
      <c r="D87" s="112">
        <v>0</v>
      </c>
      <c r="E87" s="113">
        <v>0</v>
      </c>
      <c r="F87" s="155"/>
    </row>
    <row r="88" spans="1:6" ht="16.5" thickTop="1" thickBot="1" x14ac:dyDescent="0.3"/>
    <row r="89" spans="1:6" ht="16.5" thickTop="1" thickBot="1" x14ac:dyDescent="0.3">
      <c r="C89" s="106" t="s">
        <v>910</v>
      </c>
      <c r="D89" s="107" t="s">
        <v>1460</v>
      </c>
      <c r="E89" s="108" t="s">
        <v>911</v>
      </c>
    </row>
    <row r="90" spans="1:6" ht="15.75" thickTop="1" x14ac:dyDescent="0.25">
      <c r="B90" s="52" t="s">
        <v>1240</v>
      </c>
      <c r="C90" s="99">
        <f>CANTIDAD_DE_CAMARAS</f>
        <v>584</v>
      </c>
      <c r="D90" s="100"/>
      <c r="E90" s="105"/>
      <c r="F90" s="153">
        <v>46062</v>
      </c>
    </row>
    <row r="91" spans="1:6" x14ac:dyDescent="0.25">
      <c r="A91" t="s">
        <v>1470</v>
      </c>
      <c r="B91" s="53" t="s">
        <v>6</v>
      </c>
      <c r="C91" s="66">
        <f>'RESUMEN TOTAL'!U3</f>
        <v>80</v>
      </c>
      <c r="D91" s="54"/>
      <c r="E91" s="55">
        <f>C91/C90</f>
        <v>0.13698630136986301</v>
      </c>
      <c r="F91" s="154"/>
    </row>
    <row r="92" spans="1:6" x14ac:dyDescent="0.25">
      <c r="B92" s="53" t="s">
        <v>1241</v>
      </c>
      <c r="C92" s="67">
        <v>6</v>
      </c>
      <c r="D92" s="102">
        <v>0</v>
      </c>
      <c r="E92" s="55">
        <f>D92/C90</f>
        <v>0</v>
      </c>
      <c r="F92" s="154"/>
    </row>
    <row r="93" spans="1:6" x14ac:dyDescent="0.25">
      <c r="B93" s="53" t="s">
        <v>1242</v>
      </c>
      <c r="C93" s="67">
        <v>8</v>
      </c>
      <c r="D93" s="102">
        <v>0</v>
      </c>
      <c r="E93" s="55">
        <f>D93/C90</f>
        <v>0</v>
      </c>
      <c r="F93" s="154"/>
    </row>
    <row r="94" spans="1:6" x14ac:dyDescent="0.25">
      <c r="A94" t="s">
        <v>1470</v>
      </c>
      <c r="B94" s="53" t="s">
        <v>16</v>
      </c>
      <c r="C94" s="93">
        <v>3</v>
      </c>
      <c r="D94" s="102">
        <v>0</v>
      </c>
      <c r="E94" s="55">
        <f>D94/C90</f>
        <v>0</v>
      </c>
      <c r="F94" s="154"/>
    </row>
    <row r="95" spans="1:6" ht="15.75" thickBot="1" x14ac:dyDescent="0.3">
      <c r="B95" s="56"/>
      <c r="C95" s="130"/>
      <c r="D95" s="103"/>
      <c r="E95" s="74">
        <f>D95/C90</f>
        <v>0</v>
      </c>
      <c r="F95" s="154"/>
    </row>
    <row r="96" spans="1:6" ht="16.5" thickTop="1" thickBot="1" x14ac:dyDescent="0.3">
      <c r="B96" s="110"/>
      <c r="C96" s="109" t="s">
        <v>910</v>
      </c>
      <c r="D96" s="95" t="s">
        <v>1460</v>
      </c>
      <c r="E96" s="101" t="s">
        <v>911</v>
      </c>
      <c r="F96" s="154"/>
    </row>
    <row r="97" spans="1:6" ht="16.5" thickTop="1" thickBot="1" x14ac:dyDescent="0.3">
      <c r="B97" s="97" t="s">
        <v>1060</v>
      </c>
      <c r="C97" s="98">
        <v>307</v>
      </c>
      <c r="D97" s="114">
        <f>Hoja1!N3</f>
        <v>26</v>
      </c>
      <c r="E97" s="104">
        <f>D97/C97</f>
        <v>8.4690553745928335E-2</v>
      </c>
      <c r="F97" s="154"/>
    </row>
    <row r="98" spans="1:6" ht="15.75" thickBot="1" x14ac:dyDescent="0.3">
      <c r="B98" s="111" t="s">
        <v>1061</v>
      </c>
      <c r="C98" s="112">
        <f>COSEIDIcam</f>
        <v>276</v>
      </c>
      <c r="D98" s="112">
        <f>Hoja1!N5</f>
        <v>54</v>
      </c>
      <c r="E98" s="113">
        <v>0</v>
      </c>
      <c r="F98" s="155"/>
    </row>
    <row r="99" spans="1:6" ht="16.5" thickTop="1" thickBot="1" x14ac:dyDescent="0.3"/>
    <row r="100" spans="1:6" ht="16.5" thickTop="1" thickBot="1" x14ac:dyDescent="0.3">
      <c r="C100" s="106" t="s">
        <v>910</v>
      </c>
      <c r="D100" s="107" t="s">
        <v>1460</v>
      </c>
      <c r="E100" s="108" t="s">
        <v>911</v>
      </c>
    </row>
    <row r="101" spans="1:6" ht="15.75" thickTop="1" x14ac:dyDescent="0.25">
      <c r="B101" s="52" t="s">
        <v>1240</v>
      </c>
      <c r="C101" s="99">
        <f>CANTIDAD_DE_CAMARAS</f>
        <v>584</v>
      </c>
      <c r="D101" s="100"/>
      <c r="E101" s="105"/>
      <c r="F101" s="153">
        <v>46063</v>
      </c>
    </row>
    <row r="102" spans="1:6" x14ac:dyDescent="0.25">
      <c r="A102" t="s">
        <v>1471</v>
      </c>
      <c r="B102" s="53" t="s">
        <v>6</v>
      </c>
      <c r="C102" s="66">
        <f>'RESUMEN TOTAL'!V3</f>
        <v>103</v>
      </c>
      <c r="D102" s="54"/>
      <c r="E102" s="55">
        <f>C102/C101</f>
        <v>0.17636986301369864</v>
      </c>
      <c r="F102" s="154"/>
    </row>
    <row r="103" spans="1:6" x14ac:dyDescent="0.25">
      <c r="B103" s="53" t="s">
        <v>1241</v>
      </c>
      <c r="C103" s="67">
        <v>7</v>
      </c>
      <c r="D103" s="102">
        <f>C102-C103</f>
        <v>96</v>
      </c>
      <c r="E103" s="55">
        <f>D103/C101</f>
        <v>0.16438356164383561</v>
      </c>
      <c r="F103" s="154"/>
    </row>
    <row r="104" spans="1:6" x14ac:dyDescent="0.25">
      <c r="B104" s="53" t="s">
        <v>1242</v>
      </c>
      <c r="C104" s="67">
        <v>8</v>
      </c>
      <c r="D104" s="102">
        <f>D103-C104</f>
        <v>88</v>
      </c>
      <c r="E104" s="55">
        <f>D104/C101</f>
        <v>0.15068493150684931</v>
      </c>
      <c r="F104" s="154"/>
    </row>
    <row r="105" spans="1:6" x14ac:dyDescent="0.25">
      <c r="A105" t="s">
        <v>1471</v>
      </c>
      <c r="B105" s="53" t="s">
        <v>16</v>
      </c>
      <c r="C105" s="93">
        <v>1</v>
      </c>
      <c r="D105" s="102">
        <f>D104-C105</f>
        <v>87</v>
      </c>
      <c r="E105" s="55">
        <f>D105/C101</f>
        <v>0.14897260273972604</v>
      </c>
      <c r="F105" s="154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4"/>
    </row>
    <row r="107" spans="1:6" ht="16.5" thickTop="1" thickBot="1" x14ac:dyDescent="0.3">
      <c r="B107" s="110"/>
      <c r="C107" s="109" t="s">
        <v>910</v>
      </c>
      <c r="D107" s="95" t="s">
        <v>1460</v>
      </c>
      <c r="E107" s="101" t="s">
        <v>911</v>
      </c>
      <c r="F107" s="154"/>
    </row>
    <row r="108" spans="1:6" ht="16.5" thickTop="1" thickBot="1" x14ac:dyDescent="0.3">
      <c r="B108" s="97" t="s">
        <v>1060</v>
      </c>
      <c r="C108" s="98">
        <v>307</v>
      </c>
      <c r="D108" s="114">
        <f>Hoja1!O3</f>
        <v>27</v>
      </c>
      <c r="E108" s="104">
        <f>D108/C108</f>
        <v>8.7947882736156349E-2</v>
      </c>
      <c r="F108" s="154"/>
    </row>
    <row r="109" spans="1:6" ht="15.75" thickBot="1" x14ac:dyDescent="0.3">
      <c r="B109" s="111" t="s">
        <v>1061</v>
      </c>
      <c r="C109" s="112">
        <f>COSEIDIcam</f>
        <v>276</v>
      </c>
      <c r="D109" s="112">
        <f>Hoja1!O5</f>
        <v>76</v>
      </c>
      <c r="E109" s="113">
        <f>D109/C109</f>
        <v>0.27536231884057971</v>
      </c>
      <c r="F109" s="155"/>
    </row>
    <row r="110" spans="1:6" ht="16.5" thickTop="1" thickBot="1" x14ac:dyDescent="0.3"/>
    <row r="111" spans="1:6" ht="16.5" thickTop="1" thickBot="1" x14ac:dyDescent="0.3">
      <c r="C111" s="106" t="s">
        <v>910</v>
      </c>
      <c r="D111" s="107" t="s">
        <v>1460</v>
      </c>
      <c r="E111" s="108" t="s">
        <v>911</v>
      </c>
    </row>
    <row r="112" spans="1:6" ht="15.75" thickTop="1" x14ac:dyDescent="0.25">
      <c r="B112" s="52" t="s">
        <v>1240</v>
      </c>
      <c r="C112" s="99">
        <f>CANTIDAD_DE_CAMARAS</f>
        <v>584</v>
      </c>
      <c r="D112" s="100"/>
      <c r="E112" s="105"/>
      <c r="F112" s="153">
        <v>46064</v>
      </c>
    </row>
    <row r="113" spans="2:6" x14ac:dyDescent="0.25">
      <c r="B113" s="53" t="s">
        <v>6</v>
      </c>
      <c r="C113" s="66">
        <f>'RESUMEN TOTAL'!W3</f>
        <v>84</v>
      </c>
      <c r="D113" s="54"/>
      <c r="E113" s="55">
        <f>C113/C112</f>
        <v>0.14383561643835616</v>
      </c>
      <c r="F113" s="154"/>
    </row>
    <row r="114" spans="2:6" x14ac:dyDescent="0.25">
      <c r="B114" s="53" t="s">
        <v>1241</v>
      </c>
      <c r="C114" s="67">
        <v>4</v>
      </c>
      <c r="D114" s="102">
        <f>C113-C114</f>
        <v>80</v>
      </c>
      <c r="E114" s="55">
        <f>D114/C112</f>
        <v>0.13698630136986301</v>
      </c>
      <c r="F114" s="154"/>
    </row>
    <row r="115" spans="2:6" x14ac:dyDescent="0.25">
      <c r="B115" s="53" t="s">
        <v>1242</v>
      </c>
      <c r="C115" s="67">
        <v>8</v>
      </c>
      <c r="D115" s="102">
        <f>D114-C115</f>
        <v>72</v>
      </c>
      <c r="E115" s="55">
        <f>D115/C112</f>
        <v>0.12328767123287671</v>
      </c>
      <c r="F115" s="154"/>
    </row>
    <row r="116" spans="2:6" x14ac:dyDescent="0.25">
      <c r="B116" s="53" t="s">
        <v>16</v>
      </c>
      <c r="C116" s="93">
        <v>1</v>
      </c>
      <c r="D116" s="102">
        <f>D115-C116</f>
        <v>71</v>
      </c>
      <c r="E116" s="55">
        <f>D116/C112</f>
        <v>0.12157534246575342</v>
      </c>
      <c r="F116" s="154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4"/>
    </row>
    <row r="118" spans="2:6" ht="16.5" thickTop="1" thickBot="1" x14ac:dyDescent="0.3">
      <c r="B118" s="110"/>
      <c r="C118" s="109" t="s">
        <v>910</v>
      </c>
      <c r="D118" s="95" t="s">
        <v>1460</v>
      </c>
      <c r="E118" s="101" t="s">
        <v>911</v>
      </c>
      <c r="F118" s="154"/>
    </row>
    <row r="119" spans="2:6" ht="16.5" thickTop="1" thickBot="1" x14ac:dyDescent="0.3">
      <c r="B119" s="97" t="s">
        <v>1060</v>
      </c>
      <c r="C119" s="98">
        <v>307</v>
      </c>
      <c r="D119" s="114">
        <f>Hoja1!P3</f>
        <v>25</v>
      </c>
      <c r="E119" s="104">
        <f>D119/C119</f>
        <v>8.143322475570032E-2</v>
      </c>
      <c r="F119" s="154"/>
    </row>
    <row r="120" spans="2:6" ht="15.75" thickBot="1" x14ac:dyDescent="0.3">
      <c r="B120" s="111" t="s">
        <v>1061</v>
      </c>
      <c r="C120" s="112">
        <f>COSEIDIcam</f>
        <v>276</v>
      </c>
      <c r="D120" s="112">
        <f>Hoja1!P5</f>
        <v>59</v>
      </c>
      <c r="E120" s="113">
        <f>D120/C120</f>
        <v>0.21376811594202899</v>
      </c>
      <c r="F120" s="155"/>
    </row>
    <row r="121" spans="2:6" ht="16.5" thickTop="1" thickBot="1" x14ac:dyDescent="0.3"/>
    <row r="122" spans="2:6" ht="16.5" thickTop="1" thickBot="1" x14ac:dyDescent="0.3">
      <c r="C122" s="106" t="s">
        <v>910</v>
      </c>
      <c r="D122" s="107" t="s">
        <v>1460</v>
      </c>
      <c r="E122" s="108" t="s">
        <v>911</v>
      </c>
    </row>
    <row r="123" spans="2:6" ht="15.75" thickTop="1" x14ac:dyDescent="0.25">
      <c r="B123" s="52" t="s">
        <v>1240</v>
      </c>
      <c r="C123" s="99">
        <f>CANTIDAD_DE_CAMARAS</f>
        <v>584</v>
      </c>
      <c r="D123" s="100"/>
      <c r="E123" s="105"/>
      <c r="F123" s="153">
        <v>46065</v>
      </c>
    </row>
    <row r="124" spans="2:6" x14ac:dyDescent="0.25">
      <c r="B124" s="53" t="s">
        <v>6</v>
      </c>
      <c r="C124" s="66">
        <f>'RESUMEN TOTAL'!X3</f>
        <v>92</v>
      </c>
      <c r="D124" s="54"/>
      <c r="E124" s="55">
        <f>C124/C123</f>
        <v>0.15753424657534246</v>
      </c>
      <c r="F124" s="154"/>
    </row>
    <row r="125" spans="2:6" x14ac:dyDescent="0.25">
      <c r="B125" s="53" t="s">
        <v>1241</v>
      </c>
      <c r="C125" s="67">
        <v>14</v>
      </c>
      <c r="D125" s="102">
        <f>C124-C125</f>
        <v>78</v>
      </c>
      <c r="E125" s="55">
        <f>D125/C123</f>
        <v>0.13356164383561644</v>
      </c>
      <c r="F125" s="154"/>
    </row>
    <row r="126" spans="2:6" x14ac:dyDescent="0.25">
      <c r="B126" s="53" t="s">
        <v>1242</v>
      </c>
      <c r="C126" s="67">
        <v>8</v>
      </c>
      <c r="D126" s="102">
        <f>D125-C126</f>
        <v>70</v>
      </c>
      <c r="E126" s="55">
        <f>D126/C123</f>
        <v>0.11986301369863013</v>
      </c>
      <c r="F126" s="154"/>
    </row>
    <row r="127" spans="2:6" x14ac:dyDescent="0.25">
      <c r="B127" s="53" t="s">
        <v>16</v>
      </c>
      <c r="C127" s="93">
        <v>2</v>
      </c>
      <c r="D127" s="102">
        <f>D126-C127</f>
        <v>68</v>
      </c>
      <c r="E127" s="55">
        <f>D127/C123</f>
        <v>0.11643835616438356</v>
      </c>
      <c r="F127" s="154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4"/>
    </row>
    <row r="129" spans="2:6" ht="16.5" thickTop="1" thickBot="1" x14ac:dyDescent="0.3">
      <c r="B129" s="110"/>
      <c r="C129" s="109" t="s">
        <v>910</v>
      </c>
      <c r="D129" s="95" t="s">
        <v>1460</v>
      </c>
      <c r="E129" s="101" t="s">
        <v>911</v>
      </c>
      <c r="F129" s="154"/>
    </row>
    <row r="130" spans="2:6" ht="16.5" thickTop="1" thickBot="1" x14ac:dyDescent="0.3">
      <c r="B130" s="97" t="s">
        <v>1060</v>
      </c>
      <c r="C130" s="98">
        <v>307</v>
      </c>
      <c r="D130" s="114">
        <f>Hoja1!Q3</f>
        <v>38</v>
      </c>
      <c r="E130" s="104">
        <f>D130/C130</f>
        <v>0.12377850162866449</v>
      </c>
      <c r="F130" s="154"/>
    </row>
    <row r="131" spans="2:6" ht="15.75" thickBot="1" x14ac:dyDescent="0.3">
      <c r="B131" s="111" t="s">
        <v>1061</v>
      </c>
      <c r="C131" s="112">
        <f>COSEIDIcam</f>
        <v>276</v>
      </c>
      <c r="D131" s="112">
        <f>Hoja1!Q5</f>
        <v>54</v>
      </c>
      <c r="E131" s="113">
        <f>D131/C131</f>
        <v>0.19565217391304349</v>
      </c>
      <c r="F131" s="155"/>
    </row>
    <row r="132" spans="2:6" ht="16.5" thickTop="1" thickBot="1" x14ac:dyDescent="0.3"/>
    <row r="133" spans="2:6" ht="16.5" thickTop="1" thickBot="1" x14ac:dyDescent="0.3">
      <c r="C133" s="106" t="s">
        <v>910</v>
      </c>
      <c r="D133" s="107" t="s">
        <v>1460</v>
      </c>
      <c r="E133" s="108" t="s">
        <v>911</v>
      </c>
    </row>
    <row r="134" spans="2:6" ht="15.75" thickTop="1" x14ac:dyDescent="0.25">
      <c r="B134" s="52" t="s">
        <v>1240</v>
      </c>
      <c r="C134" s="99">
        <f>CANTIDAD_DE_CAMARAS</f>
        <v>584</v>
      </c>
      <c r="D134" s="100"/>
      <c r="E134" s="105"/>
      <c r="F134" s="153">
        <v>46066</v>
      </c>
    </row>
    <row r="135" spans="2:6" x14ac:dyDescent="0.25">
      <c r="B135" s="53" t="s">
        <v>6</v>
      </c>
      <c r="C135" s="66">
        <f>'RESUMEN TOTAL'!Y3</f>
        <v>84</v>
      </c>
      <c r="D135" s="54"/>
      <c r="E135" s="55">
        <f>C135/C134</f>
        <v>0.14383561643835616</v>
      </c>
      <c r="F135" s="154"/>
    </row>
    <row r="136" spans="2:6" x14ac:dyDescent="0.25">
      <c r="B136" s="53" t="s">
        <v>1241</v>
      </c>
      <c r="C136" s="67">
        <v>5</v>
      </c>
      <c r="D136" s="102">
        <f>C135-C136</f>
        <v>79</v>
      </c>
      <c r="E136" s="55">
        <f>D136/C134</f>
        <v>0.13527397260273974</v>
      </c>
      <c r="F136" s="154"/>
    </row>
    <row r="137" spans="2:6" x14ac:dyDescent="0.25">
      <c r="B137" s="53" t="s">
        <v>1242</v>
      </c>
      <c r="C137" s="67">
        <v>8</v>
      </c>
      <c r="D137" s="102">
        <f>D136-C137</f>
        <v>71</v>
      </c>
      <c r="E137" s="55">
        <f>D137/C134</f>
        <v>0.12157534246575342</v>
      </c>
      <c r="F137" s="154"/>
    </row>
    <row r="138" spans="2:6" x14ac:dyDescent="0.25">
      <c r="B138" s="53" t="s">
        <v>16</v>
      </c>
      <c r="C138" s="93">
        <v>2</v>
      </c>
      <c r="D138" s="102">
        <f>D137-C138</f>
        <v>69</v>
      </c>
      <c r="E138" s="55">
        <f>D138/C134</f>
        <v>0.11815068493150685</v>
      </c>
      <c r="F138" s="154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4"/>
    </row>
    <row r="140" spans="2:6" ht="16.5" thickTop="1" thickBot="1" x14ac:dyDescent="0.3">
      <c r="B140" s="110"/>
      <c r="C140" s="109" t="s">
        <v>910</v>
      </c>
      <c r="D140" s="95" t="s">
        <v>1460</v>
      </c>
      <c r="E140" s="101" t="s">
        <v>911</v>
      </c>
      <c r="F140" s="154"/>
    </row>
    <row r="141" spans="2:6" ht="16.5" thickTop="1" thickBot="1" x14ac:dyDescent="0.3">
      <c r="B141" s="97" t="s">
        <v>1060</v>
      </c>
      <c r="C141" s="98">
        <v>307</v>
      </c>
      <c r="D141" s="114">
        <f>Hoja1!R3</f>
        <v>27</v>
      </c>
      <c r="E141" s="104">
        <f>D141/C141</f>
        <v>8.7947882736156349E-2</v>
      </c>
      <c r="F141" s="154"/>
    </row>
    <row r="142" spans="2:6" ht="15.75" thickBot="1" x14ac:dyDescent="0.3">
      <c r="B142" s="111" t="s">
        <v>1061</v>
      </c>
      <c r="C142" s="112">
        <f>COSEIDIcam</f>
        <v>276</v>
      </c>
      <c r="D142" s="112">
        <f>Hoja1!R5</f>
        <v>57</v>
      </c>
      <c r="E142" s="113">
        <f>D142/C142</f>
        <v>0.20652173913043478</v>
      </c>
      <c r="F142" s="155"/>
    </row>
    <row r="143" spans="2:6" ht="16.5" thickTop="1" thickBot="1" x14ac:dyDescent="0.3"/>
    <row r="144" spans="2:6" ht="16.5" thickTop="1" thickBot="1" x14ac:dyDescent="0.3">
      <c r="C144" s="106" t="s">
        <v>910</v>
      </c>
      <c r="D144" s="107" t="s">
        <v>1460</v>
      </c>
      <c r="E144" s="108" t="s">
        <v>911</v>
      </c>
    </row>
    <row r="145" spans="2:6" ht="15.75" thickTop="1" x14ac:dyDescent="0.25">
      <c r="B145" s="52" t="s">
        <v>1240</v>
      </c>
      <c r="C145" s="99">
        <f>CANTIDAD_DE_CAMARAS</f>
        <v>584</v>
      </c>
      <c r="D145" s="100"/>
      <c r="E145" s="105"/>
      <c r="F145" s="153">
        <v>46067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4"/>
    </row>
    <row r="147" spans="2:6" x14ac:dyDescent="0.25">
      <c r="B147" s="53" t="s">
        <v>1241</v>
      </c>
      <c r="C147" s="67">
        <v>0</v>
      </c>
      <c r="D147" s="102">
        <v>0</v>
      </c>
      <c r="E147" s="55">
        <f>D147/C145</f>
        <v>0</v>
      </c>
      <c r="F147" s="154"/>
    </row>
    <row r="148" spans="2:6" x14ac:dyDescent="0.25">
      <c r="B148" s="53" t="s">
        <v>1242</v>
      </c>
      <c r="C148" s="67">
        <v>0</v>
      </c>
      <c r="D148" s="102">
        <v>0</v>
      </c>
      <c r="E148" s="55">
        <f>D148/C145</f>
        <v>0</v>
      </c>
      <c r="F148" s="154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4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4"/>
    </row>
    <row r="151" spans="2:6" ht="16.5" thickTop="1" thickBot="1" x14ac:dyDescent="0.3">
      <c r="B151" s="110"/>
      <c r="C151" s="109" t="s">
        <v>910</v>
      </c>
      <c r="D151" s="95" t="s">
        <v>1460</v>
      </c>
      <c r="E151" s="101" t="s">
        <v>911</v>
      </c>
      <c r="F151" s="154"/>
    </row>
    <row r="152" spans="2:6" ht="16.5" thickTop="1" thickBot="1" x14ac:dyDescent="0.3">
      <c r="B152" s="97" t="s">
        <v>1060</v>
      </c>
      <c r="C152" s="98">
        <v>307</v>
      </c>
      <c r="D152" s="114">
        <v>0</v>
      </c>
      <c r="E152" s="104">
        <v>0</v>
      </c>
      <c r="F152" s="154"/>
    </row>
    <row r="153" spans="2:6" ht="15.75" thickBot="1" x14ac:dyDescent="0.3">
      <c r="B153" s="111" t="s">
        <v>1061</v>
      </c>
      <c r="C153" s="112">
        <f>COSEIDIcam</f>
        <v>276</v>
      </c>
      <c r="D153" s="112">
        <v>0</v>
      </c>
      <c r="E153" s="113">
        <v>0</v>
      </c>
      <c r="F153" s="155"/>
    </row>
    <row r="154" spans="2:6" ht="15" customHeight="1" thickTop="1" thickBot="1" x14ac:dyDescent="0.3"/>
    <row r="155" spans="2:6" ht="16.5" thickTop="1" thickBot="1" x14ac:dyDescent="0.3">
      <c r="C155" s="106" t="s">
        <v>910</v>
      </c>
      <c r="D155" s="107" t="s">
        <v>1460</v>
      </c>
      <c r="E155" s="108" t="s">
        <v>911</v>
      </c>
    </row>
    <row r="156" spans="2:6" ht="15.75" thickTop="1" x14ac:dyDescent="0.25">
      <c r="B156" s="52" t="s">
        <v>1240</v>
      </c>
      <c r="C156" s="99">
        <f>CANTIDAD_DE_CAMARAS</f>
        <v>584</v>
      </c>
      <c r="D156" s="100"/>
      <c r="E156" s="105"/>
      <c r="F156" s="153">
        <v>46068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4"/>
    </row>
    <row r="158" spans="2:6" x14ac:dyDescent="0.25">
      <c r="B158" s="53" t="s">
        <v>1241</v>
      </c>
      <c r="C158" s="67">
        <v>0</v>
      </c>
      <c r="D158" s="102">
        <v>0</v>
      </c>
      <c r="E158" s="55">
        <f>D158/C156</f>
        <v>0</v>
      </c>
      <c r="F158" s="154"/>
    </row>
    <row r="159" spans="2:6" x14ac:dyDescent="0.25">
      <c r="B159" s="53" t="s">
        <v>1242</v>
      </c>
      <c r="C159" s="67">
        <v>0</v>
      </c>
      <c r="D159" s="102">
        <v>0</v>
      </c>
      <c r="E159" s="55">
        <f>D159/C156</f>
        <v>0</v>
      </c>
      <c r="F159" s="154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4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4"/>
    </row>
    <row r="162" spans="2:6" ht="16.5" thickTop="1" thickBot="1" x14ac:dyDescent="0.3">
      <c r="B162" s="110"/>
      <c r="C162" s="109" t="s">
        <v>910</v>
      </c>
      <c r="D162" s="95" t="s">
        <v>1460</v>
      </c>
      <c r="E162" s="101" t="s">
        <v>911</v>
      </c>
      <c r="F162" s="154"/>
    </row>
    <row r="163" spans="2:6" ht="16.5" thickTop="1" thickBot="1" x14ac:dyDescent="0.3">
      <c r="B163" s="97" t="s">
        <v>1060</v>
      </c>
      <c r="C163" s="98">
        <v>307</v>
      </c>
      <c r="D163" s="114">
        <f>Hoja1!T3</f>
        <v>0</v>
      </c>
      <c r="E163" s="104">
        <f>D163/C163</f>
        <v>0</v>
      </c>
      <c r="F163" s="154"/>
    </row>
    <row r="164" spans="2:6" ht="15.75" thickBot="1" x14ac:dyDescent="0.3">
      <c r="B164" s="111" t="s">
        <v>1061</v>
      </c>
      <c r="C164" s="112">
        <f>COSEIDIcam</f>
        <v>276</v>
      </c>
      <c r="D164" s="112">
        <v>0</v>
      </c>
      <c r="E164" s="113">
        <v>0</v>
      </c>
      <c r="F164" s="155"/>
    </row>
    <row r="165" spans="2:6" ht="16.5" thickTop="1" thickBot="1" x14ac:dyDescent="0.3"/>
    <row r="166" spans="2:6" ht="16.5" thickTop="1" thickBot="1" x14ac:dyDescent="0.3">
      <c r="C166" s="106" t="s">
        <v>910</v>
      </c>
      <c r="D166" s="107" t="s">
        <v>1460</v>
      </c>
      <c r="E166" s="108" t="s">
        <v>911</v>
      </c>
    </row>
    <row r="167" spans="2:6" ht="15.75" thickTop="1" x14ac:dyDescent="0.25">
      <c r="B167" s="52" t="s">
        <v>1240</v>
      </c>
      <c r="C167" s="99">
        <f>CANTIDAD_DE_CAMARAS</f>
        <v>584</v>
      </c>
      <c r="D167" s="100"/>
      <c r="E167" s="105"/>
      <c r="F167" s="153">
        <v>46069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4"/>
    </row>
    <row r="169" spans="2:6" x14ac:dyDescent="0.25">
      <c r="B169" s="53" t="s">
        <v>1241</v>
      </c>
      <c r="C169" s="67">
        <v>0</v>
      </c>
      <c r="D169" s="102">
        <f>C168-C169</f>
        <v>0</v>
      </c>
      <c r="E169" s="55">
        <f>D169/C167</f>
        <v>0</v>
      </c>
      <c r="F169" s="154"/>
    </row>
    <row r="170" spans="2:6" x14ac:dyDescent="0.25">
      <c r="B170" s="53" t="s">
        <v>1242</v>
      </c>
      <c r="C170" s="67">
        <v>0</v>
      </c>
      <c r="D170" s="102">
        <f>D169-C170</f>
        <v>0</v>
      </c>
      <c r="E170" s="55">
        <f>D170/C167</f>
        <v>0</v>
      </c>
      <c r="F170" s="154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4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4"/>
    </row>
    <row r="173" spans="2:6" ht="16.5" thickTop="1" thickBot="1" x14ac:dyDescent="0.3">
      <c r="B173" s="110"/>
      <c r="C173" s="109" t="s">
        <v>910</v>
      </c>
      <c r="D173" s="95" t="s">
        <v>1460</v>
      </c>
      <c r="E173" s="101" t="s">
        <v>911</v>
      </c>
      <c r="F173" s="154"/>
    </row>
    <row r="174" spans="2:6" ht="16.5" thickTop="1" thickBot="1" x14ac:dyDescent="0.3">
      <c r="B174" s="97" t="s">
        <v>1060</v>
      </c>
      <c r="C174" s="98">
        <v>307</v>
      </c>
      <c r="D174" s="114">
        <v>0</v>
      </c>
      <c r="E174" s="104">
        <f>D174/C174</f>
        <v>0</v>
      </c>
      <c r="F174" s="154"/>
    </row>
    <row r="175" spans="2:6" ht="15.75" thickBot="1" x14ac:dyDescent="0.3">
      <c r="B175" s="111" t="s">
        <v>1061</v>
      </c>
      <c r="C175" s="112">
        <f>COSEIDIcam</f>
        <v>276</v>
      </c>
      <c r="D175" s="112">
        <v>0</v>
      </c>
      <c r="E175" s="113">
        <f>D175/C175</f>
        <v>0</v>
      </c>
      <c r="F175" s="155"/>
    </row>
    <row r="176" spans="2:6" ht="16.5" thickTop="1" thickBot="1" x14ac:dyDescent="0.3"/>
    <row r="177" spans="2:6" ht="16.5" thickTop="1" thickBot="1" x14ac:dyDescent="0.3">
      <c r="C177" s="106" t="s">
        <v>910</v>
      </c>
      <c r="D177" s="107" t="s">
        <v>1460</v>
      </c>
      <c r="E177" s="108" t="s">
        <v>911</v>
      </c>
    </row>
    <row r="178" spans="2:6" ht="15.75" thickTop="1" x14ac:dyDescent="0.25">
      <c r="B178" s="52" t="s">
        <v>1240</v>
      </c>
      <c r="C178" s="99">
        <f>CANTIDAD_DE_CAMARAS</f>
        <v>584</v>
      </c>
      <c r="D178" s="100"/>
      <c r="E178" s="105"/>
      <c r="F178" s="153">
        <v>46070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4"/>
    </row>
    <row r="180" spans="2:6" x14ac:dyDescent="0.25">
      <c r="B180" s="53" t="s">
        <v>1241</v>
      </c>
      <c r="C180" s="67">
        <v>0</v>
      </c>
      <c r="D180" s="102">
        <f>C179-C180</f>
        <v>0</v>
      </c>
      <c r="E180" s="55">
        <f>D180/C178</f>
        <v>0</v>
      </c>
      <c r="F180" s="154"/>
    </row>
    <row r="181" spans="2:6" x14ac:dyDescent="0.25">
      <c r="B181" s="53" t="s">
        <v>1242</v>
      </c>
      <c r="C181" s="67">
        <v>0</v>
      </c>
      <c r="D181" s="102">
        <f>D180-C181</f>
        <v>0</v>
      </c>
      <c r="E181" s="55">
        <f>D181/C178</f>
        <v>0</v>
      </c>
      <c r="F181" s="154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4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4"/>
    </row>
    <row r="184" spans="2:6" ht="16.5" thickTop="1" thickBot="1" x14ac:dyDescent="0.3">
      <c r="B184" s="110"/>
      <c r="C184" s="109" t="s">
        <v>910</v>
      </c>
      <c r="D184" s="95" t="s">
        <v>1460</v>
      </c>
      <c r="E184" s="101" t="s">
        <v>911</v>
      </c>
      <c r="F184" s="154"/>
    </row>
    <row r="185" spans="2:6" ht="16.5" thickTop="1" thickBot="1" x14ac:dyDescent="0.3">
      <c r="B185" s="97" t="s">
        <v>1060</v>
      </c>
      <c r="C185" s="98">
        <v>307</v>
      </c>
      <c r="D185" s="114">
        <f>Hoja1!V3</f>
        <v>0</v>
      </c>
      <c r="E185" s="104">
        <v>0</v>
      </c>
      <c r="F185" s="154"/>
    </row>
    <row r="186" spans="2:6" ht="15.75" thickBot="1" x14ac:dyDescent="0.3">
      <c r="B186" s="111" t="s">
        <v>1061</v>
      </c>
      <c r="C186" s="112">
        <f>COSEIDIcam</f>
        <v>276</v>
      </c>
      <c r="D186" s="112">
        <f>Hoja1!V5</f>
        <v>0</v>
      </c>
      <c r="E186" s="113">
        <v>0</v>
      </c>
      <c r="F186" s="155"/>
    </row>
    <row r="187" spans="2:6" ht="16.5" thickTop="1" thickBot="1" x14ac:dyDescent="0.3"/>
    <row r="188" spans="2:6" ht="16.5" thickTop="1" thickBot="1" x14ac:dyDescent="0.3">
      <c r="C188" s="106" t="s">
        <v>910</v>
      </c>
      <c r="D188" s="107" t="s">
        <v>1460</v>
      </c>
      <c r="E188" s="108" t="s">
        <v>911</v>
      </c>
    </row>
    <row r="189" spans="2:6" ht="15.75" thickTop="1" x14ac:dyDescent="0.25">
      <c r="B189" s="52" t="s">
        <v>1240</v>
      </c>
      <c r="C189" s="99">
        <f>CANTIDAD_DE_CAMARAS</f>
        <v>584</v>
      </c>
      <c r="D189" s="100"/>
      <c r="E189" s="105"/>
      <c r="F189" s="153">
        <v>46071</v>
      </c>
    </row>
    <row r="190" spans="2:6" x14ac:dyDescent="0.25">
      <c r="B190" s="53" t="s">
        <v>6</v>
      </c>
      <c r="C190" s="66">
        <f>'RESUMEN TOTAL'!AD3</f>
        <v>81</v>
      </c>
      <c r="D190" s="54"/>
      <c r="E190" s="55">
        <f>C190/C189</f>
        <v>0.1386986301369863</v>
      </c>
      <c r="F190" s="154"/>
    </row>
    <row r="191" spans="2:6" x14ac:dyDescent="0.25">
      <c r="B191" s="53" t="s">
        <v>1241</v>
      </c>
      <c r="C191" s="67">
        <v>6</v>
      </c>
      <c r="D191" s="102">
        <f>C190-C191</f>
        <v>75</v>
      </c>
      <c r="E191" s="55">
        <f>D191/C189</f>
        <v>0.12842465753424659</v>
      </c>
      <c r="F191" s="154"/>
    </row>
    <row r="192" spans="2:6" x14ac:dyDescent="0.25">
      <c r="B192" s="53" t="s">
        <v>1242</v>
      </c>
      <c r="C192" s="67">
        <v>8</v>
      </c>
      <c r="D192" s="102">
        <f>D191-C192</f>
        <v>67</v>
      </c>
      <c r="E192" s="55">
        <f>D192/C189</f>
        <v>0.11472602739726027</v>
      </c>
      <c r="F192" s="154"/>
    </row>
    <row r="193" spans="2:6" x14ac:dyDescent="0.25">
      <c r="B193" s="53" t="s">
        <v>16</v>
      </c>
      <c r="C193" s="93">
        <v>3</v>
      </c>
      <c r="D193" s="102">
        <f>D192-C193</f>
        <v>64</v>
      </c>
      <c r="E193" s="55">
        <f>D193/C189</f>
        <v>0.1095890410958904</v>
      </c>
      <c r="F193" s="154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4"/>
    </row>
    <row r="195" spans="2:6" ht="16.5" thickTop="1" thickBot="1" x14ac:dyDescent="0.3">
      <c r="B195" s="110"/>
      <c r="C195" s="109" t="s">
        <v>910</v>
      </c>
      <c r="D195" s="95" t="s">
        <v>1460</v>
      </c>
      <c r="E195" s="101" t="s">
        <v>911</v>
      </c>
      <c r="F195" s="154"/>
    </row>
    <row r="196" spans="2:6" ht="16.5" thickTop="1" thickBot="1" x14ac:dyDescent="0.3">
      <c r="B196" s="97" t="s">
        <v>1060</v>
      </c>
      <c r="C196" s="98">
        <v>307</v>
      </c>
      <c r="D196" s="114">
        <f>Hoja1!W3</f>
        <v>30</v>
      </c>
      <c r="E196" s="104">
        <f>D196/C196</f>
        <v>9.7719869706840393E-2</v>
      </c>
      <c r="F196" s="154"/>
    </row>
    <row r="197" spans="2:6" ht="15.75" thickBot="1" x14ac:dyDescent="0.3">
      <c r="B197" s="111" t="s">
        <v>1061</v>
      </c>
      <c r="C197" s="112">
        <f>COSEIDIcam</f>
        <v>276</v>
      </c>
      <c r="D197" s="112">
        <f>Hoja1!W5</f>
        <v>51</v>
      </c>
      <c r="E197" s="113">
        <f>D197/C197</f>
        <v>0.18478260869565216</v>
      </c>
      <c r="F197" s="155"/>
    </row>
    <row r="198" spans="2:6" ht="16.5" thickTop="1" thickBot="1" x14ac:dyDescent="0.3"/>
    <row r="199" spans="2:6" ht="16.5" thickTop="1" thickBot="1" x14ac:dyDescent="0.3">
      <c r="C199" s="106" t="s">
        <v>910</v>
      </c>
      <c r="D199" s="107" t="s">
        <v>1460</v>
      </c>
      <c r="E199" s="108" t="s">
        <v>911</v>
      </c>
    </row>
    <row r="200" spans="2:6" ht="15.75" thickTop="1" x14ac:dyDescent="0.25">
      <c r="B200" s="52" t="s">
        <v>1240</v>
      </c>
      <c r="C200" s="99">
        <f>CANTIDAD_DE_CAMARAS</f>
        <v>584</v>
      </c>
      <c r="D200" s="100"/>
      <c r="E200" s="105"/>
      <c r="F200" s="153">
        <v>46072</v>
      </c>
    </row>
    <row r="201" spans="2:6" x14ac:dyDescent="0.25">
      <c r="B201" s="53" t="s">
        <v>6</v>
      </c>
      <c r="C201" s="66">
        <f>'RESUMEN TOTAL'!AE3</f>
        <v>76</v>
      </c>
      <c r="D201" s="54"/>
      <c r="E201" s="55">
        <f>C201/C200</f>
        <v>0.13013698630136986</v>
      </c>
      <c r="F201" s="154"/>
    </row>
    <row r="202" spans="2:6" x14ac:dyDescent="0.25">
      <c r="B202" s="53" t="s">
        <v>1241</v>
      </c>
      <c r="C202" s="67">
        <v>4</v>
      </c>
      <c r="D202" s="102">
        <f>C201-C202</f>
        <v>72</v>
      </c>
      <c r="E202" s="55">
        <f>D202/C200</f>
        <v>0.12328767123287671</v>
      </c>
      <c r="F202" s="154"/>
    </row>
    <row r="203" spans="2:6" x14ac:dyDescent="0.25">
      <c r="B203" s="53" t="s">
        <v>1242</v>
      </c>
      <c r="C203" s="67">
        <v>7</v>
      </c>
      <c r="D203" s="102">
        <f>D202-C203</f>
        <v>65</v>
      </c>
      <c r="E203" s="55">
        <f>D203/C200</f>
        <v>0.1113013698630137</v>
      </c>
      <c r="F203" s="154"/>
    </row>
    <row r="204" spans="2:6" x14ac:dyDescent="0.25">
      <c r="B204" s="53" t="s">
        <v>16</v>
      </c>
      <c r="C204" s="93">
        <v>3</v>
      </c>
      <c r="D204" s="102">
        <f>D203-C204</f>
        <v>62</v>
      </c>
      <c r="E204" s="55">
        <f>D204/C200</f>
        <v>0.10616438356164383</v>
      </c>
      <c r="F204" s="154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4"/>
    </row>
    <row r="206" spans="2:6" ht="16.5" thickTop="1" thickBot="1" x14ac:dyDescent="0.3">
      <c r="B206" s="110"/>
      <c r="C206" s="109" t="s">
        <v>910</v>
      </c>
      <c r="D206" s="95" t="s">
        <v>1460</v>
      </c>
      <c r="E206" s="101" t="s">
        <v>911</v>
      </c>
      <c r="F206" s="154"/>
    </row>
    <row r="207" spans="2:6" ht="16.5" thickTop="1" thickBot="1" x14ac:dyDescent="0.3">
      <c r="B207" s="97" t="s">
        <v>1060</v>
      </c>
      <c r="C207" s="98">
        <v>307</v>
      </c>
      <c r="D207" s="114">
        <f>Hoja1!X3</f>
        <v>29</v>
      </c>
      <c r="E207" s="104">
        <f>D207/C207</f>
        <v>9.4462540716612378E-2</v>
      </c>
      <c r="F207" s="154"/>
    </row>
    <row r="208" spans="2:6" ht="15.75" thickBot="1" x14ac:dyDescent="0.3">
      <c r="B208" s="111" t="s">
        <v>1061</v>
      </c>
      <c r="C208" s="112">
        <f>COSEIDIcam</f>
        <v>276</v>
      </c>
      <c r="D208" s="112">
        <f>Hoja1!X5</f>
        <v>47</v>
      </c>
      <c r="E208" s="113">
        <f>D208/C208</f>
        <v>0.17028985507246377</v>
      </c>
      <c r="F208" s="155"/>
    </row>
    <row r="209" spans="2:6" ht="16.5" thickTop="1" thickBot="1" x14ac:dyDescent="0.3"/>
    <row r="210" spans="2:6" ht="16.5" thickTop="1" thickBot="1" x14ac:dyDescent="0.3">
      <c r="C210" s="106" t="s">
        <v>910</v>
      </c>
      <c r="D210" s="107" t="s">
        <v>1460</v>
      </c>
      <c r="E210" s="108" t="s">
        <v>911</v>
      </c>
    </row>
    <row r="211" spans="2:6" ht="15.75" thickTop="1" x14ac:dyDescent="0.25">
      <c r="B211" s="52" t="s">
        <v>1240</v>
      </c>
      <c r="C211" s="99">
        <f>CANTIDAD_DE_CAMARAS</f>
        <v>584</v>
      </c>
      <c r="D211" s="100"/>
      <c r="E211" s="105"/>
      <c r="F211" s="153">
        <v>46073</v>
      </c>
    </row>
    <row r="212" spans="2:6" x14ac:dyDescent="0.25">
      <c r="B212" s="53" t="s">
        <v>6</v>
      </c>
      <c r="C212" s="66">
        <f>'RESUMEN TOTAL'!AF3</f>
        <v>86</v>
      </c>
      <c r="D212" s="54"/>
      <c r="E212" s="55">
        <f>C212/C211</f>
        <v>0.14726027397260275</v>
      </c>
      <c r="F212" s="154"/>
    </row>
    <row r="213" spans="2:6" x14ac:dyDescent="0.25">
      <c r="B213" s="53" t="s">
        <v>1241</v>
      </c>
      <c r="C213" s="67">
        <v>4</v>
      </c>
      <c r="D213" s="102">
        <f>C212-C213</f>
        <v>82</v>
      </c>
      <c r="E213" s="55">
        <f>D213/C211</f>
        <v>0.1404109589041096</v>
      </c>
      <c r="F213" s="154"/>
    </row>
    <row r="214" spans="2:6" x14ac:dyDescent="0.25">
      <c r="B214" s="53" t="s">
        <v>1242</v>
      </c>
      <c r="C214" s="67">
        <v>7</v>
      </c>
      <c r="D214" s="102">
        <f>D213-C214</f>
        <v>75</v>
      </c>
      <c r="E214" s="55">
        <f>D214/C211</f>
        <v>0.12842465753424659</v>
      </c>
      <c r="F214" s="154"/>
    </row>
    <row r="215" spans="2:6" x14ac:dyDescent="0.25">
      <c r="B215" s="53" t="s">
        <v>16</v>
      </c>
      <c r="C215" s="93">
        <v>4</v>
      </c>
      <c r="D215" s="102">
        <f>D214-C215</f>
        <v>71</v>
      </c>
      <c r="E215" s="55">
        <f>D215/C211</f>
        <v>0.12157534246575342</v>
      </c>
      <c r="F215" s="154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4"/>
    </row>
    <row r="217" spans="2:6" ht="16.5" thickTop="1" thickBot="1" x14ac:dyDescent="0.3">
      <c r="B217" s="110"/>
      <c r="C217" s="109" t="s">
        <v>910</v>
      </c>
      <c r="D217" s="95" t="s">
        <v>1460</v>
      </c>
      <c r="E217" s="101" t="s">
        <v>911</v>
      </c>
      <c r="F217" s="154"/>
    </row>
    <row r="218" spans="2:6" ht="16.5" thickTop="1" thickBot="1" x14ac:dyDescent="0.3">
      <c r="B218" s="97" t="s">
        <v>1060</v>
      </c>
      <c r="C218" s="98">
        <v>307</v>
      </c>
      <c r="D218" s="114">
        <f>Hoja1!Y3</f>
        <v>37</v>
      </c>
      <c r="E218" s="104">
        <f>D218/C218</f>
        <v>0.12052117263843648</v>
      </c>
      <c r="F218" s="154"/>
    </row>
    <row r="219" spans="2:6" ht="15.75" thickBot="1" x14ac:dyDescent="0.3">
      <c r="B219" s="111" t="s">
        <v>1061</v>
      </c>
      <c r="C219" s="112">
        <f>COSEIDIcam</f>
        <v>276</v>
      </c>
      <c r="D219" s="112">
        <f>Hoja1!Y5</f>
        <v>49</v>
      </c>
      <c r="E219" s="113">
        <f>D219/C219</f>
        <v>0.17753623188405798</v>
      </c>
      <c r="F219" s="155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910</v>
      </c>
      <c r="D222" s="107" t="s">
        <v>1460</v>
      </c>
      <c r="E222" s="108" t="s">
        <v>911</v>
      </c>
    </row>
    <row r="223" spans="2:6" ht="15.75" thickTop="1" x14ac:dyDescent="0.25">
      <c r="B223" s="52" t="s">
        <v>1240</v>
      </c>
      <c r="C223" s="99">
        <f>CANTIDAD_DE_CAMARAS</f>
        <v>584</v>
      </c>
      <c r="D223" s="100"/>
      <c r="E223" s="105"/>
      <c r="F223" s="153">
        <v>46074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4"/>
    </row>
    <row r="225" spans="2:6" x14ac:dyDescent="0.25">
      <c r="B225" s="53" t="s">
        <v>1241</v>
      </c>
      <c r="C225" s="67">
        <v>0</v>
      </c>
      <c r="D225" s="102">
        <v>0</v>
      </c>
      <c r="E225" s="55">
        <f>D225/C223</f>
        <v>0</v>
      </c>
      <c r="F225" s="154"/>
    </row>
    <row r="226" spans="2:6" x14ac:dyDescent="0.25">
      <c r="B226" s="53" t="s">
        <v>1242</v>
      </c>
      <c r="C226" s="67">
        <v>0</v>
      </c>
      <c r="D226" s="102">
        <v>0</v>
      </c>
      <c r="E226" s="55">
        <f>D226/C223</f>
        <v>0</v>
      </c>
      <c r="F226" s="154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4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4"/>
    </row>
    <row r="229" spans="2:6" ht="16.5" thickTop="1" thickBot="1" x14ac:dyDescent="0.3">
      <c r="B229" s="110"/>
      <c r="C229" s="109" t="s">
        <v>910</v>
      </c>
      <c r="D229" s="95" t="s">
        <v>1460</v>
      </c>
      <c r="E229" s="101" t="s">
        <v>911</v>
      </c>
      <c r="F229" s="154"/>
    </row>
    <row r="230" spans="2:6" ht="16.5" thickTop="1" thickBot="1" x14ac:dyDescent="0.3">
      <c r="B230" s="97" t="s">
        <v>1060</v>
      </c>
      <c r="C230" s="98">
        <v>307</v>
      </c>
      <c r="D230" s="114">
        <f>Hoja1!Z3</f>
        <v>0</v>
      </c>
      <c r="E230" s="104">
        <f>D230/C230</f>
        <v>0</v>
      </c>
      <c r="F230" s="154"/>
    </row>
    <row r="231" spans="2:6" ht="15.75" thickBot="1" x14ac:dyDescent="0.3">
      <c r="B231" s="111" t="s">
        <v>1061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5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910</v>
      </c>
      <c r="D234" s="107" t="s">
        <v>1460</v>
      </c>
      <c r="E234" s="108" t="s">
        <v>911</v>
      </c>
    </row>
    <row r="235" spans="2:6" ht="15.75" thickTop="1" x14ac:dyDescent="0.25">
      <c r="B235" s="52" t="s">
        <v>1240</v>
      </c>
      <c r="C235" s="99">
        <f>CANTIDAD_DE_CAMARAS</f>
        <v>584</v>
      </c>
      <c r="D235" s="100"/>
      <c r="E235" s="105"/>
      <c r="F235" s="153">
        <v>46075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4"/>
    </row>
    <row r="237" spans="2:6" x14ac:dyDescent="0.25">
      <c r="B237" s="53" t="s">
        <v>1241</v>
      </c>
      <c r="C237" s="67">
        <v>0</v>
      </c>
      <c r="D237" s="102">
        <v>0</v>
      </c>
      <c r="E237" s="55">
        <f>D237/C235</f>
        <v>0</v>
      </c>
      <c r="F237" s="154"/>
    </row>
    <row r="238" spans="2:6" x14ac:dyDescent="0.25">
      <c r="B238" s="53" t="s">
        <v>1242</v>
      </c>
      <c r="C238" s="67">
        <v>0</v>
      </c>
      <c r="D238" s="102">
        <v>0</v>
      </c>
      <c r="E238" s="55">
        <f>D238/C235</f>
        <v>0</v>
      </c>
      <c r="F238" s="154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4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4"/>
    </row>
    <row r="241" spans="2:6" ht="16.5" thickTop="1" thickBot="1" x14ac:dyDescent="0.3">
      <c r="B241" s="110"/>
      <c r="C241" s="109" t="s">
        <v>910</v>
      </c>
      <c r="D241" s="95" t="s">
        <v>1460</v>
      </c>
      <c r="E241" s="101" t="s">
        <v>911</v>
      </c>
      <c r="F241" s="154"/>
    </row>
    <row r="242" spans="2:6" ht="16.5" thickTop="1" thickBot="1" x14ac:dyDescent="0.3">
      <c r="B242" s="97" t="s">
        <v>1060</v>
      </c>
      <c r="C242" s="98">
        <v>307</v>
      </c>
      <c r="D242" s="114">
        <v>0</v>
      </c>
      <c r="E242" s="104">
        <f>D242/C242</f>
        <v>0</v>
      </c>
      <c r="F242" s="154"/>
    </row>
    <row r="243" spans="2:6" ht="15.75" thickBot="1" x14ac:dyDescent="0.3">
      <c r="B243" s="111" t="s">
        <v>1061</v>
      </c>
      <c r="C243" s="112">
        <f>COSEIDIcam</f>
        <v>276</v>
      </c>
      <c r="D243" s="112">
        <v>0</v>
      </c>
      <c r="E243" s="113">
        <v>0</v>
      </c>
      <c r="F243" s="155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910</v>
      </c>
      <c r="D246" s="107" t="s">
        <v>1460</v>
      </c>
      <c r="E246" s="108" t="s">
        <v>911</v>
      </c>
    </row>
    <row r="247" spans="2:6" ht="15.75" thickTop="1" x14ac:dyDescent="0.25">
      <c r="B247" s="52" t="s">
        <v>1240</v>
      </c>
      <c r="C247" s="99">
        <f>CANTIDAD_DE_CAMARAS</f>
        <v>584</v>
      </c>
      <c r="D247" s="100"/>
      <c r="E247" s="105"/>
      <c r="F247" s="153">
        <v>46076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4"/>
    </row>
    <row r="249" spans="2:6" x14ac:dyDescent="0.25">
      <c r="B249" s="53" t="s">
        <v>1241</v>
      </c>
      <c r="C249" s="67">
        <v>0</v>
      </c>
      <c r="D249" s="102">
        <v>0</v>
      </c>
      <c r="E249" s="55">
        <f>D249/C247</f>
        <v>0</v>
      </c>
      <c r="F249" s="154"/>
    </row>
    <row r="250" spans="2:6" x14ac:dyDescent="0.25">
      <c r="B250" s="53" t="s">
        <v>1242</v>
      </c>
      <c r="C250" s="67">
        <v>0</v>
      </c>
      <c r="D250" s="102">
        <v>0</v>
      </c>
      <c r="E250" s="55">
        <f>D250/C247</f>
        <v>0</v>
      </c>
      <c r="F250" s="154"/>
    </row>
    <row r="251" spans="2:6" x14ac:dyDescent="0.25">
      <c r="B251" s="53" t="s">
        <v>16</v>
      </c>
      <c r="C251" s="93">
        <v>0</v>
      </c>
      <c r="D251" s="102">
        <v>0</v>
      </c>
      <c r="E251" s="55">
        <f>D251/C247</f>
        <v>0</v>
      </c>
      <c r="F251" s="154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4"/>
    </row>
    <row r="253" spans="2:6" ht="16.5" thickTop="1" thickBot="1" x14ac:dyDescent="0.3">
      <c r="B253" s="110"/>
      <c r="C253" s="109" t="s">
        <v>910</v>
      </c>
      <c r="D253" s="95">
        <v>0</v>
      </c>
      <c r="E253" s="101" t="s">
        <v>911</v>
      </c>
      <c r="F253" s="154"/>
    </row>
    <row r="254" spans="2:6" ht="16.5" thickTop="1" thickBot="1" x14ac:dyDescent="0.3">
      <c r="B254" s="97" t="s">
        <v>1060</v>
      </c>
      <c r="C254" s="98">
        <v>307</v>
      </c>
      <c r="D254" s="114">
        <v>0</v>
      </c>
      <c r="E254" s="104">
        <f>D254/C254</f>
        <v>0</v>
      </c>
      <c r="F254" s="154"/>
    </row>
    <row r="255" spans="2:6" ht="15.75" thickBot="1" x14ac:dyDescent="0.3">
      <c r="B255" s="111" t="s">
        <v>1061</v>
      </c>
      <c r="C255" s="112">
        <f>COSEIDIcam</f>
        <v>276</v>
      </c>
      <c r="D255" s="112">
        <v>0</v>
      </c>
      <c r="E255" s="113">
        <f>D255/C255</f>
        <v>0</v>
      </c>
      <c r="F255" s="155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910</v>
      </c>
      <c r="D258" s="107" t="s">
        <v>1460</v>
      </c>
      <c r="E258" s="108" t="s">
        <v>911</v>
      </c>
    </row>
    <row r="259" spans="2:6" ht="15.75" thickTop="1" x14ac:dyDescent="0.25">
      <c r="B259" s="52" t="s">
        <v>1240</v>
      </c>
      <c r="C259" s="99">
        <f>CANTIDAD_DE_CAMARAS</f>
        <v>584</v>
      </c>
      <c r="D259" s="100"/>
      <c r="E259" s="105"/>
      <c r="F259" s="153">
        <v>46077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4"/>
    </row>
    <row r="261" spans="2:6" x14ac:dyDescent="0.25">
      <c r="B261" s="53" t="s">
        <v>1241</v>
      </c>
      <c r="C261" s="67">
        <v>0</v>
      </c>
      <c r="D261" s="102">
        <v>0</v>
      </c>
      <c r="E261" s="55">
        <f>D261/C259</f>
        <v>0</v>
      </c>
      <c r="F261" s="154"/>
    </row>
    <row r="262" spans="2:6" x14ac:dyDescent="0.25">
      <c r="B262" s="53" t="s">
        <v>1242</v>
      </c>
      <c r="C262" s="67">
        <v>0</v>
      </c>
      <c r="D262" s="102">
        <v>0</v>
      </c>
      <c r="E262" s="55">
        <f>D262/C259</f>
        <v>0</v>
      </c>
      <c r="F262" s="154"/>
    </row>
    <row r="263" spans="2:6" x14ac:dyDescent="0.25">
      <c r="B263" s="53" t="s">
        <v>16</v>
      </c>
      <c r="C263" s="93">
        <v>0</v>
      </c>
      <c r="D263" s="102">
        <v>0</v>
      </c>
      <c r="E263" s="55">
        <f>D263/C259</f>
        <v>0</v>
      </c>
      <c r="F263" s="154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4"/>
    </row>
    <row r="265" spans="2:6" ht="16.5" thickTop="1" thickBot="1" x14ac:dyDescent="0.3">
      <c r="B265" s="110"/>
      <c r="C265" s="109" t="s">
        <v>910</v>
      </c>
      <c r="D265" s="95" t="s">
        <v>1460</v>
      </c>
      <c r="E265" s="101" t="s">
        <v>911</v>
      </c>
      <c r="F265" s="154"/>
    </row>
    <row r="266" spans="2:6" ht="16.5" thickTop="1" thickBot="1" x14ac:dyDescent="0.3">
      <c r="B266" s="97" t="s">
        <v>1060</v>
      </c>
      <c r="C266" s="98">
        <v>307</v>
      </c>
      <c r="D266" s="114">
        <v>0</v>
      </c>
      <c r="E266" s="104">
        <v>0</v>
      </c>
      <c r="F266" s="154"/>
    </row>
    <row r="267" spans="2:6" ht="15.75" thickBot="1" x14ac:dyDescent="0.3">
      <c r="B267" s="111" t="s">
        <v>1061</v>
      </c>
      <c r="C267" s="112">
        <f>COSEIDIcam</f>
        <v>276</v>
      </c>
      <c r="D267" s="112">
        <v>0</v>
      </c>
      <c r="E267" s="113">
        <v>0</v>
      </c>
      <c r="F267" s="155"/>
    </row>
    <row r="268" spans="2:6" ht="16.5" thickTop="1" thickBot="1" x14ac:dyDescent="0.3"/>
    <row r="269" spans="2:6" ht="16.5" thickTop="1" thickBot="1" x14ac:dyDescent="0.3">
      <c r="C269" s="106" t="s">
        <v>910</v>
      </c>
      <c r="D269" s="107" t="s">
        <v>1460</v>
      </c>
      <c r="E269" s="108" t="s">
        <v>911</v>
      </c>
    </row>
    <row r="270" spans="2:6" ht="15.75" thickTop="1" x14ac:dyDescent="0.25">
      <c r="B270" s="52" t="s">
        <v>1240</v>
      </c>
      <c r="C270" s="99">
        <f>CANTIDAD_DE_CAMARAS</f>
        <v>584</v>
      </c>
      <c r="D270" s="100"/>
      <c r="E270" s="105"/>
      <c r="F270" s="153">
        <v>46078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4"/>
    </row>
    <row r="272" spans="2:6" x14ac:dyDescent="0.25">
      <c r="B272" s="53" t="s">
        <v>1241</v>
      </c>
      <c r="C272" s="67">
        <v>0</v>
      </c>
      <c r="D272" s="102">
        <v>0</v>
      </c>
      <c r="E272" s="55">
        <f>D272/C270</f>
        <v>0</v>
      </c>
      <c r="F272" s="154"/>
    </row>
    <row r="273" spans="2:6" x14ac:dyDescent="0.25">
      <c r="B273" s="53" t="s">
        <v>1242</v>
      </c>
      <c r="C273" s="67">
        <v>0</v>
      </c>
      <c r="D273" s="102">
        <v>0</v>
      </c>
      <c r="E273" s="55">
        <f>D273/C270</f>
        <v>0</v>
      </c>
      <c r="F273" s="154"/>
    </row>
    <row r="274" spans="2:6" x14ac:dyDescent="0.25">
      <c r="B274" s="53" t="s">
        <v>16</v>
      </c>
      <c r="C274" s="93">
        <v>0</v>
      </c>
      <c r="D274" s="102">
        <v>0</v>
      </c>
      <c r="E274" s="55">
        <f>D274/C270</f>
        <v>0</v>
      </c>
      <c r="F274" s="154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4"/>
    </row>
    <row r="276" spans="2:6" ht="16.5" thickTop="1" thickBot="1" x14ac:dyDescent="0.3">
      <c r="B276" s="110"/>
      <c r="C276" s="109" t="s">
        <v>910</v>
      </c>
      <c r="D276" s="95" t="s">
        <v>1460</v>
      </c>
      <c r="E276" s="101" t="s">
        <v>911</v>
      </c>
      <c r="F276" s="154"/>
    </row>
    <row r="277" spans="2:6" ht="16.5" thickTop="1" thickBot="1" x14ac:dyDescent="0.3">
      <c r="B277" s="97" t="s">
        <v>1060</v>
      </c>
      <c r="C277" s="98">
        <v>307</v>
      </c>
      <c r="D277" s="114">
        <v>0</v>
      </c>
      <c r="E277" s="104">
        <f>D277/C277</f>
        <v>0</v>
      </c>
      <c r="F277" s="154"/>
    </row>
    <row r="278" spans="2:6" ht="15.75" thickBot="1" x14ac:dyDescent="0.3">
      <c r="B278" s="111" t="s">
        <v>1061</v>
      </c>
      <c r="C278" s="112">
        <f>COSEIDIcam</f>
        <v>276</v>
      </c>
      <c r="D278" s="112">
        <v>0</v>
      </c>
      <c r="E278" s="113">
        <v>0</v>
      </c>
      <c r="F278" s="155"/>
    </row>
    <row r="279" spans="2:6" ht="16.5" thickTop="1" thickBot="1" x14ac:dyDescent="0.3"/>
    <row r="280" spans="2:6" ht="16.5" thickTop="1" thickBot="1" x14ac:dyDescent="0.3">
      <c r="C280" s="106" t="s">
        <v>910</v>
      </c>
      <c r="D280" s="107" t="s">
        <v>1460</v>
      </c>
      <c r="E280" s="108" t="s">
        <v>911</v>
      </c>
    </row>
    <row r="281" spans="2:6" ht="15.75" thickTop="1" x14ac:dyDescent="0.25">
      <c r="B281" s="52" t="s">
        <v>1240</v>
      </c>
      <c r="C281" s="99">
        <f>CANTIDAD_DE_CAMARAS</f>
        <v>584</v>
      </c>
      <c r="D281" s="100"/>
      <c r="E281" s="105"/>
      <c r="F281" s="153">
        <v>46079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4"/>
    </row>
    <row r="283" spans="2:6" x14ac:dyDescent="0.25">
      <c r="B283" s="53" t="s">
        <v>1241</v>
      </c>
      <c r="C283" s="67">
        <v>0</v>
      </c>
      <c r="D283" s="102">
        <v>0</v>
      </c>
      <c r="E283" s="55">
        <f>D283/C281</f>
        <v>0</v>
      </c>
      <c r="F283" s="154"/>
    </row>
    <row r="284" spans="2:6" x14ac:dyDescent="0.25">
      <c r="B284" s="53" t="s">
        <v>1242</v>
      </c>
      <c r="C284" s="67">
        <v>0</v>
      </c>
      <c r="D284" s="102">
        <v>0</v>
      </c>
      <c r="E284" s="55">
        <f>D284/C281</f>
        <v>0</v>
      </c>
      <c r="F284" s="154"/>
    </row>
    <row r="285" spans="2:6" x14ac:dyDescent="0.25">
      <c r="B285" s="53" t="s">
        <v>16</v>
      </c>
      <c r="C285" s="93">
        <v>0</v>
      </c>
      <c r="D285" s="102">
        <v>0</v>
      </c>
      <c r="E285" s="55">
        <f>D285/C281</f>
        <v>0</v>
      </c>
      <c r="F285" s="154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4"/>
    </row>
    <row r="287" spans="2:6" ht="16.5" thickTop="1" thickBot="1" x14ac:dyDescent="0.3">
      <c r="B287" s="110"/>
      <c r="C287" s="109" t="s">
        <v>910</v>
      </c>
      <c r="D287" s="95" t="s">
        <v>1460</v>
      </c>
      <c r="E287" s="101" t="s">
        <v>911</v>
      </c>
      <c r="F287" s="154"/>
    </row>
    <row r="288" spans="2:6" ht="16.5" thickTop="1" thickBot="1" x14ac:dyDescent="0.3">
      <c r="B288" s="97" t="s">
        <v>1060</v>
      </c>
      <c r="C288" s="98">
        <v>307</v>
      </c>
      <c r="D288" s="114">
        <v>0</v>
      </c>
      <c r="E288" s="104">
        <v>0</v>
      </c>
      <c r="F288" s="154"/>
    </row>
    <row r="289" spans="2:6" ht="15.75" thickBot="1" x14ac:dyDescent="0.3">
      <c r="B289" s="111" t="s">
        <v>1061</v>
      </c>
      <c r="C289" s="112">
        <f>COSEIDIcam</f>
        <v>276</v>
      </c>
      <c r="D289" s="112">
        <v>0</v>
      </c>
      <c r="E289" s="113">
        <v>0</v>
      </c>
      <c r="F289" s="155"/>
    </row>
    <row r="290" spans="2:6" ht="16.5" thickTop="1" thickBot="1" x14ac:dyDescent="0.3"/>
    <row r="291" spans="2:6" ht="16.5" thickTop="1" thickBot="1" x14ac:dyDescent="0.3">
      <c r="C291" s="106" t="s">
        <v>910</v>
      </c>
      <c r="D291" s="107" t="s">
        <v>1460</v>
      </c>
      <c r="E291" s="108" t="s">
        <v>911</v>
      </c>
    </row>
    <row r="292" spans="2:6" ht="15.75" thickTop="1" x14ac:dyDescent="0.25">
      <c r="B292" s="52" t="s">
        <v>1240</v>
      </c>
      <c r="C292" s="99">
        <f>CANTIDAD_DE_CAMARAS</f>
        <v>584</v>
      </c>
      <c r="D292" s="100"/>
      <c r="E292" s="105"/>
      <c r="F292" s="153">
        <v>46080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4"/>
    </row>
    <row r="294" spans="2:6" x14ac:dyDescent="0.25">
      <c r="B294" s="53" t="s">
        <v>1241</v>
      </c>
      <c r="C294" s="67">
        <v>0</v>
      </c>
      <c r="D294" s="102">
        <v>0</v>
      </c>
      <c r="E294" s="55">
        <f>D294/C292</f>
        <v>0</v>
      </c>
      <c r="F294" s="154"/>
    </row>
    <row r="295" spans="2:6" x14ac:dyDescent="0.25">
      <c r="B295" s="53" t="s">
        <v>1242</v>
      </c>
      <c r="C295" s="67">
        <v>0</v>
      </c>
      <c r="D295" s="102">
        <v>0</v>
      </c>
      <c r="E295" s="55">
        <f>D295/C292</f>
        <v>0</v>
      </c>
      <c r="F295" s="154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4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4"/>
    </row>
    <row r="298" spans="2:6" ht="16.5" thickTop="1" thickBot="1" x14ac:dyDescent="0.3">
      <c r="B298" s="110"/>
      <c r="C298" s="109" t="s">
        <v>910</v>
      </c>
      <c r="D298" s="95" t="s">
        <v>1460</v>
      </c>
      <c r="E298" s="101" t="s">
        <v>911</v>
      </c>
      <c r="F298" s="154"/>
    </row>
    <row r="299" spans="2:6" ht="16.5" thickTop="1" thickBot="1" x14ac:dyDescent="0.3">
      <c r="B299" s="97" t="s">
        <v>1060</v>
      </c>
      <c r="C299" s="98">
        <v>307</v>
      </c>
      <c r="D299" s="114">
        <v>0</v>
      </c>
      <c r="E299" s="104">
        <f>D299/C299</f>
        <v>0</v>
      </c>
      <c r="F299" s="154"/>
    </row>
    <row r="300" spans="2:6" ht="15.75" thickBot="1" x14ac:dyDescent="0.3">
      <c r="B300" s="111" t="s">
        <v>1061</v>
      </c>
      <c r="C300" s="112">
        <f>COSEIDIcam</f>
        <v>276</v>
      </c>
      <c r="D300" s="112">
        <v>0</v>
      </c>
      <c r="E300" s="113">
        <f>D300/C300</f>
        <v>0</v>
      </c>
      <c r="F300" s="155"/>
    </row>
    <row r="301" spans="2:6" ht="16.5" thickTop="1" thickBot="1" x14ac:dyDescent="0.3"/>
    <row r="302" spans="2:6" ht="16.5" thickTop="1" thickBot="1" x14ac:dyDescent="0.3">
      <c r="C302" s="106" t="s">
        <v>910</v>
      </c>
      <c r="D302" s="107" t="s">
        <v>1460</v>
      </c>
      <c r="E302" s="108" t="s">
        <v>911</v>
      </c>
    </row>
    <row r="303" spans="2:6" ht="15.75" thickTop="1" x14ac:dyDescent="0.25">
      <c r="B303" s="52" t="s">
        <v>1240</v>
      </c>
      <c r="C303" s="99">
        <f>CANTIDAD_DE_CAMARAS</f>
        <v>584</v>
      </c>
      <c r="D303" s="100"/>
      <c r="E303" s="105"/>
      <c r="F303" s="153">
        <v>46081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4"/>
    </row>
    <row r="305" spans="2:6" x14ac:dyDescent="0.25">
      <c r="B305" s="53" t="s">
        <v>1241</v>
      </c>
      <c r="C305" s="67">
        <v>0</v>
      </c>
      <c r="D305" s="102">
        <v>0</v>
      </c>
      <c r="E305" s="55">
        <f>D305/C303</f>
        <v>0</v>
      </c>
      <c r="F305" s="154"/>
    </row>
    <row r="306" spans="2:6" x14ac:dyDescent="0.25">
      <c r="B306" s="53" t="s">
        <v>1242</v>
      </c>
      <c r="C306" s="67">
        <v>0</v>
      </c>
      <c r="D306" s="102">
        <v>0</v>
      </c>
      <c r="E306" s="55">
        <f>D306/C303</f>
        <v>0</v>
      </c>
      <c r="F306" s="154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4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4"/>
    </row>
    <row r="309" spans="2:6" ht="16.5" thickTop="1" thickBot="1" x14ac:dyDescent="0.3">
      <c r="B309" s="110"/>
      <c r="C309" s="109" t="s">
        <v>910</v>
      </c>
      <c r="D309" s="95" t="s">
        <v>1460</v>
      </c>
      <c r="E309" s="101" t="s">
        <v>911</v>
      </c>
      <c r="F309" s="154"/>
    </row>
    <row r="310" spans="2:6" ht="16.5" thickTop="1" thickBot="1" x14ac:dyDescent="0.3">
      <c r="B310" s="97" t="s">
        <v>1060</v>
      </c>
      <c r="C310" s="98">
        <v>307</v>
      </c>
      <c r="D310" s="114">
        <v>0</v>
      </c>
      <c r="E310" s="104">
        <v>0</v>
      </c>
      <c r="F310" s="154"/>
    </row>
    <row r="311" spans="2:6" ht="15.75" thickBot="1" x14ac:dyDescent="0.3">
      <c r="B311" s="111" t="s">
        <v>1061</v>
      </c>
      <c r="C311" s="112">
        <f>COSEIDIcam</f>
        <v>276</v>
      </c>
      <c r="D311" s="112">
        <v>0</v>
      </c>
      <c r="E311" s="113">
        <v>0</v>
      </c>
      <c r="F311" s="155"/>
    </row>
    <row r="312" spans="2:6" ht="16.5" thickTop="1" thickBot="1" x14ac:dyDescent="0.3"/>
    <row r="313" spans="2:6" ht="16.5" thickTop="1" thickBot="1" x14ac:dyDescent="0.3">
      <c r="C313" s="106"/>
      <c r="D313" s="107"/>
      <c r="E313" s="108"/>
    </row>
    <row r="314" spans="2:6" ht="15.75" thickTop="1" x14ac:dyDescent="0.25">
      <c r="B314" s="52"/>
      <c r="C314" s="99"/>
      <c r="D314" s="100"/>
      <c r="E314" s="105"/>
      <c r="F314" s="153"/>
    </row>
    <row r="315" spans="2:6" x14ac:dyDescent="0.25">
      <c r="B315" s="53"/>
      <c r="C315" s="66"/>
      <c r="D315" s="54"/>
      <c r="E315" s="55"/>
      <c r="F315" s="154"/>
    </row>
    <row r="316" spans="2:6" x14ac:dyDescent="0.25">
      <c r="B316" s="53"/>
      <c r="C316" s="67"/>
      <c r="D316" s="102"/>
      <c r="E316" s="55"/>
      <c r="F316" s="154"/>
    </row>
    <row r="317" spans="2:6" x14ac:dyDescent="0.25">
      <c r="B317" s="53"/>
      <c r="C317" s="67"/>
      <c r="D317" s="102"/>
      <c r="E317" s="55"/>
      <c r="F317" s="154"/>
    </row>
    <row r="318" spans="2:6" x14ac:dyDescent="0.25">
      <c r="B318" s="53"/>
      <c r="C318" s="93"/>
      <c r="D318" s="102"/>
      <c r="E318" s="55"/>
      <c r="F318" s="154"/>
    </row>
    <row r="319" spans="2:6" ht="15.75" thickBot="1" x14ac:dyDescent="0.3">
      <c r="B319" s="56"/>
      <c r="C319" s="130"/>
      <c r="D319" s="103"/>
      <c r="E319" s="74"/>
      <c r="F319" s="154"/>
    </row>
    <row r="320" spans="2:6" ht="16.5" thickTop="1" thickBot="1" x14ac:dyDescent="0.3">
      <c r="B320" s="110"/>
      <c r="C320" s="109"/>
      <c r="D320" s="95"/>
      <c r="E320" s="101"/>
      <c r="F320" s="154"/>
    </row>
    <row r="321" spans="2:6" ht="16.5" thickTop="1" thickBot="1" x14ac:dyDescent="0.3">
      <c r="B321" s="97"/>
      <c r="C321" s="98"/>
      <c r="D321" s="114"/>
      <c r="E321" s="104"/>
      <c r="F321" s="154"/>
    </row>
    <row r="322" spans="2:6" ht="15.75" thickBot="1" x14ac:dyDescent="0.3">
      <c r="B322" s="111"/>
      <c r="C322" s="112"/>
      <c r="D322" s="112"/>
      <c r="E322" s="113"/>
      <c r="F322" s="155"/>
    </row>
    <row r="323" spans="2:6" ht="16.5" thickTop="1" thickBot="1" x14ac:dyDescent="0.3"/>
    <row r="324" spans="2:6" ht="16.5" thickTop="1" thickBot="1" x14ac:dyDescent="0.3">
      <c r="C324" s="106"/>
      <c r="D324" s="107"/>
      <c r="E324" s="108"/>
    </row>
    <row r="325" spans="2:6" ht="15.75" thickTop="1" x14ac:dyDescent="0.25">
      <c r="B325" s="52"/>
      <c r="C325" s="99"/>
      <c r="D325" s="100"/>
      <c r="E325" s="105"/>
      <c r="F325" s="153"/>
    </row>
    <row r="326" spans="2:6" x14ac:dyDescent="0.25">
      <c r="B326" s="53"/>
      <c r="C326" s="66"/>
      <c r="D326" s="54"/>
      <c r="E326" s="55"/>
      <c r="F326" s="154"/>
    </row>
    <row r="327" spans="2:6" x14ac:dyDescent="0.25">
      <c r="B327" s="53"/>
      <c r="C327" s="67"/>
      <c r="D327" s="102"/>
      <c r="E327" s="55"/>
      <c r="F327" s="154"/>
    </row>
    <row r="328" spans="2:6" x14ac:dyDescent="0.25">
      <c r="B328" s="53"/>
      <c r="C328" s="67"/>
      <c r="D328" s="102"/>
      <c r="E328" s="55"/>
      <c r="F328" s="154"/>
    </row>
    <row r="329" spans="2:6" x14ac:dyDescent="0.25">
      <c r="B329" s="53"/>
      <c r="C329" s="93"/>
      <c r="D329" s="102"/>
      <c r="E329" s="55"/>
      <c r="F329" s="154"/>
    </row>
    <row r="330" spans="2:6" ht="15.75" thickBot="1" x14ac:dyDescent="0.3">
      <c r="B330" s="56"/>
      <c r="C330" s="130"/>
      <c r="D330" s="103"/>
      <c r="E330" s="74"/>
      <c r="F330" s="154"/>
    </row>
    <row r="331" spans="2:6" ht="16.5" thickTop="1" thickBot="1" x14ac:dyDescent="0.3">
      <c r="B331" s="110"/>
      <c r="C331" s="109"/>
      <c r="D331" s="95"/>
      <c r="E331" s="101"/>
      <c r="F331" s="154"/>
    </row>
    <row r="332" spans="2:6" ht="16.5" thickTop="1" thickBot="1" x14ac:dyDescent="0.3">
      <c r="B332" s="97"/>
      <c r="C332" s="98"/>
      <c r="D332" s="114"/>
      <c r="E332" s="104"/>
      <c r="F332" s="154"/>
    </row>
    <row r="333" spans="2:6" ht="15.75" thickBot="1" x14ac:dyDescent="0.3">
      <c r="B333" s="111"/>
      <c r="C333" s="112"/>
      <c r="D333" s="112"/>
      <c r="E333" s="113"/>
      <c r="F333" s="155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/>
      <c r="D336" s="107"/>
      <c r="E336" s="108"/>
    </row>
    <row r="337" spans="2:6" ht="15.75" thickTop="1" x14ac:dyDescent="0.25">
      <c r="B337" s="52"/>
      <c r="C337" s="99"/>
      <c r="D337" s="100"/>
      <c r="E337" s="105"/>
      <c r="F337" s="153"/>
    </row>
    <row r="338" spans="2:6" x14ac:dyDescent="0.25">
      <c r="B338" s="53"/>
      <c r="C338" s="66"/>
      <c r="D338" s="54"/>
      <c r="E338" s="55"/>
      <c r="F338" s="154"/>
    </row>
    <row r="339" spans="2:6" x14ac:dyDescent="0.25">
      <c r="B339" s="53"/>
      <c r="C339" s="67"/>
      <c r="D339" s="102"/>
      <c r="E339" s="55"/>
      <c r="F339" s="154"/>
    </row>
    <row r="340" spans="2:6" x14ac:dyDescent="0.25">
      <c r="B340" s="53"/>
      <c r="C340" s="67"/>
      <c r="D340" s="102"/>
      <c r="E340" s="55"/>
      <c r="F340" s="154"/>
    </row>
    <row r="341" spans="2:6" x14ac:dyDescent="0.25">
      <c r="B341" s="53"/>
      <c r="C341" s="93"/>
      <c r="D341" s="102"/>
      <c r="E341" s="55"/>
      <c r="F341" s="154"/>
    </row>
    <row r="342" spans="2:6" ht="15.75" thickBot="1" x14ac:dyDescent="0.3">
      <c r="B342" s="56"/>
      <c r="C342" s="130"/>
      <c r="D342" s="103"/>
      <c r="E342" s="74"/>
      <c r="F342" s="154"/>
    </row>
    <row r="343" spans="2:6" ht="16.5" thickTop="1" thickBot="1" x14ac:dyDescent="0.3">
      <c r="B343" s="110"/>
      <c r="C343" s="109"/>
      <c r="D343" s="95"/>
      <c r="E343" s="101"/>
      <c r="F343" s="154"/>
    </row>
    <row r="344" spans="2:6" ht="16.5" thickTop="1" thickBot="1" x14ac:dyDescent="0.3">
      <c r="B344" s="97"/>
      <c r="C344" s="98"/>
      <c r="D344" s="114"/>
      <c r="E344" s="104"/>
      <c r="F344" s="154"/>
    </row>
    <row r="345" spans="2:6" ht="15.75" thickBot="1" x14ac:dyDescent="0.3">
      <c r="B345" s="111"/>
      <c r="C345" s="112"/>
      <c r="D345" s="112"/>
      <c r="E345" s="113"/>
      <c r="F345" s="155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2026-02-23T12:35:47Z</dcterms:modified>
</cp:coreProperties>
</file>