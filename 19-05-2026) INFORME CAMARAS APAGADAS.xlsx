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"/>
    </mc:Choice>
  </mc:AlternateContent>
  <xr:revisionPtr revIDLastSave="0" documentId="13_ncr:1_{14CDBDD2-D800-4B17-A6E1-AC211CCC769A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TOTAL'!$A$7:$AV$597</definedName>
    <definedName name="_xlnm.Print_Area" localSheetId="0">'RESUMEN TOTAL'!$F$2:$AV$1199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79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D300" i="24" s="1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D288" i="24" s="1"/>
  <c r="E288" i="24" s="1"/>
  <c r="AF3" i="25"/>
  <c r="AG3" i="25"/>
  <c r="AI3" i="25"/>
  <c r="AJ3" i="25"/>
  <c r="J3" i="25"/>
  <c r="B2" i="25"/>
  <c r="C53" i="24" s="1"/>
  <c r="E53" i="24" s="1"/>
  <c r="O449" i="2"/>
  <c r="Q449" i="2"/>
  <c r="O450" i="2"/>
  <c r="Q450" i="2"/>
  <c r="O451" i="2"/>
  <c r="Q451" i="2"/>
  <c r="O442" i="2"/>
  <c r="Q442" i="2"/>
  <c r="O452" i="2"/>
  <c r="Q452" i="2"/>
  <c r="O453" i="2"/>
  <c r="Q453" i="2"/>
  <c r="O454" i="2"/>
  <c r="Q454" i="2"/>
  <c r="O443" i="2"/>
  <c r="Q443" i="2"/>
  <c r="O455" i="2"/>
  <c r="Q455" i="2"/>
  <c r="O456" i="2"/>
  <c r="Q456" i="2"/>
  <c r="O444" i="2"/>
  <c r="Q444" i="2"/>
  <c r="O457" i="2"/>
  <c r="Q457" i="2"/>
  <c r="O445" i="2"/>
  <c r="Q445" i="2"/>
  <c r="O446" i="2"/>
  <c r="Q446" i="2"/>
  <c r="O458" i="2"/>
  <c r="Q458" i="2"/>
  <c r="O459" i="2"/>
  <c r="Q459" i="2"/>
  <c r="O460" i="2"/>
  <c r="Q460" i="2"/>
  <c r="O447" i="2"/>
  <c r="Q447" i="2"/>
  <c r="O448" i="2"/>
  <c r="Q448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8" i="2"/>
  <c r="Q498" i="2"/>
  <c r="O499" i="2"/>
  <c r="Q499" i="2"/>
  <c r="O500" i="2"/>
  <c r="Q500" i="2"/>
  <c r="O501" i="2"/>
  <c r="Q501" i="2"/>
  <c r="O502" i="2"/>
  <c r="Q502" i="2"/>
  <c r="O496" i="2"/>
  <c r="Q496" i="2"/>
  <c r="O497" i="2"/>
  <c r="Q497" i="2"/>
  <c r="O503" i="2"/>
  <c r="Q503" i="2"/>
  <c r="O504" i="2"/>
  <c r="Q504" i="2"/>
  <c r="O505" i="2"/>
  <c r="Q505" i="2"/>
  <c r="O506" i="2"/>
  <c r="Q506" i="2"/>
  <c r="O507" i="2"/>
  <c r="Q507" i="2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08" i="2"/>
  <c r="Q508" i="2"/>
  <c r="O530" i="2"/>
  <c r="Q530" i="2"/>
  <c r="O531" i="2"/>
  <c r="Q531" i="2"/>
  <c r="O532" i="2"/>
  <c r="Q532" i="2"/>
  <c r="O509" i="2"/>
  <c r="Q509" i="2"/>
  <c r="O510" i="2"/>
  <c r="Q510" i="2"/>
  <c r="O511" i="2"/>
  <c r="Q511" i="2"/>
  <c r="O512" i="2"/>
  <c r="Q512" i="2"/>
  <c r="O533" i="2"/>
  <c r="Q533" i="2"/>
  <c r="O534" i="2"/>
  <c r="Q534" i="2"/>
  <c r="O513" i="2"/>
  <c r="Q513" i="2"/>
  <c r="O514" i="2"/>
  <c r="Q514" i="2"/>
  <c r="O515" i="2"/>
  <c r="Q515" i="2"/>
  <c r="O535" i="2"/>
  <c r="Q535" i="2"/>
  <c r="O536" i="2"/>
  <c r="Q536" i="2"/>
  <c r="O516" i="2"/>
  <c r="Q516" i="2"/>
  <c r="O517" i="2"/>
  <c r="Q517" i="2"/>
  <c r="O518" i="2"/>
  <c r="Q518" i="2"/>
  <c r="O519" i="2"/>
  <c r="Q519" i="2"/>
  <c r="O520" i="2"/>
  <c r="Q520" i="2"/>
  <c r="O537" i="2"/>
  <c r="Q537" i="2"/>
  <c r="O538" i="2"/>
  <c r="Q538" i="2"/>
  <c r="O539" i="2"/>
  <c r="Q539" i="2"/>
  <c r="O540" i="2"/>
  <c r="Q540" i="2"/>
  <c r="O541" i="2"/>
  <c r="Q541" i="2"/>
  <c r="O543" i="2"/>
  <c r="Q543" i="2"/>
  <c r="O544" i="2"/>
  <c r="Q544" i="2"/>
  <c r="O545" i="2"/>
  <c r="Q545" i="2"/>
  <c r="O546" i="2"/>
  <c r="Q546" i="2"/>
  <c r="O542" i="2"/>
  <c r="Q542" i="2"/>
  <c r="O547" i="2"/>
  <c r="Q547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8" i="2"/>
  <c r="Q568" i="2"/>
  <c r="O569" i="2"/>
  <c r="Q569" i="2"/>
  <c r="O557" i="2"/>
  <c r="Q557" i="2"/>
  <c r="O570" i="2"/>
  <c r="Q570" i="2"/>
  <c r="O571" i="2"/>
  <c r="Q571" i="2"/>
  <c r="O572" i="2"/>
  <c r="Q572" i="2"/>
  <c r="O573" i="2"/>
  <c r="Q573" i="2"/>
  <c r="O574" i="2"/>
  <c r="Q574" i="2"/>
  <c r="O577" i="2"/>
  <c r="Q577" i="2"/>
  <c r="O575" i="2"/>
  <c r="Q575" i="2"/>
  <c r="O576" i="2"/>
  <c r="Q576" i="2"/>
  <c r="O578" i="2"/>
  <c r="Q578" i="2"/>
  <c r="O580" i="2"/>
  <c r="Q580" i="2"/>
  <c r="O581" i="2"/>
  <c r="Q581" i="2"/>
  <c r="O582" i="2"/>
  <c r="Q582" i="2"/>
  <c r="O588" i="2"/>
  <c r="Q588" i="2"/>
  <c r="O583" i="2"/>
  <c r="Q583" i="2"/>
  <c r="O584" i="2"/>
  <c r="Q584" i="2"/>
  <c r="O585" i="2"/>
  <c r="Q585" i="2"/>
  <c r="O586" i="2"/>
  <c r="Q586" i="2"/>
  <c r="O587" i="2"/>
  <c r="Q587" i="2"/>
  <c r="O548" i="2"/>
  <c r="Q548" i="2"/>
  <c r="O595" i="2"/>
  <c r="Q595" i="2"/>
  <c r="O596" i="2"/>
  <c r="Q596" i="2"/>
  <c r="O597" i="2"/>
  <c r="Q597" i="2"/>
  <c r="O589" i="2"/>
  <c r="Q589" i="2"/>
  <c r="O590" i="2"/>
  <c r="Q590" i="2"/>
  <c r="O591" i="2"/>
  <c r="Q591" i="2"/>
  <c r="O592" i="2"/>
  <c r="Q592" i="2"/>
  <c r="O593" i="2"/>
  <c r="Q593" i="2"/>
  <c r="O594" i="2"/>
  <c r="Q594" i="2"/>
  <c r="O428" i="2"/>
  <c r="Q428" i="2"/>
  <c r="O429" i="2"/>
  <c r="Q429" i="2"/>
  <c r="O430" i="2"/>
  <c r="Q430" i="2"/>
  <c r="O435" i="2"/>
  <c r="Q435" i="2"/>
  <c r="O436" i="2"/>
  <c r="Q436" i="2"/>
  <c r="O437" i="2"/>
  <c r="Q437" i="2"/>
  <c r="O361" i="2"/>
  <c r="Q361" i="2"/>
  <c r="O362" i="2"/>
  <c r="Q362" i="2"/>
  <c r="O377" i="2"/>
  <c r="Q377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8" i="2"/>
  <c r="Q378" i="2"/>
  <c r="O379" i="2"/>
  <c r="Q379" i="2"/>
  <c r="O380" i="2"/>
  <c r="Q380" i="2"/>
  <c r="O381" i="2"/>
  <c r="Q381" i="2"/>
  <c r="O383" i="2"/>
  <c r="Q383" i="2"/>
  <c r="O382" i="2"/>
  <c r="Q382" i="2"/>
  <c r="O384" i="2"/>
  <c r="Q384" i="2"/>
  <c r="O385" i="2"/>
  <c r="Q385" i="2"/>
  <c r="O386" i="2"/>
  <c r="Q386" i="2"/>
  <c r="O434" i="2"/>
  <c r="Q434" i="2"/>
  <c r="O400" i="2"/>
  <c r="Q400" i="2"/>
  <c r="O387" i="2"/>
  <c r="Q387" i="2"/>
  <c r="O388" i="2"/>
  <c r="Q388" i="2"/>
  <c r="O389" i="2"/>
  <c r="Q389" i="2"/>
  <c r="O390" i="2"/>
  <c r="Q390" i="2"/>
  <c r="O391" i="2"/>
  <c r="Q391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O399" i="2"/>
  <c r="Q399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31" i="2"/>
  <c r="Q431" i="2"/>
  <c r="O432" i="2"/>
  <c r="Q432" i="2"/>
  <c r="O425" i="2"/>
  <c r="Q425" i="2"/>
  <c r="O426" i="2"/>
  <c r="Q426" i="2"/>
  <c r="O433" i="2"/>
  <c r="Q433" i="2"/>
  <c r="O353" i="2"/>
  <c r="Q353" i="2"/>
  <c r="O360" i="2"/>
  <c r="Q360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3" i="2"/>
  <c r="Q313" i="2"/>
  <c r="O323" i="2"/>
  <c r="Q323" i="2"/>
  <c r="O324" i="2"/>
  <c r="Q324" i="2"/>
  <c r="O314" i="2"/>
  <c r="Q314" i="2"/>
  <c r="O315" i="2"/>
  <c r="Q315" i="2"/>
  <c r="O325" i="2"/>
  <c r="Q325" i="2"/>
  <c r="O316" i="2"/>
  <c r="Q316" i="2"/>
  <c r="O317" i="2"/>
  <c r="Q317" i="2"/>
  <c r="O318" i="2"/>
  <c r="Q318" i="2"/>
  <c r="O326" i="2"/>
  <c r="Q326" i="2"/>
  <c r="O327" i="2"/>
  <c r="Q327" i="2"/>
  <c r="O319" i="2"/>
  <c r="Q319" i="2"/>
  <c r="O328" i="2"/>
  <c r="Q328" i="2"/>
  <c r="O320" i="2"/>
  <c r="Q320" i="2"/>
  <c r="O321" i="2"/>
  <c r="Q321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5" i="2"/>
  <c r="Q26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6" i="2"/>
  <c r="Q276" i="2"/>
  <c r="O272" i="2"/>
  <c r="Q272" i="2"/>
  <c r="O277" i="2"/>
  <c r="Q277" i="2"/>
  <c r="O273" i="2"/>
  <c r="Q273" i="2"/>
  <c r="O278" i="2"/>
  <c r="Q278" i="2"/>
  <c r="O274" i="2"/>
  <c r="Q274" i="2"/>
  <c r="O275" i="2"/>
  <c r="Q275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58" i="2"/>
  <c r="Q258" i="2"/>
  <c r="O259" i="2"/>
  <c r="Q259" i="2"/>
  <c r="O285" i="2"/>
  <c r="Q285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86" i="2"/>
  <c r="Q286" i="2"/>
  <c r="O293" i="2"/>
  <c r="Q293" i="2"/>
  <c r="O294" i="2"/>
  <c r="Q294" i="2"/>
  <c r="O295" i="2"/>
  <c r="Q295" i="2"/>
  <c r="O296" i="2"/>
  <c r="Q296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22" i="2"/>
  <c r="Q322" i="2"/>
  <c r="O196" i="2"/>
  <c r="Q19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197" i="2"/>
  <c r="Q197" i="2"/>
  <c r="O213" i="2"/>
  <c r="Q213" i="2"/>
  <c r="O214" i="2"/>
  <c r="Q214" i="2"/>
  <c r="O198" i="2"/>
  <c r="Q198" i="2"/>
  <c r="O215" i="2"/>
  <c r="Q215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16" i="2"/>
  <c r="Q21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60" i="2"/>
  <c r="Q260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72" i="2"/>
  <c r="Q172" i="2"/>
  <c r="O187" i="2"/>
  <c r="Q187" i="2"/>
  <c r="O188" i="2"/>
  <c r="Q188" i="2"/>
  <c r="O189" i="2"/>
  <c r="Q189" i="2"/>
  <c r="O190" i="2"/>
  <c r="Q190" i="2"/>
  <c r="O173" i="2"/>
  <c r="Q173" i="2"/>
  <c r="O174" i="2"/>
  <c r="Q174" i="2"/>
  <c r="O175" i="2"/>
  <c r="Q175" i="2"/>
  <c r="O176" i="2"/>
  <c r="Q176" i="2"/>
  <c r="O177" i="2"/>
  <c r="Q177" i="2"/>
  <c r="O178" i="2"/>
  <c r="Q178" i="2"/>
  <c r="O179" i="2"/>
  <c r="Q179" i="2"/>
  <c r="O191" i="2"/>
  <c r="Q191" i="2"/>
  <c r="O192" i="2"/>
  <c r="Q192" i="2"/>
  <c r="O193" i="2"/>
  <c r="Q193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7" i="2"/>
  <c r="Q297" i="2"/>
  <c r="O298" i="2"/>
  <c r="Q298" i="2"/>
  <c r="O299" i="2"/>
  <c r="Q299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8" i="24"/>
  <c r="D317" i="24"/>
  <c r="D316" i="24"/>
  <c r="E310" i="24"/>
  <c r="D307" i="24"/>
  <c r="D306" i="24"/>
  <c r="D305" i="24"/>
  <c r="D239" i="24"/>
  <c r="D238" i="24"/>
  <c r="D237" i="24"/>
  <c r="D227" i="24"/>
  <c r="D226" i="24"/>
  <c r="D225" i="24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0" i="2"/>
  <c r="R516" i="2"/>
  <c r="R532" i="2"/>
  <c r="R493" i="2"/>
  <c r="R457" i="2"/>
  <c r="R136" i="2"/>
  <c r="R41" i="2"/>
  <c r="R246" i="2"/>
  <c r="R287" i="2"/>
  <c r="R414" i="2"/>
  <c r="R410" i="2"/>
  <c r="R379" i="2"/>
  <c r="R43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3" i="2"/>
  <c r="R40" i="2"/>
  <c r="R38" i="2"/>
  <c r="R299" i="2"/>
  <c r="R76" i="2"/>
  <c r="R74" i="2"/>
  <c r="R144" i="2"/>
  <c r="R137" i="2"/>
  <c r="R114" i="2"/>
  <c r="R46" i="2"/>
  <c r="R199" i="2"/>
  <c r="R582" i="2"/>
  <c r="R580" i="2"/>
  <c r="R135" i="2"/>
  <c r="R133" i="2"/>
  <c r="R71" i="2"/>
  <c r="R62" i="2"/>
  <c r="R128" i="2"/>
  <c r="R127" i="2"/>
  <c r="R57" i="2"/>
  <c r="R208" i="2"/>
  <c r="R553" i="2"/>
  <c r="R545" i="2"/>
  <c r="R517" i="2"/>
  <c r="R23" i="2"/>
  <c r="R11" i="2"/>
  <c r="R9" i="2"/>
  <c r="R16" i="2"/>
  <c r="R238" i="2"/>
  <c r="R228" i="2"/>
  <c r="R220" i="2"/>
  <c r="R218" i="2"/>
  <c r="R204" i="2"/>
  <c r="R200" i="2"/>
  <c r="R207" i="2"/>
  <c r="R271" i="2"/>
  <c r="R265" i="2"/>
  <c r="R417" i="2"/>
  <c r="R392" i="2"/>
  <c r="R401" i="2"/>
  <c r="R386" i="2"/>
  <c r="R594" i="2"/>
  <c r="R237" i="2"/>
  <c r="R578" i="2"/>
  <c r="R518" i="2"/>
  <c r="R298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5" i="2"/>
  <c r="R225" i="2"/>
  <c r="R217" i="2"/>
  <c r="R215" i="2"/>
  <c r="R214" i="2"/>
  <c r="R211" i="2"/>
  <c r="R389" i="2"/>
  <c r="R366" i="2"/>
  <c r="R573" i="2"/>
  <c r="R566" i="2"/>
  <c r="R560" i="2"/>
  <c r="R536" i="2"/>
  <c r="R515" i="2"/>
  <c r="R533" i="2"/>
  <c r="R526" i="2"/>
  <c r="R505" i="2"/>
  <c r="R496" i="2"/>
  <c r="R473" i="2"/>
  <c r="R46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3" i="2"/>
  <c r="R254" i="2"/>
  <c r="R201" i="2"/>
  <c r="R278" i="2"/>
  <c r="R276" i="2"/>
  <c r="R334" i="2"/>
  <c r="R422" i="2"/>
  <c r="R64" i="2"/>
  <c r="R179" i="2"/>
  <c r="R329" i="2"/>
  <c r="R317" i="2"/>
  <c r="R314" i="2"/>
  <c r="R344" i="2"/>
  <c r="R433" i="2"/>
  <c r="R570" i="2"/>
  <c r="R567" i="2"/>
  <c r="R559" i="2"/>
  <c r="R546" i="2"/>
  <c r="R541" i="2"/>
  <c r="R537" i="2"/>
  <c r="R521" i="2"/>
  <c r="R502" i="2"/>
  <c r="R494" i="2"/>
  <c r="R476" i="2"/>
  <c r="R468" i="2"/>
  <c r="R162" i="2"/>
  <c r="R189" i="2"/>
  <c r="R186" i="2"/>
  <c r="R184" i="2"/>
  <c r="R182" i="2"/>
  <c r="R213" i="2"/>
  <c r="R301" i="2"/>
  <c r="R294" i="2"/>
  <c r="R409" i="2"/>
  <c r="R434" i="2"/>
  <c r="R378" i="2"/>
  <c r="R369" i="2"/>
  <c r="R367" i="2"/>
  <c r="R593" i="2"/>
  <c r="R591" i="2"/>
  <c r="R596" i="2"/>
  <c r="R481" i="2"/>
  <c r="R477" i="2"/>
  <c r="R470" i="2"/>
  <c r="R467" i="2"/>
  <c r="R465" i="2"/>
  <c r="R461" i="2"/>
  <c r="R590" i="2"/>
  <c r="R585" i="2"/>
  <c r="R488" i="2"/>
  <c r="R480" i="2"/>
  <c r="R458" i="2"/>
  <c r="R454" i="2"/>
  <c r="R451" i="2"/>
  <c r="R156" i="2"/>
  <c r="R191" i="2"/>
  <c r="R178" i="2"/>
  <c r="R190" i="2"/>
  <c r="R304" i="2"/>
  <c r="R293" i="2"/>
  <c r="R283" i="2"/>
  <c r="R318" i="2"/>
  <c r="R315" i="2"/>
  <c r="R313" i="2"/>
  <c r="R341" i="2"/>
  <c r="R406" i="2"/>
  <c r="R428" i="2"/>
  <c r="R12" i="2"/>
  <c r="R155" i="2"/>
  <c r="R148" i="2"/>
  <c r="R192" i="2"/>
  <c r="R257" i="2"/>
  <c r="R255" i="2"/>
  <c r="R252" i="2"/>
  <c r="R241" i="2"/>
  <c r="R239" i="2"/>
  <c r="R236" i="2"/>
  <c r="R221" i="2"/>
  <c r="R274" i="2"/>
  <c r="R319" i="2"/>
  <c r="R326" i="2"/>
  <c r="R353" i="2"/>
  <c r="R399" i="2"/>
  <c r="R402" i="2"/>
  <c r="R400" i="2"/>
  <c r="R385" i="2"/>
  <c r="R429" i="2"/>
  <c r="R586" i="2"/>
  <c r="R571" i="2"/>
  <c r="R549" i="2"/>
  <c r="R542" i="2"/>
  <c r="R509" i="2"/>
  <c r="R506" i="2"/>
  <c r="R484" i="2"/>
  <c r="R482" i="2"/>
  <c r="R459" i="2"/>
  <c r="R443" i="2"/>
  <c r="R442" i="2"/>
  <c r="R19" i="2"/>
  <c r="R13" i="2"/>
  <c r="R18" i="2"/>
  <c r="R17" i="2"/>
  <c r="R37" i="2"/>
  <c r="R153" i="2"/>
  <c r="R297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5" i="2"/>
  <c r="R173" i="2"/>
  <c r="R188" i="2"/>
  <c r="R305" i="2"/>
  <c r="R295" i="2"/>
  <c r="R272" i="2"/>
  <c r="R418" i="2"/>
  <c r="R411" i="2"/>
  <c r="R405" i="2"/>
  <c r="R383" i="2"/>
  <c r="R374" i="2"/>
  <c r="R377" i="2"/>
  <c r="R592" i="2"/>
  <c r="R574" i="2"/>
  <c r="R568" i="2"/>
  <c r="R565" i="2"/>
  <c r="R534" i="2"/>
  <c r="R522" i="2"/>
  <c r="R497" i="2"/>
  <c r="R501" i="2"/>
  <c r="R462" i="2"/>
  <c r="R161" i="2"/>
  <c r="R159" i="2"/>
  <c r="R151" i="2"/>
  <c r="R181" i="2"/>
  <c r="R249" i="2"/>
  <c r="R247" i="2"/>
  <c r="R244" i="2"/>
  <c r="R233" i="2"/>
  <c r="R196" i="2"/>
  <c r="R290" i="2"/>
  <c r="R259" i="2"/>
  <c r="R284" i="2"/>
  <c r="R330" i="2"/>
  <c r="R431" i="2"/>
  <c r="R423" i="2"/>
  <c r="R421" i="2"/>
  <c r="R394" i="2"/>
  <c r="R373" i="2"/>
  <c r="R365" i="2"/>
  <c r="R362" i="2"/>
  <c r="R576" i="2"/>
  <c r="R554" i="2"/>
  <c r="R538" i="2"/>
  <c r="R529" i="2"/>
  <c r="R527" i="2"/>
  <c r="R525" i="2"/>
  <c r="R489" i="2"/>
  <c r="R474" i="2"/>
  <c r="R444" i="2"/>
  <c r="R455" i="2"/>
  <c r="R333" i="2"/>
  <c r="R395" i="2"/>
  <c r="R382" i="2"/>
  <c r="R588" i="2"/>
  <c r="R508" i="2"/>
  <c r="R49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1" i="2"/>
  <c r="R268" i="2"/>
  <c r="R370" i="2"/>
  <c r="R563" i="2"/>
  <c r="R499" i="2"/>
  <c r="R149" i="2"/>
  <c r="R172" i="2"/>
  <c r="R250" i="2"/>
  <c r="R234" i="2"/>
  <c r="R285" i="2"/>
  <c r="R432" i="2"/>
  <c r="R558" i="2"/>
  <c r="R157" i="2"/>
  <c r="R176" i="2"/>
  <c r="R260" i="2"/>
  <c r="R242" i="2"/>
  <c r="R224" i="2"/>
  <c r="R280" i="2"/>
  <c r="R328" i="2"/>
  <c r="R340" i="2"/>
  <c r="R595" i="2"/>
  <c r="R550" i="2"/>
  <c r="R512" i="2"/>
  <c r="R485" i="2"/>
  <c r="R448" i="2"/>
  <c r="R227" i="2"/>
  <c r="R222" i="2"/>
  <c r="R219" i="2"/>
  <c r="R306" i="2"/>
  <c r="R258" i="2"/>
  <c r="R331" i="2"/>
  <c r="R325" i="2"/>
  <c r="R360" i="2"/>
  <c r="R419" i="2"/>
  <c r="R416" i="2"/>
  <c r="R407" i="2"/>
  <c r="R403" i="2"/>
  <c r="R375" i="2"/>
  <c r="R363" i="2"/>
  <c r="R587" i="2"/>
  <c r="R577" i="2"/>
  <c r="R555" i="2"/>
  <c r="R543" i="2"/>
  <c r="R510" i="2"/>
  <c r="R523" i="2"/>
  <c r="R490" i="2"/>
  <c r="R478" i="2"/>
  <c r="R460" i="2"/>
  <c r="R452" i="2"/>
  <c r="R81" i="2"/>
  <c r="R164" i="2"/>
  <c r="R154" i="2"/>
  <c r="R160" i="2"/>
  <c r="R150" i="2"/>
  <c r="R193" i="2"/>
  <c r="R177" i="2"/>
  <c r="R174" i="2"/>
  <c r="R187" i="2"/>
  <c r="R185" i="2"/>
  <c r="R180" i="2"/>
  <c r="R256" i="2"/>
  <c r="R251" i="2"/>
  <c r="R248" i="2"/>
  <c r="R243" i="2"/>
  <c r="R240" i="2"/>
  <c r="R235" i="2"/>
  <c r="R232" i="2"/>
  <c r="R230" i="2"/>
  <c r="R198" i="2"/>
  <c r="R292" i="2"/>
  <c r="R281" i="2"/>
  <c r="R279" i="2"/>
  <c r="R269" i="2"/>
  <c r="R267" i="2"/>
  <c r="R320" i="2"/>
  <c r="R327" i="2"/>
  <c r="R323" i="2"/>
  <c r="R425" i="2"/>
  <c r="R396" i="2"/>
  <c r="R384" i="2"/>
  <c r="R371" i="2"/>
  <c r="R583" i="2"/>
  <c r="R564" i="2"/>
  <c r="R562" i="2"/>
  <c r="R551" i="2"/>
  <c r="R535" i="2"/>
  <c r="R514" i="2"/>
  <c r="R530" i="2"/>
  <c r="R500" i="2"/>
  <c r="R498" i="2"/>
  <c r="R486" i="2"/>
  <c r="R466" i="2"/>
  <c r="R464" i="2"/>
  <c r="R445" i="2"/>
  <c r="R229" i="2"/>
  <c r="R226" i="2"/>
  <c r="R205" i="2"/>
  <c r="R203" i="2"/>
  <c r="R212" i="2"/>
  <c r="R210" i="2"/>
  <c r="R302" i="2"/>
  <c r="R300" i="2"/>
  <c r="R288" i="2"/>
  <c r="R273" i="2"/>
  <c r="R342" i="2"/>
  <c r="R415" i="2"/>
  <c r="R413" i="2"/>
  <c r="R390" i="2"/>
  <c r="R388" i="2"/>
  <c r="R380" i="2"/>
  <c r="R437" i="2"/>
  <c r="R435" i="2"/>
  <c r="R597" i="2"/>
  <c r="R557" i="2"/>
  <c r="R520" i="2"/>
  <c r="R504" i="2"/>
  <c r="R472" i="2"/>
  <c r="R449" i="2"/>
  <c r="R216" i="2"/>
  <c r="R286" i="2"/>
  <c r="R332" i="2"/>
  <c r="R424" i="2"/>
  <c r="R391" i="2"/>
  <c r="R361" i="2"/>
  <c r="R572" i="2"/>
  <c r="R539" i="2"/>
  <c r="R507" i="2"/>
  <c r="R475" i="2"/>
  <c r="R450" i="2"/>
  <c r="R223" i="2"/>
  <c r="R303" i="2"/>
  <c r="R270" i="2"/>
  <c r="R339" i="2"/>
  <c r="R393" i="2"/>
  <c r="R368" i="2"/>
  <c r="R581" i="2"/>
  <c r="R547" i="2"/>
  <c r="R528" i="2"/>
  <c r="R483" i="2"/>
  <c r="R456" i="2"/>
  <c r="R209" i="2"/>
  <c r="R275" i="2"/>
  <c r="R324" i="2"/>
  <c r="R408" i="2"/>
  <c r="R376" i="2"/>
  <c r="R548" i="2"/>
  <c r="R556" i="2"/>
  <c r="R511" i="2"/>
  <c r="R491" i="2"/>
  <c r="R447" i="2"/>
  <c r="R231" i="2"/>
  <c r="R202" i="2"/>
  <c r="R197" i="2"/>
  <c r="R322" i="2"/>
  <c r="R296" i="2"/>
  <c r="R289" i="2"/>
  <c r="R282" i="2"/>
  <c r="R277" i="2"/>
  <c r="R266" i="2"/>
  <c r="R321" i="2"/>
  <c r="R316" i="2"/>
  <c r="R343" i="2"/>
  <c r="R426" i="2"/>
  <c r="R420" i="2"/>
  <c r="R412" i="2"/>
  <c r="R397" i="2"/>
  <c r="R404" i="2"/>
  <c r="R387" i="2"/>
  <c r="R381" i="2"/>
  <c r="R372" i="2"/>
  <c r="R364" i="2"/>
  <c r="R430" i="2"/>
  <c r="R589" i="2"/>
  <c r="R584" i="2"/>
  <c r="R575" i="2"/>
  <c r="R569" i="2"/>
  <c r="R561" i="2"/>
  <c r="R552" i="2"/>
  <c r="R544" i="2"/>
  <c r="R519" i="2"/>
  <c r="R513" i="2"/>
  <c r="R531" i="2"/>
  <c r="R524" i="2"/>
  <c r="R503" i="2"/>
  <c r="R495" i="2"/>
  <c r="R487" i="2"/>
  <c r="R479" i="2"/>
  <c r="R471" i="2"/>
  <c r="R463" i="2"/>
  <c r="R446" i="2"/>
  <c r="R453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D289" i="24"/>
  <c r="E289" i="24" s="1"/>
  <c r="D278" i="24"/>
  <c r="E278" i="24" s="1"/>
  <c r="E267" i="24"/>
  <c r="E255" i="24"/>
  <c r="E231" i="24"/>
  <c r="D219" i="24"/>
  <c r="E219" i="24" s="1"/>
  <c r="E208" i="24"/>
  <c r="D186" i="24"/>
  <c r="E186" i="24" s="1"/>
  <c r="D299" i="24"/>
  <c r="E299" i="24" s="1"/>
  <c r="D277" i="24"/>
  <c r="E277" i="24" s="1"/>
  <c r="E266" i="24"/>
  <c r="E254" i="24"/>
  <c r="E230" i="24"/>
  <c r="D218" i="24"/>
  <c r="E218" i="24" s="1"/>
  <c r="E207" i="24"/>
  <c r="D185" i="24"/>
  <c r="E185" i="24" s="1"/>
  <c r="E141" i="24"/>
  <c r="E119" i="24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4" i="2"/>
  <c r="Q355" i="2"/>
  <c r="Q356" i="2"/>
  <c r="O354" i="2"/>
  <c r="O355" i="2"/>
  <c r="O356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4" i="2"/>
  <c r="R356" i="2"/>
  <c r="R355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7" i="2"/>
  <c r="Q357" i="2"/>
  <c r="D60" i="24" l="1"/>
  <c r="D172" i="24"/>
  <c r="R35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4" i="2"/>
  <c r="O195" i="2"/>
  <c r="O261" i="2"/>
  <c r="O262" i="2"/>
  <c r="O307" i="2"/>
  <c r="O308" i="2"/>
  <c r="O311" i="2"/>
  <c r="O312" i="2"/>
  <c r="O309" i="2"/>
  <c r="O310" i="2"/>
  <c r="O335" i="2"/>
  <c r="O336" i="2"/>
  <c r="O337" i="2"/>
  <c r="O358" i="2"/>
  <c r="O359" i="2"/>
  <c r="O345" i="2"/>
  <c r="O346" i="2"/>
  <c r="O347" i="2"/>
  <c r="O348" i="2"/>
  <c r="O349" i="2"/>
  <c r="O350" i="2"/>
  <c r="O351" i="2"/>
  <c r="O352" i="2"/>
  <c r="O427" i="2"/>
  <c r="O440" i="2"/>
  <c r="O441" i="2"/>
  <c r="O438" i="2"/>
  <c r="Q438" i="2"/>
  <c r="Q441" i="2"/>
  <c r="Q440" i="2"/>
  <c r="Q427" i="2"/>
  <c r="Q351" i="2"/>
  <c r="Q350" i="2"/>
  <c r="Q349" i="2"/>
  <c r="Q348" i="2"/>
  <c r="Q347" i="2"/>
  <c r="Q346" i="2"/>
  <c r="Q345" i="2"/>
  <c r="Q359" i="2"/>
  <c r="Q358" i="2"/>
  <c r="Q337" i="2"/>
  <c r="Q336" i="2"/>
  <c r="Q335" i="2"/>
  <c r="Q310" i="2"/>
  <c r="Q309" i="2"/>
  <c r="Q312" i="2"/>
  <c r="Q311" i="2"/>
  <c r="Q308" i="2"/>
  <c r="Q307" i="2"/>
  <c r="Q262" i="2"/>
  <c r="Q261" i="2"/>
  <c r="Q195" i="2"/>
  <c r="Q194" i="2"/>
  <c r="Q169" i="2"/>
  <c r="Q168" i="2"/>
  <c r="Q167" i="2"/>
  <c r="Q166" i="2"/>
  <c r="Q147" i="2"/>
  <c r="Q78" i="2"/>
  <c r="Q352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2" i="2"/>
  <c r="R78" i="2"/>
  <c r="R169" i="2"/>
  <c r="R441" i="2"/>
  <c r="R310" i="2"/>
  <c r="R34" i="2"/>
  <c r="R195" i="2"/>
  <c r="R33" i="2"/>
  <c r="R166" i="2"/>
  <c r="R167" i="2"/>
  <c r="R427" i="2"/>
  <c r="R307" i="2"/>
  <c r="R311" i="2"/>
  <c r="R336" i="2"/>
  <c r="R346" i="2"/>
  <c r="R32" i="2"/>
  <c r="R31" i="2"/>
  <c r="R347" i="2"/>
  <c r="R438" i="2"/>
  <c r="R262" i="2"/>
  <c r="R348" i="2"/>
  <c r="R349" i="2"/>
  <c r="R359" i="2"/>
  <c r="R351" i="2"/>
  <c r="R358" i="2"/>
  <c r="R335" i="2"/>
  <c r="R30" i="2"/>
  <c r="R352" i="2"/>
  <c r="R194" i="2"/>
  <c r="R345" i="2"/>
  <c r="R168" i="2"/>
  <c r="R308" i="2"/>
  <c r="R309" i="2"/>
  <c r="R337" i="2"/>
  <c r="R261" i="2"/>
  <c r="R350" i="2"/>
  <c r="R440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8" i="2" l="1"/>
  <c r="O338" i="2"/>
  <c r="R338" i="2" l="1"/>
  <c r="Q439" i="2" l="1"/>
  <c r="O439" i="2"/>
  <c r="R439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<sst xmlns="http://schemas.openxmlformats.org/spreadsheetml/2006/main" count="6979" uniqueCount="2469">
  <si>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</si>
  <si>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</si>
  <si>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</si>
  <si>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</si>
  <si>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</si>
  <si>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</si>
  <si>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</si>
  <si>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</si>
  <si>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</si>
  <si>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</si>
  <si>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</si>
  <si>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</si>
  <si>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</si>
  <si>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</si>
  <si>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</si>
  <si>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</si>
  <si>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</si>
  <si>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</si>
  <si>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</si>
  <si>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</si>
  <si>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</si>
  <si>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</si>
  <si>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</si>
  <si>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</si>
  <si>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</si>
  <si>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</si>
  <si>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</si>
  <si>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</si>
  <si>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</si>
  <si>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</si>
  <si>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</si>
  <si>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</si>
  <si>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</si>
  <si>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</si>
  <si>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</si>
  <si>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</si>
  <si>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</si>
  <si>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</si>
  <si>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</si>
  <si>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</si>
  <si>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</si>
  <si>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</si>
  <si>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</si>
  <si>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</si>
  <si>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</si>
  <si>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</si>
  <si>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</si>
  <si>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</si>
  <si>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</si>
  <si>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</si>
  <si>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</si>
  <si>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</si>
  <si>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</si>
  <si>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</si>
  <si>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</si>
  <si>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</si>
  <si>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</si>
  <si>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</si>
  <si>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</si>
  <si>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</si>
  <si>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</si>
  <si>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</si>
  <si>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</si>
  <si>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</si>
  <si>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</si>
  <si>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</si>
  <si>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</si>
  <si>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</si>
  <si>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</si>
  <si>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</si>
  <si>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</si>
  <si>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</si>
  <si>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</si>
  <si>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</si>
  <si>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</si>
  <si>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</si>
  <si>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</si>
  <si>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</si>
  <si>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</si>
  <si>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</si>
  <si>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</si>
  <si>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</si>
  <si>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</si>
  <si>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</si>
  <si>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</si>
  <si>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</si>
  <si>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</si>
  <si>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</si>
  <si>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</si>
  <si>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</si>
  <si>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</si>
  <si>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</si>
  <si>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</si>
  <si>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</si>
  <si>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</si>
  <si>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</si>
  <si>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</si>
  <si>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</si>
  <si>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</si>
  <si>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</si>
  <si>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</si>
  <si>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</si>
  <si>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</si>
  <si>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</si>
  <si>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</si>
  <si>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</si>
  <si>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</si>
  <si>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</si>
  <si>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</si>
  <si>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</si>
  <si>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</si>
  <si>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</si>
  <si>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</si>
  <si>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</si>
  <si>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</si>
  <si>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</si>
  <si>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</si>
  <si>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</si>
  <si>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</si>
  <si>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</si>
  <si>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</si>
  <si>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</si>
  <si>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</si>
  <si>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</si>
  <si>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</si>
  <si>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</si>
  <si>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</si>
  <si>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</si>
  <si>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</si>
  <si>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</si>
  <si>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</si>
  <si>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</si>
  <si>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</si>
  <si>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</si>
  <si>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</si>
  <si>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</si>
  <si>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</si>
  <si>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</si>
  <si>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</si>
  <si>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</si>
  <si>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</si>
  <si>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</si>
  <si>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</si>
  <si>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</si>
  <si>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</si>
  <si>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</si>
  <si>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</si>
  <si>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</si>
  <si>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</si>
  <si>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</si>
  <si>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</si>
  <si>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</si>
  <si>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</si>
  <si>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</si>
  <si>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</si>
  <si>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</si>
  <si>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</si>
  <si>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</si>
  <si>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</si>
  <si>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</si>
  <si>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</si>
  <si>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</si>
  <si>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</si>
  <si>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</si>
  <si>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</si>
  <si>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</si>
  <si>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</si>
  <si>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</si>
  <si>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</si>
  <si>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</si>
  <si>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</si>
  <si>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</si>
  <si>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</si>
  <si>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</si>
  <si>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</si>
  <si>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</si>
  <si>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</si>
  <si>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</si>
  <si>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</si>
  <si>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</si>
  <si>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</si>
  <si>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</si>
  <si>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</si>
  <si>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</si>
  <si>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</si>
  <si>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</si>
  <si>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</si>
  <si>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</si>
  <si>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</si>
  <si>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</si>
  <si>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</si>
  <si>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</si>
  <si>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</si>
  <si>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</si>
  <si>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</si>
  <si>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</si>
  <si>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</si>
  <si>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</si>
  <si>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</si>
  <si>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</si>
  <si>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</si>
  <si>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</si>
  <si>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</si>
  <si>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</si>
  <si>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</si>
  <si>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</si>
  <si>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</si>
  <si>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</si>
  <si>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</si>
  <si>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</si>
  <si>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</si>
  <si>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</si>
  <si>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</si>
  <si>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</si>
  <si>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</si>
  <si>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</si>
  <si>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</si>
  <si>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</si>
  <si>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</si>
  <si>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</si>
  <si>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</si>
  <si>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</si>
  <si>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</si>
  <si>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</si>
  <si>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</si>
  <si>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</si>
  <si>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</si>
  <si>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</si>
  <si>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</si>
  <si>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</si>
  <si>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</si>
  <si>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</si>
  <si>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</si>
  <si>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</si>
  <si>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</si>
  <si>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</si>
  <si>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</si>
  <si>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</si>
  <si>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</si>
  <si>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</si>
  <si>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</si>
  <si>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</si>
  <si>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</si>
  <si>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</si>
  <si>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</si>
  <si>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</si>
  <si>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</si>
  <si>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</si>
  <si>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</si>
  <si>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</si>
  <si>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</si>
  <si>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</si>
  <si>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</si>
  <si>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</si>
  <si>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</si>
  <si>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</si>
  <si>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</si>
  <si>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</si>
  <si>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</si>
  <si>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</si>
  <si>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</si>
  <si>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</si>
  <si>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</si>
  <si>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</si>
  <si>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</si>
  <si>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</si>
  <si>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</si>
  <si>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</si>
  <si>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</si>
  <si>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</si>
  <si>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</si>
  <si>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</si>
  <si>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</si>
  <si>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</si>
  <si>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</si>
  <si>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</si>
  <si>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</si>
  <si>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</si>
  <si>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</si>
  <si>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</si>
  <si>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</si>
  <si>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</si>
  <si>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</si>
  <si>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</si>
  <si>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</si>
  <si>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</si>
  <si>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</si>
  <si>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</si>
  <si>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</si>
  <si>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</si>
  <si>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</si>
  <si>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</si>
  <si>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</si>
  <si>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</si>
  <si>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</si>
  <si>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</si>
  <si>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</si>
  <si>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</si>
  <si>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</si>
  <si>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</si>
  <si>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</si>
  <si>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</si>
  <si>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</si>
  <si>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</si>
  <si>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</si>
  <si>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</si>
  <si>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</si>
  <si>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</si>
  <si>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</si>
  <si>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</si>
  <si>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</si>
  <si>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</si>
  <si>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</si>
  <si>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</si>
  <si>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</si>
  <si>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</si>
  <si>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</si>
  <si>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</si>
  <si>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</si>
  <si>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</si>
  <si>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</si>
  <si>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</si>
  <si>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</si>
  <si>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</si>
  <si>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</si>
  <si>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</si>
  <si>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</si>
  <si>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</si>
  <si>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</si>
  <si>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</si>
  <si>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</si>
  <si>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</si>
  <si>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</si>
  <si>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</si>
  <si>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</si>
  <si>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</si>
  <si>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</si>
  <si>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</si>
  <si>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</si>
  <si>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</si>
  <si>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</si>
  <si>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</si>
  <si>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</si>
  <si>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</si>
  <si>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</si>
  <si>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</si>
  <si>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</si>
  <si>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</si>
  <si>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</si>
  <si>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</si>
  <si>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</si>
  <si>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</si>
  <si>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</si>
  <si>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</si>
  <si>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</si>
  <si>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</si>
  <si>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</si>
  <si>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</si>
  <si>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</si>
  <si>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</si>
  <si>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</si>
  <si>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</si>
  <si>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</si>
  <si>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</si>
  <si>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</si>
  <si>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</si>
  <si>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</si>
  <si>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</si>
  <si>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</si>
  <si>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</si>
  <si>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</si>
  <si>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</si>
  <si>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</si>
  <si>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</si>
  <si>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</si>
  <si>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</si>
  <si>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</si>
  <si>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</si>
  <si>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</si>
  <si>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</si>
  <si>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</si>
  <si>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</si>
  <si>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</si>
  <si>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</si>
  <si>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</si>
  <si>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</si>
  <si>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</si>
  <si>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</si>
  <si>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</si>
  <si>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</si>
  <si>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</si>
  <si>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</si>
  <si>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</si>
  <si>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</si>
  <si>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</si>
  <si>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</si>
  <si>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</si>
  <si>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</si>
  <si>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</si>
  <si>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</si>
  <si>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</si>
  <si>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</si>
  <si>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</si>
  <si>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</si>
  <si>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</si>
  <si>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</si>
  <si>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</si>
  <si>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</si>
  <si>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</si>
  <si>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</si>
  <si>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</si>
  <si>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</si>
  <si>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</si>
  <si>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</si>
  <si>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</si>
  <si>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</si>
  <si>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</si>
  <si>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</si>
  <si>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</si>
  <si>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</si>
  <si>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</si>
  <si>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</si>
  <si>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</si>
  <si>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</si>
  <si>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</si>
  <si>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</si>
  <si>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</si>
  <si>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</si>
  <si>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</si>
  <si>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</si>
  <si>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</si>
  <si>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</si>
  <si>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</si>
  <si>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</si>
  <si>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</si>
  <si>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</si>
  <si>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</si>
  <si>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</si>
  <si>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</si>
  <si>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</si>
  <si>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</si>
  <si>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</si>
  <si>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</si>
  <si>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</si>
  <si>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</si>
  <si>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</si>
  <si>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</si>
  <si>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</si>
  <si>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</si>
  <si>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</si>
  <si>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</si>
  <si>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</si>
  <si>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</si>
  <si>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</si>
  <si>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</si>
  <si>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</si>
  <si>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</si>
  <si>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</si>
  <si>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</si>
  <si>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</si>
  <si>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</si>
  <si>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</si>
  <si>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</si>
  <si>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</si>
  <si>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</si>
  <si>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</si>
  <si>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</si>
  <si>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</si>
  <si>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</si>
  <si>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</si>
  <si>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</si>
  <si>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</si>
  <si>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</si>
  <si>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</si>
  <si>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</si>
  <si>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</si>
  <si>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</si>
  <si>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</si>
  <si>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</si>
  <si>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</si>
  <si>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</si>
  <si>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</si>
  <si>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</si>
  <si>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</si>
  <si>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</si>
  <si>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</si>
  <si>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</si>
  <si>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</si>
  <si>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</si>
  <si>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</si>
  <si>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</si>
  <si>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</si>
  <si>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</si>
  <si>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</si>
  <si>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</si>
  <si>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</si>
  <si>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</si>
  <si>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</si>
  <si>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</si>
  <si>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</si>
  <si>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</si>
  <si>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</si>
  <si>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</si>
  <si>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</si>
  <si>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</si>
  <si>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</si>
  <si>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</si>
  <si>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</si>
  <si>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</si>
  <si>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</si>
  <si>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</si>
  <si>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</si>
  <si>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</si>
  <si>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</si>
  <si>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</si>
  <si>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</si>
  <si>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</si>
  <si>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</si>
  <si>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</si>
  <si>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</si>
  <si>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</si>
  <si>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</si>
  <si>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</si>
  <si>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</si>
  <si>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</si>
  <si>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</si>
  <si>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</si>
  <si>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</si>
  <si>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</si>
  <si>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</si>
  <si>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</si>
  <si>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</si>
  <si>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</si>
  <si>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</si>
  <si>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</si>
  <si>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</si>
  <si>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</si>
  <si>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</si>
  <si>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</si>
  <si>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</si>
  <si>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</si>
  <si>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</si>
  <si>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</si>
  <si>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</si>
  <si>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</si>
  <si>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</si>
  <si>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</si>
  <si>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</si>
  <si>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</si>
  <si>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</si>
  <si>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</si>
  <si>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</si>
  <si>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</si>
  <si>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</si>
  <si>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</si>
  <si>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</si>
  <si>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</si>
  <si>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</si>
  <si>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</si>
  <si>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</si>
  <si>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</si>
  <si>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</si>
  <si>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</si>
  <si>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</si>
  <si>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</si>
  <si>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</si>
  <si>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</si>
  <si>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</si>
  <si>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</si>
  <si>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</si>
  <si>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</si>
  <si>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</si>
  <si>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</si>
  <si>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</si>
  <si>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</si>
  <si>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</si>
  <si>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</si>
  <si>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</si>
  <si>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</si>
  <si>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</si>
  <si>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</si>
  <si>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</si>
  <si>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</si>
  <si>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</si>
  <si>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</si>
  <si>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</si>
  <si>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</si>
  <si>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</si>
  <si>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</si>
  <si>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</si>
  <si>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</si>
  <si>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</si>
  <si>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</si>
  <si>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</si>
  <si>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</si>
  <si>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</si>
  <si>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</si>
  <si>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</si>
  <si>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</si>
  <si>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</si>
  <si>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</si>
  <si>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</si>
  <si>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</si>
  <si>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</si>
  <si>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</si>
  <si>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</si>
  <si>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</si>
  <si>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</si>
  <si>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</si>
  <si>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</si>
  <si>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</si>
  <si>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</si>
  <si>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</si>
  <si>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</si>
  <si>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</si>
  <si>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</si>
  <si>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</si>
  <si>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</si>
  <si>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</si>
  <si>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</si>
  <si>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</si>
  <si>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</si>
  <si>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</si>
  <si>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</si>
  <si>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</si>
  <si>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</si>
  <si>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</si>
  <si>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</si>
  <si>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</si>
  <si>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</si>
  <si>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</si>
  <si>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</si>
  <si>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</si>
  <si>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</si>
  <si>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</si>
  <si>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</si>
  <si>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</si>
  <si>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</si>
  <si>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</si>
  <si>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</si>
  <si>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</si>
  <si>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</si>
  <si>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</si>
  <si>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</si>
  <si>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</si>
  <si>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</si>
  <si>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</si>
  <si>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</si>
  <si>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</si>
  <si>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</si>
  <si>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</si>
  <si>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</si>
  <si>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</si>
  <si>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</si>
  <si>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</si>
  <si>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</si>
  <si>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</si>
  <si>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</si>
  <si>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</si>
  <si>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</si>
  <si>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</si>
  <si>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</si>
  <si>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</si>
  <si>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</si>
  <si>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</si>
  <si>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</si>
  <si>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</si>
  <si>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</si>
  <si>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</si>
  <si>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</si>
  <si>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</si>
  <si>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</si>
  <si>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</si>
  <si>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</si>
  <si>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</si>
  <si>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</si>
  <si>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</si>
  <si>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</si>
  <si>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</si>
  <si>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</si>
  <si>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</si>
  <si>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</si>
  <si>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</si>
  <si>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</si>
  <si>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</si>
  <si>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</si>
  <si>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</si>
  <si>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</si>
  <si>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</si>
  <si>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</si>
  <si>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</si>
  <si>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</si>
  <si>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</si>
  <si>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</si>
  <si>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</si>
  <si>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</si>
  <si>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</si>
  <si>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</si>
  <si>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</si>
  <si>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</si>
  <si>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</si>
  <si>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</si>
  <si>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</si>
  <si>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</si>
  <si>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</si>
  <si>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</si>
  <si>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</si>
  <si>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</si>
  <si>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</si>
  <si>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</si>
  <si>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</si>
  <si>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</si>
  <si>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</si>
  <si>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</si>
  <si>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</si>
  <si>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</si>
  <si>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</si>
  <si>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</si>
  <si>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</si>
  <si>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</si>
  <si>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</si>
  <si>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</si>
  <si>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</si>
  <si>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</si>
  <si>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</si>
  <si>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</si>
  <si>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</si>
  <si>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</si>
  <si>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</si>
  <si>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</si>
  <si>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</si>
  <si>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</si>
  <si>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</si>
  <si>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</si>
  <si>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</si>
  <si>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</si>
  <si>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</si>
  <si>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</si>
  <si>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</si>
  <si>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</si>
  <si>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</si>
  <si>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</si>
  <si>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</si>
  <si>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</si>
  <si>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</si>
  <si>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</si>
  <si>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</si>
  <si>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</si>
  <si>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</si>
  <si>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</si>
  <si>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</si>
  <si>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</si>
  <si>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</si>
  <si>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</si>
  <si>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</si>
  <si>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</si>
  <si>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</si>
  <si>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</si>
  <si>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</si>
  <si>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</si>
  <si>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</si>
  <si>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</si>
  <si>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</si>
  <si>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</si>
  <si>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</si>
  <si>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</si>
  <si>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</si>
  <si>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</si>
  <si>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</si>
  <si>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</si>
  <si>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</si>
  <si>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</si>
  <si>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</si>
  <si>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</si>
  <si>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</si>
  <si>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</si>
  <si>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</si>
  <si>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</si>
  <si>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</si>
  <si>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</si>
  <si>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</si>
  <si>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</si>
  <si>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</si>
  <si>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</si>
  <si>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</si>
  <si>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</si>
  <si>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</si>
  <si>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</si>
  <si>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</si>
  <si>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</si>
  <si>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</si>
  <si>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</si>
  <si>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</si>
  <si>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</si>
  <si>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</si>
  <si>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</si>
  <si>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</si>
  <si>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</si>
  <si>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</si>
  <si>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</si>
  <si>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</si>
  <si>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</si>
  <si>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</si>
  <si>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</si>
  <si>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</si>
  <si>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</si>
  <si>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</si>
  <si>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</si>
  <si>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</si>
  <si>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</si>
  <si>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</si>
  <si>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</si>
  <si>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</si>
  <si>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</si>
  <si>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</si>
  <si>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</si>
  <si>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</si>
  <si>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</si>
  <si>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</si>
  <si>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</si>
  <si>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</si>
  <si>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</si>
  <si>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</si>
  <si>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</si>
  <si>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</si>
  <si>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</si>
  <si>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</si>
  <si>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</si>
  <si>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</si>
  <si>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</si>
  <si>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</si>
  <si>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</si>
  <si>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</si>
  <si>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</si>
  <si>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</si>
  <si>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</si>
  <si>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</si>
  <si>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</si>
  <si>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</si>
  <si>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</si>
  <si>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</si>
  <si>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</si>
  <si>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</si>
  <si>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</si>
  <si>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</si>
  <si>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</si>
  <si>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</si>
  <si>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</si>
  <si>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</si>
  <si>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</si>
  <si>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</si>
  <si>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</si>
  <si>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</si>
  <si>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</si>
  <si>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</si>
  <si>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</si>
  <si>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</si>
  <si>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</si>
  <si>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</si>
  <si>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</si>
  <si>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</si>
  <si>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</si>
  <si>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</si>
  <si>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</si>
  <si>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</si>
  <si>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</si>
  <si>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</si>
  <si>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</si>
  <si>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</si>
  <si>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</si>
  <si>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</si>
  <si>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</si>
  <si>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</si>
  <si>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</si>
  <si>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</si>
  <si>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</si>
  <si>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</si>
  <si>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</si>
  <si>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</si>
  <si>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</si>
  <si>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</si>
  <si>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</si>
  <si>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</si>
  <si>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</si>
  <si>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</si>
  <si>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</si>
  <si>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</si>
  <si>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</si>
  <si>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</si>
  <si>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</si>
  <si>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</si>
  <si>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</si>
  <si>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</si>
  <si>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</si>
  <si>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</si>
  <si>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</si>
  <si>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</si>
  <si>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</si>
  <si>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</si>
  <si>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</si>
  <si>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</si>
  <si>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</si>
  <si>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</si>
  <si>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</si>
  <si>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</si>
  <si>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</si>
  <si>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</si>
  <si>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</si>
  <si>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</si>
  <si>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</si>
  <si>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</si>
  <si>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</si>
  <si>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</si>
  <si>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</si>
  <si>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</si>
  <si>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</si>
  <si>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</si>
  <si>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</si>
  <si>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</si>
  <si>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</si>
  <si>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</si>
  <si>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</si>
  <si>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</si>
  <si>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</si>
  <si>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</si>
  <si>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</si>
  <si>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</si>
  <si>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</si>
  <si>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</si>
  <si>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</si>
  <si>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</si>
  <si>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</si>
  <si>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</si>
  <si>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</si>
  <si>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</si>
  <si>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</si>
  <si>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</si>
  <si>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</si>
  <si>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</si>
  <si>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</si>
  <si>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</si>
  <si>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</si>
  <si>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</si>
  <si>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</si>
  <si>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</si>
  <si>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</si>
  <si>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</si>
  <si>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</si>
  <si>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</si>
  <si>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</si>
  <si>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</si>
  <si>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</si>
  <si>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</si>
  <si>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</si>
  <si>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</si>
  <si>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</si>
  <si>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</si>
  <si>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</si>
  <si>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</si>
  <si>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</si>
  <si>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</si>
  <si>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</si>
  <si>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</si>
  <si>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</si>
  <si>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</si>
  <si>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</si>
  <si>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</si>
  <si>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</si>
  <si>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</si>
  <si>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</si>
  <si>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</si>
  <si>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</si>
  <si>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</si>
  <si>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</si>
  <si>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</si>
  <si>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</si>
  <si>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</si>
  <si>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</si>
  <si>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</si>
  <si>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</si>
  <si>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</si>
  <si>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</si>
  <si>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</si>
  <si>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</si>
  <si>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</si>
  <si>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</si>
  <si>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</si>
  <si>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</si>
  <si>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</si>
  <si>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</si>
  <si>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</si>
  <si>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</si>
  <si>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</si>
  <si>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</si>
  <si>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</si>
  <si>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</si>
  <si>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</si>
  <si>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</si>
  <si>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</si>
  <si>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</si>
  <si>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</si>
  <si>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</si>
  <si>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</si>
  <si>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</si>
  <si>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</si>
  <si>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</si>
  <si>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</si>
  <si>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</si>
  <si>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</si>
  <si>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</si>
  <si>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</si>
  <si>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</si>
  <si>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</si>
  <si>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</si>
  <si>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</si>
  <si>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</si>
  <si>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</si>
  <si>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</si>
  <si>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</si>
  <si>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</si>
  <si>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</si>
  <si>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</si>
  <si>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</si>
  <si>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</si>
  <si>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</si>
  <si>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</si>
  <si>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</si>
  <si>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</si>
  <si>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</si>
  <si>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</si>
  <si>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</si>
  <si>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</si>
  <si>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</si>
  <si>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</si>
  <si>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</si>
  <si>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</si>
  <si>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</si>
  <si>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</si>
  <si>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</si>
  <si>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</si>
  <si>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</si>
  <si>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</si>
  <si>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</si>
  <si>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</si>
  <si>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</si>
  <si>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</si>
  <si>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</si>
  <si>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</si>
  <si>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</si>
  <si>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</si>
  <si>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</si>
  <si>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</si>
  <si>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</si>
  <si>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</si>
  <si>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</si>
  <si>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</si>
  <si>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</si>
  <si>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</si>
  <si>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</si>
  <si>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</si>
  <si>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</si>
  <si>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</si>
  <si>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</si>
  <si>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</si>
  <si>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</si>
  <si>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</si>
  <si>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</si>
  <si>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</si>
  <si>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</si>
  <si>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</si>
  <si>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</si>
  <si>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</si>
  <si>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</si>
  <si>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</si>
  <si>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</si>
  <si>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</si>
  <si>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</si>
  <si>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</si>
  <si>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</si>
  <si>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</si>
  <si>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</si>
  <si>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</si>
  <si>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</si>
  <si>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</si>
  <si>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</si>
  <si>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</si>
  <si>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</si>
  <si>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</si>
  <si>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</si>
  <si>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</si>
  <si>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</si>
  <si>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</si>
  <si>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</si>
  <si>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</si>
  <si>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</si>
  <si>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</si>
  <si>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</si>
  <si>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</si>
  <si>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</si>
  <si>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</si>
  <si>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</si>
  <si>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</si>
  <si>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</si>
  <si>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</si>
  <si>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</si>
  <si>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</si>
  <si>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</si>
  <si>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</si>
  <si>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</si>
  <si>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</si>
  <si>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</si>
  <si>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</si>
  <si>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</si>
  <si>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</si>
  <si>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</si>
  <si>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</si>
  <si>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</si>
  <si>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</si>
  <si>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</si>
  <si>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</si>
  <si>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</si>
  <si>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</si>
  <si>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</si>
  <si>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</si>
  <si>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</si>
  <si>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</si>
  <si>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</si>
  <si>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</si>
  <si>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</si>
  <si>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</si>
  <si>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</si>
  <si>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</si>
  <si>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</si>
  <si>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</si>
  <si>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</si>
  <si>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</si>
  <si>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</si>
  <si>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</si>
  <si>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</si>
  <si>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</si>
  <si>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</si>
  <si>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</si>
  <si>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</si>
  <si>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</si>
  <si>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</si>
  <si>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</si>
  <si>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</si>
  <si>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</si>
  <si>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</si>
  <si>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</si>
  <si>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</si>
  <si>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</si>
  <si>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</si>
  <si>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</si>
  <si>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</si>
  <si>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</si>
  <si>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</si>
  <si>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</si>
  <si>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</si>
  <si>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</si>
  <si>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</si>
  <si>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</si>
  <si>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</si>
  <si>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</si>
  <si>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</si>
  <si>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</si>
  <si>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</si>
  <si>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</si>
  <si>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</si>
  <si>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</si>
  <si>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</si>
  <si>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</si>
  <si>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</si>
  <si>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</si>
  <si>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</si>
  <si>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</si>
  <si>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</si>
  <si>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</si>
  <si>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</si>
  <si>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</si>
  <si>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</si>
  <si>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</si>
  <si>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</si>
  <si>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</si>
  <si>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</si>
  <si>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</si>
  <si>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</si>
  <si>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</si>
  <si>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</si>
  <si>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</si>
  <si>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</si>
  <si>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</si>
  <si>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</si>
  <si>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</si>
  <si>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</si>
  <si>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</si>
  <si>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</si>
  <si>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</si>
  <si>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</si>
  <si>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</si>
  <si>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</si>
  <si>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</si>
  <si>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</si>
  <si>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</si>
  <si>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</si>
  <si>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</si>
  <si>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</si>
  <si>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</si>
  <si>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</si>
  <si>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</si>
  <si>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</si>
  <si>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</si>
  <si>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</si>
  <si>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</si>
  <si>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</si>
  <si>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</si>
  <si>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</si>
  <si>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</si>
  <si>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</si>
  <si>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</si>
  <si>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</si>
  <si>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</si>
  <si>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</si>
  <si>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</si>
  <si>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</si>
  <si>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</si>
  <si>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</si>
  <si>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</si>
  <si>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</si>
  <si>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</si>
  <si>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</si>
  <si>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</si>
  <si>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</si>
  <si>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</si>
  <si>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</si>
  <si>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</si>
  <si>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</si>
  <si>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</si>
  <si>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</si>
  <si>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</si>
  <si>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</si>
  <si>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</si>
  <si>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</si>
  <si>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</si>
  <si>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</si>
  <si>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</si>
  <si>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</si>
  <si>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</si>
  <si>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</si>
  <si>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</si>
  <si>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</si>
  <si>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</si>
  <si>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</si>
  <si>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</si>
  <si>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</si>
  <si>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</si>
  <si>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</si>
  <si>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</si>
  <si>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</si>
  <si>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</si>
  <si>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</si>
  <si>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</si>
  <si>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</si>
  <si>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</si>
  <si>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</si>
  <si>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</si>
  <si>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</si>
  <si>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</si>
  <si>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</si>
  <si>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</si>
  <si>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</si>
  <si>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</si>
  <si>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</si>
  <si>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</si>
  <si>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</si>
  <si>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</si>
  <si>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</si>
  <si>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</si>
  <si>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</si>
  <si>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</si>
  <si>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</si>
  <si>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</si>
  <si>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</si>
  <si>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</si>
  <si>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</si>
  <si>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</si>
  <si>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</si>
  <si>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</si>
  <si>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</si>
  <si>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</si>
  <si>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</si>
  <si>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</si>
  <si>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</si>
  <si>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</si>
  <si>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</si>
  <si>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</si>
  <si>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</si>
  <si>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</si>
  <si>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</si>
  <si>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</si>
  <si>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</si>
  <si>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</si>
  <si>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</si>
  <si>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</si>
  <si>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</si>
  <si>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</si>
  <si>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</si>
  <si>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</si>
  <si>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</si>
  <si>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</si>
  <si>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</si>
  <si>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</si>
  <si>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</si>
  <si>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</si>
  <si>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</si>
  <si>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</si>
  <si>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</si>
  <si>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</si>
  <si>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</si>
  <si>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</si>
  <si>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</si>
  <si>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</si>
  <si>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</si>
  <si>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</si>
  <si>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</si>
  <si>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</si>
  <si>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</si>
  <si>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</si>
  <si>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</si>
  <si>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</si>
  <si>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</si>
  <si>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</si>
  <si>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</si>
  <si>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</si>
  <si>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</si>
  <si>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</si>
  <si>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</si>
  <si>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</si>
  <si>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</si>
  <si>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</si>
  <si>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</si>
  <si>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</si>
  <si>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</si>
  <si>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</si>
  <si>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</si>
  <si>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</si>
  <si>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</si>
  <si>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</si>
  <si>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</si>
  <si>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</si>
  <si>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</si>
  <si>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</si>
  <si>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</si>
  <si>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</si>
  <si>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</si>
  <si>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</si>
  <si>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</si>
  <si>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</si>
  <si>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</si>
  <si>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</si>
  <si>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</si>
  <si>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</si>
  <si>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</si>
  <si>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</si>
  <si>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</si>
  <si>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</si>
  <si>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</si>
  <si>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</si>
  <si>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</si>
  <si>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</si>
  <si>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</si>
  <si>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</si>
  <si>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</si>
  <si>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</si>
  <si>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</si>
  <si>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</si>
  <si>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</si>
  <si>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</si>
  <si>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</si>
  <si>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</si>
  <si>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</si>
  <si>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</si>
  <si>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</si>
  <si>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</si>
  <si>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</si>
  <si>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</si>
  <si>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</si>
  <si>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</si>
  <si>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</si>
  <si>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</si>
  <si>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</si>
  <si>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</si>
  <si>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</si>
  <si>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</si>
  <si>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</si>
  <si>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</si>
  <si>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</si>
  <si>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</si>
  <si>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</si>
  <si>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</si>
  <si>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</si>
  <si>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</si>
  <si>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</si>
  <si>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</si>
  <si>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</si>
  <si>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</si>
  <si>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</si>
  <si>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</si>
  <si>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</si>
  <si>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</si>
  <si>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</si>
  <si>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</si>
  <si>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</si>
  <si>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</si>
  <si>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</si>
  <si>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</si>
  <si>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</si>
  <si>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</si>
  <si>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</si>
  <si>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</si>
  <si>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</si>
  <si>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</si>
  <si>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</si>
  <si>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</si>
  <si>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</si>
  <si>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</si>
  <si>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</si>
  <si>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</si>
  <si>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</si>
  <si>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</si>
  <si>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</si>
  <si>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</si>
  <si>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</si>
  <si>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</si>
  <si>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</si>
  <si>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</si>
  <si>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</si>
  <si>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</si>
  <si>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</si>
  <si>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</si>
  <si>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</si>
  <si>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</si>
  <si>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</si>
  <si>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</si>
  <si>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</si>
  <si>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</si>
  <si>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</si>
  <si>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</si>
  <si>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</si>
  <si>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</si>
  <si>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</si>
  <si>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</si>
  <si>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</si>
  <si>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</si>
  <si>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</si>
  <si>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</si>
  <si>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</si>
  <si>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</si>
  <si>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</si>
  <si>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</si>
  <si>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</si>
  <si>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</si>
  <si>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</si>
  <si>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</si>
  <si>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</si>
  <si>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</si>
  <si>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</si>
  <si>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</si>
  <si>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</si>
  <si>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</si>
  <si>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</si>
  <si>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</si>
  <si>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</si>
  <si>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</si>
  <si>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</si>
  <si>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</si>
  <si>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</si>
  <si>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</si>
  <si>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</si>
  <si>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</si>
  <si>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</si>
  <si>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</si>
  <si>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</si>
  <si>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</si>
  <si>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</si>
  <si>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</si>
  <si>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</si>
  <si>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</si>
  <si>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</si>
  <si>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</si>
  <si>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</si>
  <si>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</si>
  <si>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</si>
  <si>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</si>
  <si>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</si>
  <si>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</si>
  <si>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</si>
  <si>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</si>
  <si>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</si>
  <si>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</si>
  <si>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</si>
  <si>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</si>
  <si>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</si>
  <si>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</si>
  <si>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</si>
  <si>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</si>
  <si>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</si>
  <si>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</si>
  <si>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</si>
  <si>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</si>
  <si>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</si>
  <si>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</si>
  <si>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</si>
  <si>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</si>
  <si>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</si>
  <si>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</si>
  <si>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</si>
  <si>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</si>
  <si>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</si>
  <si>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</si>
  <si>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</si>
  <si>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</si>
  <si>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</si>
  <si>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</si>
  <si>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</si>
  <si>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</si>
  <si>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</si>
  <si>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</si>
  <si>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</si>
  <si>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</si>
  <si>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</si>
  <si>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</si>
  <si>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</si>
  <si>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</si>
  <si>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</si>
  <si>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</si>
  <si>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</si>
  <si>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</si>
  <si>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</si>
  <si>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</si>
  <si>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</si>
  <si>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</si>
  <si>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</si>
  <si>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</si>
  <si>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</si>
  <si>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</si>
  <si>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</si>
  <si>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</si>
  <si>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</si>
  <si>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</si>
  <si>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</si>
  <si>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</si>
  <si>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</si>
  <si>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</si>
  <si>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</si>
  <si>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</si>
  <si>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</si>
  <si>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</si>
  <si>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</si>
  <si>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</si>
  <si>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</si>
  <si>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</si>
  <si>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</si>
  <si>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</si>
  <si>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</si>
  <si>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</si>
  <si>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</si>
  <si>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</si>
  <si>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</si>
  <si>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</si>
  <si>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</si>
  <si>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</si>
  <si>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</si>
  <si>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</si>
  <si>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</si>
  <si>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</si>
  <si>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</si>
  <si>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</si>
  <si>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</si>
  <si>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</si>
  <si>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</si>
  <si>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</si>
  <si>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</si>
  <si>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</si>
  <si>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</si>
  <si>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</si>
  <si>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</si>
  <si>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</si>
  <si>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</si>
  <si>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</si>
  <si>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</si>
  <si>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</si>
  <si>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</si>
  <si>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</si>
  <si>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</si>
  <si>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</si>
  <si>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</si>
  <si>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</si>
  <si>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</si>
  <si>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</si>
  <si>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</si>
  <si>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</si>
  <si>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</si>
  <si>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</si>
  <si>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</si>
  <si>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</si>
  <si>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</si>
  <si>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</si>
  <si>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</si>
  <si>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</si>
  <si>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</si>
  <si>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</si>
  <si>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</si>
  <si>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</si>
  <si>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</si>
  <si>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</si>
  <si>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</si>
  <si>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</si>
  <si>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</si>
  <si>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</si>
  <si>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</si>
  <si>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</si>
  <si>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</si>
  <si>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</si>
  <si>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</si>
  <si>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</si>
  <si>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</si>
  <si>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</si>
  <si>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</si>
  <si>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</si>
  <si>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</si>
  <si>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</si>
  <si>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</si>
  <si>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</si>
  <si>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</si>
  <si>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</si>
  <si>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</si>
  <si>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</si>
  <si>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</si>
  <si>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</si>
  <si>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</si>
  <si>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</si>
  <si>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</si>
  <si>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</si>
  <si>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</si>
  <si>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</si>
  <si>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</si>
  <si>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</si>
  <si>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</si>
  <si>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</si>
  <si>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</si>
  <si>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</si>
  <si>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</si>
  <si>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</si>
  <si>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</si>
  <si>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</si>
  <si>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</si>
  <si>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</si>
  <si>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</si>
  <si>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</si>
  <si>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</si>
  <si>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</si>
  <si>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</si>
  <si>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</si>
  <si>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</si>
  <si>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</si>
  <si>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</si>
  <si>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</si>
  <si>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</si>
  <si>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</si>
  <si>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</si>
  <si>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</si>
  <si>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</si>
  <si>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</si>
  <si>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</si>
  <si>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</si>
  <si>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</si>
  <si>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</si>
  <si>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</si>
  <si>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</si>
  <si>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</si>
  <si>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</si>
  <si>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</si>
  <si>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</si>
  <si>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</si>
  <si>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</si>
  <si>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</si>
  <si>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</si>
  <si>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</si>
  <si>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</si>
  <si>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</si>
  <si>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</si>
  <si>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</si>
  <si>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</si>
  <si>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</si>
  <si>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</si>
  <si>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</si>
  <si>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</si>
  <si>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</si>
  <si>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</si>
  <si>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</si>
  <si>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</si>
  <si>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</si>
  <si>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</si>
  <si>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</si>
  <si>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</si>
  <si>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</si>
  <si>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</si>
  <si>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</si>
  <si>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</si>
  <si>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</si>
  <si>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</si>
  <si>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</si>
  <si>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</si>
  <si>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</si>
  <si>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</si>
  <si>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</si>
  <si>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</si>
  <si>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</si>
  <si>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</si>
  <si>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</si>
  <si>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</si>
  <si>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</si>
  <si>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</si>
  <si>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</si>
  <si>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</si>
  <si>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</si>
  <si>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</si>
  <si>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</si>
  <si>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</si>
  <si>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</si>
  <si>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</si>
  <si>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</si>
  <si>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</si>
  <si>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</si>
  <si>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</si>
  <si>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</si>
  <si>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</si>
  <si>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</si>
  <si>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</si>
  <si>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</si>
  <si>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</si>
  <si>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</si>
  <si>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</si>
  <si>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</si>
  <si>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</si>
  <si>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</si>
  <si>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</si>
  <si>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</si>
  <si>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</si>
  <si>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</si>
  <si>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</si>
  <si>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</si>
  <si>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</si>
  <si>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</si>
  <si>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</si>
  <si>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</si>
  <si>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</si>
  <si>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</si>
  <si>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</si>
  <si>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</si>
  <si>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</si>
  <si>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</si>
  <si>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</si>
  <si>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</si>
  <si>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</si>
  <si>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</si>
  <si>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</si>
  <si>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</si>
  <si>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</si>
  <si>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</si>
  <si>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</si>
  <si>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</si>
  <si>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</si>
  <si>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</si>
  <si>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</si>
  <si>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</si>
  <si>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</si>
  <si>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</si>
  <si>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</si>
  <si>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</si>
  <si>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</si>
  <si>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</si>
  <si>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</si>
  <si>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</si>
  <si>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</si>
  <si>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</si>
  <si>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</si>
  <si>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</si>
  <si>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</si>
  <si>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</si>
  <si>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</si>
  <si>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</si>
  <si>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</si>
  <si>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</si>
  <si>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</si>
  <si>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</si>
  <si>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</si>
  <si>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</si>
  <si>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</si>
  <si>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</si>
  <si>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</si>
  <si>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</si>
  <si>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</si>
  <si>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</si>
  <si>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</si>
  <si>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</si>
  <si>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</si>
  <si>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</si>
  <si>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</si>
  <si>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</si>
  <si>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</si>
  <si>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</si>
  <si>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</si>
  <si>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</si>
  <si>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</si>
  <si>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</si>
  <si>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</si>
  <si>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</si>
  <si>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</si>
  <si>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</si>
  <si>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</si>
  <si>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</si>
  <si>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</si>
  <si>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</si>
  <si>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</si>
  <si>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</si>
  <si>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</si>
  <si>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</si>
  <si>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</si>
  <si>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</si>
  <si>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</si>
  <si>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</si>
  <si>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</si>
  <si>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</si>
  <si>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</si>
  <si>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</si>
  <si>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</si>
  <si>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</si>
  <si>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</si>
  <si>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</si>
  <si>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</si>
  <si>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</si>
  <si>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</si>
  <si>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</si>
  <si>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</si>
  <si>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</si>
  <si>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</si>
  <si>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</si>
  <si>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</si>
  <si>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</si>
  <si>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</si>
  <si>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</si>
  <si>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</si>
  <si>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</si>
  <si>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</si>
  <si>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</si>
  <si>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</si>
  <si>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</si>
  <si>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</si>
  <si>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</si>
  <si>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</si>
  <si>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</si>
  <si>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</si>
  <si>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</si>
  <si>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</si>
  <si>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</si>
  <si>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</si>
  <si>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</si>
  <si>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</si>
  <si>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</si>
  <si>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</si>
  <si>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</si>
  <si>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</si>
  <si>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</si>
  <si>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</si>
  <si>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</si>
  <si>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</si>
  <si>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</si>
  <si>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</si>
  <si>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</si>
  <si>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</si>
  <si>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</si>
  <si>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</si>
  <si>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</si>
  <si>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</si>
  <si>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</si>
  <si>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</si>
  <si>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</si>
  <si>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</si>
  <si>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</si>
  <si>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</si>
  <si>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</si>
  <si>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</si>
  <si>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</si>
  <si>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</si>
  <si>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</si>
  <si>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</si>
  <si>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</si>
  <si>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</si>
  <si>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</si>
  <si>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</si>
  <si>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</si>
  <si>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</si>
  <si>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</si>
  <si>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</si>
  <si>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</si>
  <si>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</si>
  <si>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</si>
  <si>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</si>
  <si>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</si>
  <si>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</si>
  <si>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</si>
  <si>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</si>
  <si>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</si>
  <si>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</si>
  <si>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</si>
  <si>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</si>
  <si>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</si>
  <si>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</si>
  <si>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</si>
  <si>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</si>
  <si>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</si>
  <si>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</si>
  <si>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</si>
  <si>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</si>
  <si>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</si>
  <si>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</si>
  <si>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</si>
  <si>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</si>
  <si>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</si>
  <si>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</si>
  <si>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</si>
  <si>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</si>
  <si>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</si>
  <si>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</si>
  <si>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</si>
  <si>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</si>
  <si>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</si>
  <si>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</si>
  <si>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</si>
  <si>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</si>
  <si>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</si>
  <si>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</si>
  <si>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</si>
  <si>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</si>
  <si>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</si>
  <si>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</si>
  <si>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</si>
  <si>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</si>
  <si>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</si>
  <si>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</si>
  <si>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</si>
  <si>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</si>
  <si>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</si>
  <si>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</si>
  <si>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</si>
  <si>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</si>
  <si>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</si>
  <si>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</si>
  <si>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</si>
  <si>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</si>
  <si>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</si>
  <si>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</si>
  <si>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</si>
  <si>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</si>
  <si>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</si>
  <si>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</si>
  <si>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</si>
  <si>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</si>
  <si>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</si>
  <si>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</si>
  <si>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</si>
  <si>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</si>
  <si>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</si>
  <si>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</si>
  <si>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</si>
  <si>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</si>
  <si>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</si>
  <si>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</si>
  <si>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</si>
  <si>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</si>
  <si>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</si>
  <si>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</si>
  <si>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</si>
  <si>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</si>
  <si>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</si>
  <si>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</si>
  <si>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</si>
  <si>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</si>
  <si>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</si>
  <si>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</si>
  <si>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</si>
  <si>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</si>
  <si>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</si>
  <si>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</si>
  <si>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</si>
  <si>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</si>
  <si>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</si>
  <si>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</si>
  <si>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</si>
  <si>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</si>
  <si>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</si>
  <si>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</si>
  <si>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</si>
  <si>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</si>
  <si>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</si>
  <si>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</si>
  <si>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</si>
  <si>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</si>
  <si>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</si>
  <si>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</si>
  <si>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</si>
  <si>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</si>
  <si>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</si>
  <si>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</si>
  <si>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</si>
  <si>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</si>
  <si>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</si>
  <si>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</si>
  <si>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</si>
  <si>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</si>
  <si>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</si>
  <si>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</si>
  <si>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</si>
  <si>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</si>
  <si>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</si>
  <si>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</si>
  <si>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</si>
  <si>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</si>
  <si>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</si>
  <si>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</si>
  <si>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</si>
  <si>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</si>
  <si>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</si>
  <si>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</si>
  <si>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</si>
  <si>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</si>
  <si>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</si>
  <si>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</si>
  <si>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</si>
  <si>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</si>
  <si>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</si>
  <si>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</si>
  <si>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</si>
  <si>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</si>
  <si>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</si>
  <si>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</si>
  <si>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</si>
  <si>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</si>
  <si>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</si>
  <si>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</si>
  <si>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</si>
  <si>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</si>
  <si>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</si>
  <si>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</si>
  <si>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</si>
  <si>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</si>
  <si>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</si>
  <si>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</si>
  <si>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</si>
  <si>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</si>
  <si>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</si>
  <si>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</si>
  <si>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</si>
  <si>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</si>
  <si>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</si>
  <si>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</si>
  <si>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</si>
  <si>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</si>
  <si>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</si>
  <si>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</si>
  <si>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</si>
  <si>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</si>
  <si>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</si>
  <si>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</si>
  <si>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</si>
  <si>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</si>
  <si>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</si>
  <si>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</si>
  <si>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</si>
  <si>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</si>
  <si>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</si>
  <si>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</si>
  <si>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</si>
  <si>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</si>
  <si>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</si>
  <si>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</si>
  <si>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</si>
  <si>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</si>
  <si>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</si>
  <si>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</si>
  <si>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</si>
  <si>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</si>
  <si>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</si>
  <si>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</si>
  <si>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</si>
  <si>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</si>
  <si>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</si>
  <si>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</si>
  <si>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</si>
  <si>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</si>
  <si>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</si>
  <si>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</si>
  <si>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</si>
  <si>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</si>
  <si>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</si>
  <si>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</si>
  <si>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</si>
  <si>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</si>
  <si>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</si>
  <si>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</si>
  <si>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</si>
  <si>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</si>
  <si>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</si>
  <si>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</si>
  <si>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</si>
  <si>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</si>
  <si>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</si>
  <si>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</si>
  <si>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</si>
  <si>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</si>
  <si>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</si>
  <si>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</si>
  <si>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</si>
  <si>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</si>
  <si>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</si>
  <si>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</si>
  <si>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</si>
  <si>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</si>
  <si>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</si>
  <si>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</si>
  <si>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</si>
  <si>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</si>
  <si>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</si>
  <si>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</si>
  <si>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</si>
  <si>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</si>
  <si>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</si>
  <si>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</si>
  <si>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</si>
  <si>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</si>
  <si>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</si>
  <si>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</si>
  <si>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</si>
  <si>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</si>
  <si>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</si>
  <si>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</si>
  <si>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</si>
  <si>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</si>
  <si>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</si>
  <si>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</si>
  <si>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</si>
  <si>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</si>
  <si>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</si>
  <si>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</si>
  <si>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</si>
  <si>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</si>
  <si>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</si>
  <si>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</si>
  <si>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</si>
  <si>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</si>
  <si>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</si>
  <si>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</si>
  <si>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</si>
  <si>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</si>
  <si>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</si>
  <si>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</si>
  <si>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</si>
  <si>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</si>
  <si>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</si>
  <si>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</si>
  <si>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</si>
  <si>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</si>
  <si>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</si>
  <si>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</si>
  <si>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</si>
  <si>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</si>
  <si>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</si>
  <si>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</si>
  <si>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</si>
  <si>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</si>
  <si>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</si>
  <si>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</si>
  <si>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</si>
  <si>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</si>
  <si>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</si>
  <si>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</si>
  <si>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</si>
  <si>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</si>
  <si>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</si>
  <si>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</si>
  <si>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</si>
  <si>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</si>
  <si>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</si>
  <si>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</si>
  <si>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</si>
  <si>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</si>
  <si>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</si>
  <si>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</si>
  <si>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</si>
  <si>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</si>
  <si>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</si>
  <si>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</si>
  <si>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</si>
  <si>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</si>
  <si>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</si>
  <si>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</si>
  <si>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</si>
  <si>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</si>
  <si>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</si>
  <si>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</si>
  <si>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</si>
  <si>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</si>
  <si>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</si>
  <si>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</si>
  <si>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</si>
  <si>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</si>
  <si>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</si>
  <si>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</si>
  <si>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</si>
  <si>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</si>
  <si>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</si>
  <si>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</si>
  <si>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</si>
  <si>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</si>
  <si>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</si>
  <si>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</si>
  <si>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</si>
  <si>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</si>
  <si>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</si>
  <si>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</si>
  <si>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</si>
  <si>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</si>
  <si>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</si>
  <si>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</si>
  <si>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</si>
  <si>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</si>
  <si>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</si>
  <si>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</si>
  <si>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</si>
  <si>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</si>
  <si>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</si>
  <si>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</si>
  <si>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</si>
  <si>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</si>
  <si>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</si>
  <si>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</si>
  <si>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</si>
  <si>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</si>
  <si>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</si>
  <si>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</si>
  <si>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</si>
  <si>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</si>
  <si>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</si>
  <si>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</si>
  <si>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</si>
  <si>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</si>
  <si>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</si>
  <si>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</si>
  <si>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</si>
  <si>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</si>
  <si>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</si>
  <si>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</si>
  <si>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</si>
  <si>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</si>
  <si>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</si>
  <si>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</si>
  <si>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</si>
  <si>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</si>
  <si>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</si>
  <si>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</si>
  <si>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</si>
  <si>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</si>
  <si>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</si>
  <si>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</si>
  <si>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</si>
  <si>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</si>
  <si>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</si>
  <si>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</si>
  <si>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</si>
  <si>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</si>
  <si>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</si>
  <si>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</si>
  <si>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</si>
  <si>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</si>
  <si>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</si>
  <si>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</si>
  <si>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</si>
  <si>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</si>
  <si>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</si>
  <si>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</si>
  <si>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</si>
  <si>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</si>
  <si>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</si>
  <si>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</si>
  <si>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</si>
  <si>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</si>
  <si>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</si>
  <si>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</si>
  <si>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</si>
  <si>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</si>
  <si>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</si>
  <si>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</si>
  <si>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</si>
  <si>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</si>
  <si>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</si>
  <si>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</si>
  <si>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</si>
  <si>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</si>
  <si>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</si>
  <si>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</si>
  <si>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</si>
  <si>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</si>
  <si>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</si>
  <si>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</si>
  <si>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</si>
  <si>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</si>
  <si>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</si>
  <si>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</si>
  <si>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</si>
  <si>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</si>
  <si>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</si>
  <si>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</si>
  <si>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</si>
  <si>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</si>
  <si>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</si>
  <si>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</si>
  <si>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</si>
  <si>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</si>
  <si>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</si>
  <si>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</si>
  <si>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</si>
  <si>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</si>
  <si>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</si>
  <si>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</si>
  <si>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</si>
  <si>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</si>
  <si>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</si>
  <si>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</si>
  <si>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</si>
  <si>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</si>
  <si>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</si>
  <si>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</si>
  <si>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</si>
  <si>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</si>
  <si>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</si>
  <si>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</si>
  <si>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</si>
  <si>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</si>
  <si>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</si>
  <si>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</si>
  <si>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</si>
  <si>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</si>
  <si>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</si>
  <si>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</si>
  <si>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</si>
  <si>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</si>
  <si>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</si>
  <si>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</si>
  <si>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</si>
  <si>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</si>
  <si>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</si>
  <si>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</si>
  <si>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</si>
  <si>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</si>
  <si>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</si>
  <si>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</si>
  <si>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</si>
  <si>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</si>
  <si>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</si>
  <si>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</si>
  <si>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</si>
  <si>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</si>
  <si>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</si>
  <si>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</si>
  <si>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</si>
  <si>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</si>
  <si>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</si>
  <si>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</si>
  <si>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</si>
  <si>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</si>
  <si>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</si>
  <si>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</si>
  <si>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</si>
  <si>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</si>
  <si>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</si>
  <si>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</si>
  <si>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</si>
  <si>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</si>
  <si>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</si>
  <si>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</si>
  <si>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</si>
  <si>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</si>
  <si>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</si>
  <si>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</si>
  <si>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</si>
  <si>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</si>
  <si>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</si>
  <si>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</si>
  <si>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</si>
  <si>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</si>
  <si>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</si>
  <si>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</si>
  <si>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</si>
  <si>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</si>
  <si>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A4-18-94-05-51-D3</t>
  </si>
  <si>
    <t>A4-18-94-05-51-D4</t>
  </si>
  <si>
    <t>A4-18-94-05-51-D5</t>
  </si>
  <si>
    <t>A4-18-94-05-51-D6</t>
  </si>
  <si>
    <t>A4-18-94-05-51-D7</t>
  </si>
  <si>
    <t>A4-18-94-05-51-D8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</si>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</sst>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0.1453900709219858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0.1453900709219858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0.1453900709219858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0.1453900709219858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07"/>
  <sheetViews>
    <sheetView zoomScale="130" zoomScaleNormal="130" zoomScaleSheetLayoutView="100" workbookViewId="0">
      <pane xSplit="18" ySplit="7" topLeftCell="AJ8" activePane="bottomRight" state="frozen"/>
      <selection activeCell="G1" sqref="G1"/>
      <selection pane="topRight" activeCell="S1" sqref="S1"/>
      <selection pane="bottomLeft" activeCell="G8" sqref="G8"/>
      <selection pane="bottomRight" activeCell="AK319" sqref="AK319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4" style="30" customWidth="1"/>
    <col min="8" max="8" width="21.85546875" style="30" hidden="1" customWidth="1"/>
    <col min="9" max="9" width="21.85546875" hidden="1" customWidth="1"/>
    <col min="10" max="10" width="21.85546875" style="61" hidden="1" customWidth="1"/>
    <col min="11" max="14" width="21.85546875" style="65" hidden="1" customWidth="1"/>
    <col min="15" max="17" width="21.85546875" hidden="1" customWidth="1"/>
    <col min="18" max="18" width="21.85546875" style="4" hidden="1" customWidth="1"/>
    <col min="19" max="19" width="21.85546875" style="14" customWidth="1"/>
    <col min="20" max="22" width="14.4257812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1" width="13.140625" style="14" customWidth="1"/>
    <col min="32" max="32" width="10.5703125" style="14" customWidth="1"/>
    <col min="33" max="33" width="9.85546875" style="14" customWidth="1"/>
    <col min="34" max="35" width="14.140625" style="14" customWidth="1"/>
    <col min="36" max="36" width="9.28515625" style="14" customWidth="1"/>
    <col min="37" max="37" width="14.140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6" width="14.1406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2349</v>
      </c>
      <c r="F1" s="1" t="s">
        <v>0</v>
      </c>
      <c r="G1" s="23">
        <f>COUNTA(G8:G751)</f>
        <v>590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2356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</v>
      </c>
      <c r="V1" s="3">
        <f t="shared" si="0"/>
        <v>0.16312056737588654</v>
      </c>
      <c r="W1" s="3">
        <f t="shared" si="0"/>
        <v>0.15834522111269614</v>
      </c>
      <c r="X1" s="3">
        <f t="shared" si="0"/>
        <v>0.15714285714285714</v>
      </c>
      <c r="Y1" s="3">
        <f t="shared" si="0"/>
        <v>0.1643059490084986</v>
      </c>
      <c r="Z1" s="3">
        <f t="shared" si="0"/>
        <v>0.14244186046511628</v>
      </c>
      <c r="AA1" s="3">
        <f t="shared" si="0"/>
        <v>0</v>
      </c>
      <c r="AB1" s="3">
        <f t="shared" si="0"/>
        <v>0</v>
      </c>
      <c r="AC1" s="3">
        <f t="shared" si="0"/>
        <v>0.14985590778097982</v>
      </c>
      <c r="AD1" s="3">
        <f t="shared" si="0"/>
        <v>0.15351506456241032</v>
      </c>
      <c r="AE1" s="3">
        <f t="shared" si="0"/>
        <v>0.1643059490084986</v>
      </c>
      <c r="AF1" s="3"/>
      <c r="AG1" s="3">
        <f t="shared" ref="AG1:AT1" si="1">(AG3)/(AG2+AG3)</f>
        <v>0.17018284106891701</v>
      </c>
      <c r="AH1" s="3">
        <f t="shared" si="1"/>
        <v>0</v>
      </c>
      <c r="AI1" s="3">
        <f t="shared" si="1"/>
        <v>0</v>
      </c>
      <c r="AJ1" s="3">
        <f t="shared" si="1"/>
        <v>0.15714285714285714</v>
      </c>
      <c r="AK1" s="3">
        <f t="shared" si="1"/>
        <v>0.15472779369627507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590</v>
      </c>
      <c r="T2" s="7">
        <f t="shared" si="2"/>
        <v>590</v>
      </c>
      <c r="U2" s="7">
        <f t="shared" si="2"/>
        <v>590</v>
      </c>
      <c r="V2" s="7">
        <f t="shared" si="2"/>
        <v>590</v>
      </c>
      <c r="W2" s="7">
        <f t="shared" si="2"/>
        <v>590</v>
      </c>
      <c r="X2" s="7">
        <f t="shared" si="2"/>
        <v>590</v>
      </c>
      <c r="Y2" s="7">
        <f t="shared" si="2"/>
        <v>590</v>
      </c>
      <c r="Z2" s="7">
        <f t="shared" si="2"/>
        <v>590</v>
      </c>
      <c r="AA2" s="7">
        <f t="shared" si="2"/>
        <v>590</v>
      </c>
      <c r="AB2" s="7">
        <f t="shared" si="2"/>
        <v>590</v>
      </c>
      <c r="AC2" s="7">
        <f t="shared" si="2"/>
        <v>590</v>
      </c>
      <c r="AD2" s="7">
        <f t="shared" si="2"/>
        <v>590</v>
      </c>
      <c r="AE2" s="7">
        <f t="shared" si="2"/>
        <v>590</v>
      </c>
      <c r="AF2" s="7">
        <f t="shared" si="2"/>
        <v>590</v>
      </c>
      <c r="AG2" s="7">
        <f t="shared" si="2"/>
        <v>590</v>
      </c>
      <c r="AH2" s="7">
        <f t="shared" si="2"/>
        <v>590</v>
      </c>
      <c r="AI2" s="7">
        <f t="shared" si="2"/>
        <v>590</v>
      </c>
      <c r="AJ2" s="7">
        <f t="shared" si="2"/>
        <v>590</v>
      </c>
      <c r="AK2" s="7">
        <f t="shared" si="2"/>
        <v>590</v>
      </c>
      <c r="AL2" s="7">
        <f t="shared" si="2"/>
        <v>590</v>
      </c>
      <c r="AM2" s="7">
        <f t="shared" si="2"/>
        <v>590</v>
      </c>
      <c r="AN2" s="7">
        <f t="shared" si="2"/>
        <v>590</v>
      </c>
      <c r="AO2" s="7">
        <f t="shared" si="2"/>
        <v>590</v>
      </c>
      <c r="AP2" s="7">
        <f t="shared" si="2"/>
        <v>590</v>
      </c>
      <c r="AQ2" s="7">
        <f t="shared" si="2"/>
        <v>590</v>
      </c>
      <c r="AR2" s="7">
        <f t="shared" si="2"/>
        <v>590</v>
      </c>
      <c r="AS2" s="7">
        <f t="shared" si="2"/>
        <v>590</v>
      </c>
      <c r="AT2" s="7">
        <f t="shared" si="2"/>
        <v>590</v>
      </c>
      <c r="AU2" s="7">
        <f t="shared" si="2"/>
        <v>590</v>
      </c>
      <c r="AV2" s="7">
        <f t="shared" si="2"/>
        <v>590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COUNTIF(S7:S751, "apagado")</f>
        <v>0</v>
      </c>
      <c r="T3" s="123">
        <f t="shared" si="3"/>
        <v>0</v>
      </c>
      <c r="U3" s="123">
        <f t="shared" si="3"/>
        <v>0</v>
      </c>
      <c r="V3" s="123">
        <f t="shared" si="3"/>
        <v>115</v>
      </c>
      <c r="W3" s="123">
        <f t="shared" si="3"/>
        <v>111</v>
      </c>
      <c r="X3" s="123">
        <f t="shared" si="3"/>
        <v>110</v>
      </c>
      <c r="Y3" s="123">
        <f t="shared" si="3"/>
        <v>116</v>
      </c>
      <c r="Z3" s="123">
        <f t="shared" si="3"/>
        <v>98</v>
      </c>
      <c r="AA3" s="123">
        <f t="shared" si="3"/>
        <v>0</v>
      </c>
      <c r="AB3" s="123">
        <f t="shared" si="3"/>
        <v>0</v>
      </c>
      <c r="AC3" s="123">
        <f t="shared" si="3"/>
        <v>104</v>
      </c>
      <c r="AD3" s="123">
        <f t="shared" si="3"/>
        <v>107</v>
      </c>
      <c r="AE3" s="123">
        <f t="shared" si="3"/>
        <v>116</v>
      </c>
      <c r="AF3" s="123">
        <f t="shared" si="3"/>
        <v>119</v>
      </c>
      <c r="AG3" s="123">
        <f t="shared" si="3"/>
        <v>121</v>
      </c>
      <c r="AH3" s="123">
        <f t="shared" si="3"/>
        <v>0</v>
      </c>
      <c r="AI3" s="123">
        <f t="shared" si="3"/>
        <v>0</v>
      </c>
      <c r="AJ3" s="123">
        <f t="shared" si="3"/>
        <v>110</v>
      </c>
      <c r="AK3" s="123">
        <f t="shared" si="3"/>
        <v>108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COUNTIFS(S8:S705, "=APAGADO",K8:K705,"=Fibra Optica")</f>
        <v>0</v>
      </c>
      <c r="T4" s="10">
        <f>COUNTIFS(T8:T705, "=APAGADO",K8:K705,"=Fibra Optica")</f>
        <v>0</v>
      </c>
      <c r="U4" s="10">
        <f>COUNTIFS(U8:U705, "=APAGADO",K8:K705,"=Fibra Optica")</f>
        <v>0</v>
      </c>
      <c r="V4" s="10">
        <f>COUNTIFS(V8:V705, "=APAGADO",K8:K705,"=Fibra Optica")</f>
        <v>44</v>
      </c>
      <c r="W4" s="10">
        <f>COUNTIFS(W8:W705, "=APAGADO",K8:K705,"=Fibra Optica")</f>
        <v>43</v>
      </c>
      <c r="X4" s="10">
        <f>COUNTIFS(X8:X705, "=APAGADO",K8:K705,"=Fibra Optica")</f>
        <v>44</v>
      </c>
      <c r="Y4" s="10">
        <f>COUNTIFS(Y8:Y705, "=APAGADO",K8:K705,"=Fibra Optica")</f>
        <v>51</v>
      </c>
      <c r="Z4" s="10">
        <f>COUNTIFS(Z8:Z705, "=APAGADO",K8:K705,"=Fibra Optica")</f>
        <v>43</v>
      </c>
      <c r="AA4" s="10">
        <f>COUNTIFS(AA8:AA705, "=APAGADO",K8:K705,"=Fibra Optica")</f>
        <v>0</v>
      </c>
      <c r="AB4" s="10">
        <f>COUNTIFS(AB8:AB705, "=APAGADO",K8:K705,"=Fibra Optica")</f>
        <v>0</v>
      </c>
      <c r="AC4" s="10">
        <f>COUNTIFS(AC8:AC705, "=APAGADO",K8:K705,"=Fibra Optica")</f>
        <v>47</v>
      </c>
      <c r="AD4" s="10">
        <f>COUNTIFS(AD8:AD705, "=APAGADO",K8:K705,"=Fibra Optica")</f>
        <v>42</v>
      </c>
      <c r="AE4" s="10">
        <f>COUNTIFS(AE8:AE705, "=APAGADO",K8:K705,"=Fibra Optica")</f>
        <v>48</v>
      </c>
      <c r="AF4" s="10">
        <f>COUNTIFS(AF8:AF705, "=APAGADO",K8:K705,"=Fibra Optica")</f>
        <v>46</v>
      </c>
      <c r="AG4" s="10">
        <f>COUNTIFS(AG8:AG705, "=APAGADO",K8:K705,"=Fibra Optica")</f>
        <v>50</v>
      </c>
      <c r="AH4" s="10">
        <f>COUNTIFS(AH8:AH705, "=APAGADO",K8:K705,"=Fibra Optica")</f>
        <v>0</v>
      </c>
      <c r="AI4" s="10">
        <f>COUNTIFS(AI8:AI705, "=APAGADO",K8:K705,"=Fibra Optica")</f>
        <v>0</v>
      </c>
      <c r="AJ4" s="10">
        <f>COUNTIFS(AJ8:AJ705, "=APAGADO",K8:K705,"=Fibra Optica")</f>
        <v>42</v>
      </c>
      <c r="AK4" s="10">
        <f>COUNTIFS(AK8:AK705, "=APAGADO",K8:K705,"=Fibra Optica")</f>
        <v>34</v>
      </c>
      <c r="AL4" s="10">
        <f>COUNTIFS(AL8:AL705, "=APAGADO",K8:K705,"=Fibra Optica")</f>
        <v>0</v>
      </c>
      <c r="AM4" s="10">
        <f>COUNTIFS(AM8:AM705, "=APAGADO",K8:K705,"=Fibra Optica")</f>
        <v>0</v>
      </c>
      <c r="AN4" s="10">
        <f>COUNTIFS(AN8:AN705, "=APAGADO",K8:K705,"=Fibra Optica")</f>
        <v>0</v>
      </c>
      <c r="AO4" s="10">
        <f>COUNTIFS(AO8:AO705, "=APAGADO",K8:K705,"=Fibra Optica")</f>
        <v>0</v>
      </c>
      <c r="AP4" s="10">
        <f>COUNTIFS(AP8:AP705, "=APAGADO",K8:K705,"=Fibra Optica")</f>
        <v>0</v>
      </c>
      <c r="AQ4" s="10">
        <f>COUNTIFS(AQ8:AQ705, "=APAGADO",K8:K705,"=Fibra Optica")</f>
        <v>0</v>
      </c>
      <c r="AR4" s="10">
        <f>COUNTIFS(AR8:AR705, "=APAGADO",K8:K705,"=Fibra Optica")</f>
        <v>0</v>
      </c>
      <c r="AS4" s="10">
        <f>COUNTIFS(AS8:AS705, "=APAGADO",K8:K705,"=Fibra Optica")</f>
        <v>0</v>
      </c>
      <c r="AT4" s="10">
        <f>COUNTIFS(AT8:AT705, "=APAGADO",K8:K705,"=Fibra Optica")</f>
        <v>0</v>
      </c>
      <c r="AU4" s="10">
        <f>COUNTIFS(AU8:AU705, "=APAGADO",L8:L705,"=Fibra Optica")</f>
        <v>0</v>
      </c>
      <c r="AV4" s="10">
        <f>COUNTIFS(AV8:AV705, "=APAGADO",M8:M705,"=Fibra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COUNTIFS(S8:S705, "=APAGADO",K8:K705,"=RADIO")</f>
        <v>0</v>
      </c>
      <c r="T5" s="127">
        <f>COUNTIFS(T8:T705, "=APAGADO",K8:K705,"=RADIO")</f>
        <v>0</v>
      </c>
      <c r="U5" s="127">
        <f>COUNTIFS(U8:U705, "=APAGADO",K8:K705,"=RADIO")</f>
        <v>0</v>
      </c>
      <c r="V5" s="127">
        <f>COUNTIFS(V8:V705, "=APAGADO",K8:K705,"=RADIO")</f>
        <v>5</v>
      </c>
      <c r="W5" s="127">
        <f>COUNTIFS(W8:W705, "=APAGADO",K8:K705,"=RADIO")</f>
        <v>5</v>
      </c>
      <c r="X5" s="127">
        <f>COUNTIFS(X8:X705, "=APAGADO",K8:K705,"=RADIO")</f>
        <v>6</v>
      </c>
      <c r="Y5" s="127">
        <f>COUNTIFS(Y8:Y705, "=APAGADO",K8:K705,"=RADIO")</f>
        <v>6</v>
      </c>
      <c r="Z5" s="127">
        <f>COUNTIFS(Z8:Z705, "=APAGADO",K8:K705,"=RADIO")</f>
        <v>5</v>
      </c>
      <c r="AA5" s="127">
        <f>COUNTIFS(AA8:AA705, "=APAGADO",K8:K705,"=RADIO")</f>
        <v>0</v>
      </c>
      <c r="AB5" s="127">
        <f>COUNTIFS(AB8:AB705, "=APAGADO",K8:K705,"=RADIO")</f>
        <v>0</v>
      </c>
      <c r="AC5" s="127">
        <f>COUNTIFS(AC8:AC705, "=APAGADO",K8:K705,"=RADIO")</f>
        <v>6</v>
      </c>
      <c r="AD5" s="127">
        <f>COUNTIFS(AD8:AD705, "=APAGADO",K8:K705,"=RADIO")</f>
        <v>5</v>
      </c>
      <c r="AE5" s="127">
        <f>COUNTIFS(AE8:AE705, "=APAGADO",K8:K705,"=RADIO")</f>
        <v>6</v>
      </c>
      <c r="AF5" s="127">
        <f>COUNTIFS(AF8:AF705, "=APAGADO",K8:K705,"=RADIO")</f>
        <v>5</v>
      </c>
      <c r="AG5" s="127">
        <f>COUNTIFS(AG8:AG705, "=APAGADO",K8:K705,"=RADIO")</f>
        <v>5</v>
      </c>
      <c r="AH5" s="127">
        <f>COUNTIFS(AH8:AH705, "=APAGADO",K8:K705,"=RADIO")</f>
        <v>0</v>
      </c>
      <c r="AI5" s="127">
        <f>COUNTIFS(AI8:AI705, "=APAGADO",K8:K705,"=RADIO")</f>
        <v>0</v>
      </c>
      <c r="AJ5" s="127">
        <f>COUNTIFS(AJ8:AJ705, "=APAGADO",K8:K705,"=RADIO")</f>
        <v>6</v>
      </c>
      <c r="AK5" s="127">
        <f>COUNTIFS(AK8:AK705, "=APAGADO",K8:K705,"=RADIO")</f>
        <v>6</v>
      </c>
      <c r="AL5" s="127">
        <f>COUNTIFS(AL8:AL705, "=APAGADO",K8:K705,"=RADIO")</f>
        <v>0</v>
      </c>
      <c r="AM5" s="127">
        <f>COUNTIFS(AM8:AM705, "=APAGADO",K8:K705,"=RADIO")</f>
        <v>0</v>
      </c>
      <c r="AN5" s="127">
        <f>COUNTIFS(AN8:AN705, "=APAGADO",K8:K705,"=RADIO")</f>
        <v>0</v>
      </c>
      <c r="AO5" s="127">
        <f>COUNTIFS(AO8:AO705, "=APAGADO",K8:K705,"=RADIO")</f>
        <v>0</v>
      </c>
      <c r="AP5" s="127">
        <f>COUNTIFS(AP8:AP705, "=APAGADO",K8:K705,"=RADIO")</f>
        <v>0</v>
      </c>
      <c r="AQ5" s="127">
        <f>COUNTIFS(AQ8:AQ705, "=APAGADO",K8:K705,"=RADIO")</f>
        <v>0</v>
      </c>
      <c r="AR5" s="127">
        <f>COUNTIFS(AR8:AR705, "=APAGADO",K8:K705,"=RADIO")</f>
        <v>0</v>
      </c>
      <c r="AS5" s="127">
        <f>COUNTIFS(AS8:AS705, "=APAGADO",K8:K705,"=RADIO")</f>
        <v>0</v>
      </c>
      <c r="AT5" s="127">
        <f>COUNTIFS(AT8:AT705, "=APAGADO",K8:K705,"=RADIO")</f>
        <v>0</v>
      </c>
      <c r="AU5" s="127">
        <f>COUNTIFS(AU8:AU705, "=APAGADO",L8:L705,"=RADIO")</f>
        <v>0</v>
      </c>
      <c r="AV5" s="127">
        <f>COUNTIFS(AV8:AV705, "=APAGADO",M8:M705,"=RADIO")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COUNTIFS(S8:S705, "=APAGADO",K8:K705,"=PTO A FO")</f>
        <v>0</v>
      </c>
      <c r="T6" s="10">
        <f>COUNTIFS(T8:T705, "=APAGADO",K8:K705,"=PTO A FO")</f>
        <v>0</v>
      </c>
      <c r="U6" s="10">
        <f>COUNTIFS(U8:U705, "=APAGADO",K8:K705,"=PTO A FO")</f>
        <v>0</v>
      </c>
      <c r="V6" s="10">
        <f>COUNTIFS(V8:V705, "=APAGADO",K8:K705,"=PTO A FO")</f>
        <v>12</v>
      </c>
      <c r="W6" s="10">
        <f>COUNTIFS(W8:W705, "=APAGADO",K8:K705,"=PTO A FO")</f>
        <v>12</v>
      </c>
      <c r="X6" s="10">
        <f>COUNTIFS(X8:X705, "=APAGADO",K8:K705,"=PTO A FO")</f>
        <v>11</v>
      </c>
      <c r="Y6" s="10">
        <f>COUNTIFS(Y8:Y705, "=APAGADO",K8:K705,"=PTO A FO")</f>
        <v>14</v>
      </c>
      <c r="Z6" s="10">
        <f>COUNTIFS(Z8:Z705, "=APAGADO",K8:K705,"=PTO A FO")</f>
        <v>10</v>
      </c>
      <c r="AA6" s="10">
        <f>COUNTIFS(AA8:AA705, "=APAGADO",K8:K705,"=PTO A FO")</f>
        <v>0</v>
      </c>
      <c r="AB6" s="10">
        <f>COUNTIFS(AB8:AB705, "=APAGADO",K8:K705,"=PTO A FO")</f>
        <v>0</v>
      </c>
      <c r="AC6" s="10">
        <f>COUNTIFS(AC8:AC705, "=APAGADO",K8:K705,"=PTO A FO")</f>
        <v>8</v>
      </c>
      <c r="AD6" s="10">
        <f>COUNTIFS(AD8:AD705, "=APAGADO",K8:K705,"=PTO A FO")</f>
        <v>9</v>
      </c>
      <c r="AE6" s="10">
        <f>COUNTIFS(AE8:AE705, "=APAGADO",K8:K705,"=PTO A FO")</f>
        <v>9</v>
      </c>
      <c r="AF6" s="10">
        <f>COUNTIFS(AF8:AF705, "=APAGADO",K8:K705,"=PTO A FO")</f>
        <v>11</v>
      </c>
      <c r="AG6" s="10">
        <f>COUNTIFS(AG8:AG705, "=APAGADO",K8:K705,"=PTO A FO")</f>
        <v>11</v>
      </c>
      <c r="AH6" s="10">
        <f>COUNTIFS(AH8:AH705, "=APAGADO",K8:K705,"=PTO A FO")</f>
        <v>0</v>
      </c>
      <c r="AI6" s="10">
        <f>COUNTIFS(AI8:AI705, "=APAGADO",K8:K705,"=PTO A FO")</f>
        <v>0</v>
      </c>
      <c r="AJ6" s="10">
        <f>COUNTIFS(AJ8:AJ705, "=APAGADO",K8:K705,"=PTO A FO")</f>
        <v>10</v>
      </c>
      <c r="AK6" s="10">
        <f>COUNTIFS(AK8:AK705, "=APAGADO",K8:K705,"=PTO A FO")</f>
        <v>13</v>
      </c>
      <c r="AL6" s="10">
        <f>COUNTIFS(AL8:AL705, "=APAGADO",K8:K705,"=PTO A FO")</f>
        <v>0</v>
      </c>
      <c r="AM6" s="10">
        <f>COUNTIFS(AM8:AM705, "=APAGADO",K8:K705,"=PTO A FO")</f>
        <v>0</v>
      </c>
      <c r="AN6" s="10">
        <f>COUNTIFS(AN8:AN705, "=APAGADO",K8:K705,"=PTO A FO")</f>
        <v>0</v>
      </c>
      <c r="AO6" s="10">
        <f>COUNTIFS(AO8:AO705, "=APAGADO",K8:K705,"=PTO A FO")</f>
        <v>0</v>
      </c>
      <c r="AP6" s="10">
        <f>COUNTIFS(AP8:AP705, "=APAGADO",K8:K705,"=PTO A FO")</f>
        <v>0</v>
      </c>
      <c r="AQ6" s="10">
        <f>COUNTIFS(AQ8:AQ705, "=APAGADO",K8:K705,"=PTO A FO")</f>
        <v>0</v>
      </c>
      <c r="AR6" s="10">
        <f>COUNTIFS(AR8:AR705, "=APAGADO",K8:K705,"=PTO A FO")</f>
        <v>0</v>
      </c>
      <c r="AS6" s="10">
        <f>COUNTIFS(AS8:AS705, "=APAGADO",K8:K705,"=PTO A FO")</f>
        <v>0</v>
      </c>
      <c r="AT6" s="10">
        <f>COUNTIFS(AT8:AT705, "=APAGADO",K8:K705,"=PTO A FO")</f>
        <v>0</v>
      </c>
      <c r="AU6" s="10">
        <f>COUNTIFS(AU8:AU705, "=APAGADO",L8:L705,"=PTO A FO")</f>
        <v>0</v>
      </c>
      <c r="AV6" s="10">
        <f>COUNTIFS(AV8:AV705, "=APAGADO",M8:M705,"=PTO A FO")</f>
        <v>0</v>
      </c>
    </row>
    <row r="7" spans="1:49" s="117" customFormat="1" ht="19.5" customHeight="1" thickTop="1" thickBot="1" x14ac:dyDescent="0.35">
      <c r="A7" s="144" t="s">
        <v>2324</v>
      </c>
      <c r="B7" s="144" t="s">
        <v>2325</v>
      </c>
      <c r="C7" s="144" t="s">
        <v>2326</v>
      </c>
      <c r="D7" s="144" t="s">
        <v>2327</v>
      </c>
      <c r="E7" s="144" t="s">
        <v>2329</v>
      </c>
      <c r="F7" s="35" t="s">
        <v>7</v>
      </c>
      <c r="G7" s="114" t="s">
        <v>2269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2323</v>
      </c>
      <c r="N7" s="114" t="s">
        <v>2265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46143</v>
      </c>
      <c r="T7" s="116">
        <v>46144</v>
      </c>
      <c r="U7" s="116">
        <v>46145</v>
      </c>
      <c r="V7" s="116">
        <v>46146</v>
      </c>
      <c r="W7" s="116">
        <v>46147</v>
      </c>
      <c r="X7" s="116">
        <v>46148</v>
      </c>
      <c r="Y7" s="116">
        <v>46149</v>
      </c>
      <c r="Z7" s="116">
        <v>46150</v>
      </c>
      <c r="AA7" s="116">
        <v>46151</v>
      </c>
      <c r="AB7" s="116">
        <v>46152</v>
      </c>
      <c r="AC7" s="116">
        <v>46153</v>
      </c>
      <c r="AD7" s="116">
        <v>46154</v>
      </c>
      <c r="AE7" s="116">
        <v>46155</v>
      </c>
      <c r="AF7" s="116">
        <v>46156</v>
      </c>
      <c r="AG7" s="116">
        <v>46157</v>
      </c>
      <c r="AH7" s="116">
        <v>46158</v>
      </c>
      <c r="AI7" s="116">
        <v>46159</v>
      </c>
      <c r="AJ7" s="116">
        <v>46160</v>
      </c>
      <c r="AK7" s="116">
        <v>46161</v>
      </c>
      <c r="AL7" s="116">
        <v>46162</v>
      </c>
      <c r="AM7" s="116">
        <v>46163</v>
      </c>
      <c r="AN7" s="116">
        <v>46164</v>
      </c>
      <c r="AO7" s="116">
        <v>46165</v>
      </c>
      <c r="AP7" s="116">
        <v>46166</v>
      </c>
      <c r="AQ7" s="116">
        <v>46167</v>
      </c>
      <c r="AR7" s="116">
        <v>46168</v>
      </c>
      <c r="AS7" s="116">
        <v>46169</v>
      </c>
      <c r="AT7" s="116">
        <v>46170</v>
      </c>
      <c r="AU7" s="116">
        <v>46171</v>
      </c>
      <c r="AV7" s="116">
        <v>46172</v>
      </c>
      <c r="AW7" s="116">
        <v>46173</v>
      </c>
    </row>
    <row r="8" spans="1:49" ht="12.75" hidden="1" customHeight="1" thickBot="1" x14ac:dyDescent="0.3">
      <c r="E8" s="151" t="s">
        <v>2439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E9" s="151" t="s">
        <v>2439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28</v>
      </c>
      <c r="P9" s="136" t="s">
        <v>1633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151" t="s">
        <v>2439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s="151" t="s">
        <v>2439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2365</v>
      </c>
      <c r="L11" s="30"/>
      <c r="M11" s="30" t="s">
        <v>605</v>
      </c>
      <c r="N11" s="30"/>
      <c r="O11" s="31">
        <f t="shared" si="4"/>
        <v>26</v>
      </c>
      <c r="P11" s="136" t="s">
        <v>1637</v>
      </c>
      <c r="Q11" s="31">
        <f t="shared" si="5"/>
        <v>2</v>
      </c>
      <c r="R11" s="32">
        <f t="shared" si="6"/>
        <v>0.9285714285714286</v>
      </c>
      <c r="S11" s="70"/>
      <c r="T11" s="70"/>
      <c r="U11" s="70"/>
      <c r="V11" s="70" t="s">
        <v>2222</v>
      </c>
      <c r="W11" s="70" t="s">
        <v>2222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s="151" t="s">
        <v>2439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2365</v>
      </c>
      <c r="L12" s="30"/>
      <c r="M12" s="30" t="s">
        <v>606</v>
      </c>
      <c r="N12" s="30"/>
      <c r="O12" s="31">
        <f t="shared" si="4"/>
        <v>26</v>
      </c>
      <c r="P12" s="136" t="s">
        <v>1638</v>
      </c>
      <c r="Q12" s="31">
        <f t="shared" si="5"/>
        <v>2</v>
      </c>
      <c r="R12" s="32">
        <f t="shared" si="6"/>
        <v>0.9285714285714286</v>
      </c>
      <c r="S12" s="70"/>
      <c r="T12" s="70"/>
      <c r="U12" s="70"/>
      <c r="V12" s="70" t="s">
        <v>2222</v>
      </c>
      <c r="W12" s="70" t="s">
        <v>2222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151" t="s">
        <v>2439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28</v>
      </c>
      <c r="P13" s="136" t="s">
        <v>1639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E14" s="151" t="s">
        <v>2439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2110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2328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2328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28</v>
      </c>
      <c r="P16" s="136" t="s">
        <v>1631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151" t="s">
        <v>2439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2328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E19" s="151" t="s">
        <v>2438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28</v>
      </c>
      <c r="P19" s="136" t="s">
        <v>1640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 s="151" t="s">
        <v>2438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28</v>
      </c>
      <c r="P20" s="136" t="s">
        <v>1641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 s="151" t="s">
        <v>2438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28</v>
      </c>
      <c r="P21" s="136" t="s">
        <v>1642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2364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2266</v>
      </c>
      <c r="O22" s="31">
        <f t="shared" si="4"/>
        <v>18</v>
      </c>
      <c r="P22" s="136" t="s">
        <v>2268</v>
      </c>
      <c r="Q22" s="31">
        <f t="shared" si="5"/>
        <v>10</v>
      </c>
      <c r="R22" s="32">
        <f t="shared" si="6"/>
        <v>0.6428571428571429</v>
      </c>
      <c r="S22" s="70"/>
      <c r="T22" s="70"/>
      <c r="U22" s="70"/>
      <c r="V22" s="70"/>
      <c r="W22" s="70"/>
      <c r="X22" s="70" t="s">
        <v>2222</v>
      </c>
      <c r="Y22" s="70" t="s">
        <v>2222</v>
      </c>
      <c r="Z22" s="70" t="s">
        <v>2222</v>
      </c>
      <c r="AA22" s="70"/>
      <c r="AB22" s="70"/>
      <c r="AC22" s="70" t="s">
        <v>2222</v>
      </c>
      <c r="AD22" s="70" t="s">
        <v>2222</v>
      </c>
      <c r="AE22" s="70" t="s">
        <v>2222</v>
      </c>
      <c r="AF22" s="70" t="s">
        <v>2222</v>
      </c>
      <c r="AG22" s="70" t="s">
        <v>2222</v>
      </c>
      <c r="AH22" s="70"/>
      <c r="AI22" s="70"/>
      <c r="AJ22" s="70" t="s">
        <v>2222</v>
      </c>
      <c r="AK22" s="70" t="s">
        <v>2222</v>
      </c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2364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18</v>
      </c>
      <c r="P23" s="136" t="s">
        <v>1643</v>
      </c>
      <c r="Q23" s="31">
        <f t="shared" si="5"/>
        <v>10</v>
      </c>
      <c r="R23" s="32">
        <f t="shared" si="6"/>
        <v>0.6428571428571429</v>
      </c>
      <c r="S23" s="70"/>
      <c r="T23" s="70"/>
      <c r="U23" s="70"/>
      <c r="V23" s="70"/>
      <c r="W23" s="70"/>
      <c r="X23" s="70" t="s">
        <v>2222</v>
      </c>
      <c r="Y23" s="70" t="s">
        <v>2222</v>
      </c>
      <c r="Z23" s="70" t="s">
        <v>2222</v>
      </c>
      <c r="AA23" s="70"/>
      <c r="AB23" s="70"/>
      <c r="AC23" s="70" t="s">
        <v>2222</v>
      </c>
      <c r="AD23" s="70" t="s">
        <v>2222</v>
      </c>
      <c r="AE23" s="70" t="s">
        <v>2222</v>
      </c>
      <c r="AF23" s="70" t="s">
        <v>2222</v>
      </c>
      <c r="AG23" s="70" t="s">
        <v>2222</v>
      </c>
      <c r="AH23" s="70"/>
      <c r="AI23" s="70"/>
      <c r="AJ23" s="70" t="s">
        <v>2222</v>
      </c>
      <c r="AK23" s="70" t="s">
        <v>2222</v>
      </c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 s="151" t="s">
        <v>2457</v>
      </c>
      <c r="F24" s="73" t="s">
        <v>1171</v>
      </c>
      <c r="G24" s="84" t="s">
        <v>2258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28</v>
      </c>
      <c r="P24" s="136" t="s">
        <v>1650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E25" s="151" t="s">
        <v>2457</v>
      </c>
      <c r="F25" s="73" t="s">
        <v>1171</v>
      </c>
      <c r="G25" s="84" t="s">
        <v>2259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2111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E26" s="151" t="s">
        <v>2457</v>
      </c>
      <c r="F26" s="73" t="s">
        <v>1171</v>
      </c>
      <c r="G26" s="84" t="s">
        <v>2260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2112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 s="151" t="s">
        <v>2457</v>
      </c>
      <c r="F27" s="73" t="s">
        <v>1171</v>
      </c>
      <c r="G27" s="84" t="s">
        <v>2261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2113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 s="151" t="s">
        <v>2457</v>
      </c>
      <c r="F28" s="73" t="s">
        <v>1171</v>
      </c>
      <c r="G28" s="84" t="s">
        <v>2262</v>
      </c>
      <c r="H28" s="84" t="s">
        <v>1042</v>
      </c>
      <c r="I28" s="73" t="s">
        <v>2241</v>
      </c>
      <c r="J28" s="84" t="s">
        <v>18</v>
      </c>
      <c r="K28" s="84" t="s">
        <v>1278</v>
      </c>
      <c r="L28" s="84"/>
      <c r="M28" s="84" t="s">
        <v>2242</v>
      </c>
      <c r="N28" s="84"/>
      <c r="O28" s="131">
        <f t="shared" si="4"/>
        <v>28</v>
      </c>
      <c r="P28" s="136" t="s">
        <v>2243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2348</v>
      </c>
      <c r="F29" s="73" t="s">
        <v>1171</v>
      </c>
      <c r="G29" s="84" t="s">
        <v>2358</v>
      </c>
      <c r="H29" s="84" t="s">
        <v>1042</v>
      </c>
      <c r="I29" s="73" t="s">
        <v>2359</v>
      </c>
      <c r="J29" s="84"/>
      <c r="K29" s="84" t="s">
        <v>27</v>
      </c>
      <c r="L29" s="84"/>
      <c r="M29" s="84" t="s">
        <v>2360</v>
      </c>
      <c r="N29" s="84"/>
      <c r="O29" s="131"/>
      <c r="P29" s="136" t="s">
        <v>2393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2348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26</v>
      </c>
      <c r="P30" s="136" t="s">
        <v>1644</v>
      </c>
      <c r="Q30" s="31">
        <f t="shared" ref="Q30:Q61" si="8">COUNTIF(S30:AT30,"APAGADO")</f>
        <v>2</v>
      </c>
      <c r="R30" s="32">
        <f t="shared" ref="R30:R61" si="9">(O30)/(Q30+O30)</f>
        <v>0.9285714285714286</v>
      </c>
      <c r="S30" s="70"/>
      <c r="T30" s="70"/>
      <c r="U30" s="70"/>
      <c r="V30" s="70"/>
      <c r="W30" s="70"/>
      <c r="X30" s="70"/>
      <c r="Y30" s="70" t="s">
        <v>2222</v>
      </c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 t="s">
        <v>2222</v>
      </c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2348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26</v>
      </c>
      <c r="P31" s="136" t="s">
        <v>1645</v>
      </c>
      <c r="Q31" s="31">
        <f t="shared" si="8"/>
        <v>2</v>
      </c>
      <c r="R31" s="32">
        <f t="shared" si="9"/>
        <v>0.9285714285714286</v>
      </c>
      <c r="S31" s="70"/>
      <c r="T31" s="70"/>
      <c r="U31" s="70"/>
      <c r="V31" s="70"/>
      <c r="W31" s="70"/>
      <c r="X31" s="70"/>
      <c r="Y31" s="70" t="s">
        <v>2222</v>
      </c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 t="s">
        <v>2222</v>
      </c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2348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16</v>
      </c>
      <c r="P32" s="136" t="s">
        <v>1646</v>
      </c>
      <c r="Q32" s="31">
        <f t="shared" si="8"/>
        <v>12</v>
      </c>
      <c r="R32" s="32">
        <f t="shared" si="9"/>
        <v>0.5714285714285714</v>
      </c>
      <c r="S32" s="70"/>
      <c r="T32" s="70"/>
      <c r="U32" s="70"/>
      <c r="V32" s="70" t="s">
        <v>2222</v>
      </c>
      <c r="W32" s="70" t="s">
        <v>2222</v>
      </c>
      <c r="X32" s="70" t="s">
        <v>2222</v>
      </c>
      <c r="Y32" s="70" t="s">
        <v>2222</v>
      </c>
      <c r="Z32" s="70" t="s">
        <v>2222</v>
      </c>
      <c r="AA32" s="70"/>
      <c r="AB32" s="70"/>
      <c r="AC32" s="70" t="s">
        <v>2222</v>
      </c>
      <c r="AD32" s="70" t="s">
        <v>2222</v>
      </c>
      <c r="AE32" s="70" t="s">
        <v>2222</v>
      </c>
      <c r="AF32" s="70" t="s">
        <v>2222</v>
      </c>
      <c r="AG32" s="70" t="s">
        <v>2222</v>
      </c>
      <c r="AH32" s="70"/>
      <c r="AI32" s="70"/>
      <c r="AJ32" s="70" t="s">
        <v>2222</v>
      </c>
      <c r="AK32" s="70" t="s">
        <v>2222</v>
      </c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2348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26</v>
      </c>
      <c r="P33" s="136" t="s">
        <v>1647</v>
      </c>
      <c r="Q33" s="31">
        <f t="shared" si="8"/>
        <v>2</v>
      </c>
      <c r="R33" s="32">
        <f t="shared" si="9"/>
        <v>0.9285714285714286</v>
      </c>
      <c r="S33" s="70"/>
      <c r="T33" s="70"/>
      <c r="U33" s="70"/>
      <c r="V33" s="70"/>
      <c r="W33" s="70"/>
      <c r="X33" s="70"/>
      <c r="Y33" s="70" t="s">
        <v>2222</v>
      </c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 t="s">
        <v>2222</v>
      </c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2348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1648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2348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1649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2362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2362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 s="151" t="s">
        <v>2456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2116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hidden="1" thickBot="1" x14ac:dyDescent="0.3">
      <c r="A39"/>
      <c r="B39"/>
      <c r="C39"/>
      <c r="D39"/>
      <c r="E39" s="151" t="s">
        <v>2456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2140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hidden="1" thickBot="1" x14ac:dyDescent="0.3">
      <c r="A40"/>
      <c r="B40"/>
      <c r="C40"/>
      <c r="D40"/>
      <c r="E40" s="151" t="s">
        <v>2456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2141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hidden="1" thickBot="1" x14ac:dyDescent="0.3">
      <c r="A41">
        <v>2</v>
      </c>
      <c r="B41">
        <v>2</v>
      </c>
      <c r="C41"/>
      <c r="D41"/>
      <c r="E41" t="s">
        <v>2362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28</v>
      </c>
      <c r="P41" s="136" t="s">
        <v>2142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2348</v>
      </c>
      <c r="F42" t="s">
        <v>1428</v>
      </c>
      <c r="G42" s="30" t="s">
        <v>2185</v>
      </c>
      <c r="H42" t="s">
        <v>1042</v>
      </c>
      <c r="I42" t="s">
        <v>2189</v>
      </c>
      <c r="J42" s="30" t="s">
        <v>71</v>
      </c>
      <c r="K42" s="30" t="s">
        <v>27</v>
      </c>
      <c r="L42" s="30"/>
      <c r="M42" s="84" t="s">
        <v>2274</v>
      </c>
      <c r="N42" s="84"/>
      <c r="O42" s="31">
        <f t="shared" si="7"/>
        <v>28</v>
      </c>
      <c r="P42" s="136" t="s">
        <v>2186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2348</v>
      </c>
      <c r="F43" t="s">
        <v>1428</v>
      </c>
      <c r="G43" s="30" t="s">
        <v>2187</v>
      </c>
      <c r="H43" t="s">
        <v>1042</v>
      </c>
      <c r="I43" t="s">
        <v>2188</v>
      </c>
      <c r="J43" s="30" t="s">
        <v>71</v>
      </c>
      <c r="K43" s="30" t="s">
        <v>27</v>
      </c>
      <c r="L43" s="30"/>
      <c r="M43" s="84" t="s">
        <v>2275</v>
      </c>
      <c r="N43" s="84"/>
      <c r="O43" s="31">
        <f t="shared" si="7"/>
        <v>28</v>
      </c>
      <c r="P43" s="136" t="s">
        <v>2190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2331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25</v>
      </c>
      <c r="P44" s="136" t="s">
        <v>1658</v>
      </c>
      <c r="Q44" s="31">
        <f t="shared" si="8"/>
        <v>3</v>
      </c>
      <c r="R44" s="32">
        <f t="shared" si="9"/>
        <v>0.8928571428571429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 t="s">
        <v>2222</v>
      </c>
      <c r="AD44" s="70"/>
      <c r="AE44" s="70" t="s">
        <v>2222</v>
      </c>
      <c r="AF44" s="70" t="s">
        <v>2222</v>
      </c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</v>
      </c>
      <c r="C45"/>
      <c r="D45"/>
      <c r="E45" t="s">
        <v>2332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 s="151" t="s">
        <v>2458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 t="s">
        <v>2367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 s="151" t="s">
        <v>2458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16</v>
      </c>
      <c r="P48" s="136" t="s">
        <v>1700</v>
      </c>
      <c r="Q48" s="131">
        <f t="shared" si="8"/>
        <v>12</v>
      </c>
      <c r="R48" s="132">
        <f t="shared" si="9"/>
        <v>0.5714285714285714</v>
      </c>
      <c r="S48" s="70"/>
      <c r="T48" s="70"/>
      <c r="U48" s="70"/>
      <c r="V48" s="70" t="s">
        <v>2222</v>
      </c>
      <c r="W48" s="70" t="s">
        <v>2222</v>
      </c>
      <c r="X48" s="70" t="s">
        <v>2222</v>
      </c>
      <c r="Y48" s="70" t="s">
        <v>2222</v>
      </c>
      <c r="Z48" s="70" t="s">
        <v>2222</v>
      </c>
      <c r="AA48" s="70"/>
      <c r="AB48" s="70"/>
      <c r="AC48" s="70" t="s">
        <v>2222</v>
      </c>
      <c r="AD48" s="70" t="s">
        <v>2222</v>
      </c>
      <c r="AE48" s="70" t="s">
        <v>2222</v>
      </c>
      <c r="AF48" s="70" t="s">
        <v>2222</v>
      </c>
      <c r="AG48" s="70" t="s">
        <v>2222</v>
      </c>
      <c r="AH48" s="70"/>
      <c r="AI48" s="70"/>
      <c r="AJ48" s="70" t="s">
        <v>2222</v>
      </c>
      <c r="AK48" s="70" t="s">
        <v>2222</v>
      </c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16</v>
      </c>
      <c r="P51" s="136" t="s">
        <v>1704</v>
      </c>
      <c r="Q51" s="131">
        <f t="shared" si="8"/>
        <v>12</v>
      </c>
      <c r="R51" s="132">
        <f t="shared" si="9"/>
        <v>0.5714285714285714</v>
      </c>
      <c r="S51" s="70"/>
      <c r="T51" s="70"/>
      <c r="U51" s="70"/>
      <c r="V51" s="70" t="s">
        <v>2222</v>
      </c>
      <c r="W51" s="70" t="s">
        <v>2222</v>
      </c>
      <c r="X51" s="70" t="s">
        <v>2222</v>
      </c>
      <c r="Y51" s="70" t="s">
        <v>2222</v>
      </c>
      <c r="Z51" s="70" t="s">
        <v>2222</v>
      </c>
      <c r="AA51" s="70"/>
      <c r="AB51" s="70"/>
      <c r="AC51" s="70" t="s">
        <v>2222</v>
      </c>
      <c r="AD51" s="70" t="s">
        <v>2222</v>
      </c>
      <c r="AE51" s="70" t="s">
        <v>2222</v>
      </c>
      <c r="AF51" s="70" t="s">
        <v>2222</v>
      </c>
      <c r="AG51" s="70" t="s">
        <v>2222</v>
      </c>
      <c r="AH51" s="70"/>
      <c r="AI51" s="70"/>
      <c r="AJ51" s="70" t="s">
        <v>2222</v>
      </c>
      <c r="AK51" s="70" t="s">
        <v>2222</v>
      </c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28</v>
      </c>
      <c r="P53" s="136" t="s">
        <v>1706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2333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28</v>
      </c>
      <c r="P55" s="136" t="s">
        <v>1708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2366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 s="151" t="s">
        <v>2460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2343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26</v>
      </c>
      <c r="P62" s="136" t="s">
        <v>1724</v>
      </c>
      <c r="Q62" s="131">
        <f t="shared" ref="Q62:Q93" si="11">COUNTIF(S62:AT62,"APAGADO")</f>
        <v>2</v>
      </c>
      <c r="R62" s="132">
        <f t="shared" ref="R62:R93" si="12">(O62)/(Q62+O62)</f>
        <v>0.9285714285714286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 t="s">
        <v>2222</v>
      </c>
      <c r="AG62" s="70"/>
      <c r="AH62" s="70"/>
      <c r="AI62" s="70"/>
      <c r="AJ62" s="70" t="s">
        <v>2222</v>
      </c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</v>
      </c>
      <c r="C63"/>
      <c r="D63"/>
      <c r="E63" t="s">
        <v>2332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</v>
      </c>
      <c r="C64"/>
      <c r="D64"/>
      <c r="E64" t="s">
        <v>2332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</v>
      </c>
      <c r="C65"/>
      <c r="D65"/>
      <c r="E65" t="s">
        <v>2332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 t="s">
        <v>2367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 t="s">
        <v>2367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 s="8" t="s">
        <v>2437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23</v>
      </c>
      <c r="P69" s="136" t="s">
        <v>1731</v>
      </c>
      <c r="Q69" s="131">
        <f t="shared" si="11"/>
        <v>5</v>
      </c>
      <c r="R69" s="132">
        <f t="shared" si="12"/>
        <v>0.8214285714285714</v>
      </c>
      <c r="S69" s="70"/>
      <c r="T69" s="70"/>
      <c r="U69" s="70"/>
      <c r="V69" s="70" t="s">
        <v>2222</v>
      </c>
      <c r="W69" s="70" t="s">
        <v>2222</v>
      </c>
      <c r="X69" s="70"/>
      <c r="Y69" s="70"/>
      <c r="Z69" s="70"/>
      <c r="AA69" s="70"/>
      <c r="AB69" s="70"/>
      <c r="AC69" s="70"/>
      <c r="AD69" s="70" t="s">
        <v>2222</v>
      </c>
      <c r="AE69" s="70"/>
      <c r="AF69" s="70"/>
      <c r="AG69" s="70" t="s">
        <v>2222</v>
      </c>
      <c r="AH69" s="70"/>
      <c r="AI69" s="70"/>
      <c r="AJ69" s="70" t="s">
        <v>2222</v>
      </c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27</v>
      </c>
      <c r="P70" s="136" t="s">
        <v>1733</v>
      </c>
      <c r="Q70" s="131">
        <f t="shared" si="11"/>
        <v>1</v>
      </c>
      <c r="R70" s="132">
        <f t="shared" si="12"/>
        <v>0.9642857142857143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 t="s">
        <v>2222</v>
      </c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>
        <v>3</v>
      </c>
      <c r="B71">
        <v>1</v>
      </c>
      <c r="C71"/>
      <c r="D71"/>
      <c r="E71" t="s">
        <v>2332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23</v>
      </c>
      <c r="P71" s="136" t="s">
        <v>1734</v>
      </c>
      <c r="Q71" s="31">
        <f t="shared" si="11"/>
        <v>5</v>
      </c>
      <c r="R71" s="32">
        <f t="shared" si="12"/>
        <v>0.8214285714285714</v>
      </c>
      <c r="S71" s="70"/>
      <c r="T71" s="70"/>
      <c r="U71" s="70"/>
      <c r="V71" s="70"/>
      <c r="W71" s="70" t="s">
        <v>2222</v>
      </c>
      <c r="X71" s="70" t="s">
        <v>2222</v>
      </c>
      <c r="Y71" s="70" t="s">
        <v>2222</v>
      </c>
      <c r="Z71" s="70" t="s">
        <v>2222</v>
      </c>
      <c r="AA71" s="70"/>
      <c r="AB71" s="70"/>
      <c r="AC71" s="70" t="s">
        <v>2222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</v>
      </c>
      <c r="C72"/>
      <c r="D72"/>
      <c r="E72" t="s">
        <v>2332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 s="151" t="s">
        <v>2459</v>
      </c>
      <c r="F73" t="s">
        <v>51</v>
      </c>
      <c r="G73" t="s">
        <v>2382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 s="151" t="s">
        <v>2459</v>
      </c>
      <c r="F74" t="s">
        <v>51</v>
      </c>
      <c r="G74" t="s">
        <v>2383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2363</v>
      </c>
      <c r="C75"/>
      <c r="D75"/>
      <c r="E75" t="s">
        <v>2331</v>
      </c>
      <c r="F75" t="s">
        <v>51</v>
      </c>
      <c r="G75" t="s">
        <v>2384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21</v>
      </c>
      <c r="P75" s="136" t="s">
        <v>1656</v>
      </c>
      <c r="Q75" s="31">
        <f t="shared" si="11"/>
        <v>7</v>
      </c>
      <c r="R75" s="32">
        <f t="shared" si="12"/>
        <v>0.75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 t="s">
        <v>2222</v>
      </c>
      <c r="AD75" s="70" t="s">
        <v>2222</v>
      </c>
      <c r="AE75" s="70" t="s">
        <v>2222</v>
      </c>
      <c r="AF75" s="70" t="s">
        <v>2222</v>
      </c>
      <c r="AG75" s="70" t="s">
        <v>2222</v>
      </c>
      <c r="AH75" s="70"/>
      <c r="AI75" s="70"/>
      <c r="AJ75" s="70" t="s">
        <v>2222</v>
      </c>
      <c r="AK75" s="70" t="s">
        <v>2222</v>
      </c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2330</v>
      </c>
      <c r="F76" t="s">
        <v>51</v>
      </c>
      <c r="G76" t="s">
        <v>2385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2331</v>
      </c>
      <c r="F77" t="s">
        <v>51</v>
      </c>
      <c r="G77" t="s">
        <v>2386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19</v>
      </c>
      <c r="P77" s="136" t="s">
        <v>2434</v>
      </c>
      <c r="Q77" s="31">
        <f t="shared" si="11"/>
        <v>9</v>
      </c>
      <c r="R77" s="32">
        <f t="shared" si="12"/>
        <v>0.6785714285714286</v>
      </c>
      <c r="S77" s="70"/>
      <c r="T77" s="70"/>
      <c r="U77" s="70"/>
      <c r="V77" s="70" t="s">
        <v>2222</v>
      </c>
      <c r="W77" s="70"/>
      <c r="X77" s="70"/>
      <c r="Y77" s="70" t="s">
        <v>2222</v>
      </c>
      <c r="Z77" s="70" t="s">
        <v>2222</v>
      </c>
      <c r="AA77" s="70"/>
      <c r="AB77" s="70"/>
      <c r="AC77" s="70" t="s">
        <v>2222</v>
      </c>
      <c r="AD77" s="70"/>
      <c r="AE77" s="70" t="s">
        <v>2222</v>
      </c>
      <c r="AF77" s="70" t="s">
        <v>2222</v>
      </c>
      <c r="AG77" s="70" t="s">
        <v>2222</v>
      </c>
      <c r="AH77" s="70"/>
      <c r="AI77" s="70"/>
      <c r="AJ77" s="70" t="s">
        <v>2222</v>
      </c>
      <c r="AK77" s="70" t="s">
        <v>2222</v>
      </c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2364</v>
      </c>
      <c r="F78" t="s">
        <v>51</v>
      </c>
      <c r="G78" t="s">
        <v>2387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2331</v>
      </c>
      <c r="F79" t="s">
        <v>51</v>
      </c>
      <c r="G79" t="s">
        <v>2388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2340</v>
      </c>
      <c r="F80" t="s">
        <v>51</v>
      </c>
      <c r="G80" t="s">
        <v>2389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</v>
      </c>
      <c r="C81"/>
      <c r="D81"/>
      <c r="E81" t="s">
        <v>2332</v>
      </c>
      <c r="F81" t="s">
        <v>51</v>
      </c>
      <c r="G81" t="s">
        <v>2390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>
        <v>1</v>
      </c>
      <c r="B82">
        <v>14</v>
      </c>
      <c r="C82"/>
      <c r="D82"/>
      <c r="E82" t="s">
        <v>2367</v>
      </c>
      <c r="F82" s="73" t="s">
        <v>51</v>
      </c>
      <c r="G82" s="84" t="s">
        <v>2250</v>
      </c>
      <c r="H82" s="84" t="s">
        <v>1041</v>
      </c>
      <c r="I82" s="73" t="s">
        <v>2251</v>
      </c>
      <c r="J82" s="84" t="s">
        <v>18</v>
      </c>
      <c r="K82" s="30" t="s">
        <v>27</v>
      </c>
      <c r="L82" s="84"/>
      <c r="M82" s="84" t="s">
        <v>2252</v>
      </c>
      <c r="N82" s="84"/>
      <c r="O82" s="131">
        <f t="shared" si="10"/>
        <v>23</v>
      </c>
      <c r="P82" s="136" t="s">
        <v>2253</v>
      </c>
      <c r="Q82" s="131">
        <f t="shared" si="11"/>
        <v>5</v>
      </c>
      <c r="R82" s="132">
        <f t="shared" si="12"/>
        <v>0.8214285714285714</v>
      </c>
      <c r="S82" s="70"/>
      <c r="T82" s="70"/>
      <c r="U82" s="70"/>
      <c r="V82" s="70" t="s">
        <v>2222</v>
      </c>
      <c r="W82" s="70" t="s">
        <v>2222</v>
      </c>
      <c r="X82" s="70" t="s">
        <v>2222</v>
      </c>
      <c r="Y82" s="70" t="s">
        <v>2222</v>
      </c>
      <c r="Z82" s="70" t="s">
        <v>2222</v>
      </c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</v>
      </c>
      <c r="C83"/>
      <c r="D83"/>
      <c r="E83" t="s">
        <v>2332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</v>
      </c>
      <c r="E84" t="s">
        <v>2332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2331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2331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21</v>
      </c>
      <c r="P87" s="136" t="s">
        <v>1669</v>
      </c>
      <c r="Q87" s="31">
        <f t="shared" si="11"/>
        <v>7</v>
      </c>
      <c r="R87" s="32">
        <f t="shared" si="12"/>
        <v>0.75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 t="s">
        <v>2222</v>
      </c>
      <c r="AD87" s="70" t="s">
        <v>2222</v>
      </c>
      <c r="AE87" s="70" t="s">
        <v>2222</v>
      </c>
      <c r="AF87" s="70" t="s">
        <v>2222</v>
      </c>
      <c r="AG87" s="70" t="s">
        <v>2222</v>
      </c>
      <c r="AH87" s="70"/>
      <c r="AI87" s="70"/>
      <c r="AJ87" s="70" t="s">
        <v>2222</v>
      </c>
      <c r="AK87" s="70" t="s">
        <v>2222</v>
      </c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</v>
      </c>
      <c r="C88"/>
      <c r="D88"/>
      <c r="E88" t="s">
        <v>2332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2340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2257</v>
      </c>
      <c r="N91" s="89"/>
      <c r="O91" s="31">
        <f t="shared" si="10"/>
        <v>28</v>
      </c>
      <c r="P91" s="136" t="s">
        <v>2306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16</v>
      </c>
      <c r="P92" s="136" t="s">
        <v>1673</v>
      </c>
      <c r="Q92" s="131">
        <f t="shared" si="11"/>
        <v>12</v>
      </c>
      <c r="R92" s="132">
        <f t="shared" si="12"/>
        <v>0.5714285714285714</v>
      </c>
      <c r="S92" s="70"/>
      <c r="T92" s="70"/>
      <c r="U92" s="70"/>
      <c r="V92" s="70" t="s">
        <v>2222</v>
      </c>
      <c r="W92" s="70" t="s">
        <v>2222</v>
      </c>
      <c r="X92" s="70" t="s">
        <v>2222</v>
      </c>
      <c r="Y92" s="70" t="s">
        <v>2222</v>
      </c>
      <c r="Z92" s="70" t="s">
        <v>2222</v>
      </c>
      <c r="AA92" s="70"/>
      <c r="AB92" s="70"/>
      <c r="AC92" s="70" t="s">
        <v>2222</v>
      </c>
      <c r="AD92" s="70" t="s">
        <v>2222</v>
      </c>
      <c r="AE92" s="70" t="s">
        <v>2222</v>
      </c>
      <c r="AF92" s="70" t="s">
        <v>2222</v>
      </c>
      <c r="AG92" s="70" t="s">
        <v>2222</v>
      </c>
      <c r="AH92" s="70"/>
      <c r="AI92" s="70"/>
      <c r="AJ92" s="70" t="s">
        <v>2222</v>
      </c>
      <c r="AK92" s="70" t="s">
        <v>2222</v>
      </c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1</v>
      </c>
      <c r="C93"/>
      <c r="D93"/>
      <c r="E93" t="s">
        <v>2332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2315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 s="151" t="s">
        <v>2459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2331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2391</v>
      </c>
      <c r="N96" s="30"/>
      <c r="O96" s="31">
        <f t="shared" si="13"/>
        <v>28</v>
      </c>
      <c r="P96" s="136" t="s">
        <v>2392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2331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2331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2331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2332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2332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2332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2332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2331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2367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28</v>
      </c>
      <c r="P105" s="136" t="s">
        <v>1685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>
        <v>1</v>
      </c>
      <c r="B107">
        <v>14</v>
      </c>
      <c r="C107"/>
      <c r="D107"/>
      <c r="E107" t="s">
        <v>2367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2330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2330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>
        <v>2</v>
      </c>
      <c r="B110">
        <v>20</v>
      </c>
      <c r="C110"/>
      <c r="D110"/>
      <c r="E110" t="s">
        <v>2330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21</v>
      </c>
      <c r="P110" s="136" t="s">
        <v>1691</v>
      </c>
      <c r="Q110" s="31">
        <f t="shared" si="14"/>
        <v>7</v>
      </c>
      <c r="R110" s="32">
        <f t="shared" si="15"/>
        <v>0.75</v>
      </c>
      <c r="S110" s="70"/>
      <c r="T110" s="70"/>
      <c r="U110" s="70"/>
      <c r="V110" s="70"/>
      <c r="W110" s="70"/>
      <c r="X110" s="70" t="s">
        <v>2222</v>
      </c>
      <c r="Y110" s="70"/>
      <c r="Z110" s="70"/>
      <c r="AA110" s="70"/>
      <c r="AB110" s="70"/>
      <c r="AC110" s="70"/>
      <c r="AD110" s="70" t="s">
        <v>2222</v>
      </c>
      <c r="AE110" s="70" t="s">
        <v>2222</v>
      </c>
      <c r="AF110" s="70" t="s">
        <v>2222</v>
      </c>
      <c r="AG110" s="70" t="s">
        <v>2222</v>
      </c>
      <c r="AH110" s="70"/>
      <c r="AI110" s="70"/>
      <c r="AJ110" s="70" t="s">
        <v>2222</v>
      </c>
      <c r="AK110" s="70" t="s">
        <v>2222</v>
      </c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2332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26</v>
      </c>
      <c r="P112" s="136" t="s">
        <v>1693</v>
      </c>
      <c r="Q112" s="31">
        <f t="shared" si="14"/>
        <v>2</v>
      </c>
      <c r="R112" s="32">
        <f t="shared" si="15"/>
        <v>0.9285714285714286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 t="s">
        <v>2222</v>
      </c>
      <c r="AF112" s="70"/>
      <c r="AG112" s="70"/>
      <c r="AH112" s="70"/>
      <c r="AI112" s="70"/>
      <c r="AJ112" s="70"/>
      <c r="AK112" s="70" t="s">
        <v>2222</v>
      </c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2332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28</v>
      </c>
      <c r="P113" s="136" t="s">
        <v>1694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2333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28</v>
      </c>
      <c r="P114" s="136" t="s">
        <v>1695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2333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28</v>
      </c>
      <c r="P115" s="136" t="s">
        <v>1696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</v>
      </c>
      <c r="C116"/>
      <c r="D116"/>
      <c r="E116" t="s">
        <v>2332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27</v>
      </c>
      <c r="P116" s="136" t="s">
        <v>1697</v>
      </c>
      <c r="Q116" s="31">
        <f t="shared" si="14"/>
        <v>1</v>
      </c>
      <c r="R116" s="32">
        <f t="shared" si="15"/>
        <v>0.9642857142857143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 t="s">
        <v>2222</v>
      </c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2367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16</v>
      </c>
      <c r="P118" s="136" t="s">
        <v>1699</v>
      </c>
      <c r="Q118" s="31">
        <f t="shared" si="14"/>
        <v>12</v>
      </c>
      <c r="R118" s="32">
        <f t="shared" si="15"/>
        <v>0.5714285714285714</v>
      </c>
      <c r="S118" s="70"/>
      <c r="T118" s="70"/>
      <c r="U118" s="70"/>
      <c r="V118" s="70" t="s">
        <v>2222</v>
      </c>
      <c r="W118" s="70" t="s">
        <v>2222</v>
      </c>
      <c r="X118" s="70" t="s">
        <v>2222</v>
      </c>
      <c r="Y118" s="70" t="s">
        <v>2222</v>
      </c>
      <c r="Z118" s="70" t="s">
        <v>2222</v>
      </c>
      <c r="AA118" s="70"/>
      <c r="AB118" s="70"/>
      <c r="AC118" s="70" t="s">
        <v>2222</v>
      </c>
      <c r="AD118" s="70" t="s">
        <v>2222</v>
      </c>
      <c r="AE118" s="70" t="s">
        <v>2222</v>
      </c>
      <c r="AF118" s="70" t="s">
        <v>2222</v>
      </c>
      <c r="AG118" s="70" t="s">
        <v>2222</v>
      </c>
      <c r="AH118" s="70"/>
      <c r="AI118" s="70"/>
      <c r="AJ118" s="70" t="s">
        <v>2222</v>
      </c>
      <c r="AK118" s="70" t="s">
        <v>2222</v>
      </c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 s="151" t="s">
        <v>2459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2330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 s="151" t="s">
        <v>2459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2331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 s="151" t="s">
        <v>2460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2343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 s="151" t="s">
        <v>2458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2368</v>
      </c>
      <c r="L129" s="30"/>
      <c r="M129" s="30" t="s">
        <v>667</v>
      </c>
      <c r="N129" s="30"/>
      <c r="O129" s="31">
        <f t="shared" si="16"/>
        <v>16</v>
      </c>
      <c r="P129" s="136" t="s">
        <v>1723</v>
      </c>
      <c r="Q129" s="31">
        <f t="shared" si="17"/>
        <v>12</v>
      </c>
      <c r="R129" s="32">
        <f t="shared" si="18"/>
        <v>0.5714285714285714</v>
      </c>
      <c r="S129" s="70"/>
      <c r="T129" s="70"/>
      <c r="U129" s="70"/>
      <c r="V129" s="70" t="s">
        <v>2222</v>
      </c>
      <c r="W129" s="70" t="s">
        <v>2222</v>
      </c>
      <c r="X129" s="70" t="s">
        <v>2222</v>
      </c>
      <c r="Y129" s="70" t="s">
        <v>2222</v>
      </c>
      <c r="Z129" s="70" t="s">
        <v>2222</v>
      </c>
      <c r="AA129" s="70"/>
      <c r="AB129" s="138"/>
      <c r="AC129" s="70" t="s">
        <v>2222</v>
      </c>
      <c r="AD129" s="70" t="s">
        <v>2222</v>
      </c>
      <c r="AE129" s="70" t="s">
        <v>2222</v>
      </c>
      <c r="AF129" s="70" t="s">
        <v>2222</v>
      </c>
      <c r="AG129" s="70" t="s">
        <v>2222</v>
      </c>
      <c r="AH129" s="70"/>
      <c r="AI129" s="70"/>
      <c r="AJ129" s="70" t="s">
        <v>2222</v>
      </c>
      <c r="AK129" s="70" t="s">
        <v>2222</v>
      </c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16</v>
      </c>
      <c r="P131" s="136" t="s">
        <v>1736</v>
      </c>
      <c r="Q131" s="131">
        <f t="shared" si="17"/>
        <v>12</v>
      </c>
      <c r="R131" s="132">
        <f t="shared" si="18"/>
        <v>0.5714285714285714</v>
      </c>
      <c r="S131" s="70"/>
      <c r="T131" s="70"/>
      <c r="U131" s="70"/>
      <c r="V131" s="70" t="s">
        <v>2222</v>
      </c>
      <c r="W131" s="70" t="s">
        <v>2222</v>
      </c>
      <c r="X131" s="70" t="s">
        <v>2222</v>
      </c>
      <c r="Y131" s="70" t="s">
        <v>2222</v>
      </c>
      <c r="Z131" s="70" t="s">
        <v>2222</v>
      </c>
      <c r="AA131" s="70"/>
      <c r="AB131" s="70"/>
      <c r="AC131" s="70" t="s">
        <v>2222</v>
      </c>
      <c r="AD131" s="70" t="s">
        <v>2222</v>
      </c>
      <c r="AE131" s="70" t="s">
        <v>2222</v>
      </c>
      <c r="AF131" s="70" t="s">
        <v>2222</v>
      </c>
      <c r="AG131" s="70" t="s">
        <v>2222</v>
      </c>
      <c r="AH131" s="70"/>
      <c r="AI131" s="70"/>
      <c r="AJ131" s="70" t="s">
        <v>2222</v>
      </c>
      <c r="AK131" s="70" t="s">
        <v>2222</v>
      </c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2364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2266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2364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2266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2331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</v>
      </c>
      <c r="C138"/>
      <c r="D138"/>
      <c r="E138" t="s">
        <v>2332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2143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2367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2330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2088</v>
      </c>
      <c r="H141" s="84" t="s">
        <v>1041</v>
      </c>
      <c r="I141" s="73" t="s">
        <v>2089</v>
      </c>
      <c r="J141" s="84" t="s">
        <v>18</v>
      </c>
      <c r="K141" s="84" t="s">
        <v>1278</v>
      </c>
      <c r="L141" s="84"/>
      <c r="M141" s="84" t="s">
        <v>2144</v>
      </c>
      <c r="N141" s="84"/>
      <c r="O141" s="131">
        <f t="shared" si="16"/>
        <v>28</v>
      </c>
      <c r="P141" s="136" t="s">
        <v>2145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2168</v>
      </c>
      <c r="H142" s="84" t="s">
        <v>1041</v>
      </c>
      <c r="I142" s="73" t="s">
        <v>2169</v>
      </c>
      <c r="J142" s="84" t="s">
        <v>18</v>
      </c>
      <c r="K142" s="84" t="s">
        <v>1278</v>
      </c>
      <c r="L142" s="84"/>
      <c r="M142" s="84" t="s">
        <v>2270</v>
      </c>
      <c r="N142" s="84"/>
      <c r="O142" s="131">
        <f t="shared" si="16"/>
        <v>28</v>
      </c>
      <c r="P142" s="136" t="s">
        <v>2170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 s="151" t="s">
        <v>2458</v>
      </c>
      <c r="F143" s="73" t="s">
        <v>51</v>
      </c>
      <c r="G143" s="84" t="s">
        <v>2197</v>
      </c>
      <c r="H143" s="84" t="s">
        <v>1041</v>
      </c>
      <c r="I143" s="73" t="s">
        <v>2198</v>
      </c>
      <c r="J143" s="84" t="s">
        <v>18</v>
      </c>
      <c r="K143" s="30" t="s">
        <v>2368</v>
      </c>
      <c r="L143" s="84"/>
      <c r="M143" s="84" t="s">
        <v>2199</v>
      </c>
      <c r="N143" s="84"/>
      <c r="O143" s="131">
        <f t="shared" si="16"/>
        <v>16</v>
      </c>
      <c r="P143" s="136" t="s">
        <v>2200</v>
      </c>
      <c r="Q143" s="131">
        <f t="shared" si="17"/>
        <v>12</v>
      </c>
      <c r="R143" s="132">
        <f t="shared" si="18"/>
        <v>0.5714285714285714</v>
      </c>
      <c r="S143" s="70"/>
      <c r="T143" s="70"/>
      <c r="U143" s="70"/>
      <c r="V143" s="70" t="s">
        <v>2222</v>
      </c>
      <c r="W143" s="70" t="s">
        <v>2222</v>
      </c>
      <c r="X143" s="70" t="s">
        <v>2222</v>
      </c>
      <c r="Y143" s="70" t="s">
        <v>2222</v>
      </c>
      <c r="Z143" s="70" t="s">
        <v>2222</v>
      </c>
      <c r="AA143" s="70"/>
      <c r="AB143" s="70"/>
      <c r="AC143" s="70" t="s">
        <v>2222</v>
      </c>
      <c r="AD143" s="70" t="s">
        <v>2222</v>
      </c>
      <c r="AE143" s="70" t="s">
        <v>2222</v>
      </c>
      <c r="AF143" s="70" t="s">
        <v>2222</v>
      </c>
      <c r="AG143" s="70" t="s">
        <v>2222</v>
      </c>
      <c r="AH143" s="70"/>
      <c r="AI143" s="70"/>
      <c r="AJ143" s="70" t="s">
        <v>2222</v>
      </c>
      <c r="AK143" s="70" t="s">
        <v>2222</v>
      </c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26</v>
      </c>
      <c r="P144" s="136" t="s">
        <v>1745</v>
      </c>
      <c r="Q144" s="31">
        <f t="shared" si="17"/>
        <v>2</v>
      </c>
      <c r="R144" s="32">
        <f t="shared" si="18"/>
        <v>0.9285714285714286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 t="s">
        <v>2222</v>
      </c>
      <c r="AG144" s="70" t="s">
        <v>2222</v>
      </c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25</v>
      </c>
      <c r="P145" s="136"/>
      <c r="Q145" s="31">
        <f t="shared" si="17"/>
        <v>3</v>
      </c>
      <c r="R145" s="32">
        <f t="shared" si="18"/>
        <v>0.8928571428571429</v>
      </c>
      <c r="S145" s="70"/>
      <c r="T145" s="70"/>
      <c r="U145" s="70"/>
      <c r="V145" s="70"/>
      <c r="W145" s="70"/>
      <c r="X145" s="70" t="s">
        <v>2222</v>
      </c>
      <c r="Y145" s="70"/>
      <c r="Z145" s="70" t="s">
        <v>2222</v>
      </c>
      <c r="AA145" s="70"/>
      <c r="AB145" s="70"/>
      <c r="AC145" s="70"/>
      <c r="AD145" s="70"/>
      <c r="AE145" s="70"/>
      <c r="AF145" s="70"/>
      <c r="AG145" s="70"/>
      <c r="AH145" s="70"/>
      <c r="AI145" s="70"/>
      <c r="AJ145" s="70" t="s">
        <v>2222</v>
      </c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2341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1746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2335</v>
      </c>
      <c r="F148" t="s">
        <v>165</v>
      </c>
      <c r="G148" t="s">
        <v>2354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2160</v>
      </c>
      <c r="N148" s="30"/>
      <c r="O148" s="31">
        <f t="shared" si="16"/>
        <v>18</v>
      </c>
      <c r="P148" s="136" t="s">
        <v>1748</v>
      </c>
      <c r="Q148" s="31">
        <f t="shared" si="17"/>
        <v>10</v>
      </c>
      <c r="R148" s="32">
        <f t="shared" si="18"/>
        <v>0.6428571428571429</v>
      </c>
      <c r="S148" s="70"/>
      <c r="T148" s="70"/>
      <c r="U148" s="70"/>
      <c r="V148" s="70" t="s">
        <v>2222</v>
      </c>
      <c r="W148" s="70" t="s">
        <v>2222</v>
      </c>
      <c r="X148" s="70" t="s">
        <v>2222</v>
      </c>
      <c r="Y148" s="70" t="s">
        <v>2222</v>
      </c>
      <c r="Z148" s="70" t="s">
        <v>2222</v>
      </c>
      <c r="AA148" s="70"/>
      <c r="AB148" s="70"/>
      <c r="AC148" s="70" t="s">
        <v>2222</v>
      </c>
      <c r="AD148" s="70" t="s">
        <v>2222</v>
      </c>
      <c r="AE148" s="70" t="s">
        <v>2222</v>
      </c>
      <c r="AF148" s="70" t="s">
        <v>2222</v>
      </c>
      <c r="AG148" s="70" t="s">
        <v>2222</v>
      </c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2335</v>
      </c>
      <c r="F149" t="s">
        <v>167</v>
      </c>
      <c r="G149" t="s">
        <v>2355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17</v>
      </c>
      <c r="P149" s="136" t="s">
        <v>1749</v>
      </c>
      <c r="Q149" s="31">
        <f t="shared" si="17"/>
        <v>11</v>
      </c>
      <c r="R149" s="32">
        <f t="shared" si="18"/>
        <v>0.6071428571428571</v>
      </c>
      <c r="S149" s="70"/>
      <c r="T149" s="70"/>
      <c r="U149" s="70"/>
      <c r="V149" s="70" t="s">
        <v>2222</v>
      </c>
      <c r="W149" s="70" t="s">
        <v>2222</v>
      </c>
      <c r="X149" s="70" t="s">
        <v>2222</v>
      </c>
      <c r="Y149" s="70" t="s">
        <v>2222</v>
      </c>
      <c r="Z149" s="70" t="s">
        <v>2222</v>
      </c>
      <c r="AA149" s="70"/>
      <c r="AB149" s="70"/>
      <c r="AC149" s="70" t="s">
        <v>2222</v>
      </c>
      <c r="AD149" s="70" t="s">
        <v>2222</v>
      </c>
      <c r="AE149" s="70" t="s">
        <v>2222</v>
      </c>
      <c r="AF149" s="70" t="s">
        <v>2222</v>
      </c>
      <c r="AG149" s="70" t="s">
        <v>2222</v>
      </c>
      <c r="AH149" s="70"/>
      <c r="AI149" s="70"/>
      <c r="AJ149" s="70"/>
      <c r="AK149" s="70" t="s">
        <v>2222</v>
      </c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2357</v>
      </c>
      <c r="N150" s="30"/>
      <c r="O150" s="31">
        <f t="shared" si="16"/>
        <v>25</v>
      </c>
      <c r="P150" s="136" t="s">
        <v>1748</v>
      </c>
      <c r="Q150" s="31">
        <f t="shared" si="17"/>
        <v>3</v>
      </c>
      <c r="R150" s="32">
        <f t="shared" si="18"/>
        <v>0.8928571428571429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2222</v>
      </c>
      <c r="AD150" s="70"/>
      <c r="AE150" s="70"/>
      <c r="AF150" s="70"/>
      <c r="AG150" s="70"/>
      <c r="AH150" s="70"/>
      <c r="AI150" s="70"/>
      <c r="AJ150" s="70" t="s">
        <v>2222</v>
      </c>
      <c r="AK150" s="70" t="s">
        <v>2222</v>
      </c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2335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18</v>
      </c>
      <c r="P151" s="136" t="s">
        <v>1750</v>
      </c>
      <c r="Q151" s="31">
        <f t="shared" si="17"/>
        <v>10</v>
      </c>
      <c r="R151" s="32">
        <f t="shared" si="18"/>
        <v>0.6428571428571429</v>
      </c>
      <c r="S151" s="70"/>
      <c r="T151" s="70"/>
      <c r="U151" s="70"/>
      <c r="V151" s="70" t="s">
        <v>2222</v>
      </c>
      <c r="W151" s="70" t="s">
        <v>2222</v>
      </c>
      <c r="X151" s="70" t="s">
        <v>2222</v>
      </c>
      <c r="Y151" s="70" t="s">
        <v>2222</v>
      </c>
      <c r="Z151" s="70" t="s">
        <v>2222</v>
      </c>
      <c r="AA151" s="70"/>
      <c r="AB151" s="70"/>
      <c r="AC151" s="70" t="s">
        <v>2222</v>
      </c>
      <c r="AD151" s="70" t="s">
        <v>2222</v>
      </c>
      <c r="AE151" s="70" t="s">
        <v>2222</v>
      </c>
      <c r="AF151" s="70" t="s">
        <v>2222</v>
      </c>
      <c r="AG151" s="70" t="s">
        <v>2222</v>
      </c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2344</v>
      </c>
      <c r="H152" t="s">
        <v>1042</v>
      </c>
      <c r="I152" t="s">
        <v>2345</v>
      </c>
      <c r="J152" s="30" t="s">
        <v>14</v>
      </c>
      <c r="K152" s="30" t="s">
        <v>1278</v>
      </c>
      <c r="L152"/>
      <c r="M152" s="30" t="s">
        <v>2346</v>
      </c>
      <c r="N152" s="30"/>
      <c r="O152" s="31"/>
      <c r="P152" s="136" t="s">
        <v>2347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4" si="19">COUNTIF(S153:AT153,"")</f>
        <v>28</v>
      </c>
      <c r="P153" s="136" t="s">
        <v>2115</v>
      </c>
      <c r="Q153" s="131">
        <f t="shared" ref="Q153:Q184" si="20">COUNTIF(S153:AT153,"APAGADO")</f>
        <v>0</v>
      </c>
      <c r="R153" s="132">
        <f t="shared" ref="R153:R184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2445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2444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28</v>
      </c>
      <c r="P155" s="136" t="s">
        <v>2311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2443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2086</v>
      </c>
      <c r="N156" s="84"/>
      <c r="O156" s="31">
        <f t="shared" si="19"/>
        <v>28</v>
      </c>
      <c r="P156" s="136" t="s">
        <v>2312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hidden="1" thickBot="1" x14ac:dyDescent="0.3">
      <c r="A157"/>
      <c r="B157"/>
      <c r="C157"/>
      <c r="D157"/>
      <c r="E157"/>
      <c r="F157" t="s">
        <v>171</v>
      </c>
      <c r="G157" t="s">
        <v>2442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2335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2335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28</v>
      </c>
      <c r="P160" s="136" t="s">
        <v>2309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2310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2441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2307</v>
      </c>
      <c r="N162" s="84"/>
      <c r="O162" s="85">
        <f t="shared" si="19"/>
        <v>28</v>
      </c>
      <c r="P162" s="136" t="s">
        <v>2308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1306</v>
      </c>
      <c r="G164" s="73" t="s">
        <v>2244</v>
      </c>
      <c r="H164" s="73" t="s">
        <v>1042</v>
      </c>
      <c r="I164" s="73" t="s">
        <v>2245</v>
      </c>
      <c r="J164" s="84" t="s">
        <v>14</v>
      </c>
      <c r="K164" s="84" t="s">
        <v>1278</v>
      </c>
      <c r="L164" s="84"/>
      <c r="M164" s="84" t="s">
        <v>2246</v>
      </c>
      <c r="N164" s="84"/>
      <c r="O164" s="131">
        <f t="shared" si="19"/>
        <v>28</v>
      </c>
      <c r="P164" s="136" t="s">
        <v>2313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2314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 t="s">
        <v>2348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16</v>
      </c>
      <c r="P166" s="136" t="s">
        <v>1757</v>
      </c>
      <c r="Q166" s="31">
        <f t="shared" si="20"/>
        <v>12</v>
      </c>
      <c r="R166" s="32">
        <f t="shared" si="21"/>
        <v>0.5714285714285714</v>
      </c>
      <c r="S166" s="70"/>
      <c r="T166" s="70"/>
      <c r="U166" s="70"/>
      <c r="V166" s="70" t="s">
        <v>2222</v>
      </c>
      <c r="W166" s="70" t="s">
        <v>2222</v>
      </c>
      <c r="X166" s="70" t="s">
        <v>2222</v>
      </c>
      <c r="Y166" s="70" t="s">
        <v>2222</v>
      </c>
      <c r="Z166" s="70" t="s">
        <v>2222</v>
      </c>
      <c r="AA166" s="70"/>
      <c r="AB166" s="70"/>
      <c r="AC166" s="70" t="s">
        <v>2222</v>
      </c>
      <c r="AD166" s="70" t="s">
        <v>2222</v>
      </c>
      <c r="AE166" s="70" t="s">
        <v>2222</v>
      </c>
      <c r="AF166" s="70" t="s">
        <v>2222</v>
      </c>
      <c r="AG166" s="70" t="s">
        <v>2222</v>
      </c>
      <c r="AH166" s="70"/>
      <c r="AI166" s="70"/>
      <c r="AJ166" s="70" t="s">
        <v>2222</v>
      </c>
      <c r="AK166" s="70" t="s">
        <v>2222</v>
      </c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2348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28</v>
      </c>
      <c r="P167" s="136" t="s">
        <v>1758</v>
      </c>
      <c r="Q167" s="31">
        <f t="shared" si="20"/>
        <v>0</v>
      </c>
      <c r="R167" s="32">
        <f t="shared" si="21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hidden="1" thickBot="1" x14ac:dyDescent="0.3">
      <c r="A168"/>
      <c r="B168"/>
      <c r="C168"/>
      <c r="D168"/>
      <c r="E168" t="s">
        <v>2348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28</v>
      </c>
      <c r="P168" s="136" t="s">
        <v>1759</v>
      </c>
      <c r="Q168" s="31">
        <f t="shared" si="20"/>
        <v>0</v>
      </c>
      <c r="R168" s="32">
        <f t="shared" si="21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2348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28</v>
      </c>
      <c r="P169" s="136" t="s">
        <v>1760</v>
      </c>
      <c r="Q169" s="31">
        <f t="shared" si="20"/>
        <v>0</v>
      </c>
      <c r="R169" s="32">
        <f t="shared" si="21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2348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28</v>
      </c>
      <c r="P170" s="136" t="s">
        <v>1761</v>
      </c>
      <c r="Q170" s="31">
        <f t="shared" si="20"/>
        <v>0</v>
      </c>
      <c r="R170" s="32">
        <f t="shared" si="21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hidden="1" thickBot="1" x14ac:dyDescent="0.3">
      <c r="A171" s="69"/>
      <c r="B171" s="69"/>
      <c r="C171" s="69"/>
      <c r="D171" s="69"/>
      <c r="E171" s="69" t="s">
        <v>2348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16</v>
      </c>
      <c r="P171" s="140" t="s">
        <v>1762</v>
      </c>
      <c r="Q171" s="139">
        <f t="shared" si="20"/>
        <v>12</v>
      </c>
      <c r="R171" s="141">
        <f t="shared" si="21"/>
        <v>0.5714285714285714</v>
      </c>
      <c r="S171" s="142"/>
      <c r="T171" s="142"/>
      <c r="U171" s="142"/>
      <c r="V171" s="70" t="s">
        <v>2222</v>
      </c>
      <c r="W171" s="70" t="s">
        <v>2222</v>
      </c>
      <c r="X171" s="70" t="s">
        <v>2222</v>
      </c>
      <c r="Y171" s="70" t="s">
        <v>2222</v>
      </c>
      <c r="Z171" s="70" t="s">
        <v>2222</v>
      </c>
      <c r="AA171" s="142"/>
      <c r="AB171" s="142"/>
      <c r="AC171" s="70" t="s">
        <v>2222</v>
      </c>
      <c r="AD171" s="70" t="s">
        <v>2222</v>
      </c>
      <c r="AE171" s="70" t="s">
        <v>2222</v>
      </c>
      <c r="AF171" s="70" t="s">
        <v>2222</v>
      </c>
      <c r="AG171" s="70" t="s">
        <v>2222</v>
      </c>
      <c r="AH171" s="70"/>
      <c r="AI171" s="70"/>
      <c r="AJ171" s="70" t="s">
        <v>2222</v>
      </c>
      <c r="AK171" s="70" t="s">
        <v>2222</v>
      </c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hidden="1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2376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 s="151" t="s">
        <v>2454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2368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hidden="1" thickBot="1" x14ac:dyDescent="0.3">
      <c r="A174"/>
      <c r="B174"/>
      <c r="C174"/>
      <c r="D174"/>
      <c r="E174" s="151" t="s">
        <v>2454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2368</v>
      </c>
      <c r="L174" s="30"/>
      <c r="M174" s="30" t="s">
        <v>1132</v>
      </c>
      <c r="N174" s="30"/>
      <c r="O174" s="31">
        <f t="shared" si="19"/>
        <v>28</v>
      </c>
      <c r="P174" s="136" t="s">
        <v>2453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ht="15.75" hidden="1" thickBot="1" x14ac:dyDescent="0.3">
      <c r="A175"/>
      <c r="B175"/>
      <c r="C175"/>
      <c r="D175"/>
      <c r="E175"/>
      <c r="F175" t="s">
        <v>178</v>
      </c>
      <c r="G175" s="30" t="s">
        <v>1149</v>
      </c>
      <c r="H175" s="30" t="s">
        <v>1042</v>
      </c>
      <c r="I175" t="s">
        <v>1127</v>
      </c>
      <c r="J175" s="30" t="s">
        <v>71</v>
      </c>
      <c r="K175" s="30" t="s">
        <v>27</v>
      </c>
      <c r="L175" s="30"/>
      <c r="M175" s="30" t="s">
        <v>1128</v>
      </c>
      <c r="N175" s="30"/>
      <c r="O175" s="31">
        <f t="shared" si="19"/>
        <v>16</v>
      </c>
      <c r="P175" s="136" t="s">
        <v>1775</v>
      </c>
      <c r="Q175" s="31">
        <f t="shared" si="20"/>
        <v>12</v>
      </c>
      <c r="R175" s="32">
        <f t="shared" si="21"/>
        <v>0.5714285714285714</v>
      </c>
      <c r="S175" s="70"/>
      <c r="T175" s="70"/>
      <c r="U175" s="70"/>
      <c r="V175" s="70" t="s">
        <v>2222</v>
      </c>
      <c r="W175" s="70" t="s">
        <v>2222</v>
      </c>
      <c r="X175" s="70" t="s">
        <v>2222</v>
      </c>
      <c r="Y175" s="70" t="s">
        <v>2222</v>
      </c>
      <c r="Z175" s="70" t="s">
        <v>2222</v>
      </c>
      <c r="AA175" s="70"/>
      <c r="AB175" s="70"/>
      <c r="AC175" s="70" t="s">
        <v>2222</v>
      </c>
      <c r="AD175" s="70" t="s">
        <v>2222</v>
      </c>
      <c r="AE175" s="70" t="s">
        <v>2222</v>
      </c>
      <c r="AF175" s="70" t="s">
        <v>2222</v>
      </c>
      <c r="AG175" s="70" t="s">
        <v>2222</v>
      </c>
      <c r="AH175" s="70"/>
      <c r="AI175" s="70"/>
      <c r="AJ175" s="70" t="s">
        <v>2222</v>
      </c>
      <c r="AK175" s="70" t="s">
        <v>2222</v>
      </c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3"/>
    </row>
    <row r="176" spans="1:49" ht="15.75" hidden="1" thickBot="1" x14ac:dyDescent="0.3">
      <c r="A176"/>
      <c r="B176"/>
      <c r="C176"/>
      <c r="D176"/>
      <c r="E176"/>
      <c r="F176" t="s">
        <v>178</v>
      </c>
      <c r="G176" s="30" t="s">
        <v>1150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1129</v>
      </c>
      <c r="N176" s="30"/>
      <c r="O176" s="31">
        <f t="shared" si="19"/>
        <v>16</v>
      </c>
      <c r="P176" s="136" t="s">
        <v>1776</v>
      </c>
      <c r="Q176" s="31">
        <f t="shared" si="20"/>
        <v>12</v>
      </c>
      <c r="R176" s="32">
        <f t="shared" si="21"/>
        <v>0.5714285714285714</v>
      </c>
      <c r="S176" s="70"/>
      <c r="T176" s="70"/>
      <c r="U176" s="70"/>
      <c r="V176" s="70" t="s">
        <v>2222</v>
      </c>
      <c r="W176" s="70" t="s">
        <v>2222</v>
      </c>
      <c r="X176" s="70" t="s">
        <v>2222</v>
      </c>
      <c r="Y176" s="70" t="s">
        <v>2222</v>
      </c>
      <c r="Z176" s="70" t="s">
        <v>2222</v>
      </c>
      <c r="AA176" s="70"/>
      <c r="AB176" s="70"/>
      <c r="AC176" s="70" t="s">
        <v>2222</v>
      </c>
      <c r="AD176" s="70" t="s">
        <v>2222</v>
      </c>
      <c r="AE176" s="70" t="s">
        <v>2222</v>
      </c>
      <c r="AF176" s="70" t="s">
        <v>2222</v>
      </c>
      <c r="AG176" s="70" t="s">
        <v>2222</v>
      </c>
      <c r="AH176" s="70"/>
      <c r="AI176" s="70"/>
      <c r="AJ176" s="70" t="s">
        <v>2222</v>
      </c>
      <c r="AK176" s="70" t="s">
        <v>2222</v>
      </c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88"/>
    </row>
    <row r="177" spans="1:49" ht="15.75" hidden="1" thickBot="1" x14ac:dyDescent="0.3">
      <c r="A177">
        <v>5</v>
      </c>
      <c r="B177">
        <v>23</v>
      </c>
      <c r="C177"/>
      <c r="D177"/>
      <c r="E177" t="s">
        <v>2336</v>
      </c>
      <c r="F177" t="s">
        <v>178</v>
      </c>
      <c r="G177" s="30" t="s">
        <v>1484</v>
      </c>
      <c r="H177" s="30" t="s">
        <v>1042</v>
      </c>
      <c r="I177" t="s">
        <v>1485</v>
      </c>
      <c r="J177" s="30" t="s">
        <v>18</v>
      </c>
      <c r="K177" s="30" t="s">
        <v>27</v>
      </c>
      <c r="L177" s="30"/>
      <c r="M177" s="30" t="s">
        <v>1486</v>
      </c>
      <c r="N177" s="30"/>
      <c r="O177" s="31">
        <f t="shared" si="19"/>
        <v>26</v>
      </c>
      <c r="P177" s="136" t="s">
        <v>2377</v>
      </c>
      <c r="Q177" s="31">
        <f t="shared" si="20"/>
        <v>2</v>
      </c>
      <c r="R177" s="32">
        <f t="shared" si="21"/>
        <v>0.9285714285714286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42"/>
      <c r="AH177" s="70"/>
      <c r="AI177" s="70"/>
      <c r="AJ177" s="70" t="s">
        <v>2222</v>
      </c>
      <c r="AK177" s="70" t="s">
        <v>2222</v>
      </c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hidden="1" thickBot="1" x14ac:dyDescent="0.3">
      <c r="A178"/>
      <c r="B178"/>
      <c r="C178"/>
      <c r="D178"/>
      <c r="E178"/>
      <c r="F178" s="73" t="s">
        <v>178</v>
      </c>
      <c r="G178" s="84" t="s">
        <v>1522</v>
      </c>
      <c r="H178" s="84" t="s">
        <v>1042</v>
      </c>
      <c r="I178" s="73" t="s">
        <v>1523</v>
      </c>
      <c r="J178" s="84" t="s">
        <v>18</v>
      </c>
      <c r="K178" s="84" t="s">
        <v>1278</v>
      </c>
      <c r="L178" s="84"/>
      <c r="M178" s="84" t="s">
        <v>1524</v>
      </c>
      <c r="N178" s="84"/>
      <c r="O178" s="31">
        <f t="shared" si="19"/>
        <v>27</v>
      </c>
      <c r="P178" s="136" t="s">
        <v>1777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 t="s">
        <v>2222</v>
      </c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178</v>
      </c>
      <c r="G179" s="84" t="s">
        <v>2247</v>
      </c>
      <c r="H179" s="84" t="s">
        <v>1042</v>
      </c>
      <c r="I179" s="73" t="s">
        <v>2248</v>
      </c>
      <c r="J179" s="84" t="s">
        <v>1093</v>
      </c>
      <c r="K179" s="84" t="s">
        <v>1278</v>
      </c>
      <c r="L179" s="84"/>
      <c r="M179" s="84" t="s">
        <v>2249</v>
      </c>
      <c r="N179" s="84"/>
      <c r="O179" s="31">
        <f t="shared" si="19"/>
        <v>28</v>
      </c>
      <c r="P179" s="136" t="s">
        <v>2378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s="73" customFormat="1" ht="15.75" hidden="1" thickBot="1" x14ac:dyDescent="0.3">
      <c r="A180">
        <v>4</v>
      </c>
      <c r="B180">
        <v>12</v>
      </c>
      <c r="C180"/>
      <c r="D180"/>
      <c r="E180" t="s">
        <v>2333</v>
      </c>
      <c r="F180" t="s">
        <v>178</v>
      </c>
      <c r="G180" t="s">
        <v>181</v>
      </c>
      <c r="H180" t="s">
        <v>1042</v>
      </c>
      <c r="I180" t="s">
        <v>182</v>
      </c>
      <c r="J180" s="30" t="s">
        <v>18</v>
      </c>
      <c r="K180" s="30" t="s">
        <v>1035</v>
      </c>
      <c r="L180" s="30"/>
      <c r="M180" s="30" t="s">
        <v>1414</v>
      </c>
      <c r="N180" s="30"/>
      <c r="O180" s="31">
        <f t="shared" si="19"/>
        <v>28</v>
      </c>
      <c r="P180" s="136" t="s">
        <v>1763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9" ht="15.75" hidden="1" thickBot="1" x14ac:dyDescent="0.3">
      <c r="A181"/>
      <c r="B181"/>
      <c r="C181"/>
      <c r="D181"/>
      <c r="E181" s="151" t="s">
        <v>2454</v>
      </c>
      <c r="F181" t="s">
        <v>183</v>
      </c>
      <c r="G181" t="s">
        <v>184</v>
      </c>
      <c r="H181" t="s">
        <v>1042</v>
      </c>
      <c r="I181" t="s">
        <v>185</v>
      </c>
      <c r="J181" s="30" t="s">
        <v>18</v>
      </c>
      <c r="K181" s="30" t="s">
        <v>1035</v>
      </c>
      <c r="L181" s="30" t="s">
        <v>445</v>
      </c>
      <c r="M181" s="30" t="s">
        <v>676</v>
      </c>
      <c r="N181" s="30"/>
      <c r="O181" s="31">
        <f t="shared" si="19"/>
        <v>28</v>
      </c>
      <c r="P181" s="136" t="s">
        <v>1764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ht="15.75" hidden="1" thickBot="1" x14ac:dyDescent="0.3">
      <c r="A182"/>
      <c r="B182"/>
      <c r="C182"/>
      <c r="D182"/>
      <c r="E182"/>
      <c r="F182" t="s">
        <v>183</v>
      </c>
      <c r="G182" t="s">
        <v>187</v>
      </c>
      <c r="H182" t="s">
        <v>1042</v>
      </c>
      <c r="I182" t="s">
        <v>188</v>
      </c>
      <c r="J182" s="30" t="s">
        <v>14</v>
      </c>
      <c r="K182" s="30" t="s">
        <v>1035</v>
      </c>
      <c r="L182" s="30" t="s">
        <v>445</v>
      </c>
      <c r="M182" s="30" t="s">
        <v>677</v>
      </c>
      <c r="N182" s="30"/>
      <c r="O182" s="31">
        <f t="shared" si="19"/>
        <v>28</v>
      </c>
      <c r="P182" s="136" t="s">
        <v>1765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88"/>
    </row>
    <row r="183" spans="1:49" ht="15.75" hidden="1" thickBot="1" x14ac:dyDescent="0.3">
      <c r="A183">
        <v>5</v>
      </c>
      <c r="B183">
        <v>23</v>
      </c>
      <c r="C183"/>
      <c r="D183"/>
      <c r="E183" t="s">
        <v>2336</v>
      </c>
      <c r="F183" t="s">
        <v>178</v>
      </c>
      <c r="G183" t="s">
        <v>189</v>
      </c>
      <c r="H183" t="s">
        <v>1042</v>
      </c>
      <c r="I183" t="s">
        <v>190</v>
      </c>
      <c r="J183" s="30" t="s">
        <v>18</v>
      </c>
      <c r="K183" s="30" t="s">
        <v>27</v>
      </c>
      <c r="L183" s="30"/>
      <c r="M183" s="30" t="s">
        <v>678</v>
      </c>
      <c r="N183" s="30"/>
      <c r="O183" s="31">
        <f t="shared" si="19"/>
        <v>28</v>
      </c>
      <c r="P183" s="136" t="s">
        <v>1766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3"/>
    </row>
    <row r="184" spans="1:49" ht="15.75" hidden="1" thickBot="1" x14ac:dyDescent="0.3">
      <c r="A184">
        <v>5</v>
      </c>
      <c r="B184">
        <v>23</v>
      </c>
      <c r="C184"/>
      <c r="D184"/>
      <c r="E184" t="s">
        <v>2336</v>
      </c>
      <c r="F184" t="s">
        <v>178</v>
      </c>
      <c r="G184" t="s">
        <v>191</v>
      </c>
      <c r="H184" t="s">
        <v>1042</v>
      </c>
      <c r="I184" t="s">
        <v>192</v>
      </c>
      <c r="J184" s="30" t="s">
        <v>18</v>
      </c>
      <c r="K184" s="30" t="s">
        <v>27</v>
      </c>
      <c r="L184" s="30"/>
      <c r="M184" s="30" t="s">
        <v>679</v>
      </c>
      <c r="N184" s="30"/>
      <c r="O184" s="31">
        <f t="shared" si="19"/>
        <v>28</v>
      </c>
      <c r="P184" s="136" t="s">
        <v>1767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/>
      <c r="B185"/>
      <c r="C185"/>
      <c r="D185"/>
      <c r="E185"/>
      <c r="F185" s="73" t="s">
        <v>178</v>
      </c>
      <c r="G185" s="73" t="s">
        <v>193</v>
      </c>
      <c r="H185" s="73" t="s">
        <v>1042</v>
      </c>
      <c r="I185" s="73" t="s">
        <v>194</v>
      </c>
      <c r="J185" s="84" t="s">
        <v>18</v>
      </c>
      <c r="K185" s="84" t="s">
        <v>1278</v>
      </c>
      <c r="L185" s="84"/>
      <c r="M185" s="84" t="s">
        <v>1405</v>
      </c>
      <c r="N185" s="84"/>
      <c r="O185" s="131">
        <f t="shared" ref="O185:O205" si="22">COUNTIF(S185:AT185,"")</f>
        <v>27</v>
      </c>
      <c r="P185" s="136" t="s">
        <v>1768</v>
      </c>
      <c r="Q185" s="131">
        <f t="shared" ref="Q185:Q205" si="23">COUNTIF(S185:AT185,"APAGADO")</f>
        <v>1</v>
      </c>
      <c r="R185" s="132">
        <f t="shared" ref="R185:R205" si="24">(O185)/(Q185+O185)</f>
        <v>0.9642857142857143</v>
      </c>
      <c r="S185" s="70"/>
      <c r="T185" s="70"/>
      <c r="U185" s="70"/>
      <c r="V185" s="70"/>
      <c r="W185" s="70"/>
      <c r="X185" s="70"/>
      <c r="Y185" s="70" t="s">
        <v>2222</v>
      </c>
      <c r="Z185" s="70"/>
      <c r="AA185" s="70"/>
      <c r="AB185" s="70"/>
      <c r="AC185" s="70"/>
      <c r="AD185" s="70"/>
      <c r="AE185" s="70"/>
      <c r="AF185" s="70"/>
      <c r="AG185" s="142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 s="151" t="s">
        <v>2454</v>
      </c>
      <c r="F186" t="s">
        <v>178</v>
      </c>
      <c r="G186" t="s">
        <v>929</v>
      </c>
      <c r="H186" t="s">
        <v>1042</v>
      </c>
      <c r="I186" t="s">
        <v>179</v>
      </c>
      <c r="J186" s="30" t="s">
        <v>14</v>
      </c>
      <c r="K186" s="30" t="s">
        <v>1035</v>
      </c>
      <c r="L186" s="30" t="s">
        <v>445</v>
      </c>
      <c r="M186" s="30" t="s">
        <v>680</v>
      </c>
      <c r="N186" s="30"/>
      <c r="O186" s="31">
        <f t="shared" si="22"/>
        <v>28</v>
      </c>
      <c r="P186" s="136" t="s">
        <v>1769</v>
      </c>
      <c r="Q186" s="31">
        <f t="shared" si="23"/>
        <v>0</v>
      </c>
      <c r="R186" s="32">
        <f t="shared" si="24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>
        <v>4</v>
      </c>
      <c r="B187">
        <v>12</v>
      </c>
      <c r="C187"/>
      <c r="D187"/>
      <c r="E187" t="s">
        <v>2333</v>
      </c>
      <c r="F187" t="s">
        <v>178</v>
      </c>
      <c r="G187" t="s">
        <v>195</v>
      </c>
      <c r="H187" t="s">
        <v>1042</v>
      </c>
      <c r="I187" t="s">
        <v>196</v>
      </c>
      <c r="J187" s="30" t="s">
        <v>71</v>
      </c>
      <c r="K187" s="30" t="s">
        <v>27</v>
      </c>
      <c r="L187" s="30"/>
      <c r="M187" s="30" t="s">
        <v>682</v>
      </c>
      <c r="N187" s="30"/>
      <c r="O187" s="31">
        <f t="shared" si="22"/>
        <v>28</v>
      </c>
      <c r="P187" s="136" t="s">
        <v>1770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2333</v>
      </c>
      <c r="F188" t="s">
        <v>178</v>
      </c>
      <c r="G188" t="s">
        <v>197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683</v>
      </c>
      <c r="N188" s="30"/>
      <c r="O188" s="31">
        <f t="shared" si="22"/>
        <v>28</v>
      </c>
      <c r="P188" s="136" t="s">
        <v>1771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/>
      <c r="B189"/>
      <c r="C189"/>
      <c r="D189"/>
      <c r="E189" s="151" t="s">
        <v>2454</v>
      </c>
      <c r="F189" t="s">
        <v>178</v>
      </c>
      <c r="G189" t="s">
        <v>198</v>
      </c>
      <c r="H189" t="s">
        <v>1042</v>
      </c>
      <c r="I189" t="s">
        <v>199</v>
      </c>
      <c r="J189" s="30" t="s">
        <v>71</v>
      </c>
      <c r="K189" s="30" t="s">
        <v>2368</v>
      </c>
      <c r="L189" s="30"/>
      <c r="M189" s="30" t="s">
        <v>658</v>
      </c>
      <c r="N189" s="30"/>
      <c r="O189" s="31">
        <f t="shared" si="22"/>
        <v>28</v>
      </c>
      <c r="P189" s="136" t="s">
        <v>1772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9" ht="15.75" hidden="1" thickBot="1" x14ac:dyDescent="0.3">
      <c r="A190"/>
      <c r="B190"/>
      <c r="C190"/>
      <c r="D190"/>
      <c r="E190" s="151" t="s">
        <v>2454</v>
      </c>
      <c r="F190" t="s">
        <v>178</v>
      </c>
      <c r="G190" t="s">
        <v>200</v>
      </c>
      <c r="H190" t="s">
        <v>1042</v>
      </c>
      <c r="I190" t="s">
        <v>199</v>
      </c>
      <c r="J190" s="30" t="s">
        <v>71</v>
      </c>
      <c r="K190" s="30" t="s">
        <v>2368</v>
      </c>
      <c r="L190" s="30"/>
      <c r="M190" s="30" t="s">
        <v>659</v>
      </c>
      <c r="N190" s="30"/>
      <c r="O190" s="31">
        <f t="shared" si="22"/>
        <v>28</v>
      </c>
      <c r="P190" s="136" t="s">
        <v>1773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hidden="1" thickBot="1" x14ac:dyDescent="0.3">
      <c r="A191"/>
      <c r="B191"/>
      <c r="C191"/>
      <c r="D191"/>
      <c r="E191"/>
      <c r="F191" s="73" t="s">
        <v>178</v>
      </c>
      <c r="G191" s="84" t="s">
        <v>2121</v>
      </c>
      <c r="H191" s="84" t="s">
        <v>1042</v>
      </c>
      <c r="I191" s="73" t="s">
        <v>2122</v>
      </c>
      <c r="J191" s="84" t="s">
        <v>18</v>
      </c>
      <c r="K191" s="84" t="s">
        <v>1278</v>
      </c>
      <c r="L191" s="84"/>
      <c r="M191" s="84" t="s">
        <v>2123</v>
      </c>
      <c r="N191" s="84"/>
      <c r="O191" s="31">
        <f t="shared" si="22"/>
        <v>28</v>
      </c>
      <c r="P191" s="136" t="s">
        <v>2124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s="73" customFormat="1" ht="15.75" hidden="1" thickBot="1" x14ac:dyDescent="0.3">
      <c r="A192">
        <v>4</v>
      </c>
      <c r="B192">
        <v>12</v>
      </c>
      <c r="C192"/>
      <c r="D192"/>
      <c r="E192" t="s">
        <v>2333</v>
      </c>
      <c r="F192" s="73" t="s">
        <v>178</v>
      </c>
      <c r="G192" s="84" t="s">
        <v>2178</v>
      </c>
      <c r="H192" s="84" t="s">
        <v>1042</v>
      </c>
      <c r="I192" s="73" t="s">
        <v>2179</v>
      </c>
      <c r="J192" s="84" t="s">
        <v>18</v>
      </c>
      <c r="K192" s="84" t="s">
        <v>27</v>
      </c>
      <c r="L192" s="84"/>
      <c r="M192" s="84" t="s">
        <v>2276</v>
      </c>
      <c r="N192" s="84"/>
      <c r="O192" s="31">
        <f t="shared" si="22"/>
        <v>28</v>
      </c>
      <c r="P192" s="136" t="s">
        <v>2124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/>
      <c r="B193"/>
      <c r="C193"/>
      <c r="D193"/>
      <c r="E193"/>
      <c r="G193" s="84" t="s">
        <v>2223</v>
      </c>
      <c r="H193" s="84" t="s">
        <v>1042</v>
      </c>
      <c r="I193" s="73" t="s">
        <v>1505</v>
      </c>
      <c r="J193" s="84" t="s">
        <v>1093</v>
      </c>
      <c r="K193" s="84" t="s">
        <v>1278</v>
      </c>
      <c r="L193" s="84"/>
      <c r="M193" s="84" t="s">
        <v>1506</v>
      </c>
      <c r="N193" s="84"/>
      <c r="O193" s="31">
        <f t="shared" si="22"/>
        <v>28</v>
      </c>
      <c r="P193" s="136" t="s">
        <v>1778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/>
    </row>
    <row r="194" spans="1:49" s="73" customFormat="1" ht="15.75" hidden="1" thickBot="1" x14ac:dyDescent="0.3">
      <c r="A194"/>
      <c r="B194"/>
      <c r="C194"/>
      <c r="D194"/>
      <c r="E194" t="s">
        <v>2348</v>
      </c>
      <c r="F194" t="s">
        <v>201</v>
      </c>
      <c r="G194" t="s">
        <v>930</v>
      </c>
      <c r="H194" t="s">
        <v>1042</v>
      </c>
      <c r="I194" t="s">
        <v>202</v>
      </c>
      <c r="J194" s="30" t="s">
        <v>14</v>
      </c>
      <c r="K194" s="30" t="s">
        <v>27</v>
      </c>
      <c r="L194" s="30"/>
      <c r="M194" s="30" t="s">
        <v>685</v>
      </c>
      <c r="N194" s="30"/>
      <c r="O194" s="31">
        <f t="shared" si="22"/>
        <v>28</v>
      </c>
      <c r="P194" s="136" t="s">
        <v>1779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2348</v>
      </c>
      <c r="F195" t="s">
        <v>201</v>
      </c>
      <c r="G195" t="s">
        <v>931</v>
      </c>
      <c r="H195" t="s">
        <v>1042</v>
      </c>
      <c r="I195" t="s">
        <v>203</v>
      </c>
      <c r="J195" s="30" t="s">
        <v>14</v>
      </c>
      <c r="K195" s="30" t="s">
        <v>27</v>
      </c>
      <c r="L195" s="30"/>
      <c r="M195" s="30" t="s">
        <v>686</v>
      </c>
      <c r="N195" s="30"/>
      <c r="O195" s="31">
        <f t="shared" si="22"/>
        <v>28</v>
      </c>
      <c r="P195" s="136" t="s">
        <v>1780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9" s="73" customFormat="1" ht="15.75" hidden="1" thickBot="1" x14ac:dyDescent="0.3">
      <c r="A196" s="69"/>
      <c r="B196" s="69"/>
      <c r="C196" s="69"/>
      <c r="D196" s="69"/>
      <c r="E196" s="152" t="s">
        <v>2461</v>
      </c>
      <c r="F196" s="69" t="s">
        <v>204</v>
      </c>
      <c r="G196" s="69" t="s">
        <v>932</v>
      </c>
      <c r="H196" s="69" t="s">
        <v>1042</v>
      </c>
      <c r="I196" s="69" t="s">
        <v>205</v>
      </c>
      <c r="J196" s="137" t="s">
        <v>18</v>
      </c>
      <c r="K196" s="137" t="s">
        <v>1278</v>
      </c>
      <c r="L196" s="137"/>
      <c r="M196" s="137" t="s">
        <v>687</v>
      </c>
      <c r="N196" s="137"/>
      <c r="O196" s="139">
        <f t="shared" si="22"/>
        <v>16</v>
      </c>
      <c r="P196" s="140"/>
      <c r="Q196" s="139">
        <f t="shared" si="23"/>
        <v>12</v>
      </c>
      <c r="R196" s="141">
        <f t="shared" si="24"/>
        <v>0.5714285714285714</v>
      </c>
      <c r="S196" s="142"/>
      <c r="T196" s="142"/>
      <c r="U196" s="142"/>
      <c r="V196" s="70" t="s">
        <v>2222</v>
      </c>
      <c r="W196" s="70" t="s">
        <v>2222</v>
      </c>
      <c r="X196" s="70" t="s">
        <v>2222</v>
      </c>
      <c r="Y196" s="70" t="s">
        <v>2222</v>
      </c>
      <c r="Z196" s="70" t="s">
        <v>2222</v>
      </c>
      <c r="AA196" s="142"/>
      <c r="AB196" s="142"/>
      <c r="AC196" s="70" t="s">
        <v>2222</v>
      </c>
      <c r="AD196" s="70" t="s">
        <v>2222</v>
      </c>
      <c r="AE196" s="70" t="s">
        <v>2222</v>
      </c>
      <c r="AF196" s="70" t="s">
        <v>2222</v>
      </c>
      <c r="AG196" s="70" t="s">
        <v>2222</v>
      </c>
      <c r="AH196" s="70"/>
      <c r="AI196" s="70"/>
      <c r="AJ196" s="70" t="s">
        <v>2222</v>
      </c>
      <c r="AK196" s="70" t="s">
        <v>2222</v>
      </c>
      <c r="AL196" s="70"/>
      <c r="AM196" s="70"/>
      <c r="AN196" s="70"/>
      <c r="AO196" s="70"/>
      <c r="AP196" s="70"/>
      <c r="AQ196" s="142"/>
      <c r="AR196" s="70"/>
      <c r="AS196" s="70"/>
      <c r="AT196" s="70"/>
      <c r="AU196" s="70"/>
      <c r="AV196" s="70"/>
      <c r="AW196" s="69"/>
    </row>
    <row r="197" spans="1:49" ht="15.75" hidden="1" thickBot="1" x14ac:dyDescent="0.3">
      <c r="A197"/>
      <c r="B197"/>
      <c r="C197"/>
      <c r="D197"/>
      <c r="E197"/>
      <c r="F197" s="73" t="s">
        <v>206</v>
      </c>
      <c r="G197" s="73" t="s">
        <v>207</v>
      </c>
      <c r="H197" s="73" t="s">
        <v>1041</v>
      </c>
      <c r="I197" s="73" t="s">
        <v>208</v>
      </c>
      <c r="J197" s="84" t="s">
        <v>14</v>
      </c>
      <c r="K197" s="84" t="s">
        <v>1278</v>
      </c>
      <c r="L197" s="84"/>
      <c r="M197" s="84" t="s">
        <v>1560</v>
      </c>
      <c r="N197" s="84"/>
      <c r="O197" s="131">
        <f t="shared" si="22"/>
        <v>27</v>
      </c>
      <c r="P197" s="136" t="s">
        <v>1786</v>
      </c>
      <c r="Q197" s="131">
        <f t="shared" si="23"/>
        <v>1</v>
      </c>
      <c r="R197" s="132">
        <f t="shared" si="24"/>
        <v>0.9642857142857143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 t="s">
        <v>2222</v>
      </c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ht="15.75" hidden="1" thickBot="1" x14ac:dyDescent="0.3">
      <c r="A198"/>
      <c r="B198"/>
      <c r="C198"/>
      <c r="D198"/>
      <c r="E198"/>
      <c r="F198" s="73" t="s">
        <v>206</v>
      </c>
      <c r="G198" s="73" t="s">
        <v>211</v>
      </c>
      <c r="H198" s="73" t="s">
        <v>1041</v>
      </c>
      <c r="I198" s="73" t="s">
        <v>212</v>
      </c>
      <c r="J198" s="84" t="s">
        <v>14</v>
      </c>
      <c r="K198" s="84" t="s">
        <v>1278</v>
      </c>
      <c r="L198" s="84"/>
      <c r="M198" s="84" t="s">
        <v>1381</v>
      </c>
      <c r="N198" s="84"/>
      <c r="O198" s="131">
        <f t="shared" si="22"/>
        <v>28</v>
      </c>
      <c r="P198" s="136" t="s">
        <v>1789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s="69" customFormat="1" ht="15.75" hidden="1" thickBot="1" x14ac:dyDescent="0.3">
      <c r="A199"/>
      <c r="B199"/>
      <c r="C199"/>
      <c r="D199"/>
      <c r="E199" t="s">
        <v>1226</v>
      </c>
      <c r="F199" t="s">
        <v>206</v>
      </c>
      <c r="G199" t="s">
        <v>213</v>
      </c>
      <c r="H199" t="s">
        <v>1041</v>
      </c>
      <c r="I199" t="s">
        <v>214</v>
      </c>
      <c r="J199" s="30" t="s">
        <v>71</v>
      </c>
      <c r="K199" s="30" t="s">
        <v>1035</v>
      </c>
      <c r="L199" s="30" t="s">
        <v>1226</v>
      </c>
      <c r="M199" s="30" t="s">
        <v>689</v>
      </c>
      <c r="N199" s="30"/>
      <c r="O199" s="31">
        <f t="shared" si="22"/>
        <v>28</v>
      </c>
      <c r="P199" s="136" t="s">
        <v>1791</v>
      </c>
      <c r="Q199" s="31">
        <f t="shared" si="23"/>
        <v>0</v>
      </c>
      <c r="R199" s="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/>
    </row>
    <row r="200" spans="1:49" s="73" customFormat="1" ht="15.75" hidden="1" thickBot="1" x14ac:dyDescent="0.3">
      <c r="A200"/>
      <c r="B200"/>
      <c r="C200"/>
      <c r="D200"/>
      <c r="E200" t="s">
        <v>1226</v>
      </c>
      <c r="F200" t="s">
        <v>206</v>
      </c>
      <c r="G200" t="s">
        <v>215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690</v>
      </c>
      <c r="N200" s="30"/>
      <c r="O200" s="31">
        <f t="shared" si="22"/>
        <v>28</v>
      </c>
      <c r="P200" s="136" t="s">
        <v>1792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>
        <v>12</v>
      </c>
      <c r="B201">
        <v>45</v>
      </c>
      <c r="C201"/>
      <c r="D201"/>
      <c r="E201" t="s">
        <v>1226</v>
      </c>
      <c r="F201" t="s">
        <v>206</v>
      </c>
      <c r="G201" t="s">
        <v>933</v>
      </c>
      <c r="H201" t="s">
        <v>1041</v>
      </c>
      <c r="I201" t="s">
        <v>231</v>
      </c>
      <c r="J201" s="30" t="s">
        <v>71</v>
      </c>
      <c r="K201" s="30" t="s">
        <v>1035</v>
      </c>
      <c r="L201" s="30" t="s">
        <v>1226</v>
      </c>
      <c r="M201" s="30" t="s">
        <v>691</v>
      </c>
      <c r="N201" s="30"/>
      <c r="O201" s="31">
        <f t="shared" si="22"/>
        <v>28</v>
      </c>
      <c r="P201" s="136" t="s">
        <v>1793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9" ht="15.75" hidden="1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934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692</v>
      </c>
      <c r="N202" s="30"/>
      <c r="O202" s="31">
        <f t="shared" si="22"/>
        <v>28</v>
      </c>
      <c r="P202" s="136" t="s">
        <v>1794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935</v>
      </c>
      <c r="H203" t="s">
        <v>1041</v>
      </c>
      <c r="I203" t="s">
        <v>232</v>
      </c>
      <c r="J203" s="30" t="s">
        <v>71</v>
      </c>
      <c r="K203" s="30" t="s">
        <v>1035</v>
      </c>
      <c r="L203" s="30" t="s">
        <v>1226</v>
      </c>
      <c r="M203" s="30" t="s">
        <v>693</v>
      </c>
      <c r="N203" s="30"/>
      <c r="O203" s="31">
        <f t="shared" si="22"/>
        <v>28</v>
      </c>
      <c r="P203" s="136" t="s">
        <v>1795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69"/>
    </row>
    <row r="204" spans="1:49" ht="15.75" hidden="1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936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694</v>
      </c>
      <c r="N204" s="30"/>
      <c r="O204" s="31">
        <f t="shared" si="22"/>
        <v>28</v>
      </c>
      <c r="P204" s="136" t="s">
        <v>1655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/>
      <c r="B205"/>
      <c r="C205"/>
      <c r="D205"/>
      <c r="E205" s="151" t="s">
        <v>2438</v>
      </c>
      <c r="F205" s="73" t="s">
        <v>206</v>
      </c>
      <c r="G205" s="73" t="s">
        <v>1207</v>
      </c>
      <c r="H205" s="73" t="s">
        <v>1041</v>
      </c>
      <c r="I205" s="73" t="s">
        <v>1206</v>
      </c>
      <c r="J205" s="73" t="s">
        <v>18</v>
      </c>
      <c r="K205" s="73" t="s">
        <v>1278</v>
      </c>
      <c r="L205" s="73"/>
      <c r="M205" s="84" t="s">
        <v>1216</v>
      </c>
      <c r="N205" s="84"/>
      <c r="O205" s="131">
        <f t="shared" si="22"/>
        <v>16</v>
      </c>
      <c r="P205" s="136" t="s">
        <v>1796</v>
      </c>
      <c r="Q205" s="131">
        <f t="shared" si="23"/>
        <v>12</v>
      </c>
      <c r="R205" s="132">
        <f t="shared" si="24"/>
        <v>0.5714285714285714</v>
      </c>
      <c r="S205" s="70"/>
      <c r="T205" s="70"/>
      <c r="U205" s="70"/>
      <c r="V205" s="70" t="s">
        <v>2222</v>
      </c>
      <c r="W205" s="70" t="s">
        <v>2222</v>
      </c>
      <c r="X205" s="70" t="s">
        <v>2222</v>
      </c>
      <c r="Y205" s="70" t="s">
        <v>2222</v>
      </c>
      <c r="Z205" s="70" t="s">
        <v>2222</v>
      </c>
      <c r="AA205" s="70"/>
      <c r="AB205" s="70"/>
      <c r="AC205" s="70" t="s">
        <v>2222</v>
      </c>
      <c r="AD205" s="70" t="s">
        <v>2222</v>
      </c>
      <c r="AE205" s="70" t="s">
        <v>2222</v>
      </c>
      <c r="AF205" s="70" t="s">
        <v>2222</v>
      </c>
      <c r="AG205" s="70" t="s">
        <v>2222</v>
      </c>
      <c r="AH205" s="70"/>
      <c r="AI205" s="70"/>
      <c r="AJ205" s="70" t="s">
        <v>2222</v>
      </c>
      <c r="AK205" s="70" t="s">
        <v>2222</v>
      </c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</row>
    <row r="206" spans="1:49" s="73" customFormat="1" ht="15.75" hidden="1" thickBot="1" x14ac:dyDescent="0.3">
      <c r="A206"/>
      <c r="B206"/>
      <c r="C206"/>
      <c r="D206"/>
      <c r="E206" s="151" t="s">
        <v>2438</v>
      </c>
      <c r="G206" s="73" t="s">
        <v>2350</v>
      </c>
      <c r="H206" s="73" t="s">
        <v>1041</v>
      </c>
      <c r="I206" s="73" t="s">
        <v>2352</v>
      </c>
      <c r="J206" s="84"/>
      <c r="K206" s="84" t="s">
        <v>1278</v>
      </c>
      <c r="M206" s="84" t="s">
        <v>2351</v>
      </c>
      <c r="N206" s="84"/>
      <c r="O206" s="131"/>
      <c r="P206" s="136" t="s">
        <v>2353</v>
      </c>
      <c r="Q206" s="131"/>
      <c r="R206" s="132"/>
      <c r="S206" s="70"/>
      <c r="T206" s="70"/>
      <c r="U206" s="70"/>
      <c r="V206" s="70" t="s">
        <v>2222</v>
      </c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/>
    </row>
    <row r="207" spans="1:49" ht="15.75" hidden="1" thickBot="1" x14ac:dyDescent="0.3">
      <c r="A207"/>
      <c r="B207"/>
      <c r="C207"/>
      <c r="D207"/>
      <c r="E207" s="151" t="s">
        <v>2438</v>
      </c>
      <c r="F207" s="73" t="s">
        <v>216</v>
      </c>
      <c r="G207" s="73" t="s">
        <v>217</v>
      </c>
      <c r="H207" s="73" t="s">
        <v>1041</v>
      </c>
      <c r="I207" s="73" t="s">
        <v>218</v>
      </c>
      <c r="J207" s="84" t="s">
        <v>14</v>
      </c>
      <c r="K207" s="84" t="s">
        <v>1278</v>
      </c>
      <c r="L207" s="84"/>
      <c r="M207" s="84" t="s">
        <v>1367</v>
      </c>
      <c r="N207" s="84"/>
      <c r="O207" s="131">
        <f t="shared" ref="O207:O238" si="25">COUNTIF(S207:AT207,"")</f>
        <v>28</v>
      </c>
      <c r="P207" s="136" t="s">
        <v>1781</v>
      </c>
      <c r="Q207" s="131">
        <f t="shared" ref="Q207:Q238" si="26">COUNTIF(S207:AT207,"APAGADO")</f>
        <v>0</v>
      </c>
      <c r="R207" s="132">
        <f t="shared" ref="R207:R238" si="27">(O207)/(Q207+O207)</f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ht="15.75" hidden="1" thickBot="1" x14ac:dyDescent="0.3">
      <c r="A208"/>
      <c r="B208"/>
      <c r="C208"/>
      <c r="D208"/>
      <c r="E208" s="151" t="s">
        <v>2438</v>
      </c>
      <c r="F208" s="73" t="s">
        <v>158</v>
      </c>
      <c r="G208" s="73" t="s">
        <v>219</v>
      </c>
      <c r="H208" s="73" t="s">
        <v>1041</v>
      </c>
      <c r="I208" s="73" t="s">
        <v>220</v>
      </c>
      <c r="J208" s="84" t="s">
        <v>18</v>
      </c>
      <c r="K208" s="84" t="s">
        <v>1278</v>
      </c>
      <c r="L208" s="84"/>
      <c r="M208" s="84" t="s">
        <v>1402</v>
      </c>
      <c r="N208" s="84"/>
      <c r="O208" s="131">
        <f t="shared" si="25"/>
        <v>28</v>
      </c>
      <c r="P208" s="136" t="s">
        <v>1782</v>
      </c>
      <c r="Q208" s="131">
        <f t="shared" si="26"/>
        <v>0</v>
      </c>
      <c r="R208" s="132">
        <f t="shared" si="27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s="73" customFormat="1" ht="15.75" hidden="1" thickBot="1" x14ac:dyDescent="0.3">
      <c r="A209"/>
      <c r="B209"/>
      <c r="C209"/>
      <c r="D209"/>
      <c r="E209" s="151" t="s">
        <v>2438</v>
      </c>
      <c r="F209" t="s">
        <v>206</v>
      </c>
      <c r="G209" t="s">
        <v>221</v>
      </c>
      <c r="H209" t="s">
        <v>1041</v>
      </c>
      <c r="I209" t="s">
        <v>222</v>
      </c>
      <c r="J209" s="30" t="s">
        <v>18</v>
      </c>
      <c r="K209" s="30" t="s">
        <v>1035</v>
      </c>
      <c r="L209" s="30"/>
      <c r="M209" s="30" t="s">
        <v>1384</v>
      </c>
      <c r="N209" s="30"/>
      <c r="O209" s="31">
        <f t="shared" si="25"/>
        <v>26</v>
      </c>
      <c r="P209" s="136" t="s">
        <v>1783</v>
      </c>
      <c r="Q209" s="31">
        <f t="shared" si="26"/>
        <v>2</v>
      </c>
      <c r="R209" s="32">
        <f t="shared" si="27"/>
        <v>0.9285714285714286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 t="s">
        <v>2222</v>
      </c>
      <c r="AG209" s="70" t="s">
        <v>2222</v>
      </c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69"/>
    </row>
    <row r="210" spans="1:49" ht="15.75" hidden="1" thickBot="1" x14ac:dyDescent="0.3">
      <c r="A210">
        <v>12</v>
      </c>
      <c r="B210" t="s">
        <v>2375</v>
      </c>
      <c r="C210"/>
      <c r="D210"/>
      <c r="E210" t="s">
        <v>1226</v>
      </c>
      <c r="F210" t="s">
        <v>206</v>
      </c>
      <c r="G210" t="s">
        <v>223</v>
      </c>
      <c r="H210" t="s">
        <v>1041</v>
      </c>
      <c r="I210" t="s">
        <v>224</v>
      </c>
      <c r="J210" s="30" t="s">
        <v>18</v>
      </c>
      <c r="K210" s="30" t="s">
        <v>1035</v>
      </c>
      <c r="L210" s="30"/>
      <c r="M210" s="30" t="s">
        <v>2277</v>
      </c>
      <c r="N210" s="30"/>
      <c r="O210" s="31">
        <f t="shared" si="25"/>
        <v>28</v>
      </c>
      <c r="P210" s="136" t="s">
        <v>1784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29"/>
      <c r="AW210" s="69"/>
    </row>
    <row r="211" spans="1:49" ht="15.75" hidden="1" thickBot="1" x14ac:dyDescent="0.3">
      <c r="A211">
        <v>12</v>
      </c>
      <c r="B211" t="s">
        <v>2374</v>
      </c>
      <c r="C211"/>
      <c r="D211"/>
      <c r="E211" t="s">
        <v>2373</v>
      </c>
      <c r="F211" t="s">
        <v>206</v>
      </c>
      <c r="G211" t="s">
        <v>225</v>
      </c>
      <c r="H211" t="s">
        <v>1041</v>
      </c>
      <c r="I211" t="s">
        <v>226</v>
      </c>
      <c r="J211" s="30" t="s">
        <v>18</v>
      </c>
      <c r="K211" s="30" t="s">
        <v>1035</v>
      </c>
      <c r="L211" s="30"/>
      <c r="M211" s="30" t="s">
        <v>2278</v>
      </c>
      <c r="N211" s="30"/>
      <c r="O211" s="31">
        <f t="shared" si="25"/>
        <v>23</v>
      </c>
      <c r="P211" s="136" t="s">
        <v>1785</v>
      </c>
      <c r="Q211" s="31">
        <f t="shared" si="26"/>
        <v>5</v>
      </c>
      <c r="R211" s="32">
        <f t="shared" si="27"/>
        <v>0.8214285714285714</v>
      </c>
      <c r="S211" s="70"/>
      <c r="T211" s="70"/>
      <c r="U211" s="70"/>
      <c r="V211" s="70" t="s">
        <v>2222</v>
      </c>
      <c r="W211" s="70" t="s">
        <v>2222</v>
      </c>
      <c r="X211" s="70" t="s">
        <v>2222</v>
      </c>
      <c r="Y211" s="70" t="s">
        <v>2222</v>
      </c>
      <c r="Z211" s="70" t="s">
        <v>2222</v>
      </c>
      <c r="AA211" s="70"/>
      <c r="AB211" s="70"/>
      <c r="AC211" s="70"/>
      <c r="AD211" s="70"/>
      <c r="AE211" s="70"/>
      <c r="AF211" s="70"/>
      <c r="AG211" s="142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9" ht="15.75" hidden="1" thickBot="1" x14ac:dyDescent="0.3">
      <c r="A212"/>
      <c r="B212"/>
      <c r="C212"/>
      <c r="D212"/>
      <c r="E212" s="151" t="s">
        <v>2438</v>
      </c>
      <c r="F212" t="s">
        <v>206</v>
      </c>
      <c r="G212" t="s">
        <v>227</v>
      </c>
      <c r="H212" t="s">
        <v>1041</v>
      </c>
      <c r="I212" t="s">
        <v>228</v>
      </c>
      <c r="J212" s="30" t="s">
        <v>14</v>
      </c>
      <c r="K212" s="30" t="s">
        <v>1278</v>
      </c>
      <c r="L212" s="30"/>
      <c r="M212" s="30" t="s">
        <v>2263</v>
      </c>
      <c r="N212" s="30"/>
      <c r="O212" s="31">
        <f t="shared" si="25"/>
        <v>28</v>
      </c>
      <c r="P212" s="136" t="s">
        <v>2379</v>
      </c>
      <c r="Q212" s="31">
        <f t="shared" si="26"/>
        <v>0</v>
      </c>
      <c r="R212" s="32">
        <f t="shared" si="27"/>
        <v>1</v>
      </c>
      <c r="S212" s="70"/>
      <c r="T212" s="138"/>
      <c r="U212" s="138"/>
      <c r="V212" s="138"/>
      <c r="W212" s="138"/>
      <c r="X212" s="70"/>
      <c r="Y212" s="70"/>
      <c r="Z212" s="70"/>
      <c r="AA212" s="138"/>
      <c r="AB212" s="138"/>
      <c r="AC212" s="138"/>
      <c r="AD212" s="138"/>
      <c r="AE212" s="70"/>
      <c r="AF212" s="70"/>
      <c r="AG212" s="142"/>
      <c r="AH212" s="70"/>
      <c r="AI212" s="70"/>
      <c r="AJ212" s="138"/>
      <c r="AK212" s="138"/>
      <c r="AL212" s="70"/>
      <c r="AM212" s="70"/>
      <c r="AN212" s="70"/>
      <c r="AO212" s="138"/>
      <c r="AP212" s="138"/>
      <c r="AQ212" s="138"/>
      <c r="AR212" s="138"/>
      <c r="AS212" s="138"/>
      <c r="AT212" s="138"/>
      <c r="AU212" s="138"/>
      <c r="AV212" s="129"/>
    </row>
    <row r="213" spans="1:49" ht="15.75" hidden="1" thickBot="1" x14ac:dyDescent="0.3">
      <c r="E213" s="151" t="s">
        <v>2438</v>
      </c>
      <c r="F213" t="s">
        <v>206</v>
      </c>
      <c r="G213" t="s">
        <v>937</v>
      </c>
      <c r="H213" t="s">
        <v>1041</v>
      </c>
      <c r="I213" t="s">
        <v>209</v>
      </c>
      <c r="J213" s="30" t="s">
        <v>14</v>
      </c>
      <c r="K213" s="30" t="s">
        <v>1278</v>
      </c>
      <c r="L213" s="30"/>
      <c r="M213" s="30" t="s">
        <v>1382</v>
      </c>
      <c r="N213" s="30"/>
      <c r="O213" s="31">
        <f t="shared" si="25"/>
        <v>18</v>
      </c>
      <c r="P213" s="136" t="s">
        <v>1787</v>
      </c>
      <c r="Q213" s="31">
        <f t="shared" si="26"/>
        <v>10</v>
      </c>
      <c r="R213" s="32">
        <f t="shared" si="27"/>
        <v>0.6428571428571429</v>
      </c>
      <c r="S213" s="70"/>
      <c r="T213" s="70"/>
      <c r="U213" s="70"/>
      <c r="V213" s="70" t="s">
        <v>2222</v>
      </c>
      <c r="W213" s="70" t="s">
        <v>2222</v>
      </c>
      <c r="X213" s="70" t="s">
        <v>2222</v>
      </c>
      <c r="Y213" s="70" t="s">
        <v>2222</v>
      </c>
      <c r="Z213" s="70" t="s">
        <v>2222</v>
      </c>
      <c r="AA213" s="70"/>
      <c r="AB213" s="70"/>
      <c r="AC213" s="70" t="s">
        <v>2222</v>
      </c>
      <c r="AD213" s="70" t="s">
        <v>2222</v>
      </c>
      <c r="AE213" s="70" t="s">
        <v>2222</v>
      </c>
      <c r="AF213" s="70" t="s">
        <v>2222</v>
      </c>
      <c r="AG213" s="70" t="s">
        <v>2222</v>
      </c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hidden="1" thickBot="1" x14ac:dyDescent="0.3">
      <c r="A214"/>
      <c r="B214"/>
      <c r="C214"/>
      <c r="D214"/>
      <c r="E214" s="151" t="s">
        <v>2438</v>
      </c>
      <c r="F214" t="s">
        <v>206</v>
      </c>
      <c r="G214" t="s">
        <v>938</v>
      </c>
      <c r="H214" t="s">
        <v>1041</v>
      </c>
      <c r="I214" t="s">
        <v>210</v>
      </c>
      <c r="J214" s="30" t="s">
        <v>14</v>
      </c>
      <c r="K214" s="30" t="s">
        <v>1035</v>
      </c>
      <c r="L214" s="30"/>
      <c r="M214" s="30" t="s">
        <v>1189</v>
      </c>
      <c r="N214" s="30"/>
      <c r="O214" s="31">
        <f t="shared" si="25"/>
        <v>28</v>
      </c>
      <c r="P214" s="136" t="s">
        <v>1788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3"/>
    </row>
    <row r="215" spans="1:49" ht="15.75" hidden="1" thickBot="1" x14ac:dyDescent="0.3">
      <c r="A215"/>
      <c r="B215"/>
      <c r="C215"/>
      <c r="D215"/>
      <c r="E215" s="151" t="s">
        <v>2438</v>
      </c>
      <c r="F215" t="s">
        <v>206</v>
      </c>
      <c r="G215" t="s">
        <v>229</v>
      </c>
      <c r="H215" t="s">
        <v>1041</v>
      </c>
      <c r="I215" t="s">
        <v>230</v>
      </c>
      <c r="J215" s="30" t="s">
        <v>14</v>
      </c>
      <c r="K215" s="30" t="s">
        <v>1278</v>
      </c>
      <c r="L215" s="30"/>
      <c r="M215" s="30" t="s">
        <v>688</v>
      </c>
      <c r="N215" s="30"/>
      <c r="O215" s="31">
        <f t="shared" si="25"/>
        <v>26</v>
      </c>
      <c r="P215" s="136" t="s">
        <v>1790</v>
      </c>
      <c r="Q215" s="31">
        <f t="shared" si="26"/>
        <v>2</v>
      </c>
      <c r="R215" s="32">
        <f t="shared" si="27"/>
        <v>0.9285714285714286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 t="s">
        <v>2222</v>
      </c>
      <c r="AG215" s="70" t="s">
        <v>2222</v>
      </c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 s="151" t="s">
        <v>2438</v>
      </c>
      <c r="F216" s="73" t="s">
        <v>206</v>
      </c>
      <c r="G216" s="73" t="s">
        <v>1557</v>
      </c>
      <c r="H216" s="73" t="s">
        <v>1041</v>
      </c>
      <c r="I216" s="73" t="s">
        <v>1558</v>
      </c>
      <c r="J216" s="84" t="s">
        <v>71</v>
      </c>
      <c r="K216" s="84" t="s">
        <v>1278</v>
      </c>
      <c r="L216" s="73"/>
      <c r="M216" s="84" t="s">
        <v>1559</v>
      </c>
      <c r="N216" s="84"/>
      <c r="O216" s="131">
        <f t="shared" si="25"/>
        <v>28</v>
      </c>
      <c r="P216" s="136" t="s">
        <v>1797</v>
      </c>
      <c r="Q216" s="131">
        <f t="shared" si="26"/>
        <v>0</v>
      </c>
      <c r="R216" s="1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88"/>
    </row>
    <row r="217" spans="1:49" s="73" customFormat="1" ht="15.75" hidden="1" thickBot="1" x14ac:dyDescent="0.3">
      <c r="A217"/>
      <c r="B217"/>
      <c r="C217"/>
      <c r="D217"/>
      <c r="E217" s="151" t="s">
        <v>2438</v>
      </c>
      <c r="F217" s="73" t="s">
        <v>206</v>
      </c>
      <c r="G217" s="73" t="s">
        <v>2156</v>
      </c>
      <c r="H217" s="73" t="s">
        <v>1041</v>
      </c>
      <c r="I217" s="73" t="s">
        <v>2157</v>
      </c>
      <c r="J217" s="84" t="s">
        <v>71</v>
      </c>
      <c r="K217" s="84" t="s">
        <v>1278</v>
      </c>
      <c r="M217" s="84" t="s">
        <v>2158</v>
      </c>
      <c r="N217" s="84"/>
      <c r="O217" s="131">
        <f t="shared" si="25"/>
        <v>28</v>
      </c>
      <c r="P217" s="136" t="s">
        <v>2159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9" s="73" customFormat="1" ht="15.75" hidden="1" thickBot="1" x14ac:dyDescent="0.3">
      <c r="A218"/>
      <c r="B218"/>
      <c r="C218"/>
      <c r="D218"/>
      <c r="E218"/>
      <c r="F218" t="s">
        <v>91</v>
      </c>
      <c r="G218" t="s">
        <v>233</v>
      </c>
      <c r="H218" t="s">
        <v>1041</v>
      </c>
      <c r="I218" t="s">
        <v>234</v>
      </c>
      <c r="J218" s="30" t="s">
        <v>14</v>
      </c>
      <c r="K218" s="30" t="s">
        <v>1035</v>
      </c>
      <c r="L218" s="30" t="s">
        <v>44</v>
      </c>
      <c r="M218" s="30" t="s">
        <v>695</v>
      </c>
      <c r="N218" s="30"/>
      <c r="O218" s="31">
        <f t="shared" si="25"/>
        <v>28</v>
      </c>
      <c r="P218" s="136" t="s">
        <v>1798</v>
      </c>
      <c r="Q218" s="31">
        <f t="shared" si="26"/>
        <v>0</v>
      </c>
      <c r="R218" s="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/>
    </row>
    <row r="219" spans="1:49" s="73" customFormat="1" ht="15.75" hidden="1" thickBot="1" x14ac:dyDescent="0.3">
      <c r="A219"/>
      <c r="B219"/>
      <c r="C219"/>
      <c r="D219"/>
      <c r="E219"/>
      <c r="F219" s="73" t="s">
        <v>91</v>
      </c>
      <c r="G219" s="73" t="s">
        <v>235</v>
      </c>
      <c r="H219" s="73" t="s">
        <v>1041</v>
      </c>
      <c r="I219" s="73" t="s">
        <v>236</v>
      </c>
      <c r="J219" s="84" t="s">
        <v>14</v>
      </c>
      <c r="K219" s="84" t="s">
        <v>1278</v>
      </c>
      <c r="L219" s="84" t="s">
        <v>44</v>
      </c>
      <c r="M219" s="84" t="s">
        <v>696</v>
      </c>
      <c r="N219" s="84"/>
      <c r="O219" s="131">
        <f t="shared" si="25"/>
        <v>25</v>
      </c>
      <c r="P219" s="136" t="s">
        <v>1799</v>
      </c>
      <c r="Q219" s="131">
        <f t="shared" si="26"/>
        <v>3</v>
      </c>
      <c r="R219" s="132">
        <f t="shared" si="27"/>
        <v>0.8928571428571429</v>
      </c>
      <c r="S219" s="70"/>
      <c r="T219" s="70"/>
      <c r="U219" s="70"/>
      <c r="V219" s="70" t="s">
        <v>2222</v>
      </c>
      <c r="W219" s="70" t="s">
        <v>2222</v>
      </c>
      <c r="X219" s="70" t="s">
        <v>2222</v>
      </c>
      <c r="Y219" s="70"/>
      <c r="Z219" s="70"/>
      <c r="AA219" s="70"/>
      <c r="AB219" s="70"/>
      <c r="AC219" s="70"/>
      <c r="AD219" s="70"/>
      <c r="AE219" s="70"/>
      <c r="AF219" s="70"/>
      <c r="AG219" s="142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91</v>
      </c>
      <c r="G220" s="73" t="s">
        <v>237</v>
      </c>
      <c r="H220" s="73" t="s">
        <v>1041</v>
      </c>
      <c r="I220" s="73" t="s">
        <v>238</v>
      </c>
      <c r="J220" s="84" t="s">
        <v>14</v>
      </c>
      <c r="K220" s="84" t="s">
        <v>1278</v>
      </c>
      <c r="L220" s="84" t="s">
        <v>44</v>
      </c>
      <c r="M220" s="84" t="s">
        <v>2271</v>
      </c>
      <c r="N220" s="84"/>
      <c r="O220" s="131">
        <f t="shared" si="25"/>
        <v>25</v>
      </c>
      <c r="P220" s="136" t="s">
        <v>1800</v>
      </c>
      <c r="Q220" s="131">
        <f t="shared" si="26"/>
        <v>3</v>
      </c>
      <c r="R220" s="132">
        <f t="shared" si="27"/>
        <v>0.8928571428571429</v>
      </c>
      <c r="S220" s="70"/>
      <c r="T220" s="70"/>
      <c r="U220" s="70"/>
      <c r="V220" s="70" t="s">
        <v>2222</v>
      </c>
      <c r="W220" s="70" t="s">
        <v>2222</v>
      </c>
      <c r="X220" s="70" t="s">
        <v>2222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ht="15.75" hidden="1" thickBot="1" x14ac:dyDescent="0.3">
      <c r="A221"/>
      <c r="B221"/>
      <c r="C221"/>
      <c r="D221"/>
      <c r="E221"/>
      <c r="F221" t="s">
        <v>91</v>
      </c>
      <c r="G221" t="s">
        <v>1488</v>
      </c>
      <c r="H221" t="s">
        <v>1041</v>
      </c>
      <c r="I221" t="s">
        <v>1489</v>
      </c>
      <c r="J221" s="30" t="s">
        <v>14</v>
      </c>
      <c r="K221" s="30" t="s">
        <v>2368</v>
      </c>
      <c r="L221" s="30" t="s">
        <v>2369</v>
      </c>
      <c r="M221" s="30" t="s">
        <v>1490</v>
      </c>
      <c r="N221" s="30"/>
      <c r="O221" s="131">
        <f t="shared" si="25"/>
        <v>25</v>
      </c>
      <c r="P221" s="136" t="s">
        <v>1801</v>
      </c>
      <c r="Q221" s="131">
        <f t="shared" si="26"/>
        <v>3</v>
      </c>
      <c r="R221" s="132">
        <f t="shared" si="27"/>
        <v>0.8928571428571429</v>
      </c>
      <c r="S221" s="70"/>
      <c r="T221" s="70"/>
      <c r="U221" s="70"/>
      <c r="V221" s="70" t="s">
        <v>2222</v>
      </c>
      <c r="W221" s="70" t="s">
        <v>2222</v>
      </c>
      <c r="X221" s="70" t="s">
        <v>2222</v>
      </c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9" s="73" customFormat="1" ht="15.75" hidden="1" thickBot="1" x14ac:dyDescent="0.3">
      <c r="A222"/>
      <c r="B222"/>
      <c r="C222"/>
      <c r="D222"/>
      <c r="E222"/>
      <c r="F222" t="s">
        <v>91</v>
      </c>
      <c r="G222" t="s">
        <v>2210</v>
      </c>
      <c r="H222" t="s">
        <v>1041</v>
      </c>
      <c r="I222" t="s">
        <v>2211</v>
      </c>
      <c r="J222" s="30" t="s">
        <v>14</v>
      </c>
      <c r="K222" s="84" t="s">
        <v>1278</v>
      </c>
      <c r="L222" s="30"/>
      <c r="M222" s="30" t="s">
        <v>2212</v>
      </c>
      <c r="N222" s="30"/>
      <c r="O222" s="131">
        <f t="shared" si="25"/>
        <v>28</v>
      </c>
      <c r="P222" s="136" t="s">
        <v>2213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s="73" customFormat="1" ht="15.75" hidden="1" thickBot="1" x14ac:dyDescent="0.3">
      <c r="A223"/>
      <c r="B223"/>
      <c r="C223"/>
      <c r="D223"/>
      <c r="E223"/>
      <c r="F223" t="s">
        <v>186</v>
      </c>
      <c r="G223" t="s">
        <v>1161</v>
      </c>
      <c r="H223" t="s">
        <v>1042</v>
      </c>
      <c r="I223" t="s">
        <v>1162</v>
      </c>
      <c r="J223" s="30" t="s">
        <v>71</v>
      </c>
      <c r="K223" s="30" t="s">
        <v>19</v>
      </c>
      <c r="L223" s="30"/>
      <c r="M223" s="30" t="s">
        <v>1247</v>
      </c>
      <c r="N223" s="30"/>
      <c r="O223" s="31">
        <f t="shared" si="25"/>
        <v>28</v>
      </c>
      <c r="P223" s="136" t="s">
        <v>2380</v>
      </c>
      <c r="Q223" s="31">
        <f t="shared" si="26"/>
        <v>0</v>
      </c>
      <c r="R223" s="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ht="15.75" hidden="1" thickBot="1" x14ac:dyDescent="0.3">
      <c r="A224"/>
      <c r="B224"/>
      <c r="C224"/>
      <c r="D224"/>
      <c r="E224"/>
      <c r="F224" t="s">
        <v>186</v>
      </c>
      <c r="G224" t="s">
        <v>1163</v>
      </c>
      <c r="H224" t="s">
        <v>1042</v>
      </c>
      <c r="I224" t="s">
        <v>1164</v>
      </c>
      <c r="J224" s="30" t="s">
        <v>71</v>
      </c>
      <c r="K224" s="30" t="s">
        <v>19</v>
      </c>
      <c r="L224" s="30"/>
      <c r="M224" s="30" t="s">
        <v>1248</v>
      </c>
      <c r="N224" s="30"/>
      <c r="O224" s="31">
        <f t="shared" si="25"/>
        <v>28</v>
      </c>
      <c r="P224" s="136" t="s">
        <v>2381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3"/>
    </row>
    <row r="225" spans="1:49" ht="15.75" hidden="1" thickBot="1" x14ac:dyDescent="0.3">
      <c r="A225">
        <v>10</v>
      </c>
      <c r="B225">
        <v>14</v>
      </c>
      <c r="C225"/>
      <c r="D225"/>
      <c r="E225" t="s">
        <v>2342</v>
      </c>
      <c r="F225" t="s">
        <v>1415</v>
      </c>
      <c r="G225" t="s">
        <v>939</v>
      </c>
      <c r="H225" t="s">
        <v>1041</v>
      </c>
      <c r="I225" t="s">
        <v>1065</v>
      </c>
      <c r="J225" s="30" t="s">
        <v>18</v>
      </c>
      <c r="K225" s="30" t="s">
        <v>1035</v>
      </c>
      <c r="L225" s="30"/>
      <c r="M225" s="30" t="s">
        <v>2279</v>
      </c>
      <c r="N225" s="30"/>
      <c r="O225" s="31">
        <f t="shared" si="25"/>
        <v>28</v>
      </c>
      <c r="P225" s="136" t="s">
        <v>1802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hidden="1" thickBot="1" x14ac:dyDescent="0.3">
      <c r="A226"/>
      <c r="B226"/>
      <c r="C226"/>
      <c r="D226"/>
      <c r="E226"/>
      <c r="F226" s="73" t="s">
        <v>158</v>
      </c>
      <c r="G226" s="73" t="s">
        <v>239</v>
      </c>
      <c r="H226" s="73" t="s">
        <v>1041</v>
      </c>
      <c r="I226" s="73" t="s">
        <v>240</v>
      </c>
      <c r="J226" s="84" t="s">
        <v>18</v>
      </c>
      <c r="K226" s="84" t="s">
        <v>1278</v>
      </c>
      <c r="L226" s="84"/>
      <c r="M226" s="84" t="s">
        <v>1391</v>
      </c>
      <c r="N226" s="84"/>
      <c r="O226" s="131">
        <f t="shared" si="25"/>
        <v>24</v>
      </c>
      <c r="P226" s="136" t="s">
        <v>1803</v>
      </c>
      <c r="Q226" s="131">
        <f t="shared" si="26"/>
        <v>4</v>
      </c>
      <c r="R226" s="132">
        <f t="shared" si="27"/>
        <v>0.8571428571428571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 t="s">
        <v>2222</v>
      </c>
      <c r="AE226" s="70" t="s">
        <v>2222</v>
      </c>
      <c r="AF226" s="70" t="s">
        <v>2222</v>
      </c>
      <c r="AG226" s="70" t="s">
        <v>2222</v>
      </c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>
        <v>10</v>
      </c>
      <c r="B227">
        <v>14</v>
      </c>
      <c r="C227"/>
      <c r="D227"/>
      <c r="E227" t="s">
        <v>2342</v>
      </c>
      <c r="F227" t="s">
        <v>241</v>
      </c>
      <c r="G227" t="s">
        <v>242</v>
      </c>
      <c r="H227" t="s">
        <v>1041</v>
      </c>
      <c r="I227" t="s">
        <v>243</v>
      </c>
      <c r="J227" s="30" t="s">
        <v>71</v>
      </c>
      <c r="K227" s="30" t="s">
        <v>27</v>
      </c>
      <c r="L227" s="30"/>
      <c r="M227" s="30" t="s">
        <v>697</v>
      </c>
      <c r="N227" s="30"/>
      <c r="O227" s="31">
        <f t="shared" si="25"/>
        <v>28</v>
      </c>
      <c r="P227" s="136" t="s">
        <v>1804</v>
      </c>
      <c r="Q227" s="31">
        <f t="shared" si="26"/>
        <v>0</v>
      </c>
      <c r="R227" s="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3"/>
    </row>
    <row r="228" spans="1:49" ht="15.75" hidden="1" thickBot="1" x14ac:dyDescent="0.3">
      <c r="A228">
        <v>10</v>
      </c>
      <c r="B228">
        <v>14</v>
      </c>
      <c r="C228"/>
      <c r="D228"/>
      <c r="E228" t="s">
        <v>2342</v>
      </c>
      <c r="F228" t="s">
        <v>241</v>
      </c>
      <c r="G228" t="s">
        <v>244</v>
      </c>
      <c r="H228" t="s">
        <v>1041</v>
      </c>
      <c r="I228" t="s">
        <v>243</v>
      </c>
      <c r="J228" s="30" t="s">
        <v>45</v>
      </c>
      <c r="K228" s="30" t="s">
        <v>27</v>
      </c>
      <c r="L228" s="30"/>
      <c r="M228" s="30" t="s">
        <v>684</v>
      </c>
      <c r="N228" s="30"/>
      <c r="O228" s="31">
        <f t="shared" si="25"/>
        <v>28</v>
      </c>
      <c r="P228" s="136" t="s">
        <v>1805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s="73" customFormat="1" ht="15.75" hidden="1" thickBot="1" x14ac:dyDescent="0.3">
      <c r="A229"/>
      <c r="B229"/>
      <c r="C229"/>
      <c r="D229"/>
      <c r="E229"/>
      <c r="F229" s="73" t="s">
        <v>241</v>
      </c>
      <c r="G229" s="73" t="s">
        <v>1300</v>
      </c>
      <c r="H229" s="73" t="s">
        <v>1041</v>
      </c>
      <c r="I229" s="73" t="s">
        <v>1304</v>
      </c>
      <c r="J229" s="84" t="s">
        <v>14</v>
      </c>
      <c r="K229" s="84" t="s">
        <v>1278</v>
      </c>
      <c r="L229" s="84"/>
      <c r="M229" s="84" t="s">
        <v>1309</v>
      </c>
      <c r="N229" s="84"/>
      <c r="O229" s="131">
        <f t="shared" si="25"/>
        <v>28</v>
      </c>
      <c r="P229" s="136" t="s">
        <v>1806</v>
      </c>
      <c r="Q229" s="131">
        <f t="shared" si="26"/>
        <v>0</v>
      </c>
      <c r="R229" s="1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9" ht="15.75" hidden="1" thickBot="1" x14ac:dyDescent="0.3">
      <c r="A230"/>
      <c r="B230"/>
      <c r="C230"/>
      <c r="D230"/>
      <c r="E230"/>
      <c r="F230" s="73" t="s">
        <v>241</v>
      </c>
      <c r="G230" s="73" t="s">
        <v>1394</v>
      </c>
      <c r="H230" s="73" t="s">
        <v>1041</v>
      </c>
      <c r="I230" s="73" t="s">
        <v>1395</v>
      </c>
      <c r="J230" s="84" t="s">
        <v>14</v>
      </c>
      <c r="K230" s="84" t="s">
        <v>1278</v>
      </c>
      <c r="L230" s="84"/>
      <c r="M230" s="84" t="s">
        <v>1396</v>
      </c>
      <c r="N230" s="84"/>
      <c r="O230" s="131">
        <f t="shared" si="25"/>
        <v>28</v>
      </c>
      <c r="P230" s="136" t="s">
        <v>1807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ht="15.75" hidden="1" thickBot="1" x14ac:dyDescent="0.3">
      <c r="A231"/>
      <c r="B231"/>
      <c r="C231"/>
      <c r="D231"/>
      <c r="E231"/>
      <c r="F231" s="73" t="s">
        <v>241</v>
      </c>
      <c r="G231" s="73" t="s">
        <v>1561</v>
      </c>
      <c r="H231" s="73" t="s">
        <v>1041</v>
      </c>
      <c r="I231" s="73" t="s">
        <v>1562</v>
      </c>
      <c r="J231" s="84" t="s">
        <v>14</v>
      </c>
      <c r="K231" s="84" t="s">
        <v>1278</v>
      </c>
      <c r="L231" s="84"/>
      <c r="M231" s="84" t="s">
        <v>1563</v>
      </c>
      <c r="N231" s="84"/>
      <c r="O231" s="131">
        <f t="shared" si="25"/>
        <v>23</v>
      </c>
      <c r="P231" s="136" t="s">
        <v>2435</v>
      </c>
      <c r="Q231" s="131">
        <f t="shared" si="26"/>
        <v>5</v>
      </c>
      <c r="R231" s="132">
        <f t="shared" si="27"/>
        <v>0.8214285714285714</v>
      </c>
      <c r="S231" s="70"/>
      <c r="T231" s="70"/>
      <c r="U231" s="70"/>
      <c r="V231" s="70" t="s">
        <v>2222</v>
      </c>
      <c r="W231" s="70" t="s">
        <v>2222</v>
      </c>
      <c r="X231" s="70" t="s">
        <v>2222</v>
      </c>
      <c r="Y231" s="70" t="s">
        <v>2222</v>
      </c>
      <c r="Z231" s="70" t="s">
        <v>2222</v>
      </c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s="73" customFormat="1" ht="15.75" hidden="1" thickBot="1" x14ac:dyDescent="0.3">
      <c r="A232"/>
      <c r="B232"/>
      <c r="C232"/>
      <c r="D232"/>
      <c r="E232"/>
      <c r="F232" s="73" t="s">
        <v>241</v>
      </c>
      <c r="G232" s="73" t="s">
        <v>2224</v>
      </c>
      <c r="H232" s="73" t="s">
        <v>1041</v>
      </c>
      <c r="I232" s="73" t="s">
        <v>2225</v>
      </c>
      <c r="J232" s="84" t="s">
        <v>14</v>
      </c>
      <c r="K232" s="84" t="s">
        <v>1278</v>
      </c>
      <c r="L232" s="84"/>
      <c r="M232" s="84" t="s">
        <v>2280</v>
      </c>
      <c r="N232" s="84"/>
      <c r="O232" s="131">
        <f t="shared" si="25"/>
        <v>28</v>
      </c>
      <c r="P232" s="136" t="s">
        <v>2226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/>
    </row>
    <row r="233" spans="1:49" s="73" customFormat="1" ht="15.75" hidden="1" thickBot="1" x14ac:dyDescent="0.3">
      <c r="A233"/>
      <c r="B233"/>
      <c r="C233"/>
      <c r="D233"/>
      <c r="E233"/>
      <c r="F233" s="73" t="s">
        <v>245</v>
      </c>
      <c r="G233" s="73" t="s">
        <v>940</v>
      </c>
      <c r="H233" s="73" t="s">
        <v>1042</v>
      </c>
      <c r="I233" s="73" t="s">
        <v>246</v>
      </c>
      <c r="J233" s="84" t="s">
        <v>14</v>
      </c>
      <c r="K233" s="84" t="s">
        <v>1278</v>
      </c>
      <c r="L233" s="84"/>
      <c r="M233" s="84" t="s">
        <v>698</v>
      </c>
      <c r="N233" s="84"/>
      <c r="O233" s="131">
        <f t="shared" si="25"/>
        <v>28</v>
      </c>
      <c r="P233" s="136" t="s">
        <v>1808</v>
      </c>
      <c r="Q233" s="131">
        <f t="shared" si="26"/>
        <v>0</v>
      </c>
      <c r="R233" s="132">
        <f t="shared" si="27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245</v>
      </c>
      <c r="G234" s="73" t="s">
        <v>247</v>
      </c>
      <c r="H234" s="73" t="s">
        <v>1042</v>
      </c>
      <c r="I234" s="73" t="s">
        <v>248</v>
      </c>
      <c r="J234" s="84" t="s">
        <v>71</v>
      </c>
      <c r="K234" s="84" t="s">
        <v>1278</v>
      </c>
      <c r="L234" s="84"/>
      <c r="M234" s="84" t="s">
        <v>699</v>
      </c>
      <c r="N234" s="84"/>
      <c r="O234" s="131">
        <f t="shared" si="25"/>
        <v>28</v>
      </c>
      <c r="P234" s="136" t="s">
        <v>1809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0"/>
      <c r="W234" s="70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249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700</v>
      </c>
      <c r="N235" s="84"/>
      <c r="O235" s="131">
        <f t="shared" si="25"/>
        <v>28</v>
      </c>
      <c r="P235" s="136" t="s">
        <v>1810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2218</v>
      </c>
      <c r="H236" s="73" t="s">
        <v>1042</v>
      </c>
      <c r="I236" s="73" t="s">
        <v>2219</v>
      </c>
      <c r="J236" s="84" t="s">
        <v>14</v>
      </c>
      <c r="K236" s="84" t="s">
        <v>1278</v>
      </c>
      <c r="L236" s="84"/>
      <c r="M236" s="84" t="s">
        <v>2281</v>
      </c>
      <c r="N236" s="84"/>
      <c r="O236" s="131">
        <f t="shared" si="25"/>
        <v>28</v>
      </c>
      <c r="P236" s="136" t="s">
        <v>2220</v>
      </c>
      <c r="Q236" s="131">
        <f t="shared" si="26"/>
        <v>0</v>
      </c>
      <c r="R236" s="132">
        <f t="shared" si="27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/>
    </row>
    <row r="237" spans="1:49" s="73" customFormat="1" ht="15.75" hidden="1" thickBot="1" x14ac:dyDescent="0.3">
      <c r="A237">
        <v>1</v>
      </c>
      <c r="B237">
        <v>19</v>
      </c>
      <c r="C237"/>
      <c r="D237"/>
      <c r="E237" t="s">
        <v>2328</v>
      </c>
      <c r="F237" t="s">
        <v>254</v>
      </c>
      <c r="G237" t="s">
        <v>941</v>
      </c>
      <c r="H237" t="s">
        <v>1041</v>
      </c>
      <c r="I237" t="s">
        <v>259</v>
      </c>
      <c r="J237" s="30" t="s">
        <v>71</v>
      </c>
      <c r="K237" s="30" t="s">
        <v>27</v>
      </c>
      <c r="L237" s="30"/>
      <c r="M237" s="30" t="s">
        <v>705</v>
      </c>
      <c r="N237" s="30"/>
      <c r="O237" s="31">
        <f t="shared" si="25"/>
        <v>28</v>
      </c>
      <c r="P237" s="136" t="s">
        <v>1811</v>
      </c>
      <c r="Q237" s="31">
        <f t="shared" si="26"/>
        <v>0</v>
      </c>
      <c r="R237" s="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2328</v>
      </c>
      <c r="F238" t="s">
        <v>254</v>
      </c>
      <c r="G238" t="s">
        <v>942</v>
      </c>
      <c r="H238" t="s">
        <v>1041</v>
      </c>
      <c r="I238" t="s">
        <v>1066</v>
      </c>
      <c r="J238" s="30" t="s">
        <v>18</v>
      </c>
      <c r="K238" s="30" t="s">
        <v>27</v>
      </c>
      <c r="L238" s="30"/>
      <c r="M238" s="30" t="s">
        <v>707</v>
      </c>
      <c r="N238" s="30"/>
      <c r="O238" s="31">
        <f t="shared" si="25"/>
        <v>28</v>
      </c>
      <c r="P238" s="136" t="s">
        <v>1812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2328</v>
      </c>
      <c r="F239" t="s">
        <v>254</v>
      </c>
      <c r="G239" t="s">
        <v>943</v>
      </c>
      <c r="H239" t="s">
        <v>1041</v>
      </c>
      <c r="I239" t="s">
        <v>266</v>
      </c>
      <c r="J239" s="30" t="s">
        <v>18</v>
      </c>
      <c r="K239" s="30" t="s">
        <v>27</v>
      </c>
      <c r="L239" s="30"/>
      <c r="M239" s="30" t="s">
        <v>1453</v>
      </c>
      <c r="N239" s="30"/>
      <c r="O239" s="31">
        <f t="shared" ref="O239:O262" si="28">COUNTIF(S239:AT239,"")</f>
        <v>28</v>
      </c>
      <c r="P239" s="136" t="s">
        <v>1813</v>
      </c>
      <c r="Q239" s="31">
        <f t="shared" ref="Q239:Q262" si="29">COUNTIF(S239:AT239,"APAGADO")</f>
        <v>0</v>
      </c>
      <c r="R239" s="32">
        <f t="shared" ref="R239:R262" si="30"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9" ht="15.75" hidden="1" thickBot="1" x14ac:dyDescent="0.3">
      <c r="A240">
        <v>1</v>
      </c>
      <c r="B240">
        <v>19</v>
      </c>
      <c r="C240"/>
      <c r="D240"/>
      <c r="E240" t="s">
        <v>2328</v>
      </c>
      <c r="F240" t="s">
        <v>254</v>
      </c>
      <c r="G240" t="s">
        <v>944</v>
      </c>
      <c r="H240" t="s">
        <v>1041</v>
      </c>
      <c r="I240" t="s">
        <v>269</v>
      </c>
      <c r="J240" s="30" t="s">
        <v>71</v>
      </c>
      <c r="K240" s="30" t="s">
        <v>27</v>
      </c>
      <c r="L240" s="30"/>
      <c r="M240" s="30" t="s">
        <v>709</v>
      </c>
      <c r="N240" s="30"/>
      <c r="O240" s="31">
        <f t="shared" si="28"/>
        <v>28</v>
      </c>
      <c r="P240" s="136" t="s">
        <v>1814</v>
      </c>
      <c r="Q240" s="31">
        <f t="shared" si="29"/>
        <v>0</v>
      </c>
      <c r="R240" s="32">
        <f t="shared" si="30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3"/>
    </row>
    <row r="241" spans="1:49" ht="15.75" hidden="1" thickBot="1" x14ac:dyDescent="0.3">
      <c r="A241">
        <v>1</v>
      </c>
      <c r="B241">
        <v>19</v>
      </c>
      <c r="C241"/>
      <c r="D241"/>
      <c r="E241" t="s">
        <v>2328</v>
      </c>
      <c r="F241" t="s">
        <v>254</v>
      </c>
      <c r="G241" t="s">
        <v>945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710</v>
      </c>
      <c r="N241" s="30"/>
      <c r="O241" s="31">
        <f t="shared" si="28"/>
        <v>28</v>
      </c>
      <c r="P241" s="136" t="s">
        <v>1815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hidden="1" thickBot="1" x14ac:dyDescent="0.3">
      <c r="A242">
        <v>1</v>
      </c>
      <c r="B242">
        <v>19</v>
      </c>
      <c r="C242"/>
      <c r="D242"/>
      <c r="E242" t="s">
        <v>2328</v>
      </c>
      <c r="F242" t="s">
        <v>254</v>
      </c>
      <c r="G242" t="s">
        <v>946</v>
      </c>
      <c r="H242" t="s">
        <v>1041</v>
      </c>
      <c r="I242" t="s">
        <v>250</v>
      </c>
      <c r="J242" s="30" t="s">
        <v>45</v>
      </c>
      <c r="K242" s="30" t="s">
        <v>27</v>
      </c>
      <c r="L242" s="30"/>
      <c r="M242" s="30" t="s">
        <v>701</v>
      </c>
      <c r="N242" s="30"/>
      <c r="O242" s="31">
        <f t="shared" si="28"/>
        <v>28</v>
      </c>
      <c r="P242" s="136" t="s">
        <v>1816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hidden="1" thickBot="1" x14ac:dyDescent="0.3">
      <c r="A243">
        <v>1</v>
      </c>
      <c r="B243">
        <v>19</v>
      </c>
      <c r="C243"/>
      <c r="D243"/>
      <c r="E243" t="s">
        <v>2328</v>
      </c>
      <c r="F243" t="s">
        <v>251</v>
      </c>
      <c r="G243" t="s">
        <v>252</v>
      </c>
      <c r="H243" t="s">
        <v>1041</v>
      </c>
      <c r="I243" t="s">
        <v>253</v>
      </c>
      <c r="J243" s="30" t="s">
        <v>18</v>
      </c>
      <c r="K243" s="30" t="s">
        <v>27</v>
      </c>
      <c r="L243" s="30"/>
      <c r="M243" s="30" t="s">
        <v>702</v>
      </c>
      <c r="N243" s="30"/>
      <c r="O243" s="31">
        <f t="shared" si="28"/>
        <v>28</v>
      </c>
      <c r="P243" s="136" t="s">
        <v>1817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2328</v>
      </c>
      <c r="F244" t="s">
        <v>254</v>
      </c>
      <c r="G244" t="s">
        <v>255</v>
      </c>
      <c r="H244" t="s">
        <v>1041</v>
      </c>
      <c r="I244" t="s">
        <v>256</v>
      </c>
      <c r="J244" s="30" t="s">
        <v>71</v>
      </c>
      <c r="K244" s="30" t="s">
        <v>27</v>
      </c>
      <c r="L244" s="30"/>
      <c r="M244" s="30" t="s">
        <v>703</v>
      </c>
      <c r="N244" s="30"/>
      <c r="O244" s="31">
        <f t="shared" si="28"/>
        <v>28</v>
      </c>
      <c r="P244" s="136" t="s">
        <v>1818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9" ht="15.75" hidden="1" thickBot="1" x14ac:dyDescent="0.3">
      <c r="A245">
        <v>1</v>
      </c>
      <c r="B245">
        <v>19</v>
      </c>
      <c r="C245"/>
      <c r="D245"/>
      <c r="E245" t="s">
        <v>2328</v>
      </c>
      <c r="F245" t="s">
        <v>254</v>
      </c>
      <c r="G245" t="s">
        <v>257</v>
      </c>
      <c r="H245" t="s">
        <v>1041</v>
      </c>
      <c r="I245" t="s">
        <v>258</v>
      </c>
      <c r="J245" s="30" t="s">
        <v>45</v>
      </c>
      <c r="K245" s="30" t="s">
        <v>27</v>
      </c>
      <c r="L245" s="30"/>
      <c r="M245" s="30" t="s">
        <v>704</v>
      </c>
      <c r="N245" s="30"/>
      <c r="O245" s="31">
        <f t="shared" si="28"/>
        <v>28</v>
      </c>
      <c r="P245" s="136" t="s">
        <v>1819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2328</v>
      </c>
      <c r="F246" t="s">
        <v>251</v>
      </c>
      <c r="G246" t="s">
        <v>260</v>
      </c>
      <c r="H246" t="s">
        <v>1041</v>
      </c>
      <c r="I246" t="s">
        <v>261</v>
      </c>
      <c r="J246" s="30" t="s">
        <v>18</v>
      </c>
      <c r="K246" s="30" t="s">
        <v>27</v>
      </c>
      <c r="L246" s="30"/>
      <c r="M246" s="30" t="s">
        <v>706</v>
      </c>
      <c r="N246" s="30"/>
      <c r="O246" s="31">
        <f t="shared" si="28"/>
        <v>28</v>
      </c>
      <c r="P246" s="136" t="s">
        <v>1820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2328</v>
      </c>
      <c r="F247" t="s">
        <v>254</v>
      </c>
      <c r="G247" t="s">
        <v>262</v>
      </c>
      <c r="H247" t="s">
        <v>1041</v>
      </c>
      <c r="I247" t="s">
        <v>263</v>
      </c>
      <c r="J247" s="30" t="s">
        <v>18</v>
      </c>
      <c r="K247" s="30" t="s">
        <v>27</v>
      </c>
      <c r="L247" s="30"/>
      <c r="M247" s="30" t="s">
        <v>2272</v>
      </c>
      <c r="N247" s="30"/>
      <c r="O247" s="31">
        <f t="shared" si="28"/>
        <v>28</v>
      </c>
      <c r="P247" s="136" t="s">
        <v>1821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>
        <v>1</v>
      </c>
      <c r="B248">
        <v>19</v>
      </c>
      <c r="C248"/>
      <c r="D248"/>
      <c r="E248" t="s">
        <v>2328</v>
      </c>
      <c r="F248" t="s">
        <v>254</v>
      </c>
      <c r="G248" t="s">
        <v>264</v>
      </c>
      <c r="H248" t="s">
        <v>1041</v>
      </c>
      <c r="I248" t="s">
        <v>265</v>
      </c>
      <c r="J248" s="30" t="s">
        <v>18</v>
      </c>
      <c r="K248" s="30" t="s">
        <v>27</v>
      </c>
      <c r="L248" s="30"/>
      <c r="M248" s="30" t="s">
        <v>1413</v>
      </c>
      <c r="N248" s="30"/>
      <c r="O248" s="31">
        <f t="shared" si="28"/>
        <v>26</v>
      </c>
      <c r="P248" s="136" t="s">
        <v>1822</v>
      </c>
      <c r="Q248" s="31">
        <f t="shared" si="29"/>
        <v>2</v>
      </c>
      <c r="R248" s="32">
        <f t="shared" si="30"/>
        <v>0.9285714285714286</v>
      </c>
      <c r="S248" s="70"/>
      <c r="T248" s="70"/>
      <c r="U248" s="70"/>
      <c r="V248" s="70" t="s">
        <v>2222</v>
      </c>
      <c r="W248" s="70" t="s">
        <v>2222</v>
      </c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2328</v>
      </c>
      <c r="F249" t="s">
        <v>254</v>
      </c>
      <c r="G249" t="s">
        <v>267</v>
      </c>
      <c r="H249" t="s">
        <v>1041</v>
      </c>
      <c r="I249" t="s">
        <v>268</v>
      </c>
      <c r="J249" s="30" t="s">
        <v>18</v>
      </c>
      <c r="K249" s="30" t="s">
        <v>27</v>
      </c>
      <c r="L249" s="30"/>
      <c r="M249" s="30" t="s">
        <v>708</v>
      </c>
      <c r="N249" s="30"/>
      <c r="O249" s="31">
        <f t="shared" si="28"/>
        <v>27</v>
      </c>
      <c r="P249" s="136" t="s">
        <v>1823</v>
      </c>
      <c r="Q249" s="31">
        <f t="shared" si="29"/>
        <v>1</v>
      </c>
      <c r="R249" s="32">
        <f t="shared" si="30"/>
        <v>0.9642857142857143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 t="s">
        <v>2222</v>
      </c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>
        <v>1</v>
      </c>
      <c r="B250">
        <v>19</v>
      </c>
      <c r="C250"/>
      <c r="D250"/>
      <c r="E250" t="s">
        <v>2455</v>
      </c>
      <c r="F250" t="s">
        <v>254</v>
      </c>
      <c r="G250" t="s">
        <v>270</v>
      </c>
      <c r="H250" t="s">
        <v>1041</v>
      </c>
      <c r="I250" t="s">
        <v>271</v>
      </c>
      <c r="J250" s="30" t="s">
        <v>14</v>
      </c>
      <c r="K250" s="30" t="s">
        <v>27</v>
      </c>
      <c r="L250" s="30"/>
      <c r="M250" s="30" t="s">
        <v>711</v>
      </c>
      <c r="N250" s="30"/>
      <c r="O250" s="31">
        <f t="shared" si="28"/>
        <v>16</v>
      </c>
      <c r="P250" s="136" t="s">
        <v>1824</v>
      </c>
      <c r="Q250" s="31">
        <f t="shared" si="29"/>
        <v>12</v>
      </c>
      <c r="R250" s="32">
        <f t="shared" si="30"/>
        <v>0.5714285714285714</v>
      </c>
      <c r="S250" s="70"/>
      <c r="T250" s="70"/>
      <c r="U250" s="70"/>
      <c r="V250" s="70" t="s">
        <v>2222</v>
      </c>
      <c r="W250" s="70" t="s">
        <v>2222</v>
      </c>
      <c r="X250" s="70" t="s">
        <v>2222</v>
      </c>
      <c r="Y250" s="70" t="s">
        <v>2222</v>
      </c>
      <c r="Z250" s="70" t="s">
        <v>2222</v>
      </c>
      <c r="AA250" s="70"/>
      <c r="AB250" s="70"/>
      <c r="AC250" s="70" t="s">
        <v>2222</v>
      </c>
      <c r="AD250" s="70" t="s">
        <v>2222</v>
      </c>
      <c r="AE250" s="70" t="s">
        <v>2222</v>
      </c>
      <c r="AF250" s="70" t="s">
        <v>2222</v>
      </c>
      <c r="AG250" s="70" t="s">
        <v>2222</v>
      </c>
      <c r="AH250" s="70"/>
      <c r="AI250" s="70"/>
      <c r="AJ250" s="70" t="s">
        <v>2222</v>
      </c>
      <c r="AK250" s="70" t="s">
        <v>2222</v>
      </c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2328</v>
      </c>
      <c r="F251" t="s">
        <v>254</v>
      </c>
      <c r="G251" s="30" t="s">
        <v>1188</v>
      </c>
      <c r="H251" s="30" t="s">
        <v>1041</v>
      </c>
      <c r="I251" t="s">
        <v>1183</v>
      </c>
      <c r="J251" s="30" t="s">
        <v>14</v>
      </c>
      <c r="K251" s="30" t="s">
        <v>27</v>
      </c>
      <c r="L251" s="30"/>
      <c r="M251" s="30" t="s">
        <v>1184</v>
      </c>
      <c r="N251" s="30"/>
      <c r="O251" s="31">
        <f t="shared" si="28"/>
        <v>22</v>
      </c>
      <c r="P251" s="136" t="s">
        <v>1825</v>
      </c>
      <c r="Q251" s="31">
        <f t="shared" si="29"/>
        <v>6</v>
      </c>
      <c r="R251" s="32">
        <f t="shared" si="30"/>
        <v>0.7857142857142857</v>
      </c>
      <c r="S251" s="70"/>
      <c r="T251" s="70"/>
      <c r="U251" s="70"/>
      <c r="V251" s="70" t="s">
        <v>2222</v>
      </c>
      <c r="W251" s="70" t="s">
        <v>2222</v>
      </c>
      <c r="X251" s="70" t="s">
        <v>2222</v>
      </c>
      <c r="Y251" s="70" t="s">
        <v>2222</v>
      </c>
      <c r="Z251" s="70"/>
      <c r="AA251" s="70"/>
      <c r="AB251" s="70"/>
      <c r="AC251" s="70"/>
      <c r="AD251" s="70"/>
      <c r="AE251" s="70"/>
      <c r="AF251" s="70"/>
      <c r="AG251" s="70" t="s">
        <v>2222</v>
      </c>
      <c r="AH251" s="70"/>
      <c r="AI251" s="70"/>
      <c r="AJ251" s="70" t="s">
        <v>2222</v>
      </c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 s="88"/>
      <c r="B252" s="88"/>
      <c r="C252" s="88"/>
      <c r="D252" s="88"/>
      <c r="E252" s="88"/>
      <c r="F252" s="73" t="s">
        <v>274</v>
      </c>
      <c r="G252" s="73" t="s">
        <v>947</v>
      </c>
      <c r="H252" s="88" t="s">
        <v>1042</v>
      </c>
      <c r="I252" s="73" t="s">
        <v>1067</v>
      </c>
      <c r="J252" s="89" t="s">
        <v>18</v>
      </c>
      <c r="K252" s="84" t="s">
        <v>1278</v>
      </c>
      <c r="L252" s="84"/>
      <c r="M252" s="84" t="s">
        <v>2196</v>
      </c>
      <c r="N252" s="84"/>
      <c r="O252" s="31">
        <f t="shared" si="28"/>
        <v>28</v>
      </c>
      <c r="P252" s="136" t="s">
        <v>2305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0"/>
      <c r="AL252" s="90"/>
      <c r="AM252" s="70"/>
      <c r="AN252" s="90"/>
      <c r="AO252" s="90"/>
      <c r="AP252" s="90"/>
      <c r="AQ252" s="90"/>
      <c r="AR252" s="90"/>
      <c r="AS252" s="90"/>
      <c r="AT252" s="90"/>
      <c r="AU252" s="90"/>
      <c r="AV252" s="90"/>
    </row>
    <row r="253" spans="1:49" ht="15.75" hidden="1" thickBot="1" x14ac:dyDescent="0.3">
      <c r="A253"/>
      <c r="B253"/>
      <c r="C253"/>
      <c r="D253"/>
      <c r="E253"/>
      <c r="F253" t="s">
        <v>216</v>
      </c>
      <c r="G253" t="s">
        <v>272</v>
      </c>
      <c r="H253" t="s">
        <v>1042</v>
      </c>
      <c r="I253" t="s">
        <v>273</v>
      </c>
      <c r="J253" s="30" t="s">
        <v>14</v>
      </c>
      <c r="K253" s="30" t="s">
        <v>1035</v>
      </c>
      <c r="L253" s="30"/>
      <c r="M253" s="30" t="s">
        <v>1043</v>
      </c>
      <c r="N253" s="30"/>
      <c r="O253" s="31">
        <f t="shared" si="28"/>
        <v>23</v>
      </c>
      <c r="P253" s="136" t="s">
        <v>1781</v>
      </c>
      <c r="Q253" s="31">
        <f t="shared" si="29"/>
        <v>5</v>
      </c>
      <c r="R253" s="32">
        <f t="shared" si="30"/>
        <v>0.8214285714285714</v>
      </c>
      <c r="S253" s="70"/>
      <c r="T253" s="70"/>
      <c r="U253" s="70"/>
      <c r="V253" s="70" t="s">
        <v>2222</v>
      </c>
      <c r="W253" s="70" t="s">
        <v>2222</v>
      </c>
      <c r="X253" s="70" t="s">
        <v>2222</v>
      </c>
      <c r="Y253" s="70" t="s">
        <v>2222</v>
      </c>
      <c r="Z253" s="70" t="s">
        <v>2222</v>
      </c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9" ht="15.75" hidden="1" thickBot="1" x14ac:dyDescent="0.3">
      <c r="A254" s="69"/>
      <c r="B254" s="69"/>
      <c r="C254" s="69"/>
      <c r="D254" s="69"/>
      <c r="E254" s="152" t="s">
        <v>2464</v>
      </c>
      <c r="F254" s="69" t="s">
        <v>274</v>
      </c>
      <c r="G254" s="69" t="s">
        <v>275</v>
      </c>
      <c r="H254" s="69" t="s">
        <v>1042</v>
      </c>
      <c r="I254" s="69" t="s">
        <v>276</v>
      </c>
      <c r="J254" s="137" t="s">
        <v>14</v>
      </c>
      <c r="K254" s="137" t="s">
        <v>1278</v>
      </c>
      <c r="L254" s="137"/>
      <c r="M254" s="137" t="s">
        <v>712</v>
      </c>
      <c r="N254" s="137"/>
      <c r="O254" s="139">
        <f t="shared" si="28"/>
        <v>16</v>
      </c>
      <c r="P254" s="140" t="s">
        <v>1826</v>
      </c>
      <c r="Q254" s="139">
        <f t="shared" si="29"/>
        <v>12</v>
      </c>
      <c r="R254" s="141">
        <f t="shared" si="30"/>
        <v>0.5714285714285714</v>
      </c>
      <c r="S254" s="142"/>
      <c r="T254" s="142"/>
      <c r="U254" s="142"/>
      <c r="V254" s="70" t="s">
        <v>2222</v>
      </c>
      <c r="W254" s="70" t="s">
        <v>2222</v>
      </c>
      <c r="X254" s="70" t="s">
        <v>2222</v>
      </c>
      <c r="Y254" s="70" t="s">
        <v>2222</v>
      </c>
      <c r="Z254" s="70" t="s">
        <v>2222</v>
      </c>
      <c r="AA254" s="142"/>
      <c r="AB254" s="142"/>
      <c r="AC254" s="70" t="s">
        <v>2222</v>
      </c>
      <c r="AD254" s="70" t="s">
        <v>2222</v>
      </c>
      <c r="AE254" s="70" t="s">
        <v>2222</v>
      </c>
      <c r="AF254" s="70" t="s">
        <v>2222</v>
      </c>
      <c r="AG254" s="70" t="s">
        <v>2222</v>
      </c>
      <c r="AH254" s="70"/>
      <c r="AI254" s="70"/>
      <c r="AJ254" s="70" t="s">
        <v>2222</v>
      </c>
      <c r="AK254" s="70" t="s">
        <v>2222</v>
      </c>
      <c r="AL254" s="70"/>
      <c r="AM254" s="70"/>
      <c r="AN254" s="70"/>
      <c r="AO254" s="70"/>
      <c r="AP254" s="70"/>
      <c r="AQ254" s="142"/>
      <c r="AR254" s="70"/>
      <c r="AS254" s="70"/>
      <c r="AT254" s="70"/>
      <c r="AU254" s="70"/>
      <c r="AV254" s="70"/>
    </row>
    <row r="255" spans="1:49" s="88" customFormat="1" ht="15.75" hidden="1" thickBot="1" x14ac:dyDescent="0.3">
      <c r="A255" s="69"/>
      <c r="B255" s="69"/>
      <c r="C255" s="69"/>
      <c r="D255" s="69"/>
      <c r="E255" s="69"/>
      <c r="F255" s="69" t="s">
        <v>274</v>
      </c>
      <c r="G255" s="69" t="s">
        <v>2233</v>
      </c>
      <c r="H255" s="69" t="s">
        <v>1042</v>
      </c>
      <c r="I255" s="69" t="s">
        <v>2234</v>
      </c>
      <c r="J255" s="137" t="s">
        <v>71</v>
      </c>
      <c r="K255" s="137" t="s">
        <v>1278</v>
      </c>
      <c r="L255" s="137"/>
      <c r="M255" s="137" t="s">
        <v>2235</v>
      </c>
      <c r="N255" s="137"/>
      <c r="O255" s="139">
        <f t="shared" si="28"/>
        <v>16</v>
      </c>
      <c r="P255" s="140" t="s">
        <v>2236</v>
      </c>
      <c r="Q255" s="139">
        <f t="shared" si="29"/>
        <v>12</v>
      </c>
      <c r="R255" s="141">
        <f t="shared" si="30"/>
        <v>0.5714285714285714</v>
      </c>
      <c r="S255" s="142"/>
      <c r="T255" s="142"/>
      <c r="U255" s="142"/>
      <c r="V255" s="70" t="s">
        <v>2222</v>
      </c>
      <c r="W255" s="70" t="s">
        <v>2222</v>
      </c>
      <c r="X255" s="70" t="s">
        <v>2222</v>
      </c>
      <c r="Y255" s="70" t="s">
        <v>2222</v>
      </c>
      <c r="Z255" s="70" t="s">
        <v>2222</v>
      </c>
      <c r="AA255" s="142"/>
      <c r="AB255" s="142"/>
      <c r="AC255" s="70" t="s">
        <v>2222</v>
      </c>
      <c r="AD255" s="70" t="s">
        <v>2222</v>
      </c>
      <c r="AE255" s="70" t="s">
        <v>2222</v>
      </c>
      <c r="AF255" s="70" t="s">
        <v>2222</v>
      </c>
      <c r="AG255" s="70" t="s">
        <v>2222</v>
      </c>
      <c r="AH255" s="70"/>
      <c r="AI255" s="70"/>
      <c r="AJ255" s="70" t="s">
        <v>2222</v>
      </c>
      <c r="AK255" s="70" t="s">
        <v>2222</v>
      </c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  <c r="AW255"/>
    </row>
    <row r="256" spans="1:49" ht="15.75" hidden="1" thickBot="1" x14ac:dyDescent="0.3">
      <c r="A256"/>
      <c r="B256"/>
      <c r="C256"/>
      <c r="D256"/>
      <c r="E256"/>
      <c r="F256" t="s">
        <v>274</v>
      </c>
      <c r="G256" t="s">
        <v>2237</v>
      </c>
      <c r="H256" t="s">
        <v>1042</v>
      </c>
      <c r="I256" t="s">
        <v>2234</v>
      </c>
      <c r="J256" s="30" t="s">
        <v>14</v>
      </c>
      <c r="K256" s="84" t="s">
        <v>1278</v>
      </c>
      <c r="L256" s="30"/>
      <c r="M256" s="30" t="s">
        <v>2282</v>
      </c>
      <c r="N256" s="30"/>
      <c r="O256" s="31">
        <f t="shared" si="28"/>
        <v>27</v>
      </c>
      <c r="P256" s="136" t="s">
        <v>2394</v>
      </c>
      <c r="Q256" s="31">
        <f t="shared" si="29"/>
        <v>1</v>
      </c>
      <c r="R256" s="32">
        <f t="shared" si="30"/>
        <v>0.9642857142857143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 t="s">
        <v>2222</v>
      </c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9" s="69" customFormat="1" ht="15.75" hidden="1" thickBot="1" x14ac:dyDescent="0.3">
      <c r="A257"/>
      <c r="B257"/>
      <c r="C257"/>
      <c r="D257"/>
      <c r="E257"/>
      <c r="F257" t="s">
        <v>274</v>
      </c>
      <c r="G257" t="s">
        <v>2238</v>
      </c>
      <c r="H257" t="s">
        <v>1042</v>
      </c>
      <c r="I257" t="s">
        <v>2239</v>
      </c>
      <c r="J257" s="30" t="s">
        <v>14</v>
      </c>
      <c r="K257" s="84" t="s">
        <v>1278</v>
      </c>
      <c r="L257" s="30"/>
      <c r="M257" s="30" t="s">
        <v>2322</v>
      </c>
      <c r="N257" s="30"/>
      <c r="O257" s="31">
        <f t="shared" si="28"/>
        <v>28</v>
      </c>
      <c r="P257" s="136" t="s">
        <v>2395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/>
    </row>
    <row r="258" spans="1:49" s="69" customFormat="1" ht="15.75" hidden="1" thickBot="1" x14ac:dyDescent="0.3">
      <c r="A258"/>
      <c r="B258"/>
      <c r="C258"/>
      <c r="D258"/>
      <c r="E258"/>
      <c r="F258" t="s">
        <v>2161</v>
      </c>
      <c r="G258" t="s">
        <v>2162</v>
      </c>
      <c r="H258" t="s">
        <v>1042</v>
      </c>
      <c r="I258" t="s">
        <v>2163</v>
      </c>
      <c r="J258" s="30" t="s">
        <v>18</v>
      </c>
      <c r="K258" s="84" t="s">
        <v>1278</v>
      </c>
      <c r="L258" s="30"/>
      <c r="M258" s="30" t="s">
        <v>2283</v>
      </c>
      <c r="N258" s="30"/>
      <c r="O258" s="131">
        <f t="shared" si="28"/>
        <v>28</v>
      </c>
      <c r="P258" s="136" t="s">
        <v>2164</v>
      </c>
      <c r="Q258" s="131">
        <f t="shared" si="29"/>
        <v>0</v>
      </c>
      <c r="R258" s="1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ht="15.75" hidden="1" thickBot="1" x14ac:dyDescent="0.3">
      <c r="A259"/>
      <c r="B259"/>
      <c r="C259"/>
      <c r="D259"/>
      <c r="E259"/>
      <c r="F259" t="s">
        <v>2161</v>
      </c>
      <c r="G259" t="s">
        <v>2165</v>
      </c>
      <c r="H259" t="s">
        <v>1042</v>
      </c>
      <c r="I259" t="s">
        <v>2166</v>
      </c>
      <c r="J259" s="30" t="s">
        <v>18</v>
      </c>
      <c r="K259" s="84" t="s">
        <v>1278</v>
      </c>
      <c r="L259" s="30"/>
      <c r="M259" s="30" t="s">
        <v>2284</v>
      </c>
      <c r="N259" s="30"/>
      <c r="O259" s="131">
        <f t="shared" si="28"/>
        <v>28</v>
      </c>
      <c r="P259" s="136" t="s">
        <v>2167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3"/>
    </row>
    <row r="260" spans="1:49" ht="15.75" hidden="1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1042</v>
      </c>
      <c r="I260" t="s">
        <v>13</v>
      </c>
      <c r="J260" s="30" t="s">
        <v>14</v>
      </c>
      <c r="K260" s="30" t="s">
        <v>1278</v>
      </c>
      <c r="L260" s="30"/>
      <c r="M260" s="30" t="s">
        <v>713</v>
      </c>
      <c r="N260" s="30"/>
      <c r="O260" s="31">
        <f t="shared" si="28"/>
        <v>21</v>
      </c>
      <c r="P260" s="136" t="s">
        <v>2396</v>
      </c>
      <c r="Q260" s="31">
        <f t="shared" si="29"/>
        <v>7</v>
      </c>
      <c r="R260" s="32">
        <f t="shared" si="30"/>
        <v>0.75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2222</v>
      </c>
      <c r="AD260" s="70" t="s">
        <v>2222</v>
      </c>
      <c r="AE260" s="70" t="s">
        <v>2222</v>
      </c>
      <c r="AF260" s="70" t="s">
        <v>2222</v>
      </c>
      <c r="AG260" s="70" t="s">
        <v>2222</v>
      </c>
      <c r="AH260" s="70"/>
      <c r="AI260" s="70"/>
      <c r="AJ260" s="70" t="s">
        <v>2222</v>
      </c>
      <c r="AK260" s="70" t="s">
        <v>2222</v>
      </c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9" ht="15.75" hidden="1" thickBot="1" x14ac:dyDescent="0.3">
      <c r="A261"/>
      <c r="B261"/>
      <c r="C261"/>
      <c r="D261"/>
      <c r="E261" t="s">
        <v>2348</v>
      </c>
      <c r="F261" t="s">
        <v>362</v>
      </c>
      <c r="G261" t="s">
        <v>948</v>
      </c>
      <c r="H261" t="s">
        <v>1042</v>
      </c>
      <c r="I261" t="s">
        <v>949</v>
      </c>
      <c r="J261" s="30" t="s">
        <v>71</v>
      </c>
      <c r="K261" s="30" t="s">
        <v>27</v>
      </c>
      <c r="L261" s="30"/>
      <c r="M261" s="30" t="s">
        <v>1194</v>
      </c>
      <c r="N261" s="30"/>
      <c r="O261" s="31">
        <f t="shared" si="28"/>
        <v>28</v>
      </c>
      <c r="P261" s="136" t="s">
        <v>1827</v>
      </c>
      <c r="Q261" s="31">
        <f t="shared" si="29"/>
        <v>0</v>
      </c>
      <c r="R261" s="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2348</v>
      </c>
      <c r="F262" t="s">
        <v>950</v>
      </c>
      <c r="G262" t="s">
        <v>2317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1195</v>
      </c>
      <c r="N262" s="30"/>
      <c r="O262" s="31">
        <f t="shared" si="28"/>
        <v>28</v>
      </c>
      <c r="P262" s="136" t="s">
        <v>1828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hidden="1" thickBot="1" x14ac:dyDescent="0.3">
      <c r="A263"/>
      <c r="B263"/>
      <c r="C263"/>
      <c r="D263"/>
      <c r="E263"/>
      <c r="G263" t="s">
        <v>2316</v>
      </c>
      <c r="H263" t="s">
        <v>1042</v>
      </c>
      <c r="I263" t="s">
        <v>2319</v>
      </c>
      <c r="J263" s="30" t="s">
        <v>45</v>
      </c>
      <c r="K263" s="30" t="s">
        <v>1278</v>
      </c>
      <c r="L263" s="30"/>
      <c r="M263" s="30" t="s">
        <v>2320</v>
      </c>
      <c r="N263" s="30"/>
      <c r="O263" s="31"/>
      <c r="P263" s="136" t="s">
        <v>2421</v>
      </c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/>
      <c r="G264" t="s">
        <v>2318</v>
      </c>
      <c r="H264" t="s">
        <v>1042</v>
      </c>
      <c r="I264" t="s">
        <v>2319</v>
      </c>
      <c r="J264" s="30" t="s">
        <v>14</v>
      </c>
      <c r="K264" s="30" t="s">
        <v>1278</v>
      </c>
      <c r="L264" s="30"/>
      <c r="M264" s="30" t="s">
        <v>2321</v>
      </c>
      <c r="N264" s="30"/>
      <c r="O264" s="31"/>
      <c r="P264" s="136" t="s">
        <v>2397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F265" s="73" t="s">
        <v>16</v>
      </c>
      <c r="G265" s="133" t="s">
        <v>17</v>
      </c>
      <c r="H265" s="73" t="s">
        <v>1042</v>
      </c>
      <c r="I265" s="73" t="s">
        <v>1068</v>
      </c>
      <c r="J265" s="84" t="s">
        <v>18</v>
      </c>
      <c r="K265" s="84" t="s">
        <v>1278</v>
      </c>
      <c r="L265" s="84"/>
      <c r="M265" s="84" t="s">
        <v>1353</v>
      </c>
      <c r="N265" s="84"/>
      <c r="O265" s="131">
        <f t="shared" ref="O265:O328" si="31">COUNTIF(S265:AT265,"")</f>
        <v>28</v>
      </c>
      <c r="P265" s="136" t="s">
        <v>1829</v>
      </c>
      <c r="Q265" s="131">
        <f t="shared" ref="Q265:Q328" si="32">COUNTIF(S265:AT265,"APAGADO")</f>
        <v>0</v>
      </c>
      <c r="R265" s="132">
        <f t="shared" ref="R265:R328" si="33">(O265)/(Q265+O265)</f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s="73" customFormat="1" ht="15.75" hidden="1" thickBot="1" x14ac:dyDescent="0.3">
      <c r="A266"/>
      <c r="B266"/>
      <c r="C266"/>
      <c r="D266"/>
      <c r="E266"/>
      <c r="F266" s="73" t="s">
        <v>16</v>
      </c>
      <c r="G266" s="133" t="s">
        <v>20</v>
      </c>
      <c r="H266" s="73" t="s">
        <v>1042</v>
      </c>
      <c r="I266" s="73" t="s">
        <v>21</v>
      </c>
      <c r="J266" s="84" t="s">
        <v>18</v>
      </c>
      <c r="K266" s="84" t="s">
        <v>1278</v>
      </c>
      <c r="L266" s="84"/>
      <c r="M266" s="84" t="s">
        <v>1354</v>
      </c>
      <c r="N266" s="84"/>
      <c r="O266" s="131">
        <f t="shared" si="31"/>
        <v>28</v>
      </c>
      <c r="P266" s="136" t="s">
        <v>1830</v>
      </c>
      <c r="Q266" s="131">
        <f t="shared" si="32"/>
        <v>0</v>
      </c>
      <c r="R266" s="132">
        <f t="shared" si="33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/>
    </row>
    <row r="267" spans="1:49" s="73" customFormat="1" ht="15.75" hidden="1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1042</v>
      </c>
      <c r="I267" t="s">
        <v>596</v>
      </c>
      <c r="J267" s="30" t="s">
        <v>14</v>
      </c>
      <c r="K267" s="30" t="s">
        <v>1035</v>
      </c>
      <c r="L267" s="30" t="s">
        <v>1231</v>
      </c>
      <c r="M267" s="30" t="s">
        <v>714</v>
      </c>
      <c r="N267" s="30"/>
      <c r="O267" s="31">
        <f t="shared" si="31"/>
        <v>28</v>
      </c>
      <c r="P267" s="136" t="s">
        <v>1831</v>
      </c>
      <c r="Q267" s="31">
        <f t="shared" si="32"/>
        <v>0</v>
      </c>
      <c r="R267" s="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ht="15.75" hidden="1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1042</v>
      </c>
      <c r="I268" t="s">
        <v>24</v>
      </c>
      <c r="J268" s="30" t="s">
        <v>14</v>
      </c>
      <c r="K268" s="30" t="s">
        <v>19</v>
      </c>
      <c r="L268" s="30"/>
      <c r="M268" s="30" t="s">
        <v>715</v>
      </c>
      <c r="N268" s="30"/>
      <c r="O268" s="31">
        <f t="shared" si="31"/>
        <v>28</v>
      </c>
      <c r="P268" s="136" t="s">
        <v>2398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ht="13.5" hidden="1" customHeight="1" thickBot="1" x14ac:dyDescent="0.3">
      <c r="A269">
        <v>1</v>
      </c>
      <c r="B269">
        <v>14</v>
      </c>
      <c r="C269"/>
      <c r="D269"/>
      <c r="E269" t="s">
        <v>2367</v>
      </c>
      <c r="F269" s="69"/>
      <c r="G269" t="s">
        <v>1208</v>
      </c>
      <c r="H269" t="s">
        <v>1041</v>
      </c>
      <c r="I269" t="s">
        <v>1209</v>
      </c>
      <c r="J269" t="s">
        <v>18</v>
      </c>
      <c r="K269" t="s">
        <v>27</v>
      </c>
      <c r="L269"/>
      <c r="M269" s="30" t="s">
        <v>1249</v>
      </c>
      <c r="N269" s="30"/>
      <c r="O269" s="31">
        <f t="shared" si="31"/>
        <v>28</v>
      </c>
      <c r="P269" s="136" t="s">
        <v>1832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42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29"/>
    </row>
    <row r="270" spans="1:49" ht="14.25" hidden="1" customHeight="1" thickBot="1" x14ac:dyDescent="0.3">
      <c r="A270">
        <v>1</v>
      </c>
      <c r="B270">
        <v>14</v>
      </c>
      <c r="C270"/>
      <c r="D270"/>
      <c r="E270" t="s">
        <v>2367</v>
      </c>
      <c r="F270" s="73"/>
      <c r="G270" t="s">
        <v>1293</v>
      </c>
      <c r="H270" t="s">
        <v>1041</v>
      </c>
      <c r="I270" t="s">
        <v>1296</v>
      </c>
      <c r="J270" s="30" t="s">
        <v>14</v>
      </c>
      <c r="K270" s="30" t="s">
        <v>27</v>
      </c>
      <c r="L270"/>
      <c r="M270" s="30" t="s">
        <v>1308</v>
      </c>
      <c r="N270" s="30"/>
      <c r="O270" s="31">
        <f t="shared" si="31"/>
        <v>16</v>
      </c>
      <c r="P270" s="136" t="s">
        <v>1833</v>
      </c>
      <c r="Q270" s="31">
        <f t="shared" si="32"/>
        <v>12</v>
      </c>
      <c r="R270" s="32">
        <f t="shared" si="33"/>
        <v>0.5714285714285714</v>
      </c>
      <c r="S270" s="70"/>
      <c r="T270" s="70"/>
      <c r="U270" s="70"/>
      <c r="V270" s="70" t="s">
        <v>2222</v>
      </c>
      <c r="W270" s="70" t="s">
        <v>2222</v>
      </c>
      <c r="X270" s="70" t="s">
        <v>2222</v>
      </c>
      <c r="Y270" s="70" t="s">
        <v>2222</v>
      </c>
      <c r="Z270" s="70" t="s">
        <v>2222</v>
      </c>
      <c r="AA270" s="70"/>
      <c r="AB270" s="70"/>
      <c r="AC270" s="70" t="s">
        <v>2222</v>
      </c>
      <c r="AD270" s="70" t="s">
        <v>2222</v>
      </c>
      <c r="AE270" s="70" t="s">
        <v>2222</v>
      </c>
      <c r="AF270" s="70" t="s">
        <v>2222</v>
      </c>
      <c r="AG270" s="70" t="s">
        <v>2222</v>
      </c>
      <c r="AH270" s="70"/>
      <c r="AI270" s="70"/>
      <c r="AJ270" s="70" t="s">
        <v>2222</v>
      </c>
      <c r="AK270" s="70" t="s">
        <v>2222</v>
      </c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5" hidden="1" customHeight="1" thickBot="1" x14ac:dyDescent="0.3">
      <c r="A271"/>
      <c r="B271"/>
      <c r="C271"/>
      <c r="D271"/>
      <c r="E271"/>
      <c r="F271" s="73" t="s">
        <v>277</v>
      </c>
      <c r="G271" s="73" t="s">
        <v>951</v>
      </c>
      <c r="H271" s="73" t="s">
        <v>1041</v>
      </c>
      <c r="I271" s="73" t="s">
        <v>278</v>
      </c>
      <c r="J271" s="84" t="s">
        <v>71</v>
      </c>
      <c r="K271" s="84" t="s">
        <v>1278</v>
      </c>
      <c r="L271" s="84"/>
      <c r="M271" s="84" t="s">
        <v>716</v>
      </c>
      <c r="N271" s="84"/>
      <c r="O271" s="131">
        <f t="shared" si="31"/>
        <v>28</v>
      </c>
      <c r="P271" s="136" t="s">
        <v>1834</v>
      </c>
      <c r="Q271" s="131">
        <f t="shared" si="32"/>
        <v>0</v>
      </c>
      <c r="R271" s="1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s="73" customFormat="1" ht="15.75" hidden="1" thickBot="1" x14ac:dyDescent="0.3">
      <c r="A272"/>
      <c r="B272"/>
      <c r="C272"/>
      <c r="D272"/>
      <c r="E272" s="151" t="s">
        <v>2439</v>
      </c>
      <c r="F272" t="s">
        <v>281</v>
      </c>
      <c r="G272" t="s">
        <v>952</v>
      </c>
      <c r="H272" t="s">
        <v>1041</v>
      </c>
      <c r="I272" t="s">
        <v>282</v>
      </c>
      <c r="J272" s="30" t="s">
        <v>18</v>
      </c>
      <c r="K272" s="30" t="s">
        <v>1278</v>
      </c>
      <c r="L272" s="30"/>
      <c r="M272" s="30" t="s">
        <v>717</v>
      </c>
      <c r="N272" s="30"/>
      <c r="O272" s="31">
        <f t="shared" si="31"/>
        <v>28</v>
      </c>
      <c r="P272" s="136" t="s">
        <v>1836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/>
    </row>
    <row r="273" spans="1:49" ht="15.75" hidden="1" thickBot="1" x14ac:dyDescent="0.3">
      <c r="A273"/>
      <c r="B273"/>
      <c r="C273"/>
      <c r="D273"/>
      <c r="E273" s="151" t="s">
        <v>2439</v>
      </c>
      <c r="F273" t="s">
        <v>281</v>
      </c>
      <c r="G273" t="s">
        <v>953</v>
      </c>
      <c r="H273" t="s">
        <v>1041</v>
      </c>
      <c r="I273" t="s">
        <v>285</v>
      </c>
      <c r="J273" s="30" t="s">
        <v>18</v>
      </c>
      <c r="K273" s="30" t="s">
        <v>2440</v>
      </c>
      <c r="L273" s="30"/>
      <c r="M273" s="30" t="s">
        <v>719</v>
      </c>
      <c r="N273" s="30"/>
      <c r="O273" s="31">
        <f t="shared" si="31"/>
        <v>28</v>
      </c>
      <c r="P273" s="136" t="s">
        <v>1837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.75" hidden="1" thickBot="1" x14ac:dyDescent="0.3">
      <c r="A274"/>
      <c r="B274"/>
      <c r="C274"/>
      <c r="D274"/>
      <c r="E274"/>
      <c r="F274" s="73" t="s">
        <v>277</v>
      </c>
      <c r="G274" s="73" t="s">
        <v>1222</v>
      </c>
      <c r="H274" s="73" t="s">
        <v>1041</v>
      </c>
      <c r="I274" s="73" t="s">
        <v>1223</v>
      </c>
      <c r="J274" s="84" t="s">
        <v>18</v>
      </c>
      <c r="K274" s="84" t="s">
        <v>1278</v>
      </c>
      <c r="L274" s="84"/>
      <c r="M274" s="84" t="s">
        <v>1224</v>
      </c>
      <c r="N274" s="84" t="s">
        <v>2266</v>
      </c>
      <c r="O274" s="131">
        <f t="shared" si="31"/>
        <v>24</v>
      </c>
      <c r="P274" s="136" t="s">
        <v>1839</v>
      </c>
      <c r="Q274" s="131">
        <f t="shared" si="32"/>
        <v>4</v>
      </c>
      <c r="R274" s="132">
        <f t="shared" si="33"/>
        <v>0.8571428571428571</v>
      </c>
      <c r="S274" s="70"/>
      <c r="T274" s="70"/>
      <c r="U274" s="70"/>
      <c r="V274" s="70" t="s">
        <v>2222</v>
      </c>
      <c r="W274" s="70" t="s">
        <v>2222</v>
      </c>
      <c r="X274" s="70" t="s">
        <v>2222</v>
      </c>
      <c r="Y274" s="70" t="s">
        <v>2222</v>
      </c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>
        <v>1</v>
      </c>
      <c r="B275">
        <v>19</v>
      </c>
      <c r="C275"/>
      <c r="D275"/>
      <c r="E275" t="s">
        <v>2328</v>
      </c>
      <c r="F275" t="s">
        <v>277</v>
      </c>
      <c r="G275" t="s">
        <v>1261</v>
      </c>
      <c r="H275" t="s">
        <v>1041</v>
      </c>
      <c r="I275" t="s">
        <v>1262</v>
      </c>
      <c r="J275" s="30" t="s">
        <v>18</v>
      </c>
      <c r="K275" s="30" t="s">
        <v>1035</v>
      </c>
      <c r="L275" s="30"/>
      <c r="M275" s="30" t="s">
        <v>1336</v>
      </c>
      <c r="N275" s="30"/>
      <c r="O275" s="31">
        <f t="shared" si="31"/>
        <v>17</v>
      </c>
      <c r="P275" s="136" t="s">
        <v>1840</v>
      </c>
      <c r="Q275" s="31">
        <f t="shared" si="32"/>
        <v>11</v>
      </c>
      <c r="R275" s="32">
        <f t="shared" si="33"/>
        <v>0.6071428571428571</v>
      </c>
      <c r="S275" s="70"/>
      <c r="T275" s="70"/>
      <c r="U275" s="70"/>
      <c r="V275" s="70"/>
      <c r="W275" s="70" t="s">
        <v>2222</v>
      </c>
      <c r="X275" s="70" t="s">
        <v>2222</v>
      </c>
      <c r="Y275" s="70" t="s">
        <v>2222</v>
      </c>
      <c r="Z275" s="70" t="s">
        <v>2222</v>
      </c>
      <c r="AA275" s="70"/>
      <c r="AB275" s="70"/>
      <c r="AC275" s="70" t="s">
        <v>2222</v>
      </c>
      <c r="AD275" s="70" t="s">
        <v>2222</v>
      </c>
      <c r="AE275" s="70" t="s">
        <v>2222</v>
      </c>
      <c r="AF275" s="70" t="s">
        <v>2222</v>
      </c>
      <c r="AG275" s="70" t="s">
        <v>2222</v>
      </c>
      <c r="AH275" s="70"/>
      <c r="AI275" s="70"/>
      <c r="AJ275" s="70" t="s">
        <v>2222</v>
      </c>
      <c r="AK275" s="70" t="s">
        <v>2222</v>
      </c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2328</v>
      </c>
      <c r="F276" t="s">
        <v>254</v>
      </c>
      <c r="G276" t="s">
        <v>279</v>
      </c>
      <c r="H276" t="s">
        <v>1041</v>
      </c>
      <c r="I276" t="s">
        <v>280</v>
      </c>
      <c r="J276" s="30" t="s">
        <v>71</v>
      </c>
      <c r="K276" s="30" t="s">
        <v>27</v>
      </c>
      <c r="L276" s="30"/>
      <c r="M276" s="30" t="s">
        <v>1039</v>
      </c>
      <c r="N276" s="30"/>
      <c r="O276" s="31">
        <f t="shared" si="31"/>
        <v>28</v>
      </c>
      <c r="P276" s="136" t="s">
        <v>1835</v>
      </c>
      <c r="Q276" s="31">
        <f t="shared" si="32"/>
        <v>0</v>
      </c>
      <c r="R276" s="32">
        <f t="shared" si="33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2328</v>
      </c>
      <c r="F277" t="s">
        <v>277</v>
      </c>
      <c r="G277" t="s">
        <v>283</v>
      </c>
      <c r="H277" t="s">
        <v>1041</v>
      </c>
      <c r="I277" t="s">
        <v>284</v>
      </c>
      <c r="J277" s="30" t="s">
        <v>18</v>
      </c>
      <c r="K277" s="30" t="s">
        <v>27</v>
      </c>
      <c r="L277" s="30"/>
      <c r="M277" s="30" t="s">
        <v>718</v>
      </c>
      <c r="N277" s="30"/>
      <c r="O277" s="31">
        <f t="shared" si="31"/>
        <v>28</v>
      </c>
      <c r="P277" s="136" t="s">
        <v>1823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s="73" customFormat="1" ht="15.75" hidden="1" thickBot="1" x14ac:dyDescent="0.3">
      <c r="A278"/>
      <c r="B278"/>
      <c r="C278"/>
      <c r="D278"/>
      <c r="E278"/>
      <c r="F278" t="s">
        <v>281</v>
      </c>
      <c r="G278" t="s">
        <v>286</v>
      </c>
      <c r="H278" t="s">
        <v>1041</v>
      </c>
      <c r="I278" t="s">
        <v>287</v>
      </c>
      <c r="J278" s="30" t="s">
        <v>14</v>
      </c>
      <c r="K278" s="30" t="s">
        <v>1035</v>
      </c>
      <c r="L278" s="30"/>
      <c r="M278" s="30" t="s">
        <v>720</v>
      </c>
      <c r="N278" s="30"/>
      <c r="O278" s="31">
        <f t="shared" si="31"/>
        <v>28</v>
      </c>
      <c r="P278" s="136" t="s">
        <v>1838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hidden="1" thickBot="1" x14ac:dyDescent="0.3">
      <c r="A279">
        <v>1</v>
      </c>
      <c r="B279">
        <v>18</v>
      </c>
      <c r="C279"/>
      <c r="D279"/>
      <c r="E279" t="s">
        <v>2361</v>
      </c>
      <c r="F279" t="s">
        <v>288</v>
      </c>
      <c r="G279" t="s">
        <v>289</v>
      </c>
      <c r="H279" t="s">
        <v>1041</v>
      </c>
      <c r="I279" t="s">
        <v>290</v>
      </c>
      <c r="J279" s="30" t="s">
        <v>71</v>
      </c>
      <c r="K279" s="30" t="s">
        <v>27</v>
      </c>
      <c r="L279" s="30"/>
      <c r="M279" s="30" t="s">
        <v>721</v>
      </c>
      <c r="N279" s="30" t="s">
        <v>2266</v>
      </c>
      <c r="O279" s="31">
        <f t="shared" si="31"/>
        <v>28</v>
      </c>
      <c r="P279" s="136" t="s">
        <v>1841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3"/>
    </row>
    <row r="280" spans="1:49" ht="15.75" hidden="1" thickBot="1" x14ac:dyDescent="0.3">
      <c r="A280">
        <v>1</v>
      </c>
      <c r="B280">
        <v>14</v>
      </c>
      <c r="C280"/>
      <c r="D280"/>
      <c r="E280" t="s">
        <v>2367</v>
      </c>
      <c r="F280" t="s">
        <v>288</v>
      </c>
      <c r="G280" t="s">
        <v>291</v>
      </c>
      <c r="H280" t="s">
        <v>1041</v>
      </c>
      <c r="I280" t="s">
        <v>292</v>
      </c>
      <c r="J280" s="30" t="s">
        <v>18</v>
      </c>
      <c r="K280" s="30" t="s">
        <v>27</v>
      </c>
      <c r="L280" s="30"/>
      <c r="M280" s="30" t="s">
        <v>2264</v>
      </c>
      <c r="N280" s="30"/>
      <c r="O280" s="31">
        <f t="shared" si="31"/>
        <v>28</v>
      </c>
      <c r="P280" s="136" t="s">
        <v>1842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142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29"/>
      <c r="AW280" s="73"/>
    </row>
    <row r="281" spans="1:49" ht="15.75" hidden="1" thickBot="1" x14ac:dyDescent="0.3">
      <c r="A281"/>
      <c r="B281"/>
      <c r="C281"/>
      <c r="D281"/>
      <c r="E281"/>
      <c r="F281" t="s">
        <v>288</v>
      </c>
      <c r="G281" t="s">
        <v>293</v>
      </c>
      <c r="H281" t="s">
        <v>1041</v>
      </c>
      <c r="I281" t="s">
        <v>294</v>
      </c>
      <c r="J281" s="30" t="s">
        <v>18</v>
      </c>
      <c r="K281" s="30" t="s">
        <v>1035</v>
      </c>
      <c r="L281" s="30"/>
      <c r="M281" s="30" t="s">
        <v>1468</v>
      </c>
      <c r="N281" s="30"/>
      <c r="O281" s="31">
        <f t="shared" si="31"/>
        <v>28</v>
      </c>
      <c r="P281" s="136" t="s">
        <v>1843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hidden="1" thickBot="1" x14ac:dyDescent="0.3">
      <c r="A282"/>
      <c r="B282"/>
      <c r="C282"/>
      <c r="D282"/>
      <c r="E282"/>
      <c r="F282" s="73" t="s">
        <v>288</v>
      </c>
      <c r="G282" s="73" t="s">
        <v>295</v>
      </c>
      <c r="H282" s="73" t="s">
        <v>1041</v>
      </c>
      <c r="I282" s="73" t="s">
        <v>296</v>
      </c>
      <c r="J282" s="84" t="s">
        <v>18</v>
      </c>
      <c r="K282" s="84" t="s">
        <v>1278</v>
      </c>
      <c r="L282" s="84"/>
      <c r="M282" s="84" t="s">
        <v>1469</v>
      </c>
      <c r="N282" s="84"/>
      <c r="O282" s="131">
        <f t="shared" si="31"/>
        <v>28</v>
      </c>
      <c r="P282" s="136" t="s">
        <v>1844</v>
      </c>
      <c r="Q282" s="131">
        <f t="shared" si="32"/>
        <v>0</v>
      </c>
      <c r="R282" s="1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s="73" customFormat="1" ht="15.75" hidden="1" thickBot="1" x14ac:dyDescent="0.3">
      <c r="A283">
        <v>1</v>
      </c>
      <c r="B283">
        <v>14</v>
      </c>
      <c r="C283"/>
      <c r="D283"/>
      <c r="E283" t="s">
        <v>2367</v>
      </c>
      <c r="F283" t="s">
        <v>288</v>
      </c>
      <c r="G283" t="s">
        <v>1463</v>
      </c>
      <c r="H283" t="s">
        <v>1041</v>
      </c>
      <c r="I283" t="s">
        <v>1462</v>
      </c>
      <c r="J283" s="30" t="s">
        <v>71</v>
      </c>
      <c r="K283" s="30" t="s">
        <v>27</v>
      </c>
      <c r="L283" s="30"/>
      <c r="M283" s="30" t="s">
        <v>1464</v>
      </c>
      <c r="N283" s="30" t="s">
        <v>2266</v>
      </c>
      <c r="O283" s="131">
        <f t="shared" si="31"/>
        <v>28</v>
      </c>
      <c r="P283" s="136" t="s">
        <v>1845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9" ht="15.75" hidden="1" thickBot="1" x14ac:dyDescent="0.3">
      <c r="A284">
        <v>1</v>
      </c>
      <c r="B284">
        <v>14</v>
      </c>
      <c r="C284"/>
      <c r="D284"/>
      <c r="E284" t="s">
        <v>2367</v>
      </c>
      <c r="F284" t="s">
        <v>288</v>
      </c>
      <c r="G284" t="s">
        <v>1465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1470</v>
      </c>
      <c r="N284" s="30" t="s">
        <v>2266</v>
      </c>
      <c r="O284" s="131">
        <f t="shared" si="31"/>
        <v>28</v>
      </c>
      <c r="P284" s="136" t="s">
        <v>1846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69"/>
    </row>
    <row r="285" spans="1:49" ht="15.75" hidden="1" thickBot="1" x14ac:dyDescent="0.3">
      <c r="A285">
        <v>3</v>
      </c>
      <c r="B285">
        <v>1</v>
      </c>
      <c r="C285"/>
      <c r="D285"/>
      <c r="E285" t="s">
        <v>2332</v>
      </c>
      <c r="F285" t="s">
        <v>297</v>
      </c>
      <c r="G285" t="s">
        <v>954</v>
      </c>
      <c r="H285" t="s">
        <v>1041</v>
      </c>
      <c r="I285" t="s">
        <v>300</v>
      </c>
      <c r="J285" s="30" t="s">
        <v>18</v>
      </c>
      <c r="K285" s="30" t="s">
        <v>27</v>
      </c>
      <c r="L285" s="30"/>
      <c r="M285" s="30" t="s">
        <v>722</v>
      </c>
      <c r="N285" s="30"/>
      <c r="O285" s="31">
        <f t="shared" si="31"/>
        <v>26</v>
      </c>
      <c r="P285" s="136" t="s">
        <v>1847</v>
      </c>
      <c r="Q285" s="31">
        <f t="shared" si="32"/>
        <v>2</v>
      </c>
      <c r="R285" s="32">
        <f t="shared" si="33"/>
        <v>0.9285714285714286</v>
      </c>
      <c r="S285" s="70"/>
      <c r="T285" s="70"/>
      <c r="U285" s="70"/>
      <c r="V285" s="70" t="s">
        <v>2222</v>
      </c>
      <c r="W285" s="70" t="s">
        <v>2222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29"/>
    </row>
    <row r="286" spans="1:49" ht="15.75" hidden="1" thickBot="1" x14ac:dyDescent="0.3">
      <c r="A286"/>
      <c r="B286"/>
      <c r="C286"/>
      <c r="D286"/>
      <c r="E286"/>
      <c r="F286" s="73" t="s">
        <v>297</v>
      </c>
      <c r="G286" s="73" t="s">
        <v>298</v>
      </c>
      <c r="H286" s="73" t="s">
        <v>1041</v>
      </c>
      <c r="I286" s="73" t="s">
        <v>299</v>
      </c>
      <c r="J286" s="84" t="s">
        <v>14</v>
      </c>
      <c r="K286" s="84" t="s">
        <v>1278</v>
      </c>
      <c r="L286" s="84"/>
      <c r="M286" s="84" t="s">
        <v>1347</v>
      </c>
      <c r="N286" s="84"/>
      <c r="O286" s="131">
        <f t="shared" si="31"/>
        <v>28</v>
      </c>
      <c r="P286" s="136" t="s">
        <v>1853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hidden="1" thickBot="1" x14ac:dyDescent="0.3">
      <c r="A287"/>
      <c r="B287"/>
      <c r="C287"/>
      <c r="D287"/>
      <c r="E287"/>
      <c r="F287" s="73" t="s">
        <v>297</v>
      </c>
      <c r="G287" s="73" t="s">
        <v>301</v>
      </c>
      <c r="H287" s="73" t="s">
        <v>1041</v>
      </c>
      <c r="I287" s="73" t="s">
        <v>302</v>
      </c>
      <c r="J287" s="84" t="s">
        <v>18</v>
      </c>
      <c r="K287" s="84" t="s">
        <v>1278</v>
      </c>
      <c r="L287" s="84"/>
      <c r="M287" s="84" t="s">
        <v>1348</v>
      </c>
      <c r="N287" s="84"/>
      <c r="O287" s="131">
        <f t="shared" si="31"/>
        <v>28</v>
      </c>
      <c r="P287" s="136" t="s">
        <v>1848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t="s">
        <v>297</v>
      </c>
      <c r="G288" t="s">
        <v>303</v>
      </c>
      <c r="H288" t="s">
        <v>1041</v>
      </c>
      <c r="I288" t="s">
        <v>304</v>
      </c>
      <c r="J288" s="30" t="s">
        <v>18</v>
      </c>
      <c r="K288" s="30" t="s">
        <v>1035</v>
      </c>
      <c r="L288" s="30" t="s">
        <v>1232</v>
      </c>
      <c r="M288" s="30" t="s">
        <v>723</v>
      </c>
      <c r="N288" s="30"/>
      <c r="O288" s="31">
        <f t="shared" si="31"/>
        <v>27</v>
      </c>
      <c r="P288" s="136" t="s">
        <v>1849</v>
      </c>
      <c r="Q288" s="31">
        <f t="shared" si="32"/>
        <v>1</v>
      </c>
      <c r="R288" s="32">
        <f t="shared" si="33"/>
        <v>0.9642857142857143</v>
      </c>
      <c r="S288" s="70"/>
      <c r="T288" s="70"/>
      <c r="U288" s="70"/>
      <c r="V288" s="70"/>
      <c r="W288" s="70"/>
      <c r="X288" s="70"/>
      <c r="Y288" s="70" t="s">
        <v>2222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s="73" customFormat="1" ht="15.75" hidden="1" thickBot="1" x14ac:dyDescent="0.3">
      <c r="A289"/>
      <c r="B289"/>
      <c r="C289"/>
      <c r="D289"/>
      <c r="E289"/>
      <c r="F289" s="73" t="s">
        <v>297</v>
      </c>
      <c r="G289" s="73" t="s">
        <v>305</v>
      </c>
      <c r="H289" s="73" t="s">
        <v>1041</v>
      </c>
      <c r="I289" s="73" t="s">
        <v>306</v>
      </c>
      <c r="J289" s="84" t="s">
        <v>18</v>
      </c>
      <c r="K289" s="84" t="s">
        <v>1278</v>
      </c>
      <c r="L289" s="84"/>
      <c r="M289" s="84" t="s">
        <v>1338</v>
      </c>
      <c r="N289" s="84"/>
      <c r="O289" s="131">
        <f t="shared" si="31"/>
        <v>24</v>
      </c>
      <c r="P289" s="136" t="s">
        <v>1850</v>
      </c>
      <c r="Q289" s="131">
        <f t="shared" si="32"/>
        <v>4</v>
      </c>
      <c r="R289" s="132">
        <f t="shared" si="33"/>
        <v>0.8571428571428571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 t="s">
        <v>2222</v>
      </c>
      <c r="AF289" s="70" t="s">
        <v>2222</v>
      </c>
      <c r="AG289" s="70" t="s">
        <v>2222</v>
      </c>
      <c r="AH289" s="70"/>
      <c r="AI289" s="70"/>
      <c r="AJ289" s="70" t="s">
        <v>2222</v>
      </c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/>
    </row>
    <row r="290" spans="1:49" ht="15.75" hidden="1" thickBot="1" x14ac:dyDescent="0.3">
      <c r="A290"/>
      <c r="B290"/>
      <c r="C290"/>
      <c r="D290"/>
      <c r="E290"/>
      <c r="F290" s="73" t="s">
        <v>307</v>
      </c>
      <c r="G290" s="73" t="s">
        <v>308</v>
      </c>
      <c r="H290" s="73" t="s">
        <v>1041</v>
      </c>
      <c r="I290" s="73" t="s">
        <v>309</v>
      </c>
      <c r="J290" s="84" t="s">
        <v>18</v>
      </c>
      <c r="K290" s="84" t="s">
        <v>1278</v>
      </c>
      <c r="L290" s="84"/>
      <c r="M290" s="134" t="s">
        <v>1339</v>
      </c>
      <c r="N290" s="134"/>
      <c r="O290" s="131">
        <f t="shared" si="31"/>
        <v>27</v>
      </c>
      <c r="P290" s="136" t="s">
        <v>1851</v>
      </c>
      <c r="Q290" s="131">
        <f t="shared" si="32"/>
        <v>1</v>
      </c>
      <c r="R290" s="132">
        <f t="shared" si="33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 t="s">
        <v>2222</v>
      </c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s="73" customFormat="1" ht="15.75" hidden="1" thickBot="1" x14ac:dyDescent="0.3">
      <c r="A291">
        <v>3</v>
      </c>
      <c r="B291">
        <v>1</v>
      </c>
      <c r="C291"/>
      <c r="D291"/>
      <c r="E291" t="s">
        <v>2332</v>
      </c>
      <c r="F291" t="s">
        <v>51</v>
      </c>
      <c r="G291" t="s">
        <v>310</v>
      </c>
      <c r="H291" t="s">
        <v>1041</v>
      </c>
      <c r="I291" t="s">
        <v>311</v>
      </c>
      <c r="J291" s="30" t="s">
        <v>18</v>
      </c>
      <c r="K291" s="30" t="s">
        <v>27</v>
      </c>
      <c r="L291" s="30"/>
      <c r="M291" s="30" t="s">
        <v>724</v>
      </c>
      <c r="N291" s="30"/>
      <c r="O291" s="31">
        <f t="shared" si="31"/>
        <v>27</v>
      </c>
      <c r="P291" s="136" t="s">
        <v>1656</v>
      </c>
      <c r="Q291" s="31">
        <f t="shared" si="32"/>
        <v>1</v>
      </c>
      <c r="R291" s="32">
        <f t="shared" si="33"/>
        <v>0.9642857142857143</v>
      </c>
      <c r="S291" s="70"/>
      <c r="T291" s="70"/>
      <c r="U291" s="70"/>
      <c r="V291" s="70" t="s">
        <v>2222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/>
    </row>
    <row r="292" spans="1:49" s="73" customFormat="1" ht="15.75" hidden="1" thickBot="1" x14ac:dyDescent="0.3">
      <c r="A292">
        <v>3</v>
      </c>
      <c r="B292">
        <v>1</v>
      </c>
      <c r="C292"/>
      <c r="D292"/>
      <c r="E292" t="s">
        <v>2332</v>
      </c>
      <c r="F292" t="s">
        <v>297</v>
      </c>
      <c r="G292" t="s">
        <v>312</v>
      </c>
      <c r="H292" t="s">
        <v>1041</v>
      </c>
      <c r="I292" t="s">
        <v>313</v>
      </c>
      <c r="J292" s="30" t="s">
        <v>18</v>
      </c>
      <c r="K292" s="30" t="s">
        <v>27</v>
      </c>
      <c r="L292" s="30"/>
      <c r="M292" s="30" t="s">
        <v>725</v>
      </c>
      <c r="N292" s="30"/>
      <c r="O292" s="31">
        <f t="shared" si="31"/>
        <v>28</v>
      </c>
      <c r="P292" s="136" t="s">
        <v>1852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hidden="1" thickBot="1" x14ac:dyDescent="0.3">
      <c r="A293"/>
      <c r="B293"/>
      <c r="C293"/>
      <c r="D293"/>
      <c r="E293"/>
      <c r="F293" s="73" t="s">
        <v>297</v>
      </c>
      <c r="G293" s="73" t="s">
        <v>314</v>
      </c>
      <c r="H293" s="73" t="s">
        <v>1041</v>
      </c>
      <c r="I293" s="73" t="s">
        <v>315</v>
      </c>
      <c r="J293" s="84" t="s">
        <v>14</v>
      </c>
      <c r="K293" s="84" t="s">
        <v>1278</v>
      </c>
      <c r="L293" s="84"/>
      <c r="M293" s="84" t="s">
        <v>726</v>
      </c>
      <c r="N293" s="84"/>
      <c r="O293" s="131">
        <f t="shared" si="31"/>
        <v>22</v>
      </c>
      <c r="P293" s="136" t="s">
        <v>1854</v>
      </c>
      <c r="Q293" s="131">
        <f t="shared" si="32"/>
        <v>6</v>
      </c>
      <c r="R293" s="132">
        <f t="shared" si="33"/>
        <v>0.7857142857142857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 t="s">
        <v>2222</v>
      </c>
      <c r="AD293" s="70" t="s">
        <v>2222</v>
      </c>
      <c r="AE293" s="70" t="s">
        <v>2222</v>
      </c>
      <c r="AF293" s="70" t="s">
        <v>2222</v>
      </c>
      <c r="AG293" s="70"/>
      <c r="AH293" s="70"/>
      <c r="AI293" s="70"/>
      <c r="AJ293" s="70" t="s">
        <v>2222</v>
      </c>
      <c r="AK293" s="70" t="s">
        <v>2222</v>
      </c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129"/>
    </row>
    <row r="294" spans="1:49" ht="15.75" hidden="1" thickBot="1" x14ac:dyDescent="0.3">
      <c r="A294"/>
      <c r="B294"/>
      <c r="C294"/>
      <c r="D294"/>
      <c r="E294"/>
      <c r="F294" s="73" t="s">
        <v>297</v>
      </c>
      <c r="G294" s="73" t="s">
        <v>1319</v>
      </c>
      <c r="H294" s="73" t="s">
        <v>1041</v>
      </c>
      <c r="I294" s="73" t="s">
        <v>1320</v>
      </c>
      <c r="J294" s="84" t="s">
        <v>14</v>
      </c>
      <c r="K294" s="84" t="s">
        <v>1278</v>
      </c>
      <c r="L294" s="84"/>
      <c r="M294" s="84" t="s">
        <v>1334</v>
      </c>
      <c r="N294" s="84"/>
      <c r="O294" s="131">
        <f t="shared" si="31"/>
        <v>22</v>
      </c>
      <c r="P294" s="136" t="s">
        <v>1855</v>
      </c>
      <c r="Q294" s="131">
        <f t="shared" si="32"/>
        <v>6</v>
      </c>
      <c r="R294" s="132">
        <f t="shared" si="33"/>
        <v>0.7857142857142857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 t="s">
        <v>2222</v>
      </c>
      <c r="AD294" s="70"/>
      <c r="AE294" s="70" t="s">
        <v>2222</v>
      </c>
      <c r="AF294" s="70" t="s">
        <v>2222</v>
      </c>
      <c r="AG294" s="70" t="s">
        <v>2222</v>
      </c>
      <c r="AH294" s="70"/>
      <c r="AI294" s="70"/>
      <c r="AJ294" s="70" t="s">
        <v>2222</v>
      </c>
      <c r="AK294" s="70" t="s">
        <v>2222</v>
      </c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hidden="1" thickBot="1" x14ac:dyDescent="0.3">
      <c r="A295"/>
      <c r="B295"/>
      <c r="C295"/>
      <c r="D295"/>
      <c r="E295"/>
      <c r="F295" s="73" t="s">
        <v>1508</v>
      </c>
      <c r="G295" s="73" t="s">
        <v>1507</v>
      </c>
      <c r="H295" s="73" t="s">
        <v>1041</v>
      </c>
      <c r="I295" s="73" t="s">
        <v>1509</v>
      </c>
      <c r="J295" s="84" t="s">
        <v>18</v>
      </c>
      <c r="K295" s="84" t="s">
        <v>1278</v>
      </c>
      <c r="L295" s="84"/>
      <c r="M295" s="84" t="s">
        <v>1510</v>
      </c>
      <c r="N295" s="84"/>
      <c r="O295" s="131">
        <f t="shared" si="31"/>
        <v>28</v>
      </c>
      <c r="P295" s="136" t="s">
        <v>1856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69"/>
    </row>
    <row r="296" spans="1:49" s="73" customFormat="1" ht="15.75" hidden="1" thickBot="1" x14ac:dyDescent="0.3">
      <c r="A296">
        <v>3</v>
      </c>
      <c r="B296">
        <v>1</v>
      </c>
      <c r="C296"/>
      <c r="D296"/>
      <c r="E296" t="s">
        <v>2332</v>
      </c>
      <c r="F296" s="73" t="s">
        <v>1508</v>
      </c>
      <c r="G296" s="73" t="s">
        <v>1617</v>
      </c>
      <c r="H296" s="73" t="s">
        <v>1041</v>
      </c>
      <c r="I296" s="73" t="s">
        <v>1618</v>
      </c>
      <c r="J296" s="84" t="s">
        <v>18</v>
      </c>
      <c r="K296" s="84" t="s">
        <v>27</v>
      </c>
      <c r="L296" s="84"/>
      <c r="M296" s="84" t="s">
        <v>1619</v>
      </c>
      <c r="N296" s="84"/>
      <c r="O296" s="131">
        <f t="shared" si="31"/>
        <v>28</v>
      </c>
      <c r="P296" s="136" t="s">
        <v>2146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4.25" hidden="1" customHeight="1" thickBot="1" x14ac:dyDescent="0.3">
      <c r="A297" s="8"/>
      <c r="B297" s="8"/>
      <c r="C297" s="8"/>
      <c r="D297" s="8"/>
      <c r="E297" s="151" t="s">
        <v>2457</v>
      </c>
      <c r="F297" s="69" t="s">
        <v>2109</v>
      </c>
      <c r="G297" s="30" t="s">
        <v>1325</v>
      </c>
      <c r="H297" t="s">
        <v>1042</v>
      </c>
      <c r="I297" t="s">
        <v>1326</v>
      </c>
      <c r="J297" s="30" t="s">
        <v>18</v>
      </c>
      <c r="K297" s="30" t="s">
        <v>1278</v>
      </c>
      <c r="L297" s="137"/>
      <c r="M297" s="30" t="s">
        <v>1416</v>
      </c>
      <c r="N297" s="137"/>
      <c r="O297" s="139">
        <f t="shared" si="31"/>
        <v>28</v>
      </c>
      <c r="P297" s="143" t="s">
        <v>1651</v>
      </c>
      <c r="Q297" s="139">
        <f t="shared" si="32"/>
        <v>0</v>
      </c>
      <c r="R297" s="141">
        <f t="shared" si="33"/>
        <v>1</v>
      </c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138"/>
      <c r="AU297" s="138"/>
      <c r="AV297" s="138"/>
      <c r="AW297"/>
    </row>
    <row r="298" spans="1:49" s="73" customFormat="1" ht="15.75" hidden="1" thickBot="1" x14ac:dyDescent="0.3">
      <c r="A298" s="8"/>
      <c r="B298" s="8"/>
      <c r="C298" s="8"/>
      <c r="D298" s="8"/>
      <c r="E298" s="8"/>
      <c r="F298" s="73" t="s">
        <v>2109</v>
      </c>
      <c r="G298" s="84" t="s">
        <v>1375</v>
      </c>
      <c r="H298" s="73" t="s">
        <v>1042</v>
      </c>
      <c r="I298" s="73" t="s">
        <v>1376</v>
      </c>
      <c r="J298" s="84" t="s">
        <v>18</v>
      </c>
      <c r="K298" s="84" t="s">
        <v>1278</v>
      </c>
      <c r="L298" s="84"/>
      <c r="M298" s="84" t="s">
        <v>1377</v>
      </c>
      <c r="N298" s="84"/>
      <c r="O298" s="131">
        <f t="shared" si="31"/>
        <v>16</v>
      </c>
      <c r="P298" s="136" t="s">
        <v>2114</v>
      </c>
      <c r="Q298" s="131">
        <f t="shared" si="32"/>
        <v>12</v>
      </c>
      <c r="R298" s="132">
        <f t="shared" si="33"/>
        <v>0.5714285714285714</v>
      </c>
      <c r="S298" s="70"/>
      <c r="T298" s="70"/>
      <c r="U298" s="70"/>
      <c r="V298" s="70" t="s">
        <v>2222</v>
      </c>
      <c r="W298" s="70" t="s">
        <v>2222</v>
      </c>
      <c r="X298" s="70" t="s">
        <v>2222</v>
      </c>
      <c r="Y298" s="70" t="s">
        <v>2222</v>
      </c>
      <c r="Z298" s="70" t="s">
        <v>2222</v>
      </c>
      <c r="AA298" s="70"/>
      <c r="AB298" s="70"/>
      <c r="AC298" s="70" t="s">
        <v>2222</v>
      </c>
      <c r="AD298" s="70" t="s">
        <v>2222</v>
      </c>
      <c r="AE298" s="70" t="s">
        <v>2222</v>
      </c>
      <c r="AF298" s="70" t="s">
        <v>2222</v>
      </c>
      <c r="AG298" s="70" t="s">
        <v>2222</v>
      </c>
      <c r="AH298" s="70"/>
      <c r="AI298" s="70"/>
      <c r="AJ298" s="70" t="s">
        <v>2222</v>
      </c>
      <c r="AK298" s="70" t="s">
        <v>2222</v>
      </c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/>
    </row>
    <row r="299" spans="1:49" s="73" customFormat="1" ht="15.75" hidden="1" thickBot="1" x14ac:dyDescent="0.3">
      <c r="A299"/>
      <c r="B299"/>
      <c r="C299"/>
      <c r="D299"/>
      <c r="E299"/>
      <c r="F299" s="73" t="s">
        <v>2109</v>
      </c>
      <c r="G299" s="84" t="s">
        <v>2106</v>
      </c>
      <c r="H299" s="73" t="s">
        <v>1042</v>
      </c>
      <c r="I299" s="73" t="s">
        <v>2107</v>
      </c>
      <c r="J299" s="84" t="s">
        <v>18</v>
      </c>
      <c r="K299" s="84" t="s">
        <v>1278</v>
      </c>
      <c r="L299" s="84"/>
      <c r="M299" s="84" t="s">
        <v>2273</v>
      </c>
      <c r="N299" s="84"/>
      <c r="O299" s="131">
        <f t="shared" si="31"/>
        <v>16</v>
      </c>
      <c r="P299" s="136" t="s">
        <v>2108</v>
      </c>
      <c r="Q299" s="131">
        <f t="shared" si="32"/>
        <v>12</v>
      </c>
      <c r="R299" s="132">
        <f t="shared" si="33"/>
        <v>0.5714285714285714</v>
      </c>
      <c r="S299" s="70"/>
      <c r="T299" s="70"/>
      <c r="U299" s="70"/>
      <c r="V299" s="70" t="s">
        <v>2222</v>
      </c>
      <c r="W299" s="70" t="s">
        <v>2222</v>
      </c>
      <c r="X299" s="70" t="s">
        <v>2222</v>
      </c>
      <c r="Y299" s="70" t="s">
        <v>2222</v>
      </c>
      <c r="Z299" s="70" t="s">
        <v>2222</v>
      </c>
      <c r="AA299" s="70"/>
      <c r="AB299" s="70"/>
      <c r="AC299" s="70" t="s">
        <v>2222</v>
      </c>
      <c r="AD299" s="70" t="s">
        <v>2222</v>
      </c>
      <c r="AE299" s="70" t="s">
        <v>2222</v>
      </c>
      <c r="AF299" s="70" t="s">
        <v>2222</v>
      </c>
      <c r="AG299" s="70" t="s">
        <v>2222</v>
      </c>
      <c r="AH299" s="70"/>
      <c r="AI299" s="70"/>
      <c r="AJ299" s="70" t="s">
        <v>2222</v>
      </c>
      <c r="AK299" s="70" t="s">
        <v>2222</v>
      </c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ht="15.75" hidden="1" thickBot="1" x14ac:dyDescent="0.3">
      <c r="A300">
        <v>6</v>
      </c>
      <c r="B300">
        <v>12</v>
      </c>
      <c r="C300"/>
      <c r="D300"/>
      <c r="E300" t="s">
        <v>2335</v>
      </c>
      <c r="F300" t="s">
        <v>318</v>
      </c>
      <c r="G300" t="s">
        <v>316</v>
      </c>
      <c r="H300" t="s">
        <v>1042</v>
      </c>
      <c r="I300" t="s">
        <v>317</v>
      </c>
      <c r="J300" s="30" t="s">
        <v>14</v>
      </c>
      <c r="K300" s="30" t="s">
        <v>27</v>
      </c>
      <c r="L300" s="30"/>
      <c r="M300" s="30" t="s">
        <v>727</v>
      </c>
      <c r="N300" s="30"/>
      <c r="O300" s="31">
        <f t="shared" si="31"/>
        <v>20</v>
      </c>
      <c r="P300" s="136" t="s">
        <v>1857</v>
      </c>
      <c r="Q300" s="31">
        <f t="shared" si="32"/>
        <v>8</v>
      </c>
      <c r="R300" s="32">
        <f t="shared" si="33"/>
        <v>0.7142857142857143</v>
      </c>
      <c r="S300" s="70"/>
      <c r="T300" s="70"/>
      <c r="U300" s="70"/>
      <c r="V300" s="70" t="s">
        <v>2222</v>
      </c>
      <c r="W300" s="70" t="s">
        <v>2222</v>
      </c>
      <c r="X300" s="70" t="s">
        <v>2222</v>
      </c>
      <c r="Y300" s="70" t="s">
        <v>2222</v>
      </c>
      <c r="Z300" s="70" t="s">
        <v>2222</v>
      </c>
      <c r="AA300" s="70"/>
      <c r="AB300" s="70"/>
      <c r="AC300" s="70"/>
      <c r="AD300" s="70"/>
      <c r="AE300" s="70" t="s">
        <v>2222</v>
      </c>
      <c r="AF300" s="70" t="s">
        <v>2222</v>
      </c>
      <c r="AG300" s="70" t="s">
        <v>2222</v>
      </c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9" ht="15.75" hidden="1" thickBot="1" x14ac:dyDescent="0.3">
      <c r="A301">
        <v>6</v>
      </c>
      <c r="B301">
        <v>12</v>
      </c>
      <c r="C301"/>
      <c r="D301"/>
      <c r="E301" t="s">
        <v>2335</v>
      </c>
      <c r="F301" t="s">
        <v>318</v>
      </c>
      <c r="G301" t="s">
        <v>319</v>
      </c>
      <c r="H301" t="s">
        <v>1042</v>
      </c>
      <c r="I301" t="s">
        <v>320</v>
      </c>
      <c r="J301" s="30" t="s">
        <v>71</v>
      </c>
      <c r="K301" s="30" t="s">
        <v>27</v>
      </c>
      <c r="L301" s="30"/>
      <c r="M301" s="30" t="s">
        <v>728</v>
      </c>
      <c r="N301" s="30"/>
      <c r="O301" s="31">
        <f t="shared" si="31"/>
        <v>20</v>
      </c>
      <c r="P301" s="136" t="s">
        <v>1858</v>
      </c>
      <c r="Q301" s="31">
        <f t="shared" si="32"/>
        <v>8</v>
      </c>
      <c r="R301" s="32">
        <f t="shared" si="33"/>
        <v>0.7142857142857143</v>
      </c>
      <c r="S301" s="70"/>
      <c r="T301" s="70"/>
      <c r="U301" s="70"/>
      <c r="V301" s="70" t="s">
        <v>2222</v>
      </c>
      <c r="W301" s="70" t="s">
        <v>2222</v>
      </c>
      <c r="X301" s="70" t="s">
        <v>2222</v>
      </c>
      <c r="Y301" s="70" t="s">
        <v>2222</v>
      </c>
      <c r="Z301" s="70" t="s">
        <v>2222</v>
      </c>
      <c r="AA301" s="70"/>
      <c r="AB301" s="70"/>
      <c r="AC301" s="70"/>
      <c r="AD301" s="70"/>
      <c r="AE301" s="70" t="s">
        <v>2222</v>
      </c>
      <c r="AF301" s="70" t="s">
        <v>2222</v>
      </c>
      <c r="AG301" s="70" t="s">
        <v>2222</v>
      </c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2335</v>
      </c>
      <c r="F302" t="s">
        <v>318</v>
      </c>
      <c r="G302" t="s">
        <v>321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729</v>
      </c>
      <c r="N302" s="30"/>
      <c r="O302" s="31">
        <f t="shared" si="31"/>
        <v>20</v>
      </c>
      <c r="P302" s="136" t="s">
        <v>1859</v>
      </c>
      <c r="Q302" s="31">
        <f t="shared" si="32"/>
        <v>8</v>
      </c>
      <c r="R302" s="32">
        <f t="shared" si="33"/>
        <v>0.7142857142857143</v>
      </c>
      <c r="S302" s="70"/>
      <c r="T302" s="70"/>
      <c r="U302" s="70"/>
      <c r="V302" s="70" t="s">
        <v>2222</v>
      </c>
      <c r="W302" s="70" t="s">
        <v>2222</v>
      </c>
      <c r="X302" s="70" t="s">
        <v>2222</v>
      </c>
      <c r="Y302" s="70" t="s">
        <v>2222</v>
      </c>
      <c r="Z302" s="70" t="s">
        <v>2222</v>
      </c>
      <c r="AA302" s="70"/>
      <c r="AB302" s="70"/>
      <c r="AC302" s="70"/>
      <c r="AD302" s="70"/>
      <c r="AE302" s="70" t="s">
        <v>2222</v>
      </c>
      <c r="AF302" s="70" t="s">
        <v>2222</v>
      </c>
      <c r="AG302" s="70" t="s">
        <v>2222</v>
      </c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2335</v>
      </c>
      <c r="F303" t="s">
        <v>318</v>
      </c>
      <c r="G303" t="s">
        <v>322</v>
      </c>
      <c r="H303" t="s">
        <v>1042</v>
      </c>
      <c r="I303" t="s">
        <v>323</v>
      </c>
      <c r="J303" s="30" t="s">
        <v>71</v>
      </c>
      <c r="K303" s="30" t="s">
        <v>27</v>
      </c>
      <c r="L303" s="30"/>
      <c r="M303" s="30" t="s">
        <v>730</v>
      </c>
      <c r="N303" s="30"/>
      <c r="O303" s="31">
        <f t="shared" si="31"/>
        <v>18</v>
      </c>
      <c r="P303" s="136" t="s">
        <v>1860</v>
      </c>
      <c r="Q303" s="31">
        <f t="shared" si="32"/>
        <v>10</v>
      </c>
      <c r="R303" s="32">
        <f t="shared" si="33"/>
        <v>0.6428571428571429</v>
      </c>
      <c r="S303" s="70"/>
      <c r="T303" s="70"/>
      <c r="U303" s="70"/>
      <c r="V303" s="70" t="s">
        <v>2222</v>
      </c>
      <c r="W303" s="70" t="s">
        <v>2222</v>
      </c>
      <c r="X303" s="70" t="s">
        <v>2222</v>
      </c>
      <c r="Y303" s="70" t="s">
        <v>2222</v>
      </c>
      <c r="Z303" s="70" t="s">
        <v>2222</v>
      </c>
      <c r="AA303" s="70"/>
      <c r="AB303" s="70"/>
      <c r="AC303" s="70" t="s">
        <v>2222</v>
      </c>
      <c r="AD303" s="70" t="s">
        <v>2222</v>
      </c>
      <c r="AE303" s="70" t="s">
        <v>2222</v>
      </c>
      <c r="AF303" s="70" t="s">
        <v>2222</v>
      </c>
      <c r="AG303" s="70" t="s">
        <v>2222</v>
      </c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2335</v>
      </c>
      <c r="F304" t="s">
        <v>318</v>
      </c>
      <c r="G304" t="s">
        <v>324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731</v>
      </c>
      <c r="N304" s="30"/>
      <c r="O304" s="31">
        <f t="shared" si="31"/>
        <v>18</v>
      </c>
      <c r="P304" s="136" t="s">
        <v>1861</v>
      </c>
      <c r="Q304" s="31">
        <f t="shared" si="32"/>
        <v>10</v>
      </c>
      <c r="R304" s="32">
        <f t="shared" si="33"/>
        <v>0.6428571428571429</v>
      </c>
      <c r="S304" s="70"/>
      <c r="T304" s="70"/>
      <c r="U304" s="70"/>
      <c r="V304" s="70" t="s">
        <v>2222</v>
      </c>
      <c r="W304" s="70" t="s">
        <v>2222</v>
      </c>
      <c r="X304" s="70" t="s">
        <v>2222</v>
      </c>
      <c r="Y304" s="70" t="s">
        <v>2222</v>
      </c>
      <c r="Z304" s="70" t="s">
        <v>2222</v>
      </c>
      <c r="AA304" s="70"/>
      <c r="AB304" s="70"/>
      <c r="AC304" s="70" t="s">
        <v>2222</v>
      </c>
      <c r="AD304" s="70" t="s">
        <v>2222</v>
      </c>
      <c r="AE304" s="70" t="s">
        <v>2222</v>
      </c>
      <c r="AF304" s="70" t="s">
        <v>2222</v>
      </c>
      <c r="AG304" s="70" t="s">
        <v>2222</v>
      </c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10</v>
      </c>
      <c r="B305">
        <v>10</v>
      </c>
      <c r="C305"/>
      <c r="D305"/>
      <c r="E305" t="s">
        <v>2334</v>
      </c>
      <c r="F305" t="s">
        <v>40</v>
      </c>
      <c r="G305" t="s">
        <v>326</v>
      </c>
      <c r="H305" t="s">
        <v>1041</v>
      </c>
      <c r="I305" t="s">
        <v>327</v>
      </c>
      <c r="J305" s="30" t="s">
        <v>14</v>
      </c>
      <c r="K305" s="30" t="s">
        <v>27</v>
      </c>
      <c r="L305" s="30"/>
      <c r="M305" s="30" t="s">
        <v>734</v>
      </c>
      <c r="N305" s="30"/>
      <c r="O305" s="31">
        <f t="shared" si="31"/>
        <v>28</v>
      </c>
      <c r="P305" s="136" t="s">
        <v>1862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3"/>
    </row>
    <row r="306" spans="1:49" ht="15.75" hidden="1" thickBot="1" x14ac:dyDescent="0.3">
      <c r="A306">
        <v>10</v>
      </c>
      <c r="B306">
        <v>10</v>
      </c>
      <c r="C306"/>
      <c r="D306"/>
      <c r="E306" t="s">
        <v>2334</v>
      </c>
      <c r="F306" t="s">
        <v>40</v>
      </c>
      <c r="G306" t="s">
        <v>328</v>
      </c>
      <c r="H306" t="s">
        <v>1041</v>
      </c>
      <c r="I306" t="s">
        <v>327</v>
      </c>
      <c r="J306" s="30" t="s">
        <v>71</v>
      </c>
      <c r="K306" s="30" t="s">
        <v>27</v>
      </c>
      <c r="L306" s="30"/>
      <c r="M306" s="30" t="s">
        <v>735</v>
      </c>
      <c r="N306" s="30"/>
      <c r="O306" s="31">
        <f t="shared" si="31"/>
        <v>28</v>
      </c>
      <c r="P306" s="136" t="s">
        <v>1863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hidden="1" thickBot="1" x14ac:dyDescent="0.3">
      <c r="A307"/>
      <c r="B307"/>
      <c r="C307"/>
      <c r="D307"/>
      <c r="E307" t="s">
        <v>2348</v>
      </c>
      <c r="F307" t="s">
        <v>173</v>
      </c>
      <c r="G307" t="s">
        <v>329</v>
      </c>
      <c r="H307" t="s">
        <v>1042</v>
      </c>
      <c r="I307" t="s">
        <v>330</v>
      </c>
      <c r="J307" s="30" t="s">
        <v>14</v>
      </c>
      <c r="K307" s="30" t="s">
        <v>27</v>
      </c>
      <c r="L307" s="30"/>
      <c r="M307" s="30" t="s">
        <v>736</v>
      </c>
      <c r="N307" s="30"/>
      <c r="O307" s="31">
        <f t="shared" si="31"/>
        <v>18</v>
      </c>
      <c r="P307" s="136" t="s">
        <v>1865</v>
      </c>
      <c r="Q307" s="31">
        <f t="shared" si="32"/>
        <v>10</v>
      </c>
      <c r="R307" s="32">
        <f t="shared" si="33"/>
        <v>0.6428571428571429</v>
      </c>
      <c r="S307" s="70"/>
      <c r="T307" s="70"/>
      <c r="U307" s="70"/>
      <c r="V307" s="70" t="s">
        <v>2222</v>
      </c>
      <c r="W307" s="70" t="s">
        <v>2222</v>
      </c>
      <c r="X307" s="70" t="s">
        <v>2222</v>
      </c>
      <c r="Y307" s="70" t="s">
        <v>2222</v>
      </c>
      <c r="Z307" s="70" t="s">
        <v>2222</v>
      </c>
      <c r="AA307" s="70"/>
      <c r="AB307" s="70"/>
      <c r="AC307" s="70" t="s">
        <v>2222</v>
      </c>
      <c r="AD307" s="70" t="s">
        <v>2222</v>
      </c>
      <c r="AE307" s="70" t="s">
        <v>2222</v>
      </c>
      <c r="AF307" s="70" t="s">
        <v>2222</v>
      </c>
      <c r="AG307" s="70" t="s">
        <v>2222</v>
      </c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hidden="1" thickBot="1" x14ac:dyDescent="0.3">
      <c r="A308" s="69"/>
      <c r="B308" s="69"/>
      <c r="C308" s="69"/>
      <c r="D308" s="69"/>
      <c r="E308" t="s">
        <v>2348</v>
      </c>
      <c r="F308" s="69" t="s">
        <v>173</v>
      </c>
      <c r="G308" s="69" t="s">
        <v>331</v>
      </c>
      <c r="H308" s="69" t="s">
        <v>1042</v>
      </c>
      <c r="I308" s="69" t="s">
        <v>330</v>
      </c>
      <c r="J308" s="137" t="s">
        <v>71</v>
      </c>
      <c r="K308" s="137" t="s">
        <v>27</v>
      </c>
      <c r="L308" s="137"/>
      <c r="M308" s="137" t="s">
        <v>737</v>
      </c>
      <c r="N308" s="137"/>
      <c r="O308" s="139">
        <f t="shared" si="31"/>
        <v>16</v>
      </c>
      <c r="P308" s="140" t="s">
        <v>1866</v>
      </c>
      <c r="Q308" s="139">
        <f t="shared" si="32"/>
        <v>12</v>
      </c>
      <c r="R308" s="141">
        <f t="shared" si="33"/>
        <v>0.5714285714285714</v>
      </c>
      <c r="S308" s="142"/>
      <c r="T308" s="142"/>
      <c r="U308" s="142"/>
      <c r="V308" s="70" t="s">
        <v>2222</v>
      </c>
      <c r="W308" s="70" t="s">
        <v>2222</v>
      </c>
      <c r="X308" s="70" t="s">
        <v>2222</v>
      </c>
      <c r="Y308" s="70" t="s">
        <v>2222</v>
      </c>
      <c r="Z308" s="70" t="s">
        <v>2222</v>
      </c>
      <c r="AA308" s="142"/>
      <c r="AB308" s="142"/>
      <c r="AC308" s="70" t="s">
        <v>2222</v>
      </c>
      <c r="AD308" s="70" t="s">
        <v>2222</v>
      </c>
      <c r="AE308" s="70" t="s">
        <v>2222</v>
      </c>
      <c r="AF308" s="70" t="s">
        <v>2222</v>
      </c>
      <c r="AG308" s="70" t="s">
        <v>2222</v>
      </c>
      <c r="AH308" s="70"/>
      <c r="AI308" s="70"/>
      <c r="AJ308" s="70" t="s">
        <v>2222</v>
      </c>
      <c r="AK308" s="70" t="s">
        <v>2222</v>
      </c>
      <c r="AL308" s="70"/>
      <c r="AM308" s="70"/>
      <c r="AN308" s="70"/>
      <c r="AO308" s="70"/>
      <c r="AP308" s="70"/>
      <c r="AQ308" s="142"/>
      <c r="AR308" s="142"/>
      <c r="AS308" s="70"/>
      <c r="AT308" s="70"/>
      <c r="AU308" s="70"/>
      <c r="AV308" s="70"/>
      <c r="AW308" s="73"/>
    </row>
    <row r="309" spans="1:49" s="69" customFormat="1" ht="21" hidden="1" customHeight="1" thickBot="1" x14ac:dyDescent="0.3">
      <c r="A309"/>
      <c r="B309"/>
      <c r="C309"/>
      <c r="D309"/>
      <c r="E309" t="s">
        <v>2348</v>
      </c>
      <c r="F309" t="s">
        <v>173</v>
      </c>
      <c r="G309" t="s">
        <v>1272</v>
      </c>
      <c r="H309" t="s">
        <v>1042</v>
      </c>
      <c r="I309" t="s">
        <v>958</v>
      </c>
      <c r="J309" s="30" t="s">
        <v>71</v>
      </c>
      <c r="K309" s="30" t="s">
        <v>27</v>
      </c>
      <c r="L309" s="30"/>
      <c r="M309" s="30" t="s">
        <v>1251</v>
      </c>
      <c r="N309" s="30"/>
      <c r="O309" s="31">
        <f t="shared" si="31"/>
        <v>28</v>
      </c>
      <c r="P309" s="136" t="s">
        <v>1867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hidden="1" thickBot="1" x14ac:dyDescent="0.3">
      <c r="A310"/>
      <c r="B310"/>
      <c r="C310"/>
      <c r="D310"/>
      <c r="E310" t="s">
        <v>2348</v>
      </c>
      <c r="F310" t="s">
        <v>201</v>
      </c>
      <c r="G310" t="s">
        <v>1271</v>
      </c>
      <c r="H310" t="s">
        <v>1042</v>
      </c>
      <c r="I310" t="s">
        <v>959</v>
      </c>
      <c r="J310" s="30" t="s">
        <v>18</v>
      </c>
      <c r="K310" s="30" t="s">
        <v>27</v>
      </c>
      <c r="L310" s="30"/>
      <c r="M310" s="30" t="s">
        <v>1252</v>
      </c>
      <c r="N310" s="30"/>
      <c r="O310" s="31">
        <f t="shared" si="31"/>
        <v>18</v>
      </c>
      <c r="P310" s="136" t="s">
        <v>1870</v>
      </c>
      <c r="Q310" s="31">
        <f t="shared" si="32"/>
        <v>10</v>
      </c>
      <c r="R310" s="32">
        <f t="shared" si="33"/>
        <v>0.6428571428571429</v>
      </c>
      <c r="S310" s="70"/>
      <c r="T310" s="70"/>
      <c r="U310" s="70"/>
      <c r="V310" s="70" t="s">
        <v>2222</v>
      </c>
      <c r="W310" s="70" t="s">
        <v>2222</v>
      </c>
      <c r="X310" s="70" t="s">
        <v>2222</v>
      </c>
      <c r="Y310" s="70" t="s">
        <v>2222</v>
      </c>
      <c r="Z310" s="70" t="s">
        <v>2222</v>
      </c>
      <c r="AA310" s="70"/>
      <c r="AB310" s="70"/>
      <c r="AC310" s="70" t="s">
        <v>2222</v>
      </c>
      <c r="AD310" s="70" t="s">
        <v>2222</v>
      </c>
      <c r="AE310" s="70" t="s">
        <v>2222</v>
      </c>
      <c r="AF310" s="70" t="s">
        <v>2222</v>
      </c>
      <c r="AG310" s="70" t="s">
        <v>2222</v>
      </c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hidden="1" thickBot="1" x14ac:dyDescent="0.3">
      <c r="A311"/>
      <c r="B311"/>
      <c r="C311"/>
      <c r="D311"/>
      <c r="E311" t="s">
        <v>2348</v>
      </c>
      <c r="F311" t="s">
        <v>201</v>
      </c>
      <c r="G311" t="s">
        <v>332</v>
      </c>
      <c r="H311" t="s">
        <v>1042</v>
      </c>
      <c r="I311" t="s">
        <v>333</v>
      </c>
      <c r="J311" s="30" t="s">
        <v>14</v>
      </c>
      <c r="K311" s="30" t="s">
        <v>27</v>
      </c>
      <c r="L311" s="30"/>
      <c r="M311" s="30" t="s">
        <v>738</v>
      </c>
      <c r="N311" s="30"/>
      <c r="O311" s="31">
        <f t="shared" si="31"/>
        <v>28</v>
      </c>
      <c r="P311" s="136" t="s">
        <v>1868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hidden="1" thickBot="1" x14ac:dyDescent="0.3">
      <c r="A312"/>
      <c r="B312"/>
      <c r="C312"/>
      <c r="D312"/>
      <c r="E312" t="s">
        <v>2348</v>
      </c>
      <c r="F312" t="s">
        <v>201</v>
      </c>
      <c r="G312" t="s">
        <v>334</v>
      </c>
      <c r="H312" t="s">
        <v>1042</v>
      </c>
      <c r="I312" t="s">
        <v>333</v>
      </c>
      <c r="J312" s="30" t="s">
        <v>71</v>
      </c>
      <c r="K312" s="30" t="s">
        <v>27</v>
      </c>
      <c r="L312" s="30"/>
      <c r="M312" s="30" t="s">
        <v>739</v>
      </c>
      <c r="N312" s="30"/>
      <c r="O312" s="31">
        <f t="shared" si="31"/>
        <v>18</v>
      </c>
      <c r="P312" s="136" t="s">
        <v>1869</v>
      </c>
      <c r="Q312" s="31">
        <f t="shared" si="32"/>
        <v>10</v>
      </c>
      <c r="R312" s="32">
        <f t="shared" si="33"/>
        <v>0.6428571428571429</v>
      </c>
      <c r="S312" s="70"/>
      <c r="T312" s="70"/>
      <c r="U312" s="70"/>
      <c r="V312" s="70" t="s">
        <v>2222</v>
      </c>
      <c r="W312" s="70" t="s">
        <v>2222</v>
      </c>
      <c r="X312" s="70" t="s">
        <v>2222</v>
      </c>
      <c r="Y312" s="70" t="s">
        <v>2222</v>
      </c>
      <c r="Z312" s="70" t="s">
        <v>2222</v>
      </c>
      <c r="AA312" s="70"/>
      <c r="AB312" s="70"/>
      <c r="AC312" s="70" t="s">
        <v>2222</v>
      </c>
      <c r="AD312" s="70" t="s">
        <v>2222</v>
      </c>
      <c r="AE312" s="70" t="s">
        <v>2222</v>
      </c>
      <c r="AF312" s="70" t="s">
        <v>2222</v>
      </c>
      <c r="AG312" s="70" t="s">
        <v>2222</v>
      </c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hidden="1" thickBot="1" x14ac:dyDescent="0.3">
      <c r="A313"/>
      <c r="B313"/>
      <c r="C313"/>
      <c r="D313"/>
      <c r="E313" s="151" t="s">
        <v>2446</v>
      </c>
      <c r="F313" t="s">
        <v>274</v>
      </c>
      <c r="G313" t="s">
        <v>335</v>
      </c>
      <c r="H313" t="s">
        <v>1042</v>
      </c>
      <c r="I313" t="s">
        <v>336</v>
      </c>
      <c r="J313" s="30" t="s">
        <v>71</v>
      </c>
      <c r="K313" s="30" t="s">
        <v>1278</v>
      </c>
      <c r="L313" s="30"/>
      <c r="M313" s="30" t="s">
        <v>741</v>
      </c>
      <c r="N313" s="30"/>
      <c r="O313" s="31">
        <f t="shared" si="31"/>
        <v>27</v>
      </c>
      <c r="P313" s="136" t="s">
        <v>1871</v>
      </c>
      <c r="Q313" s="31">
        <f t="shared" si="32"/>
        <v>1</v>
      </c>
      <c r="R313" s="32">
        <f t="shared" si="33"/>
        <v>0.9642857142857143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 t="s">
        <v>2222</v>
      </c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hidden="1" thickBot="1" x14ac:dyDescent="0.3">
      <c r="A314">
        <v>6</v>
      </c>
      <c r="B314">
        <v>12</v>
      </c>
      <c r="C314"/>
      <c r="D314"/>
      <c r="E314" t="s">
        <v>2335</v>
      </c>
      <c r="F314" t="s">
        <v>337</v>
      </c>
      <c r="G314" t="s">
        <v>338</v>
      </c>
      <c r="H314" t="s">
        <v>1042</v>
      </c>
      <c r="I314" t="s">
        <v>339</v>
      </c>
      <c r="J314" s="30" t="s">
        <v>14</v>
      </c>
      <c r="K314" s="30" t="s">
        <v>27</v>
      </c>
      <c r="L314" s="30"/>
      <c r="M314" s="30" t="s">
        <v>743</v>
      </c>
      <c r="N314" s="30"/>
      <c r="O314" s="31">
        <f t="shared" si="31"/>
        <v>28</v>
      </c>
      <c r="P314" s="136" t="s">
        <v>1874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hidden="1" thickBot="1" x14ac:dyDescent="0.3">
      <c r="A315">
        <v>6</v>
      </c>
      <c r="B315">
        <v>12</v>
      </c>
      <c r="C315"/>
      <c r="D315"/>
      <c r="E315" t="s">
        <v>2335</v>
      </c>
      <c r="F315" t="s">
        <v>337</v>
      </c>
      <c r="G315" t="s">
        <v>340</v>
      </c>
      <c r="H315" t="s">
        <v>1042</v>
      </c>
      <c r="I315" t="s">
        <v>339</v>
      </c>
      <c r="J315" s="30" t="s">
        <v>71</v>
      </c>
      <c r="K315" s="30" t="s">
        <v>27</v>
      </c>
      <c r="L315" s="30"/>
      <c r="M315" s="30" t="s">
        <v>744</v>
      </c>
      <c r="N315" s="30"/>
      <c r="O315" s="31">
        <f t="shared" si="31"/>
        <v>28</v>
      </c>
      <c r="P315" s="136" t="s">
        <v>1875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hidden="1" thickBot="1" x14ac:dyDescent="0.3">
      <c r="A316"/>
      <c r="B316"/>
      <c r="C316"/>
      <c r="D316"/>
      <c r="E316" s="151" t="s">
        <v>2464</v>
      </c>
      <c r="F316" t="s">
        <v>341</v>
      </c>
      <c r="G316" s="69" t="s">
        <v>955</v>
      </c>
      <c r="H316" s="69" t="s">
        <v>1042</v>
      </c>
      <c r="I316" s="69" t="s">
        <v>342</v>
      </c>
      <c r="J316" s="137" t="s">
        <v>14</v>
      </c>
      <c r="K316" s="137" t="s">
        <v>1278</v>
      </c>
      <c r="L316" s="30"/>
      <c r="M316" s="137" t="s">
        <v>749</v>
      </c>
      <c r="N316" s="30"/>
      <c r="O316" s="139">
        <f t="shared" si="31"/>
        <v>28</v>
      </c>
      <c r="P316" s="140"/>
      <c r="Q316" s="139">
        <f t="shared" si="32"/>
        <v>0</v>
      </c>
      <c r="R316" s="141">
        <f t="shared" si="33"/>
        <v>1</v>
      </c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</row>
    <row r="317" spans="1:49" ht="15.75" hidden="1" thickBot="1" x14ac:dyDescent="0.3">
      <c r="A317"/>
      <c r="B317"/>
      <c r="C317"/>
      <c r="D317"/>
      <c r="E317" t="s">
        <v>2447</v>
      </c>
      <c r="F317" s="73" t="s">
        <v>183</v>
      </c>
      <c r="G317" s="73" t="s">
        <v>343</v>
      </c>
      <c r="H317" s="73" t="s">
        <v>1042</v>
      </c>
      <c r="I317" s="73" t="s">
        <v>344</v>
      </c>
      <c r="J317" s="84" t="s">
        <v>14</v>
      </c>
      <c r="K317" s="84" t="s">
        <v>1278</v>
      </c>
      <c r="L317" s="84"/>
      <c r="M317" s="84" t="s">
        <v>745</v>
      </c>
      <c r="N317" s="84"/>
      <c r="O317" s="131">
        <f t="shared" si="31"/>
        <v>16</v>
      </c>
      <c r="P317" s="136" t="s">
        <v>1877</v>
      </c>
      <c r="Q317" s="131">
        <f t="shared" si="32"/>
        <v>12</v>
      </c>
      <c r="R317" s="132">
        <f t="shared" si="33"/>
        <v>0.5714285714285714</v>
      </c>
      <c r="S317" s="70"/>
      <c r="T317" s="70"/>
      <c r="U317" s="70"/>
      <c r="V317" s="70" t="s">
        <v>2222</v>
      </c>
      <c r="W317" s="70" t="s">
        <v>2222</v>
      </c>
      <c r="X317" s="70" t="s">
        <v>2222</v>
      </c>
      <c r="Y317" s="70" t="s">
        <v>2222</v>
      </c>
      <c r="Z317" s="70" t="s">
        <v>2222</v>
      </c>
      <c r="AA317" s="70"/>
      <c r="AB317" s="70"/>
      <c r="AC317" s="70" t="s">
        <v>2222</v>
      </c>
      <c r="AD317" s="70" t="s">
        <v>2222</v>
      </c>
      <c r="AE317" s="70" t="s">
        <v>2222</v>
      </c>
      <c r="AF317" s="70" t="s">
        <v>2222</v>
      </c>
      <c r="AG317" s="70" t="s">
        <v>2222</v>
      </c>
      <c r="AH317" s="70"/>
      <c r="AI317" s="70"/>
      <c r="AJ317" s="70" t="s">
        <v>2222</v>
      </c>
      <c r="AK317" s="70" t="s">
        <v>2222</v>
      </c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hidden="1" thickBot="1" x14ac:dyDescent="0.3">
      <c r="A318"/>
      <c r="B318"/>
      <c r="C318"/>
      <c r="D318"/>
      <c r="E318" t="s">
        <v>2447</v>
      </c>
      <c r="F318" s="73" t="s">
        <v>183</v>
      </c>
      <c r="G318" s="73" t="s">
        <v>345</v>
      </c>
      <c r="H318" s="73" t="s">
        <v>1042</v>
      </c>
      <c r="I318" s="73" t="s">
        <v>344</v>
      </c>
      <c r="J318" s="84" t="s">
        <v>71</v>
      </c>
      <c r="K318" s="84" t="s">
        <v>1278</v>
      </c>
      <c r="L318" s="84"/>
      <c r="M318" s="84" t="s">
        <v>1596</v>
      </c>
      <c r="N318" s="84"/>
      <c r="O318" s="131">
        <f t="shared" si="31"/>
        <v>28</v>
      </c>
      <c r="P318" s="136" t="s">
        <v>2105</v>
      </c>
      <c r="Q318" s="131">
        <f t="shared" si="32"/>
        <v>0</v>
      </c>
      <c r="R318" s="1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thickBot="1" x14ac:dyDescent="0.3">
      <c r="A319"/>
      <c r="B319"/>
      <c r="C319"/>
      <c r="D319"/>
      <c r="E319"/>
      <c r="F319" s="73" t="s">
        <v>346</v>
      </c>
      <c r="G319" s="73" t="s">
        <v>347</v>
      </c>
      <c r="H319" s="73" t="s">
        <v>1042</v>
      </c>
      <c r="I319" s="73" t="s">
        <v>1187</v>
      </c>
      <c r="J319" s="84" t="s">
        <v>71</v>
      </c>
      <c r="K319" s="84" t="s">
        <v>1278</v>
      </c>
      <c r="L319" s="84"/>
      <c r="M319" s="84" t="s">
        <v>751</v>
      </c>
      <c r="N319" s="84"/>
      <c r="O319" s="131">
        <f t="shared" si="31"/>
        <v>16</v>
      </c>
      <c r="P319" s="136" t="s">
        <v>2147</v>
      </c>
      <c r="Q319" s="131">
        <f t="shared" si="32"/>
        <v>12</v>
      </c>
      <c r="R319" s="132">
        <f t="shared" si="33"/>
        <v>0.5714285714285714</v>
      </c>
      <c r="S319" s="70"/>
      <c r="T319" s="70"/>
      <c r="U319" s="70"/>
      <c r="V319" s="70" t="s">
        <v>2222</v>
      </c>
      <c r="W319" s="70" t="s">
        <v>2222</v>
      </c>
      <c r="X319" s="70" t="s">
        <v>2222</v>
      </c>
      <c r="Y319" s="70" t="s">
        <v>2222</v>
      </c>
      <c r="Z319" s="70" t="s">
        <v>2222</v>
      </c>
      <c r="AA319" s="70"/>
      <c r="AB319" s="70"/>
      <c r="AC319" s="70" t="s">
        <v>2222</v>
      </c>
      <c r="AD319" s="70" t="s">
        <v>2222</v>
      </c>
      <c r="AE319" s="70" t="s">
        <v>2222</v>
      </c>
      <c r="AF319" s="70" t="s">
        <v>2222</v>
      </c>
      <c r="AG319" s="70" t="s">
        <v>2222</v>
      </c>
      <c r="AH319" s="70"/>
      <c r="AI319" s="70"/>
      <c r="AJ319" s="70" t="s">
        <v>2222</v>
      </c>
      <c r="AK319" s="70" t="s">
        <v>2222</v>
      </c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hidden="1" thickBot="1" x14ac:dyDescent="0.3">
      <c r="A320"/>
      <c r="B320"/>
      <c r="C320"/>
      <c r="D320"/>
      <c r="E320" t="s">
        <v>2446</v>
      </c>
      <c r="F320" t="s">
        <v>337</v>
      </c>
      <c r="G320" t="s">
        <v>348</v>
      </c>
      <c r="H320" t="s">
        <v>1042</v>
      </c>
      <c r="I320" t="s">
        <v>349</v>
      </c>
      <c r="J320" s="30" t="s">
        <v>14</v>
      </c>
      <c r="K320" s="30" t="s">
        <v>27</v>
      </c>
      <c r="L320" s="30"/>
      <c r="M320" s="30" t="s">
        <v>747</v>
      </c>
      <c r="N320" s="30"/>
      <c r="O320" s="31">
        <f t="shared" si="31"/>
        <v>21</v>
      </c>
      <c r="P320" s="136" t="s">
        <v>1881</v>
      </c>
      <c r="Q320" s="31">
        <f t="shared" si="32"/>
        <v>7</v>
      </c>
      <c r="R320" s="32">
        <f t="shared" si="33"/>
        <v>0.75</v>
      </c>
      <c r="S320" s="70"/>
      <c r="T320" s="70"/>
      <c r="U320" s="70"/>
      <c r="V320" s="70" t="s">
        <v>2222</v>
      </c>
      <c r="W320" s="70" t="s">
        <v>2222</v>
      </c>
      <c r="X320" s="70"/>
      <c r="Y320" s="70" t="s">
        <v>2222</v>
      </c>
      <c r="Z320" s="70"/>
      <c r="AA320" s="70"/>
      <c r="AB320" s="70"/>
      <c r="AC320" s="70"/>
      <c r="AD320" s="70" t="s">
        <v>2222</v>
      </c>
      <c r="AE320" s="70" t="s">
        <v>2222</v>
      </c>
      <c r="AF320" s="70"/>
      <c r="AG320" s="70"/>
      <c r="AH320" s="70"/>
      <c r="AI320" s="70"/>
      <c r="AJ320" s="70" t="s">
        <v>2222</v>
      </c>
      <c r="AK320" s="70" t="s">
        <v>2222</v>
      </c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/>
    </row>
    <row r="321" spans="1:49" s="73" customFormat="1" ht="15.75" hidden="1" thickBot="1" x14ac:dyDescent="0.3">
      <c r="A321"/>
      <c r="B321"/>
      <c r="C321"/>
      <c r="D321"/>
      <c r="E321" t="s">
        <v>2446</v>
      </c>
      <c r="F321" t="s">
        <v>337</v>
      </c>
      <c r="G321" t="s">
        <v>350</v>
      </c>
      <c r="H321" t="s">
        <v>1042</v>
      </c>
      <c r="I321" t="s">
        <v>349</v>
      </c>
      <c r="J321" s="30" t="s">
        <v>71</v>
      </c>
      <c r="K321" s="30" t="s">
        <v>27</v>
      </c>
      <c r="L321" s="30"/>
      <c r="M321" s="30" t="s">
        <v>746</v>
      </c>
      <c r="N321" s="30"/>
      <c r="O321" s="31">
        <f t="shared" si="31"/>
        <v>26</v>
      </c>
      <c r="P321" s="136" t="s">
        <v>1882</v>
      </c>
      <c r="Q321" s="31">
        <f t="shared" si="32"/>
        <v>2</v>
      </c>
      <c r="R321" s="32">
        <f t="shared" si="33"/>
        <v>0.9285714285714286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 t="s">
        <v>2222</v>
      </c>
      <c r="AK321" s="70" t="s">
        <v>2222</v>
      </c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9" s="73" customFormat="1" ht="15.75" hidden="1" thickBot="1" x14ac:dyDescent="0.3">
      <c r="A322">
        <v>10</v>
      </c>
      <c r="B322">
        <v>10</v>
      </c>
      <c r="C322"/>
      <c r="D322"/>
      <c r="E322" t="s">
        <v>2334</v>
      </c>
      <c r="F322" t="s">
        <v>40</v>
      </c>
      <c r="G322" t="s">
        <v>956</v>
      </c>
      <c r="H322" t="s">
        <v>1041</v>
      </c>
      <c r="I322" t="s">
        <v>957</v>
      </c>
      <c r="J322" s="30" t="s">
        <v>71</v>
      </c>
      <c r="K322" s="30" t="s">
        <v>27</v>
      </c>
      <c r="L322" s="30"/>
      <c r="M322" s="30" t="s">
        <v>1250</v>
      </c>
      <c r="N322" s="30"/>
      <c r="O322" s="31">
        <f t="shared" si="31"/>
        <v>28</v>
      </c>
      <c r="P322" s="136" t="s">
        <v>1864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hidden="1" thickBot="1" x14ac:dyDescent="0.3">
      <c r="A323"/>
      <c r="B323"/>
      <c r="C323"/>
      <c r="D323"/>
      <c r="E323" s="151" t="s">
        <v>2446</v>
      </c>
      <c r="F323" t="s">
        <v>274</v>
      </c>
      <c r="G323" t="s">
        <v>351</v>
      </c>
      <c r="H323" t="s">
        <v>1042</v>
      </c>
      <c r="I323" t="s">
        <v>336</v>
      </c>
      <c r="J323" s="30" t="s">
        <v>14</v>
      </c>
      <c r="K323" s="30" t="s">
        <v>1278</v>
      </c>
      <c r="L323" s="30"/>
      <c r="M323" s="30" t="s">
        <v>742</v>
      </c>
      <c r="N323" s="30"/>
      <c r="O323" s="31">
        <f t="shared" si="31"/>
        <v>27</v>
      </c>
      <c r="P323" s="136" t="s">
        <v>1872</v>
      </c>
      <c r="Q323" s="31">
        <f t="shared" si="32"/>
        <v>1</v>
      </c>
      <c r="R323" s="32">
        <f t="shared" si="33"/>
        <v>0.9642857142857143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 t="s">
        <v>2222</v>
      </c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hidden="1" thickBot="1" x14ac:dyDescent="0.3">
      <c r="A324"/>
      <c r="B324"/>
      <c r="C324"/>
      <c r="D324"/>
      <c r="E324" s="151" t="s">
        <v>2446</v>
      </c>
      <c r="F324" t="s">
        <v>274</v>
      </c>
      <c r="G324" t="s">
        <v>960</v>
      </c>
      <c r="H324" t="s">
        <v>1042</v>
      </c>
      <c r="I324" t="s">
        <v>961</v>
      </c>
      <c r="J324" s="30" t="s">
        <v>71</v>
      </c>
      <c r="K324" s="30" t="s">
        <v>1278</v>
      </c>
      <c r="L324" s="30"/>
      <c r="M324" s="30" t="s">
        <v>1253</v>
      </c>
      <c r="N324" s="30"/>
      <c r="O324" s="31">
        <f t="shared" si="31"/>
        <v>27</v>
      </c>
      <c r="P324" s="136" t="s">
        <v>1873</v>
      </c>
      <c r="Q324" s="31">
        <f t="shared" si="32"/>
        <v>1</v>
      </c>
      <c r="R324" s="32">
        <f t="shared" si="33"/>
        <v>0.9642857142857143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 t="s">
        <v>2222</v>
      </c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hidden="1" thickBot="1" x14ac:dyDescent="0.3">
      <c r="A325">
        <v>6</v>
      </c>
      <c r="B325">
        <v>12</v>
      </c>
      <c r="C325"/>
      <c r="D325"/>
      <c r="E325" t="s">
        <v>2335</v>
      </c>
      <c r="F325" t="s">
        <v>337</v>
      </c>
      <c r="G325" t="s">
        <v>962</v>
      </c>
      <c r="H325" t="s">
        <v>1042</v>
      </c>
      <c r="I325" t="s">
        <v>339</v>
      </c>
      <c r="J325" s="30" t="s">
        <v>18</v>
      </c>
      <c r="K325" s="30" t="s">
        <v>27</v>
      </c>
      <c r="L325" s="30"/>
      <c r="M325" s="30" t="s">
        <v>1254</v>
      </c>
      <c r="N325" s="30"/>
      <c r="O325" s="31">
        <f t="shared" si="31"/>
        <v>28</v>
      </c>
      <c r="P325" s="136" t="s">
        <v>1876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hidden="1" thickBot="1" x14ac:dyDescent="0.3">
      <c r="A326"/>
      <c r="B326"/>
      <c r="C326"/>
      <c r="D326"/>
      <c r="E326" t="s">
        <v>2447</v>
      </c>
      <c r="F326" s="73" t="s">
        <v>183</v>
      </c>
      <c r="G326" s="73" t="s">
        <v>963</v>
      </c>
      <c r="H326" s="73" t="s">
        <v>1042</v>
      </c>
      <c r="I326" s="73" t="s">
        <v>964</v>
      </c>
      <c r="J326" s="84" t="s">
        <v>71</v>
      </c>
      <c r="K326" s="84" t="s">
        <v>1278</v>
      </c>
      <c r="L326" s="84"/>
      <c r="M326" s="84" t="s">
        <v>1255</v>
      </c>
      <c r="N326" s="84"/>
      <c r="O326" s="31">
        <f t="shared" si="31"/>
        <v>16</v>
      </c>
      <c r="P326" s="136" t="s">
        <v>1878</v>
      </c>
      <c r="Q326" s="31">
        <f t="shared" si="32"/>
        <v>12</v>
      </c>
      <c r="R326" s="32">
        <f t="shared" si="33"/>
        <v>0.5714285714285714</v>
      </c>
      <c r="S326" s="70"/>
      <c r="T326" s="70"/>
      <c r="U326" s="70"/>
      <c r="V326" s="70" t="s">
        <v>2222</v>
      </c>
      <c r="W326" s="70" t="s">
        <v>2222</v>
      </c>
      <c r="X326" s="70" t="s">
        <v>2222</v>
      </c>
      <c r="Y326" s="70" t="s">
        <v>2222</v>
      </c>
      <c r="Z326" s="70" t="s">
        <v>2222</v>
      </c>
      <c r="AA326" s="70"/>
      <c r="AB326" s="70"/>
      <c r="AC326" s="70" t="s">
        <v>2222</v>
      </c>
      <c r="AD326" s="70" t="s">
        <v>2222</v>
      </c>
      <c r="AE326" s="70" t="s">
        <v>2222</v>
      </c>
      <c r="AF326" s="70" t="s">
        <v>2222</v>
      </c>
      <c r="AG326" s="70" t="s">
        <v>2222</v>
      </c>
      <c r="AH326" s="70"/>
      <c r="AI326" s="70"/>
      <c r="AJ326" s="70" t="s">
        <v>2222</v>
      </c>
      <c r="AK326" s="70" t="s">
        <v>2222</v>
      </c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ht="15.75" thickBot="1" x14ac:dyDescent="0.3">
      <c r="A327"/>
      <c r="B327"/>
      <c r="C327"/>
      <c r="D327"/>
      <c r="E327"/>
      <c r="F327" s="73" t="s">
        <v>346</v>
      </c>
      <c r="G327" s="73" t="s">
        <v>1186</v>
      </c>
      <c r="H327" s="73" t="s">
        <v>1042</v>
      </c>
      <c r="I327" s="73" t="s">
        <v>1187</v>
      </c>
      <c r="J327" s="84" t="s">
        <v>14</v>
      </c>
      <c r="K327" s="84" t="s">
        <v>1278</v>
      </c>
      <c r="L327" s="84"/>
      <c r="M327" s="84" t="s">
        <v>750</v>
      </c>
      <c r="N327" s="84"/>
      <c r="O327" s="131">
        <f t="shared" si="31"/>
        <v>16</v>
      </c>
      <c r="P327" s="136" t="s">
        <v>1879</v>
      </c>
      <c r="Q327" s="131">
        <f t="shared" si="32"/>
        <v>12</v>
      </c>
      <c r="R327" s="132">
        <f t="shared" si="33"/>
        <v>0.5714285714285714</v>
      </c>
      <c r="S327" s="70"/>
      <c r="T327" s="70"/>
      <c r="U327" s="70"/>
      <c r="V327" s="70" t="s">
        <v>2222</v>
      </c>
      <c r="W327" s="70" t="s">
        <v>2222</v>
      </c>
      <c r="X327" s="70" t="s">
        <v>2222</v>
      </c>
      <c r="Y327" s="70" t="s">
        <v>2222</v>
      </c>
      <c r="Z327" s="70" t="s">
        <v>2222</v>
      </c>
      <c r="AA327" s="70"/>
      <c r="AB327" s="70"/>
      <c r="AC327" s="70" t="s">
        <v>2222</v>
      </c>
      <c r="AD327" s="70" t="s">
        <v>2222</v>
      </c>
      <c r="AE327" s="70" t="s">
        <v>2222</v>
      </c>
      <c r="AF327" s="70" t="s">
        <v>2222</v>
      </c>
      <c r="AG327" s="70" t="s">
        <v>2222</v>
      </c>
      <c r="AH327" s="70"/>
      <c r="AI327" s="70"/>
      <c r="AJ327" s="70" t="s">
        <v>2222</v>
      </c>
      <c r="AK327" s="70" t="s">
        <v>2222</v>
      </c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9" ht="15.75" thickBot="1" x14ac:dyDescent="0.3">
      <c r="A328"/>
      <c r="B328"/>
      <c r="C328"/>
      <c r="D328"/>
      <c r="E328"/>
      <c r="F328" s="73" t="s">
        <v>346</v>
      </c>
      <c r="G328" s="73" t="s">
        <v>965</v>
      </c>
      <c r="H328" s="73" t="s">
        <v>1042</v>
      </c>
      <c r="I328" s="73" t="s">
        <v>966</v>
      </c>
      <c r="J328" s="84" t="s">
        <v>18</v>
      </c>
      <c r="K328" s="84" t="s">
        <v>1278</v>
      </c>
      <c r="L328" s="84"/>
      <c r="M328" s="84" t="s">
        <v>1256</v>
      </c>
      <c r="N328" s="84"/>
      <c r="O328" s="131">
        <f t="shared" si="31"/>
        <v>16</v>
      </c>
      <c r="P328" s="136" t="s">
        <v>1880</v>
      </c>
      <c r="Q328" s="131">
        <f t="shared" si="32"/>
        <v>12</v>
      </c>
      <c r="R328" s="132">
        <f t="shared" si="33"/>
        <v>0.5714285714285714</v>
      </c>
      <c r="S328" s="70"/>
      <c r="T328" s="70"/>
      <c r="U328" s="70"/>
      <c r="V328" s="70" t="s">
        <v>2222</v>
      </c>
      <c r="W328" s="70" t="s">
        <v>2222</v>
      </c>
      <c r="X328" s="70" t="s">
        <v>2222</v>
      </c>
      <c r="Y328" s="70" t="s">
        <v>2222</v>
      </c>
      <c r="Z328" s="70" t="s">
        <v>2222</v>
      </c>
      <c r="AA328" s="70"/>
      <c r="AB328" s="71"/>
      <c r="AC328" s="70" t="s">
        <v>2222</v>
      </c>
      <c r="AD328" s="70" t="s">
        <v>2222</v>
      </c>
      <c r="AE328" s="70" t="s">
        <v>2222</v>
      </c>
      <c r="AF328" s="70" t="s">
        <v>2222</v>
      </c>
      <c r="AG328" s="70" t="s">
        <v>2222</v>
      </c>
      <c r="AH328" s="70"/>
      <c r="AI328" s="70"/>
      <c r="AJ328" s="70" t="s">
        <v>2222</v>
      </c>
      <c r="AK328" s="70" t="s">
        <v>2222</v>
      </c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9" ht="15.75" hidden="1" thickBot="1" x14ac:dyDescent="0.3">
      <c r="A329"/>
      <c r="B329"/>
      <c r="C329"/>
      <c r="D329"/>
      <c r="E329" t="s">
        <v>2446</v>
      </c>
      <c r="F329" t="s">
        <v>337</v>
      </c>
      <c r="G329" t="s">
        <v>967</v>
      </c>
      <c r="H329" t="s">
        <v>1042</v>
      </c>
      <c r="I329" t="s">
        <v>968</v>
      </c>
      <c r="J329" s="30" t="s">
        <v>71</v>
      </c>
      <c r="K329" s="30" t="s">
        <v>27</v>
      </c>
      <c r="L329" s="30"/>
      <c r="M329" s="30" t="s">
        <v>1257</v>
      </c>
      <c r="N329" s="30"/>
      <c r="O329" s="31">
        <f t="shared" ref="O329:O392" si="34">COUNTIF(S329:AT329,"")</f>
        <v>26</v>
      </c>
      <c r="P329" s="136" t="s">
        <v>1883</v>
      </c>
      <c r="Q329" s="31">
        <f t="shared" ref="Q329:Q392" si="35">COUNTIF(S329:AT329,"APAGADO")</f>
        <v>2</v>
      </c>
      <c r="R329" s="32">
        <f t="shared" ref="R329:R392" si="36">(O329)/(Q329+O329)</f>
        <v>0.9285714285714286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 t="s">
        <v>2222</v>
      </c>
      <c r="AK329" s="70" t="s">
        <v>2222</v>
      </c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hidden="1" thickBot="1" x14ac:dyDescent="0.3">
      <c r="A330">
        <v>12</v>
      </c>
      <c r="B330" t="s">
        <v>2374</v>
      </c>
      <c r="C330"/>
      <c r="D330"/>
      <c r="E330" t="s">
        <v>2373</v>
      </c>
      <c r="F330" t="s">
        <v>216</v>
      </c>
      <c r="G330" t="s">
        <v>1268</v>
      </c>
      <c r="H330" t="s">
        <v>1042</v>
      </c>
      <c r="I330" t="s">
        <v>970</v>
      </c>
      <c r="J330" s="30" t="s">
        <v>71</v>
      </c>
      <c r="K330" s="30" t="s">
        <v>27</v>
      </c>
      <c r="L330" s="30"/>
      <c r="M330" s="30" t="s">
        <v>748</v>
      </c>
      <c r="N330" s="30"/>
      <c r="O330" s="31">
        <f t="shared" si="34"/>
        <v>28</v>
      </c>
      <c r="P330" s="136" t="s">
        <v>1884</v>
      </c>
      <c r="Q330" s="31">
        <f t="shared" si="35"/>
        <v>0</v>
      </c>
      <c r="R330" s="32">
        <f t="shared" si="36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hidden="1" thickBot="1" x14ac:dyDescent="0.3">
      <c r="A331">
        <v>12</v>
      </c>
      <c r="B331" t="s">
        <v>2374</v>
      </c>
      <c r="C331"/>
      <c r="D331"/>
      <c r="E331" t="s">
        <v>2373</v>
      </c>
      <c r="F331" t="s">
        <v>216</v>
      </c>
      <c r="G331" t="s">
        <v>1269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740</v>
      </c>
      <c r="N331" s="30"/>
      <c r="O331" s="31">
        <f t="shared" si="34"/>
        <v>27</v>
      </c>
      <c r="P331" s="136" t="s">
        <v>1885</v>
      </c>
      <c r="Q331" s="31">
        <f t="shared" si="35"/>
        <v>1</v>
      </c>
      <c r="R331" s="32">
        <f t="shared" si="36"/>
        <v>0.9642857142857143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 t="s">
        <v>2222</v>
      </c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hidden="1" thickBot="1" x14ac:dyDescent="0.3">
      <c r="A332">
        <v>12</v>
      </c>
      <c r="B332" t="s">
        <v>2374</v>
      </c>
      <c r="C332"/>
      <c r="D332"/>
      <c r="E332" t="s">
        <v>2373</v>
      </c>
      <c r="F332" t="s">
        <v>216</v>
      </c>
      <c r="G332" t="s">
        <v>969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1270</v>
      </c>
      <c r="N332" s="30"/>
      <c r="O332" s="31">
        <f t="shared" si="34"/>
        <v>28</v>
      </c>
      <c r="P332" s="136" t="s">
        <v>1886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3"/>
    </row>
    <row r="333" spans="1:49" ht="15.75" hidden="1" thickBot="1" x14ac:dyDescent="0.3">
      <c r="A333"/>
      <c r="B333"/>
      <c r="C333"/>
      <c r="D333"/>
      <c r="E333" t="s">
        <v>2348</v>
      </c>
      <c r="F333" t="s">
        <v>352</v>
      </c>
      <c r="G333" t="s">
        <v>353</v>
      </c>
      <c r="H333" t="s">
        <v>1042</v>
      </c>
      <c r="I333" t="s">
        <v>354</v>
      </c>
      <c r="J333" s="30" t="s">
        <v>14</v>
      </c>
      <c r="K333" s="30" t="s">
        <v>27</v>
      </c>
      <c r="L333" s="30"/>
      <c r="M333" s="30" t="s">
        <v>752</v>
      </c>
      <c r="N333" s="30"/>
      <c r="O333" s="31">
        <f t="shared" si="34"/>
        <v>27</v>
      </c>
      <c r="P333" s="136" t="s">
        <v>1887</v>
      </c>
      <c r="Q333" s="31">
        <f t="shared" si="35"/>
        <v>1</v>
      </c>
      <c r="R333" s="32">
        <f t="shared" si="36"/>
        <v>0.9642857142857143</v>
      </c>
      <c r="S333" s="70"/>
      <c r="T333" s="70"/>
      <c r="U333" s="70"/>
      <c r="V333" s="70"/>
      <c r="W333" s="70"/>
      <c r="X333" s="70"/>
      <c r="Y333" s="70"/>
      <c r="Z333" s="70" t="s">
        <v>2222</v>
      </c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hidden="1" thickBot="1" x14ac:dyDescent="0.3">
      <c r="A334"/>
      <c r="B334"/>
      <c r="C334"/>
      <c r="D334"/>
      <c r="E334" t="s">
        <v>2348</v>
      </c>
      <c r="F334" t="s">
        <v>352</v>
      </c>
      <c r="G334" t="s">
        <v>971</v>
      </c>
      <c r="H334" t="s">
        <v>1042</v>
      </c>
      <c r="I334" t="s">
        <v>355</v>
      </c>
      <c r="J334" s="30" t="s">
        <v>14</v>
      </c>
      <c r="K334" s="30" t="s">
        <v>27</v>
      </c>
      <c r="L334" s="30"/>
      <c r="M334" s="30" t="s">
        <v>753</v>
      </c>
      <c r="N334" s="30"/>
      <c r="O334" s="31">
        <f t="shared" si="34"/>
        <v>28</v>
      </c>
      <c r="P334" s="136" t="s">
        <v>1888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hidden="1" thickBot="1" x14ac:dyDescent="0.3">
      <c r="A335"/>
      <c r="B335"/>
      <c r="C335"/>
      <c r="D335"/>
      <c r="E335" t="s">
        <v>2348</v>
      </c>
      <c r="F335" t="s">
        <v>352</v>
      </c>
      <c r="G335" t="s">
        <v>356</v>
      </c>
      <c r="H335" t="s">
        <v>1042</v>
      </c>
      <c r="I335" t="s">
        <v>357</v>
      </c>
      <c r="J335" s="30" t="s">
        <v>71</v>
      </c>
      <c r="K335" s="30" t="s">
        <v>27</v>
      </c>
      <c r="L335" s="30"/>
      <c r="M335" s="30" t="s">
        <v>754</v>
      </c>
      <c r="N335" s="30"/>
      <c r="O335" s="31">
        <f t="shared" si="34"/>
        <v>27</v>
      </c>
      <c r="P335" s="136" t="s">
        <v>1889</v>
      </c>
      <c r="Q335" s="31">
        <f t="shared" si="35"/>
        <v>1</v>
      </c>
      <c r="R335" s="32">
        <f t="shared" si="36"/>
        <v>0.9642857142857143</v>
      </c>
      <c r="S335" s="70"/>
      <c r="T335" s="70"/>
      <c r="U335" s="70"/>
      <c r="V335" s="70"/>
      <c r="W335" s="70"/>
      <c r="X335" s="70"/>
      <c r="Y335" s="70" t="s">
        <v>2222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2348</v>
      </c>
      <c r="F336" t="s">
        <v>352</v>
      </c>
      <c r="G336" t="s">
        <v>358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755</v>
      </c>
      <c r="N336" s="30"/>
      <c r="O336" s="31">
        <f t="shared" si="34"/>
        <v>27</v>
      </c>
      <c r="P336" s="136" t="s">
        <v>1890</v>
      </c>
      <c r="Q336" s="31">
        <f t="shared" si="35"/>
        <v>1</v>
      </c>
      <c r="R336" s="32">
        <f t="shared" si="36"/>
        <v>0.9642857142857143</v>
      </c>
      <c r="S336" s="70"/>
      <c r="T336" s="70"/>
      <c r="U336" s="70"/>
      <c r="V336" s="70"/>
      <c r="W336" s="70"/>
      <c r="X336" s="70"/>
      <c r="Y336" s="70" t="s">
        <v>2222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2348</v>
      </c>
      <c r="F337" t="s">
        <v>352</v>
      </c>
      <c r="G337" t="s">
        <v>359</v>
      </c>
      <c r="H337" t="s">
        <v>1042</v>
      </c>
      <c r="I337" t="s">
        <v>360</v>
      </c>
      <c r="J337" s="30" t="s">
        <v>71</v>
      </c>
      <c r="K337" s="30" t="s">
        <v>27</v>
      </c>
      <c r="L337" s="30"/>
      <c r="M337" s="30" t="s">
        <v>756</v>
      </c>
      <c r="N337" s="30"/>
      <c r="O337" s="31">
        <f t="shared" si="34"/>
        <v>28</v>
      </c>
      <c r="P337" s="136" t="s">
        <v>1891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hidden="1" thickBot="1" x14ac:dyDescent="0.3">
      <c r="A338"/>
      <c r="B338"/>
      <c r="C338"/>
      <c r="D338"/>
      <c r="E338" t="s">
        <v>2348</v>
      </c>
      <c r="F338" t="s">
        <v>352</v>
      </c>
      <c r="G338" t="s">
        <v>361</v>
      </c>
      <c r="H338" t="s">
        <v>1042</v>
      </c>
      <c r="I338" t="s">
        <v>360</v>
      </c>
      <c r="J338" s="30" t="s">
        <v>45</v>
      </c>
      <c r="K338" s="30" t="s">
        <v>27</v>
      </c>
      <c r="L338" s="30"/>
      <c r="M338" s="30" t="s">
        <v>757</v>
      </c>
      <c r="N338" s="30"/>
      <c r="O338" s="31">
        <f t="shared" si="34"/>
        <v>28</v>
      </c>
      <c r="P338" s="136" t="s">
        <v>1892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hidden="1" thickBot="1" x14ac:dyDescent="0.3">
      <c r="A339">
        <v>2</v>
      </c>
      <c r="B339">
        <v>2</v>
      </c>
      <c r="C339"/>
      <c r="D339"/>
      <c r="E339" t="s">
        <v>2362</v>
      </c>
      <c r="F339" t="s">
        <v>352</v>
      </c>
      <c r="G339" t="s">
        <v>1312</v>
      </c>
      <c r="H339" t="s">
        <v>1041</v>
      </c>
      <c r="I339" t="s">
        <v>1313</v>
      </c>
      <c r="J339" s="30"/>
      <c r="K339" s="30" t="s">
        <v>27</v>
      </c>
      <c r="L339" s="30"/>
      <c r="M339" s="30" t="s">
        <v>1323</v>
      </c>
      <c r="N339" s="30"/>
      <c r="O339" s="31">
        <f t="shared" si="34"/>
        <v>16</v>
      </c>
      <c r="P339" s="136" t="s">
        <v>1893</v>
      </c>
      <c r="Q339" s="31">
        <f t="shared" si="35"/>
        <v>12</v>
      </c>
      <c r="R339" s="32">
        <f t="shared" si="36"/>
        <v>0.5714285714285714</v>
      </c>
      <c r="S339" s="70"/>
      <c r="T339" s="70"/>
      <c r="U339" s="70"/>
      <c r="V339" s="70" t="s">
        <v>2222</v>
      </c>
      <c r="W339" s="70" t="s">
        <v>2222</v>
      </c>
      <c r="X339" s="70" t="s">
        <v>2222</v>
      </c>
      <c r="Y339" s="70" t="s">
        <v>2222</v>
      </c>
      <c r="Z339" s="70" t="s">
        <v>2222</v>
      </c>
      <c r="AA339" s="70"/>
      <c r="AB339" s="70"/>
      <c r="AC339" s="70" t="s">
        <v>2222</v>
      </c>
      <c r="AD339" s="70" t="s">
        <v>2222</v>
      </c>
      <c r="AE339" s="70" t="s">
        <v>2222</v>
      </c>
      <c r="AF339" s="70" t="s">
        <v>2222</v>
      </c>
      <c r="AG339" s="70" t="s">
        <v>2222</v>
      </c>
      <c r="AH339" s="70"/>
      <c r="AI339" s="70"/>
      <c r="AJ339" s="70" t="s">
        <v>2222</v>
      </c>
      <c r="AK339" s="70" t="s">
        <v>2222</v>
      </c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hidden="1" thickBot="1" x14ac:dyDescent="0.3">
      <c r="A340">
        <v>2</v>
      </c>
      <c r="B340">
        <v>2</v>
      </c>
      <c r="C340"/>
      <c r="D340"/>
      <c r="E340" t="s">
        <v>2362</v>
      </c>
      <c r="F340" t="s">
        <v>352</v>
      </c>
      <c r="G340" t="s">
        <v>1355</v>
      </c>
      <c r="H340" t="s">
        <v>1042</v>
      </c>
      <c r="I340" s="68" t="s">
        <v>1358</v>
      </c>
      <c r="J340" s="30" t="s">
        <v>18</v>
      </c>
      <c r="K340" s="30" t="s">
        <v>27</v>
      </c>
      <c r="L340" s="30"/>
      <c r="M340" s="30" t="s">
        <v>1370</v>
      </c>
      <c r="N340" s="30"/>
      <c r="O340" s="31">
        <f t="shared" si="34"/>
        <v>26</v>
      </c>
      <c r="P340" s="136" t="s">
        <v>1894</v>
      </c>
      <c r="Q340" s="31">
        <f t="shared" si="35"/>
        <v>2</v>
      </c>
      <c r="R340" s="32">
        <f t="shared" si="36"/>
        <v>0.9285714285714286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 t="s">
        <v>2222</v>
      </c>
      <c r="AD340" s="70"/>
      <c r="AE340" s="70"/>
      <c r="AF340" s="70"/>
      <c r="AG340" s="70" t="s">
        <v>2222</v>
      </c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hidden="1" thickBot="1" x14ac:dyDescent="0.3">
      <c r="A341">
        <v>2</v>
      </c>
      <c r="B341">
        <v>2</v>
      </c>
      <c r="C341"/>
      <c r="D341"/>
      <c r="E341" t="s">
        <v>2362</v>
      </c>
      <c r="F341" t="s">
        <v>352</v>
      </c>
      <c r="G341" t="s">
        <v>1356</v>
      </c>
      <c r="H341" t="s">
        <v>1042</v>
      </c>
      <c r="I341" s="68" t="s">
        <v>1359</v>
      </c>
      <c r="J341" s="30" t="s">
        <v>71</v>
      </c>
      <c r="K341" s="30" t="s">
        <v>27</v>
      </c>
      <c r="L341" s="30"/>
      <c r="M341" s="30" t="s">
        <v>1371</v>
      </c>
      <c r="N341" s="30"/>
      <c r="O341" s="31">
        <f t="shared" si="34"/>
        <v>26</v>
      </c>
      <c r="P341" s="136" t="s">
        <v>1895</v>
      </c>
      <c r="Q341" s="31">
        <f t="shared" si="35"/>
        <v>2</v>
      </c>
      <c r="R341" s="32">
        <f t="shared" si="36"/>
        <v>0.9285714285714286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 t="s">
        <v>2222</v>
      </c>
      <c r="AD341" s="70"/>
      <c r="AE341" s="70"/>
      <c r="AF341" s="70"/>
      <c r="AG341" s="70" t="s">
        <v>2222</v>
      </c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hidden="1" thickBot="1" x14ac:dyDescent="0.3">
      <c r="A342">
        <v>2</v>
      </c>
      <c r="B342">
        <v>2</v>
      </c>
      <c r="C342"/>
      <c r="D342"/>
      <c r="E342" t="s">
        <v>2362</v>
      </c>
      <c r="F342" t="s">
        <v>352</v>
      </c>
      <c r="G342" t="s">
        <v>1357</v>
      </c>
      <c r="H342" t="s">
        <v>1042</v>
      </c>
      <c r="I342" s="68" t="s">
        <v>1360</v>
      </c>
      <c r="J342" s="30" t="s">
        <v>71</v>
      </c>
      <c r="K342" s="30" t="s">
        <v>27</v>
      </c>
      <c r="L342" s="30"/>
      <c r="M342" s="30" t="s">
        <v>1372</v>
      </c>
      <c r="N342" s="30"/>
      <c r="O342" s="31">
        <f t="shared" si="34"/>
        <v>26</v>
      </c>
      <c r="P342" s="136" t="s">
        <v>1896</v>
      </c>
      <c r="Q342" s="31">
        <f t="shared" si="35"/>
        <v>2</v>
      </c>
      <c r="R342" s="32">
        <f t="shared" si="36"/>
        <v>0.9285714285714286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 t="s">
        <v>2222</v>
      </c>
      <c r="AD342" s="70"/>
      <c r="AE342" s="70"/>
      <c r="AF342" s="70"/>
      <c r="AG342" s="70" t="s">
        <v>2222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>
        <v>2</v>
      </c>
      <c r="B343">
        <v>2</v>
      </c>
      <c r="C343"/>
      <c r="D343"/>
      <c r="E343" t="s">
        <v>2362</v>
      </c>
      <c r="F343" t="s">
        <v>352</v>
      </c>
      <c r="G343" t="s">
        <v>2194</v>
      </c>
      <c r="H343" t="s">
        <v>1042</v>
      </c>
      <c r="I343" s="68" t="s">
        <v>2180</v>
      </c>
      <c r="J343" s="84" t="s">
        <v>14</v>
      </c>
      <c r="K343" s="30" t="s">
        <v>27</v>
      </c>
      <c r="L343" s="30"/>
      <c r="M343" s="30" t="s">
        <v>2195</v>
      </c>
      <c r="N343" s="30"/>
      <c r="O343" s="31">
        <f t="shared" si="34"/>
        <v>26</v>
      </c>
      <c r="P343" s="136" t="s">
        <v>2181</v>
      </c>
      <c r="Q343" s="31">
        <f t="shared" si="35"/>
        <v>2</v>
      </c>
      <c r="R343" s="32">
        <f t="shared" si="36"/>
        <v>0.9285714285714286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 t="s">
        <v>2222</v>
      </c>
      <c r="AD343" s="70"/>
      <c r="AE343" s="70"/>
      <c r="AF343" s="70"/>
      <c r="AG343" s="70" t="s">
        <v>2222</v>
      </c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>
        <v>2</v>
      </c>
      <c r="B344">
        <v>2</v>
      </c>
      <c r="C344"/>
      <c r="D344"/>
      <c r="E344" t="s">
        <v>2362</v>
      </c>
      <c r="F344" t="s">
        <v>352</v>
      </c>
      <c r="G344" t="s">
        <v>2182</v>
      </c>
      <c r="H344" t="s">
        <v>1042</v>
      </c>
      <c r="I344" s="68" t="s">
        <v>2183</v>
      </c>
      <c r="J344" s="84" t="s">
        <v>14</v>
      </c>
      <c r="K344" s="30" t="s">
        <v>27</v>
      </c>
      <c r="L344" s="30"/>
      <c r="M344" s="30" t="s">
        <v>2285</v>
      </c>
      <c r="N344" s="30"/>
      <c r="O344" s="31">
        <f t="shared" si="34"/>
        <v>26</v>
      </c>
      <c r="P344" s="136" t="s">
        <v>2184</v>
      </c>
      <c r="Q344" s="31">
        <f t="shared" si="35"/>
        <v>2</v>
      </c>
      <c r="R344" s="32">
        <f t="shared" si="36"/>
        <v>0.9285714285714286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 t="s">
        <v>2222</v>
      </c>
      <c r="AD344" s="70"/>
      <c r="AE344" s="70"/>
      <c r="AF344" s="70"/>
      <c r="AG344" s="70" t="s">
        <v>2222</v>
      </c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s="73" customFormat="1" ht="15.75" hidden="1" thickBot="1" x14ac:dyDescent="0.3">
      <c r="A345"/>
      <c r="B345"/>
      <c r="C345"/>
      <c r="D345"/>
      <c r="E345" t="s">
        <v>2348</v>
      </c>
      <c r="F345" t="s">
        <v>362</v>
      </c>
      <c r="G345" t="s">
        <v>972</v>
      </c>
      <c r="H345" t="s">
        <v>1042</v>
      </c>
      <c r="I345" t="s">
        <v>368</v>
      </c>
      <c r="J345" s="30" t="s">
        <v>14</v>
      </c>
      <c r="K345" s="30" t="s">
        <v>27</v>
      </c>
      <c r="L345" s="30"/>
      <c r="M345" s="30" t="s">
        <v>762</v>
      </c>
      <c r="N345" s="30"/>
      <c r="O345" s="31">
        <f t="shared" si="34"/>
        <v>28</v>
      </c>
      <c r="P345" s="136" t="s">
        <v>1901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/>
    </row>
    <row r="346" spans="1:49" ht="15.75" hidden="1" thickBot="1" x14ac:dyDescent="0.3">
      <c r="A346"/>
      <c r="B346"/>
      <c r="C346"/>
      <c r="D346"/>
      <c r="E346" t="s">
        <v>2348</v>
      </c>
      <c r="F346" t="s">
        <v>362</v>
      </c>
      <c r="G346" t="s">
        <v>973</v>
      </c>
      <c r="H346" t="s">
        <v>1042</v>
      </c>
      <c r="I346" t="s">
        <v>974</v>
      </c>
      <c r="J346" s="30" t="s">
        <v>18</v>
      </c>
      <c r="K346" s="30" t="s">
        <v>27</v>
      </c>
      <c r="L346" s="30"/>
      <c r="M346" s="30" t="s">
        <v>887</v>
      </c>
      <c r="N346" s="30"/>
      <c r="O346" s="31">
        <f t="shared" si="34"/>
        <v>26</v>
      </c>
      <c r="P346" s="136" t="s">
        <v>1902</v>
      </c>
      <c r="Q346" s="31">
        <f t="shared" si="35"/>
        <v>2</v>
      </c>
      <c r="R346" s="32">
        <f t="shared" si="36"/>
        <v>0.9285714285714286</v>
      </c>
      <c r="S346" s="70"/>
      <c r="T346" s="70"/>
      <c r="U346" s="70"/>
      <c r="V346" s="70"/>
      <c r="W346" s="70"/>
      <c r="X346" s="70"/>
      <c r="Y346" s="70" t="s">
        <v>2222</v>
      </c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 t="s">
        <v>2222</v>
      </c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69"/>
    </row>
    <row r="347" spans="1:49" ht="15.75" hidden="1" thickBot="1" x14ac:dyDescent="0.3">
      <c r="A347"/>
      <c r="B347"/>
      <c r="C347"/>
      <c r="D347"/>
      <c r="E347" t="s">
        <v>2348</v>
      </c>
      <c r="F347" t="s">
        <v>362</v>
      </c>
      <c r="G347" t="s">
        <v>975</v>
      </c>
      <c r="H347" t="s">
        <v>1042</v>
      </c>
      <c r="I347" t="s">
        <v>976</v>
      </c>
      <c r="J347" s="30" t="s">
        <v>18</v>
      </c>
      <c r="K347" s="30" t="s">
        <v>27</v>
      </c>
      <c r="L347" s="30"/>
      <c r="M347" s="30" t="s">
        <v>888</v>
      </c>
      <c r="N347" s="30"/>
      <c r="O347" s="31">
        <f t="shared" si="34"/>
        <v>28</v>
      </c>
      <c r="P347" s="136" t="s">
        <v>1903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hidden="1" thickBot="1" x14ac:dyDescent="0.3">
      <c r="A348"/>
      <c r="B348"/>
      <c r="C348"/>
      <c r="D348"/>
      <c r="E348" t="s">
        <v>2348</v>
      </c>
      <c r="F348" t="s">
        <v>362</v>
      </c>
      <c r="G348" t="s">
        <v>977</v>
      </c>
      <c r="H348" t="s">
        <v>1042</v>
      </c>
      <c r="I348" t="s">
        <v>978</v>
      </c>
      <c r="J348" s="30" t="s">
        <v>18</v>
      </c>
      <c r="K348" s="30" t="s">
        <v>27</v>
      </c>
      <c r="L348" s="30"/>
      <c r="M348" s="30" t="s">
        <v>889</v>
      </c>
      <c r="N348" s="30"/>
      <c r="O348" s="31">
        <f t="shared" si="34"/>
        <v>27</v>
      </c>
      <c r="P348" s="136" t="s">
        <v>1904</v>
      </c>
      <c r="Q348" s="31">
        <f t="shared" si="35"/>
        <v>1</v>
      </c>
      <c r="R348" s="32">
        <f t="shared" si="36"/>
        <v>0.9642857142857143</v>
      </c>
      <c r="S348" s="70"/>
      <c r="T348" s="70"/>
      <c r="U348" s="70"/>
      <c r="V348" s="70"/>
      <c r="W348" s="70"/>
      <c r="X348" s="70"/>
      <c r="Y348" s="70" t="s">
        <v>2222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138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hidden="1" thickBot="1" x14ac:dyDescent="0.3">
      <c r="A349"/>
      <c r="B349"/>
      <c r="C349"/>
      <c r="D349"/>
      <c r="E349" t="s">
        <v>2348</v>
      </c>
      <c r="F349" t="s">
        <v>362</v>
      </c>
      <c r="G349" t="s">
        <v>979</v>
      </c>
      <c r="H349" t="s">
        <v>1042</v>
      </c>
      <c r="I349" t="s">
        <v>980</v>
      </c>
      <c r="J349" s="30" t="s">
        <v>18</v>
      </c>
      <c r="K349" s="30" t="s">
        <v>27</v>
      </c>
      <c r="L349" s="30"/>
      <c r="M349" s="30" t="s">
        <v>890</v>
      </c>
      <c r="N349" s="30"/>
      <c r="O349" s="31">
        <f t="shared" si="34"/>
        <v>27</v>
      </c>
      <c r="P349" s="136" t="s">
        <v>1905</v>
      </c>
      <c r="Q349" s="31">
        <f t="shared" si="35"/>
        <v>1</v>
      </c>
      <c r="R349" s="32">
        <f t="shared" si="36"/>
        <v>0.9642857142857143</v>
      </c>
      <c r="S349" s="70"/>
      <c r="T349" s="70"/>
      <c r="U349" s="70"/>
      <c r="V349" s="70"/>
      <c r="W349" s="70"/>
      <c r="X349" s="70"/>
      <c r="Y349" s="70" t="s">
        <v>2222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88"/>
    </row>
    <row r="350" spans="1:49" ht="15.75" hidden="1" thickBot="1" x14ac:dyDescent="0.3">
      <c r="A350"/>
      <c r="B350"/>
      <c r="C350"/>
      <c r="D350"/>
      <c r="E350" t="s">
        <v>2348</v>
      </c>
      <c r="F350" t="s">
        <v>362</v>
      </c>
      <c r="G350" t="s">
        <v>1151</v>
      </c>
      <c r="H350" t="s">
        <v>1042</v>
      </c>
      <c r="I350" t="s">
        <v>1134</v>
      </c>
      <c r="J350" s="30" t="s">
        <v>18</v>
      </c>
      <c r="K350" s="30" t="s">
        <v>27</v>
      </c>
      <c r="L350" s="30"/>
      <c r="M350" s="30" t="s">
        <v>1136</v>
      </c>
      <c r="N350" s="30"/>
      <c r="O350" s="31">
        <f t="shared" si="34"/>
        <v>28</v>
      </c>
      <c r="P350" s="136" t="s">
        <v>1906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hidden="1" thickBot="1" x14ac:dyDescent="0.3">
      <c r="A351"/>
      <c r="B351"/>
      <c r="C351"/>
      <c r="D351"/>
      <c r="E351" t="s">
        <v>2348</v>
      </c>
      <c r="F351" t="s">
        <v>362</v>
      </c>
      <c r="G351" t="s">
        <v>1152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1137</v>
      </c>
      <c r="N351" s="30"/>
      <c r="O351" s="31">
        <f t="shared" si="34"/>
        <v>28</v>
      </c>
      <c r="P351" s="136" t="s">
        <v>1907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83"/>
      <c r="AR351" s="70"/>
      <c r="AS351" s="70"/>
      <c r="AT351" s="70"/>
      <c r="AU351" s="70"/>
      <c r="AV351" s="70"/>
    </row>
    <row r="352" spans="1:49" ht="15.75" hidden="1" thickBot="1" x14ac:dyDescent="0.3">
      <c r="A352"/>
      <c r="B352"/>
      <c r="C352"/>
      <c r="D352"/>
      <c r="E352" t="s">
        <v>2348</v>
      </c>
      <c r="F352" t="s">
        <v>362</v>
      </c>
      <c r="G352" t="s">
        <v>1170</v>
      </c>
      <c r="H352" t="s">
        <v>1042</v>
      </c>
      <c r="I352" t="s">
        <v>1133</v>
      </c>
      <c r="J352" s="30" t="s">
        <v>14</v>
      </c>
      <c r="K352" s="30" t="s">
        <v>27</v>
      </c>
      <c r="L352" s="30"/>
      <c r="M352" s="30" t="s">
        <v>1135</v>
      </c>
      <c r="N352" s="30"/>
      <c r="O352" s="31">
        <f t="shared" si="34"/>
        <v>28</v>
      </c>
      <c r="P352" s="136" t="s">
        <v>1908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hidden="1" thickBot="1" x14ac:dyDescent="0.3">
      <c r="A353"/>
      <c r="B353"/>
      <c r="C353"/>
      <c r="D353"/>
      <c r="E353" t="s">
        <v>2348</v>
      </c>
      <c r="F353" t="s">
        <v>362</v>
      </c>
      <c r="G353" t="s">
        <v>1273</v>
      </c>
      <c r="H353" t="s">
        <v>1042</v>
      </c>
      <c r="I353" t="s">
        <v>1274</v>
      </c>
      <c r="J353" s="30" t="s">
        <v>71</v>
      </c>
      <c r="K353" s="30" t="s">
        <v>27</v>
      </c>
      <c r="L353" s="30"/>
      <c r="M353" s="30" t="s">
        <v>1455</v>
      </c>
      <c r="N353" s="30"/>
      <c r="O353" s="31">
        <f t="shared" si="34"/>
        <v>28</v>
      </c>
      <c r="P353" s="136" t="s">
        <v>1909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hidden="1" thickBot="1" x14ac:dyDescent="0.3">
      <c r="A354"/>
      <c r="B354"/>
      <c r="C354"/>
      <c r="D354"/>
      <c r="E354" t="s">
        <v>2348</v>
      </c>
      <c r="F354" t="s">
        <v>362</v>
      </c>
      <c r="G354" t="s">
        <v>1361</v>
      </c>
      <c r="H354" t="s">
        <v>1042</v>
      </c>
      <c r="I354" s="68" t="s">
        <v>1364</v>
      </c>
      <c r="J354" s="30" t="s">
        <v>14</v>
      </c>
      <c r="K354" s="30" t="s">
        <v>1035</v>
      </c>
      <c r="L354" s="30"/>
      <c r="M354" s="30" t="s">
        <v>1368</v>
      </c>
      <c r="N354" s="30"/>
      <c r="O354" s="31">
        <f t="shared" si="34"/>
        <v>16</v>
      </c>
      <c r="P354" s="136"/>
      <c r="Q354" s="31">
        <f t="shared" si="35"/>
        <v>12</v>
      </c>
      <c r="R354" s="32">
        <f t="shared" si="36"/>
        <v>0.5714285714285714</v>
      </c>
      <c r="S354" s="70"/>
      <c r="T354" s="70"/>
      <c r="U354" s="70"/>
      <c r="V354" s="70" t="s">
        <v>2222</v>
      </c>
      <c r="W354" s="70" t="s">
        <v>2222</v>
      </c>
      <c r="X354" s="70" t="s">
        <v>2222</v>
      </c>
      <c r="Y354" s="70" t="s">
        <v>2222</v>
      </c>
      <c r="Z354" s="70" t="s">
        <v>2222</v>
      </c>
      <c r="AA354" s="70"/>
      <c r="AB354" s="70"/>
      <c r="AC354" s="70" t="s">
        <v>2222</v>
      </c>
      <c r="AD354" s="70" t="s">
        <v>2222</v>
      </c>
      <c r="AE354" s="70" t="s">
        <v>2222</v>
      </c>
      <c r="AF354" s="70" t="s">
        <v>2222</v>
      </c>
      <c r="AG354" s="70" t="s">
        <v>2222</v>
      </c>
      <c r="AH354" s="70"/>
      <c r="AI354" s="70"/>
      <c r="AJ354" s="70" t="s">
        <v>2222</v>
      </c>
      <c r="AK354" s="70" t="s">
        <v>2222</v>
      </c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hidden="1" thickBot="1" x14ac:dyDescent="0.3">
      <c r="A355"/>
      <c r="B355"/>
      <c r="C355"/>
      <c r="D355"/>
      <c r="E355" t="s">
        <v>2348</v>
      </c>
      <c r="F355" t="s">
        <v>362</v>
      </c>
      <c r="G355" t="s">
        <v>1362</v>
      </c>
      <c r="H355" t="s">
        <v>1042</v>
      </c>
      <c r="I355" s="68" t="s">
        <v>1365</v>
      </c>
      <c r="J355" s="30" t="s">
        <v>71</v>
      </c>
      <c r="K355" s="30" t="s">
        <v>1035</v>
      </c>
      <c r="L355" s="30"/>
      <c r="M355" s="30" t="s">
        <v>1369</v>
      </c>
      <c r="N355" s="30"/>
      <c r="O355" s="31">
        <f t="shared" si="34"/>
        <v>16</v>
      </c>
      <c r="P355" s="136"/>
      <c r="Q355" s="31">
        <f t="shared" si="35"/>
        <v>12</v>
      </c>
      <c r="R355" s="32">
        <f t="shared" si="36"/>
        <v>0.5714285714285714</v>
      </c>
      <c r="S355" s="70"/>
      <c r="T355" s="70"/>
      <c r="U355" s="70"/>
      <c r="V355" s="70" t="s">
        <v>2222</v>
      </c>
      <c r="W355" s="70" t="s">
        <v>2222</v>
      </c>
      <c r="X355" s="70" t="s">
        <v>2222</v>
      </c>
      <c r="Y355" s="70" t="s">
        <v>2222</v>
      </c>
      <c r="Z355" s="70" t="s">
        <v>2222</v>
      </c>
      <c r="AA355" s="70"/>
      <c r="AB355" s="70"/>
      <c r="AC355" s="70" t="s">
        <v>2222</v>
      </c>
      <c r="AD355" s="70" t="s">
        <v>2222</v>
      </c>
      <c r="AE355" s="70" t="s">
        <v>2222</v>
      </c>
      <c r="AF355" s="70" t="s">
        <v>2222</v>
      </c>
      <c r="AG355" s="70" t="s">
        <v>2222</v>
      </c>
      <c r="AH355" s="70"/>
      <c r="AI355" s="70"/>
      <c r="AJ355" s="70" t="s">
        <v>2222</v>
      </c>
      <c r="AK355" s="70" t="s">
        <v>2222</v>
      </c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hidden="1" thickBot="1" x14ac:dyDescent="0.3">
      <c r="A356"/>
      <c r="B356"/>
      <c r="C356"/>
      <c r="D356"/>
      <c r="E356" t="s">
        <v>2348</v>
      </c>
      <c r="F356" t="s">
        <v>362</v>
      </c>
      <c r="G356" t="s">
        <v>1363</v>
      </c>
      <c r="H356" t="s">
        <v>1042</v>
      </c>
      <c r="I356" s="68" t="s">
        <v>1366</v>
      </c>
      <c r="J356" s="30" t="s">
        <v>14</v>
      </c>
      <c r="K356" s="30" t="s">
        <v>27</v>
      </c>
      <c r="L356" s="30"/>
      <c r="M356" s="30" t="s">
        <v>1472</v>
      </c>
      <c r="N356" s="30"/>
      <c r="O356" s="31">
        <f t="shared" si="34"/>
        <v>16</v>
      </c>
      <c r="P356" s="136" t="s">
        <v>1910</v>
      </c>
      <c r="Q356" s="31">
        <f t="shared" si="35"/>
        <v>12</v>
      </c>
      <c r="R356" s="32">
        <f t="shared" si="36"/>
        <v>0.5714285714285714</v>
      </c>
      <c r="S356" s="70"/>
      <c r="T356" s="70"/>
      <c r="U356" s="70"/>
      <c r="V356" s="70" t="s">
        <v>2222</v>
      </c>
      <c r="W356" s="70" t="s">
        <v>2222</v>
      </c>
      <c r="X356" s="70" t="s">
        <v>2222</v>
      </c>
      <c r="Y356" s="70" t="s">
        <v>2222</v>
      </c>
      <c r="Z356" s="70" t="s">
        <v>2222</v>
      </c>
      <c r="AA356" s="70"/>
      <c r="AB356" s="70"/>
      <c r="AC356" s="70" t="s">
        <v>2222</v>
      </c>
      <c r="AD356" s="70" t="s">
        <v>2222</v>
      </c>
      <c r="AE356" s="70" t="s">
        <v>2222</v>
      </c>
      <c r="AF356" s="70" t="s">
        <v>2222</v>
      </c>
      <c r="AG356" s="70" t="s">
        <v>2222</v>
      </c>
      <c r="AH356" s="70"/>
      <c r="AI356" s="70"/>
      <c r="AJ356" s="70" t="s">
        <v>2222</v>
      </c>
      <c r="AK356" s="70" t="s">
        <v>2222</v>
      </c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2348</v>
      </c>
      <c r="F357" s="73" t="s">
        <v>362</v>
      </c>
      <c r="G357" s="73" t="s">
        <v>981</v>
      </c>
      <c r="H357" s="73" t="s">
        <v>1042</v>
      </c>
      <c r="I357" s="73" t="s">
        <v>363</v>
      </c>
      <c r="J357" s="84" t="s">
        <v>14</v>
      </c>
      <c r="K357" s="84" t="s">
        <v>27</v>
      </c>
      <c r="L357" s="84"/>
      <c r="M357" s="84" t="s">
        <v>758</v>
      </c>
      <c r="N357" s="84"/>
      <c r="O357" s="85">
        <f t="shared" si="34"/>
        <v>28</v>
      </c>
      <c r="P357" s="136" t="s">
        <v>1897</v>
      </c>
      <c r="Q357" s="85">
        <f t="shared" si="35"/>
        <v>0</v>
      </c>
      <c r="R357" s="86">
        <f t="shared" si="36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2348</v>
      </c>
      <c r="F358" t="s">
        <v>362</v>
      </c>
      <c r="G358" t="s">
        <v>982</v>
      </c>
      <c r="H358" t="s">
        <v>1042</v>
      </c>
      <c r="I358" t="s">
        <v>364</v>
      </c>
      <c r="J358" s="30" t="s">
        <v>14</v>
      </c>
      <c r="K358" s="30" t="s">
        <v>27</v>
      </c>
      <c r="L358" s="30"/>
      <c r="M358" s="30" t="s">
        <v>761</v>
      </c>
      <c r="N358" s="30"/>
      <c r="O358" s="31">
        <f t="shared" si="34"/>
        <v>28</v>
      </c>
      <c r="P358" s="136" t="s">
        <v>1898</v>
      </c>
      <c r="Q358" s="31">
        <f t="shared" si="35"/>
        <v>0</v>
      </c>
      <c r="R358" s="32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2348</v>
      </c>
      <c r="F359" t="s">
        <v>362</v>
      </c>
      <c r="G359" t="s">
        <v>365</v>
      </c>
      <c r="H359" t="s">
        <v>1042</v>
      </c>
      <c r="I359" t="s">
        <v>366</v>
      </c>
      <c r="J359" s="30" t="s">
        <v>71</v>
      </c>
      <c r="K359" s="30" t="s">
        <v>27</v>
      </c>
      <c r="L359" s="30"/>
      <c r="M359" s="30" t="s">
        <v>759</v>
      </c>
      <c r="N359" s="30"/>
      <c r="O359" s="31">
        <f t="shared" si="34"/>
        <v>16</v>
      </c>
      <c r="P359" s="136" t="s">
        <v>1899</v>
      </c>
      <c r="Q359" s="31">
        <f t="shared" si="35"/>
        <v>12</v>
      </c>
      <c r="R359" s="32">
        <f t="shared" si="36"/>
        <v>0.5714285714285714</v>
      </c>
      <c r="S359" s="70"/>
      <c r="T359" s="70"/>
      <c r="U359" s="70"/>
      <c r="V359" s="70" t="s">
        <v>2222</v>
      </c>
      <c r="W359" s="70" t="s">
        <v>2222</v>
      </c>
      <c r="X359" s="70" t="s">
        <v>2222</v>
      </c>
      <c r="Y359" s="70" t="s">
        <v>2222</v>
      </c>
      <c r="Z359" s="70" t="s">
        <v>2222</v>
      </c>
      <c r="AA359" s="70"/>
      <c r="AB359" s="70"/>
      <c r="AC359" s="70" t="s">
        <v>2222</v>
      </c>
      <c r="AD359" s="70" t="s">
        <v>2222</v>
      </c>
      <c r="AE359" s="70" t="s">
        <v>2222</v>
      </c>
      <c r="AF359" s="70" t="s">
        <v>2222</v>
      </c>
      <c r="AG359" s="70" t="s">
        <v>2222</v>
      </c>
      <c r="AH359" s="70"/>
      <c r="AI359" s="70"/>
      <c r="AJ359" s="70" t="s">
        <v>2222</v>
      </c>
      <c r="AK359" s="70" t="s">
        <v>2222</v>
      </c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hidden="1" thickBot="1" x14ac:dyDescent="0.3">
      <c r="A360"/>
      <c r="B360"/>
      <c r="C360"/>
      <c r="D360"/>
      <c r="E360" t="s">
        <v>2348</v>
      </c>
      <c r="F360" t="s">
        <v>362</v>
      </c>
      <c r="G360" t="s">
        <v>367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760</v>
      </c>
      <c r="N360" s="30"/>
      <c r="O360" s="31">
        <f t="shared" si="34"/>
        <v>16</v>
      </c>
      <c r="P360" s="136" t="s">
        <v>1900</v>
      </c>
      <c r="Q360" s="31">
        <f t="shared" si="35"/>
        <v>12</v>
      </c>
      <c r="R360" s="32">
        <f t="shared" si="36"/>
        <v>0.5714285714285714</v>
      </c>
      <c r="S360" s="70"/>
      <c r="T360" s="70"/>
      <c r="U360" s="70"/>
      <c r="V360" s="70" t="s">
        <v>2222</v>
      </c>
      <c r="W360" s="70" t="s">
        <v>2222</v>
      </c>
      <c r="X360" s="70" t="s">
        <v>2222</v>
      </c>
      <c r="Y360" s="70" t="s">
        <v>2222</v>
      </c>
      <c r="Z360" s="70" t="s">
        <v>2222</v>
      </c>
      <c r="AA360" s="70"/>
      <c r="AB360" s="70"/>
      <c r="AC360" s="70" t="s">
        <v>2222</v>
      </c>
      <c r="AD360" s="70" t="s">
        <v>2222</v>
      </c>
      <c r="AE360" s="70" t="s">
        <v>2222</v>
      </c>
      <c r="AF360" s="70" t="s">
        <v>2222</v>
      </c>
      <c r="AG360" s="70" t="s">
        <v>2222</v>
      </c>
      <c r="AH360" s="70"/>
      <c r="AI360" s="70"/>
      <c r="AJ360" s="70" t="s">
        <v>2222</v>
      </c>
      <c r="AK360" s="70" t="s">
        <v>2222</v>
      </c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s="73" customFormat="1" ht="15.75" hidden="1" thickBot="1" x14ac:dyDescent="0.3">
      <c r="A361"/>
      <c r="B361"/>
      <c r="C361"/>
      <c r="D361"/>
      <c r="E361"/>
      <c r="F361" s="73" t="s">
        <v>880</v>
      </c>
      <c r="G361" s="73" t="s">
        <v>983</v>
      </c>
      <c r="H361" s="73" t="s">
        <v>1042</v>
      </c>
      <c r="I361" s="73" t="s">
        <v>984</v>
      </c>
      <c r="J361" s="84" t="s">
        <v>1036</v>
      </c>
      <c r="K361" s="84" t="s">
        <v>1278</v>
      </c>
      <c r="L361" s="30"/>
      <c r="M361" s="84" t="s">
        <v>882</v>
      </c>
      <c r="N361" s="84"/>
      <c r="O361" s="131">
        <f t="shared" si="34"/>
        <v>28</v>
      </c>
      <c r="P361" s="136" t="s">
        <v>2399</v>
      </c>
      <c r="Q361" s="131">
        <f t="shared" si="35"/>
        <v>0</v>
      </c>
      <c r="R361" s="132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/>
    </row>
    <row r="362" spans="1:49" s="73" customFormat="1" ht="15.75" hidden="1" thickBot="1" x14ac:dyDescent="0.3">
      <c r="A362"/>
      <c r="B362"/>
      <c r="C362"/>
      <c r="D362"/>
      <c r="E362"/>
      <c r="F362" s="73" t="s">
        <v>880</v>
      </c>
      <c r="G362" s="73" t="s">
        <v>879</v>
      </c>
      <c r="H362" s="73" t="s">
        <v>1042</v>
      </c>
      <c r="I362" s="73" t="s">
        <v>984</v>
      </c>
      <c r="J362" s="84" t="s">
        <v>1037</v>
      </c>
      <c r="K362" s="84" t="s">
        <v>1278</v>
      </c>
      <c r="L362" s="30"/>
      <c r="M362" s="84" t="s">
        <v>881</v>
      </c>
      <c r="N362" s="84"/>
      <c r="O362" s="131">
        <f t="shared" si="34"/>
        <v>28</v>
      </c>
      <c r="P362" s="136" t="s">
        <v>2400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ht="15.75" hidden="1" thickBot="1" x14ac:dyDescent="0.3">
      <c r="A363"/>
      <c r="B363"/>
      <c r="C363"/>
      <c r="D363"/>
      <c r="E363"/>
      <c r="F363" s="73" t="s">
        <v>251</v>
      </c>
      <c r="G363" s="73" t="s">
        <v>985</v>
      </c>
      <c r="H363" s="73" t="s">
        <v>1041</v>
      </c>
      <c r="I363" s="73" t="s">
        <v>325</v>
      </c>
      <c r="J363" s="84" t="s">
        <v>71</v>
      </c>
      <c r="K363" s="84" t="s">
        <v>1278</v>
      </c>
      <c r="L363" s="30"/>
      <c r="M363" s="84" t="s">
        <v>732</v>
      </c>
      <c r="N363" s="84"/>
      <c r="O363" s="131">
        <f t="shared" si="34"/>
        <v>28</v>
      </c>
      <c r="P363" s="136" t="s">
        <v>1912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s="73" customFormat="1" ht="15.75" hidden="1" thickBot="1" x14ac:dyDescent="0.3">
      <c r="A364"/>
      <c r="B364"/>
      <c r="C364"/>
      <c r="D364"/>
      <c r="E364"/>
      <c r="F364" s="73" t="s">
        <v>251</v>
      </c>
      <c r="G364" s="73" t="s">
        <v>986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733</v>
      </c>
      <c r="N364" s="84"/>
      <c r="O364" s="131">
        <f t="shared" si="34"/>
        <v>28</v>
      </c>
      <c r="P364" s="136" t="s">
        <v>1913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hidden="1" thickBot="1" x14ac:dyDescent="0.3">
      <c r="A365">
        <v>1</v>
      </c>
      <c r="B365">
        <v>19</v>
      </c>
      <c r="C365"/>
      <c r="D365"/>
      <c r="E365" t="s">
        <v>2328</v>
      </c>
      <c r="F365" t="s">
        <v>251</v>
      </c>
      <c r="G365" t="s">
        <v>987</v>
      </c>
      <c r="H365" t="s">
        <v>1041</v>
      </c>
      <c r="I365" t="s">
        <v>988</v>
      </c>
      <c r="J365" s="30" t="s">
        <v>18</v>
      </c>
      <c r="K365" s="30" t="s">
        <v>27</v>
      </c>
      <c r="L365" s="30"/>
      <c r="M365" s="30" t="s">
        <v>2177</v>
      </c>
      <c r="N365" s="30"/>
      <c r="O365" s="31">
        <f t="shared" si="34"/>
        <v>28</v>
      </c>
      <c r="P365" s="136" t="s">
        <v>1914</v>
      </c>
      <c r="Q365" s="31">
        <f t="shared" si="35"/>
        <v>0</v>
      </c>
      <c r="R365" s="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hidden="1" thickBot="1" x14ac:dyDescent="0.3">
      <c r="A366">
        <v>1</v>
      </c>
      <c r="B366">
        <v>19</v>
      </c>
      <c r="C366"/>
      <c r="D366"/>
      <c r="E366" t="s">
        <v>2328</v>
      </c>
      <c r="F366" t="s">
        <v>251</v>
      </c>
      <c r="G366" t="s">
        <v>989</v>
      </c>
      <c r="H366" t="s">
        <v>1041</v>
      </c>
      <c r="I366" t="s">
        <v>990</v>
      </c>
      <c r="J366" s="30" t="s">
        <v>18</v>
      </c>
      <c r="K366" s="30" t="s">
        <v>27</v>
      </c>
      <c r="L366" s="30"/>
      <c r="M366" s="30" t="s">
        <v>2286</v>
      </c>
      <c r="N366" s="30"/>
      <c r="O366" s="31">
        <f t="shared" si="34"/>
        <v>28</v>
      </c>
      <c r="P366" s="136" t="s">
        <v>1915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3"/>
    </row>
    <row r="367" spans="1:49" ht="15.75" hidden="1" thickBot="1" x14ac:dyDescent="0.3">
      <c r="A367">
        <v>1</v>
      </c>
      <c r="B367">
        <v>19</v>
      </c>
      <c r="C367"/>
      <c r="D367"/>
      <c r="E367" t="s">
        <v>2328</v>
      </c>
      <c r="F367" t="s">
        <v>251</v>
      </c>
      <c r="G367" t="s">
        <v>1109</v>
      </c>
      <c r="H367" t="s">
        <v>1041</v>
      </c>
      <c r="I367" t="s">
        <v>1106</v>
      </c>
      <c r="J367" s="30" t="s">
        <v>71</v>
      </c>
      <c r="K367" s="30" t="s">
        <v>27</v>
      </c>
      <c r="L367" s="30"/>
      <c r="M367" s="30" t="s">
        <v>1113</v>
      </c>
      <c r="N367" s="30"/>
      <c r="O367" s="31">
        <f t="shared" si="34"/>
        <v>28</v>
      </c>
      <c r="P367" s="136" t="s">
        <v>1916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hidden="1" thickBot="1" x14ac:dyDescent="0.3">
      <c r="A368">
        <v>1</v>
      </c>
      <c r="B368">
        <v>19</v>
      </c>
      <c r="C368"/>
      <c r="D368"/>
      <c r="E368" t="s">
        <v>2328</v>
      </c>
      <c r="F368" t="s">
        <v>251</v>
      </c>
      <c r="G368" t="s">
        <v>1110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1114</v>
      </c>
      <c r="N368" s="30"/>
      <c r="O368" s="31">
        <f t="shared" si="34"/>
        <v>28</v>
      </c>
      <c r="P368" s="136" t="s">
        <v>1917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hidden="1" thickBot="1" x14ac:dyDescent="0.3">
      <c r="A369">
        <v>1</v>
      </c>
      <c r="B369">
        <v>19</v>
      </c>
      <c r="C369"/>
      <c r="D369"/>
      <c r="E369" t="s">
        <v>2328</v>
      </c>
      <c r="F369" t="s">
        <v>251</v>
      </c>
      <c r="G369" t="s">
        <v>1111</v>
      </c>
      <c r="H369" t="s">
        <v>1041</v>
      </c>
      <c r="I369" t="s">
        <v>1107</v>
      </c>
      <c r="J369" s="30" t="s">
        <v>71</v>
      </c>
      <c r="K369" s="30" t="s">
        <v>27</v>
      </c>
      <c r="L369" s="30"/>
      <c r="M369" s="30" t="s">
        <v>1115</v>
      </c>
      <c r="N369" s="30"/>
      <c r="O369" s="31">
        <f t="shared" si="34"/>
        <v>28</v>
      </c>
      <c r="P369" s="136" t="s">
        <v>1918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hidden="1" thickBot="1" x14ac:dyDescent="0.3">
      <c r="A370">
        <v>1</v>
      </c>
      <c r="B370">
        <v>19</v>
      </c>
      <c r="C370"/>
      <c r="D370"/>
      <c r="E370" t="s">
        <v>2328</v>
      </c>
      <c r="F370" t="s">
        <v>251</v>
      </c>
      <c r="G370" t="s">
        <v>1112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1116</v>
      </c>
      <c r="N370" s="30"/>
      <c r="O370" s="31">
        <f t="shared" si="34"/>
        <v>28</v>
      </c>
      <c r="P370" s="136" t="s">
        <v>1919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>
        <v>1</v>
      </c>
      <c r="B371">
        <v>14</v>
      </c>
      <c r="C371"/>
      <c r="D371"/>
      <c r="E371" t="s">
        <v>2367</v>
      </c>
      <c r="F371" s="73" t="s">
        <v>1297</v>
      </c>
      <c r="G371" t="s">
        <v>1210</v>
      </c>
      <c r="H371" t="s">
        <v>1041</v>
      </c>
      <c r="I371" t="s">
        <v>1211</v>
      </c>
      <c r="J371" t="s">
        <v>18</v>
      </c>
      <c r="K371" t="s">
        <v>27</v>
      </c>
      <c r="L371"/>
      <c r="M371" s="30" t="s">
        <v>1217</v>
      </c>
      <c r="N371" s="30"/>
      <c r="O371" s="31">
        <f t="shared" si="34"/>
        <v>28</v>
      </c>
      <c r="P371" s="136" t="s">
        <v>1920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42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>
        <v>1</v>
      </c>
      <c r="B372">
        <v>14</v>
      </c>
      <c r="C372"/>
      <c r="D372"/>
      <c r="E372" t="s">
        <v>2367</v>
      </c>
      <c r="F372" s="73" t="s">
        <v>1297</v>
      </c>
      <c r="G372" t="s">
        <v>1212</v>
      </c>
      <c r="H372" t="s">
        <v>1041</v>
      </c>
      <c r="I372" t="s">
        <v>1213</v>
      </c>
      <c r="J372" t="s">
        <v>18</v>
      </c>
      <c r="K372" t="s">
        <v>27</v>
      </c>
      <c r="L372"/>
      <c r="M372" s="30" t="s">
        <v>1218</v>
      </c>
      <c r="N372" s="30"/>
      <c r="O372" s="31">
        <f t="shared" si="34"/>
        <v>28</v>
      </c>
      <c r="P372" s="136" t="s">
        <v>1921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/>
      <c r="B373"/>
      <c r="C373"/>
      <c r="D373"/>
      <c r="E373"/>
      <c r="F373" s="73" t="s">
        <v>1297</v>
      </c>
      <c r="G373" s="73" t="s">
        <v>1542</v>
      </c>
      <c r="H373" s="73" t="s">
        <v>1041</v>
      </c>
      <c r="I373" s="73" t="s">
        <v>1545</v>
      </c>
      <c r="J373" s="84" t="s">
        <v>71</v>
      </c>
      <c r="K373" s="84" t="s">
        <v>1278</v>
      </c>
      <c r="L373"/>
      <c r="M373" s="84" t="s">
        <v>1546</v>
      </c>
      <c r="N373" s="84"/>
      <c r="O373" s="31">
        <f t="shared" si="34"/>
        <v>28</v>
      </c>
      <c r="P373" s="136" t="s">
        <v>1922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9" s="73" customFormat="1" ht="15.75" hidden="1" thickBot="1" x14ac:dyDescent="0.3">
      <c r="A374"/>
      <c r="B374"/>
      <c r="C374"/>
      <c r="D374"/>
      <c r="E374"/>
      <c r="F374" s="73" t="s">
        <v>1297</v>
      </c>
      <c r="G374" s="73" t="s">
        <v>1543</v>
      </c>
      <c r="H374" s="73" t="s">
        <v>1041</v>
      </c>
      <c r="I374" s="73" t="s">
        <v>1547</v>
      </c>
      <c r="J374" s="73" t="s">
        <v>71</v>
      </c>
      <c r="K374" s="84" t="s">
        <v>1278</v>
      </c>
      <c r="L374"/>
      <c r="M374" s="84" t="s">
        <v>1548</v>
      </c>
      <c r="N374" s="84"/>
      <c r="O374" s="31">
        <f t="shared" si="34"/>
        <v>16</v>
      </c>
      <c r="P374" s="136" t="s">
        <v>1923</v>
      </c>
      <c r="Q374" s="31">
        <f t="shared" si="35"/>
        <v>12</v>
      </c>
      <c r="R374" s="32">
        <f t="shared" si="36"/>
        <v>0.5714285714285714</v>
      </c>
      <c r="S374" s="70"/>
      <c r="T374" s="70"/>
      <c r="U374" s="70"/>
      <c r="V374" s="70" t="s">
        <v>2222</v>
      </c>
      <c r="W374" s="70" t="s">
        <v>2222</v>
      </c>
      <c r="X374" s="70" t="s">
        <v>2222</v>
      </c>
      <c r="Y374" s="70" t="s">
        <v>2222</v>
      </c>
      <c r="Z374" s="70" t="s">
        <v>2222</v>
      </c>
      <c r="AA374" s="70"/>
      <c r="AB374" s="70"/>
      <c r="AC374" s="70" t="s">
        <v>2222</v>
      </c>
      <c r="AD374" s="70" t="s">
        <v>2222</v>
      </c>
      <c r="AE374" s="70" t="s">
        <v>2222</v>
      </c>
      <c r="AF374" s="70" t="s">
        <v>2222</v>
      </c>
      <c r="AG374" s="70" t="s">
        <v>2222</v>
      </c>
      <c r="AH374" s="70"/>
      <c r="AI374" s="70"/>
      <c r="AJ374" s="70" t="s">
        <v>2222</v>
      </c>
      <c r="AK374" s="70" t="s">
        <v>2222</v>
      </c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/>
    </row>
    <row r="375" spans="1:49" s="73" customFormat="1" ht="15.75" hidden="1" thickBot="1" x14ac:dyDescent="0.3">
      <c r="A375"/>
      <c r="B375"/>
      <c r="C375"/>
      <c r="D375"/>
      <c r="E375"/>
      <c r="F375" s="73" t="s">
        <v>1297</v>
      </c>
      <c r="G375" s="73" t="s">
        <v>1544</v>
      </c>
      <c r="H375" s="73" t="s">
        <v>1041</v>
      </c>
      <c r="I375" s="73" t="s">
        <v>1549</v>
      </c>
      <c r="J375" s="73" t="s">
        <v>71</v>
      </c>
      <c r="K375" s="84" t="s">
        <v>1278</v>
      </c>
      <c r="L375"/>
      <c r="M375" s="84" t="s">
        <v>1550</v>
      </c>
      <c r="N375" s="84"/>
      <c r="O375" s="31">
        <f t="shared" si="34"/>
        <v>28</v>
      </c>
      <c r="P375" s="136" t="s">
        <v>1924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hidden="1" thickBot="1" x14ac:dyDescent="0.3">
      <c r="A376"/>
      <c r="B376"/>
      <c r="C376"/>
      <c r="D376"/>
      <c r="E376"/>
      <c r="F376" s="73" t="s">
        <v>1297</v>
      </c>
      <c r="G376" s="73" t="s">
        <v>1599</v>
      </c>
      <c r="H376" s="73" t="s">
        <v>1041</v>
      </c>
      <c r="I376" s="73" t="s">
        <v>1600</v>
      </c>
      <c r="J376" s="73" t="s">
        <v>18</v>
      </c>
      <c r="K376" s="84" t="s">
        <v>1278</v>
      </c>
      <c r="L376"/>
      <c r="M376" s="84" t="s">
        <v>1601</v>
      </c>
      <c r="N376" s="84"/>
      <c r="O376" s="31">
        <f t="shared" si="34"/>
        <v>28</v>
      </c>
      <c r="P376" s="136" t="s">
        <v>2100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hidden="1" thickBot="1" x14ac:dyDescent="0.3">
      <c r="A377">
        <v>1</v>
      </c>
      <c r="B377">
        <v>7</v>
      </c>
      <c r="C377"/>
      <c r="D377"/>
      <c r="E377" t="s">
        <v>2328</v>
      </c>
      <c r="F377" t="s">
        <v>251</v>
      </c>
      <c r="G377" t="s">
        <v>369</v>
      </c>
      <c r="H377" t="s">
        <v>1041</v>
      </c>
      <c r="I377" t="s">
        <v>370</v>
      </c>
      <c r="J377" s="30" t="s">
        <v>18</v>
      </c>
      <c r="K377" s="30" t="s">
        <v>27</v>
      </c>
      <c r="L377" s="30"/>
      <c r="M377" s="30" t="s">
        <v>763</v>
      </c>
      <c r="N377" s="30"/>
      <c r="O377" s="31">
        <f t="shared" si="34"/>
        <v>28</v>
      </c>
      <c r="P377" s="136" t="s">
        <v>1911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ht="15.75" hidden="1" thickBot="1" x14ac:dyDescent="0.3">
      <c r="A378">
        <v>1</v>
      </c>
      <c r="B378">
        <v>18</v>
      </c>
      <c r="C378"/>
      <c r="D378"/>
      <c r="E378" t="s">
        <v>2361</v>
      </c>
      <c r="F378" t="s">
        <v>371</v>
      </c>
      <c r="G378" t="s">
        <v>372</v>
      </c>
      <c r="H378" t="s">
        <v>1041</v>
      </c>
      <c r="I378" t="s">
        <v>373</v>
      </c>
      <c r="J378" s="30" t="s">
        <v>18</v>
      </c>
      <c r="K378" s="30" t="s">
        <v>27</v>
      </c>
      <c r="L378"/>
      <c r="M378" s="30" t="s">
        <v>764</v>
      </c>
      <c r="N378" s="30" t="s">
        <v>2266</v>
      </c>
      <c r="O378" s="31">
        <f t="shared" si="34"/>
        <v>24</v>
      </c>
      <c r="P378" s="136" t="s">
        <v>1925</v>
      </c>
      <c r="Q378" s="31">
        <f t="shared" si="35"/>
        <v>4</v>
      </c>
      <c r="R378" s="32">
        <f t="shared" si="36"/>
        <v>0.8571428571428571</v>
      </c>
      <c r="S378" s="70"/>
      <c r="T378" s="70"/>
      <c r="U378" s="70"/>
      <c r="V378" s="70" t="s">
        <v>2222</v>
      </c>
      <c r="W378" s="70" t="s">
        <v>2222</v>
      </c>
      <c r="X378" s="70" t="s">
        <v>2222</v>
      </c>
      <c r="Y378" s="70" t="s">
        <v>2222</v>
      </c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ht="15.75" hidden="1" thickBot="1" x14ac:dyDescent="0.3">
      <c r="A379"/>
      <c r="B379"/>
      <c r="C379"/>
      <c r="D379"/>
      <c r="E379" s="151" t="s">
        <v>2462</v>
      </c>
      <c r="F379" t="s">
        <v>371</v>
      </c>
      <c r="G379" t="s">
        <v>374</v>
      </c>
      <c r="H379" t="s">
        <v>1041</v>
      </c>
      <c r="I379" t="s">
        <v>375</v>
      </c>
      <c r="J379" s="30" t="s">
        <v>18</v>
      </c>
      <c r="K379" s="30" t="s">
        <v>1278</v>
      </c>
      <c r="L379"/>
      <c r="M379" s="30" t="s">
        <v>765</v>
      </c>
      <c r="N379" s="30"/>
      <c r="O379" s="31">
        <f t="shared" si="34"/>
        <v>28</v>
      </c>
      <c r="P379" s="136" t="s">
        <v>1926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hidden="1" thickBot="1" x14ac:dyDescent="0.3">
      <c r="A380"/>
      <c r="B380"/>
      <c r="C380"/>
      <c r="D380"/>
      <c r="E380" s="151" t="s">
        <v>2462</v>
      </c>
      <c r="F380" s="73" t="s">
        <v>376</v>
      </c>
      <c r="G380" s="73" t="s">
        <v>377</v>
      </c>
      <c r="H380" s="73" t="s">
        <v>1041</v>
      </c>
      <c r="I380" s="73" t="s">
        <v>378</v>
      </c>
      <c r="J380" s="84" t="s">
        <v>18</v>
      </c>
      <c r="K380" s="84" t="s">
        <v>1278</v>
      </c>
      <c r="L380"/>
      <c r="M380" s="84" t="s">
        <v>1454</v>
      </c>
      <c r="N380" s="84"/>
      <c r="O380" s="131">
        <f t="shared" si="34"/>
        <v>28</v>
      </c>
      <c r="P380" s="136" t="s">
        <v>2401</v>
      </c>
      <c r="Q380" s="131">
        <f t="shared" si="35"/>
        <v>0</v>
      </c>
      <c r="R380" s="1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hidden="1" thickBot="1" x14ac:dyDescent="0.3">
      <c r="A381"/>
      <c r="B381"/>
      <c r="C381"/>
      <c r="D381"/>
      <c r="E381" s="151" t="s">
        <v>2462</v>
      </c>
      <c r="F381" s="73" t="s">
        <v>371</v>
      </c>
      <c r="G381" s="73" t="s">
        <v>2127</v>
      </c>
      <c r="H381" s="73" t="s">
        <v>1041</v>
      </c>
      <c r="I381" s="73" t="s">
        <v>2128</v>
      </c>
      <c r="J381" s="84" t="s">
        <v>71</v>
      </c>
      <c r="K381" s="30" t="s">
        <v>1278</v>
      </c>
      <c r="L381"/>
      <c r="M381" s="84" t="s">
        <v>2129</v>
      </c>
      <c r="N381" s="84" t="s">
        <v>2266</v>
      </c>
      <c r="O381" s="131">
        <f t="shared" si="34"/>
        <v>28</v>
      </c>
      <c r="P381" s="136" t="s">
        <v>2130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hidden="1" thickBot="1" x14ac:dyDescent="0.3">
      <c r="A382"/>
      <c r="B382"/>
      <c r="C382"/>
      <c r="D382"/>
      <c r="E382" s="151" t="s">
        <v>2439</v>
      </c>
      <c r="F382" t="s">
        <v>281</v>
      </c>
      <c r="G382" t="s">
        <v>991</v>
      </c>
      <c r="H382" t="s">
        <v>1041</v>
      </c>
      <c r="I382" t="s">
        <v>381</v>
      </c>
      <c r="J382" s="30" t="s">
        <v>18</v>
      </c>
      <c r="K382" s="30" t="s">
        <v>1278</v>
      </c>
      <c r="L382" s="30"/>
      <c r="M382" s="30" t="s">
        <v>769</v>
      </c>
      <c r="N382" s="30"/>
      <c r="O382" s="31">
        <f t="shared" si="34"/>
        <v>28</v>
      </c>
      <c r="P382" s="136" t="s">
        <v>2402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3"/>
    </row>
    <row r="383" spans="1:49" ht="15.75" hidden="1" thickBot="1" x14ac:dyDescent="0.3">
      <c r="A383">
        <v>1</v>
      </c>
      <c r="B383">
        <v>18</v>
      </c>
      <c r="C383"/>
      <c r="D383"/>
      <c r="E383" t="s">
        <v>2361</v>
      </c>
      <c r="F383" t="s">
        <v>281</v>
      </c>
      <c r="G383" t="s">
        <v>379</v>
      </c>
      <c r="H383" t="s">
        <v>1041</v>
      </c>
      <c r="I383" t="s">
        <v>380</v>
      </c>
      <c r="J383" s="30" t="s">
        <v>18</v>
      </c>
      <c r="K383" s="30" t="s">
        <v>27</v>
      </c>
      <c r="L383"/>
      <c r="M383" s="30" t="s">
        <v>768</v>
      </c>
      <c r="N383" s="30" t="s">
        <v>2266</v>
      </c>
      <c r="O383" s="31">
        <f t="shared" si="34"/>
        <v>28</v>
      </c>
      <c r="P383" s="136" t="s">
        <v>1927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hidden="1" thickBot="1" x14ac:dyDescent="0.3">
      <c r="A384">
        <v>1</v>
      </c>
      <c r="B384">
        <v>18</v>
      </c>
      <c r="C384"/>
      <c r="D384"/>
      <c r="E384" t="s">
        <v>2361</v>
      </c>
      <c r="F384" t="s">
        <v>281</v>
      </c>
      <c r="G384" t="s">
        <v>382</v>
      </c>
      <c r="H384" t="s">
        <v>1041</v>
      </c>
      <c r="I384" t="s">
        <v>383</v>
      </c>
      <c r="J384" s="30" t="s">
        <v>71</v>
      </c>
      <c r="K384" s="30" t="s">
        <v>27</v>
      </c>
      <c r="L384" s="30"/>
      <c r="M384" s="30" t="s">
        <v>766</v>
      </c>
      <c r="N384" s="30" t="s">
        <v>2266</v>
      </c>
      <c r="O384" s="31">
        <f t="shared" si="34"/>
        <v>28</v>
      </c>
      <c r="P384" s="136" t="s">
        <v>1928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2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hidden="1" thickBot="1" x14ac:dyDescent="0.3">
      <c r="A385">
        <v>1</v>
      </c>
      <c r="B385">
        <v>18</v>
      </c>
      <c r="C385"/>
      <c r="D385"/>
      <c r="E385" t="s">
        <v>2361</v>
      </c>
      <c r="F385" t="s">
        <v>281</v>
      </c>
      <c r="G385" t="s">
        <v>384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767</v>
      </c>
      <c r="N385" s="30" t="s">
        <v>2266</v>
      </c>
      <c r="O385" s="31">
        <f t="shared" si="34"/>
        <v>28</v>
      </c>
      <c r="P385" s="136" t="s">
        <v>1929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hidden="1" thickBot="1" x14ac:dyDescent="0.3">
      <c r="A386">
        <v>1</v>
      </c>
      <c r="B386">
        <v>18</v>
      </c>
      <c r="C386"/>
      <c r="D386"/>
      <c r="E386" t="s">
        <v>2361</v>
      </c>
      <c r="F386" t="s">
        <v>281</v>
      </c>
      <c r="G386" t="s">
        <v>1241</v>
      </c>
      <c r="H386" t="s">
        <v>1041</v>
      </c>
      <c r="I386" t="s">
        <v>1242</v>
      </c>
      <c r="J386" s="30" t="s">
        <v>14</v>
      </c>
      <c r="K386" s="30" t="s">
        <v>1035</v>
      </c>
      <c r="L386" s="30" t="s">
        <v>1244</v>
      </c>
      <c r="M386" s="30" t="s">
        <v>1243</v>
      </c>
      <c r="N386" s="30" t="s">
        <v>2266</v>
      </c>
      <c r="O386" s="31">
        <f t="shared" si="34"/>
        <v>28</v>
      </c>
      <c r="P386" s="136" t="s">
        <v>1930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s="73" customFormat="1" ht="15.75" hidden="1" thickBot="1" x14ac:dyDescent="0.3">
      <c r="A387"/>
      <c r="B387"/>
      <c r="C387"/>
      <c r="D387"/>
      <c r="E387"/>
      <c r="F387" s="73" t="s">
        <v>371</v>
      </c>
      <c r="G387" s="73" t="s">
        <v>385</v>
      </c>
      <c r="H387" s="73" t="s">
        <v>1041</v>
      </c>
      <c r="I387" s="73" t="s">
        <v>386</v>
      </c>
      <c r="J387" s="84" t="s">
        <v>18</v>
      </c>
      <c r="K387" s="84" t="s">
        <v>1278</v>
      </c>
      <c r="L387" s="84"/>
      <c r="M387" s="84" t="s">
        <v>2081</v>
      </c>
      <c r="N387" s="84" t="s">
        <v>2266</v>
      </c>
      <c r="O387" s="131">
        <f t="shared" si="34"/>
        <v>20</v>
      </c>
      <c r="P387" s="136" t="s">
        <v>2267</v>
      </c>
      <c r="Q387" s="131">
        <f t="shared" si="35"/>
        <v>8</v>
      </c>
      <c r="R387" s="132">
        <f t="shared" si="36"/>
        <v>0.7142857142857143</v>
      </c>
      <c r="S387" s="70"/>
      <c r="T387" s="70"/>
      <c r="U387" s="70"/>
      <c r="V387" s="70" t="s">
        <v>2222</v>
      </c>
      <c r="W387" s="70" t="s">
        <v>2222</v>
      </c>
      <c r="X387" s="70" t="s">
        <v>2222</v>
      </c>
      <c r="Y387" s="70"/>
      <c r="Z387" s="70"/>
      <c r="AA387" s="70"/>
      <c r="AB387" s="70"/>
      <c r="AC387" s="70" t="s">
        <v>2222</v>
      </c>
      <c r="AD387" s="70" t="s">
        <v>2222</v>
      </c>
      <c r="AE387" s="70" t="s">
        <v>2222</v>
      </c>
      <c r="AF387" s="70" t="s">
        <v>2222</v>
      </c>
      <c r="AG387" s="70" t="s">
        <v>2222</v>
      </c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s="88" customFormat="1" ht="15.75" hidden="1" thickBot="1" x14ac:dyDescent="0.3">
      <c r="A388">
        <v>1</v>
      </c>
      <c r="B388">
        <v>15</v>
      </c>
      <c r="C388"/>
      <c r="D388"/>
      <c r="E388" t="s">
        <v>2364</v>
      </c>
      <c r="F388" s="73" t="s">
        <v>371</v>
      </c>
      <c r="G388" s="73" t="s">
        <v>387</v>
      </c>
      <c r="H388" s="73" t="s">
        <v>1041</v>
      </c>
      <c r="I388" s="73" t="s">
        <v>388</v>
      </c>
      <c r="J388" s="84" t="s">
        <v>14</v>
      </c>
      <c r="K388" s="84" t="s">
        <v>27</v>
      </c>
      <c r="L388" s="84"/>
      <c r="M388" s="84" t="s">
        <v>1487</v>
      </c>
      <c r="N388" s="84"/>
      <c r="O388" s="85">
        <f t="shared" si="34"/>
        <v>18</v>
      </c>
      <c r="P388" s="136" t="s">
        <v>1932</v>
      </c>
      <c r="Q388" s="85">
        <f t="shared" si="35"/>
        <v>10</v>
      </c>
      <c r="R388" s="86">
        <f t="shared" si="36"/>
        <v>0.6428571428571429</v>
      </c>
      <c r="S388" s="87"/>
      <c r="T388" s="87"/>
      <c r="U388" s="87"/>
      <c r="V388" s="87"/>
      <c r="W388" s="87"/>
      <c r="X388" s="70" t="s">
        <v>2222</v>
      </c>
      <c r="Y388" s="70" t="s">
        <v>2222</v>
      </c>
      <c r="Z388" s="70" t="s">
        <v>2222</v>
      </c>
      <c r="AA388" s="87"/>
      <c r="AB388" s="87"/>
      <c r="AC388" s="70" t="s">
        <v>2222</v>
      </c>
      <c r="AD388" s="70" t="s">
        <v>2222</v>
      </c>
      <c r="AE388" s="70" t="s">
        <v>2222</v>
      </c>
      <c r="AF388" s="70" t="s">
        <v>2222</v>
      </c>
      <c r="AG388" s="70" t="s">
        <v>2222</v>
      </c>
      <c r="AH388" s="87"/>
      <c r="AI388" s="87"/>
      <c r="AJ388" s="70" t="s">
        <v>2222</v>
      </c>
      <c r="AK388" s="70" t="s">
        <v>2222</v>
      </c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/>
    </row>
    <row r="389" spans="1:49" s="73" customFormat="1" ht="15.75" hidden="1" thickBot="1" x14ac:dyDescent="0.3">
      <c r="A389">
        <v>1</v>
      </c>
      <c r="B389">
        <v>18</v>
      </c>
      <c r="C389"/>
      <c r="D389"/>
      <c r="E389" t="s">
        <v>2361</v>
      </c>
      <c r="F389" t="s">
        <v>389</v>
      </c>
      <c r="G389" t="s">
        <v>390</v>
      </c>
      <c r="H389" t="s">
        <v>1041</v>
      </c>
      <c r="I389" t="s">
        <v>391</v>
      </c>
      <c r="J389" s="30" t="s">
        <v>18</v>
      </c>
      <c r="K389" s="30" t="s">
        <v>27</v>
      </c>
      <c r="L389" s="30"/>
      <c r="M389" s="30" t="s">
        <v>771</v>
      </c>
      <c r="N389" s="30" t="s">
        <v>2266</v>
      </c>
      <c r="O389" s="31">
        <f t="shared" si="34"/>
        <v>28</v>
      </c>
      <c r="P389" s="136" t="s">
        <v>1933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hidden="1" thickBot="1" x14ac:dyDescent="0.3">
      <c r="A390">
        <v>1</v>
      </c>
      <c r="B390">
        <v>18</v>
      </c>
      <c r="C390"/>
      <c r="D390"/>
      <c r="E390" t="s">
        <v>2361</v>
      </c>
      <c r="F390" t="s">
        <v>389</v>
      </c>
      <c r="G390" t="s">
        <v>392</v>
      </c>
      <c r="H390" t="s">
        <v>1041</v>
      </c>
      <c r="I390" t="s">
        <v>391</v>
      </c>
      <c r="J390" s="30" t="s">
        <v>71</v>
      </c>
      <c r="K390" s="30" t="s">
        <v>27</v>
      </c>
      <c r="L390" s="30"/>
      <c r="M390" s="30" t="s">
        <v>772</v>
      </c>
      <c r="N390" s="30" t="s">
        <v>2266</v>
      </c>
      <c r="O390" s="31">
        <f t="shared" si="34"/>
        <v>28</v>
      </c>
      <c r="P390" s="136" t="s">
        <v>1934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ht="15.75" hidden="1" thickBot="1" x14ac:dyDescent="0.3">
      <c r="A391">
        <v>1</v>
      </c>
      <c r="B391">
        <v>18</v>
      </c>
      <c r="C391"/>
      <c r="D391"/>
      <c r="E391" t="s">
        <v>2361</v>
      </c>
      <c r="F391" t="s">
        <v>389</v>
      </c>
      <c r="G391" t="s">
        <v>393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773</v>
      </c>
      <c r="N391" s="30" t="s">
        <v>2266</v>
      </c>
      <c r="O391" s="31">
        <f t="shared" si="34"/>
        <v>28</v>
      </c>
      <c r="P391" s="136" t="s">
        <v>1935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ht="15.75" hidden="1" thickBot="1" x14ac:dyDescent="0.3">
      <c r="A392" s="69">
        <v>1</v>
      </c>
      <c r="B392" s="69">
        <v>18</v>
      </c>
      <c r="C392" s="69"/>
      <c r="D392" s="69"/>
      <c r="E392" s="69" t="s">
        <v>2361</v>
      </c>
      <c r="F392" s="69" t="s">
        <v>396</v>
      </c>
      <c r="G392" s="69" t="s">
        <v>883</v>
      </c>
      <c r="H392" s="69" t="s">
        <v>1041</v>
      </c>
      <c r="I392" s="69" t="s">
        <v>884</v>
      </c>
      <c r="J392" s="137" t="s">
        <v>18</v>
      </c>
      <c r="K392" s="137" t="s">
        <v>27</v>
      </c>
      <c r="L392" s="137"/>
      <c r="M392" s="137" t="s">
        <v>891</v>
      </c>
      <c r="N392" s="137" t="s">
        <v>2266</v>
      </c>
      <c r="O392" s="139">
        <f t="shared" si="34"/>
        <v>16</v>
      </c>
      <c r="P392" s="140" t="s">
        <v>1942</v>
      </c>
      <c r="Q392" s="139">
        <f t="shared" si="35"/>
        <v>12</v>
      </c>
      <c r="R392" s="141">
        <f t="shared" si="36"/>
        <v>0.5714285714285714</v>
      </c>
      <c r="S392" s="142"/>
      <c r="T392" s="142"/>
      <c r="U392" s="142"/>
      <c r="V392" s="70" t="s">
        <v>2222</v>
      </c>
      <c r="W392" s="70" t="s">
        <v>2222</v>
      </c>
      <c r="X392" s="70" t="s">
        <v>2222</v>
      </c>
      <c r="Y392" s="70" t="s">
        <v>2222</v>
      </c>
      <c r="Z392" s="70" t="s">
        <v>2222</v>
      </c>
      <c r="AA392" s="142"/>
      <c r="AB392" s="142"/>
      <c r="AC392" s="70" t="s">
        <v>2222</v>
      </c>
      <c r="AD392" s="70" t="s">
        <v>2222</v>
      </c>
      <c r="AE392" s="70" t="s">
        <v>2222</v>
      </c>
      <c r="AF392" s="70" t="s">
        <v>2222</v>
      </c>
      <c r="AG392" s="70" t="s">
        <v>2222</v>
      </c>
      <c r="AH392" s="70"/>
      <c r="AI392" s="70"/>
      <c r="AJ392" s="70" t="s">
        <v>2222</v>
      </c>
      <c r="AK392" s="70" t="s">
        <v>2222</v>
      </c>
      <c r="AL392" s="70"/>
      <c r="AM392" s="70"/>
      <c r="AN392" s="70"/>
      <c r="AO392" s="70"/>
      <c r="AP392" s="70"/>
      <c r="AQ392" s="142"/>
      <c r="AR392" s="142"/>
      <c r="AS392" s="70"/>
      <c r="AT392" s="70"/>
      <c r="AU392" s="70"/>
      <c r="AV392" s="70"/>
    </row>
    <row r="393" spans="1:49" ht="15.75" hidden="1" thickBot="1" x14ac:dyDescent="0.3">
      <c r="A393" s="69">
        <v>1</v>
      </c>
      <c r="B393" s="69">
        <v>18</v>
      </c>
      <c r="C393" s="69"/>
      <c r="D393" s="69"/>
      <c r="E393" s="69" t="s">
        <v>2361</v>
      </c>
      <c r="F393" s="69" t="s">
        <v>389</v>
      </c>
      <c r="G393" s="69" t="s">
        <v>885</v>
      </c>
      <c r="H393" s="69" t="s">
        <v>1041</v>
      </c>
      <c r="I393" s="69" t="s">
        <v>886</v>
      </c>
      <c r="J393" s="137" t="s">
        <v>18</v>
      </c>
      <c r="K393" s="137" t="s">
        <v>27</v>
      </c>
      <c r="L393" s="137"/>
      <c r="M393" s="137" t="s">
        <v>892</v>
      </c>
      <c r="N393" s="137" t="s">
        <v>2266</v>
      </c>
      <c r="O393" s="139">
        <f t="shared" ref="O393:O456" si="37">COUNTIF(S393:AT393,"")</f>
        <v>16</v>
      </c>
      <c r="P393" s="140" t="s">
        <v>1943</v>
      </c>
      <c r="Q393" s="139">
        <f t="shared" ref="Q393:Q456" si="38">COUNTIF(S393:AT393,"APAGADO")</f>
        <v>12</v>
      </c>
      <c r="R393" s="141">
        <f t="shared" ref="R393:R456" si="39">(O393)/(Q393+O393)</f>
        <v>0.5714285714285714</v>
      </c>
      <c r="S393" s="142"/>
      <c r="T393" s="142"/>
      <c r="U393" s="142"/>
      <c r="V393" s="70" t="s">
        <v>2222</v>
      </c>
      <c r="W393" s="70" t="s">
        <v>2222</v>
      </c>
      <c r="X393" s="70" t="s">
        <v>2222</v>
      </c>
      <c r="Y393" s="70" t="s">
        <v>2222</v>
      </c>
      <c r="Z393" s="70" t="s">
        <v>2222</v>
      </c>
      <c r="AA393" s="142"/>
      <c r="AB393" s="142"/>
      <c r="AC393" s="70" t="s">
        <v>2222</v>
      </c>
      <c r="AD393" s="70" t="s">
        <v>2222</v>
      </c>
      <c r="AE393" s="70" t="s">
        <v>2222</v>
      </c>
      <c r="AF393" s="70" t="s">
        <v>2222</v>
      </c>
      <c r="AG393" s="70" t="s">
        <v>2222</v>
      </c>
      <c r="AH393" s="70"/>
      <c r="AI393" s="70"/>
      <c r="AJ393" s="70" t="s">
        <v>2222</v>
      </c>
      <c r="AK393" s="70" t="s">
        <v>2222</v>
      </c>
      <c r="AL393" s="70"/>
      <c r="AM393" s="70"/>
      <c r="AN393" s="70"/>
      <c r="AO393" s="70"/>
      <c r="AP393" s="70"/>
      <c r="AQ393" s="142"/>
      <c r="AR393" s="142"/>
      <c r="AS393" s="70"/>
      <c r="AT393" s="70"/>
      <c r="AU393" s="70"/>
      <c r="AV393" s="70"/>
    </row>
    <row r="394" spans="1:49" s="69" customFormat="1" ht="15.75" hidden="1" thickBot="1" x14ac:dyDescent="0.3">
      <c r="A394"/>
      <c r="B394"/>
      <c r="C394"/>
      <c r="D394"/>
      <c r="E394"/>
      <c r="F394" t="s">
        <v>389</v>
      </c>
      <c r="G394" t="s">
        <v>992</v>
      </c>
      <c r="H394" t="s">
        <v>1041</v>
      </c>
      <c r="I394" t="s">
        <v>993</v>
      </c>
      <c r="J394" s="30" t="s">
        <v>18</v>
      </c>
      <c r="K394" s="30" t="s">
        <v>1278</v>
      </c>
      <c r="L394" s="30"/>
      <c r="M394" s="30" t="s">
        <v>1196</v>
      </c>
      <c r="N394" s="30" t="s">
        <v>2266</v>
      </c>
      <c r="O394" s="31">
        <f t="shared" si="37"/>
        <v>27</v>
      </c>
      <c r="P394" s="136" t="s">
        <v>1944</v>
      </c>
      <c r="Q394" s="31">
        <f t="shared" si="38"/>
        <v>1</v>
      </c>
      <c r="R394" s="32">
        <f t="shared" si="39"/>
        <v>0.9642857142857143</v>
      </c>
      <c r="S394" s="70"/>
      <c r="T394" s="70"/>
      <c r="U394" s="70"/>
      <c r="V394" s="70" t="s">
        <v>2222</v>
      </c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s="69" customFormat="1" ht="15.75" hidden="1" thickBot="1" x14ac:dyDescent="0.3">
      <c r="A395"/>
      <c r="B395"/>
      <c r="C395"/>
      <c r="D395"/>
      <c r="E395"/>
      <c r="F395" s="73" t="s">
        <v>389</v>
      </c>
      <c r="G395" s="73" t="s">
        <v>1409</v>
      </c>
      <c r="H395" s="73" t="s">
        <v>1041</v>
      </c>
      <c r="I395" s="73" t="s">
        <v>1412</v>
      </c>
      <c r="J395" s="30" t="s">
        <v>18</v>
      </c>
      <c r="K395" s="84" t="s">
        <v>1278</v>
      </c>
      <c r="L395" s="30"/>
      <c r="M395" s="84" t="s">
        <v>2287</v>
      </c>
      <c r="N395" s="84"/>
      <c r="O395" s="131">
        <f t="shared" si="37"/>
        <v>28</v>
      </c>
      <c r="P395" s="136" t="s">
        <v>1945</v>
      </c>
      <c r="Q395" s="131">
        <f t="shared" si="38"/>
        <v>0</v>
      </c>
      <c r="R395" s="1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ht="15.75" hidden="1" thickBot="1" x14ac:dyDescent="0.3">
      <c r="A396"/>
      <c r="B396"/>
      <c r="C396"/>
      <c r="D396"/>
      <c r="E396"/>
      <c r="F396" t="s">
        <v>389</v>
      </c>
      <c r="G396" t="s">
        <v>1410</v>
      </c>
      <c r="H396" t="s">
        <v>1041</v>
      </c>
      <c r="I396" t="s">
        <v>1412</v>
      </c>
      <c r="J396" s="30" t="s">
        <v>71</v>
      </c>
      <c r="K396" s="30" t="s">
        <v>1278</v>
      </c>
      <c r="L396" s="30"/>
      <c r="M396" s="84" t="s">
        <v>1473</v>
      </c>
      <c r="N396" s="84"/>
      <c r="O396" s="31">
        <f t="shared" si="37"/>
        <v>28</v>
      </c>
      <c r="P396" s="136" t="s">
        <v>1946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9" ht="15.75" hidden="1" thickBot="1" x14ac:dyDescent="0.3">
      <c r="A397"/>
      <c r="B397"/>
      <c r="C397"/>
      <c r="D397"/>
      <c r="E397"/>
      <c r="F397" t="s">
        <v>389</v>
      </c>
      <c r="G397" t="s">
        <v>1411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1471</v>
      </c>
      <c r="N397" s="84"/>
      <c r="O397" s="31">
        <f t="shared" si="37"/>
        <v>28</v>
      </c>
      <c r="P397" s="136" t="s">
        <v>1947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hidden="1" thickBot="1" x14ac:dyDescent="0.3">
      <c r="A398">
        <v>1</v>
      </c>
      <c r="B398">
        <v>18</v>
      </c>
      <c r="C398"/>
      <c r="D398"/>
      <c r="E398" t="s">
        <v>2361</v>
      </c>
      <c r="F398" t="s">
        <v>389</v>
      </c>
      <c r="G398" t="s">
        <v>1597</v>
      </c>
      <c r="H398" t="s">
        <v>1041</v>
      </c>
      <c r="I398" t="s">
        <v>2256</v>
      </c>
      <c r="J398" s="30" t="s">
        <v>18</v>
      </c>
      <c r="K398" s="30" t="s">
        <v>27</v>
      </c>
      <c r="L398" s="30"/>
      <c r="M398" s="84" t="s">
        <v>1598</v>
      </c>
      <c r="N398" s="84"/>
      <c r="O398" s="31">
        <f t="shared" si="37"/>
        <v>22</v>
      </c>
      <c r="P398" s="136" t="s">
        <v>2403</v>
      </c>
      <c r="Q398" s="136" t="s">
        <v>2404</v>
      </c>
      <c r="R398" s="136" t="s">
        <v>2405</v>
      </c>
      <c r="S398" s="136" t="s">
        <v>2406</v>
      </c>
      <c r="T398" s="136" t="s">
        <v>2407</v>
      </c>
      <c r="U398" s="136" t="s">
        <v>2408</v>
      </c>
      <c r="V398" s="136" t="s">
        <v>2409</v>
      </c>
      <c r="W398" s="136" t="s">
        <v>2410</v>
      </c>
      <c r="X398" s="136" t="s">
        <v>2411</v>
      </c>
      <c r="Y398" s="70"/>
      <c r="Z398" s="70"/>
      <c r="AA398" s="147"/>
      <c r="AB398" s="147"/>
      <c r="AC398" s="147"/>
      <c r="AD398" s="70"/>
      <c r="AE398" s="70"/>
      <c r="AF398" s="70"/>
      <c r="AG398" s="142"/>
      <c r="AH398" s="70"/>
      <c r="AI398" s="70"/>
      <c r="AJ398" s="147"/>
      <c r="AK398" s="147"/>
      <c r="AL398" s="70"/>
      <c r="AM398" s="70"/>
      <c r="AN398" s="70"/>
      <c r="AO398" s="70"/>
      <c r="AP398" s="70"/>
      <c r="AQ398" s="147"/>
      <c r="AR398" s="147"/>
      <c r="AS398" s="147"/>
      <c r="AT398" s="147"/>
      <c r="AU398" s="147"/>
      <c r="AV398" s="129"/>
      <c r="AW398" s="73"/>
    </row>
    <row r="399" spans="1:49" ht="15.75" hidden="1" thickBot="1" x14ac:dyDescent="0.3">
      <c r="A399"/>
      <c r="B399"/>
      <c r="C399"/>
      <c r="D399"/>
      <c r="E399"/>
      <c r="F399" t="s">
        <v>389</v>
      </c>
      <c r="G399" t="s">
        <v>2216</v>
      </c>
      <c r="H399" t="s">
        <v>1041</v>
      </c>
      <c r="I399" t="s">
        <v>2217</v>
      </c>
      <c r="J399" s="30" t="s">
        <v>18</v>
      </c>
      <c r="K399" s="84" t="s">
        <v>1278</v>
      </c>
      <c r="L399" s="30"/>
      <c r="M399" s="84" t="s">
        <v>2288</v>
      </c>
      <c r="N399" s="84"/>
      <c r="O399" s="31">
        <f t="shared" si="37"/>
        <v>28</v>
      </c>
      <c r="P399" s="136" t="s">
        <v>2412</v>
      </c>
      <c r="Q399" s="31">
        <f t="shared" si="38"/>
        <v>0</v>
      </c>
      <c r="R399" s="32">
        <f t="shared" si="39"/>
        <v>1</v>
      </c>
      <c r="S399" s="70"/>
      <c r="T399" s="70"/>
      <c r="U399" s="70"/>
      <c r="V399" s="147"/>
      <c r="W399" s="147"/>
      <c r="X399" s="70"/>
      <c r="Y399" s="70"/>
      <c r="Z399" s="70"/>
      <c r="AA399" s="147"/>
      <c r="AB399" s="147"/>
      <c r="AC399" s="147"/>
      <c r="AD399" s="147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70"/>
      <c r="AT399" s="147"/>
      <c r="AU399" s="147"/>
      <c r="AV399" s="70"/>
    </row>
    <row r="400" spans="1:49" s="69" customFormat="1" ht="15.75" hidden="1" thickBot="1" x14ac:dyDescent="0.3">
      <c r="A400" s="88"/>
      <c r="B400" s="88"/>
      <c r="C400" s="88"/>
      <c r="D400" s="88"/>
      <c r="E400" s="88"/>
      <c r="F400" s="88" t="s">
        <v>389</v>
      </c>
      <c r="G400" s="88" t="s">
        <v>394</v>
      </c>
      <c r="H400" s="88" t="s">
        <v>1041</v>
      </c>
      <c r="I400" s="88" t="s">
        <v>395</v>
      </c>
      <c r="J400" s="89" t="s">
        <v>14</v>
      </c>
      <c r="K400" s="89" t="s">
        <v>19</v>
      </c>
      <c r="L400" s="89"/>
      <c r="M400" s="89" t="s">
        <v>770</v>
      </c>
      <c r="N400" s="89"/>
      <c r="O400" s="31">
        <f t="shared" si="37"/>
        <v>16</v>
      </c>
      <c r="P400" s="136"/>
      <c r="Q400" s="31">
        <f t="shared" si="38"/>
        <v>12</v>
      </c>
      <c r="R400" s="32">
        <f t="shared" si="39"/>
        <v>0.5714285714285714</v>
      </c>
      <c r="S400" s="70"/>
      <c r="T400" s="70"/>
      <c r="U400" s="70"/>
      <c r="V400" s="70" t="s">
        <v>2222</v>
      </c>
      <c r="W400" s="70" t="s">
        <v>2222</v>
      </c>
      <c r="X400" s="70" t="s">
        <v>2222</v>
      </c>
      <c r="Y400" s="70" t="s">
        <v>2222</v>
      </c>
      <c r="Z400" s="70" t="s">
        <v>2222</v>
      </c>
      <c r="AA400" s="70"/>
      <c r="AB400" s="70"/>
      <c r="AC400" s="70" t="s">
        <v>2222</v>
      </c>
      <c r="AD400" s="70" t="s">
        <v>2222</v>
      </c>
      <c r="AE400" s="70" t="s">
        <v>2222</v>
      </c>
      <c r="AF400" s="70" t="s">
        <v>2222</v>
      </c>
      <c r="AG400" s="70" t="s">
        <v>2222</v>
      </c>
      <c r="AH400" s="70"/>
      <c r="AI400" s="70"/>
      <c r="AJ400" s="70" t="s">
        <v>2222</v>
      </c>
      <c r="AK400" s="70" t="s">
        <v>2222</v>
      </c>
      <c r="AL400" s="70"/>
      <c r="AM400" s="70"/>
      <c r="AN400" s="70"/>
      <c r="AO400" s="70"/>
      <c r="AP400" s="70"/>
      <c r="AQ400" s="90"/>
      <c r="AR400" s="90"/>
      <c r="AS400" s="70"/>
      <c r="AT400" s="70"/>
      <c r="AU400" s="70"/>
      <c r="AV400" s="70"/>
      <c r="AW400"/>
    </row>
    <row r="401" spans="1:49" s="69" customFormat="1" ht="15.75" hidden="1" thickBot="1" x14ac:dyDescent="0.3">
      <c r="A401" s="69">
        <v>1</v>
      </c>
      <c r="B401" s="69">
        <v>18</v>
      </c>
      <c r="E401" s="69" t="s">
        <v>2361</v>
      </c>
      <c r="F401" s="69" t="s">
        <v>396</v>
      </c>
      <c r="G401" s="69" t="s">
        <v>397</v>
      </c>
      <c r="H401" s="69" t="s">
        <v>1041</v>
      </c>
      <c r="I401" s="69" t="s">
        <v>398</v>
      </c>
      <c r="J401" s="137" t="s">
        <v>71</v>
      </c>
      <c r="K401" s="137" t="s">
        <v>27</v>
      </c>
      <c r="L401" s="137"/>
      <c r="M401" s="137" t="s">
        <v>774</v>
      </c>
      <c r="N401" s="137" t="s">
        <v>2266</v>
      </c>
      <c r="O401" s="139">
        <f t="shared" si="37"/>
        <v>17</v>
      </c>
      <c r="P401" s="140" t="s">
        <v>1936</v>
      </c>
      <c r="Q401" s="139">
        <f t="shared" si="38"/>
        <v>11</v>
      </c>
      <c r="R401" s="141">
        <f t="shared" si="39"/>
        <v>0.6071428571428571</v>
      </c>
      <c r="S401" s="142"/>
      <c r="T401" s="142"/>
      <c r="U401" s="142"/>
      <c r="V401" s="70" t="s">
        <v>2222</v>
      </c>
      <c r="W401" s="70" t="s">
        <v>2222</v>
      </c>
      <c r="X401" s="70" t="s">
        <v>2222</v>
      </c>
      <c r="Y401" s="70" t="s">
        <v>2222</v>
      </c>
      <c r="Z401" s="70" t="s">
        <v>2222</v>
      </c>
      <c r="AA401" s="142"/>
      <c r="AB401" s="142"/>
      <c r="AC401" s="70" t="s">
        <v>2222</v>
      </c>
      <c r="AD401" s="70" t="s">
        <v>2222</v>
      </c>
      <c r="AE401" s="70" t="s">
        <v>2222</v>
      </c>
      <c r="AF401" s="70" t="s">
        <v>2222</v>
      </c>
      <c r="AG401" s="142"/>
      <c r="AH401" s="70"/>
      <c r="AI401" s="70"/>
      <c r="AJ401" s="70" t="s">
        <v>2222</v>
      </c>
      <c r="AK401" s="70" t="s">
        <v>2222</v>
      </c>
      <c r="AL401" s="70"/>
      <c r="AM401" s="70"/>
      <c r="AN401" s="70"/>
      <c r="AO401" s="70"/>
      <c r="AP401" s="70"/>
      <c r="AQ401" s="142"/>
      <c r="AR401" s="142"/>
      <c r="AS401" s="70"/>
      <c r="AT401" s="70"/>
      <c r="AU401" s="70"/>
      <c r="AV401" s="70"/>
      <c r="AW401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2361</v>
      </c>
      <c r="F402" s="69" t="s">
        <v>396</v>
      </c>
      <c r="G402" s="69" t="s">
        <v>399</v>
      </c>
      <c r="H402" s="69" t="s">
        <v>1041</v>
      </c>
      <c r="I402" s="69" t="s">
        <v>398</v>
      </c>
      <c r="J402" s="137" t="s">
        <v>71</v>
      </c>
      <c r="K402" s="137" t="s">
        <v>27</v>
      </c>
      <c r="L402" s="137"/>
      <c r="M402" s="137" t="s">
        <v>775</v>
      </c>
      <c r="N402" s="137" t="s">
        <v>2266</v>
      </c>
      <c r="O402" s="139">
        <f t="shared" si="37"/>
        <v>17</v>
      </c>
      <c r="P402" s="140" t="s">
        <v>1937</v>
      </c>
      <c r="Q402" s="139">
        <f t="shared" si="38"/>
        <v>11</v>
      </c>
      <c r="R402" s="141">
        <f t="shared" si="39"/>
        <v>0.6071428571428571</v>
      </c>
      <c r="S402" s="142"/>
      <c r="T402" s="142"/>
      <c r="U402" s="142"/>
      <c r="V402" s="70" t="s">
        <v>2222</v>
      </c>
      <c r="W402" s="70" t="s">
        <v>2222</v>
      </c>
      <c r="X402" s="70" t="s">
        <v>2222</v>
      </c>
      <c r="Y402" s="70" t="s">
        <v>2222</v>
      </c>
      <c r="Z402" s="70" t="s">
        <v>2222</v>
      </c>
      <c r="AA402" s="142"/>
      <c r="AB402" s="142"/>
      <c r="AC402" s="70" t="s">
        <v>2222</v>
      </c>
      <c r="AD402" s="70" t="s">
        <v>2222</v>
      </c>
      <c r="AE402" s="70" t="s">
        <v>2222</v>
      </c>
      <c r="AF402" s="70" t="s">
        <v>2222</v>
      </c>
      <c r="AG402" s="142"/>
      <c r="AH402" s="70"/>
      <c r="AI402" s="70"/>
      <c r="AJ402" s="70" t="s">
        <v>2222</v>
      </c>
      <c r="AK402" s="70" t="s">
        <v>2222</v>
      </c>
      <c r="AL402" s="70"/>
      <c r="AM402" s="70"/>
      <c r="AN402" s="70"/>
      <c r="AO402" s="70"/>
      <c r="AP402" s="70"/>
      <c r="AQ402" s="142"/>
      <c r="AR402" s="142"/>
      <c r="AS402" s="70"/>
      <c r="AT402" s="70"/>
      <c r="AU402" s="70"/>
      <c r="AV402" s="70"/>
    </row>
    <row r="403" spans="1:49" s="73" customFormat="1" ht="15.75" hidden="1" thickBot="1" x14ac:dyDescent="0.3">
      <c r="A403">
        <v>1</v>
      </c>
      <c r="B403">
        <v>18</v>
      </c>
      <c r="C403"/>
      <c r="D403"/>
      <c r="E403" t="s">
        <v>2361</v>
      </c>
      <c r="F403" t="s">
        <v>389</v>
      </c>
      <c r="G403" t="s">
        <v>400</v>
      </c>
      <c r="H403" t="s">
        <v>1041</v>
      </c>
      <c r="I403" t="s">
        <v>401</v>
      </c>
      <c r="J403" s="30" t="s">
        <v>71</v>
      </c>
      <c r="K403" s="30" t="s">
        <v>27</v>
      </c>
      <c r="L403" s="30"/>
      <c r="M403" s="30" t="s">
        <v>776</v>
      </c>
      <c r="N403" s="30" t="s">
        <v>2266</v>
      </c>
      <c r="O403" s="31">
        <f t="shared" si="37"/>
        <v>28</v>
      </c>
      <c r="P403" s="136" t="s">
        <v>1938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48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150"/>
    </row>
    <row r="404" spans="1:49" ht="15.75" hidden="1" thickBot="1" x14ac:dyDescent="0.3">
      <c r="A404">
        <v>1</v>
      </c>
      <c r="B404">
        <v>18</v>
      </c>
      <c r="C404"/>
      <c r="D404"/>
      <c r="E404" t="s">
        <v>2361</v>
      </c>
      <c r="F404" t="s">
        <v>389</v>
      </c>
      <c r="G404" t="s">
        <v>402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777</v>
      </c>
      <c r="N404" s="30" t="s">
        <v>2266</v>
      </c>
      <c r="O404" s="31">
        <f t="shared" si="37"/>
        <v>28</v>
      </c>
      <c r="P404" s="136" t="s">
        <v>1939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3"/>
    </row>
    <row r="405" spans="1:49" ht="15.75" hidden="1" thickBot="1" x14ac:dyDescent="0.3">
      <c r="A405">
        <v>1</v>
      </c>
      <c r="B405">
        <v>18</v>
      </c>
      <c r="C405"/>
      <c r="D405"/>
      <c r="E405" t="s">
        <v>2361</v>
      </c>
      <c r="F405" t="s">
        <v>389</v>
      </c>
      <c r="G405" t="s">
        <v>403</v>
      </c>
      <c r="H405" t="s">
        <v>1041</v>
      </c>
      <c r="I405" t="s">
        <v>404</v>
      </c>
      <c r="J405" s="30" t="s">
        <v>71</v>
      </c>
      <c r="K405" s="30" t="s">
        <v>27</v>
      </c>
      <c r="L405" s="30"/>
      <c r="M405" s="30" t="s">
        <v>778</v>
      </c>
      <c r="N405" s="30" t="s">
        <v>2266</v>
      </c>
      <c r="O405" s="31">
        <f t="shared" si="37"/>
        <v>28</v>
      </c>
      <c r="P405" s="136" t="s">
        <v>1940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69"/>
    </row>
    <row r="406" spans="1:49" ht="15.75" hidden="1" thickBot="1" x14ac:dyDescent="0.3">
      <c r="A406">
        <v>1</v>
      </c>
      <c r="B406">
        <v>18</v>
      </c>
      <c r="C406"/>
      <c r="D406"/>
      <c r="E406" t="s">
        <v>2361</v>
      </c>
      <c r="F406" t="s">
        <v>389</v>
      </c>
      <c r="G406" t="s">
        <v>405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779</v>
      </c>
      <c r="N406" s="30" t="s">
        <v>2266</v>
      </c>
      <c r="O406" s="31">
        <f t="shared" si="37"/>
        <v>28</v>
      </c>
      <c r="P406" s="136" t="s">
        <v>1941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0"/>
      <c r="Y406" s="70"/>
      <c r="Z406" s="70"/>
      <c r="AA406" s="71"/>
      <c r="AB406" s="71"/>
      <c r="AC406" s="71"/>
      <c r="AD406" s="70"/>
      <c r="AE406" s="70"/>
      <c r="AF406" s="70"/>
      <c r="AG406" s="142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9" ht="15.75" hidden="1" thickBot="1" x14ac:dyDescent="0.3">
      <c r="A407" s="69"/>
      <c r="B407" s="69"/>
      <c r="C407" s="69"/>
      <c r="D407" s="69"/>
      <c r="E407" s="69"/>
      <c r="F407" s="69" t="s">
        <v>183</v>
      </c>
      <c r="G407" s="69" t="s">
        <v>406</v>
      </c>
      <c r="H407" s="69" t="s">
        <v>1042</v>
      </c>
      <c r="I407" s="69" t="s">
        <v>407</v>
      </c>
      <c r="J407" s="137" t="s">
        <v>14</v>
      </c>
      <c r="K407" s="137" t="s">
        <v>19</v>
      </c>
      <c r="L407" s="137"/>
      <c r="M407" s="137" t="s">
        <v>781</v>
      </c>
      <c r="N407" s="137"/>
      <c r="O407" s="139">
        <f t="shared" si="37"/>
        <v>16</v>
      </c>
      <c r="P407" s="140"/>
      <c r="Q407" s="139">
        <f t="shared" si="38"/>
        <v>12</v>
      </c>
      <c r="R407" s="141">
        <f t="shared" si="39"/>
        <v>0.5714285714285714</v>
      </c>
      <c r="S407" s="142"/>
      <c r="T407" s="142"/>
      <c r="U407" s="142"/>
      <c r="V407" s="71" t="s">
        <v>2222</v>
      </c>
      <c r="W407" s="71" t="s">
        <v>2222</v>
      </c>
      <c r="X407" s="70" t="s">
        <v>2222</v>
      </c>
      <c r="Y407" s="70" t="s">
        <v>2222</v>
      </c>
      <c r="Z407" s="70" t="s">
        <v>2222</v>
      </c>
      <c r="AA407" s="148"/>
      <c r="AB407" s="148"/>
      <c r="AC407" s="70" t="s">
        <v>2222</v>
      </c>
      <c r="AD407" s="70" t="s">
        <v>2222</v>
      </c>
      <c r="AE407" s="70" t="s">
        <v>2222</v>
      </c>
      <c r="AF407" s="70" t="s">
        <v>2222</v>
      </c>
      <c r="AG407" s="70" t="s">
        <v>2222</v>
      </c>
      <c r="AH407" s="70"/>
      <c r="AI407" s="70"/>
      <c r="AJ407" s="70" t="s">
        <v>2222</v>
      </c>
      <c r="AK407" s="70" t="s">
        <v>2222</v>
      </c>
      <c r="AL407" s="70"/>
      <c r="AM407" s="70"/>
      <c r="AN407" s="70"/>
      <c r="AO407" s="70"/>
      <c r="AP407" s="70"/>
      <c r="AQ407" s="148"/>
      <c r="AR407" s="148"/>
      <c r="AS407" s="70"/>
      <c r="AT407" s="71"/>
      <c r="AU407" s="71"/>
      <c r="AV407" s="70"/>
    </row>
    <row r="408" spans="1:49" s="69" customFormat="1" ht="15.75" hidden="1" thickBot="1" x14ac:dyDescent="0.3">
      <c r="A408"/>
      <c r="B408"/>
      <c r="C408"/>
      <c r="D408"/>
      <c r="E408"/>
      <c r="F408" s="73" t="s">
        <v>183</v>
      </c>
      <c r="G408" s="73" t="s">
        <v>408</v>
      </c>
      <c r="H408" s="73" t="s">
        <v>1042</v>
      </c>
      <c r="I408" s="73" t="s">
        <v>409</v>
      </c>
      <c r="J408" s="84" t="s">
        <v>14</v>
      </c>
      <c r="K408" s="84" t="s">
        <v>1278</v>
      </c>
      <c r="L408" s="84"/>
      <c r="M408" s="84" t="s">
        <v>1406</v>
      </c>
      <c r="N408" s="84"/>
      <c r="O408" s="131">
        <f t="shared" si="37"/>
        <v>26</v>
      </c>
      <c r="P408" s="136" t="s">
        <v>1948</v>
      </c>
      <c r="Q408" s="131">
        <f t="shared" si="38"/>
        <v>2</v>
      </c>
      <c r="R408" s="132">
        <f t="shared" si="39"/>
        <v>0.9285714285714286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 t="s">
        <v>2222</v>
      </c>
      <c r="AK408" s="70" t="s">
        <v>2222</v>
      </c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3"/>
    </row>
    <row r="409" spans="1:49" s="73" customFormat="1" ht="15.75" hidden="1" thickBot="1" x14ac:dyDescent="0.3">
      <c r="A409"/>
      <c r="B409"/>
      <c r="C409"/>
      <c r="D409"/>
      <c r="E409"/>
      <c r="F409" t="s">
        <v>183</v>
      </c>
      <c r="G409" t="s">
        <v>994</v>
      </c>
      <c r="H409" t="s">
        <v>1042</v>
      </c>
      <c r="I409" t="s">
        <v>995</v>
      </c>
      <c r="J409" s="30" t="s">
        <v>71</v>
      </c>
      <c r="K409" s="30" t="s">
        <v>19</v>
      </c>
      <c r="L409" s="30"/>
      <c r="M409" s="30" t="s">
        <v>1258</v>
      </c>
      <c r="N409" s="30"/>
      <c r="O409" s="31">
        <f t="shared" si="37"/>
        <v>28</v>
      </c>
      <c r="P409" s="136" t="s">
        <v>2413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9" ht="15.75" hidden="1" thickBot="1" x14ac:dyDescent="0.3">
      <c r="A410"/>
      <c r="B410"/>
      <c r="C410"/>
      <c r="D410"/>
      <c r="E410"/>
      <c r="F410" t="s">
        <v>183</v>
      </c>
      <c r="G410" t="s">
        <v>996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1374</v>
      </c>
      <c r="N410" s="30"/>
      <c r="O410" s="31">
        <f t="shared" si="37"/>
        <v>28</v>
      </c>
      <c r="P410" s="136" t="s">
        <v>2414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ht="15.75" hidden="1" thickBot="1" x14ac:dyDescent="0.3">
      <c r="A411"/>
      <c r="B411"/>
      <c r="C411"/>
      <c r="D411"/>
      <c r="E411"/>
      <c r="F411" s="73" t="s">
        <v>183</v>
      </c>
      <c r="G411" s="73" t="s">
        <v>410</v>
      </c>
      <c r="H411" s="73" t="s">
        <v>1042</v>
      </c>
      <c r="I411" s="73" t="s">
        <v>411</v>
      </c>
      <c r="J411" s="84" t="s">
        <v>18</v>
      </c>
      <c r="K411" s="30" t="s">
        <v>1035</v>
      </c>
      <c r="L411" s="84"/>
      <c r="M411" s="84" t="s">
        <v>1407</v>
      </c>
      <c r="N411" s="84"/>
      <c r="O411" s="85">
        <f t="shared" si="37"/>
        <v>28</v>
      </c>
      <c r="P411" s="136" t="s">
        <v>1949</v>
      </c>
      <c r="Q411" s="85">
        <f t="shared" si="38"/>
        <v>0</v>
      </c>
      <c r="R411" s="86">
        <f t="shared" si="39"/>
        <v>1</v>
      </c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73"/>
    </row>
    <row r="412" spans="1:49" s="73" customFormat="1" ht="15.75" hidden="1" thickBot="1" x14ac:dyDescent="0.3">
      <c r="A412"/>
      <c r="B412"/>
      <c r="C412"/>
      <c r="D412"/>
      <c r="E412"/>
      <c r="F412" t="s">
        <v>183</v>
      </c>
      <c r="G412" t="s">
        <v>412</v>
      </c>
      <c r="H412" t="s">
        <v>1042</v>
      </c>
      <c r="I412" t="s">
        <v>413</v>
      </c>
      <c r="J412" s="30" t="s">
        <v>18</v>
      </c>
      <c r="K412" s="30" t="s">
        <v>19</v>
      </c>
      <c r="L412" s="30"/>
      <c r="M412" s="30" t="s">
        <v>780</v>
      </c>
      <c r="N412" s="30"/>
      <c r="O412" s="31">
        <f t="shared" si="37"/>
        <v>28</v>
      </c>
      <c r="P412" s="136" t="s">
        <v>1853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hidden="1" thickBot="1" x14ac:dyDescent="0.3">
      <c r="A413"/>
      <c r="B413"/>
      <c r="C413"/>
      <c r="D413"/>
      <c r="E413" s="151" t="s">
        <v>2446</v>
      </c>
      <c r="F413" t="s">
        <v>183</v>
      </c>
      <c r="G413" t="s">
        <v>414</v>
      </c>
      <c r="H413" t="s">
        <v>1042</v>
      </c>
      <c r="I413" t="s">
        <v>415</v>
      </c>
      <c r="J413" s="30" t="s">
        <v>71</v>
      </c>
      <c r="K413" s="30" t="s">
        <v>2368</v>
      </c>
      <c r="L413" s="30"/>
      <c r="M413" s="30" t="s">
        <v>783</v>
      </c>
      <c r="N413" s="30"/>
      <c r="O413" s="31">
        <f t="shared" si="37"/>
        <v>16</v>
      </c>
      <c r="P413" s="136" t="s">
        <v>1950</v>
      </c>
      <c r="Q413" s="31">
        <f t="shared" si="38"/>
        <v>12</v>
      </c>
      <c r="R413" s="32">
        <f t="shared" si="39"/>
        <v>0.5714285714285714</v>
      </c>
      <c r="S413" s="70"/>
      <c r="T413" s="70"/>
      <c r="U413" s="70"/>
      <c r="V413" s="70" t="s">
        <v>2222</v>
      </c>
      <c r="W413" s="70" t="s">
        <v>2222</v>
      </c>
      <c r="X413" s="70" t="s">
        <v>2222</v>
      </c>
      <c r="Y413" s="70" t="s">
        <v>2222</v>
      </c>
      <c r="Z413" s="70" t="s">
        <v>2222</v>
      </c>
      <c r="AA413" s="70"/>
      <c r="AB413" s="70"/>
      <c r="AC413" s="70" t="s">
        <v>2222</v>
      </c>
      <c r="AD413" s="70" t="s">
        <v>2222</v>
      </c>
      <c r="AE413" s="70" t="s">
        <v>2222</v>
      </c>
      <c r="AF413" s="70" t="s">
        <v>2222</v>
      </c>
      <c r="AG413" s="70" t="s">
        <v>2222</v>
      </c>
      <c r="AH413" s="70"/>
      <c r="AI413" s="70"/>
      <c r="AJ413" s="70" t="s">
        <v>2222</v>
      </c>
      <c r="AK413" s="70" t="s">
        <v>2222</v>
      </c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hidden="1" thickBot="1" x14ac:dyDescent="0.3">
      <c r="A414"/>
      <c r="B414"/>
      <c r="C414"/>
      <c r="D414"/>
      <c r="E414" s="151" t="s">
        <v>2446</v>
      </c>
      <c r="F414" t="s">
        <v>183</v>
      </c>
      <c r="G414" t="s">
        <v>416</v>
      </c>
      <c r="H414" t="s">
        <v>1042</v>
      </c>
      <c r="I414" t="s">
        <v>415</v>
      </c>
      <c r="J414" s="30" t="s">
        <v>71</v>
      </c>
      <c r="K414" s="30" t="s">
        <v>2368</v>
      </c>
      <c r="L414" s="30"/>
      <c r="M414" s="30" t="s">
        <v>784</v>
      </c>
      <c r="N414" s="30"/>
      <c r="O414" s="31">
        <f t="shared" si="37"/>
        <v>16</v>
      </c>
      <c r="P414" s="136" t="s">
        <v>1951</v>
      </c>
      <c r="Q414" s="31">
        <f t="shared" si="38"/>
        <v>12</v>
      </c>
      <c r="R414" s="32">
        <f t="shared" si="39"/>
        <v>0.5714285714285714</v>
      </c>
      <c r="S414" s="70"/>
      <c r="T414" s="70"/>
      <c r="U414" s="70"/>
      <c r="V414" s="70" t="s">
        <v>2222</v>
      </c>
      <c r="W414" s="70" t="s">
        <v>2222</v>
      </c>
      <c r="X414" s="70" t="s">
        <v>2222</v>
      </c>
      <c r="Y414" s="70" t="s">
        <v>2222</v>
      </c>
      <c r="Z414" s="70" t="s">
        <v>2222</v>
      </c>
      <c r="AA414" s="70"/>
      <c r="AB414" s="70"/>
      <c r="AC414" s="70" t="s">
        <v>2222</v>
      </c>
      <c r="AD414" s="70" t="s">
        <v>2222</v>
      </c>
      <c r="AE414" s="70" t="s">
        <v>2222</v>
      </c>
      <c r="AF414" s="70" t="s">
        <v>2222</v>
      </c>
      <c r="AG414" s="70" t="s">
        <v>2222</v>
      </c>
      <c r="AH414" s="70"/>
      <c r="AI414" s="70"/>
      <c r="AJ414" s="70" t="s">
        <v>2222</v>
      </c>
      <c r="AK414" s="70" t="s">
        <v>2222</v>
      </c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hidden="1" thickBot="1" x14ac:dyDescent="0.3">
      <c r="A415"/>
      <c r="B415"/>
      <c r="C415"/>
      <c r="D415"/>
      <c r="E415" s="151" t="s">
        <v>2446</v>
      </c>
      <c r="F415" s="73" t="s">
        <v>183</v>
      </c>
      <c r="G415" s="73" t="s">
        <v>417</v>
      </c>
      <c r="H415" s="73" t="s">
        <v>1042</v>
      </c>
      <c r="I415" s="73" t="s">
        <v>418</v>
      </c>
      <c r="J415" s="84" t="s">
        <v>71</v>
      </c>
      <c r="K415" s="84" t="s">
        <v>1278</v>
      </c>
      <c r="L415" s="84"/>
      <c r="M415" s="84" t="s">
        <v>785</v>
      </c>
      <c r="N415" s="84"/>
      <c r="O415" s="131">
        <f t="shared" si="37"/>
        <v>18</v>
      </c>
      <c r="P415" s="136" t="s">
        <v>1952</v>
      </c>
      <c r="Q415" s="131">
        <f t="shared" si="38"/>
        <v>10</v>
      </c>
      <c r="R415" s="132">
        <f t="shared" si="39"/>
        <v>0.6428571428571429</v>
      </c>
      <c r="S415" s="70"/>
      <c r="T415" s="70"/>
      <c r="U415" s="70"/>
      <c r="V415" s="70" t="s">
        <v>2222</v>
      </c>
      <c r="W415" s="70" t="s">
        <v>2222</v>
      </c>
      <c r="X415" s="70" t="s">
        <v>2222</v>
      </c>
      <c r="Y415" s="70" t="s">
        <v>2222</v>
      </c>
      <c r="Z415" s="70" t="s">
        <v>2222</v>
      </c>
      <c r="AA415" s="70"/>
      <c r="AB415" s="70"/>
      <c r="AC415" s="70" t="s">
        <v>2222</v>
      </c>
      <c r="AD415" s="70" t="s">
        <v>2222</v>
      </c>
      <c r="AE415" s="70" t="s">
        <v>2222</v>
      </c>
      <c r="AF415" s="70" t="s">
        <v>2222</v>
      </c>
      <c r="AG415" s="70" t="s">
        <v>2222</v>
      </c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s="73" customFormat="1" ht="15.75" hidden="1" thickBot="1" x14ac:dyDescent="0.3">
      <c r="A416"/>
      <c r="B416"/>
      <c r="C416"/>
      <c r="D416"/>
      <c r="E416" s="151" t="s">
        <v>2446</v>
      </c>
      <c r="F416" s="73" t="s">
        <v>183</v>
      </c>
      <c r="G416" s="73" t="s">
        <v>419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786</v>
      </c>
      <c r="N416" s="84"/>
      <c r="O416" s="131">
        <f t="shared" si="37"/>
        <v>18</v>
      </c>
      <c r="P416" s="136" t="s">
        <v>1953</v>
      </c>
      <c r="Q416" s="131">
        <f t="shared" si="38"/>
        <v>10</v>
      </c>
      <c r="R416" s="132">
        <f t="shared" si="39"/>
        <v>0.6428571428571429</v>
      </c>
      <c r="S416" s="70"/>
      <c r="T416" s="70"/>
      <c r="U416" s="70"/>
      <c r="V416" s="70" t="s">
        <v>2222</v>
      </c>
      <c r="W416" s="70" t="s">
        <v>2222</v>
      </c>
      <c r="X416" s="70" t="s">
        <v>2222</v>
      </c>
      <c r="Y416" s="70" t="s">
        <v>2222</v>
      </c>
      <c r="Z416" s="70" t="s">
        <v>2222</v>
      </c>
      <c r="AA416" s="70"/>
      <c r="AB416" s="70"/>
      <c r="AC416" s="70" t="s">
        <v>2222</v>
      </c>
      <c r="AD416" s="70" t="s">
        <v>2222</v>
      </c>
      <c r="AE416" s="70" t="s">
        <v>2222</v>
      </c>
      <c r="AF416" s="70" t="s">
        <v>2222</v>
      </c>
      <c r="AG416" s="70" t="s">
        <v>2222</v>
      </c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/>
    </row>
    <row r="417" spans="1:49" s="73" customFormat="1" ht="17.25" hidden="1" customHeight="1" thickBot="1" x14ac:dyDescent="0.3">
      <c r="A417"/>
      <c r="B417"/>
      <c r="C417"/>
      <c r="D417"/>
      <c r="E417"/>
      <c r="F417" s="73" t="s">
        <v>183</v>
      </c>
      <c r="G417" s="73" t="s">
        <v>1514</v>
      </c>
      <c r="H417" s="73" t="s">
        <v>1042</v>
      </c>
      <c r="I417" s="73" t="s">
        <v>1515</v>
      </c>
      <c r="J417" s="84" t="s">
        <v>71</v>
      </c>
      <c r="K417" s="84" t="s">
        <v>1278</v>
      </c>
      <c r="L417" s="84"/>
      <c r="M417" s="84" t="s">
        <v>2301</v>
      </c>
      <c r="N417" s="84"/>
      <c r="O417" s="131">
        <f t="shared" si="37"/>
        <v>28</v>
      </c>
      <c r="P417" s="136" t="s">
        <v>2303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5.75" hidden="1" thickBot="1" x14ac:dyDescent="0.3">
      <c r="A418"/>
      <c r="B418"/>
      <c r="C418"/>
      <c r="D418"/>
      <c r="E418"/>
      <c r="F418" s="73" t="s">
        <v>183</v>
      </c>
      <c r="G418" s="73" t="s">
        <v>1516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2302</v>
      </c>
      <c r="N418" s="84"/>
      <c r="O418" s="131">
        <f t="shared" si="37"/>
        <v>28</v>
      </c>
      <c r="P418" s="136" t="s">
        <v>2304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hidden="1" thickBot="1" x14ac:dyDescent="0.3">
      <c r="A419"/>
      <c r="B419"/>
      <c r="C419"/>
      <c r="D419"/>
      <c r="E419"/>
      <c r="F419" s="73" t="s">
        <v>183</v>
      </c>
      <c r="G419" s="73" t="s">
        <v>1593</v>
      </c>
      <c r="H419" s="73" t="s">
        <v>1042</v>
      </c>
      <c r="I419" s="73" t="s">
        <v>1594</v>
      </c>
      <c r="J419" s="84" t="s">
        <v>71</v>
      </c>
      <c r="K419" s="84" t="s">
        <v>1278</v>
      </c>
      <c r="L419" s="84"/>
      <c r="M419" s="84" t="s">
        <v>1595</v>
      </c>
      <c r="N419" s="84"/>
      <c r="O419" s="131">
        <f t="shared" si="37"/>
        <v>28</v>
      </c>
      <c r="P419" s="136" t="s">
        <v>2104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hidden="1" thickBot="1" x14ac:dyDescent="0.3">
      <c r="A420"/>
      <c r="B420"/>
      <c r="C420"/>
      <c r="D420"/>
      <c r="E420"/>
      <c r="F420" s="73" t="s">
        <v>183</v>
      </c>
      <c r="G420" s="73" t="s">
        <v>2101</v>
      </c>
      <c r="H420" s="73" t="s">
        <v>1042</v>
      </c>
      <c r="I420" s="73" t="s">
        <v>2102</v>
      </c>
      <c r="J420" s="89" t="s">
        <v>18</v>
      </c>
      <c r="K420" s="84" t="s">
        <v>1278</v>
      </c>
      <c r="L420" s="84"/>
      <c r="M420" s="84" t="s">
        <v>2289</v>
      </c>
      <c r="N420" s="84"/>
      <c r="O420" s="131">
        <f t="shared" si="37"/>
        <v>26</v>
      </c>
      <c r="P420" s="136" t="s">
        <v>2103</v>
      </c>
      <c r="Q420" s="131">
        <f t="shared" si="38"/>
        <v>2</v>
      </c>
      <c r="R420" s="132">
        <f t="shared" si="39"/>
        <v>0.9285714285714286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 t="s">
        <v>2222</v>
      </c>
      <c r="AE420" s="70" t="s">
        <v>2222</v>
      </c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hidden="1" thickBot="1" x14ac:dyDescent="0.3">
      <c r="A421" s="88"/>
      <c r="B421" s="88"/>
      <c r="C421" s="88"/>
      <c r="D421" s="88"/>
      <c r="E421" s="88"/>
      <c r="F421" s="73" t="s">
        <v>2209</v>
      </c>
      <c r="G421" s="73" t="s">
        <v>421</v>
      </c>
      <c r="H421" s="88" t="s">
        <v>1042</v>
      </c>
      <c r="I421" s="73" t="s">
        <v>422</v>
      </c>
      <c r="J421" s="89" t="s">
        <v>18</v>
      </c>
      <c r="K421" s="84" t="s">
        <v>1278</v>
      </c>
      <c r="L421" s="84"/>
      <c r="M421" s="84" t="s">
        <v>2150</v>
      </c>
      <c r="N421" s="84"/>
      <c r="O421" s="31">
        <f t="shared" si="37"/>
        <v>28</v>
      </c>
      <c r="P421" s="136" t="s">
        <v>2151</v>
      </c>
      <c r="Q421" s="31">
        <f t="shared" si="38"/>
        <v>0</v>
      </c>
      <c r="R421" s="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0"/>
      <c r="AL421" s="90"/>
      <c r="AM421" s="70"/>
      <c r="AN421" s="90"/>
      <c r="AO421" s="90"/>
      <c r="AP421" s="90"/>
      <c r="AQ421" s="90"/>
      <c r="AR421" s="90"/>
      <c r="AS421" s="90"/>
      <c r="AT421" s="90"/>
      <c r="AU421" s="90"/>
      <c r="AV421" s="90"/>
      <c r="AW421"/>
    </row>
    <row r="422" spans="1:49" s="88" customFormat="1" ht="15.75" hidden="1" thickBot="1" x14ac:dyDescent="0.3">
      <c r="A422"/>
      <c r="B422"/>
      <c r="C422"/>
      <c r="D422"/>
      <c r="E422"/>
      <c r="F422" s="73" t="s">
        <v>2209</v>
      </c>
      <c r="G422" s="73" t="s">
        <v>1329</v>
      </c>
      <c r="H422" s="73" t="s">
        <v>1042</v>
      </c>
      <c r="I422" s="73" t="s">
        <v>1330</v>
      </c>
      <c r="J422" s="89" t="s">
        <v>18</v>
      </c>
      <c r="K422" s="84" t="s">
        <v>1278</v>
      </c>
      <c r="L422" s="84"/>
      <c r="M422" s="84" t="s">
        <v>1390</v>
      </c>
      <c r="N422" s="84"/>
      <c r="O422" s="131">
        <f t="shared" si="37"/>
        <v>28</v>
      </c>
      <c r="P422" s="136" t="s">
        <v>1954</v>
      </c>
      <c r="Q422" s="131">
        <f t="shared" si="38"/>
        <v>0</v>
      </c>
      <c r="R422" s="1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hidden="1" thickBot="1" x14ac:dyDescent="0.3">
      <c r="A423"/>
      <c r="B423"/>
      <c r="C423"/>
      <c r="D423"/>
      <c r="E423"/>
      <c r="F423" s="73" t="s">
        <v>2209</v>
      </c>
      <c r="G423" s="73" t="s">
        <v>1378</v>
      </c>
      <c r="H423" s="73" t="s">
        <v>1042</v>
      </c>
      <c r="I423" s="73" t="s">
        <v>1379</v>
      </c>
      <c r="J423" s="89" t="s">
        <v>18</v>
      </c>
      <c r="K423" s="84" t="s">
        <v>1278</v>
      </c>
      <c r="L423" s="84"/>
      <c r="M423" s="84" t="s">
        <v>1380</v>
      </c>
      <c r="N423" s="84"/>
      <c r="O423" s="131">
        <f t="shared" si="37"/>
        <v>28</v>
      </c>
      <c r="P423" s="136" t="s">
        <v>1955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/>
      <c r="B424"/>
      <c r="C424"/>
      <c r="D424"/>
      <c r="E424"/>
      <c r="F424" s="73" t="s">
        <v>2209</v>
      </c>
      <c r="G424" s="73" t="s">
        <v>2205</v>
      </c>
      <c r="H424" s="73" t="s">
        <v>1042</v>
      </c>
      <c r="I424" s="73" t="s">
        <v>2206</v>
      </c>
      <c r="J424" s="89" t="s">
        <v>18</v>
      </c>
      <c r="K424" s="84" t="s">
        <v>1278</v>
      </c>
      <c r="L424" s="84"/>
      <c r="M424" s="84" t="s">
        <v>2207</v>
      </c>
      <c r="N424" s="84"/>
      <c r="O424" s="131">
        <f t="shared" si="37"/>
        <v>28</v>
      </c>
      <c r="P424" s="136" t="s">
        <v>2208</v>
      </c>
      <c r="Q424" s="131">
        <f t="shared" si="38"/>
        <v>0</v>
      </c>
      <c r="R424" s="132">
        <f t="shared" si="39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9" s="73" customFormat="1" ht="15.75" hidden="1" thickBot="1" x14ac:dyDescent="0.3">
      <c r="A425" s="88"/>
      <c r="B425" s="88"/>
      <c r="C425" s="88"/>
      <c r="D425" s="88"/>
      <c r="E425" s="88"/>
      <c r="F425" s="88" t="s">
        <v>425</v>
      </c>
      <c r="G425" s="88" t="s">
        <v>423</v>
      </c>
      <c r="H425" s="88" t="s">
        <v>1042</v>
      </c>
      <c r="I425" s="88" t="s">
        <v>424</v>
      </c>
      <c r="J425" s="89" t="s">
        <v>18</v>
      </c>
      <c r="K425" s="89" t="s">
        <v>19</v>
      </c>
      <c r="L425" s="89"/>
      <c r="M425" s="89" t="s">
        <v>787</v>
      </c>
      <c r="N425" s="89"/>
      <c r="O425" s="31">
        <f t="shared" si="37"/>
        <v>16</v>
      </c>
      <c r="P425" s="136"/>
      <c r="Q425" s="31">
        <f t="shared" si="38"/>
        <v>12</v>
      </c>
      <c r="R425" s="32">
        <f t="shared" si="39"/>
        <v>0.5714285714285714</v>
      </c>
      <c r="S425" s="70"/>
      <c r="T425" s="70"/>
      <c r="U425" s="71"/>
      <c r="V425" s="71" t="s">
        <v>2222</v>
      </c>
      <c r="W425" s="71" t="s">
        <v>2222</v>
      </c>
      <c r="X425" s="70" t="s">
        <v>2222</v>
      </c>
      <c r="Y425" s="70" t="s">
        <v>2222</v>
      </c>
      <c r="Z425" s="70" t="s">
        <v>2222</v>
      </c>
      <c r="AA425" s="71"/>
      <c r="AB425" s="71"/>
      <c r="AC425" s="70" t="s">
        <v>2222</v>
      </c>
      <c r="AD425" s="70" t="s">
        <v>2222</v>
      </c>
      <c r="AE425" s="70" t="s">
        <v>2222</v>
      </c>
      <c r="AF425" s="70" t="s">
        <v>2222</v>
      </c>
      <c r="AG425" s="70" t="s">
        <v>2222</v>
      </c>
      <c r="AH425" s="71"/>
      <c r="AI425" s="71"/>
      <c r="AJ425" s="70" t="s">
        <v>2222</v>
      </c>
      <c r="AK425" s="70" t="s">
        <v>2222</v>
      </c>
      <c r="AL425" s="71"/>
      <c r="AM425" s="71"/>
      <c r="AN425" s="71"/>
      <c r="AO425" s="71"/>
      <c r="AP425" s="71"/>
      <c r="AQ425" s="149"/>
      <c r="AR425" s="149"/>
      <c r="AS425" s="71"/>
      <c r="AT425" s="71"/>
      <c r="AU425" s="71"/>
      <c r="AV425" s="71"/>
      <c r="AW425"/>
    </row>
    <row r="426" spans="1:49" s="73" customFormat="1" ht="15.75" hidden="1" thickBot="1" x14ac:dyDescent="0.3">
      <c r="A426"/>
      <c r="B426"/>
      <c r="C426"/>
      <c r="D426"/>
      <c r="E426"/>
      <c r="F426" s="73" t="s">
        <v>425</v>
      </c>
      <c r="G426" s="73" t="s">
        <v>426</v>
      </c>
      <c r="H426" s="73" t="s">
        <v>1042</v>
      </c>
      <c r="I426" s="73" t="s">
        <v>427</v>
      </c>
      <c r="J426" s="84" t="s">
        <v>45</v>
      </c>
      <c r="K426" s="84" t="s">
        <v>1278</v>
      </c>
      <c r="L426" s="84"/>
      <c r="M426" s="84" t="s">
        <v>1350</v>
      </c>
      <c r="N426" s="84"/>
      <c r="O426" s="131">
        <f t="shared" si="37"/>
        <v>27</v>
      </c>
      <c r="P426" s="136" t="s">
        <v>1958</v>
      </c>
      <c r="Q426" s="131">
        <f t="shared" si="38"/>
        <v>1</v>
      </c>
      <c r="R426" s="132">
        <f t="shared" si="39"/>
        <v>0.9642857142857143</v>
      </c>
      <c r="S426" s="70"/>
      <c r="T426" s="70"/>
      <c r="U426" s="70"/>
      <c r="V426" s="70"/>
      <c r="W426" s="70"/>
      <c r="X426" s="70" t="s">
        <v>2222</v>
      </c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hidden="1" thickBot="1" x14ac:dyDescent="0.3">
      <c r="A427"/>
      <c r="B427"/>
      <c r="C427"/>
      <c r="D427"/>
      <c r="E427" t="s">
        <v>2348</v>
      </c>
      <c r="F427" t="s">
        <v>425</v>
      </c>
      <c r="G427" t="s">
        <v>428</v>
      </c>
      <c r="H427" t="s">
        <v>1042</v>
      </c>
      <c r="I427" t="s">
        <v>429</v>
      </c>
      <c r="J427" s="30" t="s">
        <v>14</v>
      </c>
      <c r="K427" s="30" t="s">
        <v>27</v>
      </c>
      <c r="L427" s="30"/>
      <c r="M427" s="30" t="s">
        <v>789</v>
      </c>
      <c r="N427" s="30"/>
      <c r="O427" s="31">
        <f t="shared" si="37"/>
        <v>28</v>
      </c>
      <c r="P427" s="136" t="s">
        <v>2415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88" customFormat="1" ht="15.75" hidden="1" thickBot="1" x14ac:dyDescent="0.3">
      <c r="A428"/>
      <c r="B428"/>
      <c r="C428"/>
      <c r="D428"/>
      <c r="E428"/>
      <c r="F428" s="73" t="s">
        <v>425</v>
      </c>
      <c r="G428" s="73" t="s">
        <v>430</v>
      </c>
      <c r="H428" s="73" t="s">
        <v>1042</v>
      </c>
      <c r="I428" s="73" t="s">
        <v>431</v>
      </c>
      <c r="J428" s="84" t="s">
        <v>14</v>
      </c>
      <c r="K428" s="84" t="s">
        <v>1278</v>
      </c>
      <c r="L428" s="84"/>
      <c r="M428" s="84" t="s">
        <v>790</v>
      </c>
      <c r="N428" s="84"/>
      <c r="O428" s="131">
        <f t="shared" si="37"/>
        <v>19</v>
      </c>
      <c r="P428" s="136" t="s">
        <v>1960</v>
      </c>
      <c r="Q428" s="131">
        <f t="shared" si="38"/>
        <v>9</v>
      </c>
      <c r="R428" s="132">
        <f t="shared" si="39"/>
        <v>0.6785714285714286</v>
      </c>
      <c r="S428" s="70"/>
      <c r="T428" s="70"/>
      <c r="U428" s="70"/>
      <c r="V428" s="70" t="s">
        <v>2222</v>
      </c>
      <c r="W428" s="70"/>
      <c r="X428" s="70"/>
      <c r="Y428" s="70"/>
      <c r="Z428" s="70" t="s">
        <v>2222</v>
      </c>
      <c r="AA428" s="70"/>
      <c r="AB428" s="70"/>
      <c r="AC428" s="70" t="s">
        <v>2222</v>
      </c>
      <c r="AD428" s="70" t="s">
        <v>2222</v>
      </c>
      <c r="AE428" s="70" t="s">
        <v>2222</v>
      </c>
      <c r="AF428" s="70" t="s">
        <v>2222</v>
      </c>
      <c r="AG428" s="70" t="s">
        <v>2222</v>
      </c>
      <c r="AH428" s="70"/>
      <c r="AI428" s="70"/>
      <c r="AJ428" s="70" t="s">
        <v>2222</v>
      </c>
      <c r="AK428" s="70" t="s">
        <v>2222</v>
      </c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hidden="1" thickBot="1" x14ac:dyDescent="0.3">
      <c r="A429"/>
      <c r="B429"/>
      <c r="C429"/>
      <c r="D429"/>
      <c r="E429" s="151" t="s">
        <v>2461</v>
      </c>
      <c r="F429" t="s">
        <v>1103</v>
      </c>
      <c r="G429" t="s">
        <v>1104</v>
      </c>
      <c r="H429" t="s">
        <v>1042</v>
      </c>
      <c r="I429" t="s">
        <v>1105</v>
      </c>
      <c r="J429" s="30" t="s">
        <v>1093</v>
      </c>
      <c r="K429" s="30" t="s">
        <v>2368</v>
      </c>
      <c r="L429" s="30"/>
      <c r="M429" s="30" t="s">
        <v>1117</v>
      </c>
      <c r="N429" s="30"/>
      <c r="O429" s="31">
        <f t="shared" si="37"/>
        <v>28</v>
      </c>
      <c r="P429" s="136" t="s">
        <v>1961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ht="15.75" hidden="1" thickBot="1" x14ac:dyDescent="0.3">
      <c r="A430"/>
      <c r="B430"/>
      <c r="C430"/>
      <c r="D430"/>
      <c r="E430" s="151" t="s">
        <v>2461</v>
      </c>
      <c r="F430" t="s">
        <v>1103</v>
      </c>
      <c r="G430" t="s">
        <v>1121</v>
      </c>
      <c r="H430" t="s">
        <v>1042</v>
      </c>
      <c r="I430" t="s">
        <v>1105</v>
      </c>
      <c r="J430" s="30" t="s">
        <v>1093</v>
      </c>
      <c r="K430" s="30" t="s">
        <v>2368</v>
      </c>
      <c r="L430" s="30"/>
      <c r="M430" s="30" t="s">
        <v>1118</v>
      </c>
      <c r="N430" s="30"/>
      <c r="O430" s="31">
        <f t="shared" si="37"/>
        <v>28</v>
      </c>
      <c r="P430" s="136" t="s">
        <v>1962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69"/>
    </row>
    <row r="431" spans="1:49" ht="15.75" hidden="1" thickBot="1" x14ac:dyDescent="0.3">
      <c r="A431"/>
      <c r="B431"/>
      <c r="C431"/>
      <c r="D431"/>
      <c r="E431"/>
      <c r="F431" s="73" t="s">
        <v>425</v>
      </c>
      <c r="G431" s="73" t="s">
        <v>432</v>
      </c>
      <c r="H431" s="73" t="s">
        <v>1042</v>
      </c>
      <c r="I431" s="73" t="s">
        <v>433</v>
      </c>
      <c r="J431" s="84" t="s">
        <v>14</v>
      </c>
      <c r="K431" s="84" t="s">
        <v>1278</v>
      </c>
      <c r="L431" s="84"/>
      <c r="M431" s="84" t="s">
        <v>1349</v>
      </c>
      <c r="N431" s="84"/>
      <c r="O431" s="131">
        <f t="shared" si="37"/>
        <v>28</v>
      </c>
      <c r="P431" s="136" t="s">
        <v>1956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9" s="73" customFormat="1" ht="15.75" hidden="1" thickBot="1" x14ac:dyDescent="0.3">
      <c r="A432"/>
      <c r="B432"/>
      <c r="C432"/>
      <c r="D432"/>
      <c r="E432"/>
      <c r="F432" s="73" t="s">
        <v>425</v>
      </c>
      <c r="G432" s="73" t="s">
        <v>434</v>
      </c>
      <c r="H432" s="73" t="s">
        <v>1042</v>
      </c>
      <c r="I432" s="73" t="s">
        <v>435</v>
      </c>
      <c r="J432" s="84" t="s">
        <v>18</v>
      </c>
      <c r="K432" s="84" t="s">
        <v>1278</v>
      </c>
      <c r="L432" s="84"/>
      <c r="M432" s="84" t="s">
        <v>1399</v>
      </c>
      <c r="N432" s="84"/>
      <c r="O432" s="131">
        <f t="shared" si="37"/>
        <v>16</v>
      </c>
      <c r="P432" s="136" t="s">
        <v>1957</v>
      </c>
      <c r="Q432" s="131">
        <f t="shared" si="38"/>
        <v>12</v>
      </c>
      <c r="R432" s="132">
        <f t="shared" si="39"/>
        <v>0.5714285714285714</v>
      </c>
      <c r="S432" s="70"/>
      <c r="T432" s="70"/>
      <c r="U432" s="70"/>
      <c r="V432" s="70" t="s">
        <v>2222</v>
      </c>
      <c r="W432" s="70" t="s">
        <v>2222</v>
      </c>
      <c r="X432" s="70" t="s">
        <v>2222</v>
      </c>
      <c r="Y432" s="70" t="s">
        <v>2222</v>
      </c>
      <c r="Z432" s="70" t="s">
        <v>2222</v>
      </c>
      <c r="AA432" s="70"/>
      <c r="AB432" s="70"/>
      <c r="AC432" s="70" t="s">
        <v>2222</v>
      </c>
      <c r="AD432" s="70" t="s">
        <v>2222</v>
      </c>
      <c r="AE432" s="70" t="s">
        <v>2222</v>
      </c>
      <c r="AF432" s="70" t="s">
        <v>2222</v>
      </c>
      <c r="AG432" s="70" t="s">
        <v>2222</v>
      </c>
      <c r="AH432" s="70"/>
      <c r="AI432" s="70"/>
      <c r="AJ432" s="70" t="s">
        <v>2222</v>
      </c>
      <c r="AK432" s="70" t="s">
        <v>2222</v>
      </c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ht="15.75" hidden="1" thickBot="1" x14ac:dyDescent="0.3">
      <c r="A433">
        <v>5</v>
      </c>
      <c r="B433">
        <v>3</v>
      </c>
      <c r="C433"/>
      <c r="D433"/>
      <c r="E433" t="s">
        <v>1233</v>
      </c>
      <c r="F433" t="s">
        <v>425</v>
      </c>
      <c r="G433" t="s">
        <v>436</v>
      </c>
      <c r="H433" t="s">
        <v>1042</v>
      </c>
      <c r="I433" t="s">
        <v>437</v>
      </c>
      <c r="J433" s="30" t="s">
        <v>14</v>
      </c>
      <c r="K433" s="30" t="s">
        <v>1035</v>
      </c>
      <c r="L433" s="30" t="s">
        <v>1233</v>
      </c>
      <c r="M433" s="30" t="s">
        <v>788</v>
      </c>
      <c r="N433" s="30"/>
      <c r="O433" s="31">
        <f t="shared" si="37"/>
        <v>28</v>
      </c>
      <c r="P433" s="136" t="s">
        <v>1959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ht="16.899999999999999" hidden="1" customHeight="1" thickBot="1" x14ac:dyDescent="0.3">
      <c r="A434"/>
      <c r="B434"/>
      <c r="C434"/>
      <c r="D434"/>
      <c r="E434"/>
      <c r="F434" s="73" t="s">
        <v>281</v>
      </c>
      <c r="G434" s="73" t="s">
        <v>1290</v>
      </c>
      <c r="H434" s="73" t="s">
        <v>1042</v>
      </c>
      <c r="I434" s="73" t="s">
        <v>1291</v>
      </c>
      <c r="J434" s="84" t="s">
        <v>14</v>
      </c>
      <c r="K434" s="84" t="s">
        <v>1278</v>
      </c>
      <c r="L434" s="84"/>
      <c r="M434" s="84" t="s">
        <v>1292</v>
      </c>
      <c r="N434" s="84"/>
      <c r="O434" s="31">
        <f t="shared" si="37"/>
        <v>27</v>
      </c>
      <c r="P434" s="136" t="s">
        <v>1931</v>
      </c>
      <c r="Q434" s="31">
        <f t="shared" si="38"/>
        <v>1</v>
      </c>
      <c r="R434" s="32">
        <f t="shared" si="39"/>
        <v>0.9642857142857143</v>
      </c>
      <c r="S434" s="70"/>
      <c r="T434" s="70"/>
      <c r="U434" s="70"/>
      <c r="V434" s="70"/>
      <c r="W434" s="70"/>
      <c r="X434" s="70"/>
      <c r="Y434" s="70"/>
      <c r="Z434" s="70" t="s">
        <v>2222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s="73" customFormat="1" ht="16.899999999999999" hidden="1" customHeight="1" thickBot="1" x14ac:dyDescent="0.3">
      <c r="A435"/>
      <c r="B435"/>
      <c r="C435"/>
      <c r="D435"/>
      <c r="E435"/>
      <c r="F435" t="s">
        <v>1103</v>
      </c>
      <c r="G435" s="73" t="s">
        <v>1528</v>
      </c>
      <c r="H435" s="73" t="s">
        <v>1042</v>
      </c>
      <c r="I435" s="73" t="s">
        <v>1529</v>
      </c>
      <c r="J435" s="84" t="s">
        <v>1093</v>
      </c>
      <c r="K435" s="84" t="s">
        <v>1278</v>
      </c>
      <c r="L435" s="84"/>
      <c r="M435" s="84" t="s">
        <v>1531</v>
      </c>
      <c r="N435" s="84"/>
      <c r="O435" s="31">
        <f t="shared" si="37"/>
        <v>28</v>
      </c>
      <c r="P435" s="136" t="s">
        <v>1963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6.899999999999999" hidden="1" customHeight="1" thickBot="1" x14ac:dyDescent="0.3">
      <c r="A436"/>
      <c r="B436"/>
      <c r="C436"/>
      <c r="D436"/>
      <c r="E436"/>
      <c r="F436" t="s">
        <v>1103</v>
      </c>
      <c r="G436" s="73" t="s">
        <v>1527</v>
      </c>
      <c r="H436" s="73" t="s">
        <v>1042</v>
      </c>
      <c r="I436" s="73" t="s">
        <v>1530</v>
      </c>
      <c r="J436" s="84" t="s">
        <v>1093</v>
      </c>
      <c r="K436" s="84" t="s">
        <v>1278</v>
      </c>
      <c r="L436" s="84"/>
      <c r="M436" s="84" t="s">
        <v>1532</v>
      </c>
      <c r="N436" s="84"/>
      <c r="O436" s="31">
        <f t="shared" si="37"/>
        <v>28</v>
      </c>
      <c r="P436" s="136" t="s">
        <v>1964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hidden="1" customHeight="1" thickBot="1" x14ac:dyDescent="0.3">
      <c r="A437"/>
      <c r="B437"/>
      <c r="C437"/>
      <c r="D437"/>
      <c r="E437"/>
      <c r="F437" t="s">
        <v>1103</v>
      </c>
      <c r="G437" s="73" t="s">
        <v>2191</v>
      </c>
      <c r="H437" s="73" t="s">
        <v>1042</v>
      </c>
      <c r="I437" s="73" t="s">
        <v>2192</v>
      </c>
      <c r="J437" s="84" t="s">
        <v>1093</v>
      </c>
      <c r="K437" s="84" t="s">
        <v>1278</v>
      </c>
      <c r="L437" s="84"/>
      <c r="M437" s="84" t="s">
        <v>2290</v>
      </c>
      <c r="N437" s="84"/>
      <c r="O437" s="31">
        <f t="shared" si="37"/>
        <v>28</v>
      </c>
      <c r="P437" s="136" t="s">
        <v>2422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5.75" hidden="1" thickBot="1" x14ac:dyDescent="0.3">
      <c r="A438">
        <v>9</v>
      </c>
      <c r="B438">
        <v>2</v>
      </c>
      <c r="C438"/>
      <c r="D438"/>
      <c r="E438" t="s">
        <v>44</v>
      </c>
      <c r="F438" t="s">
        <v>155</v>
      </c>
      <c r="G438" t="s">
        <v>997</v>
      </c>
      <c r="H438" t="s">
        <v>1041</v>
      </c>
      <c r="I438" t="s">
        <v>441</v>
      </c>
      <c r="J438" s="30" t="s">
        <v>71</v>
      </c>
      <c r="K438" s="30" t="s">
        <v>27</v>
      </c>
      <c r="L438" s="30"/>
      <c r="M438" s="30" t="s">
        <v>793</v>
      </c>
      <c r="N438" s="30"/>
      <c r="O438" s="31">
        <f t="shared" si="37"/>
        <v>28</v>
      </c>
      <c r="P438" s="136" t="s">
        <v>1967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2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3"/>
    </row>
    <row r="439" spans="1:49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998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794</v>
      </c>
      <c r="N439" s="30"/>
      <c r="O439" s="31">
        <f t="shared" si="37"/>
        <v>28</v>
      </c>
      <c r="P439" s="136" t="s">
        <v>1968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438</v>
      </c>
      <c r="H440" t="s">
        <v>1041</v>
      </c>
      <c r="I440" t="s">
        <v>439</v>
      </c>
      <c r="J440" s="30" t="s">
        <v>71</v>
      </c>
      <c r="K440" s="30" t="s">
        <v>27</v>
      </c>
      <c r="L440" s="30"/>
      <c r="M440" s="30" t="s">
        <v>791</v>
      </c>
      <c r="N440" s="30"/>
      <c r="O440" s="31">
        <f t="shared" si="37"/>
        <v>28</v>
      </c>
      <c r="P440" s="136" t="s">
        <v>1965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440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792</v>
      </c>
      <c r="N441" s="30"/>
      <c r="O441" s="31">
        <f t="shared" si="37"/>
        <v>28</v>
      </c>
      <c r="P441" s="136" t="s">
        <v>1966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hidden="1" thickBot="1" x14ac:dyDescent="0.3">
      <c r="A442"/>
      <c r="B442"/>
      <c r="C442"/>
      <c r="D442"/>
      <c r="E442"/>
      <c r="F442" s="73" t="s">
        <v>442</v>
      </c>
      <c r="G442" s="73" t="s">
        <v>999</v>
      </c>
      <c r="H442" s="73" t="s">
        <v>1042</v>
      </c>
      <c r="I442" s="73" t="s">
        <v>455</v>
      </c>
      <c r="J442" s="84" t="s">
        <v>18</v>
      </c>
      <c r="K442" s="84" t="s">
        <v>1278</v>
      </c>
      <c r="L442" s="84"/>
      <c r="M442" s="84" t="s">
        <v>1305</v>
      </c>
      <c r="N442" s="84"/>
      <c r="O442" s="131">
        <f t="shared" si="37"/>
        <v>16</v>
      </c>
      <c r="P442" s="136" t="s">
        <v>1972</v>
      </c>
      <c r="Q442" s="131">
        <f t="shared" si="38"/>
        <v>12</v>
      </c>
      <c r="R442" s="132">
        <f t="shared" si="39"/>
        <v>0.5714285714285714</v>
      </c>
      <c r="S442" s="70"/>
      <c r="T442" s="70"/>
      <c r="U442" s="70"/>
      <c r="V442" s="70" t="s">
        <v>2222</v>
      </c>
      <c r="W442" s="70" t="s">
        <v>2222</v>
      </c>
      <c r="X442" s="70" t="s">
        <v>2222</v>
      </c>
      <c r="Y442" s="70" t="s">
        <v>2222</v>
      </c>
      <c r="Z442" s="70" t="s">
        <v>2222</v>
      </c>
      <c r="AA442" s="70"/>
      <c r="AB442" s="70"/>
      <c r="AC442" s="70" t="s">
        <v>2222</v>
      </c>
      <c r="AD442" s="70" t="s">
        <v>2222</v>
      </c>
      <c r="AE442" s="70" t="s">
        <v>2222</v>
      </c>
      <c r="AF442" s="70" t="s">
        <v>2222</v>
      </c>
      <c r="AG442" s="70" t="s">
        <v>2222</v>
      </c>
      <c r="AH442" s="70"/>
      <c r="AI442" s="70"/>
      <c r="AJ442" s="70" t="s">
        <v>2222</v>
      </c>
      <c r="AK442" s="70" t="s">
        <v>2222</v>
      </c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hidden="1" thickBot="1" x14ac:dyDescent="0.3">
      <c r="A443"/>
      <c r="B443"/>
      <c r="C443"/>
      <c r="D443"/>
      <c r="E443" s="151" t="s">
        <v>2460</v>
      </c>
      <c r="F443" t="s">
        <v>442</v>
      </c>
      <c r="G443" t="s">
        <v>446</v>
      </c>
      <c r="H443" t="s">
        <v>1042</v>
      </c>
      <c r="I443" t="s">
        <v>447</v>
      </c>
      <c r="J443" s="30" t="s">
        <v>18</v>
      </c>
      <c r="K443" s="30" t="s">
        <v>1278</v>
      </c>
      <c r="L443" s="30"/>
      <c r="M443" s="30" t="s">
        <v>800</v>
      </c>
      <c r="N443" s="30"/>
      <c r="O443" s="31">
        <f t="shared" si="37"/>
        <v>27</v>
      </c>
      <c r="P443" s="136" t="s">
        <v>1975</v>
      </c>
      <c r="Q443" s="31">
        <f t="shared" si="38"/>
        <v>1</v>
      </c>
      <c r="R443" s="32">
        <f t="shared" si="39"/>
        <v>0.9642857142857143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 t="s">
        <v>2222</v>
      </c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88"/>
    </row>
    <row r="444" spans="1:49" s="73" customFormat="1" ht="15.75" hidden="1" thickBot="1" x14ac:dyDescent="0.3">
      <c r="A444" s="69"/>
      <c r="B444" s="69"/>
      <c r="C444" s="69"/>
      <c r="D444" s="69"/>
      <c r="E444" s="69"/>
      <c r="F444" s="69" t="s">
        <v>442</v>
      </c>
      <c r="G444" s="69" t="s">
        <v>1000</v>
      </c>
      <c r="H444" s="69" t="s">
        <v>1042</v>
      </c>
      <c r="I444" s="69" t="s">
        <v>456</v>
      </c>
      <c r="J444" s="137" t="s">
        <v>14</v>
      </c>
      <c r="K444" s="137" t="s">
        <v>19</v>
      </c>
      <c r="L444" s="137"/>
      <c r="M444" s="137" t="s">
        <v>795</v>
      </c>
      <c r="N444" s="137"/>
      <c r="O444" s="139">
        <f t="shared" si="37"/>
        <v>16</v>
      </c>
      <c r="P444" s="140"/>
      <c r="Q444" s="139">
        <f t="shared" si="38"/>
        <v>12</v>
      </c>
      <c r="R444" s="141">
        <f t="shared" si="39"/>
        <v>0.5714285714285714</v>
      </c>
      <c r="S444" s="142"/>
      <c r="T444" s="142"/>
      <c r="U444" s="142"/>
      <c r="V444" s="70" t="s">
        <v>2222</v>
      </c>
      <c r="W444" s="70" t="s">
        <v>2222</v>
      </c>
      <c r="X444" s="70" t="s">
        <v>2222</v>
      </c>
      <c r="Y444" s="70" t="s">
        <v>2222</v>
      </c>
      <c r="Z444" s="70" t="s">
        <v>2222</v>
      </c>
      <c r="AA444" s="142"/>
      <c r="AB444" s="142"/>
      <c r="AC444" s="70" t="s">
        <v>2222</v>
      </c>
      <c r="AD444" s="70" t="s">
        <v>2222</v>
      </c>
      <c r="AE444" s="70" t="s">
        <v>2222</v>
      </c>
      <c r="AF444" s="70" t="s">
        <v>2222</v>
      </c>
      <c r="AG444" s="70" t="s">
        <v>2222</v>
      </c>
      <c r="AH444" s="70"/>
      <c r="AI444" s="70"/>
      <c r="AJ444" s="70" t="s">
        <v>2222</v>
      </c>
      <c r="AK444" s="70" t="s">
        <v>2222</v>
      </c>
      <c r="AL444" s="70"/>
      <c r="AM444" s="70"/>
      <c r="AN444" s="70"/>
      <c r="AO444" s="70"/>
      <c r="AP444" s="70"/>
      <c r="AQ444" s="142"/>
      <c r="AR444" s="142"/>
      <c r="AS444" s="70"/>
      <c r="AT444" s="70"/>
      <c r="AU444" s="70"/>
      <c r="AV444" s="70"/>
      <c r="AW444" s="88"/>
    </row>
    <row r="445" spans="1:49" s="73" customFormat="1" ht="15.75" hidden="1" thickBot="1" x14ac:dyDescent="0.3">
      <c r="A445"/>
      <c r="B445"/>
      <c r="C445"/>
      <c r="D445"/>
      <c r="E445" s="151" t="s">
        <v>2446</v>
      </c>
      <c r="F445" t="s">
        <v>337</v>
      </c>
      <c r="G445" t="s">
        <v>1001</v>
      </c>
      <c r="H445" t="s">
        <v>1042</v>
      </c>
      <c r="I445" t="s">
        <v>459</v>
      </c>
      <c r="J445" s="30" t="s">
        <v>71</v>
      </c>
      <c r="K445" s="30" t="s">
        <v>2368</v>
      </c>
      <c r="L445" s="30"/>
      <c r="M445" s="30" t="s">
        <v>1388</v>
      </c>
      <c r="N445" s="30"/>
      <c r="O445" s="31">
        <f t="shared" si="37"/>
        <v>26</v>
      </c>
      <c r="P445" s="136" t="s">
        <v>1976</v>
      </c>
      <c r="Q445" s="31">
        <f t="shared" si="38"/>
        <v>2</v>
      </c>
      <c r="R445" s="32">
        <f t="shared" si="39"/>
        <v>0.9285714285714286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 t="s">
        <v>2222</v>
      </c>
      <c r="AK445" s="70" t="s">
        <v>2222</v>
      </c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129"/>
      <c r="AW445"/>
    </row>
    <row r="446" spans="1:49" ht="15.75" hidden="1" thickBot="1" x14ac:dyDescent="0.3">
      <c r="A446"/>
      <c r="B446"/>
      <c r="C446"/>
      <c r="D446"/>
      <c r="E446" s="151" t="s">
        <v>2446</v>
      </c>
      <c r="F446" t="s">
        <v>337</v>
      </c>
      <c r="G446" t="s">
        <v>1002</v>
      </c>
      <c r="H446" t="s">
        <v>1042</v>
      </c>
      <c r="I446" t="s">
        <v>459</v>
      </c>
      <c r="J446" s="30" t="s">
        <v>71</v>
      </c>
      <c r="K446" s="30" t="s">
        <v>2368</v>
      </c>
      <c r="L446" s="30"/>
      <c r="M446" s="30" t="s">
        <v>1389</v>
      </c>
      <c r="N446" s="30"/>
      <c r="O446" s="31">
        <f t="shared" si="37"/>
        <v>26</v>
      </c>
      <c r="P446" s="136" t="s">
        <v>1977</v>
      </c>
      <c r="Q446" s="31">
        <f t="shared" si="38"/>
        <v>2</v>
      </c>
      <c r="R446" s="32">
        <f t="shared" si="39"/>
        <v>0.9285714285714286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 t="s">
        <v>2222</v>
      </c>
      <c r="AK446" s="70" t="s">
        <v>2222</v>
      </c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hidden="1" thickBot="1" x14ac:dyDescent="0.3">
      <c r="A447"/>
      <c r="B447"/>
      <c r="C447"/>
      <c r="D447"/>
      <c r="E447" s="151" t="s">
        <v>2446</v>
      </c>
      <c r="F447" t="s">
        <v>442</v>
      </c>
      <c r="G447" t="s">
        <v>1003</v>
      </c>
      <c r="H447" t="s">
        <v>1042</v>
      </c>
      <c r="I447" t="s">
        <v>462</v>
      </c>
      <c r="J447" s="30" t="s">
        <v>71</v>
      </c>
      <c r="K447" s="30" t="s">
        <v>2368</v>
      </c>
      <c r="L447" s="30" t="s">
        <v>2370</v>
      </c>
      <c r="M447" s="30" t="s">
        <v>805</v>
      </c>
      <c r="N447" s="30"/>
      <c r="O447" s="31">
        <f t="shared" si="37"/>
        <v>26</v>
      </c>
      <c r="P447" s="136" t="s">
        <v>1981</v>
      </c>
      <c r="Q447" s="31">
        <f t="shared" si="38"/>
        <v>2</v>
      </c>
      <c r="R447" s="32">
        <f t="shared" si="39"/>
        <v>0.9285714285714286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 t="s">
        <v>2222</v>
      </c>
      <c r="AK447" s="70" t="s">
        <v>2222</v>
      </c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hidden="1" thickBot="1" x14ac:dyDescent="0.3">
      <c r="A448"/>
      <c r="B448"/>
      <c r="C448"/>
      <c r="D448"/>
      <c r="E448" s="151" t="s">
        <v>2446</v>
      </c>
      <c r="F448" t="s">
        <v>442</v>
      </c>
      <c r="G448" t="s">
        <v>1004</v>
      </c>
      <c r="H448" t="s">
        <v>1042</v>
      </c>
      <c r="I448" t="s">
        <v>462</v>
      </c>
      <c r="J448" s="30" t="s">
        <v>71</v>
      </c>
      <c r="K448" s="30" t="s">
        <v>2368</v>
      </c>
      <c r="L448" s="30" t="s">
        <v>2370</v>
      </c>
      <c r="M448" s="30" t="s">
        <v>806</v>
      </c>
      <c r="N448" s="30"/>
      <c r="O448" s="31">
        <f t="shared" si="37"/>
        <v>26</v>
      </c>
      <c r="P448" s="136" t="s">
        <v>1982</v>
      </c>
      <c r="Q448" s="31">
        <f t="shared" si="38"/>
        <v>2</v>
      </c>
      <c r="R448" s="32">
        <f t="shared" si="39"/>
        <v>0.9285714285714286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 t="s">
        <v>2222</v>
      </c>
      <c r="AK448" s="70" t="s">
        <v>2222</v>
      </c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hidden="1" thickBot="1" x14ac:dyDescent="0.3">
      <c r="A449"/>
      <c r="B449"/>
      <c r="C449"/>
      <c r="D449"/>
      <c r="E449" t="s">
        <v>2448</v>
      </c>
      <c r="F449" t="s">
        <v>442</v>
      </c>
      <c r="G449" t="s">
        <v>451</v>
      </c>
      <c r="H449" t="s">
        <v>1042</v>
      </c>
      <c r="I449" t="s">
        <v>2371</v>
      </c>
      <c r="J449" s="30" t="s">
        <v>18</v>
      </c>
      <c r="K449" s="30" t="s">
        <v>1035</v>
      </c>
      <c r="L449" s="30"/>
      <c r="M449" s="30" t="s">
        <v>1386</v>
      </c>
      <c r="N449" s="30"/>
      <c r="O449" s="31">
        <f t="shared" si="37"/>
        <v>26</v>
      </c>
      <c r="P449" s="136" t="s">
        <v>1969</v>
      </c>
      <c r="Q449" s="31">
        <f t="shared" si="38"/>
        <v>2</v>
      </c>
      <c r="R449" s="32">
        <f t="shared" si="39"/>
        <v>0.9285714285714286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 t="s">
        <v>2222</v>
      </c>
      <c r="AK449" s="70" t="s">
        <v>2222</v>
      </c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hidden="1" thickBot="1" x14ac:dyDescent="0.3">
      <c r="A450"/>
      <c r="B450"/>
      <c r="C450"/>
      <c r="D450"/>
      <c r="E450" s="151" t="s">
        <v>2446</v>
      </c>
      <c r="F450" t="s">
        <v>337</v>
      </c>
      <c r="G450" t="s">
        <v>452</v>
      </c>
      <c r="H450" t="s">
        <v>1042</v>
      </c>
      <c r="I450" t="s">
        <v>1298</v>
      </c>
      <c r="J450" s="30" t="s">
        <v>18</v>
      </c>
      <c r="K450" s="30" t="s">
        <v>2366</v>
      </c>
      <c r="L450" s="30"/>
      <c r="M450" s="30" t="s">
        <v>1387</v>
      </c>
      <c r="N450" s="30"/>
      <c r="O450" s="31">
        <f t="shared" si="37"/>
        <v>26</v>
      </c>
      <c r="P450" s="136" t="s">
        <v>1970</v>
      </c>
      <c r="Q450" s="31">
        <f t="shared" si="38"/>
        <v>2</v>
      </c>
      <c r="R450" s="32">
        <f t="shared" si="39"/>
        <v>0.9285714285714286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 t="s">
        <v>2222</v>
      </c>
      <c r="AK450" s="70" t="s">
        <v>2222</v>
      </c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s="69" customFormat="1" ht="15.75" hidden="1" thickBot="1" x14ac:dyDescent="0.3">
      <c r="A451"/>
      <c r="B451"/>
      <c r="C451"/>
      <c r="D451"/>
      <c r="E451" s="151" t="s">
        <v>2464</v>
      </c>
      <c r="F451" s="73" t="s">
        <v>442</v>
      </c>
      <c r="G451" s="73" t="s">
        <v>453</v>
      </c>
      <c r="H451" s="73" t="s">
        <v>1042</v>
      </c>
      <c r="I451" s="73" t="s">
        <v>454</v>
      </c>
      <c r="J451" s="84" t="s">
        <v>18</v>
      </c>
      <c r="K451" s="84" t="s">
        <v>1278</v>
      </c>
      <c r="L451" s="84"/>
      <c r="M451" s="84" t="s">
        <v>1398</v>
      </c>
      <c r="N451" s="84"/>
      <c r="O451" s="131">
        <f t="shared" si="37"/>
        <v>28</v>
      </c>
      <c r="P451" s="136" t="s">
        <v>1971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/>
    </row>
    <row r="452" spans="1:49" s="69" customFormat="1" ht="15.75" hidden="1" thickBot="1" x14ac:dyDescent="0.3">
      <c r="A452"/>
      <c r="B452"/>
      <c r="C452"/>
      <c r="D452"/>
      <c r="E452" t="s">
        <v>2449</v>
      </c>
      <c r="F452" t="s">
        <v>442</v>
      </c>
      <c r="G452" t="s">
        <v>1005</v>
      </c>
      <c r="H452" t="s">
        <v>1042</v>
      </c>
      <c r="I452" t="s">
        <v>443</v>
      </c>
      <c r="J452" s="30" t="s">
        <v>14</v>
      </c>
      <c r="K452" s="30" t="s">
        <v>19</v>
      </c>
      <c r="L452" s="30"/>
      <c r="M452" s="30" t="s">
        <v>797</v>
      </c>
      <c r="N452" s="30"/>
      <c r="O452" s="31">
        <f t="shared" si="37"/>
        <v>28</v>
      </c>
      <c r="P452" s="136" t="s">
        <v>2416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ht="15.75" hidden="1" thickBot="1" x14ac:dyDescent="0.3">
      <c r="A453"/>
      <c r="B453"/>
      <c r="C453"/>
      <c r="D453"/>
      <c r="E453" s="151" t="s">
        <v>2454</v>
      </c>
      <c r="F453" t="s">
        <v>442</v>
      </c>
      <c r="G453" t="s">
        <v>1006</v>
      </c>
      <c r="H453" t="s">
        <v>1042</v>
      </c>
      <c r="I453" t="s">
        <v>444</v>
      </c>
      <c r="J453" s="30" t="s">
        <v>18</v>
      </c>
      <c r="K453" s="30" t="s">
        <v>1278</v>
      </c>
      <c r="L453" s="30"/>
      <c r="M453" s="30" t="s">
        <v>798</v>
      </c>
      <c r="N453" s="30"/>
      <c r="O453" s="31">
        <f t="shared" si="37"/>
        <v>27</v>
      </c>
      <c r="P453" s="136" t="s">
        <v>1973</v>
      </c>
      <c r="Q453" s="31">
        <f t="shared" si="38"/>
        <v>1</v>
      </c>
      <c r="R453" s="32">
        <f t="shared" si="39"/>
        <v>0.9642857142857143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 t="s">
        <v>2222</v>
      </c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hidden="1" thickBot="1" x14ac:dyDescent="0.3">
      <c r="A454"/>
      <c r="B454"/>
      <c r="C454"/>
      <c r="D454"/>
      <c r="E454" s="151" t="s">
        <v>2454</v>
      </c>
      <c r="F454" t="s">
        <v>442</v>
      </c>
      <c r="G454" t="s">
        <v>1007</v>
      </c>
      <c r="H454" t="s">
        <v>1042</v>
      </c>
      <c r="I454" t="s">
        <v>445</v>
      </c>
      <c r="J454" s="30" t="s">
        <v>18</v>
      </c>
      <c r="K454" s="30" t="s">
        <v>1278</v>
      </c>
      <c r="L454" s="30"/>
      <c r="M454" s="30" t="s">
        <v>799</v>
      </c>
      <c r="N454" s="30"/>
      <c r="O454" s="31">
        <f t="shared" si="37"/>
        <v>28</v>
      </c>
      <c r="P454" s="136" t="s">
        <v>1974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hidden="1" thickBot="1" x14ac:dyDescent="0.3">
      <c r="A455"/>
      <c r="B455"/>
      <c r="C455"/>
      <c r="D455"/>
      <c r="E455" t="s">
        <v>2450</v>
      </c>
      <c r="F455" t="s">
        <v>442</v>
      </c>
      <c r="G455" t="s">
        <v>1008</v>
      </c>
      <c r="H455" t="s">
        <v>1042</v>
      </c>
      <c r="I455" t="s">
        <v>448</v>
      </c>
      <c r="J455" s="30" t="s">
        <v>14</v>
      </c>
      <c r="K455" s="30" t="s">
        <v>19</v>
      </c>
      <c r="L455" s="30"/>
      <c r="M455" s="30" t="s">
        <v>782</v>
      </c>
      <c r="N455" s="30"/>
      <c r="O455" s="31">
        <f t="shared" si="37"/>
        <v>28</v>
      </c>
      <c r="P455" s="136" t="s">
        <v>2417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s="73" customFormat="1" ht="15.75" hidden="1" thickBot="1" x14ac:dyDescent="0.3">
      <c r="A456" s="69"/>
      <c r="B456" s="69"/>
      <c r="C456" s="69"/>
      <c r="D456" s="69"/>
      <c r="E456" s="69" t="s">
        <v>2451</v>
      </c>
      <c r="F456" s="69" t="s">
        <v>442</v>
      </c>
      <c r="G456" s="69" t="s">
        <v>1009</v>
      </c>
      <c r="H456" s="69" t="s">
        <v>1042</v>
      </c>
      <c r="I456" s="69" t="s">
        <v>449</v>
      </c>
      <c r="J456" s="137" t="s">
        <v>14</v>
      </c>
      <c r="K456" s="137" t="s">
        <v>19</v>
      </c>
      <c r="L456" s="137"/>
      <c r="M456" s="137" t="s">
        <v>801</v>
      </c>
      <c r="N456" s="137"/>
      <c r="O456" s="139">
        <f t="shared" si="37"/>
        <v>16</v>
      </c>
      <c r="P456" s="140"/>
      <c r="Q456" s="139">
        <f t="shared" si="38"/>
        <v>12</v>
      </c>
      <c r="R456" s="141">
        <f t="shared" si="39"/>
        <v>0.5714285714285714</v>
      </c>
      <c r="S456" s="142"/>
      <c r="T456" s="142"/>
      <c r="U456" s="142"/>
      <c r="V456" s="70" t="s">
        <v>2222</v>
      </c>
      <c r="W456" s="70" t="s">
        <v>2222</v>
      </c>
      <c r="X456" s="70" t="s">
        <v>2222</v>
      </c>
      <c r="Y456" s="70" t="s">
        <v>2222</v>
      </c>
      <c r="Z456" s="70" t="s">
        <v>2222</v>
      </c>
      <c r="AA456" s="142"/>
      <c r="AB456" s="142"/>
      <c r="AC456" s="70" t="s">
        <v>2222</v>
      </c>
      <c r="AD456" s="70" t="s">
        <v>2222</v>
      </c>
      <c r="AE456" s="70" t="s">
        <v>2222</v>
      </c>
      <c r="AF456" s="70" t="s">
        <v>2222</v>
      </c>
      <c r="AG456" s="70" t="s">
        <v>2222</v>
      </c>
      <c r="AH456" s="70"/>
      <c r="AI456" s="70"/>
      <c r="AJ456" s="70" t="s">
        <v>2222</v>
      </c>
      <c r="AK456" s="70" t="s">
        <v>2222</v>
      </c>
      <c r="AL456" s="70"/>
      <c r="AM456" s="70"/>
      <c r="AN456" s="70"/>
      <c r="AO456" s="70"/>
      <c r="AP456" s="70"/>
      <c r="AQ456" s="142"/>
      <c r="AR456" s="142"/>
      <c r="AS456" s="70"/>
      <c r="AT456" s="70"/>
      <c r="AU456" s="70"/>
      <c r="AV456" s="70"/>
      <c r="AW456"/>
    </row>
    <row r="457" spans="1:49" s="73" customFormat="1" ht="15.75" hidden="1" thickBot="1" x14ac:dyDescent="0.3">
      <c r="A457"/>
      <c r="B457"/>
      <c r="C457"/>
      <c r="D457"/>
      <c r="E457" t="s">
        <v>2452</v>
      </c>
      <c r="F457" t="s">
        <v>442</v>
      </c>
      <c r="G457" t="s">
        <v>457</v>
      </c>
      <c r="H457" t="s">
        <v>1042</v>
      </c>
      <c r="I457" t="s">
        <v>458</v>
      </c>
      <c r="J457" s="30" t="s">
        <v>14</v>
      </c>
      <c r="K457" s="30" t="s">
        <v>19</v>
      </c>
      <c r="L457" s="30"/>
      <c r="M457" s="30" t="s">
        <v>796</v>
      </c>
      <c r="N457" s="30"/>
      <c r="O457" s="31">
        <f t="shared" ref="O457:O520" si="40">COUNTIF(S457:AT457,"")</f>
        <v>28</v>
      </c>
      <c r="P457" s="136" t="s">
        <v>2418</v>
      </c>
      <c r="Q457" s="31">
        <f t="shared" ref="Q457:Q520" si="41">COUNTIF(S457:AT457,"APAGADO")</f>
        <v>0</v>
      </c>
      <c r="R457" s="32">
        <f t="shared" ref="R457:R520" si="42">(O457)/(Q457+O457)</f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hidden="1" thickBot="1" x14ac:dyDescent="0.3">
      <c r="A458"/>
      <c r="B458"/>
      <c r="C458"/>
      <c r="D458"/>
      <c r="E458" s="151" t="s">
        <v>2454</v>
      </c>
      <c r="F458" s="73" t="s">
        <v>442</v>
      </c>
      <c r="G458" s="73" t="s">
        <v>460</v>
      </c>
      <c r="H458" s="73" t="s">
        <v>1042</v>
      </c>
      <c r="I458" s="73" t="s">
        <v>461</v>
      </c>
      <c r="J458" s="84" t="s">
        <v>14</v>
      </c>
      <c r="K458" s="84" t="s">
        <v>1278</v>
      </c>
      <c r="L458" s="84"/>
      <c r="M458" s="84" t="s">
        <v>802</v>
      </c>
      <c r="N458" s="84"/>
      <c r="O458" s="131">
        <f t="shared" si="40"/>
        <v>28</v>
      </c>
      <c r="P458" s="136" t="s">
        <v>1978</v>
      </c>
      <c r="Q458" s="131">
        <f t="shared" si="41"/>
        <v>0</v>
      </c>
      <c r="R458" s="132">
        <f t="shared" si="42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142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hidden="1" thickBot="1" x14ac:dyDescent="0.3">
      <c r="A459"/>
      <c r="B459"/>
      <c r="C459"/>
      <c r="D459"/>
      <c r="E459" s="151" t="s">
        <v>2454</v>
      </c>
      <c r="F459" s="73" t="s">
        <v>442</v>
      </c>
      <c r="G459" s="73" t="s">
        <v>1010</v>
      </c>
      <c r="H459" s="73" t="s">
        <v>1042</v>
      </c>
      <c r="I459" s="73" t="s">
        <v>450</v>
      </c>
      <c r="J459" s="84" t="s">
        <v>71</v>
      </c>
      <c r="K459" s="84" t="s">
        <v>1278</v>
      </c>
      <c r="L459" s="84"/>
      <c r="M459" s="84" t="s">
        <v>803</v>
      </c>
      <c r="N459" s="84"/>
      <c r="O459" s="131">
        <f t="shared" si="40"/>
        <v>28</v>
      </c>
      <c r="P459" s="136" t="s">
        <v>1979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3"/>
    </row>
    <row r="460" spans="1:49" ht="15.75" hidden="1" thickBot="1" x14ac:dyDescent="0.3">
      <c r="A460"/>
      <c r="B460"/>
      <c r="C460"/>
      <c r="D460"/>
      <c r="E460" s="151" t="s">
        <v>2454</v>
      </c>
      <c r="F460" s="73" t="s">
        <v>442</v>
      </c>
      <c r="G460" s="73" t="s">
        <v>1011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804</v>
      </c>
      <c r="N460" s="84"/>
      <c r="O460" s="131">
        <f t="shared" si="40"/>
        <v>28</v>
      </c>
      <c r="P460" s="136" t="s">
        <v>1980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hidden="1" thickBot="1" x14ac:dyDescent="0.3">
      <c r="A461"/>
      <c r="B461"/>
      <c r="C461"/>
      <c r="D461"/>
      <c r="E461" s="151" t="s">
        <v>2454</v>
      </c>
      <c r="F461" t="s">
        <v>442</v>
      </c>
      <c r="G461" s="30" t="s">
        <v>1265</v>
      </c>
      <c r="H461" t="s">
        <v>1042</v>
      </c>
      <c r="I461" s="68" t="s">
        <v>1264</v>
      </c>
      <c r="J461" s="30" t="s">
        <v>71</v>
      </c>
      <c r="K461" s="30" t="s">
        <v>1278</v>
      </c>
      <c r="L461" s="30"/>
      <c r="M461" s="30" t="s">
        <v>1266</v>
      </c>
      <c r="N461" s="30"/>
      <c r="O461" s="31">
        <f t="shared" si="40"/>
        <v>27</v>
      </c>
      <c r="P461" s="136" t="s">
        <v>1983</v>
      </c>
      <c r="Q461" s="31">
        <f t="shared" si="41"/>
        <v>1</v>
      </c>
      <c r="R461" s="32">
        <f t="shared" si="42"/>
        <v>0.9642857142857143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 t="s">
        <v>2222</v>
      </c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hidden="1" thickBot="1" x14ac:dyDescent="0.3">
      <c r="A462"/>
      <c r="B462"/>
      <c r="C462"/>
      <c r="D462"/>
      <c r="E462" s="151" t="s">
        <v>2454</v>
      </c>
      <c r="F462" t="s">
        <v>442</v>
      </c>
      <c r="G462" t="s">
        <v>1263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1267</v>
      </c>
      <c r="N462" s="30"/>
      <c r="O462" s="31">
        <f t="shared" si="40"/>
        <v>27</v>
      </c>
      <c r="P462" s="136" t="s">
        <v>1984</v>
      </c>
      <c r="Q462" s="31">
        <f t="shared" si="41"/>
        <v>1</v>
      </c>
      <c r="R462" s="32">
        <f t="shared" si="42"/>
        <v>0.9642857142857143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 t="s">
        <v>2222</v>
      </c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s="73" customFormat="1" ht="15.75" hidden="1" thickBot="1" x14ac:dyDescent="0.3">
      <c r="A463"/>
      <c r="B463"/>
      <c r="C463"/>
      <c r="D463"/>
      <c r="E463" s="151" t="s">
        <v>2454</v>
      </c>
      <c r="F463" s="73" t="s">
        <v>1569</v>
      </c>
      <c r="G463" s="73" t="s">
        <v>1570</v>
      </c>
      <c r="H463" s="73" t="s">
        <v>1042</v>
      </c>
      <c r="I463" s="135" t="s">
        <v>1571</v>
      </c>
      <c r="J463" s="84" t="s">
        <v>14</v>
      </c>
      <c r="K463" s="84" t="s">
        <v>1278</v>
      </c>
      <c r="L463" s="84"/>
      <c r="M463" s="84" t="s">
        <v>1572</v>
      </c>
      <c r="N463" s="84"/>
      <c r="O463" s="31">
        <f t="shared" si="40"/>
        <v>28</v>
      </c>
      <c r="P463" s="136" t="s">
        <v>2419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/>
    </row>
    <row r="464" spans="1:49" s="73" customFormat="1" ht="15.75" hidden="1" thickBot="1" x14ac:dyDescent="0.3">
      <c r="A464"/>
      <c r="B464"/>
      <c r="C464"/>
      <c r="D464"/>
      <c r="E464" s="151" t="s">
        <v>2454</v>
      </c>
      <c r="F464" s="73" t="s">
        <v>1569</v>
      </c>
      <c r="G464" s="73" t="s">
        <v>1581</v>
      </c>
      <c r="H464" s="73" t="s">
        <v>1042</v>
      </c>
      <c r="I464" s="135" t="s">
        <v>1582</v>
      </c>
      <c r="J464" s="84" t="s">
        <v>18</v>
      </c>
      <c r="K464" s="84" t="s">
        <v>1278</v>
      </c>
      <c r="L464" s="84"/>
      <c r="M464" s="84" t="s">
        <v>1583</v>
      </c>
      <c r="N464" s="84"/>
      <c r="O464" s="31">
        <f t="shared" si="40"/>
        <v>28</v>
      </c>
      <c r="P464" s="136" t="s">
        <v>2420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hidden="1" thickBot="1" x14ac:dyDescent="0.3">
      <c r="A465"/>
      <c r="B465"/>
      <c r="C465"/>
      <c r="D465"/>
      <c r="E465" s="151" t="s">
        <v>2454</v>
      </c>
      <c r="F465" s="73" t="s">
        <v>1575</v>
      </c>
      <c r="G465" s="73" t="s">
        <v>1574</v>
      </c>
      <c r="H465" s="73" t="s">
        <v>1042</v>
      </c>
      <c r="I465" s="135" t="s">
        <v>1576</v>
      </c>
      <c r="J465" s="84" t="s">
        <v>71</v>
      </c>
      <c r="K465" s="84" t="s">
        <v>1278</v>
      </c>
      <c r="L465" s="84"/>
      <c r="M465" s="84" t="s">
        <v>1577</v>
      </c>
      <c r="N465" s="84"/>
      <c r="O465" s="31">
        <f t="shared" si="40"/>
        <v>28</v>
      </c>
      <c r="P465" s="136" t="s">
        <v>2423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s="73" customFormat="1" ht="15.75" hidden="1" thickBot="1" x14ac:dyDescent="0.3">
      <c r="A466"/>
      <c r="B466"/>
      <c r="C466"/>
      <c r="D466"/>
      <c r="E466" s="151" t="s">
        <v>2454</v>
      </c>
      <c r="F466" s="73" t="s">
        <v>1569</v>
      </c>
      <c r="G466" s="73" t="s">
        <v>1625</v>
      </c>
      <c r="H466" s="73" t="s">
        <v>1042</v>
      </c>
      <c r="I466" s="135" t="s">
        <v>1623</v>
      </c>
      <c r="J466" s="84" t="s">
        <v>71</v>
      </c>
      <c r="K466" s="84" t="s">
        <v>1278</v>
      </c>
      <c r="L466" s="84"/>
      <c r="M466" s="84" t="s">
        <v>1627</v>
      </c>
      <c r="N466" s="84"/>
      <c r="O466" s="31">
        <f t="shared" si="40"/>
        <v>28</v>
      </c>
      <c r="P466" s="136" t="s">
        <v>2424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hidden="1" thickBot="1" x14ac:dyDescent="0.3">
      <c r="A467"/>
      <c r="B467"/>
      <c r="C467"/>
      <c r="D467"/>
      <c r="E467" s="151" t="s">
        <v>2454</v>
      </c>
      <c r="F467" s="73" t="s">
        <v>1569</v>
      </c>
      <c r="G467" s="73" t="s">
        <v>1626</v>
      </c>
      <c r="H467" s="73" t="s">
        <v>1042</v>
      </c>
      <c r="I467" s="135" t="s">
        <v>1624</v>
      </c>
      <c r="J467" s="84" t="s">
        <v>71</v>
      </c>
      <c r="K467" s="84" t="s">
        <v>1278</v>
      </c>
      <c r="L467" s="84"/>
      <c r="M467" s="84" t="s">
        <v>1628</v>
      </c>
      <c r="N467" s="84"/>
      <c r="O467" s="31">
        <f t="shared" si="40"/>
        <v>28</v>
      </c>
      <c r="P467" s="136" t="s">
        <v>2425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hidden="1" thickBot="1" x14ac:dyDescent="0.3">
      <c r="A468"/>
      <c r="B468"/>
      <c r="C468"/>
      <c r="D468"/>
      <c r="E468" s="151" t="s">
        <v>2454</v>
      </c>
      <c r="F468" s="73" t="s">
        <v>1569</v>
      </c>
      <c r="G468" s="73" t="s">
        <v>2125</v>
      </c>
      <c r="H468" s="73" t="s">
        <v>1042</v>
      </c>
      <c r="I468" s="135" t="s">
        <v>2126</v>
      </c>
      <c r="J468" s="84"/>
      <c r="K468" s="84" t="s">
        <v>1278</v>
      </c>
      <c r="L468" s="84"/>
      <c r="M468" s="84" t="s">
        <v>2291</v>
      </c>
      <c r="N468" s="84"/>
      <c r="O468" s="31">
        <f t="shared" si="40"/>
        <v>26</v>
      </c>
      <c r="P468" s="136" t="s">
        <v>2426</v>
      </c>
      <c r="Q468" s="31">
        <f t="shared" si="41"/>
        <v>2</v>
      </c>
      <c r="R468" s="32">
        <f t="shared" si="42"/>
        <v>0.9285714285714286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 t="s">
        <v>2222</v>
      </c>
      <c r="AK468" s="70" t="s">
        <v>2222</v>
      </c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hidden="1" thickBot="1" x14ac:dyDescent="0.3">
      <c r="A469"/>
      <c r="B469"/>
      <c r="C469"/>
      <c r="D469"/>
      <c r="E469"/>
      <c r="F469" s="73" t="s">
        <v>346</v>
      </c>
      <c r="G469" s="73" t="s">
        <v>463</v>
      </c>
      <c r="H469" s="73" t="s">
        <v>1042</v>
      </c>
      <c r="I469" s="73" t="s">
        <v>464</v>
      </c>
      <c r="J469" s="84" t="s">
        <v>71</v>
      </c>
      <c r="K469" s="84" t="s">
        <v>1278</v>
      </c>
      <c r="L469" s="84"/>
      <c r="M469" s="84" t="s">
        <v>807</v>
      </c>
      <c r="N469" s="84"/>
      <c r="O469" s="131">
        <f t="shared" si="40"/>
        <v>16</v>
      </c>
      <c r="P469" s="136" t="s">
        <v>1985</v>
      </c>
      <c r="Q469" s="131">
        <f t="shared" si="41"/>
        <v>12</v>
      </c>
      <c r="R469" s="132">
        <f t="shared" si="42"/>
        <v>0.5714285714285714</v>
      </c>
      <c r="S469" s="70"/>
      <c r="T469" s="70"/>
      <c r="U469" s="70"/>
      <c r="V469" s="70" t="s">
        <v>2222</v>
      </c>
      <c r="W469" s="70" t="s">
        <v>2222</v>
      </c>
      <c r="X469" s="70" t="s">
        <v>2222</v>
      </c>
      <c r="Y469" s="70" t="s">
        <v>2222</v>
      </c>
      <c r="Z469" s="70" t="s">
        <v>2222</v>
      </c>
      <c r="AA469" s="70"/>
      <c r="AB469" s="70"/>
      <c r="AC469" s="70" t="s">
        <v>2222</v>
      </c>
      <c r="AD469" s="70" t="s">
        <v>2222</v>
      </c>
      <c r="AE469" s="70" t="s">
        <v>2222</v>
      </c>
      <c r="AF469" s="70" t="s">
        <v>2222</v>
      </c>
      <c r="AG469" s="70" t="s">
        <v>2222</v>
      </c>
      <c r="AH469" s="70"/>
      <c r="AI469" s="70"/>
      <c r="AJ469" s="70" t="s">
        <v>2222</v>
      </c>
      <c r="AK469" s="70" t="s">
        <v>2222</v>
      </c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hidden="1" thickBot="1" x14ac:dyDescent="0.3">
      <c r="A470"/>
      <c r="B470"/>
      <c r="C470"/>
      <c r="D470"/>
      <c r="E470"/>
      <c r="F470" s="73" t="s">
        <v>346</v>
      </c>
      <c r="G470" s="73" t="s">
        <v>465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808</v>
      </c>
      <c r="N470" s="84"/>
      <c r="O470" s="131">
        <f t="shared" si="40"/>
        <v>16</v>
      </c>
      <c r="P470" s="136" t="s">
        <v>1986</v>
      </c>
      <c r="Q470" s="131">
        <f t="shared" si="41"/>
        <v>12</v>
      </c>
      <c r="R470" s="132">
        <f t="shared" si="42"/>
        <v>0.5714285714285714</v>
      </c>
      <c r="S470" s="70"/>
      <c r="T470" s="70"/>
      <c r="U470" s="70"/>
      <c r="V470" s="70" t="s">
        <v>2222</v>
      </c>
      <c r="W470" s="70" t="s">
        <v>2222</v>
      </c>
      <c r="X470" s="70" t="s">
        <v>2222</v>
      </c>
      <c r="Y470" s="70" t="s">
        <v>2222</v>
      </c>
      <c r="Z470" s="70" t="s">
        <v>2222</v>
      </c>
      <c r="AA470" s="70"/>
      <c r="AB470" s="70"/>
      <c r="AC470" s="70" t="s">
        <v>2222</v>
      </c>
      <c r="AD470" s="70" t="s">
        <v>2222</v>
      </c>
      <c r="AE470" s="70" t="s">
        <v>2222</v>
      </c>
      <c r="AF470" s="70" t="s">
        <v>2222</v>
      </c>
      <c r="AG470" s="70" t="s">
        <v>2222</v>
      </c>
      <c r="AH470" s="70"/>
      <c r="AI470" s="70"/>
      <c r="AJ470" s="70" t="s">
        <v>2222</v>
      </c>
      <c r="AK470" s="70" t="s">
        <v>2222</v>
      </c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hidden="1" thickBot="1" x14ac:dyDescent="0.3">
      <c r="A471"/>
      <c r="B471"/>
      <c r="C471"/>
      <c r="D471"/>
      <c r="E471"/>
      <c r="F471" s="73" t="s">
        <v>346</v>
      </c>
      <c r="G471" s="84" t="s">
        <v>1084</v>
      </c>
      <c r="H471" s="84" t="s">
        <v>1042</v>
      </c>
      <c r="I471" s="73" t="s">
        <v>1083</v>
      </c>
      <c r="J471" s="84" t="s">
        <v>14</v>
      </c>
      <c r="K471" s="84" t="s">
        <v>1278</v>
      </c>
      <c r="L471" s="84"/>
      <c r="M471" s="84" t="s">
        <v>1085</v>
      </c>
      <c r="N471" s="84"/>
      <c r="O471" s="131">
        <f t="shared" si="40"/>
        <v>16</v>
      </c>
      <c r="P471" s="136"/>
      <c r="Q471" s="131">
        <f t="shared" si="41"/>
        <v>12</v>
      </c>
      <c r="R471" s="132">
        <f t="shared" si="42"/>
        <v>0.5714285714285714</v>
      </c>
      <c r="S471" s="70"/>
      <c r="T471" s="70"/>
      <c r="U471" s="70"/>
      <c r="V471" s="70" t="s">
        <v>2222</v>
      </c>
      <c r="W471" s="70" t="s">
        <v>2222</v>
      </c>
      <c r="X471" s="70" t="s">
        <v>2222</v>
      </c>
      <c r="Y471" s="70" t="s">
        <v>2222</v>
      </c>
      <c r="Z471" s="70" t="s">
        <v>2222</v>
      </c>
      <c r="AA471" s="70"/>
      <c r="AB471" s="70"/>
      <c r="AC471" s="70" t="s">
        <v>2222</v>
      </c>
      <c r="AD471" s="70" t="s">
        <v>2222</v>
      </c>
      <c r="AE471" s="70" t="s">
        <v>2222</v>
      </c>
      <c r="AF471" s="70" t="s">
        <v>2222</v>
      </c>
      <c r="AG471" s="70" t="s">
        <v>2222</v>
      </c>
      <c r="AH471" s="70"/>
      <c r="AI471" s="70"/>
      <c r="AJ471" s="70" t="s">
        <v>2222</v>
      </c>
      <c r="AK471" s="70" t="s">
        <v>2222</v>
      </c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hidden="1" thickBot="1" x14ac:dyDescent="0.3">
      <c r="A472"/>
      <c r="B472"/>
      <c r="C472"/>
      <c r="D472"/>
      <c r="E472"/>
      <c r="F472" s="73" t="s">
        <v>420</v>
      </c>
      <c r="G472" s="84" t="s">
        <v>2097</v>
      </c>
      <c r="H472" t="s">
        <v>1041</v>
      </c>
      <c r="I472" s="73" t="s">
        <v>2098</v>
      </c>
      <c r="J472" s="84" t="s">
        <v>14</v>
      </c>
      <c r="K472" s="84" t="s">
        <v>1278</v>
      </c>
      <c r="L472" s="84"/>
      <c r="M472" s="84" t="s">
        <v>2292</v>
      </c>
      <c r="N472" s="84"/>
      <c r="O472" s="131">
        <f t="shared" si="40"/>
        <v>28</v>
      </c>
      <c r="P472" s="136" t="s">
        <v>2099</v>
      </c>
      <c r="Q472" s="131">
        <f t="shared" si="41"/>
        <v>0</v>
      </c>
      <c r="R472" s="1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2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hidden="1" thickBot="1" x14ac:dyDescent="0.3">
      <c r="A473"/>
      <c r="B473"/>
      <c r="C473"/>
      <c r="D473"/>
      <c r="E473"/>
      <c r="G473" s="84" t="s">
        <v>2221</v>
      </c>
      <c r="H473" t="s">
        <v>1041</v>
      </c>
      <c r="I473" s="73" t="s">
        <v>2240</v>
      </c>
      <c r="J473" s="84" t="s">
        <v>71</v>
      </c>
      <c r="K473" s="84" t="s">
        <v>1278</v>
      </c>
      <c r="L473" s="84"/>
      <c r="M473" s="84" t="s">
        <v>2300</v>
      </c>
      <c r="N473" s="84"/>
      <c r="O473" s="131">
        <f t="shared" si="40"/>
        <v>16</v>
      </c>
      <c r="P473" s="136"/>
      <c r="Q473" s="131">
        <f t="shared" si="41"/>
        <v>12</v>
      </c>
      <c r="R473" s="132">
        <f t="shared" si="42"/>
        <v>0.5714285714285714</v>
      </c>
      <c r="S473" s="70"/>
      <c r="T473" s="70"/>
      <c r="U473" s="70"/>
      <c r="V473" s="70" t="s">
        <v>2222</v>
      </c>
      <c r="W473" s="70" t="s">
        <v>2222</v>
      </c>
      <c r="X473" s="70" t="s">
        <v>2222</v>
      </c>
      <c r="Y473" s="70" t="s">
        <v>2222</v>
      </c>
      <c r="Z473" s="70" t="s">
        <v>2222</v>
      </c>
      <c r="AA473" s="70"/>
      <c r="AB473" s="70"/>
      <c r="AC473" s="70" t="s">
        <v>2222</v>
      </c>
      <c r="AD473" s="70" t="s">
        <v>2222</v>
      </c>
      <c r="AE473" s="70" t="s">
        <v>2222</v>
      </c>
      <c r="AF473" s="70" t="s">
        <v>2222</v>
      </c>
      <c r="AG473" s="70" t="s">
        <v>2222</v>
      </c>
      <c r="AH473" s="70"/>
      <c r="AI473" s="70"/>
      <c r="AJ473" s="70" t="s">
        <v>2222</v>
      </c>
      <c r="AK473" s="70" t="s">
        <v>2222</v>
      </c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9" ht="15.75" hidden="1" thickBot="1" x14ac:dyDescent="0.3">
      <c r="A474"/>
      <c r="B474"/>
      <c r="C474"/>
      <c r="D474"/>
      <c r="E474"/>
      <c r="F474" t="s">
        <v>251</v>
      </c>
      <c r="G474" t="s">
        <v>1012</v>
      </c>
      <c r="H474" t="s">
        <v>1041</v>
      </c>
      <c r="I474" t="s">
        <v>483</v>
      </c>
      <c r="J474" s="30" t="s">
        <v>18</v>
      </c>
      <c r="K474" s="30" t="s">
        <v>1035</v>
      </c>
      <c r="L474" s="30" t="s">
        <v>1234</v>
      </c>
      <c r="M474" s="30" t="s">
        <v>817</v>
      </c>
      <c r="N474" s="30"/>
      <c r="O474" s="31">
        <f t="shared" si="40"/>
        <v>26</v>
      </c>
      <c r="P474" s="136" t="s">
        <v>1987</v>
      </c>
      <c r="Q474" s="31">
        <f t="shared" si="41"/>
        <v>2</v>
      </c>
      <c r="R474" s="32">
        <f t="shared" si="42"/>
        <v>0.9285714285714286</v>
      </c>
      <c r="S474" s="70"/>
      <c r="T474" s="70"/>
      <c r="U474" s="70"/>
      <c r="V474" s="70" t="s">
        <v>2222</v>
      </c>
      <c r="W474" s="70" t="s">
        <v>2222</v>
      </c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3"/>
    </row>
    <row r="475" spans="1:49" ht="15.75" hidden="1" thickBot="1" x14ac:dyDescent="0.3">
      <c r="A475">
        <v>1</v>
      </c>
      <c r="B475">
        <v>19</v>
      </c>
      <c r="C475"/>
      <c r="D475"/>
      <c r="E475" t="s">
        <v>2328</v>
      </c>
      <c r="F475" t="s">
        <v>466</v>
      </c>
      <c r="G475" t="s">
        <v>467</v>
      </c>
      <c r="H475" t="s">
        <v>1041</v>
      </c>
      <c r="I475" t="s">
        <v>1579</v>
      </c>
      <c r="J475" s="30" t="s">
        <v>18</v>
      </c>
      <c r="K475" s="30" t="s">
        <v>1035</v>
      </c>
      <c r="L475" s="30" t="s">
        <v>1234</v>
      </c>
      <c r="M475" s="30" t="s">
        <v>809</v>
      </c>
      <c r="N475" s="30"/>
      <c r="O475" s="31">
        <f t="shared" si="40"/>
        <v>26</v>
      </c>
      <c r="P475" s="136" t="s">
        <v>1988</v>
      </c>
      <c r="Q475" s="31">
        <f t="shared" si="41"/>
        <v>2</v>
      </c>
      <c r="R475" s="32">
        <f t="shared" si="42"/>
        <v>0.9285714285714286</v>
      </c>
      <c r="S475" s="70"/>
      <c r="T475" s="70"/>
      <c r="U475" s="70"/>
      <c r="V475" s="70" t="s">
        <v>2222</v>
      </c>
      <c r="W475" s="70" t="s">
        <v>2222</v>
      </c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hidden="1" thickBot="1" x14ac:dyDescent="0.3">
      <c r="A476">
        <v>6</v>
      </c>
      <c r="B476">
        <v>13</v>
      </c>
      <c r="C476"/>
      <c r="D476"/>
      <c r="E476" t="s">
        <v>2337</v>
      </c>
      <c r="F476" t="s">
        <v>466</v>
      </c>
      <c r="G476" t="s">
        <v>468</v>
      </c>
      <c r="H476" t="s">
        <v>1041</v>
      </c>
      <c r="I476" t="s">
        <v>469</v>
      </c>
      <c r="J476" s="30" t="s">
        <v>18</v>
      </c>
      <c r="K476" s="30" t="s">
        <v>27</v>
      </c>
      <c r="L476" s="30"/>
      <c r="M476" s="30" t="s">
        <v>810</v>
      </c>
      <c r="N476" s="30"/>
      <c r="O476" s="31">
        <f t="shared" si="40"/>
        <v>28</v>
      </c>
      <c r="P476" s="136" t="s">
        <v>1989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ht="15.75" hidden="1" thickBot="1" x14ac:dyDescent="0.3">
      <c r="A477">
        <v>6</v>
      </c>
      <c r="B477">
        <v>13</v>
      </c>
      <c r="C477"/>
      <c r="D477"/>
      <c r="E477" t="s">
        <v>2337</v>
      </c>
      <c r="F477" t="s">
        <v>470</v>
      </c>
      <c r="G477" t="s">
        <v>471</v>
      </c>
      <c r="H477" t="s">
        <v>1041</v>
      </c>
      <c r="I477" t="s">
        <v>472</v>
      </c>
      <c r="J477" s="30" t="s">
        <v>18</v>
      </c>
      <c r="K477" s="30" t="s">
        <v>27</v>
      </c>
      <c r="L477" s="30"/>
      <c r="M477" s="30" t="s">
        <v>811</v>
      </c>
      <c r="N477" s="30"/>
      <c r="O477" s="31">
        <f t="shared" si="40"/>
        <v>28</v>
      </c>
      <c r="P477" s="136" t="s">
        <v>1990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hidden="1" thickBot="1" x14ac:dyDescent="0.3">
      <c r="A478">
        <v>6</v>
      </c>
      <c r="B478">
        <v>14</v>
      </c>
      <c r="C478"/>
      <c r="D478"/>
      <c r="E478" t="s">
        <v>2338</v>
      </c>
      <c r="F478" t="s">
        <v>466</v>
      </c>
      <c r="G478" t="s">
        <v>473</v>
      </c>
      <c r="H478" t="s">
        <v>1041</v>
      </c>
      <c r="I478" t="s">
        <v>474</v>
      </c>
      <c r="J478" s="30" t="s">
        <v>14</v>
      </c>
      <c r="K478" s="30" t="s">
        <v>27</v>
      </c>
      <c r="L478" s="30"/>
      <c r="M478" s="30" t="s">
        <v>812</v>
      </c>
      <c r="N478" s="30"/>
      <c r="O478" s="31">
        <f t="shared" si="40"/>
        <v>28</v>
      </c>
      <c r="P478" s="136" t="s">
        <v>1991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/>
      <c r="B479"/>
      <c r="C479"/>
      <c r="D479"/>
      <c r="E479" t="s">
        <v>2338</v>
      </c>
      <c r="F479" t="s">
        <v>466</v>
      </c>
      <c r="G479" t="s">
        <v>475</v>
      </c>
      <c r="H479" t="s">
        <v>1041</v>
      </c>
      <c r="I479" t="s">
        <v>476</v>
      </c>
      <c r="J479" s="30" t="s">
        <v>18</v>
      </c>
      <c r="K479" s="30" t="s">
        <v>27</v>
      </c>
      <c r="L479" s="30"/>
      <c r="M479" s="30" t="s">
        <v>813</v>
      </c>
      <c r="N479" s="30"/>
      <c r="O479" s="31">
        <f t="shared" si="40"/>
        <v>28</v>
      </c>
      <c r="P479" s="136" t="s">
        <v>1992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s="73" customFormat="1" ht="15.75" hidden="1" thickBot="1" x14ac:dyDescent="0.3">
      <c r="A480"/>
      <c r="B480"/>
      <c r="C480"/>
      <c r="D480"/>
      <c r="E480"/>
      <c r="F480" s="73" t="s">
        <v>466</v>
      </c>
      <c r="G480" s="73" t="s">
        <v>477</v>
      </c>
      <c r="H480" s="73" t="s">
        <v>1041</v>
      </c>
      <c r="I480" s="73" t="s">
        <v>478</v>
      </c>
      <c r="J480" s="84" t="s">
        <v>14</v>
      </c>
      <c r="K480" s="84" t="s">
        <v>1278</v>
      </c>
      <c r="L480" s="84"/>
      <c r="M480" s="84" t="s">
        <v>814</v>
      </c>
      <c r="N480" s="84"/>
      <c r="O480" s="131">
        <f t="shared" si="40"/>
        <v>28</v>
      </c>
      <c r="P480" s="136" t="s">
        <v>1993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s="73" customFormat="1" ht="15.75" hidden="1" thickBot="1" x14ac:dyDescent="0.3">
      <c r="A481"/>
      <c r="B481"/>
      <c r="C481"/>
      <c r="D481"/>
      <c r="E481" s="151" t="s">
        <v>2463</v>
      </c>
      <c r="F481" s="73" t="s">
        <v>466</v>
      </c>
      <c r="G481" s="73" t="s">
        <v>479</v>
      </c>
      <c r="H481" s="73" t="s">
        <v>1041</v>
      </c>
      <c r="I481" s="73" t="s">
        <v>480</v>
      </c>
      <c r="J481" s="84" t="s">
        <v>18</v>
      </c>
      <c r="K481" s="84" t="s">
        <v>1278</v>
      </c>
      <c r="L481" s="84"/>
      <c r="M481" s="84" t="s">
        <v>815</v>
      </c>
      <c r="N481" s="84"/>
      <c r="O481" s="31">
        <f t="shared" si="40"/>
        <v>28</v>
      </c>
      <c r="P481" s="136" t="s">
        <v>1994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ht="15.75" hidden="1" thickBot="1" x14ac:dyDescent="0.3">
      <c r="A482"/>
      <c r="B482"/>
      <c r="C482"/>
      <c r="D482"/>
      <c r="E482" t="s">
        <v>2338</v>
      </c>
      <c r="F482" t="s">
        <v>466</v>
      </c>
      <c r="G482" t="s">
        <v>481</v>
      </c>
      <c r="H482" t="s">
        <v>1041</v>
      </c>
      <c r="I482" t="s">
        <v>482</v>
      </c>
      <c r="J482" s="30" t="s">
        <v>18</v>
      </c>
      <c r="K482" s="30" t="s">
        <v>1035</v>
      </c>
      <c r="L482" s="30" t="s">
        <v>1235</v>
      </c>
      <c r="M482" s="30" t="s">
        <v>816</v>
      </c>
      <c r="N482" s="30"/>
      <c r="O482" s="31">
        <f t="shared" si="40"/>
        <v>27</v>
      </c>
      <c r="P482" s="136" t="s">
        <v>1995</v>
      </c>
      <c r="Q482" s="31">
        <f t="shared" si="41"/>
        <v>1</v>
      </c>
      <c r="R482" s="32">
        <f t="shared" si="42"/>
        <v>0.9642857142857143</v>
      </c>
      <c r="S482" s="70"/>
      <c r="T482" s="70"/>
      <c r="U482" s="70"/>
      <c r="V482" s="70" t="s">
        <v>2222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s="73" customFormat="1" ht="15.75" hidden="1" thickBot="1" x14ac:dyDescent="0.3">
      <c r="A483"/>
      <c r="B483"/>
      <c r="C483"/>
      <c r="D483"/>
      <c r="E483"/>
      <c r="F483" s="73" t="s">
        <v>466</v>
      </c>
      <c r="G483" s="73" t="s">
        <v>1165</v>
      </c>
      <c r="H483" s="73" t="s">
        <v>1041</v>
      </c>
      <c r="I483" s="73" t="s">
        <v>1166</v>
      </c>
      <c r="J483" s="84" t="s">
        <v>1093</v>
      </c>
      <c r="K483" s="84" t="s">
        <v>1278</v>
      </c>
      <c r="L483" s="84"/>
      <c r="M483" s="84" t="s">
        <v>1167</v>
      </c>
      <c r="N483" s="84"/>
      <c r="O483" s="131">
        <f t="shared" si="40"/>
        <v>28</v>
      </c>
      <c r="P483" s="136" t="s">
        <v>1996</v>
      </c>
      <c r="Q483" s="131">
        <f t="shared" si="41"/>
        <v>0</v>
      </c>
      <c r="R483" s="1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hidden="1" thickBot="1" x14ac:dyDescent="0.3">
      <c r="A484"/>
      <c r="B484"/>
      <c r="C484"/>
      <c r="D484"/>
      <c r="E484" t="s">
        <v>2372</v>
      </c>
      <c r="F484" s="73" t="s">
        <v>466</v>
      </c>
      <c r="G484" s="73" t="s">
        <v>1168</v>
      </c>
      <c r="H484" s="73" t="s">
        <v>1041</v>
      </c>
      <c r="I484" s="73" t="s">
        <v>1166</v>
      </c>
      <c r="J484" s="84" t="s">
        <v>1093</v>
      </c>
      <c r="K484" s="84" t="s">
        <v>27</v>
      </c>
      <c r="L484" s="84"/>
      <c r="M484" s="84" t="s">
        <v>1169</v>
      </c>
      <c r="N484" s="84"/>
      <c r="O484" s="85">
        <f t="shared" si="40"/>
        <v>28</v>
      </c>
      <c r="P484" s="136" t="s">
        <v>1997</v>
      </c>
      <c r="Q484" s="85">
        <f t="shared" si="41"/>
        <v>0</v>
      </c>
      <c r="R484" s="86">
        <f t="shared" si="42"/>
        <v>1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70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70"/>
      <c r="AS484" s="70"/>
      <c r="AT484" s="70"/>
      <c r="AU484" s="70"/>
      <c r="AV484" s="70"/>
      <c r="AW484"/>
    </row>
    <row r="485" spans="1:49" ht="15.75" hidden="1" thickBot="1" x14ac:dyDescent="0.3">
      <c r="A485">
        <v>7</v>
      </c>
      <c r="B485">
        <v>6</v>
      </c>
      <c r="C485"/>
      <c r="D485"/>
      <c r="E485" t="s">
        <v>2339</v>
      </c>
      <c r="F485" t="s">
        <v>466</v>
      </c>
      <c r="G485" t="s">
        <v>1198</v>
      </c>
      <c r="H485" t="s">
        <v>1041</v>
      </c>
      <c r="I485" t="s">
        <v>1214</v>
      </c>
      <c r="J485" t="s">
        <v>71</v>
      </c>
      <c r="K485" t="s">
        <v>27</v>
      </c>
      <c r="L485"/>
      <c r="M485" s="30" t="s">
        <v>1259</v>
      </c>
      <c r="N485" s="30"/>
      <c r="O485" s="31">
        <f t="shared" si="40"/>
        <v>28</v>
      </c>
      <c r="P485" s="136" t="s">
        <v>1998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hidden="1" thickBot="1" x14ac:dyDescent="0.3">
      <c r="A486">
        <v>7</v>
      </c>
      <c r="B486">
        <v>6</v>
      </c>
      <c r="C486"/>
      <c r="D486"/>
      <c r="E486" t="s">
        <v>2339</v>
      </c>
      <c r="F486" t="s">
        <v>466</v>
      </c>
      <c r="G486" t="s">
        <v>1199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1260</v>
      </c>
      <c r="N486" s="30"/>
      <c r="O486" s="31">
        <f t="shared" si="40"/>
        <v>28</v>
      </c>
      <c r="P486" s="136" t="s">
        <v>1999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ht="15.75" hidden="1" thickBot="1" x14ac:dyDescent="0.3">
      <c r="A487">
        <v>6</v>
      </c>
      <c r="B487">
        <v>14</v>
      </c>
      <c r="C487"/>
      <c r="D487"/>
      <c r="E487" t="s">
        <v>2338</v>
      </c>
      <c r="F487" t="s">
        <v>466</v>
      </c>
      <c r="G487" t="s">
        <v>1317</v>
      </c>
      <c r="H487" t="s">
        <v>1041</v>
      </c>
      <c r="I487" s="68" t="s">
        <v>1318</v>
      </c>
      <c r="J487" t="s">
        <v>71</v>
      </c>
      <c r="K487" t="s">
        <v>27</v>
      </c>
      <c r="L487"/>
      <c r="M487" s="30" t="s">
        <v>1307</v>
      </c>
      <c r="N487" s="30"/>
      <c r="O487" s="31">
        <f t="shared" si="40"/>
        <v>28</v>
      </c>
      <c r="P487" s="136" t="s">
        <v>2000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s="73" customFormat="1" ht="15.75" hidden="1" thickBot="1" x14ac:dyDescent="0.3">
      <c r="A488"/>
      <c r="B488"/>
      <c r="C488"/>
      <c r="D488"/>
      <c r="E488"/>
      <c r="F488" s="73" t="s">
        <v>466</v>
      </c>
      <c r="G488" s="73" t="s">
        <v>1328</v>
      </c>
      <c r="H488" s="73" t="s">
        <v>1041</v>
      </c>
      <c r="I488" s="135" t="s">
        <v>1335</v>
      </c>
      <c r="J488" s="73" t="s">
        <v>14</v>
      </c>
      <c r="K488" s="73" t="s">
        <v>1278</v>
      </c>
      <c r="M488" s="84" t="s">
        <v>1397</v>
      </c>
      <c r="N488" s="84"/>
      <c r="O488" s="85">
        <f t="shared" si="40"/>
        <v>28</v>
      </c>
      <c r="P488" s="136" t="s">
        <v>2001</v>
      </c>
      <c r="Q488" s="85">
        <f t="shared" si="41"/>
        <v>0</v>
      </c>
      <c r="R488" s="86">
        <f t="shared" si="42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s="73" customFormat="1" ht="15.75" hidden="1" thickBot="1" x14ac:dyDescent="0.3">
      <c r="A489"/>
      <c r="B489"/>
      <c r="C489"/>
      <c r="D489"/>
      <c r="E489"/>
      <c r="F489" s="73" t="s">
        <v>466</v>
      </c>
      <c r="G489" s="73" t="s">
        <v>1573</v>
      </c>
      <c r="H489" s="73" t="s">
        <v>1041</v>
      </c>
      <c r="I489" s="135" t="s">
        <v>1578</v>
      </c>
      <c r="J489" s="73" t="s">
        <v>14</v>
      </c>
      <c r="K489" s="73" t="s">
        <v>1278</v>
      </c>
      <c r="M489" s="84" t="s">
        <v>1580</v>
      </c>
      <c r="N489" s="84"/>
      <c r="O489" s="85">
        <f t="shared" si="40"/>
        <v>28</v>
      </c>
      <c r="P489" s="136" t="s">
        <v>2117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</row>
    <row r="490" spans="1:49" s="73" customFormat="1" ht="15.75" hidden="1" thickBot="1" x14ac:dyDescent="0.3">
      <c r="A490"/>
      <c r="B490"/>
      <c r="C490"/>
      <c r="D490"/>
      <c r="E490"/>
      <c r="F490" s="73" t="s">
        <v>466</v>
      </c>
      <c r="G490" s="73" t="s">
        <v>1591</v>
      </c>
      <c r="H490" s="73" t="s">
        <v>1041</v>
      </c>
      <c r="I490" s="135" t="s">
        <v>1584</v>
      </c>
      <c r="J490" s="73" t="s">
        <v>18</v>
      </c>
      <c r="K490" s="73" t="s">
        <v>1278</v>
      </c>
      <c r="M490" s="84" t="s">
        <v>1592</v>
      </c>
      <c r="N490" s="84"/>
      <c r="O490" s="85">
        <f t="shared" si="40"/>
        <v>16</v>
      </c>
      <c r="P490" s="136" t="s">
        <v>2118</v>
      </c>
      <c r="Q490" s="85">
        <f t="shared" si="41"/>
        <v>12</v>
      </c>
      <c r="R490" s="86">
        <f t="shared" si="42"/>
        <v>0.5714285714285714</v>
      </c>
      <c r="S490" s="70"/>
      <c r="T490" s="87"/>
      <c r="U490" s="87"/>
      <c r="V490" s="70" t="s">
        <v>2222</v>
      </c>
      <c r="W490" s="70" t="s">
        <v>2222</v>
      </c>
      <c r="X490" s="70" t="s">
        <v>2222</v>
      </c>
      <c r="Y490" s="70" t="s">
        <v>2222</v>
      </c>
      <c r="Z490" s="70" t="s">
        <v>2222</v>
      </c>
      <c r="AA490" s="87"/>
      <c r="AB490" s="87"/>
      <c r="AC490" s="70" t="s">
        <v>2222</v>
      </c>
      <c r="AD490" s="70" t="s">
        <v>2222</v>
      </c>
      <c r="AE490" s="70" t="s">
        <v>2222</v>
      </c>
      <c r="AF490" s="70" t="s">
        <v>2222</v>
      </c>
      <c r="AG490" s="70" t="s">
        <v>2222</v>
      </c>
      <c r="AH490" s="87"/>
      <c r="AI490" s="87"/>
      <c r="AJ490" s="70" t="s">
        <v>2222</v>
      </c>
      <c r="AK490" s="70" t="s">
        <v>2222</v>
      </c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hidden="1" thickBot="1" x14ac:dyDescent="0.3">
      <c r="A491"/>
      <c r="B491"/>
      <c r="C491"/>
      <c r="D491"/>
      <c r="E491"/>
      <c r="F491" s="73" t="s">
        <v>466</v>
      </c>
      <c r="G491" s="73" t="s">
        <v>1586</v>
      </c>
      <c r="H491" s="73" t="s">
        <v>1041</v>
      </c>
      <c r="I491" s="135" t="s">
        <v>1585</v>
      </c>
      <c r="J491" s="73" t="s">
        <v>1093</v>
      </c>
      <c r="K491" s="73" t="s">
        <v>1278</v>
      </c>
      <c r="M491" s="84" t="s">
        <v>1590</v>
      </c>
      <c r="N491" s="84"/>
      <c r="O491" s="85">
        <f t="shared" si="40"/>
        <v>28</v>
      </c>
      <c r="P491" s="136" t="s">
        <v>2119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hidden="1" thickBot="1" x14ac:dyDescent="0.3">
      <c r="A492"/>
      <c r="B492"/>
      <c r="C492"/>
      <c r="D492"/>
      <c r="E492"/>
      <c r="F492" s="73" t="s">
        <v>466</v>
      </c>
      <c r="G492" s="73" t="s">
        <v>1587</v>
      </c>
      <c r="H492" s="73" t="s">
        <v>1041</v>
      </c>
      <c r="I492" s="135" t="s">
        <v>1588</v>
      </c>
      <c r="J492" s="73" t="s">
        <v>1093</v>
      </c>
      <c r="K492" s="73" t="s">
        <v>1278</v>
      </c>
      <c r="M492" s="84" t="s">
        <v>1589</v>
      </c>
      <c r="N492" s="84"/>
      <c r="O492" s="85">
        <f t="shared" si="40"/>
        <v>28</v>
      </c>
      <c r="P492" s="136" t="s">
        <v>2120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466</v>
      </c>
      <c r="G493" s="73" t="s">
        <v>2231</v>
      </c>
      <c r="H493" s="73" t="s">
        <v>1041</v>
      </c>
      <c r="I493" s="135" t="s">
        <v>2232</v>
      </c>
      <c r="J493" s="30" t="s">
        <v>14</v>
      </c>
      <c r="K493" s="73" t="s">
        <v>1278</v>
      </c>
      <c r="M493" s="84" t="s">
        <v>2254</v>
      </c>
      <c r="N493" s="84"/>
      <c r="O493" s="85">
        <f t="shared" si="40"/>
        <v>20</v>
      </c>
      <c r="P493" s="136" t="s">
        <v>2255</v>
      </c>
      <c r="Q493" s="85">
        <f t="shared" si="41"/>
        <v>8</v>
      </c>
      <c r="R493" s="86">
        <f t="shared" si="42"/>
        <v>0.7142857142857143</v>
      </c>
      <c r="S493" s="87"/>
      <c r="T493" s="87"/>
      <c r="U493" s="87"/>
      <c r="V493" s="87"/>
      <c r="W493" s="87"/>
      <c r="X493" s="87"/>
      <c r="Y493" s="87"/>
      <c r="Z493" s="70" t="s">
        <v>2222</v>
      </c>
      <c r="AA493" s="87"/>
      <c r="AB493" s="87"/>
      <c r="AC493" s="70" t="s">
        <v>2222</v>
      </c>
      <c r="AD493" s="70" t="s">
        <v>2222</v>
      </c>
      <c r="AE493" s="70" t="s">
        <v>2222</v>
      </c>
      <c r="AF493" s="70" t="s">
        <v>2222</v>
      </c>
      <c r="AG493" s="70" t="s">
        <v>2222</v>
      </c>
      <c r="AH493" s="87"/>
      <c r="AI493" s="87"/>
      <c r="AJ493" s="70" t="s">
        <v>2222</v>
      </c>
      <c r="AK493" s="70" t="s">
        <v>2222</v>
      </c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hidden="1" thickBot="1" x14ac:dyDescent="0.3">
      <c r="A494"/>
      <c r="B494"/>
      <c r="C494"/>
      <c r="D494"/>
      <c r="E494"/>
      <c r="F494" s="73" t="s">
        <v>216</v>
      </c>
      <c r="G494" s="73" t="s">
        <v>484</v>
      </c>
      <c r="H494" s="73" t="s">
        <v>1042</v>
      </c>
      <c r="I494" s="73" t="s">
        <v>485</v>
      </c>
      <c r="J494" s="84" t="s">
        <v>18</v>
      </c>
      <c r="K494" s="84" t="s">
        <v>1278</v>
      </c>
      <c r="L494" s="84"/>
      <c r="M494" s="84" t="s">
        <v>818</v>
      </c>
      <c r="N494" s="84"/>
      <c r="O494" s="131">
        <f t="shared" si="40"/>
        <v>28</v>
      </c>
      <c r="P494" s="136" t="s">
        <v>2002</v>
      </c>
      <c r="Q494" s="131">
        <f t="shared" si="41"/>
        <v>0</v>
      </c>
      <c r="R494" s="1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/>
    </row>
    <row r="495" spans="1:49" ht="15.75" hidden="1" thickBot="1" x14ac:dyDescent="0.3">
      <c r="A495"/>
      <c r="B495"/>
      <c r="C495"/>
      <c r="D495"/>
      <c r="E495"/>
      <c r="F495" t="s">
        <v>216</v>
      </c>
      <c r="G495" t="s">
        <v>486</v>
      </c>
      <c r="H495" t="s">
        <v>1042</v>
      </c>
      <c r="I495" t="s">
        <v>487</v>
      </c>
      <c r="J495" s="30" t="s">
        <v>14</v>
      </c>
      <c r="K495" s="30" t="s">
        <v>19</v>
      </c>
      <c r="L495" s="30"/>
      <c r="M495" s="30" t="s">
        <v>819</v>
      </c>
      <c r="N495" s="30"/>
      <c r="O495" s="31">
        <f t="shared" si="40"/>
        <v>28</v>
      </c>
      <c r="P495" s="136" t="s">
        <v>2427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9" ht="15.75" hidden="1" thickBot="1" x14ac:dyDescent="0.3">
      <c r="A496">
        <v>6</v>
      </c>
      <c r="B496">
        <v>12</v>
      </c>
      <c r="C496"/>
      <c r="D496"/>
      <c r="E496" t="s">
        <v>2373</v>
      </c>
      <c r="F496" t="s">
        <v>216</v>
      </c>
      <c r="G496" t="s">
        <v>1013</v>
      </c>
      <c r="H496" t="s">
        <v>1042</v>
      </c>
      <c r="I496" t="s">
        <v>496</v>
      </c>
      <c r="J496" s="30" t="s">
        <v>71</v>
      </c>
      <c r="K496" s="30" t="s">
        <v>27</v>
      </c>
      <c r="L496" s="30"/>
      <c r="M496" s="30" t="s">
        <v>825</v>
      </c>
      <c r="N496" s="30"/>
      <c r="O496" s="31">
        <f t="shared" si="40"/>
        <v>28</v>
      </c>
      <c r="P496" s="136" t="s">
        <v>2004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3"/>
    </row>
    <row r="497" spans="1:49" ht="15.75" hidden="1" thickBot="1" x14ac:dyDescent="0.3">
      <c r="A497">
        <v>6</v>
      </c>
      <c r="B497">
        <v>12</v>
      </c>
      <c r="C497"/>
      <c r="D497"/>
      <c r="E497" t="s">
        <v>2373</v>
      </c>
      <c r="F497" t="s">
        <v>216</v>
      </c>
      <c r="G497" t="s">
        <v>1014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826</v>
      </c>
      <c r="N497" s="30"/>
      <c r="O497" s="31">
        <f t="shared" si="40"/>
        <v>28</v>
      </c>
      <c r="P497" s="136" t="s">
        <v>2005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hidden="1" thickBot="1" x14ac:dyDescent="0.3">
      <c r="A498"/>
      <c r="B498"/>
      <c r="C498"/>
      <c r="D498"/>
      <c r="E498"/>
      <c r="F498" t="s">
        <v>216</v>
      </c>
      <c r="G498" t="s">
        <v>488</v>
      </c>
      <c r="H498" t="s">
        <v>1042</v>
      </c>
      <c r="I498" t="s">
        <v>489</v>
      </c>
      <c r="J498" s="30" t="s">
        <v>71</v>
      </c>
      <c r="K498" s="30" t="s">
        <v>19</v>
      </c>
      <c r="L498" s="30"/>
      <c r="M498" s="30" t="s">
        <v>820</v>
      </c>
      <c r="N498" s="30"/>
      <c r="O498" s="31">
        <f t="shared" si="40"/>
        <v>28</v>
      </c>
      <c r="P498" s="136" t="s">
        <v>2428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hidden="1" thickBot="1" x14ac:dyDescent="0.3">
      <c r="A499"/>
      <c r="B499"/>
      <c r="C499"/>
      <c r="D499"/>
      <c r="E499"/>
      <c r="F499" t="s">
        <v>216</v>
      </c>
      <c r="G499" t="s">
        <v>490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821</v>
      </c>
      <c r="N499" s="30"/>
      <c r="O499" s="31">
        <f t="shared" si="40"/>
        <v>25</v>
      </c>
      <c r="P499" s="136" t="s">
        <v>2429</v>
      </c>
      <c r="Q499" s="31">
        <f t="shared" si="41"/>
        <v>3</v>
      </c>
      <c r="R499" s="32">
        <f t="shared" si="42"/>
        <v>0.8928571428571429</v>
      </c>
      <c r="S499" s="70"/>
      <c r="T499" s="70"/>
      <c r="U499" s="70"/>
      <c r="V499" s="70"/>
      <c r="W499" s="70"/>
      <c r="X499" s="70" t="s">
        <v>2222</v>
      </c>
      <c r="Y499" s="70" t="s">
        <v>2222</v>
      </c>
      <c r="Z499" s="70"/>
      <c r="AA499" s="70"/>
      <c r="AB499" s="70"/>
      <c r="AC499" s="70"/>
      <c r="AD499" s="70"/>
      <c r="AE499" s="70" t="s">
        <v>2222</v>
      </c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hidden="1" thickBot="1" x14ac:dyDescent="0.3">
      <c r="A500"/>
      <c r="B500"/>
      <c r="C500"/>
      <c r="D500"/>
      <c r="E500"/>
      <c r="F500" t="s">
        <v>216</v>
      </c>
      <c r="G500" t="s">
        <v>491</v>
      </c>
      <c r="H500" t="s">
        <v>1042</v>
      </c>
      <c r="I500" t="s">
        <v>492</v>
      </c>
      <c r="J500" s="30" t="s">
        <v>71</v>
      </c>
      <c r="K500" s="30" t="s">
        <v>19</v>
      </c>
      <c r="L500" s="30"/>
      <c r="M500" s="30" t="s">
        <v>822</v>
      </c>
      <c r="N500" s="30"/>
      <c r="O500" s="31">
        <f t="shared" si="40"/>
        <v>28</v>
      </c>
      <c r="P500" s="136" t="s">
        <v>2430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hidden="1" thickBot="1" x14ac:dyDescent="0.3">
      <c r="A501"/>
      <c r="B501"/>
      <c r="C501"/>
      <c r="D501"/>
      <c r="E501"/>
      <c r="F501" t="s">
        <v>216</v>
      </c>
      <c r="G501" t="s">
        <v>493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823</v>
      </c>
      <c r="N501" s="30"/>
      <c r="O501" s="31">
        <f t="shared" si="40"/>
        <v>28</v>
      </c>
      <c r="P501" s="136" t="s">
        <v>2431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hidden="1" thickBot="1" x14ac:dyDescent="0.3">
      <c r="A502">
        <v>12</v>
      </c>
      <c r="B502" t="s">
        <v>2375</v>
      </c>
      <c r="C502"/>
      <c r="D502"/>
      <c r="E502" t="s">
        <v>2373</v>
      </c>
      <c r="F502" t="s">
        <v>216</v>
      </c>
      <c r="G502" t="s">
        <v>494</v>
      </c>
      <c r="H502" t="s">
        <v>1042</v>
      </c>
      <c r="I502" t="s">
        <v>495</v>
      </c>
      <c r="J502" s="30" t="s">
        <v>14</v>
      </c>
      <c r="K502" s="30" t="s">
        <v>27</v>
      </c>
      <c r="L502" s="30"/>
      <c r="M502" s="30" t="s">
        <v>824</v>
      </c>
      <c r="N502" s="30"/>
      <c r="O502" s="31">
        <f t="shared" si="40"/>
        <v>28</v>
      </c>
      <c r="P502" s="136" t="s">
        <v>2003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hidden="1" thickBot="1" x14ac:dyDescent="0.3">
      <c r="A503">
        <v>6</v>
      </c>
      <c r="B503">
        <v>12</v>
      </c>
      <c r="C503"/>
      <c r="D503"/>
      <c r="E503" t="s">
        <v>2373</v>
      </c>
      <c r="F503" t="s">
        <v>216</v>
      </c>
      <c r="G503" t="s">
        <v>497</v>
      </c>
      <c r="H503" t="s">
        <v>1042</v>
      </c>
      <c r="I503" t="s">
        <v>498</v>
      </c>
      <c r="J503" s="30" t="s">
        <v>71</v>
      </c>
      <c r="K503" s="30" t="s">
        <v>27</v>
      </c>
      <c r="L503" s="30"/>
      <c r="M503" s="30" t="s">
        <v>827</v>
      </c>
      <c r="N503" s="30"/>
      <c r="O503" s="31">
        <f t="shared" si="40"/>
        <v>28</v>
      </c>
      <c r="P503" s="136" t="s">
        <v>2006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>
        <v>6</v>
      </c>
      <c r="B504">
        <v>12</v>
      </c>
      <c r="C504"/>
      <c r="D504"/>
      <c r="E504" t="s">
        <v>2373</v>
      </c>
      <c r="F504" t="s">
        <v>216</v>
      </c>
      <c r="G504" t="s">
        <v>499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828</v>
      </c>
      <c r="N504" s="30"/>
      <c r="O504" s="31">
        <f t="shared" si="40"/>
        <v>28</v>
      </c>
      <c r="P504" s="136" t="s">
        <v>2007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hidden="1" thickBot="1" x14ac:dyDescent="0.3">
      <c r="A505">
        <v>6</v>
      </c>
      <c r="B505">
        <v>12</v>
      </c>
      <c r="C505"/>
      <c r="D505"/>
      <c r="E505" t="s">
        <v>2373</v>
      </c>
      <c r="F505" t="s">
        <v>216</v>
      </c>
      <c r="G505" s="30" t="s">
        <v>1074</v>
      </c>
      <c r="H505" s="30" t="s">
        <v>1042</v>
      </c>
      <c r="I505" t="s">
        <v>1075</v>
      </c>
      <c r="J505" s="30" t="s">
        <v>18</v>
      </c>
      <c r="K505" s="30" t="s">
        <v>27</v>
      </c>
      <c r="L505" s="30"/>
      <c r="M505" s="30" t="s">
        <v>1076</v>
      </c>
      <c r="N505" s="30"/>
      <c r="O505" s="31">
        <f t="shared" si="40"/>
        <v>28</v>
      </c>
      <c r="P505" s="136" t="s">
        <v>2008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2373</v>
      </c>
      <c r="F506" t="s">
        <v>216</v>
      </c>
      <c r="G506" s="30" t="s">
        <v>1079</v>
      </c>
      <c r="H506" s="30" t="s">
        <v>1042</v>
      </c>
      <c r="I506" t="s">
        <v>1077</v>
      </c>
      <c r="J506" s="30" t="s">
        <v>18</v>
      </c>
      <c r="K506" s="30" t="s">
        <v>27</v>
      </c>
      <c r="L506" s="30"/>
      <c r="M506" s="30" t="s">
        <v>1078</v>
      </c>
      <c r="N506" s="30"/>
      <c r="O506" s="31">
        <f t="shared" si="40"/>
        <v>28</v>
      </c>
      <c r="P506" s="136" t="s">
        <v>2009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>
        <v>12</v>
      </c>
      <c r="B507" t="s">
        <v>2375</v>
      </c>
      <c r="C507"/>
      <c r="D507"/>
      <c r="E507" t="s">
        <v>2373</v>
      </c>
      <c r="F507" t="s">
        <v>216</v>
      </c>
      <c r="G507" s="30" t="s">
        <v>1080</v>
      </c>
      <c r="H507" s="30" t="s">
        <v>1042</v>
      </c>
      <c r="I507" t="s">
        <v>1081</v>
      </c>
      <c r="J507" s="30" t="s">
        <v>18</v>
      </c>
      <c r="K507" s="30" t="s">
        <v>27</v>
      </c>
      <c r="L507" s="30"/>
      <c r="M507" s="30" t="s">
        <v>1082</v>
      </c>
      <c r="N507" s="30"/>
      <c r="O507" s="31">
        <f t="shared" si="40"/>
        <v>28</v>
      </c>
      <c r="P507" s="136" t="s">
        <v>2010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4</v>
      </c>
      <c r="B508">
        <v>12</v>
      </c>
      <c r="C508"/>
      <c r="D508"/>
      <c r="E508" t="s">
        <v>2333</v>
      </c>
      <c r="F508" t="s">
        <v>501</v>
      </c>
      <c r="G508" t="s">
        <v>1015</v>
      </c>
      <c r="H508" t="s">
        <v>1042</v>
      </c>
      <c r="I508" t="s">
        <v>527</v>
      </c>
      <c r="J508" s="30" t="s">
        <v>18</v>
      </c>
      <c r="K508" s="30" t="s">
        <v>27</v>
      </c>
      <c r="L508" s="30"/>
      <c r="M508" s="30" t="s">
        <v>837</v>
      </c>
      <c r="N508" s="30"/>
      <c r="O508" s="31">
        <f t="shared" si="40"/>
        <v>28</v>
      </c>
      <c r="P508" s="136" t="s">
        <v>2020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hidden="1" thickBot="1" x14ac:dyDescent="0.3">
      <c r="A509"/>
      <c r="B509"/>
      <c r="C509"/>
      <c r="D509"/>
      <c r="E509" s="151" t="s">
        <v>2460</v>
      </c>
      <c r="F509" t="s">
        <v>505</v>
      </c>
      <c r="G509" t="s">
        <v>1016</v>
      </c>
      <c r="H509" t="s">
        <v>1042</v>
      </c>
      <c r="I509" t="s">
        <v>530</v>
      </c>
      <c r="J509" s="30" t="s">
        <v>14</v>
      </c>
      <c r="K509" s="30" t="s">
        <v>2366</v>
      </c>
      <c r="L509" s="30"/>
      <c r="M509" s="30" t="s">
        <v>841</v>
      </c>
      <c r="N509" s="30"/>
      <c r="O509" s="31">
        <f t="shared" si="40"/>
        <v>18</v>
      </c>
      <c r="P509" s="136" t="s">
        <v>2024</v>
      </c>
      <c r="Q509" s="31">
        <f t="shared" si="41"/>
        <v>10</v>
      </c>
      <c r="R509" s="32">
        <f t="shared" si="42"/>
        <v>0.6428571428571429</v>
      </c>
      <c r="S509" s="70"/>
      <c r="T509" s="70"/>
      <c r="U509" s="70"/>
      <c r="V509" s="70" t="s">
        <v>2222</v>
      </c>
      <c r="W509" s="70" t="s">
        <v>2222</v>
      </c>
      <c r="X509" s="70" t="s">
        <v>2222</v>
      </c>
      <c r="Y509" s="70" t="s">
        <v>2222</v>
      </c>
      <c r="Z509" s="70"/>
      <c r="AA509" s="70"/>
      <c r="AB509" s="70"/>
      <c r="AC509" s="70"/>
      <c r="AD509" s="70" t="s">
        <v>2222</v>
      </c>
      <c r="AE509" s="70" t="s">
        <v>2222</v>
      </c>
      <c r="AF509" s="70" t="s">
        <v>2222</v>
      </c>
      <c r="AG509" s="70" t="s">
        <v>2222</v>
      </c>
      <c r="AH509" s="70"/>
      <c r="AI509" s="70"/>
      <c r="AJ509" s="70" t="s">
        <v>2222</v>
      </c>
      <c r="AK509" s="70" t="s">
        <v>2222</v>
      </c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hidden="1" thickBot="1" x14ac:dyDescent="0.3">
      <c r="A510">
        <v>4</v>
      </c>
      <c r="B510">
        <v>12</v>
      </c>
      <c r="C510"/>
      <c r="D510"/>
      <c r="E510" t="s">
        <v>2333</v>
      </c>
      <c r="F510" t="s">
        <v>505</v>
      </c>
      <c r="G510" t="s">
        <v>503</v>
      </c>
      <c r="H510" t="s">
        <v>1042</v>
      </c>
      <c r="I510" t="s">
        <v>504</v>
      </c>
      <c r="J510" s="30" t="s">
        <v>14</v>
      </c>
      <c r="K510" s="30" t="s">
        <v>1035</v>
      </c>
      <c r="L510" s="30" t="s">
        <v>1237</v>
      </c>
      <c r="M510" s="30" t="s">
        <v>842</v>
      </c>
      <c r="N510" s="30"/>
      <c r="O510" s="31">
        <f t="shared" si="40"/>
        <v>28</v>
      </c>
      <c r="P510" s="136" t="s">
        <v>2025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hidden="1" thickBot="1" x14ac:dyDescent="0.3">
      <c r="A511">
        <v>5</v>
      </c>
      <c r="B511">
        <v>3</v>
      </c>
      <c r="C511"/>
      <c r="D511"/>
      <c r="E511" t="s">
        <v>1233</v>
      </c>
      <c r="F511" t="s">
        <v>505</v>
      </c>
      <c r="G511" t="s">
        <v>506</v>
      </c>
      <c r="H511" t="s">
        <v>1042</v>
      </c>
      <c r="I511" t="s">
        <v>507</v>
      </c>
      <c r="J511" s="30" t="s">
        <v>14</v>
      </c>
      <c r="K511" s="30" t="s">
        <v>1035</v>
      </c>
      <c r="L511" s="30" t="s">
        <v>1233</v>
      </c>
      <c r="M511" s="30" t="s">
        <v>843</v>
      </c>
      <c r="N511" s="30"/>
      <c r="O511" s="31">
        <f t="shared" si="40"/>
        <v>28</v>
      </c>
      <c r="P511" s="136" t="s">
        <v>2026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42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s="73" customFormat="1" ht="15.75" hidden="1" thickBot="1" x14ac:dyDescent="0.3">
      <c r="A512"/>
      <c r="B512"/>
      <c r="C512"/>
      <c r="D512"/>
      <c r="E512"/>
      <c r="F512" t="s">
        <v>505</v>
      </c>
      <c r="G512" t="s">
        <v>508</v>
      </c>
      <c r="H512" t="s">
        <v>1042</v>
      </c>
      <c r="I512" t="s">
        <v>1069</v>
      </c>
      <c r="J512" s="30" t="s">
        <v>14</v>
      </c>
      <c r="K512" s="30" t="s">
        <v>1035</v>
      </c>
      <c r="L512" s="30" t="s">
        <v>1238</v>
      </c>
      <c r="M512" s="30" t="s">
        <v>844</v>
      </c>
      <c r="N512" s="30"/>
      <c r="O512" s="31">
        <f t="shared" si="40"/>
        <v>18</v>
      </c>
      <c r="P512" s="136" t="s">
        <v>2027</v>
      </c>
      <c r="Q512" s="31">
        <f t="shared" si="41"/>
        <v>10</v>
      </c>
      <c r="R512" s="32">
        <f t="shared" si="42"/>
        <v>0.6428571428571429</v>
      </c>
      <c r="S512" s="70"/>
      <c r="T512" s="70"/>
      <c r="U512" s="70"/>
      <c r="V512" s="70" t="s">
        <v>2222</v>
      </c>
      <c r="W512" s="70" t="s">
        <v>2222</v>
      </c>
      <c r="X512" s="70" t="s">
        <v>2222</v>
      </c>
      <c r="Y512" s="70" t="s">
        <v>2222</v>
      </c>
      <c r="Z512" s="70"/>
      <c r="AA512" s="70"/>
      <c r="AB512" s="70"/>
      <c r="AC512" s="70"/>
      <c r="AD512" s="70" t="s">
        <v>2222</v>
      </c>
      <c r="AE512" s="70" t="s">
        <v>2222</v>
      </c>
      <c r="AF512" s="70" t="s">
        <v>2222</v>
      </c>
      <c r="AG512" s="70" t="s">
        <v>2222</v>
      </c>
      <c r="AH512" s="70"/>
      <c r="AI512" s="70"/>
      <c r="AJ512" s="70" t="s">
        <v>2222</v>
      </c>
      <c r="AK512" s="70" t="s">
        <v>2222</v>
      </c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/>
    </row>
    <row r="513" spans="1:49" ht="15.75" hidden="1" thickBot="1" x14ac:dyDescent="0.3">
      <c r="A513"/>
      <c r="B513"/>
      <c r="C513"/>
      <c r="D513"/>
      <c r="E513"/>
      <c r="F513" s="73" t="s">
        <v>505</v>
      </c>
      <c r="G513" s="73" t="s">
        <v>511</v>
      </c>
      <c r="H513" s="73" t="s">
        <v>1042</v>
      </c>
      <c r="I513" s="73" t="s">
        <v>512</v>
      </c>
      <c r="J513" s="84" t="s">
        <v>45</v>
      </c>
      <c r="K513" s="84" t="s">
        <v>1278</v>
      </c>
      <c r="L513" s="84"/>
      <c r="M513" s="84" t="s">
        <v>1342</v>
      </c>
      <c r="N513" s="84"/>
      <c r="O513" s="131">
        <f t="shared" si="40"/>
        <v>28</v>
      </c>
      <c r="P513" s="136" t="s">
        <v>2029</v>
      </c>
      <c r="Q513" s="131">
        <f t="shared" si="41"/>
        <v>0</v>
      </c>
      <c r="R513" s="1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hidden="1" thickBot="1" x14ac:dyDescent="0.3">
      <c r="A514">
        <v>4</v>
      </c>
      <c r="B514">
        <v>12</v>
      </c>
      <c r="C514"/>
      <c r="D514"/>
      <c r="E514" t="s">
        <v>2333</v>
      </c>
      <c r="F514" t="s">
        <v>501</v>
      </c>
      <c r="G514" t="s">
        <v>1017</v>
      </c>
      <c r="H514" t="s">
        <v>1042</v>
      </c>
      <c r="I514" t="s">
        <v>531</v>
      </c>
      <c r="J514" s="30" t="s">
        <v>71</v>
      </c>
      <c r="K514" s="30" t="s">
        <v>27</v>
      </c>
      <c r="L514" s="30"/>
      <c r="M514" s="30" t="s">
        <v>847</v>
      </c>
      <c r="N514" s="30"/>
      <c r="O514" s="31">
        <f t="shared" si="40"/>
        <v>28</v>
      </c>
      <c r="P514" s="136" t="s">
        <v>2030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hidden="1" thickBot="1" x14ac:dyDescent="0.3">
      <c r="A515">
        <v>4</v>
      </c>
      <c r="B515">
        <v>12</v>
      </c>
      <c r="C515"/>
      <c r="D515"/>
      <c r="E515" t="s">
        <v>2333</v>
      </c>
      <c r="F515" t="s">
        <v>501</v>
      </c>
      <c r="G515" t="s">
        <v>1018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848</v>
      </c>
      <c r="N515" s="30"/>
      <c r="O515" s="31">
        <f t="shared" si="40"/>
        <v>28</v>
      </c>
      <c r="P515" s="136" t="s">
        <v>2031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hidden="1" thickBot="1" x14ac:dyDescent="0.3">
      <c r="A516"/>
      <c r="B516"/>
      <c r="C516"/>
      <c r="D516"/>
      <c r="E516" s="151" t="s">
        <v>2460</v>
      </c>
      <c r="F516" t="s">
        <v>501</v>
      </c>
      <c r="G516" t="s">
        <v>1122</v>
      </c>
      <c r="H516" t="s">
        <v>1042</v>
      </c>
      <c r="I516" t="s">
        <v>1124</v>
      </c>
      <c r="J516" s="30" t="s">
        <v>71</v>
      </c>
      <c r="K516" s="30" t="s">
        <v>2368</v>
      </c>
      <c r="L516" s="30"/>
      <c r="M516" s="30" t="s">
        <v>1125</v>
      </c>
      <c r="N516" s="30"/>
      <c r="O516" s="31">
        <f t="shared" si="40"/>
        <v>18</v>
      </c>
      <c r="P516" s="136" t="s">
        <v>2034</v>
      </c>
      <c r="Q516" s="31">
        <f t="shared" si="41"/>
        <v>10</v>
      </c>
      <c r="R516" s="32">
        <f t="shared" si="42"/>
        <v>0.6428571428571429</v>
      </c>
      <c r="S516" s="70"/>
      <c r="T516" s="70"/>
      <c r="U516" s="70"/>
      <c r="V516" s="70" t="s">
        <v>2222</v>
      </c>
      <c r="W516" s="70" t="s">
        <v>2222</v>
      </c>
      <c r="X516" s="70" t="s">
        <v>2222</v>
      </c>
      <c r="Y516" s="70" t="s">
        <v>2222</v>
      </c>
      <c r="Z516" s="70"/>
      <c r="AA516" s="70"/>
      <c r="AB516" s="70"/>
      <c r="AC516" s="70"/>
      <c r="AD516" s="70" t="s">
        <v>2222</v>
      </c>
      <c r="AE516" s="70" t="s">
        <v>2222</v>
      </c>
      <c r="AF516" s="70" t="s">
        <v>2222</v>
      </c>
      <c r="AG516" s="70" t="s">
        <v>2222</v>
      </c>
      <c r="AH516" s="70"/>
      <c r="AI516" s="70"/>
      <c r="AJ516" s="70" t="s">
        <v>2222</v>
      </c>
      <c r="AK516" s="70" t="s">
        <v>2222</v>
      </c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hidden="1" thickBot="1" x14ac:dyDescent="0.3">
      <c r="A517"/>
      <c r="B517"/>
      <c r="C517"/>
      <c r="D517"/>
      <c r="E517" s="151" t="s">
        <v>2460</v>
      </c>
      <c r="F517" t="s">
        <v>501</v>
      </c>
      <c r="G517" t="s">
        <v>1123</v>
      </c>
      <c r="H517" t="s">
        <v>1042</v>
      </c>
      <c r="I517" t="s">
        <v>1124</v>
      </c>
      <c r="J517" s="30" t="s">
        <v>1093</v>
      </c>
      <c r="K517" s="30" t="s">
        <v>2368</v>
      </c>
      <c r="L517" s="30"/>
      <c r="M517" s="30" t="s">
        <v>1126</v>
      </c>
      <c r="N517" s="30"/>
      <c r="O517" s="31">
        <f t="shared" si="40"/>
        <v>18</v>
      </c>
      <c r="P517" s="136" t="s">
        <v>2035</v>
      </c>
      <c r="Q517" s="31">
        <f t="shared" si="41"/>
        <v>10</v>
      </c>
      <c r="R517" s="32">
        <f t="shared" si="42"/>
        <v>0.6428571428571429</v>
      </c>
      <c r="S517" s="70"/>
      <c r="T517" s="70"/>
      <c r="U517" s="70"/>
      <c r="V517" s="70" t="s">
        <v>2222</v>
      </c>
      <c r="W517" s="70" t="s">
        <v>2222</v>
      </c>
      <c r="X517" s="70" t="s">
        <v>2222</v>
      </c>
      <c r="Y517" s="70" t="s">
        <v>2222</v>
      </c>
      <c r="Z517" s="70"/>
      <c r="AA517" s="70"/>
      <c r="AB517" s="70"/>
      <c r="AC517" s="70"/>
      <c r="AD517" s="70" t="s">
        <v>2222</v>
      </c>
      <c r="AE517" s="70" t="s">
        <v>2222</v>
      </c>
      <c r="AF517" s="70" t="s">
        <v>2222</v>
      </c>
      <c r="AG517" s="70" t="s">
        <v>2222</v>
      </c>
      <c r="AH517" s="70"/>
      <c r="AI517" s="70"/>
      <c r="AJ517" s="70" t="s">
        <v>2222</v>
      </c>
      <c r="AK517" s="70" t="s">
        <v>2222</v>
      </c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/>
      <c r="F518" s="73" t="s">
        <v>505</v>
      </c>
      <c r="G518" s="84" t="s">
        <v>1185</v>
      </c>
      <c r="H518" s="84" t="s">
        <v>1042</v>
      </c>
      <c r="I518" s="73" t="s">
        <v>1181</v>
      </c>
      <c r="J518" s="84" t="s">
        <v>14</v>
      </c>
      <c r="K518" s="84" t="s">
        <v>1278</v>
      </c>
      <c r="L518" s="84"/>
      <c r="M518" s="84" t="s">
        <v>1182</v>
      </c>
      <c r="N518" s="84"/>
      <c r="O518" s="131">
        <f t="shared" si="40"/>
        <v>28</v>
      </c>
      <c r="P518" s="136" t="s">
        <v>2036</v>
      </c>
      <c r="Q518" s="131">
        <f t="shared" si="41"/>
        <v>0</v>
      </c>
      <c r="R518" s="1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hidden="1" thickBot="1" x14ac:dyDescent="0.3">
      <c r="A519"/>
      <c r="B519"/>
      <c r="C519"/>
      <c r="D519"/>
      <c r="E519" s="151" t="s">
        <v>2460</v>
      </c>
      <c r="F519" t="s">
        <v>505</v>
      </c>
      <c r="G519" s="30" t="s">
        <v>1502</v>
      </c>
      <c r="H519" s="30" t="s">
        <v>1042</v>
      </c>
      <c r="I519" t="s">
        <v>1503</v>
      </c>
      <c r="J519" s="30" t="s">
        <v>1093</v>
      </c>
      <c r="K519" s="30" t="s">
        <v>2368</v>
      </c>
      <c r="L519" s="30"/>
      <c r="M519" s="30" t="s">
        <v>1504</v>
      </c>
      <c r="N519" s="30"/>
      <c r="O519" s="131">
        <f t="shared" si="40"/>
        <v>18</v>
      </c>
      <c r="P519" s="136" t="s">
        <v>2037</v>
      </c>
      <c r="Q519" s="131">
        <f t="shared" si="41"/>
        <v>10</v>
      </c>
      <c r="R519" s="132">
        <f t="shared" si="42"/>
        <v>0.6428571428571429</v>
      </c>
      <c r="S519" s="70"/>
      <c r="T519" s="70"/>
      <c r="U519" s="70"/>
      <c r="V519" s="70" t="s">
        <v>2222</v>
      </c>
      <c r="W519" s="70" t="s">
        <v>2222</v>
      </c>
      <c r="X519" s="70" t="s">
        <v>2222</v>
      </c>
      <c r="Y519" s="70" t="s">
        <v>2222</v>
      </c>
      <c r="Z519" s="70"/>
      <c r="AA519" s="70"/>
      <c r="AB519" s="70"/>
      <c r="AC519" s="70"/>
      <c r="AD519" s="70" t="s">
        <v>2222</v>
      </c>
      <c r="AE519" s="70" t="s">
        <v>2222</v>
      </c>
      <c r="AF519" s="70" t="s">
        <v>2222</v>
      </c>
      <c r="AG519" s="70" t="s">
        <v>2222</v>
      </c>
      <c r="AH519" s="70"/>
      <c r="AI519" s="70"/>
      <c r="AJ519" s="70" t="s">
        <v>2222</v>
      </c>
      <c r="AK519" s="70" t="s">
        <v>2222</v>
      </c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/>
      <c r="B520"/>
      <c r="C520"/>
      <c r="D520"/>
      <c r="E520"/>
      <c r="F520" s="73" t="s">
        <v>505</v>
      </c>
      <c r="G520" s="84" t="s">
        <v>1551</v>
      </c>
      <c r="H520" s="84" t="s">
        <v>1042</v>
      </c>
      <c r="I520" s="73" t="s">
        <v>1552</v>
      </c>
      <c r="J520" s="84" t="s">
        <v>14</v>
      </c>
      <c r="K520" s="84" t="s">
        <v>1278</v>
      </c>
      <c r="L520" s="84"/>
      <c r="M520" s="84" t="s">
        <v>1553</v>
      </c>
      <c r="N520" s="84"/>
      <c r="O520" s="131">
        <f t="shared" si="40"/>
        <v>27</v>
      </c>
      <c r="P520" s="136" t="s">
        <v>2038</v>
      </c>
      <c r="Q520" s="131">
        <f t="shared" si="41"/>
        <v>1</v>
      </c>
      <c r="R520" s="132">
        <f t="shared" si="42"/>
        <v>0.9642857142857143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 t="s">
        <v>2222</v>
      </c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 s="151" t="s">
        <v>2460</v>
      </c>
      <c r="F521" t="s">
        <v>505</v>
      </c>
      <c r="G521" t="s">
        <v>513</v>
      </c>
      <c r="H521" t="s">
        <v>1042</v>
      </c>
      <c r="I521" t="s">
        <v>2193</v>
      </c>
      <c r="J521" s="30" t="s">
        <v>18</v>
      </c>
      <c r="K521" s="30" t="s">
        <v>2368</v>
      </c>
      <c r="L521" s="30"/>
      <c r="M521" s="30" t="s">
        <v>829</v>
      </c>
      <c r="N521" s="30"/>
      <c r="O521" s="31">
        <f t="shared" ref="O521:O585" si="43">COUNTIF(S521:AT521,"")</f>
        <v>18</v>
      </c>
      <c r="P521" s="136" t="s">
        <v>2011</v>
      </c>
      <c r="Q521" s="31">
        <f t="shared" ref="Q521:Q585" si="44">COUNTIF(S521:AT521,"APAGADO")</f>
        <v>10</v>
      </c>
      <c r="R521" s="32">
        <f t="shared" ref="R521:R585" si="45">(O521)/(Q521+O521)</f>
        <v>0.6428571428571429</v>
      </c>
      <c r="S521" s="70"/>
      <c r="T521" s="70"/>
      <c r="U521" s="70"/>
      <c r="V521" s="70" t="s">
        <v>2222</v>
      </c>
      <c r="W521" s="70" t="s">
        <v>2222</v>
      </c>
      <c r="X521" s="70" t="s">
        <v>2222</v>
      </c>
      <c r="Y521" s="70" t="s">
        <v>2222</v>
      </c>
      <c r="Z521" s="70"/>
      <c r="AA521" s="70"/>
      <c r="AB521" s="70"/>
      <c r="AC521" s="70"/>
      <c r="AD521" s="70" t="s">
        <v>2222</v>
      </c>
      <c r="AE521" s="70" t="s">
        <v>2222</v>
      </c>
      <c r="AF521" s="70" t="s">
        <v>2222</v>
      </c>
      <c r="AG521" s="70" t="s">
        <v>2222</v>
      </c>
      <c r="AH521" s="70"/>
      <c r="AI521" s="70"/>
      <c r="AJ521" s="70" t="s">
        <v>2222</v>
      </c>
      <c r="AK521" s="70" t="s">
        <v>2222</v>
      </c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hidden="1" thickBot="1" x14ac:dyDescent="0.3">
      <c r="A522"/>
      <c r="B522"/>
      <c r="C522"/>
      <c r="D522"/>
      <c r="E522"/>
      <c r="F522" t="s">
        <v>501</v>
      </c>
      <c r="G522" t="s">
        <v>514</v>
      </c>
      <c r="H522" t="s">
        <v>1042</v>
      </c>
      <c r="I522" t="s">
        <v>1070</v>
      </c>
      <c r="J522" s="30" t="s">
        <v>18</v>
      </c>
      <c r="K522" s="30" t="s">
        <v>27</v>
      </c>
      <c r="L522" s="30"/>
      <c r="M522" s="30" t="s">
        <v>830</v>
      </c>
      <c r="N522" s="30"/>
      <c r="O522" s="31">
        <f t="shared" si="43"/>
        <v>18</v>
      </c>
      <c r="P522" s="136" t="s">
        <v>2012</v>
      </c>
      <c r="Q522" s="31">
        <f t="shared" si="44"/>
        <v>10</v>
      </c>
      <c r="R522" s="32">
        <f t="shared" si="45"/>
        <v>0.6428571428571429</v>
      </c>
      <c r="S522" s="70"/>
      <c r="T522" s="70"/>
      <c r="U522" s="70"/>
      <c r="V522" s="70" t="s">
        <v>2222</v>
      </c>
      <c r="W522" s="70" t="s">
        <v>2222</v>
      </c>
      <c r="X522" s="70" t="s">
        <v>2222</v>
      </c>
      <c r="Y522" s="70" t="s">
        <v>2222</v>
      </c>
      <c r="Z522" s="70"/>
      <c r="AA522" s="70"/>
      <c r="AB522" s="70"/>
      <c r="AC522" s="70"/>
      <c r="AD522" s="70" t="s">
        <v>2222</v>
      </c>
      <c r="AE522" s="70" t="s">
        <v>2222</v>
      </c>
      <c r="AF522" s="70" t="s">
        <v>2222</v>
      </c>
      <c r="AG522" s="70" t="s">
        <v>2222</v>
      </c>
      <c r="AH522" s="70"/>
      <c r="AI522" s="70"/>
      <c r="AJ522" s="70" t="s">
        <v>2222</v>
      </c>
      <c r="AK522" s="70" t="s">
        <v>2222</v>
      </c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>
        <v>4</v>
      </c>
      <c r="B523">
        <v>12</v>
      </c>
      <c r="C523"/>
      <c r="D523"/>
      <c r="E523" t="s">
        <v>2333</v>
      </c>
      <c r="F523" t="s">
        <v>501</v>
      </c>
      <c r="G523" t="s">
        <v>515</v>
      </c>
      <c r="H523" t="s">
        <v>1042</v>
      </c>
      <c r="I523" t="s">
        <v>516</v>
      </c>
      <c r="J523" s="30" t="s">
        <v>18</v>
      </c>
      <c r="K523" s="30" t="s">
        <v>27</v>
      </c>
      <c r="L523" s="30"/>
      <c r="M523" s="30" t="s">
        <v>831</v>
      </c>
      <c r="N523" s="30"/>
      <c r="O523" s="31">
        <f t="shared" si="43"/>
        <v>28</v>
      </c>
      <c r="P523" s="136" t="s">
        <v>2013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>
        <v>4</v>
      </c>
      <c r="B524">
        <v>12</v>
      </c>
      <c r="C524"/>
      <c r="D524"/>
      <c r="E524" t="s">
        <v>2333</v>
      </c>
      <c r="F524" s="73" t="s">
        <v>501</v>
      </c>
      <c r="G524" s="73" t="s">
        <v>517</v>
      </c>
      <c r="H524" s="73" t="s">
        <v>1042</v>
      </c>
      <c r="I524" s="73" t="s">
        <v>518</v>
      </c>
      <c r="J524" s="84" t="s">
        <v>18</v>
      </c>
      <c r="K524" s="84" t="s">
        <v>27</v>
      </c>
      <c r="L524" s="84"/>
      <c r="M524" s="84" t="s">
        <v>832</v>
      </c>
      <c r="N524" s="84"/>
      <c r="O524" s="31">
        <f t="shared" si="43"/>
        <v>28</v>
      </c>
      <c r="P524" s="136" t="s">
        <v>2014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/>
      <c r="B525"/>
      <c r="C525"/>
      <c r="D525"/>
      <c r="E525"/>
      <c r="F525" s="73" t="s">
        <v>501</v>
      </c>
      <c r="G525" s="73" t="s">
        <v>519</v>
      </c>
      <c r="H525" s="73" t="s">
        <v>1042</v>
      </c>
      <c r="I525" s="73" t="s">
        <v>520</v>
      </c>
      <c r="J525" s="84" t="s">
        <v>18</v>
      </c>
      <c r="K525" s="84" t="s">
        <v>1278</v>
      </c>
      <c r="L525" s="84"/>
      <c r="M525" s="84" t="s">
        <v>1474</v>
      </c>
      <c r="N525" s="84"/>
      <c r="O525" s="131">
        <f t="shared" si="43"/>
        <v>28</v>
      </c>
      <c r="P525" s="136" t="s">
        <v>2015</v>
      </c>
      <c r="Q525" s="131">
        <f t="shared" si="44"/>
        <v>0</v>
      </c>
      <c r="R525" s="1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/>
      <c r="F526" t="s">
        <v>501</v>
      </c>
      <c r="G526" t="s">
        <v>521</v>
      </c>
      <c r="H526" t="s">
        <v>1042</v>
      </c>
      <c r="I526" t="s">
        <v>1048</v>
      </c>
      <c r="J526" s="30" t="s">
        <v>18</v>
      </c>
      <c r="K526" s="30" t="s">
        <v>27</v>
      </c>
      <c r="L526" s="30"/>
      <c r="M526" s="30" t="s">
        <v>833</v>
      </c>
      <c r="N526" s="30"/>
      <c r="O526" s="31">
        <f t="shared" si="43"/>
        <v>16</v>
      </c>
      <c r="P526" s="136" t="s">
        <v>2016</v>
      </c>
      <c r="Q526" s="31">
        <f t="shared" si="44"/>
        <v>12</v>
      </c>
      <c r="R526" s="32">
        <f t="shared" si="45"/>
        <v>0.5714285714285714</v>
      </c>
      <c r="S526" s="70"/>
      <c r="T526" s="70"/>
      <c r="U526" s="70"/>
      <c r="V526" s="70" t="s">
        <v>2222</v>
      </c>
      <c r="W526" s="70" t="s">
        <v>2222</v>
      </c>
      <c r="X526" s="70" t="s">
        <v>2222</v>
      </c>
      <c r="Y526" s="70" t="s">
        <v>2222</v>
      </c>
      <c r="Z526" s="70" t="s">
        <v>2222</v>
      </c>
      <c r="AA526" s="70"/>
      <c r="AB526" s="70"/>
      <c r="AC526" s="70" t="s">
        <v>2222</v>
      </c>
      <c r="AD526" s="70" t="s">
        <v>2222</v>
      </c>
      <c r="AE526" s="70" t="s">
        <v>2222</v>
      </c>
      <c r="AF526" s="70" t="s">
        <v>2222</v>
      </c>
      <c r="AG526" s="70" t="s">
        <v>2222</v>
      </c>
      <c r="AH526" s="70"/>
      <c r="AI526" s="70"/>
      <c r="AJ526" s="70" t="s">
        <v>2222</v>
      </c>
      <c r="AK526" s="70" t="s">
        <v>2222</v>
      </c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s="73" customFormat="1" ht="15.75" hidden="1" thickBot="1" x14ac:dyDescent="0.3">
      <c r="A527"/>
      <c r="B527"/>
      <c r="C527"/>
      <c r="D527"/>
      <c r="E527" s="151" t="s">
        <v>2460</v>
      </c>
      <c r="F527" t="s">
        <v>501</v>
      </c>
      <c r="G527" t="s">
        <v>522</v>
      </c>
      <c r="H527" t="s">
        <v>1041</v>
      </c>
      <c r="I527" t="s">
        <v>1047</v>
      </c>
      <c r="J527" s="30" t="s">
        <v>18</v>
      </c>
      <c r="K527" s="30" t="s">
        <v>2368</v>
      </c>
      <c r="L527" s="30"/>
      <c r="M527" s="30" t="s">
        <v>834</v>
      </c>
      <c r="N527" s="30"/>
      <c r="O527" s="31">
        <f t="shared" si="43"/>
        <v>28</v>
      </c>
      <c r="P527" s="136" t="s">
        <v>2017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/>
    </row>
    <row r="528" spans="1:49" ht="15.75" hidden="1" thickBot="1" x14ac:dyDescent="0.3">
      <c r="A528"/>
      <c r="B528"/>
      <c r="C528"/>
      <c r="D528"/>
      <c r="E528"/>
      <c r="F528" s="73" t="s">
        <v>505</v>
      </c>
      <c r="G528" s="73" t="s">
        <v>523</v>
      </c>
      <c r="H528" s="73" t="s">
        <v>1042</v>
      </c>
      <c r="I528" s="73" t="s">
        <v>524</v>
      </c>
      <c r="J528" s="84" t="s">
        <v>18</v>
      </c>
      <c r="K528" s="84" t="s">
        <v>1278</v>
      </c>
      <c r="L528" s="84"/>
      <c r="M528" s="84" t="s">
        <v>835</v>
      </c>
      <c r="N528" s="84"/>
      <c r="O528" s="131">
        <f t="shared" si="43"/>
        <v>28</v>
      </c>
      <c r="P528" s="136" t="s">
        <v>2018</v>
      </c>
      <c r="Q528" s="131">
        <f t="shared" si="44"/>
        <v>0</v>
      </c>
      <c r="R528" s="1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hidden="1" thickBot="1" x14ac:dyDescent="0.3">
      <c r="A529">
        <v>5</v>
      </c>
      <c r="B529">
        <v>3</v>
      </c>
      <c r="C529"/>
      <c r="D529"/>
      <c r="E529" t="s">
        <v>1233</v>
      </c>
      <c r="F529" t="s">
        <v>505</v>
      </c>
      <c r="G529" t="s">
        <v>525</v>
      </c>
      <c r="H529" t="s">
        <v>1042</v>
      </c>
      <c r="I529" t="s">
        <v>526</v>
      </c>
      <c r="J529" s="30" t="s">
        <v>18</v>
      </c>
      <c r="K529" s="30" t="s">
        <v>27</v>
      </c>
      <c r="L529" s="30"/>
      <c r="M529" s="30" t="s">
        <v>836</v>
      </c>
      <c r="N529" s="30"/>
      <c r="O529" s="31">
        <f t="shared" si="43"/>
        <v>28</v>
      </c>
      <c r="P529" s="136" t="s">
        <v>2019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42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/>
      <c r="B530"/>
      <c r="C530"/>
      <c r="D530"/>
      <c r="E530"/>
      <c r="F530" t="s">
        <v>505</v>
      </c>
      <c r="G530" t="s">
        <v>528</v>
      </c>
      <c r="H530" t="s">
        <v>1042</v>
      </c>
      <c r="I530" t="s">
        <v>529</v>
      </c>
      <c r="J530" s="30" t="s">
        <v>18</v>
      </c>
      <c r="K530" s="84" t="s">
        <v>1278</v>
      </c>
      <c r="L530" s="30"/>
      <c r="M530" s="30" t="s">
        <v>838</v>
      </c>
      <c r="N530" s="30"/>
      <c r="O530" s="31">
        <f t="shared" si="43"/>
        <v>18</v>
      </c>
      <c r="P530" s="136" t="s">
        <v>2021</v>
      </c>
      <c r="Q530" s="31">
        <f t="shared" si="44"/>
        <v>10</v>
      </c>
      <c r="R530" s="32">
        <f t="shared" si="45"/>
        <v>0.6428571428571429</v>
      </c>
      <c r="S530" s="70"/>
      <c r="T530" s="70"/>
      <c r="U530" s="70"/>
      <c r="V530" s="70" t="s">
        <v>2222</v>
      </c>
      <c r="W530" s="70" t="s">
        <v>2222</v>
      </c>
      <c r="X530" s="70" t="s">
        <v>2222</v>
      </c>
      <c r="Y530" s="70" t="s">
        <v>2222</v>
      </c>
      <c r="Z530" s="70"/>
      <c r="AA530" s="70"/>
      <c r="AB530" s="70"/>
      <c r="AC530" s="70"/>
      <c r="AD530" s="70" t="s">
        <v>2222</v>
      </c>
      <c r="AE530" s="70" t="s">
        <v>2222</v>
      </c>
      <c r="AF530" s="70" t="s">
        <v>2222</v>
      </c>
      <c r="AG530" s="70" t="s">
        <v>2222</v>
      </c>
      <c r="AH530" s="70"/>
      <c r="AI530" s="70"/>
      <c r="AJ530" s="70" t="s">
        <v>2222</v>
      </c>
      <c r="AK530" s="70" t="s">
        <v>2222</v>
      </c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505</v>
      </c>
      <c r="G531" t="s">
        <v>1019</v>
      </c>
      <c r="H531" t="s">
        <v>1042</v>
      </c>
      <c r="I531" t="s">
        <v>500</v>
      </c>
      <c r="J531" s="30" t="s">
        <v>14</v>
      </c>
      <c r="K531" s="30" t="s">
        <v>1035</v>
      </c>
      <c r="L531" s="30" t="s">
        <v>1236</v>
      </c>
      <c r="M531" s="30" t="s">
        <v>839</v>
      </c>
      <c r="N531" s="30"/>
      <c r="O531" s="31">
        <f t="shared" si="43"/>
        <v>28</v>
      </c>
      <c r="P531" s="136" t="s">
        <v>2022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hidden="1" thickBot="1" x14ac:dyDescent="0.3">
      <c r="A532"/>
      <c r="B532"/>
      <c r="C532"/>
      <c r="D532"/>
      <c r="E532" s="151" t="s">
        <v>2460</v>
      </c>
      <c r="F532" t="s">
        <v>501</v>
      </c>
      <c r="G532" t="s">
        <v>1020</v>
      </c>
      <c r="H532" t="s">
        <v>1042</v>
      </c>
      <c r="I532" t="s">
        <v>502</v>
      </c>
      <c r="J532" s="30" t="s">
        <v>18</v>
      </c>
      <c r="K532" s="30" t="s">
        <v>2366</v>
      </c>
      <c r="L532" s="30"/>
      <c r="M532" s="30" t="s">
        <v>840</v>
      </c>
      <c r="N532" s="30"/>
      <c r="O532" s="31">
        <f t="shared" si="43"/>
        <v>27</v>
      </c>
      <c r="P532" s="136" t="s">
        <v>2023</v>
      </c>
      <c r="Q532" s="31">
        <f t="shared" si="44"/>
        <v>1</v>
      </c>
      <c r="R532" s="32">
        <f t="shared" si="45"/>
        <v>0.9642857142857143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 t="s">
        <v>2222</v>
      </c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hidden="1" thickBot="1" x14ac:dyDescent="0.3">
      <c r="A533">
        <v>4</v>
      </c>
      <c r="B533">
        <v>12</v>
      </c>
      <c r="C533"/>
      <c r="D533"/>
      <c r="E533" t="s">
        <v>2333</v>
      </c>
      <c r="F533" t="s">
        <v>501</v>
      </c>
      <c r="G533" t="s">
        <v>1021</v>
      </c>
      <c r="H533" t="s">
        <v>1042</v>
      </c>
      <c r="I533" t="s">
        <v>509</v>
      </c>
      <c r="J533" s="30" t="s">
        <v>14</v>
      </c>
      <c r="K533" s="30" t="s">
        <v>1035</v>
      </c>
      <c r="L533" s="30" t="s">
        <v>1239</v>
      </c>
      <c r="M533" s="30" t="s">
        <v>845</v>
      </c>
      <c r="N533" s="30"/>
      <c r="O533" s="31">
        <f t="shared" si="43"/>
        <v>28</v>
      </c>
      <c r="P533" s="136" t="s">
        <v>2028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hidden="1" thickBot="1" x14ac:dyDescent="0.3">
      <c r="A534"/>
      <c r="B534"/>
      <c r="C534"/>
      <c r="D534"/>
      <c r="E534"/>
      <c r="F534" t="s">
        <v>501</v>
      </c>
      <c r="G534" t="s">
        <v>1022</v>
      </c>
      <c r="H534" t="s">
        <v>1042</v>
      </c>
      <c r="I534" t="s">
        <v>510</v>
      </c>
      <c r="J534" s="30" t="s">
        <v>14</v>
      </c>
      <c r="K534" s="30" t="s">
        <v>19</v>
      </c>
      <c r="L534" s="30"/>
      <c r="M534" s="30" t="s">
        <v>846</v>
      </c>
      <c r="N534" s="30"/>
      <c r="O534" s="31">
        <f t="shared" si="43"/>
        <v>28</v>
      </c>
      <c r="P534" s="136" t="s">
        <v>2432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hidden="1" thickBot="1" x14ac:dyDescent="0.3">
      <c r="A535"/>
      <c r="B535"/>
      <c r="C535"/>
      <c r="D535"/>
      <c r="E535" s="151" t="s">
        <v>2460</v>
      </c>
      <c r="F535" t="s">
        <v>501</v>
      </c>
      <c r="G535" t="s">
        <v>532</v>
      </c>
      <c r="H535" t="s">
        <v>1041</v>
      </c>
      <c r="I535" t="s">
        <v>533</v>
      </c>
      <c r="J535" s="30" t="s">
        <v>71</v>
      </c>
      <c r="K535" s="30" t="s">
        <v>2368</v>
      </c>
      <c r="L535" s="30"/>
      <c r="M535" s="30" t="s">
        <v>657</v>
      </c>
      <c r="N535" s="30"/>
      <c r="O535" s="31">
        <f t="shared" si="43"/>
        <v>28</v>
      </c>
      <c r="P535" s="136" t="s">
        <v>2032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3"/>
    </row>
    <row r="536" spans="1:49" s="73" customFormat="1" ht="15.75" hidden="1" thickBot="1" x14ac:dyDescent="0.3">
      <c r="A536"/>
      <c r="B536"/>
      <c r="C536"/>
      <c r="D536"/>
      <c r="E536" s="151" t="s">
        <v>2460</v>
      </c>
      <c r="F536" t="s">
        <v>501</v>
      </c>
      <c r="G536" t="s">
        <v>534</v>
      </c>
      <c r="H536" t="s">
        <v>1041</v>
      </c>
      <c r="I536" t="s">
        <v>533</v>
      </c>
      <c r="J536" s="30" t="s">
        <v>71</v>
      </c>
      <c r="K536" s="30" t="s">
        <v>2368</v>
      </c>
      <c r="L536" s="30"/>
      <c r="M536" s="30" t="s">
        <v>849</v>
      </c>
      <c r="N536" s="30"/>
      <c r="O536" s="31">
        <f t="shared" si="43"/>
        <v>28</v>
      </c>
      <c r="P536" s="136" t="s">
        <v>2033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88"/>
    </row>
    <row r="537" spans="1:49" s="73" customFormat="1" ht="15.75" hidden="1" thickBot="1" x14ac:dyDescent="0.3">
      <c r="A537"/>
      <c r="B537"/>
      <c r="C537"/>
      <c r="D537"/>
      <c r="E537"/>
      <c r="F537" s="73" t="s">
        <v>505</v>
      </c>
      <c r="G537" s="84" t="s">
        <v>1554</v>
      </c>
      <c r="H537" s="84" t="s">
        <v>1042</v>
      </c>
      <c r="I537" s="73" t="s">
        <v>1555</v>
      </c>
      <c r="J537" s="84" t="s">
        <v>14</v>
      </c>
      <c r="K537" s="84" t="s">
        <v>1278</v>
      </c>
      <c r="L537" s="84"/>
      <c r="M537" s="84" t="s">
        <v>1556</v>
      </c>
      <c r="N537" s="84"/>
      <c r="O537" s="131">
        <f t="shared" si="43"/>
        <v>28</v>
      </c>
      <c r="P537" s="136" t="s">
        <v>2039</v>
      </c>
      <c r="Q537" s="131">
        <f t="shared" si="44"/>
        <v>0</v>
      </c>
      <c r="R537" s="1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hidden="1" thickBot="1" x14ac:dyDescent="0.3">
      <c r="A538"/>
      <c r="B538"/>
      <c r="C538"/>
      <c r="D538"/>
      <c r="E538"/>
      <c r="F538" s="73" t="s">
        <v>505</v>
      </c>
      <c r="G538" s="84" t="s">
        <v>2171</v>
      </c>
      <c r="H538" s="84" t="s">
        <v>1042</v>
      </c>
      <c r="I538" s="73" t="s">
        <v>2172</v>
      </c>
      <c r="J538" s="30" t="s">
        <v>71</v>
      </c>
      <c r="K538" s="84" t="s">
        <v>1278</v>
      </c>
      <c r="L538" s="84"/>
      <c r="M538" s="84" t="s">
        <v>2293</v>
      </c>
      <c r="N538" s="84"/>
      <c r="O538" s="131">
        <f t="shared" si="43"/>
        <v>27</v>
      </c>
      <c r="P538" s="136" t="s">
        <v>2173</v>
      </c>
      <c r="Q538" s="131">
        <f t="shared" si="44"/>
        <v>1</v>
      </c>
      <c r="R538" s="132">
        <f t="shared" si="45"/>
        <v>0.9642857142857143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 t="s">
        <v>2222</v>
      </c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s="73" customFormat="1" ht="15.75" hidden="1" thickBot="1" x14ac:dyDescent="0.3">
      <c r="A539"/>
      <c r="B539"/>
      <c r="C539"/>
      <c r="D539"/>
      <c r="E539"/>
      <c r="F539" s="73" t="s">
        <v>505</v>
      </c>
      <c r="G539" s="84" t="s">
        <v>2174</v>
      </c>
      <c r="H539" s="84" t="s">
        <v>1042</v>
      </c>
      <c r="I539" s="73" t="s">
        <v>2175</v>
      </c>
      <c r="J539" s="84" t="s">
        <v>14</v>
      </c>
      <c r="K539" s="84" t="s">
        <v>1278</v>
      </c>
      <c r="L539" s="84"/>
      <c r="M539" s="84" t="s">
        <v>2294</v>
      </c>
      <c r="N539" s="84"/>
      <c r="O539" s="131">
        <f t="shared" si="43"/>
        <v>28</v>
      </c>
      <c r="P539" s="136" t="s">
        <v>2176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hidden="1" thickBot="1" x14ac:dyDescent="0.3">
      <c r="A540">
        <v>1</v>
      </c>
      <c r="B540">
        <v>18</v>
      </c>
      <c r="C540"/>
      <c r="D540"/>
      <c r="E540" t="s">
        <v>2361</v>
      </c>
      <c r="F540" t="s">
        <v>396</v>
      </c>
      <c r="G540" t="s">
        <v>1023</v>
      </c>
      <c r="H540" t="s">
        <v>1041</v>
      </c>
      <c r="I540" t="s">
        <v>537</v>
      </c>
      <c r="J540" s="30" t="s">
        <v>18</v>
      </c>
      <c r="K540" s="30" t="s">
        <v>27</v>
      </c>
      <c r="L540" s="30"/>
      <c r="M540" s="30" t="s">
        <v>852</v>
      </c>
      <c r="N540" s="30" t="s">
        <v>2266</v>
      </c>
      <c r="O540" s="31">
        <f t="shared" si="43"/>
        <v>28</v>
      </c>
      <c r="P540" s="136" t="s">
        <v>2040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ht="15.75" hidden="1" thickBot="1" x14ac:dyDescent="0.3">
      <c r="A541">
        <v>1</v>
      </c>
      <c r="B541">
        <v>18</v>
      </c>
      <c r="C541"/>
      <c r="D541"/>
      <c r="E541" t="s">
        <v>2361</v>
      </c>
      <c r="F541" t="s">
        <v>281</v>
      </c>
      <c r="G541" t="s">
        <v>1024</v>
      </c>
      <c r="H541" t="s">
        <v>1041</v>
      </c>
      <c r="I541" t="s">
        <v>538</v>
      </c>
      <c r="J541" s="30" t="s">
        <v>18</v>
      </c>
      <c r="K541" s="30" t="s">
        <v>27</v>
      </c>
      <c r="L541" s="30"/>
      <c r="M541" s="30" t="s">
        <v>853</v>
      </c>
      <c r="N541" s="30" t="s">
        <v>2266</v>
      </c>
      <c r="O541" s="31">
        <f t="shared" si="43"/>
        <v>28</v>
      </c>
      <c r="P541" s="136" t="s">
        <v>2041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hidden="1" thickBot="1" x14ac:dyDescent="0.3">
      <c r="A542" s="88">
        <v>1</v>
      </c>
      <c r="B542" s="88">
        <v>18</v>
      </c>
      <c r="C542" s="88"/>
      <c r="D542" s="88"/>
      <c r="E542" s="88" t="s">
        <v>2361</v>
      </c>
      <c r="F542" s="73" t="s">
        <v>396</v>
      </c>
      <c r="G542" s="73" t="s">
        <v>535</v>
      </c>
      <c r="H542" s="88" t="s">
        <v>1041</v>
      </c>
      <c r="I542" s="73" t="s">
        <v>536</v>
      </c>
      <c r="J542" s="89" t="s">
        <v>18</v>
      </c>
      <c r="K542" s="84" t="s">
        <v>27</v>
      </c>
      <c r="L542" s="84"/>
      <c r="M542" s="84" t="s">
        <v>856</v>
      </c>
      <c r="N542" s="84" t="s">
        <v>2266</v>
      </c>
      <c r="O542" s="31">
        <f t="shared" si="43"/>
        <v>16</v>
      </c>
      <c r="P542" s="136"/>
      <c r="Q542" s="31">
        <f t="shared" si="44"/>
        <v>12</v>
      </c>
      <c r="R542" s="32">
        <f t="shared" si="45"/>
        <v>0.5714285714285714</v>
      </c>
      <c r="S542" s="70"/>
      <c r="T542" s="70"/>
      <c r="U542" s="70"/>
      <c r="V542" s="70" t="s">
        <v>2222</v>
      </c>
      <c r="W542" s="70" t="s">
        <v>2222</v>
      </c>
      <c r="X542" s="70" t="s">
        <v>2222</v>
      </c>
      <c r="Y542" s="70" t="s">
        <v>2222</v>
      </c>
      <c r="Z542" s="70" t="s">
        <v>2222</v>
      </c>
      <c r="AA542" s="70"/>
      <c r="AB542" s="70"/>
      <c r="AC542" s="70" t="s">
        <v>2222</v>
      </c>
      <c r="AD542" s="70" t="s">
        <v>2222</v>
      </c>
      <c r="AE542" s="70" t="s">
        <v>2222</v>
      </c>
      <c r="AF542" s="70" t="s">
        <v>2222</v>
      </c>
      <c r="AG542" s="70" t="s">
        <v>2222</v>
      </c>
      <c r="AH542" s="70"/>
      <c r="AI542" s="70"/>
      <c r="AJ542" s="70" t="s">
        <v>2222</v>
      </c>
      <c r="AK542" s="70" t="s">
        <v>2222</v>
      </c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ht="15.75" hidden="1" thickBot="1" x14ac:dyDescent="0.3">
      <c r="A543">
        <v>1</v>
      </c>
      <c r="B543">
        <v>18</v>
      </c>
      <c r="C543"/>
      <c r="D543"/>
      <c r="E543" t="s">
        <v>2361</v>
      </c>
      <c r="F543" t="s">
        <v>396</v>
      </c>
      <c r="G543" t="s">
        <v>539</v>
      </c>
      <c r="H543" t="s">
        <v>1041</v>
      </c>
      <c r="I543" t="s">
        <v>540</v>
      </c>
      <c r="J543" s="30" t="s">
        <v>71</v>
      </c>
      <c r="K543" s="30" t="s">
        <v>27</v>
      </c>
      <c r="L543" s="30"/>
      <c r="M543" s="30" t="s">
        <v>850</v>
      </c>
      <c r="N543" s="30" t="s">
        <v>2266</v>
      </c>
      <c r="O543" s="31">
        <f t="shared" si="43"/>
        <v>21</v>
      </c>
      <c r="P543" s="136" t="s">
        <v>2042</v>
      </c>
      <c r="Q543" s="31">
        <f t="shared" si="44"/>
        <v>7</v>
      </c>
      <c r="R543" s="32">
        <f t="shared" si="45"/>
        <v>0.75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 t="s">
        <v>2222</v>
      </c>
      <c r="AD543" s="70" t="s">
        <v>2222</v>
      </c>
      <c r="AE543" s="70" t="s">
        <v>2222</v>
      </c>
      <c r="AF543" s="70" t="s">
        <v>2222</v>
      </c>
      <c r="AG543" s="70" t="s">
        <v>2222</v>
      </c>
      <c r="AH543" s="70"/>
      <c r="AI543" s="70"/>
      <c r="AJ543" s="70" t="s">
        <v>2222</v>
      </c>
      <c r="AK543" s="70" t="s">
        <v>2222</v>
      </c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hidden="1" thickBot="1" x14ac:dyDescent="0.3">
      <c r="A544">
        <v>1</v>
      </c>
      <c r="B544">
        <v>18</v>
      </c>
      <c r="C544"/>
      <c r="D544"/>
      <c r="E544" t="s">
        <v>2361</v>
      </c>
      <c r="F544" t="s">
        <v>396</v>
      </c>
      <c r="G544" t="s">
        <v>541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851</v>
      </c>
      <c r="N544" s="30" t="s">
        <v>2266</v>
      </c>
      <c r="O544" s="31">
        <f t="shared" si="43"/>
        <v>21</v>
      </c>
      <c r="P544" s="136" t="s">
        <v>2043</v>
      </c>
      <c r="Q544" s="31">
        <f t="shared" si="44"/>
        <v>7</v>
      </c>
      <c r="R544" s="32">
        <f t="shared" si="45"/>
        <v>0.75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 t="s">
        <v>2222</v>
      </c>
      <c r="AD544" s="70" t="s">
        <v>2222</v>
      </c>
      <c r="AE544" s="70" t="s">
        <v>2222</v>
      </c>
      <c r="AF544" s="70" t="s">
        <v>2222</v>
      </c>
      <c r="AG544" s="70" t="s">
        <v>2222</v>
      </c>
      <c r="AH544" s="70"/>
      <c r="AI544" s="70"/>
      <c r="AJ544" s="70" t="s">
        <v>2222</v>
      </c>
      <c r="AK544" s="70" t="s">
        <v>2222</v>
      </c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hidden="1" thickBot="1" x14ac:dyDescent="0.3">
      <c r="A545">
        <v>1</v>
      </c>
      <c r="B545">
        <v>18</v>
      </c>
      <c r="C545"/>
      <c r="D545"/>
      <c r="E545" t="s">
        <v>2361</v>
      </c>
      <c r="F545" t="s">
        <v>396</v>
      </c>
      <c r="G545" t="s">
        <v>542</v>
      </c>
      <c r="H545" t="s">
        <v>1041</v>
      </c>
      <c r="I545" t="s">
        <v>543</v>
      </c>
      <c r="J545" s="30" t="s">
        <v>71</v>
      </c>
      <c r="K545" s="30" t="s">
        <v>27</v>
      </c>
      <c r="L545" s="30"/>
      <c r="M545" s="30" t="s">
        <v>854</v>
      </c>
      <c r="N545" s="30" t="s">
        <v>2266</v>
      </c>
      <c r="O545" s="31">
        <f t="shared" si="43"/>
        <v>28</v>
      </c>
      <c r="P545" s="136" t="s">
        <v>2044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s="88" customFormat="1" ht="15.75" hidden="1" thickBot="1" x14ac:dyDescent="0.3">
      <c r="A546">
        <v>1</v>
      </c>
      <c r="B546">
        <v>18</v>
      </c>
      <c r="C546"/>
      <c r="D546"/>
      <c r="E546" t="s">
        <v>2361</v>
      </c>
      <c r="F546" t="s">
        <v>396</v>
      </c>
      <c r="G546" t="s">
        <v>544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855</v>
      </c>
      <c r="N546" s="30" t="s">
        <v>2266</v>
      </c>
      <c r="O546" s="31">
        <f t="shared" si="43"/>
        <v>28</v>
      </c>
      <c r="P546" s="136" t="s">
        <v>2045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s="88" customFormat="1" ht="15.75" hidden="1" thickBot="1" x14ac:dyDescent="0.3">
      <c r="A547" s="88">
        <v>1</v>
      </c>
      <c r="B547" s="88">
        <v>18</v>
      </c>
      <c r="E547" s="88" t="s">
        <v>2361</v>
      </c>
      <c r="F547" s="73" t="s">
        <v>396</v>
      </c>
      <c r="G547" s="73" t="s">
        <v>545</v>
      </c>
      <c r="H547" s="88" t="s">
        <v>1041</v>
      </c>
      <c r="I547" s="73" t="s">
        <v>546</v>
      </c>
      <c r="J547" s="89" t="s">
        <v>14</v>
      </c>
      <c r="K547" s="84" t="s">
        <v>27</v>
      </c>
      <c r="L547" s="84"/>
      <c r="M547" s="84" t="s">
        <v>1476</v>
      </c>
      <c r="N547" s="84" t="s">
        <v>2266</v>
      </c>
      <c r="O547" s="31">
        <f t="shared" si="43"/>
        <v>28</v>
      </c>
      <c r="P547" s="136" t="s">
        <v>2046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hidden="1" thickBot="1" x14ac:dyDescent="0.3">
      <c r="A548"/>
      <c r="B548"/>
      <c r="C548"/>
      <c r="D548"/>
      <c r="E548" s="151" t="s">
        <v>2462</v>
      </c>
      <c r="F548" t="s">
        <v>376</v>
      </c>
      <c r="G548" s="30" t="s">
        <v>2131</v>
      </c>
      <c r="H548" s="73" t="s">
        <v>1041</v>
      </c>
      <c r="I548" t="s">
        <v>2132</v>
      </c>
      <c r="J548" s="84" t="s">
        <v>45</v>
      </c>
      <c r="K548" s="30" t="s">
        <v>2368</v>
      </c>
      <c r="L548" s="30"/>
      <c r="M548" s="30" t="s">
        <v>2133</v>
      </c>
      <c r="N548" s="30" t="s">
        <v>2266</v>
      </c>
      <c r="O548" s="31">
        <f t="shared" si="43"/>
        <v>18</v>
      </c>
      <c r="P548" s="136" t="s">
        <v>2134</v>
      </c>
      <c r="Q548" s="31">
        <f t="shared" si="44"/>
        <v>10</v>
      </c>
      <c r="R548" s="32">
        <f t="shared" si="45"/>
        <v>0.6428571428571429</v>
      </c>
      <c r="S548" s="70"/>
      <c r="T548" s="70"/>
      <c r="U548" s="70"/>
      <c r="V548" s="70" t="s">
        <v>2222</v>
      </c>
      <c r="W548" s="70" t="s">
        <v>2222</v>
      </c>
      <c r="X548" s="70" t="s">
        <v>2222</v>
      </c>
      <c r="Y548" s="70" t="s">
        <v>2222</v>
      </c>
      <c r="Z548" s="70" t="s">
        <v>2222</v>
      </c>
      <c r="AA548" s="70"/>
      <c r="AB548" s="70"/>
      <c r="AC548" s="70" t="s">
        <v>2222</v>
      </c>
      <c r="AD548" s="70" t="s">
        <v>2222</v>
      </c>
      <c r="AE548" s="70" t="s">
        <v>2222</v>
      </c>
      <c r="AF548" s="70" t="s">
        <v>2222</v>
      </c>
      <c r="AG548" s="70" t="s">
        <v>2222</v>
      </c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ht="15.75" hidden="1" thickBot="1" x14ac:dyDescent="0.3">
      <c r="A549"/>
      <c r="B549"/>
      <c r="C549"/>
      <c r="D549"/>
      <c r="E549"/>
      <c r="F549" s="73" t="s">
        <v>470</v>
      </c>
      <c r="G549" s="73" t="s">
        <v>1321</v>
      </c>
      <c r="H549" s="84" t="s">
        <v>1041</v>
      </c>
      <c r="I549" s="73" t="s">
        <v>1322</v>
      </c>
      <c r="J549" s="89" t="s">
        <v>14</v>
      </c>
      <c r="K549" s="84" t="s">
        <v>1278</v>
      </c>
      <c r="L549" s="84"/>
      <c r="M549" s="84" t="s">
        <v>1327</v>
      </c>
      <c r="N549" s="84"/>
      <c r="O549" s="131">
        <f t="shared" si="43"/>
        <v>28</v>
      </c>
      <c r="P549" s="136" t="s">
        <v>2047</v>
      </c>
      <c r="Q549" s="131">
        <f t="shared" si="44"/>
        <v>0</v>
      </c>
      <c r="R549" s="1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2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73" customFormat="1" ht="15.75" hidden="1" thickBot="1" x14ac:dyDescent="0.3">
      <c r="A550">
        <v>6</v>
      </c>
      <c r="B550">
        <v>1</v>
      </c>
      <c r="C550"/>
      <c r="D550"/>
      <c r="E550" t="s">
        <v>2436</v>
      </c>
      <c r="F550" t="s">
        <v>470</v>
      </c>
      <c r="G550" t="s">
        <v>547</v>
      </c>
      <c r="H550" t="s">
        <v>1041</v>
      </c>
      <c r="I550" t="s">
        <v>548</v>
      </c>
      <c r="J550" s="30" t="s">
        <v>18</v>
      </c>
      <c r="K550" s="30" t="s">
        <v>27</v>
      </c>
      <c r="L550" s="30"/>
      <c r="M550" s="30" t="s">
        <v>857</v>
      </c>
      <c r="N550" s="30"/>
      <c r="O550" s="31">
        <f t="shared" si="43"/>
        <v>28</v>
      </c>
      <c r="P550" s="136" t="s">
        <v>2048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hidden="1" thickBot="1" x14ac:dyDescent="0.3">
      <c r="A551"/>
      <c r="B551"/>
      <c r="C551"/>
      <c r="D551"/>
      <c r="E551"/>
      <c r="F551" s="73" t="s">
        <v>470</v>
      </c>
      <c r="G551" s="73" t="s">
        <v>549</v>
      </c>
      <c r="H551" s="73" t="s">
        <v>1041</v>
      </c>
      <c r="I551" s="73" t="s">
        <v>550</v>
      </c>
      <c r="J551" s="84" t="s">
        <v>18</v>
      </c>
      <c r="K551" s="84" t="s">
        <v>1278</v>
      </c>
      <c r="L551" s="84"/>
      <c r="M551" s="84" t="s">
        <v>1345</v>
      </c>
      <c r="N551" s="84"/>
      <c r="O551" s="131">
        <f t="shared" si="43"/>
        <v>16</v>
      </c>
      <c r="P551" s="136" t="s">
        <v>2049</v>
      </c>
      <c r="Q551" s="131">
        <f t="shared" si="44"/>
        <v>12</v>
      </c>
      <c r="R551" s="132">
        <f t="shared" si="45"/>
        <v>0.5714285714285714</v>
      </c>
      <c r="S551" s="70"/>
      <c r="T551" s="70"/>
      <c r="U551" s="70"/>
      <c r="V551" s="70" t="s">
        <v>2222</v>
      </c>
      <c r="W551" s="70" t="s">
        <v>2222</v>
      </c>
      <c r="X551" s="70" t="s">
        <v>2222</v>
      </c>
      <c r="Y551" s="70" t="s">
        <v>2222</v>
      </c>
      <c r="Z551" s="70" t="s">
        <v>2222</v>
      </c>
      <c r="AA551" s="70"/>
      <c r="AB551" s="70"/>
      <c r="AC551" s="70" t="s">
        <v>2222</v>
      </c>
      <c r="AD551" s="70" t="s">
        <v>2222</v>
      </c>
      <c r="AE551" s="70" t="s">
        <v>2222</v>
      </c>
      <c r="AF551" s="70" t="s">
        <v>2222</v>
      </c>
      <c r="AG551" s="70" t="s">
        <v>2222</v>
      </c>
      <c r="AH551" s="70"/>
      <c r="AI551" s="70"/>
      <c r="AJ551" s="70" t="s">
        <v>2222</v>
      </c>
      <c r="AK551" s="70" t="s">
        <v>2222</v>
      </c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ht="15.75" hidden="1" thickBot="1" x14ac:dyDescent="0.3">
      <c r="A552"/>
      <c r="B552"/>
      <c r="C552"/>
      <c r="D552"/>
      <c r="E552"/>
      <c r="F552" s="73" t="s">
        <v>470</v>
      </c>
      <c r="G552" s="73" t="s">
        <v>551</v>
      </c>
      <c r="H552" s="73" t="s">
        <v>1041</v>
      </c>
      <c r="I552" s="73" t="s">
        <v>552</v>
      </c>
      <c r="J552" s="84" t="s">
        <v>18</v>
      </c>
      <c r="K552" s="84" t="s">
        <v>1278</v>
      </c>
      <c r="L552" s="84"/>
      <c r="M552" s="84" t="s">
        <v>1403</v>
      </c>
      <c r="N552" s="84"/>
      <c r="O552" s="131">
        <f t="shared" si="43"/>
        <v>28</v>
      </c>
      <c r="P552" s="136" t="s">
        <v>2050</v>
      </c>
      <c r="Q552" s="131">
        <f t="shared" si="44"/>
        <v>0</v>
      </c>
      <c r="R552" s="1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hidden="1" thickBot="1" x14ac:dyDescent="0.3">
      <c r="A553">
        <v>6</v>
      </c>
      <c r="B553">
        <v>13</v>
      </c>
      <c r="C553"/>
      <c r="D553"/>
      <c r="E553" t="s">
        <v>2337</v>
      </c>
      <c r="F553" t="s">
        <v>470</v>
      </c>
      <c r="G553" t="s">
        <v>553</v>
      </c>
      <c r="H553" t="s">
        <v>1041</v>
      </c>
      <c r="I553" t="s">
        <v>554</v>
      </c>
      <c r="J553" s="30" t="s">
        <v>18</v>
      </c>
      <c r="K553" s="30" t="s">
        <v>1035</v>
      </c>
      <c r="L553" s="30" t="s">
        <v>1240</v>
      </c>
      <c r="M553" s="30" t="s">
        <v>858</v>
      </c>
      <c r="N553" s="30"/>
      <c r="O553" s="31">
        <f t="shared" si="43"/>
        <v>16</v>
      </c>
      <c r="P553" s="136" t="s">
        <v>2051</v>
      </c>
      <c r="Q553" s="31">
        <f t="shared" si="44"/>
        <v>12</v>
      </c>
      <c r="R553" s="32">
        <f t="shared" si="45"/>
        <v>0.5714285714285714</v>
      </c>
      <c r="S553" s="70"/>
      <c r="T553" s="70"/>
      <c r="U553" s="70"/>
      <c r="V553" s="70" t="s">
        <v>2222</v>
      </c>
      <c r="W553" s="70" t="s">
        <v>2222</v>
      </c>
      <c r="X553" s="70" t="s">
        <v>2222</v>
      </c>
      <c r="Y553" s="70" t="s">
        <v>2222</v>
      </c>
      <c r="Z553" s="70" t="s">
        <v>2222</v>
      </c>
      <c r="AA553" s="70"/>
      <c r="AB553" s="70"/>
      <c r="AC553" s="70" t="s">
        <v>2222</v>
      </c>
      <c r="AD553" s="70" t="s">
        <v>2222</v>
      </c>
      <c r="AE553" s="70" t="s">
        <v>2222</v>
      </c>
      <c r="AF553" s="70" t="s">
        <v>2222</v>
      </c>
      <c r="AG553" s="70" t="s">
        <v>2222</v>
      </c>
      <c r="AH553" s="70"/>
      <c r="AI553" s="70"/>
      <c r="AJ553" s="70" t="s">
        <v>2222</v>
      </c>
      <c r="AK553" s="70" t="s">
        <v>2222</v>
      </c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hidden="1" thickBot="1" x14ac:dyDescent="0.3">
      <c r="A554"/>
      <c r="B554"/>
      <c r="C554"/>
      <c r="D554"/>
      <c r="E554"/>
      <c r="F554" s="73" t="s">
        <v>466</v>
      </c>
      <c r="G554" s="73" t="s">
        <v>555</v>
      </c>
      <c r="H554" s="73" t="s">
        <v>1041</v>
      </c>
      <c r="I554" s="73" t="s">
        <v>556</v>
      </c>
      <c r="J554" s="84" t="s">
        <v>18</v>
      </c>
      <c r="K554" s="84" t="s">
        <v>1278</v>
      </c>
      <c r="L554" s="84"/>
      <c r="M554" s="84" t="s">
        <v>1475</v>
      </c>
      <c r="N554" s="84"/>
      <c r="O554" s="131">
        <f t="shared" si="43"/>
        <v>28</v>
      </c>
      <c r="P554" s="136" t="s">
        <v>2052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ht="15.75" hidden="1" thickBot="1" x14ac:dyDescent="0.3">
      <c r="A555"/>
      <c r="B555"/>
      <c r="C555"/>
      <c r="D555"/>
      <c r="E555"/>
      <c r="F555" t="s">
        <v>466</v>
      </c>
      <c r="G555" t="s">
        <v>1289</v>
      </c>
      <c r="H555" t="s">
        <v>1041</v>
      </c>
      <c r="I555" t="s">
        <v>2148</v>
      </c>
      <c r="J555" s="84" t="s">
        <v>14</v>
      </c>
      <c r="K555" s="84" t="s">
        <v>1278</v>
      </c>
      <c r="L555" s="30"/>
      <c r="M555" s="30" t="s">
        <v>2295</v>
      </c>
      <c r="N555" s="30"/>
      <c r="O555" s="31">
        <f t="shared" si="43"/>
        <v>16</v>
      </c>
      <c r="P555" s="136" t="s">
        <v>2149</v>
      </c>
      <c r="Q555" s="31">
        <f t="shared" si="44"/>
        <v>12</v>
      </c>
      <c r="R555" s="32">
        <f t="shared" si="45"/>
        <v>0.5714285714285714</v>
      </c>
      <c r="S555" s="70"/>
      <c r="T555" s="70"/>
      <c r="U555" s="70"/>
      <c r="V555" s="70" t="s">
        <v>2222</v>
      </c>
      <c r="W555" s="70" t="s">
        <v>2222</v>
      </c>
      <c r="X555" s="70" t="s">
        <v>2222</v>
      </c>
      <c r="Y555" s="70" t="s">
        <v>2222</v>
      </c>
      <c r="Z555" s="70" t="s">
        <v>2222</v>
      </c>
      <c r="AA555" s="70"/>
      <c r="AB555" s="70"/>
      <c r="AC555" s="70" t="s">
        <v>2222</v>
      </c>
      <c r="AD555" s="70" t="s">
        <v>2222</v>
      </c>
      <c r="AE555" s="70" t="s">
        <v>2222</v>
      </c>
      <c r="AF555" s="70" t="s">
        <v>2222</v>
      </c>
      <c r="AG555" s="70" t="s">
        <v>2222</v>
      </c>
      <c r="AH555" s="70"/>
      <c r="AI555" s="70"/>
      <c r="AJ555" s="70" t="s">
        <v>2222</v>
      </c>
      <c r="AK555" s="70" t="s">
        <v>2222</v>
      </c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s="73" customFormat="1" ht="15.75" hidden="1" thickBot="1" x14ac:dyDescent="0.3">
      <c r="A556"/>
      <c r="B556"/>
      <c r="C556"/>
      <c r="D556"/>
      <c r="E556"/>
      <c r="F556" t="s">
        <v>470</v>
      </c>
      <c r="G556" t="s">
        <v>2090</v>
      </c>
      <c r="H556" t="s">
        <v>1041</v>
      </c>
      <c r="I556" s="73" t="s">
        <v>2091</v>
      </c>
      <c r="J556" s="84" t="s">
        <v>14</v>
      </c>
      <c r="K556" s="84" t="s">
        <v>1278</v>
      </c>
      <c r="L556" s="30"/>
      <c r="M556" s="30" t="s">
        <v>2296</v>
      </c>
      <c r="N556" s="30"/>
      <c r="O556" s="31">
        <f t="shared" si="43"/>
        <v>26</v>
      </c>
      <c r="P556" s="136" t="s">
        <v>2092</v>
      </c>
      <c r="Q556" s="31">
        <f t="shared" si="44"/>
        <v>2</v>
      </c>
      <c r="R556" s="32">
        <f t="shared" si="45"/>
        <v>0.9285714285714286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 t="s">
        <v>2222</v>
      </c>
      <c r="AF556" s="70" t="s">
        <v>2222</v>
      </c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hidden="1" thickBot="1" x14ac:dyDescent="0.3">
      <c r="A557"/>
      <c r="B557"/>
      <c r="C557"/>
      <c r="D557"/>
      <c r="E557"/>
      <c r="F557" s="73" t="s">
        <v>2095</v>
      </c>
      <c r="G557" s="73" t="s">
        <v>2093</v>
      </c>
      <c r="H557" t="s">
        <v>1041</v>
      </c>
      <c r="I557" s="73" t="s">
        <v>2094</v>
      </c>
      <c r="J557" s="84" t="s">
        <v>14</v>
      </c>
      <c r="K557" s="84" t="s">
        <v>1278</v>
      </c>
      <c r="L557" s="84"/>
      <c r="M557" s="84" t="s">
        <v>2297</v>
      </c>
      <c r="N557" s="84"/>
      <c r="O557" s="131">
        <f t="shared" si="43"/>
        <v>27</v>
      </c>
      <c r="P557" s="136" t="s">
        <v>2096</v>
      </c>
      <c r="Q557" s="131">
        <f t="shared" si="44"/>
        <v>1</v>
      </c>
      <c r="R557" s="132">
        <f t="shared" si="45"/>
        <v>0.9642857142857143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 t="s">
        <v>2222</v>
      </c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hidden="1" thickBot="1" x14ac:dyDescent="0.3">
      <c r="A558"/>
      <c r="B558"/>
      <c r="C558"/>
      <c r="D558"/>
      <c r="E558"/>
      <c r="F558" s="73" t="s">
        <v>557</v>
      </c>
      <c r="G558" s="73" t="s">
        <v>558</v>
      </c>
      <c r="H558" s="73" t="s">
        <v>1042</v>
      </c>
      <c r="I558" s="73" t="s">
        <v>559</v>
      </c>
      <c r="J558" s="84" t="s">
        <v>14</v>
      </c>
      <c r="K558" s="84" t="s">
        <v>1278</v>
      </c>
      <c r="L558" s="84"/>
      <c r="M558" s="84" t="s">
        <v>859</v>
      </c>
      <c r="N558" s="84"/>
      <c r="O558" s="131">
        <f t="shared" si="43"/>
        <v>28</v>
      </c>
      <c r="P558" s="136" t="s">
        <v>2053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hidden="1" thickBot="1" x14ac:dyDescent="0.3">
      <c r="A559"/>
      <c r="B559"/>
      <c r="C559"/>
      <c r="D559"/>
      <c r="E559"/>
      <c r="F559" s="73" t="s">
        <v>557</v>
      </c>
      <c r="G559" s="73" t="s">
        <v>1433</v>
      </c>
      <c r="H559" s="73" t="s">
        <v>1042</v>
      </c>
      <c r="I559" s="73" t="s">
        <v>560</v>
      </c>
      <c r="J559" s="84" t="s">
        <v>14</v>
      </c>
      <c r="K559" s="84" t="s">
        <v>1278</v>
      </c>
      <c r="L559" s="84"/>
      <c r="M559" s="84" t="s">
        <v>860</v>
      </c>
      <c r="N559" s="84"/>
      <c r="O559" s="131">
        <f t="shared" si="43"/>
        <v>28</v>
      </c>
      <c r="P559" s="136" t="s">
        <v>2054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557</v>
      </c>
      <c r="G560" s="73" t="s">
        <v>1025</v>
      </c>
      <c r="H560" s="73" t="s">
        <v>1042</v>
      </c>
      <c r="I560" s="73" t="s">
        <v>561</v>
      </c>
      <c r="J560" s="84" t="s">
        <v>71</v>
      </c>
      <c r="K560" s="84" t="s">
        <v>1278</v>
      </c>
      <c r="L560" s="84"/>
      <c r="M560" s="84" t="s">
        <v>861</v>
      </c>
      <c r="N560" s="84"/>
      <c r="O560" s="131">
        <f t="shared" si="43"/>
        <v>28</v>
      </c>
      <c r="P560" s="136" t="s">
        <v>2055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hidden="1" thickBot="1" x14ac:dyDescent="0.3">
      <c r="A561"/>
      <c r="B561"/>
      <c r="C561"/>
      <c r="D561"/>
      <c r="E561"/>
      <c r="F561" s="73" t="s">
        <v>557</v>
      </c>
      <c r="G561" s="73" t="s">
        <v>1026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862</v>
      </c>
      <c r="N561" s="84"/>
      <c r="O561" s="131">
        <f t="shared" si="43"/>
        <v>28</v>
      </c>
      <c r="P561" s="136" t="s">
        <v>2056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 s="151" t="s">
        <v>2456</v>
      </c>
      <c r="F562" s="73" t="s">
        <v>557</v>
      </c>
      <c r="G562" s="73" t="s">
        <v>1607</v>
      </c>
      <c r="H562" s="73" t="s">
        <v>1042</v>
      </c>
      <c r="I562" s="73" t="s">
        <v>1614</v>
      </c>
      <c r="J562" s="84" t="s">
        <v>1093</v>
      </c>
      <c r="K562" s="84" t="s">
        <v>1278</v>
      </c>
      <c r="L562" s="84"/>
      <c r="M562" s="84" t="s">
        <v>1609</v>
      </c>
      <c r="N562" s="84"/>
      <c r="O562" s="131">
        <f t="shared" si="43"/>
        <v>28</v>
      </c>
      <c r="P562" s="136" t="s">
        <v>2138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hidden="1" thickBot="1" x14ac:dyDescent="0.3">
      <c r="A563"/>
      <c r="B563"/>
      <c r="C563"/>
      <c r="D563"/>
      <c r="E563"/>
      <c r="F563" s="73" t="s">
        <v>557</v>
      </c>
      <c r="G563" s="73" t="s">
        <v>2084</v>
      </c>
      <c r="H563" s="73" t="s">
        <v>1042</v>
      </c>
      <c r="I563" s="73" t="s">
        <v>2085</v>
      </c>
      <c r="J563" s="30" t="s">
        <v>14</v>
      </c>
      <c r="K563" s="84" t="s">
        <v>1278</v>
      </c>
      <c r="L563" s="84"/>
      <c r="M563" s="84" t="s">
        <v>2087</v>
      </c>
      <c r="N563" s="84"/>
      <c r="O563" s="131">
        <f t="shared" si="43"/>
        <v>16</v>
      </c>
      <c r="P563" s="136"/>
      <c r="Q563" s="131">
        <f t="shared" si="44"/>
        <v>12</v>
      </c>
      <c r="R563" s="132">
        <f t="shared" si="45"/>
        <v>0.5714285714285714</v>
      </c>
      <c r="S563" s="70"/>
      <c r="T563" s="70"/>
      <c r="U563" s="70"/>
      <c r="V563" s="70" t="s">
        <v>2222</v>
      </c>
      <c r="W563" s="70" t="s">
        <v>2222</v>
      </c>
      <c r="X563" s="70" t="s">
        <v>2222</v>
      </c>
      <c r="Y563" s="70" t="s">
        <v>2222</v>
      </c>
      <c r="Z563" s="70" t="s">
        <v>2222</v>
      </c>
      <c r="AA563" s="70"/>
      <c r="AB563" s="70"/>
      <c r="AC563" s="70" t="s">
        <v>2222</v>
      </c>
      <c r="AD563" s="70" t="s">
        <v>2222</v>
      </c>
      <c r="AE563" s="70" t="s">
        <v>2222</v>
      </c>
      <c r="AF563" s="70" t="s">
        <v>2222</v>
      </c>
      <c r="AG563" s="70" t="s">
        <v>2222</v>
      </c>
      <c r="AH563" s="70"/>
      <c r="AI563" s="70"/>
      <c r="AJ563" s="70" t="s">
        <v>2222</v>
      </c>
      <c r="AK563" s="70" t="s">
        <v>2222</v>
      </c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hidden="1" thickBot="1" x14ac:dyDescent="0.3">
      <c r="A564"/>
      <c r="B564"/>
      <c r="C564"/>
      <c r="D564"/>
      <c r="E564"/>
      <c r="F564" s="73" t="s">
        <v>557</v>
      </c>
      <c r="G564" s="73" t="s">
        <v>1620</v>
      </c>
      <c r="H564" s="73" t="s">
        <v>1042</v>
      </c>
      <c r="I564" s="73" t="s">
        <v>1621</v>
      </c>
      <c r="J564" s="84" t="s">
        <v>14</v>
      </c>
      <c r="K564" s="84" t="s">
        <v>1278</v>
      </c>
      <c r="L564" s="84"/>
      <c r="M564" s="84" t="s">
        <v>1622</v>
      </c>
      <c r="N564" s="84"/>
      <c r="O564" s="131">
        <f t="shared" si="43"/>
        <v>28</v>
      </c>
      <c r="P564" s="136" t="s">
        <v>2139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hidden="1" thickBot="1" x14ac:dyDescent="0.3">
      <c r="A565"/>
      <c r="B565"/>
      <c r="C565"/>
      <c r="D565"/>
      <c r="E565"/>
      <c r="F565" t="s">
        <v>562</v>
      </c>
      <c r="G565" t="s">
        <v>1027</v>
      </c>
      <c r="H565" t="s">
        <v>1042</v>
      </c>
      <c r="I565" t="s">
        <v>563</v>
      </c>
      <c r="J565" s="30" t="s">
        <v>71</v>
      </c>
      <c r="K565" s="84" t="s">
        <v>1278</v>
      </c>
      <c r="L565" s="30"/>
      <c r="M565" s="30" t="s">
        <v>863</v>
      </c>
      <c r="N565" s="30"/>
      <c r="O565" s="31">
        <f t="shared" si="43"/>
        <v>16</v>
      </c>
      <c r="P565" s="136" t="s">
        <v>2135</v>
      </c>
      <c r="Q565" s="31">
        <f t="shared" si="44"/>
        <v>12</v>
      </c>
      <c r="R565" s="32">
        <f t="shared" si="45"/>
        <v>0.5714285714285714</v>
      </c>
      <c r="S565" s="70"/>
      <c r="T565" s="70"/>
      <c r="U565" s="70"/>
      <c r="V565" s="70" t="s">
        <v>2222</v>
      </c>
      <c r="W565" s="70" t="s">
        <v>2222</v>
      </c>
      <c r="X565" s="70" t="s">
        <v>2222</v>
      </c>
      <c r="Y565" s="70" t="s">
        <v>2222</v>
      </c>
      <c r="Z565" s="70" t="s">
        <v>2222</v>
      </c>
      <c r="AA565" s="70"/>
      <c r="AB565" s="70"/>
      <c r="AC565" s="70" t="s">
        <v>2222</v>
      </c>
      <c r="AD565" s="70" t="s">
        <v>2222</v>
      </c>
      <c r="AE565" s="70" t="s">
        <v>2222</v>
      </c>
      <c r="AF565" s="70" t="s">
        <v>2222</v>
      </c>
      <c r="AG565" s="70" t="s">
        <v>2222</v>
      </c>
      <c r="AH565" s="70"/>
      <c r="AI565" s="70"/>
      <c r="AJ565" s="70" t="s">
        <v>2222</v>
      </c>
      <c r="AK565" s="70" t="s">
        <v>2222</v>
      </c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3"/>
    </row>
    <row r="566" spans="1:49" ht="15.75" hidden="1" thickBot="1" x14ac:dyDescent="0.3">
      <c r="A566"/>
      <c r="B566"/>
      <c r="C566"/>
      <c r="D566"/>
      <c r="E566" s="151" t="s">
        <v>2461</v>
      </c>
      <c r="F566" t="s">
        <v>562</v>
      </c>
      <c r="G566" t="s">
        <v>1028</v>
      </c>
      <c r="H566" t="s">
        <v>1042</v>
      </c>
      <c r="I566" t="s">
        <v>564</v>
      </c>
      <c r="J566" s="30" t="s">
        <v>14</v>
      </c>
      <c r="K566" s="30" t="s">
        <v>2368</v>
      </c>
      <c r="L566" s="30"/>
      <c r="M566" s="30" t="s">
        <v>864</v>
      </c>
      <c r="N566" s="30"/>
      <c r="O566" s="31">
        <f t="shared" si="43"/>
        <v>28</v>
      </c>
      <c r="P566" s="136" t="s">
        <v>2057</v>
      </c>
      <c r="Q566" s="31">
        <f t="shared" si="44"/>
        <v>0</v>
      </c>
      <c r="R566" s="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3"/>
    </row>
    <row r="567" spans="1:49" s="73" customFormat="1" ht="15.75" hidden="1" thickBot="1" x14ac:dyDescent="0.3">
      <c r="A567"/>
      <c r="B567"/>
      <c r="C567"/>
      <c r="D567"/>
      <c r="E567"/>
      <c r="F567" t="s">
        <v>562</v>
      </c>
      <c r="G567" t="s">
        <v>565</v>
      </c>
      <c r="H567" t="s">
        <v>1042</v>
      </c>
      <c r="I567" t="s">
        <v>566</v>
      </c>
      <c r="J567" s="30" t="s">
        <v>71</v>
      </c>
      <c r="K567" s="84" t="s">
        <v>1278</v>
      </c>
      <c r="L567" s="30"/>
      <c r="M567" s="30" t="s">
        <v>865</v>
      </c>
      <c r="N567" s="30"/>
      <c r="O567" s="31">
        <f t="shared" si="43"/>
        <v>17</v>
      </c>
      <c r="P567" s="136" t="s">
        <v>2136</v>
      </c>
      <c r="Q567" s="31">
        <f t="shared" si="44"/>
        <v>11</v>
      </c>
      <c r="R567" s="32">
        <f t="shared" si="45"/>
        <v>0.6071428571428571</v>
      </c>
      <c r="S567" s="70"/>
      <c r="T567" s="70"/>
      <c r="U567" s="70"/>
      <c r="V567" s="70" t="s">
        <v>2222</v>
      </c>
      <c r="W567" s="70" t="s">
        <v>2222</v>
      </c>
      <c r="X567" s="70" t="s">
        <v>2222</v>
      </c>
      <c r="Y567" s="70" t="s">
        <v>2222</v>
      </c>
      <c r="Z567" s="70" t="s">
        <v>2222</v>
      </c>
      <c r="AA567" s="70"/>
      <c r="AB567" s="70"/>
      <c r="AC567" s="70" t="s">
        <v>2222</v>
      </c>
      <c r="AD567" s="70" t="s">
        <v>2222</v>
      </c>
      <c r="AE567" s="70" t="s">
        <v>2222</v>
      </c>
      <c r="AF567" s="70" t="s">
        <v>2222</v>
      </c>
      <c r="AG567" s="70" t="s">
        <v>2222</v>
      </c>
      <c r="AH567" s="70"/>
      <c r="AI567" s="70"/>
      <c r="AJ567" s="70"/>
      <c r="AK567" s="70" t="s">
        <v>2222</v>
      </c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9" s="73" customFormat="1" ht="15.75" hidden="1" thickBot="1" x14ac:dyDescent="0.3">
      <c r="A568"/>
      <c r="B568"/>
      <c r="C568"/>
      <c r="D568"/>
      <c r="E568" s="151" t="s">
        <v>2461</v>
      </c>
      <c r="F568" t="s">
        <v>562</v>
      </c>
      <c r="G568" t="s">
        <v>567</v>
      </c>
      <c r="H568" t="s">
        <v>1042</v>
      </c>
      <c r="I568" t="s">
        <v>568</v>
      </c>
      <c r="J568" s="30" t="s">
        <v>14</v>
      </c>
      <c r="K568" s="30" t="s">
        <v>2368</v>
      </c>
      <c r="L568" s="30"/>
      <c r="M568" s="30" t="s">
        <v>866</v>
      </c>
      <c r="N568" s="30"/>
      <c r="O568" s="31">
        <f t="shared" si="43"/>
        <v>28</v>
      </c>
      <c r="P568" s="136" t="s">
        <v>2058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ht="15.75" hidden="1" thickBot="1" x14ac:dyDescent="0.3">
      <c r="A569"/>
      <c r="B569"/>
      <c r="C569"/>
      <c r="D569"/>
      <c r="E569"/>
      <c r="F569" s="73" t="s">
        <v>562</v>
      </c>
      <c r="G569" s="73" t="s">
        <v>569</v>
      </c>
      <c r="H569" s="73" t="s">
        <v>1042</v>
      </c>
      <c r="I569" s="73" t="s">
        <v>570</v>
      </c>
      <c r="J569" s="84" t="s">
        <v>14</v>
      </c>
      <c r="K569" s="84" t="s">
        <v>1278</v>
      </c>
      <c r="L569" s="84"/>
      <c r="M569" s="84" t="s">
        <v>867</v>
      </c>
      <c r="N569" s="84"/>
      <c r="O569" s="131">
        <f t="shared" si="43"/>
        <v>28</v>
      </c>
      <c r="P569" s="136" t="s">
        <v>2059</v>
      </c>
      <c r="Q569" s="131">
        <f t="shared" si="44"/>
        <v>0</v>
      </c>
      <c r="R569" s="1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3"/>
    </row>
    <row r="570" spans="1:49" ht="15.75" hidden="1" thickBot="1" x14ac:dyDescent="0.3">
      <c r="A570"/>
      <c r="B570"/>
      <c r="C570"/>
      <c r="D570"/>
      <c r="E570"/>
      <c r="F570" t="s">
        <v>165</v>
      </c>
      <c r="G570" t="s">
        <v>571</v>
      </c>
      <c r="H570" t="s">
        <v>1042</v>
      </c>
      <c r="I570" t="s">
        <v>1071</v>
      </c>
      <c r="J570" s="30" t="s">
        <v>18</v>
      </c>
      <c r="K570" s="30" t="s">
        <v>19</v>
      </c>
      <c r="L570" s="30"/>
      <c r="M570" s="30" t="s">
        <v>1373</v>
      </c>
      <c r="N570" s="30"/>
      <c r="O570" s="31">
        <f t="shared" si="43"/>
        <v>28</v>
      </c>
      <c r="P570" s="136" t="s">
        <v>2137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hidden="1" thickBot="1" x14ac:dyDescent="0.3">
      <c r="A571">
        <v>6</v>
      </c>
      <c r="B571">
        <v>12</v>
      </c>
      <c r="C571"/>
      <c r="D571"/>
      <c r="E571" t="s">
        <v>2335</v>
      </c>
      <c r="F571" t="s">
        <v>165</v>
      </c>
      <c r="G571" t="s">
        <v>1029</v>
      </c>
      <c r="H571" t="s">
        <v>1042</v>
      </c>
      <c r="I571" t="s">
        <v>1072</v>
      </c>
      <c r="J571" s="30" t="s">
        <v>71</v>
      </c>
      <c r="K571" s="30" t="s">
        <v>27</v>
      </c>
      <c r="L571" s="30"/>
      <c r="M571" s="30" t="s">
        <v>868</v>
      </c>
      <c r="N571" s="30"/>
      <c r="O571" s="31">
        <f t="shared" si="43"/>
        <v>17</v>
      </c>
      <c r="P571" s="136" t="s">
        <v>2060</v>
      </c>
      <c r="Q571" s="31">
        <f t="shared" si="44"/>
        <v>11</v>
      </c>
      <c r="R571" s="32">
        <f t="shared" si="45"/>
        <v>0.6071428571428571</v>
      </c>
      <c r="S571" s="70"/>
      <c r="T571" s="70"/>
      <c r="U571" s="70"/>
      <c r="V571" s="70" t="s">
        <v>2222</v>
      </c>
      <c r="W571" s="70" t="s">
        <v>2222</v>
      </c>
      <c r="X571" s="70" t="s">
        <v>2222</v>
      </c>
      <c r="Y571" s="70" t="s">
        <v>2222</v>
      </c>
      <c r="Z571" s="70" t="s">
        <v>2222</v>
      </c>
      <c r="AA571" s="70"/>
      <c r="AB571" s="70"/>
      <c r="AC571" s="70" t="s">
        <v>2222</v>
      </c>
      <c r="AD571" s="70" t="s">
        <v>2222</v>
      </c>
      <c r="AE571" s="70" t="s">
        <v>2222</v>
      </c>
      <c r="AF571" s="70" t="s">
        <v>2222</v>
      </c>
      <c r="AG571" s="70" t="s">
        <v>2222</v>
      </c>
      <c r="AH571" s="70"/>
      <c r="AI571" s="70"/>
      <c r="AJ571" s="70" t="s">
        <v>2222</v>
      </c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hidden="1" thickBot="1" x14ac:dyDescent="0.3">
      <c r="A572">
        <v>6</v>
      </c>
      <c r="B572">
        <v>12</v>
      </c>
      <c r="C572"/>
      <c r="D572"/>
      <c r="E572" t="s">
        <v>2335</v>
      </c>
      <c r="F572" t="s">
        <v>165</v>
      </c>
      <c r="G572" t="s">
        <v>1030</v>
      </c>
      <c r="H572" t="s">
        <v>1042</v>
      </c>
      <c r="I572" t="s">
        <v>1072</v>
      </c>
      <c r="J572" s="30" t="s">
        <v>71</v>
      </c>
      <c r="K572" s="30" t="s">
        <v>27</v>
      </c>
      <c r="L572" s="30"/>
      <c r="M572" s="30" t="s">
        <v>869</v>
      </c>
      <c r="N572" s="30"/>
      <c r="O572" s="31">
        <f t="shared" si="43"/>
        <v>17</v>
      </c>
      <c r="P572" s="136" t="s">
        <v>2061</v>
      </c>
      <c r="Q572" s="31">
        <f t="shared" si="44"/>
        <v>11</v>
      </c>
      <c r="R572" s="32">
        <f t="shared" si="45"/>
        <v>0.6071428571428571</v>
      </c>
      <c r="S572" s="70"/>
      <c r="T572" s="70"/>
      <c r="U572" s="70"/>
      <c r="V572" s="70" t="s">
        <v>2222</v>
      </c>
      <c r="W572" s="70" t="s">
        <v>2222</v>
      </c>
      <c r="X572" s="70" t="s">
        <v>2222</v>
      </c>
      <c r="Y572" s="70" t="s">
        <v>2222</v>
      </c>
      <c r="Z572" s="70" t="s">
        <v>2222</v>
      </c>
      <c r="AA572" s="70"/>
      <c r="AB572" s="70"/>
      <c r="AC572" s="70" t="s">
        <v>2222</v>
      </c>
      <c r="AD572" s="70" t="s">
        <v>2222</v>
      </c>
      <c r="AE572" s="70" t="s">
        <v>2222</v>
      </c>
      <c r="AF572" s="70" t="s">
        <v>2222</v>
      </c>
      <c r="AG572" s="70" t="s">
        <v>2222</v>
      </c>
      <c r="AH572" s="70"/>
      <c r="AI572" s="70"/>
      <c r="AJ572" s="70" t="s">
        <v>2222</v>
      </c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hidden="1" thickBot="1" x14ac:dyDescent="0.3">
      <c r="A573">
        <v>6</v>
      </c>
      <c r="B573">
        <v>12</v>
      </c>
      <c r="C573"/>
      <c r="D573"/>
      <c r="E573" t="s">
        <v>2335</v>
      </c>
      <c r="F573" t="s">
        <v>165</v>
      </c>
      <c r="G573" t="s">
        <v>1031</v>
      </c>
      <c r="H573" t="s">
        <v>1042</v>
      </c>
      <c r="I573" t="s">
        <v>1086</v>
      </c>
      <c r="J573" s="30" t="s">
        <v>14</v>
      </c>
      <c r="K573" s="30" t="s">
        <v>27</v>
      </c>
      <c r="L573" s="30"/>
      <c r="M573" s="30" t="s">
        <v>870</v>
      </c>
      <c r="N573" s="30"/>
      <c r="O573" s="31">
        <f t="shared" si="43"/>
        <v>17</v>
      </c>
      <c r="P573" s="136" t="s">
        <v>2062</v>
      </c>
      <c r="Q573" s="31">
        <f t="shared" si="44"/>
        <v>11</v>
      </c>
      <c r="R573" s="32">
        <f t="shared" si="45"/>
        <v>0.6071428571428571</v>
      </c>
      <c r="S573" s="70"/>
      <c r="T573" s="70"/>
      <c r="U573" s="70"/>
      <c r="V573" s="70" t="s">
        <v>2222</v>
      </c>
      <c r="W573" s="70" t="s">
        <v>2222</v>
      </c>
      <c r="X573" s="70" t="s">
        <v>2222</v>
      </c>
      <c r="Y573" s="70" t="s">
        <v>2222</v>
      </c>
      <c r="Z573" s="70" t="s">
        <v>2222</v>
      </c>
      <c r="AA573" s="70"/>
      <c r="AB573" s="70"/>
      <c r="AC573" s="70" t="s">
        <v>2222</v>
      </c>
      <c r="AD573" s="70" t="s">
        <v>2222</v>
      </c>
      <c r="AE573" s="70" t="s">
        <v>2222</v>
      </c>
      <c r="AF573" s="70" t="s">
        <v>2222</v>
      </c>
      <c r="AG573" s="70" t="s">
        <v>2222</v>
      </c>
      <c r="AH573" s="70"/>
      <c r="AI573" s="70"/>
      <c r="AJ573" s="70" t="s">
        <v>2222</v>
      </c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hidden="1" thickBot="1" x14ac:dyDescent="0.3">
      <c r="A574">
        <v>6</v>
      </c>
      <c r="B574">
        <v>12</v>
      </c>
      <c r="C574"/>
      <c r="D574"/>
      <c r="E574" t="s">
        <v>2335</v>
      </c>
      <c r="F574" t="s">
        <v>165</v>
      </c>
      <c r="G574" t="s">
        <v>572</v>
      </c>
      <c r="H574" t="s">
        <v>1042</v>
      </c>
      <c r="I574" t="s">
        <v>1073</v>
      </c>
      <c r="J574" s="30" t="s">
        <v>14</v>
      </c>
      <c r="K574" s="30" t="s">
        <v>1035</v>
      </c>
      <c r="L574" s="30"/>
      <c r="M574" s="30" t="s">
        <v>1197</v>
      </c>
      <c r="N574" s="30"/>
      <c r="O574" s="31">
        <f t="shared" si="43"/>
        <v>16</v>
      </c>
      <c r="P574" s="136" t="s">
        <v>2063</v>
      </c>
      <c r="Q574" s="31">
        <f t="shared" si="44"/>
        <v>12</v>
      </c>
      <c r="R574" s="32">
        <f t="shared" si="45"/>
        <v>0.5714285714285714</v>
      </c>
      <c r="S574" s="70"/>
      <c r="T574" s="70"/>
      <c r="U574" s="70"/>
      <c r="V574" s="70" t="s">
        <v>2222</v>
      </c>
      <c r="W574" s="70" t="s">
        <v>2222</v>
      </c>
      <c r="X574" s="70" t="s">
        <v>2222</v>
      </c>
      <c r="Y574" s="70" t="s">
        <v>2222</v>
      </c>
      <c r="Z574" s="70" t="s">
        <v>2222</v>
      </c>
      <c r="AA574" s="70"/>
      <c r="AB574" s="70"/>
      <c r="AC574" s="70" t="s">
        <v>2222</v>
      </c>
      <c r="AD574" s="70" t="s">
        <v>2222</v>
      </c>
      <c r="AE574" s="70" t="s">
        <v>2222</v>
      </c>
      <c r="AF574" s="70" t="s">
        <v>2222</v>
      </c>
      <c r="AG574" s="70" t="s">
        <v>2222</v>
      </c>
      <c r="AH574" s="70"/>
      <c r="AI574" s="70"/>
      <c r="AJ574" s="70" t="s">
        <v>2222</v>
      </c>
      <c r="AK574" s="70" t="s">
        <v>2222</v>
      </c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hidden="1" thickBot="1" x14ac:dyDescent="0.3">
      <c r="A575">
        <v>6</v>
      </c>
      <c r="B575">
        <v>12</v>
      </c>
      <c r="C575"/>
      <c r="D575"/>
      <c r="E575" t="s">
        <v>2335</v>
      </c>
      <c r="F575" t="s">
        <v>573</v>
      </c>
      <c r="G575" t="s">
        <v>1032</v>
      </c>
      <c r="H575" t="s">
        <v>1042</v>
      </c>
      <c r="I575" t="s">
        <v>575</v>
      </c>
      <c r="J575" s="30" t="s">
        <v>71</v>
      </c>
      <c r="K575" s="30" t="s">
        <v>27</v>
      </c>
      <c r="L575" s="30"/>
      <c r="M575" s="30" t="s">
        <v>872</v>
      </c>
      <c r="N575" s="30"/>
      <c r="O575" s="31">
        <f t="shared" si="43"/>
        <v>17</v>
      </c>
      <c r="P575" s="136" t="s">
        <v>2065</v>
      </c>
      <c r="Q575" s="31">
        <f t="shared" si="44"/>
        <v>11</v>
      </c>
      <c r="R575" s="32">
        <f t="shared" si="45"/>
        <v>0.6071428571428571</v>
      </c>
      <c r="S575" s="70"/>
      <c r="T575" s="70"/>
      <c r="U575" s="70"/>
      <c r="V575" s="70" t="s">
        <v>2222</v>
      </c>
      <c r="W575" s="70" t="s">
        <v>2222</v>
      </c>
      <c r="X575" s="70" t="s">
        <v>2222</v>
      </c>
      <c r="Y575" s="70" t="s">
        <v>2222</v>
      </c>
      <c r="Z575" s="70" t="s">
        <v>2222</v>
      </c>
      <c r="AA575" s="70"/>
      <c r="AB575" s="70"/>
      <c r="AC575" s="70" t="s">
        <v>2222</v>
      </c>
      <c r="AD575" s="70" t="s">
        <v>2222</v>
      </c>
      <c r="AE575" s="70" t="s">
        <v>2222</v>
      </c>
      <c r="AF575" s="70" t="s">
        <v>2222</v>
      </c>
      <c r="AG575" s="70" t="s">
        <v>2222</v>
      </c>
      <c r="AH575" s="70"/>
      <c r="AI575" s="70"/>
      <c r="AJ575" s="70" t="s">
        <v>2222</v>
      </c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ht="15.75" hidden="1" thickBot="1" x14ac:dyDescent="0.3">
      <c r="A576">
        <v>6</v>
      </c>
      <c r="B576">
        <v>12</v>
      </c>
      <c r="C576"/>
      <c r="D576"/>
      <c r="E576" t="s">
        <v>2335</v>
      </c>
      <c r="F576" t="s">
        <v>573</v>
      </c>
      <c r="G576" t="s">
        <v>1033</v>
      </c>
      <c r="H576" t="s">
        <v>1042</v>
      </c>
      <c r="I576" t="s">
        <v>576</v>
      </c>
      <c r="J576" s="30" t="s">
        <v>71</v>
      </c>
      <c r="K576" s="30" t="s">
        <v>27</v>
      </c>
      <c r="L576" s="30"/>
      <c r="M576" s="30" t="s">
        <v>873</v>
      </c>
      <c r="N576" s="30"/>
      <c r="O576" s="31">
        <f t="shared" si="43"/>
        <v>17</v>
      </c>
      <c r="P576" s="136" t="s">
        <v>2066</v>
      </c>
      <c r="Q576" s="31">
        <f t="shared" si="44"/>
        <v>11</v>
      </c>
      <c r="R576" s="32">
        <f t="shared" si="45"/>
        <v>0.6071428571428571</v>
      </c>
      <c r="S576" s="70"/>
      <c r="T576" s="70"/>
      <c r="U576" s="70"/>
      <c r="V576" s="70" t="s">
        <v>2222</v>
      </c>
      <c r="W576" s="70" t="s">
        <v>2222</v>
      </c>
      <c r="X576" s="70" t="s">
        <v>2222</v>
      </c>
      <c r="Y576" s="70" t="s">
        <v>2222</v>
      </c>
      <c r="Z576" s="70" t="s">
        <v>2222</v>
      </c>
      <c r="AA576" s="70"/>
      <c r="AB576" s="70"/>
      <c r="AC576" s="70" t="s">
        <v>2222</v>
      </c>
      <c r="AD576" s="70" t="s">
        <v>2222</v>
      </c>
      <c r="AE576" s="70" t="s">
        <v>2222</v>
      </c>
      <c r="AF576" s="70" t="s">
        <v>2222</v>
      </c>
      <c r="AG576" s="70" t="s">
        <v>2222</v>
      </c>
      <c r="AH576" s="70"/>
      <c r="AI576" s="70"/>
      <c r="AJ576" s="70" t="s">
        <v>2222</v>
      </c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9" ht="15.75" hidden="1" thickBot="1" x14ac:dyDescent="0.3">
      <c r="A577">
        <v>6</v>
      </c>
      <c r="B577">
        <v>12</v>
      </c>
      <c r="C577"/>
      <c r="D577"/>
      <c r="E577" t="s">
        <v>2335</v>
      </c>
      <c r="F577" t="s">
        <v>573</v>
      </c>
      <c r="G577" t="s">
        <v>574</v>
      </c>
      <c r="H577" t="s">
        <v>1042</v>
      </c>
      <c r="I577" t="s">
        <v>575</v>
      </c>
      <c r="J577" s="30" t="s">
        <v>71</v>
      </c>
      <c r="K577" s="30" t="s">
        <v>27</v>
      </c>
      <c r="L577" s="30"/>
      <c r="M577" s="30" t="s">
        <v>871</v>
      </c>
      <c r="N577" s="30"/>
      <c r="O577" s="31">
        <f t="shared" si="43"/>
        <v>17</v>
      </c>
      <c r="P577" s="136" t="s">
        <v>2064</v>
      </c>
      <c r="Q577" s="31">
        <f t="shared" si="44"/>
        <v>11</v>
      </c>
      <c r="R577" s="32">
        <f t="shared" si="45"/>
        <v>0.6071428571428571</v>
      </c>
      <c r="S577" s="70"/>
      <c r="T577" s="70"/>
      <c r="U577" s="70"/>
      <c r="V577" s="70" t="s">
        <v>2222</v>
      </c>
      <c r="W577" s="70" t="s">
        <v>2222</v>
      </c>
      <c r="X577" s="70" t="s">
        <v>2222</v>
      </c>
      <c r="Y577" s="70" t="s">
        <v>2222</v>
      </c>
      <c r="Z577" s="70" t="s">
        <v>2222</v>
      </c>
      <c r="AA577" s="70"/>
      <c r="AB577" s="70"/>
      <c r="AC577" s="70" t="s">
        <v>2222</v>
      </c>
      <c r="AD577" s="70" t="s">
        <v>2222</v>
      </c>
      <c r="AE577" s="70" t="s">
        <v>2222</v>
      </c>
      <c r="AF577" s="70" t="s">
        <v>2222</v>
      </c>
      <c r="AG577" s="70" t="s">
        <v>2222</v>
      </c>
      <c r="AH577" s="70"/>
      <c r="AI577" s="70"/>
      <c r="AJ577" s="70" t="s">
        <v>2222</v>
      </c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s="73" customFormat="1" ht="15.75" hidden="1" thickBot="1" x14ac:dyDescent="0.3">
      <c r="A578">
        <v>6</v>
      </c>
      <c r="B578">
        <v>12</v>
      </c>
      <c r="C578"/>
      <c r="D578"/>
      <c r="E578" t="s">
        <v>2335</v>
      </c>
      <c r="F578" t="s">
        <v>573</v>
      </c>
      <c r="G578" t="s">
        <v>577</v>
      </c>
      <c r="H578" t="s">
        <v>1042</v>
      </c>
      <c r="I578" t="s">
        <v>576</v>
      </c>
      <c r="J578" s="30" t="s">
        <v>71</v>
      </c>
      <c r="K578" s="30" t="s">
        <v>27</v>
      </c>
      <c r="L578" s="30"/>
      <c r="M578" s="30" t="s">
        <v>874</v>
      </c>
      <c r="N578" s="30"/>
      <c r="O578" s="31">
        <f t="shared" si="43"/>
        <v>17</v>
      </c>
      <c r="P578" s="136" t="s">
        <v>2067</v>
      </c>
      <c r="Q578" s="31">
        <f t="shared" si="44"/>
        <v>11</v>
      </c>
      <c r="R578" s="32">
        <f t="shared" si="45"/>
        <v>0.6071428571428571</v>
      </c>
      <c r="S578" s="70"/>
      <c r="T578" s="70"/>
      <c r="U578" s="70"/>
      <c r="V578" s="70" t="s">
        <v>2222</v>
      </c>
      <c r="W578" s="70" t="s">
        <v>2222</v>
      </c>
      <c r="X578" s="70" t="s">
        <v>2222</v>
      </c>
      <c r="Y578" s="70" t="s">
        <v>2222</v>
      </c>
      <c r="Z578" s="70" t="s">
        <v>2222</v>
      </c>
      <c r="AA578" s="70"/>
      <c r="AB578" s="70"/>
      <c r="AC578" s="70" t="s">
        <v>2222</v>
      </c>
      <c r="AD578" s="70" t="s">
        <v>2222</v>
      </c>
      <c r="AE578" s="70" t="s">
        <v>2222</v>
      </c>
      <c r="AF578" s="70" t="s">
        <v>2222</v>
      </c>
      <c r="AG578" s="70" t="s">
        <v>2222</v>
      </c>
      <c r="AH578" s="70"/>
      <c r="AI578" s="70"/>
      <c r="AJ578" s="70" t="s">
        <v>2222</v>
      </c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/>
    </row>
    <row r="579" spans="1:49" s="73" customFormat="1" ht="15.75" hidden="1" thickBot="1" x14ac:dyDescent="0.3">
      <c r="A579"/>
      <c r="B579"/>
      <c r="C579" s="8"/>
      <c r="D579" s="8"/>
      <c r="E579" s="151" t="s">
        <v>2464</v>
      </c>
      <c r="F579" t="s">
        <v>573</v>
      </c>
      <c r="G579" t="s">
        <v>2465</v>
      </c>
      <c r="H579" t="s">
        <v>1042</v>
      </c>
      <c r="I579" t="s">
        <v>2466</v>
      </c>
      <c r="J579" s="30" t="s">
        <v>14</v>
      </c>
      <c r="K579" s="30" t="s">
        <v>1278</v>
      </c>
      <c r="L579" s="30"/>
      <c r="M579" s="30" t="s">
        <v>2467</v>
      </c>
      <c r="N579" s="155"/>
      <c r="O579" s="153">
        <f t="shared" si="43"/>
        <v>28</v>
      </c>
      <c r="P579" s="154" t="s">
        <v>2468</v>
      </c>
      <c r="Q579" s="31"/>
      <c r="R579" s="32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/>
    </row>
    <row r="580" spans="1:49" s="73" customFormat="1" ht="15.75" hidden="1" thickBot="1" x14ac:dyDescent="0.3">
      <c r="A580"/>
      <c r="B580"/>
      <c r="C580"/>
      <c r="D580"/>
      <c r="E580"/>
      <c r="F580" s="73" t="s">
        <v>578</v>
      </c>
      <c r="G580" s="73" t="s">
        <v>579</v>
      </c>
      <c r="H580" s="73" t="s">
        <v>1042</v>
      </c>
      <c r="I580" s="73" t="s">
        <v>580</v>
      </c>
      <c r="J580" s="84" t="s">
        <v>14</v>
      </c>
      <c r="K580" s="84" t="s">
        <v>1278</v>
      </c>
      <c r="L580" s="84"/>
      <c r="M580" s="84" t="s">
        <v>875</v>
      </c>
      <c r="N580" s="84"/>
      <c r="O580" s="131">
        <f t="shared" si="43"/>
        <v>28</v>
      </c>
      <c r="P580" s="136" t="s">
        <v>2152</v>
      </c>
      <c r="Q580" s="131">
        <f t="shared" si="44"/>
        <v>0</v>
      </c>
      <c r="R580" s="1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hidden="1" thickBot="1" x14ac:dyDescent="0.3">
      <c r="A581"/>
      <c r="B581"/>
      <c r="C581"/>
      <c r="D581"/>
      <c r="E581"/>
      <c r="F581" s="73" t="s">
        <v>578</v>
      </c>
      <c r="G581" s="73" t="s">
        <v>2201</v>
      </c>
      <c r="H581" s="73" t="s">
        <v>1042</v>
      </c>
      <c r="I581" s="73" t="s">
        <v>2202</v>
      </c>
      <c r="J581" s="84" t="s">
        <v>14</v>
      </c>
      <c r="K581" s="84" t="s">
        <v>1278</v>
      </c>
      <c r="L581" s="84"/>
      <c r="M581" s="84" t="s">
        <v>2203</v>
      </c>
      <c r="N581" s="84"/>
      <c r="O581" s="131">
        <f t="shared" si="43"/>
        <v>28</v>
      </c>
      <c r="P581" s="136" t="s">
        <v>2204</v>
      </c>
      <c r="Q581" s="131">
        <f t="shared" si="44"/>
        <v>0</v>
      </c>
      <c r="R581" s="1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ht="14.25" hidden="1" customHeight="1" thickBot="1" x14ac:dyDescent="0.3">
      <c r="A582"/>
      <c r="B582"/>
      <c r="C582"/>
      <c r="D582"/>
      <c r="E582"/>
      <c r="F582" s="73" t="s">
        <v>578</v>
      </c>
      <c r="G582" s="73" t="s">
        <v>2214</v>
      </c>
      <c r="H582" s="73" t="s">
        <v>1042</v>
      </c>
      <c r="I582" s="73" t="s">
        <v>2215</v>
      </c>
      <c r="J582" s="84" t="s">
        <v>14</v>
      </c>
      <c r="K582" s="84" t="s">
        <v>1278</v>
      </c>
      <c r="L582" s="84"/>
      <c r="M582" s="84" t="s">
        <v>2298</v>
      </c>
      <c r="N582" s="84"/>
      <c r="O582" s="131">
        <f t="shared" si="43"/>
        <v>28</v>
      </c>
      <c r="P582" s="136" t="s">
        <v>2433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9" ht="15.75" hidden="1" thickBot="1" x14ac:dyDescent="0.3">
      <c r="A583"/>
      <c r="B583"/>
      <c r="C583"/>
      <c r="D583"/>
      <c r="E583"/>
      <c r="F583" t="s">
        <v>581</v>
      </c>
      <c r="G583" t="s">
        <v>583</v>
      </c>
      <c r="H583" t="s">
        <v>1042</v>
      </c>
      <c r="I583" t="s">
        <v>584</v>
      </c>
      <c r="J583" s="30" t="s">
        <v>14</v>
      </c>
      <c r="K583" s="30" t="s">
        <v>19</v>
      </c>
      <c r="L583" s="30"/>
      <c r="M583" s="30" t="s">
        <v>877</v>
      </c>
      <c r="N583" s="30"/>
      <c r="O583" s="31">
        <f t="shared" si="43"/>
        <v>28</v>
      </c>
      <c r="P583" s="136" t="s">
        <v>2154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hidden="1" thickBot="1" x14ac:dyDescent="0.3">
      <c r="A584"/>
      <c r="B584"/>
      <c r="C584"/>
      <c r="D584"/>
      <c r="E584"/>
      <c r="F584" t="s">
        <v>581</v>
      </c>
      <c r="G584" t="s">
        <v>585</v>
      </c>
      <c r="H584" t="s">
        <v>1042</v>
      </c>
      <c r="I584" t="s">
        <v>586</v>
      </c>
      <c r="J584" s="30" t="s">
        <v>14</v>
      </c>
      <c r="K584" s="30" t="s">
        <v>19</v>
      </c>
      <c r="L584" s="30"/>
      <c r="M584" s="30" t="s">
        <v>878</v>
      </c>
      <c r="N584" s="30"/>
      <c r="O584" s="31">
        <f t="shared" si="43"/>
        <v>28</v>
      </c>
      <c r="P584" s="136" t="s">
        <v>2155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3"/>
    </row>
    <row r="585" spans="1:49" ht="15.75" hidden="1" thickBot="1" x14ac:dyDescent="0.3">
      <c r="A585">
        <v>4</v>
      </c>
      <c r="B585">
        <v>12</v>
      </c>
      <c r="C585"/>
      <c r="D585"/>
      <c r="E585" t="s">
        <v>2333</v>
      </c>
      <c r="F585" t="s">
        <v>581</v>
      </c>
      <c r="G585" s="30" t="s">
        <v>1094</v>
      </c>
      <c r="H585" s="30" t="s">
        <v>1042</v>
      </c>
      <c r="I585" t="s">
        <v>1096</v>
      </c>
      <c r="J585" s="30" t="s">
        <v>1093</v>
      </c>
      <c r="K585" s="30" t="s">
        <v>27</v>
      </c>
      <c r="L585" s="30"/>
      <c r="M585" s="30" t="s">
        <v>1101</v>
      </c>
      <c r="N585" s="30"/>
      <c r="O585" s="31">
        <f t="shared" si="43"/>
        <v>28</v>
      </c>
      <c r="P585" s="136" t="s">
        <v>2069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3"/>
    </row>
    <row r="586" spans="1:49" ht="15.75" hidden="1" thickBot="1" x14ac:dyDescent="0.3">
      <c r="A586">
        <v>4</v>
      </c>
      <c r="B586">
        <v>12</v>
      </c>
      <c r="C586"/>
      <c r="D586"/>
      <c r="E586" t="s">
        <v>2333</v>
      </c>
      <c r="F586" t="s">
        <v>581</v>
      </c>
      <c r="G586" s="30" t="s">
        <v>1095</v>
      </c>
      <c r="H586" s="30" t="s">
        <v>1042</v>
      </c>
      <c r="I586" t="s">
        <v>1096</v>
      </c>
      <c r="J586" s="30" t="s">
        <v>1093</v>
      </c>
      <c r="K586" s="30" t="s">
        <v>27</v>
      </c>
      <c r="L586" s="30"/>
      <c r="M586" s="30" t="s">
        <v>1102</v>
      </c>
      <c r="N586" s="30"/>
      <c r="O586" s="31">
        <f t="shared" ref="O586:O597" si="46">COUNTIF(S586:AT586,"")</f>
        <v>28</v>
      </c>
      <c r="P586" s="136" t="s">
        <v>2068</v>
      </c>
      <c r="Q586" s="31">
        <f t="shared" ref="Q586:Q597" si="47">COUNTIF(S586:AT586,"APAGADO")</f>
        <v>0</v>
      </c>
      <c r="R586" s="32">
        <f t="shared" ref="R586:R597" si="48">(O586)/(Q586+O586)</f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9" ht="15.75" hidden="1" thickBot="1" x14ac:dyDescent="0.3">
      <c r="A587">
        <v>4</v>
      </c>
      <c r="B587">
        <v>12</v>
      </c>
      <c r="C587"/>
      <c r="D587"/>
      <c r="E587" t="s">
        <v>2333</v>
      </c>
      <c r="F587" t="s">
        <v>581</v>
      </c>
      <c r="G587" s="30" t="s">
        <v>1178</v>
      </c>
      <c r="H587" s="30" t="s">
        <v>1042</v>
      </c>
      <c r="I587" t="s">
        <v>1179</v>
      </c>
      <c r="J587" s="30" t="s">
        <v>14</v>
      </c>
      <c r="K587" s="30" t="s">
        <v>27</v>
      </c>
      <c r="L587" s="30"/>
      <c r="M587" s="30" t="s">
        <v>1180</v>
      </c>
      <c r="N587" s="30"/>
      <c r="O587" s="31">
        <f t="shared" si="46"/>
        <v>19</v>
      </c>
      <c r="P587" s="136" t="s">
        <v>2070</v>
      </c>
      <c r="Q587" s="31">
        <f t="shared" si="47"/>
        <v>9</v>
      </c>
      <c r="R587" s="32">
        <f t="shared" si="48"/>
        <v>0.6785714285714286</v>
      </c>
      <c r="S587" s="70"/>
      <c r="T587" s="70"/>
      <c r="U587" s="70"/>
      <c r="V587" s="70"/>
      <c r="W587" s="70"/>
      <c r="X587" s="70"/>
      <c r="Y587" s="70" t="s">
        <v>2222</v>
      </c>
      <c r="Z587" s="70" t="s">
        <v>2222</v>
      </c>
      <c r="AA587" s="70"/>
      <c r="AB587" s="70"/>
      <c r="AC587" s="70" t="s">
        <v>2222</v>
      </c>
      <c r="AD587" s="70" t="s">
        <v>2222</v>
      </c>
      <c r="AE587" s="70" t="s">
        <v>2222</v>
      </c>
      <c r="AF587" s="70" t="s">
        <v>2222</v>
      </c>
      <c r="AG587" s="70" t="s">
        <v>2222</v>
      </c>
      <c r="AH587" s="70"/>
      <c r="AI587" s="70"/>
      <c r="AJ587" s="70" t="s">
        <v>2222</v>
      </c>
      <c r="AK587" s="70" t="s">
        <v>2222</v>
      </c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ht="15.75" hidden="1" thickBot="1" x14ac:dyDescent="0.3">
      <c r="A588"/>
      <c r="B588"/>
      <c r="C588"/>
      <c r="D588"/>
      <c r="E588"/>
      <c r="F588" t="s">
        <v>581</v>
      </c>
      <c r="G588" t="s">
        <v>1034</v>
      </c>
      <c r="H588" t="s">
        <v>1042</v>
      </c>
      <c r="I588" t="s">
        <v>582</v>
      </c>
      <c r="J588" s="30" t="s">
        <v>14</v>
      </c>
      <c r="K588" s="30" t="s">
        <v>19</v>
      </c>
      <c r="L588" s="30"/>
      <c r="M588" s="30" t="s">
        <v>876</v>
      </c>
      <c r="N588" s="30"/>
      <c r="O588" s="31">
        <f t="shared" si="46"/>
        <v>28</v>
      </c>
      <c r="P588" s="136" t="s">
        <v>2153</v>
      </c>
      <c r="Q588" s="31">
        <f t="shared" si="47"/>
        <v>0</v>
      </c>
      <c r="R588" s="32">
        <f t="shared" si="48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3"/>
    </row>
    <row r="589" spans="1:49" s="73" customFormat="1" ht="15.75" hidden="1" thickBot="1" x14ac:dyDescent="0.3">
      <c r="A589"/>
      <c r="B589"/>
      <c r="C589"/>
      <c r="D589"/>
      <c r="E589"/>
      <c r="F589" s="73" t="s">
        <v>589</v>
      </c>
      <c r="G589" s="73" t="s">
        <v>587</v>
      </c>
      <c r="H589" s="73" t="s">
        <v>1041</v>
      </c>
      <c r="I589" s="73" t="s">
        <v>588</v>
      </c>
      <c r="J589" s="84" t="s">
        <v>18</v>
      </c>
      <c r="K589" s="84" t="s">
        <v>1278</v>
      </c>
      <c r="L589" s="84"/>
      <c r="M589" s="84" t="s">
        <v>1404</v>
      </c>
      <c r="N589" s="84"/>
      <c r="O589" s="131">
        <f t="shared" si="46"/>
        <v>28</v>
      </c>
      <c r="P589" s="136" t="s">
        <v>2074</v>
      </c>
      <c r="Q589" s="131">
        <f t="shared" si="47"/>
        <v>0</v>
      </c>
      <c r="R589" s="132">
        <f t="shared" si="48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142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s="73" customFormat="1" ht="15.75" hidden="1" thickBot="1" x14ac:dyDescent="0.3">
      <c r="A590"/>
      <c r="B590"/>
      <c r="C590"/>
      <c r="D590"/>
      <c r="E590"/>
      <c r="F590" s="73" t="s">
        <v>589</v>
      </c>
      <c r="G590" s="73" t="s">
        <v>1417</v>
      </c>
      <c r="H590" s="73" t="s">
        <v>1041</v>
      </c>
      <c r="I590" s="73" t="s">
        <v>1418</v>
      </c>
      <c r="J590" s="84" t="s">
        <v>45</v>
      </c>
      <c r="K590" s="84" t="s">
        <v>1278</v>
      </c>
      <c r="L590" s="84"/>
      <c r="M590" s="84" t="s">
        <v>1423</v>
      </c>
      <c r="N590" s="84"/>
      <c r="O590" s="131">
        <f t="shared" si="46"/>
        <v>28</v>
      </c>
      <c r="P590" s="136" t="s">
        <v>2075</v>
      </c>
      <c r="Q590" s="131">
        <f t="shared" si="47"/>
        <v>0</v>
      </c>
      <c r="R590" s="1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hidden="1" thickBot="1" x14ac:dyDescent="0.3">
      <c r="A591"/>
      <c r="B591"/>
      <c r="C591"/>
      <c r="D591"/>
      <c r="E591"/>
      <c r="F591" s="73" t="s">
        <v>589</v>
      </c>
      <c r="G591" s="73" t="s">
        <v>1420</v>
      </c>
      <c r="H591" s="73" t="s">
        <v>1041</v>
      </c>
      <c r="I591" s="73" t="s">
        <v>1419</v>
      </c>
      <c r="J591" s="84" t="s">
        <v>71</v>
      </c>
      <c r="K591" s="84" t="s">
        <v>1278</v>
      </c>
      <c r="L591" s="84"/>
      <c r="M591" s="84" t="s">
        <v>1424</v>
      </c>
      <c r="N591" s="84"/>
      <c r="O591" s="131">
        <f t="shared" si="46"/>
        <v>28</v>
      </c>
      <c r="P591" s="136" t="s">
        <v>2076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hidden="1" thickBot="1" x14ac:dyDescent="0.3">
      <c r="A592"/>
      <c r="B592"/>
      <c r="C592"/>
      <c r="D592"/>
      <c r="E592"/>
      <c r="F592" s="73" t="s">
        <v>589</v>
      </c>
      <c r="G592" s="73" t="s">
        <v>1421</v>
      </c>
      <c r="H592" s="73" t="s">
        <v>1041</v>
      </c>
      <c r="I592" s="73" t="s">
        <v>1422</v>
      </c>
      <c r="J592" s="84" t="s">
        <v>71</v>
      </c>
      <c r="K592" s="84" t="s">
        <v>1278</v>
      </c>
      <c r="L592" s="84"/>
      <c r="M592" s="84" t="s">
        <v>1425</v>
      </c>
      <c r="N592" s="84"/>
      <c r="O592" s="131">
        <f t="shared" si="46"/>
        <v>28</v>
      </c>
      <c r="P592" s="136" t="s">
        <v>2077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s="73" customFormat="1" ht="15.75" hidden="1" thickBot="1" x14ac:dyDescent="0.3">
      <c r="A593"/>
      <c r="B593"/>
      <c r="C593"/>
      <c r="D593"/>
      <c r="E593"/>
      <c r="F593" s="73" t="s">
        <v>589</v>
      </c>
      <c r="G593" s="73" t="s">
        <v>2078</v>
      </c>
      <c r="H593" s="73" t="s">
        <v>1041</v>
      </c>
      <c r="I593" s="73" t="s">
        <v>2079</v>
      </c>
      <c r="J593" s="84" t="s">
        <v>14</v>
      </c>
      <c r="K593" s="84" t="s">
        <v>1278</v>
      </c>
      <c r="L593" s="84"/>
      <c r="M593" s="84" t="s">
        <v>2299</v>
      </c>
      <c r="N593" s="84"/>
      <c r="O593" s="131">
        <f t="shared" si="46"/>
        <v>28</v>
      </c>
      <c r="P593" s="136" t="s">
        <v>2080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s="73" customFormat="1" ht="15.75" hidden="1" thickBot="1" x14ac:dyDescent="0.3">
      <c r="A594"/>
      <c r="B594"/>
      <c r="C594"/>
      <c r="D594"/>
      <c r="E594"/>
      <c r="F594" s="73" t="s">
        <v>589</v>
      </c>
      <c r="G594" s="73" t="s">
        <v>2227</v>
      </c>
      <c r="H594" s="73" t="s">
        <v>1041</v>
      </c>
      <c r="I594" s="73" t="s">
        <v>2228</v>
      </c>
      <c r="J594" s="84" t="s">
        <v>14</v>
      </c>
      <c r="K594" s="84" t="s">
        <v>1278</v>
      </c>
      <c r="L594" s="84"/>
      <c r="M594" s="84" t="s">
        <v>2229</v>
      </c>
      <c r="N594" s="84"/>
      <c r="O594" s="131">
        <f t="shared" si="46"/>
        <v>28</v>
      </c>
      <c r="P594" s="136" t="s">
        <v>2230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hidden="1" thickBot="1" x14ac:dyDescent="0.3">
      <c r="A595"/>
      <c r="B595"/>
      <c r="C595"/>
      <c r="D595"/>
      <c r="E595"/>
      <c r="F595" s="73" t="s">
        <v>589</v>
      </c>
      <c r="G595" s="73" t="s">
        <v>590</v>
      </c>
      <c r="H595" s="73" t="s">
        <v>1042</v>
      </c>
      <c r="I595" s="73" t="s">
        <v>591</v>
      </c>
      <c r="J595" s="84" t="s">
        <v>18</v>
      </c>
      <c r="K595" s="84" t="s">
        <v>1278</v>
      </c>
      <c r="L595" s="84"/>
      <c r="M595" s="84" t="s">
        <v>1346</v>
      </c>
      <c r="N595" s="84"/>
      <c r="O595" s="131">
        <f t="shared" si="46"/>
        <v>28</v>
      </c>
      <c r="P595" s="136" t="s">
        <v>2071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hidden="1" thickBot="1" x14ac:dyDescent="0.3">
      <c r="A596"/>
      <c r="B596"/>
      <c r="C596"/>
      <c r="D596"/>
      <c r="E596"/>
      <c r="F596" s="73" t="s">
        <v>297</v>
      </c>
      <c r="G596" s="73" t="s">
        <v>592</v>
      </c>
      <c r="H596" s="73" t="s">
        <v>1042</v>
      </c>
      <c r="I596" s="73" t="s">
        <v>593</v>
      </c>
      <c r="J596" s="84" t="s">
        <v>18</v>
      </c>
      <c r="K596" s="84" t="s">
        <v>1278</v>
      </c>
      <c r="L596" s="84"/>
      <c r="M596" s="84" t="s">
        <v>1343</v>
      </c>
      <c r="N596" s="84"/>
      <c r="O596" s="131">
        <f t="shared" si="46"/>
        <v>28</v>
      </c>
      <c r="P596" s="136" t="s">
        <v>2072</v>
      </c>
      <c r="Q596" s="131">
        <f t="shared" si="47"/>
        <v>0</v>
      </c>
      <c r="R596" s="132">
        <f t="shared" si="48"/>
        <v>1</v>
      </c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  <c r="AW596"/>
    </row>
    <row r="597" spans="1:49" ht="17.25" hidden="1" customHeight="1" thickBot="1" x14ac:dyDescent="0.3">
      <c r="A597"/>
      <c r="B597"/>
      <c r="C597"/>
      <c r="D597"/>
      <c r="E597"/>
      <c r="F597" s="73" t="s">
        <v>589</v>
      </c>
      <c r="G597" s="73" t="s">
        <v>594</v>
      </c>
      <c r="H597" s="73" t="s">
        <v>1041</v>
      </c>
      <c r="I597" s="73" t="s">
        <v>595</v>
      </c>
      <c r="J597" s="84" t="s">
        <v>14</v>
      </c>
      <c r="K597" s="84" t="s">
        <v>1278</v>
      </c>
      <c r="L597" s="84"/>
      <c r="M597" s="84" t="s">
        <v>1477</v>
      </c>
      <c r="N597" s="84"/>
      <c r="O597" s="131">
        <f t="shared" si="46"/>
        <v>28</v>
      </c>
      <c r="P597" s="136" t="s">
        <v>2073</v>
      </c>
      <c r="Q597" s="131">
        <f t="shared" si="47"/>
        <v>0</v>
      </c>
      <c r="R597" s="132">
        <f t="shared" si="48"/>
        <v>1</v>
      </c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</row>
    <row r="598" spans="1:49" ht="17.25" customHeight="1" x14ac:dyDescent="0.25">
      <c r="A598"/>
      <c r="B598"/>
      <c r="C598"/>
      <c r="D598"/>
      <c r="E598"/>
      <c r="F598" s="73"/>
      <c r="G598" s="73"/>
      <c r="H598" s="73"/>
      <c r="I598" s="73"/>
      <c r="J598" s="84"/>
      <c r="K598" s="84"/>
      <c r="L598" s="84"/>
      <c r="M598" s="84"/>
      <c r="N598" s="84"/>
      <c r="O598" s="145"/>
      <c r="P598" s="136"/>
      <c r="Q598" s="145"/>
      <c r="R598" s="146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</row>
    <row r="599" spans="1:49" x14ac:dyDescent="0.25">
      <c r="P599" s="136"/>
    </row>
    <row r="600" spans="1:49" x14ac:dyDescent="0.25">
      <c r="P600" s="136"/>
    </row>
    <row r="601" spans="1:49" x14ac:dyDescent="0.25">
      <c r="P601" s="136"/>
    </row>
    <row r="602" spans="1:49" x14ac:dyDescent="0.25">
      <c r="P602" s="136"/>
    </row>
    <row r="603" spans="1:49" x14ac:dyDescent="0.25">
      <c r="P603" s="136"/>
      <c r="S603"/>
    </row>
    <row r="604" spans="1:49" x14ac:dyDescent="0.25">
      <c r="P604" s="136"/>
    </row>
    <row r="605" spans="1:49" x14ac:dyDescent="0.25">
      <c r="P605" s="136"/>
    </row>
    <row r="606" spans="1:49" x14ac:dyDescent="0.25">
      <c r="P606" s="136"/>
    </row>
    <row r="607" spans="1:49" x14ac:dyDescent="0.25">
      <c r="P607" s="136"/>
    </row>
    <row r="608" spans="1:49" x14ac:dyDescent="0.25">
      <c r="P608" s="136"/>
    </row>
    <row r="609" spans="16:16" x14ac:dyDescent="0.25">
      <c r="P609" s="136"/>
    </row>
    <row r="610" spans="16:16" x14ac:dyDescent="0.25">
      <c r="P610" s="136"/>
    </row>
    <row r="611" spans="16:16" x14ac:dyDescent="0.25">
      <c r="P611" s="136"/>
    </row>
    <row r="612" spans="16:16" x14ac:dyDescent="0.25">
      <c r="P612" s="136"/>
    </row>
    <row r="613" spans="16:16" x14ac:dyDescent="0.25">
      <c r="P613" s="136"/>
    </row>
    <row r="614" spans="16:16" x14ac:dyDescent="0.25">
      <c r="P614" s="136"/>
    </row>
    <row r="615" spans="16:16" x14ac:dyDescent="0.25">
      <c r="P615" s="136"/>
    </row>
    <row r="616" spans="16:16" x14ac:dyDescent="0.25">
      <c r="P616" s="136"/>
    </row>
    <row r="617" spans="16:16" x14ac:dyDescent="0.25">
      <c r="P617" s="136"/>
    </row>
    <row r="618" spans="16:16" x14ac:dyDescent="0.25">
      <c r="P618" s="136"/>
    </row>
    <row r="619" spans="16:16" x14ac:dyDescent="0.25">
      <c r="P619" s="136"/>
    </row>
    <row r="620" spans="16:16" x14ac:dyDescent="0.25">
      <c r="P620" s="136"/>
    </row>
    <row r="621" spans="16:16" x14ac:dyDescent="0.25">
      <c r="P621" s="136"/>
    </row>
    <row r="622" spans="16:16" x14ac:dyDescent="0.25">
      <c r="P622" s="136"/>
    </row>
    <row r="623" spans="16:16" x14ac:dyDescent="0.25">
      <c r="P623" s="136"/>
    </row>
    <row r="624" spans="16:16" x14ac:dyDescent="0.25">
      <c r="P624" s="136"/>
    </row>
    <row r="625" spans="16:16" x14ac:dyDescent="0.25">
      <c r="P625" s="136"/>
    </row>
    <row r="626" spans="16:16" x14ac:dyDescent="0.25">
      <c r="P626" s="136"/>
    </row>
    <row r="627" spans="16:16" x14ac:dyDescent="0.25">
      <c r="P627" s="136"/>
    </row>
    <row r="628" spans="16:16" x14ac:dyDescent="0.25">
      <c r="P628" s="136"/>
    </row>
    <row r="629" spans="16:16" x14ac:dyDescent="0.25">
      <c r="P629" s="136"/>
    </row>
    <row r="630" spans="16:16" x14ac:dyDescent="0.25">
      <c r="P630" s="136"/>
    </row>
    <row r="631" spans="16:16" x14ac:dyDescent="0.25">
      <c r="P631" s="136"/>
    </row>
    <row r="632" spans="16:16" x14ac:dyDescent="0.25">
      <c r="P632" s="136"/>
    </row>
    <row r="633" spans="16:16" x14ac:dyDescent="0.25">
      <c r="P633" s="136"/>
    </row>
    <row r="634" spans="16:16" x14ac:dyDescent="0.25">
      <c r="P634" s="136"/>
    </row>
    <row r="635" spans="16:16" x14ac:dyDescent="0.25">
      <c r="P635" s="136"/>
    </row>
    <row r="636" spans="16:16" x14ac:dyDescent="0.25">
      <c r="P636" s="136"/>
    </row>
    <row r="637" spans="16:16" x14ac:dyDescent="0.25">
      <c r="P637" s="136"/>
    </row>
    <row r="638" spans="16:16" x14ac:dyDescent="0.25">
      <c r="P638" s="136"/>
    </row>
    <row r="639" spans="16:16" x14ac:dyDescent="0.25">
      <c r="P639" s="136"/>
    </row>
    <row r="640" spans="16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</row>
    <row r="679" spans="10:48" x14ac:dyDescent="0.25">
      <c r="P679" s="136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</row>
    <row r="680" spans="10:48" x14ac:dyDescent="0.25">
      <c r="J680" s="30"/>
      <c r="K680" s="30"/>
      <c r="L680" s="30"/>
      <c r="M680" s="30"/>
      <c r="N680" s="30"/>
      <c r="P680" s="136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U844" s="70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P847" s="136"/>
      <c r="R847" s="13"/>
      <c r="U847" s="70"/>
    </row>
    <row r="848" spans="10:48" x14ac:dyDescent="0.25">
      <c r="P848" s="136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</sheetData>
  <autoFilter ref="A7:AV597" xr:uid="{00000000-0001-0000-0000-000000000000}">
    <filterColumn colId="6">
      <filters>
        <filter val="PUNTO SEGURO - SAN RUDECINDO (fija)"/>
        <filter val="PUNTO SEGURO- SAN RUDECINDO (domo)"/>
        <filter val="PUNTO SEGURO SAN RUDECINDO INTERCOMUNICADOR"/>
      </filters>
    </filterColumn>
    <sortState xmlns:xlrd2="http://schemas.microsoft.com/office/spreadsheetml/2017/richdata2" ref="A8:AV597">
      <sortCondition descending="1" ref="G7:G597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8 I20:I21 I131:I147 I155:I156 I164:I165 I217:I220 I224:I227 I232:I235 I260 I270:I271 I278 H279:I279 H280:H578 I284:I287 I297:I299 I372:I377 I386 H387:I387 I403:I407 I419:I421 I424:I425 I483:I486 I554:I555 H680:H1048576">
    <cfRule type="cellIs" dxfId="253" priority="2836" operator="equal">
      <formula>$H$281</formula>
    </cfRule>
  </conditionalFormatting>
  <conditionalFormatting sqref="H1:H598">
    <cfRule type="cellIs" dxfId="252" priority="169" operator="equal">
      <formula>"IPCOMS"</formula>
    </cfRule>
  </conditionalFormatting>
  <conditionalFormatting sqref="H280:H598">
    <cfRule type="cellIs" dxfId="251" priority="172" operator="equal">
      <formula>$H$300</formula>
    </cfRule>
  </conditionalFormatting>
  <conditionalFormatting sqref="H579:H598">
    <cfRule type="cellIs" dxfId="250" priority="173" operator="equal">
      <formula>$H$281</formula>
    </cfRule>
  </conditionalFormatting>
  <conditionalFormatting sqref="I20:I21 I164:I165 I224:I225 I260 I284:I287 I297:I299 I403:I407 I419:I421 I424:I425 H680:H1048576">
    <cfRule type="cellIs" dxfId="249" priority="2381" operator="equal">
      <formula>"IPCOMS"</formula>
    </cfRule>
  </conditionalFormatting>
  <conditionalFormatting sqref="I20:I21 I164:I165 I224:I227 I260 I284:I287 I297:I299 I403:I407 I419:I421 I424:I425 H680:H1048576 H1:H278 H279:I279 H387:I387 I131:I147 I155:I156 I217:I220 I232:I235 I270:I271 I278 I372:I377 I386 I483:I486 I554:I555">
    <cfRule type="cellIs" dxfId="248" priority="2835" operator="equal">
      <formula>$H$300</formula>
    </cfRule>
  </conditionalFormatting>
  <conditionalFormatting sqref="J1:J568 J584:J598 J680:J1048576">
    <cfRule type="containsText" dxfId="247" priority="2842" operator="containsText" text="domo">
      <formula>NOT(ISERROR(SEARCH("domo",J1)))</formula>
    </cfRule>
    <cfRule type="containsText" dxfId="246" priority="2841" operator="containsText" text="fija">
      <formula>NOT(ISERROR(SEARCH("fija",J1)))</formula>
    </cfRule>
  </conditionalFormatting>
  <conditionalFormatting sqref="J34:J35 J162:N232 J236:N401">
    <cfRule type="containsText" dxfId="245" priority="2309" operator="containsText" text="Radio">
      <formula>NOT(ISERROR(SEARCH("Radio",J34)))</formula>
    </cfRule>
  </conditionalFormatting>
  <conditionalFormatting sqref="J135:J148 L148:N148">
    <cfRule type="containsText" dxfId="244" priority="2323" operator="containsText" text="Radio">
      <formula>NOT(ISERROR(SEARCH("Radio",J135)))</formula>
    </cfRule>
  </conditionalFormatting>
  <conditionalFormatting sqref="J403:J407">
    <cfRule type="containsText" dxfId="243" priority="2342" operator="containsText" text="Radio">
      <formula>NOT(ISERROR(SEARCH("Radio",J403)))</formula>
    </cfRule>
  </conditionalFormatting>
  <conditionalFormatting sqref="J570">
    <cfRule type="containsText" dxfId="242" priority="2784" operator="containsText" text="Radio">
      <formula>NOT(ISERROR(SEARCH("Radio",J570)))</formula>
    </cfRule>
    <cfRule type="containsText" dxfId="241" priority="2782" operator="containsText" text="fija">
      <formula>NOT(ISERROR(SEARCH("fija",J570)))</formula>
    </cfRule>
    <cfRule type="containsText" dxfId="240" priority="2783" operator="containsText" text="domo">
      <formula>NOT(ISERROR(SEARCH("domo",J570)))</formula>
    </cfRule>
  </conditionalFormatting>
  <conditionalFormatting sqref="J570:J571">
    <cfRule type="containsText" dxfId="239" priority="2778" operator="containsText" text="domo">
      <formula>NOT(ISERROR(SEARCH("domo",J570)))</formula>
    </cfRule>
    <cfRule type="containsText" dxfId="238" priority="2777" operator="containsText" text="fija">
      <formula>NOT(ISERROR(SEARCH("fija",J570)))</formula>
    </cfRule>
  </conditionalFormatting>
  <conditionalFormatting sqref="J571">
    <cfRule type="containsText" dxfId="237" priority="2776" operator="containsText" text="domo">
      <formula>NOT(ISERROR(SEARCH("domo",J571)))</formula>
    </cfRule>
    <cfRule type="containsText" dxfId="236" priority="2779" operator="containsText" text="Radio">
      <formula>NOT(ISERROR(SEARCH("Radio",J571)))</formula>
    </cfRule>
    <cfRule type="containsText" dxfId="235" priority="2775" operator="containsText" text="fija">
      <formula>NOT(ISERROR(SEARCH("fija",J571)))</formula>
    </cfRule>
  </conditionalFormatting>
  <conditionalFormatting sqref="J574">
    <cfRule type="containsText" dxfId="234" priority="2774" operator="containsText" text="Radio">
      <formula>NOT(ISERROR(SEARCH("Radio",J574)))</formula>
    </cfRule>
    <cfRule type="containsText" dxfId="233" priority="2773" operator="containsText" text="domo">
      <formula>NOT(ISERROR(SEARCH("domo",J574)))</formula>
    </cfRule>
    <cfRule type="containsText" dxfId="232" priority="2772" operator="containsText" text="fija">
      <formula>NOT(ISERROR(SEARCH("fija",J574)))</formula>
    </cfRule>
  </conditionalFormatting>
  <conditionalFormatting sqref="J574:J575">
    <cfRule type="containsText" dxfId="231" priority="2767" operator="containsText" text="fija">
      <formula>NOT(ISERROR(SEARCH("fija",J574)))</formula>
    </cfRule>
    <cfRule type="containsText" dxfId="230" priority="2768" operator="containsText" text="domo">
      <formula>NOT(ISERROR(SEARCH("domo",J574)))</formula>
    </cfRule>
  </conditionalFormatting>
  <conditionalFormatting sqref="J575 J48:N134 K135:K136 J234:K235 J402:K402 K403:K407 J408:N423 J424:K425 J426:N568 J680:N1048576 J584:N598 M402:N402 L402:L407">
    <cfRule type="containsText" dxfId="229" priority="2769" operator="containsText" text="Radio">
      <formula>NOT(ISERROR(SEARCH("Radio",J48)))</formula>
    </cfRule>
  </conditionalFormatting>
  <conditionalFormatting sqref="J575:J576">
    <cfRule type="containsText" dxfId="228" priority="2763" operator="containsText" text="domo">
      <formula>NOT(ISERROR(SEARCH("domo",J575)))</formula>
    </cfRule>
    <cfRule type="containsText" dxfId="227" priority="2762" operator="containsText" text="fija">
      <formula>NOT(ISERROR(SEARCH("fija",J575)))</formula>
    </cfRule>
  </conditionalFormatting>
  <conditionalFormatting sqref="J576">
    <cfRule type="containsText" dxfId="226" priority="2764" operator="containsText" text="Radio">
      <formula>NOT(ISERROR(SEARCH("Radio",J576)))</formula>
    </cfRule>
  </conditionalFormatting>
  <conditionalFormatting sqref="J576:J577">
    <cfRule type="containsText" dxfId="225" priority="2758" operator="containsText" text="domo">
      <formula>NOT(ISERROR(SEARCH("domo",J576)))</formula>
    </cfRule>
    <cfRule type="containsText" dxfId="224" priority="2757" operator="containsText" text="fija">
      <formula>NOT(ISERROR(SEARCH("fija",J576)))</formula>
    </cfRule>
  </conditionalFormatting>
  <conditionalFormatting sqref="J577">
    <cfRule type="containsText" dxfId="223" priority="2759" operator="containsText" text="Radio">
      <formula>NOT(ISERROR(SEARCH("Radio",J577)))</formula>
    </cfRule>
    <cfRule type="containsText" dxfId="222" priority="2756" operator="containsText" text="domo">
      <formula>NOT(ISERROR(SEARCH("domo",J577)))</formula>
    </cfRule>
    <cfRule type="containsText" dxfId="221" priority="2755" operator="containsText" text="fija">
      <formula>NOT(ISERROR(SEARCH("fija",J577)))</formula>
    </cfRule>
  </conditionalFormatting>
  <conditionalFormatting sqref="J579">
    <cfRule type="cellIs" dxfId="220" priority="174" operator="equal">
      <formula>$J$10</formula>
    </cfRule>
  </conditionalFormatting>
  <conditionalFormatting sqref="J580:J598 J1:J578 J680:J1048576">
    <cfRule type="cellIs" dxfId="219" priority="2837" operator="equal">
      <formula>$J$10</formula>
    </cfRule>
  </conditionalFormatting>
  <conditionalFormatting sqref="J582">
    <cfRule type="containsText" dxfId="218" priority="3053" operator="containsText" text="fija">
      <formula>NOT(ISERROR(SEARCH("fija",J582)))</formula>
    </cfRule>
    <cfRule type="containsText" dxfId="217" priority="3054" operator="containsText" text="domo">
      <formula>NOT(ISERROR(SEARCH("domo",J582)))</formula>
    </cfRule>
  </conditionalFormatting>
  <conditionalFormatting sqref="J585:J588">
    <cfRule type="containsText" dxfId="216" priority="2786" operator="containsText" text="domo">
      <formula>NOT(ISERROR(SEARCH("domo",J585)))</formula>
    </cfRule>
    <cfRule type="containsText" dxfId="215" priority="2785" operator="containsText" text="fija">
      <formula>NOT(ISERROR(SEARCH("fija",J585)))</formula>
    </cfRule>
  </conditionalFormatting>
  <conditionalFormatting sqref="J233:K233">
    <cfRule type="containsText" dxfId="214" priority="2344" operator="containsText" text="Radio">
      <formula>NOT(ISERROR(SEARCH("Radio",J233)))</formula>
    </cfRule>
  </conditionalFormatting>
  <conditionalFormatting sqref="J37:L47">
    <cfRule type="containsText" dxfId="213" priority="2314" operator="containsText" text="Radio">
      <formula>NOT(ISERROR(SEARCH("Radio",J37)))</formula>
    </cfRule>
  </conditionalFormatting>
  <conditionalFormatting sqref="J1:N36">
    <cfRule type="containsText" dxfId="212" priority="2379" operator="containsText" text="Radio">
      <formula>NOT(ISERROR(SEARCH("Radio",J1)))</formula>
    </cfRule>
  </conditionalFormatting>
  <conditionalFormatting sqref="J149:N161">
    <cfRule type="containsText" dxfId="211" priority="2317" operator="containsText" text="Radio">
      <formula>NOT(ISERROR(SEARCH("Radio",J149)))</formula>
    </cfRule>
  </conditionalFormatting>
  <conditionalFormatting sqref="J582:N582 K583">
    <cfRule type="containsText" dxfId="210" priority="3310" operator="containsText" text="Radio">
      <formula>NOT(ISERROR(SEARCH("Radio",J582)))</formula>
    </cfRule>
  </conditionalFormatting>
  <conditionalFormatting sqref="K1:K136 K162:K578 K680:K1048576">
    <cfRule type="cellIs" dxfId="209" priority="2383" operator="equal">
      <formula>"GPON"</formula>
    </cfRule>
    <cfRule type="cellIs" dxfId="208" priority="2382" operator="equal">
      <formula>"GPON"</formula>
    </cfRule>
  </conditionalFormatting>
  <conditionalFormatting sqref="K139">
    <cfRule type="cellIs" dxfId="207" priority="2374" operator="equal">
      <formula>"PTP A FO"</formula>
    </cfRule>
    <cfRule type="cellIs" dxfId="206" priority="2375" operator="equal">
      <formula>"PTP A FO"</formula>
    </cfRule>
    <cfRule type="cellIs" dxfId="205" priority="2373" operator="equal">
      <formula>$K$13</formula>
    </cfRule>
    <cfRule type="containsText" dxfId="204" priority="2372" operator="containsText" text="Radio">
      <formula>NOT(ISERROR(SEARCH("Radio",K139)))</formula>
    </cfRule>
    <cfRule type="cellIs" dxfId="203" priority="2371" operator="equal">
      <formula>"GPON"</formula>
    </cfRule>
    <cfRule type="cellIs" dxfId="202" priority="2370" operator="equal">
      <formula>"GPON"</formula>
    </cfRule>
  </conditionalFormatting>
  <conditionalFormatting sqref="K142:K149">
    <cfRule type="cellIs" dxfId="201" priority="2350" operator="equal">
      <formula>"PTP A FO"</formula>
    </cfRule>
    <cfRule type="containsText" dxfId="200" priority="2347" operator="containsText" text="Radio">
      <formula>NOT(ISERROR(SEARCH("Radio",K142)))</formula>
    </cfRule>
    <cfRule type="cellIs" dxfId="199" priority="2348" operator="equal">
      <formula>$K$13</formula>
    </cfRule>
    <cfRule type="cellIs" dxfId="198" priority="2349" operator="equal">
      <formula>"PTP A FO"</formula>
    </cfRule>
  </conditionalFormatting>
  <conditionalFormatting sqref="K142:K161">
    <cfRule type="cellIs" dxfId="197" priority="2316" operator="equal">
      <formula>"GPON"</formula>
    </cfRule>
    <cfRule type="cellIs" dxfId="196" priority="2315" operator="equal">
      <formula>"GPON"</formula>
    </cfRule>
  </conditionalFormatting>
  <conditionalFormatting sqref="K146:K147">
    <cfRule type="cellIs" dxfId="195" priority="2311" operator="equal">
      <formula>$K$13</formula>
    </cfRule>
    <cfRule type="cellIs" dxfId="194" priority="2312" operator="equal">
      <formula>"PTP A FO"</formula>
    </cfRule>
    <cfRule type="containsText" dxfId="193" priority="2310" operator="containsText" text="Radio">
      <formula>NOT(ISERROR(SEARCH("Radio",K146)))</formula>
    </cfRule>
    <cfRule type="cellIs" dxfId="192" priority="2313" operator="equal">
      <formula>"PTP A FO"</formula>
    </cfRule>
  </conditionalFormatting>
  <conditionalFormatting sqref="K233:K235">
    <cfRule type="cellIs" dxfId="191" priority="2361" operator="equal">
      <formula>$K$13</formula>
    </cfRule>
    <cfRule type="cellIs" dxfId="190" priority="2363" operator="equal">
      <formula>"PTP A FO"</formula>
    </cfRule>
    <cfRule type="cellIs" dxfId="189" priority="2362" operator="equal">
      <formula>"PTP A FO"</formula>
    </cfRule>
  </conditionalFormatting>
  <conditionalFormatting sqref="K234:K235">
    <cfRule type="cellIs" dxfId="188" priority="2358" operator="equal">
      <formula>"PTP A FO"</formula>
    </cfRule>
    <cfRule type="cellIs" dxfId="187" priority="2357" operator="equal">
      <formula>$K$13</formula>
    </cfRule>
    <cfRule type="cellIs" dxfId="186" priority="2359" operator="equal">
      <formula>"PTP A FO"</formula>
    </cfRule>
  </conditionalFormatting>
  <conditionalFormatting sqref="K424:K425">
    <cfRule type="cellIs" dxfId="185" priority="2368" operator="equal">
      <formula>"PTP A FO"</formula>
    </cfRule>
    <cfRule type="cellIs" dxfId="184" priority="2369" operator="equal">
      <formula>"PTP A FO"</formula>
    </cfRule>
    <cfRule type="containsText" dxfId="183" priority="2366" operator="containsText" text="Radio">
      <formula>NOT(ISERROR(SEARCH("Radio",K424)))</formula>
    </cfRule>
    <cfRule type="cellIs" dxfId="182" priority="2367" operator="equal">
      <formula>$K$13</formula>
    </cfRule>
  </conditionalFormatting>
  <conditionalFormatting sqref="K569">
    <cfRule type="containsText" dxfId="181" priority="2432" operator="containsText" text="Radio">
      <formula>NOT(ISERROR(SEARCH("Radio",K569)))</formula>
    </cfRule>
    <cfRule type="cellIs" dxfId="180" priority="2433" operator="equal">
      <formula>"PTP A FO"</formula>
    </cfRule>
  </conditionalFormatting>
  <conditionalFormatting sqref="K579:K598">
    <cfRule type="cellIs" dxfId="179" priority="170" operator="equal">
      <formula>"GPON"</formula>
    </cfRule>
    <cfRule type="cellIs" dxfId="178" priority="171" operator="equal">
      <formula>"GPON"</formula>
    </cfRule>
  </conditionalFormatting>
  <conditionalFormatting sqref="K1:L134 K135:K136 K162:L232 K236:L423 K424:K425 K426:L568 K582:L582 K583 K584:L598 K680:L1048576">
    <cfRule type="cellIs" dxfId="177" priority="3034" operator="equal">
      <formula>"PTP A FO"</formula>
    </cfRule>
  </conditionalFormatting>
  <conditionalFormatting sqref="K1:L134 K135:K136 K162:L232 K236:L423 K424:K425 K426:L578 K580:L598 K680:L1048576">
    <cfRule type="cellIs" dxfId="176" priority="2839" operator="equal">
      <formula>"PTP A FO"</formula>
    </cfRule>
  </conditionalFormatting>
  <conditionalFormatting sqref="K1:L134 K135:K136 K236:L423 K424:K425 K426:L578 K580:L598 K680:L1048576 K162:L232">
    <cfRule type="cellIs" dxfId="175" priority="2838" operator="equal">
      <formula>$K$13</formula>
    </cfRule>
  </conditionalFormatting>
  <conditionalFormatting sqref="K149:L161">
    <cfRule type="cellIs" dxfId="174" priority="2320" operator="equal">
      <formula>"PTP A FO"</formula>
    </cfRule>
    <cfRule type="cellIs" dxfId="173" priority="2319" operator="equal">
      <formula>"PTP A FO"</formula>
    </cfRule>
    <cfRule type="cellIs" dxfId="172" priority="2318" operator="equal">
      <formula>$K$13</formula>
    </cfRule>
  </conditionalFormatting>
  <conditionalFormatting sqref="K579:L579">
    <cfRule type="cellIs" dxfId="171" priority="175" operator="equal">
      <formula>$K$13</formula>
    </cfRule>
    <cfRule type="cellIs" dxfId="170" priority="176" operator="equal">
      <formula>"PTP A FO"</formula>
    </cfRule>
  </conditionalFormatting>
  <conditionalFormatting sqref="L148">
    <cfRule type="cellIs" dxfId="169" priority="2324" operator="equal">
      <formula>$K$13</formula>
    </cfRule>
    <cfRule type="cellIs" dxfId="168" priority="2325" operator="equal">
      <formula>"PTP A FO"</formula>
    </cfRule>
    <cfRule type="cellIs" dxfId="167" priority="2326" operator="equal">
      <formula>"PTP A FO"</formula>
    </cfRule>
  </conditionalFormatting>
  <conditionalFormatting sqref="R7:R397 R399:R598">
    <cfRule type="cellIs" dxfId="166" priority="3270" operator="greaterThan">
      <formula>0.8</formula>
    </cfRule>
    <cfRule type="cellIs" dxfId="165" priority="3269" operator="lessThan">
      <formula>0.8</formula>
    </cfRule>
  </conditionalFormatting>
  <conditionalFormatting sqref="S37:W38">
    <cfRule type="cellIs" dxfId="164" priority="1128" operator="equal">
      <formula>"APAGADO"</formula>
    </cfRule>
  </conditionalFormatting>
  <conditionalFormatting sqref="S426:W426 Y426:AV426">
    <cfRule type="cellIs" dxfId="163" priority="1067" operator="equal">
      <formula>"APAGADO"</formula>
    </cfRule>
  </conditionalFormatting>
  <conditionalFormatting sqref="S326:Z328">
    <cfRule type="cellIs" dxfId="162" priority="672" operator="equal">
      <formula>"APAGADO"</formula>
    </cfRule>
  </conditionalFormatting>
  <conditionalFormatting sqref="S121:AA121">
    <cfRule type="cellIs" dxfId="161" priority="1160" operator="equal">
      <formula>"APAGADO"</formula>
    </cfRule>
  </conditionalFormatting>
  <conditionalFormatting sqref="S329:AI329">
    <cfRule type="cellIs" dxfId="160" priority="177" operator="equal">
      <formula>"APAGADO"</formula>
    </cfRule>
  </conditionalFormatting>
  <conditionalFormatting sqref="S39:AT47 S76:AT76 S75:AJ75 AL75:AT75 S78:AT86 S77:AJ77 AL77:AT77 S88:AT91 S87:AJ87 AL87:AT87 S93:AT94 S92:AJ92 AL92:AT92 S49:AT50 S48:AJ48 AL48:AT48 S52:AT74 S51:AJ51 AL51:AT51">
    <cfRule type="cellIs" dxfId="159" priority="157" operator="equal">
      <formula>"APAGADO"</formula>
    </cfRule>
  </conditionalFormatting>
  <conditionalFormatting sqref="S96:AT109 S111:AT111 S110:AJ110 AL110:AT110 S113:AT117 S112:AJ112 AL112:AT112 S119:AT120 S118:AJ118 AL118:AT118">
    <cfRule type="cellIs" dxfId="158" priority="162" operator="equal">
      <formula>"APAGADO"</formula>
    </cfRule>
  </conditionalFormatting>
  <conditionalFormatting sqref="S236:AT249 S251:AT253 S250:AJ250 AL250:AT250 S256:AT259 S254:AJ255 AL254:AT255 S261:AT269 S260:AJ260 AL260:AT260 S271:AT274 S270:AJ270 AL270:AT270 S276:AT292 S275:AJ275 AL275:AT275 S295:AT297 S293:AJ294 AL293:AT294 S300:AT307 S298:AJ299 AL298:AT299 S309:AT316 S308:AJ308 AL308:AT308 S318:AT318 S317:AJ317 AL317:AT317 S322:AT325 S319:AJ321 AL319:AT321">
    <cfRule type="cellIs" dxfId="157" priority="63" operator="equal">
      <formula>"APAGADO"</formula>
    </cfRule>
  </conditionalFormatting>
  <conditionalFormatting sqref="S330:AT338 S340:AT345 S339:AJ339 AL339:AT339 S347:AT351 S346:AJ346 AL346:AT346">
    <cfRule type="cellIs" dxfId="156" priority="132" operator="equal">
      <formula>"APAGADO"</formula>
    </cfRule>
  </conditionalFormatting>
  <conditionalFormatting sqref="S353:AT353 S361:AT373 S359:AJ360 AL359:AT360 S357:AT358 S354:AJ356 AL354:AT356 S375:AT387 S374:AJ374 AL374:AT374 S389:AT391 S388:AJ388 AL388:AT388 S394:AT397 S392:AJ393 AL392:AT393">
    <cfRule type="cellIs" dxfId="155" priority="120" operator="equal">
      <formula>"APAGADO"</formula>
    </cfRule>
  </conditionalFormatting>
  <conditionalFormatting sqref="S399:AT399 S400:AJ402 AL400:AT402">
    <cfRule type="cellIs" dxfId="154" priority="122" operator="equal">
      <formula>"APAGADO"</formula>
    </cfRule>
  </conditionalFormatting>
  <conditionalFormatting sqref="S8:AV36">
    <cfRule type="cellIs" dxfId="153" priority="1414" operator="equal">
      <formula>"APAGADO"</formula>
    </cfRule>
  </conditionalFormatting>
  <conditionalFormatting sqref="S122:AV128 S130:AV130 S129:AJ129 AL129:AV129 S132:AV142 S131:AJ131 AL131:AV131 S144:AV148 S143:AJ143 AL143:AV143 S151:AV165 S149:AJ150 AL149:AV150 S167:AV170 S166:AJ166 AL166:AV166 S172:AV174 S171:AJ171 AL171:AV171 S178:AV195 S175:AJ177 AL175:AV177 S197:AV204 S196:AJ196 AL196:AV196 S206:AV232 S205:AJ205 AL205:AV205">
    <cfRule type="cellIs" dxfId="152" priority="146" operator="equal">
      <formula>"APAGADO"</formula>
    </cfRule>
  </conditionalFormatting>
  <conditionalFormatting sqref="S409:AV412 S415:AV416 S413:AJ414 AL413:AV414">
    <cfRule type="cellIs" dxfId="151" priority="116" operator="equal">
      <formula>"APAGADO"</formula>
    </cfRule>
  </conditionalFormatting>
  <conditionalFormatting sqref="S427:AV427 S432:AJ432 AL432:AV432 S429:AV431 S428:AJ428 AL428:AV428 S433:AV598">
    <cfRule type="cellIs" dxfId="150" priority="71" operator="equal">
      <formula>"APAGADO"</formula>
    </cfRule>
  </conditionalFormatting>
  <conditionalFormatting sqref="S680:AV756 AC680:AN1048576">
    <cfRule type="cellIs" dxfId="149" priority="2416" operator="equal">
      <formula>"apagado"</formula>
    </cfRule>
  </conditionalFormatting>
  <conditionalFormatting sqref="S680:AV1048576">
    <cfRule type="containsText" dxfId="148" priority="2966" operator="containsText" text="Caida">
      <formula>NOT(ISERROR(SEARCH("Caida",S680)))</formula>
    </cfRule>
    <cfRule type="notContainsText" dxfId="147" priority="3299" operator="notContains" text="Caida">
      <formula>ISERROR(SEARCH("Caida",S680))</formula>
    </cfRule>
  </conditionalFormatting>
  <conditionalFormatting sqref="U680:U1199">
    <cfRule type="containsText" dxfId="146" priority="2596" operator="containsText" text="Caida">
      <formula>NOT(ISERROR(SEARCH("Caida",U680)))</formula>
    </cfRule>
    <cfRule type="cellIs" dxfId="145" priority="2597" operator="lessThan">
      <formula>0.8</formula>
    </cfRule>
    <cfRule type="cellIs" dxfId="144" priority="2598" operator="greaterThan">
      <formula>0.8</formula>
    </cfRule>
    <cfRule type="cellIs" dxfId="143" priority="2621" operator="greaterThan">
      <formula>0.8</formula>
    </cfRule>
    <cfRule type="cellIs" dxfId="142" priority="2725" operator="equal">
      <formula>"APAGADO"</formula>
    </cfRule>
    <cfRule type="notContainsText" dxfId="141" priority="2595" operator="notContains" text="Caida">
      <formula>ISERROR(SEARCH("Caida",U680))</formula>
    </cfRule>
  </conditionalFormatting>
  <conditionalFormatting sqref="U680:U1048576">
    <cfRule type="cellIs" dxfId="140" priority="2615" operator="equal">
      <formula>$U$16</formula>
    </cfRule>
  </conditionalFormatting>
  <conditionalFormatting sqref="U417:AV423">
    <cfRule type="cellIs" dxfId="139" priority="421" operator="equal">
      <formula>"APAGADO"</formula>
    </cfRule>
  </conditionalFormatting>
  <conditionalFormatting sqref="V234:W234">
    <cfRule type="cellIs" dxfId="138" priority="1140" operator="equal">
      <formula>"APAGADO"</formula>
    </cfRule>
  </conditionalFormatting>
  <conditionalFormatting sqref="V408:AG408">
    <cfRule type="cellIs" dxfId="137" priority="1108" operator="equal">
      <formula>"APAGADO"</formula>
    </cfRule>
  </conditionalFormatting>
  <conditionalFormatting sqref="X425:X426">
    <cfRule type="cellIs" dxfId="136" priority="996" operator="equal">
      <formula>"APAGADO"</formula>
    </cfRule>
  </conditionalFormatting>
  <conditionalFormatting sqref="X406:Z407">
    <cfRule type="cellIs" dxfId="135" priority="715" operator="equal">
      <formula>"APAGADO"</formula>
    </cfRule>
  </conditionalFormatting>
  <conditionalFormatting sqref="X37:AJ37 S95:AM95 AO95:AT95 AF233:AF235 AA328 S352:AH352 AJ352:AT352 T403:U403 S403:S408 T404:T407 U404:U408 S408:T408 AQ408:AR408 S417:T425 AO680:AV1048576">
    <cfRule type="cellIs" dxfId="134" priority="2415" operator="equal">
      <formula>"APAGADO"</formula>
    </cfRule>
  </conditionalFormatting>
  <conditionalFormatting sqref="X38:AK38">
    <cfRule type="cellIs" dxfId="133" priority="2192" operator="equal">
      <formula>"APAGADO"</formula>
    </cfRule>
  </conditionalFormatting>
  <conditionalFormatting sqref="Y425:Z425">
    <cfRule type="cellIs" dxfId="132" priority="709" operator="equal">
      <formula>"APAGADO"</formula>
    </cfRule>
  </conditionalFormatting>
  <conditionalFormatting sqref="Y398:AT398">
    <cfRule type="cellIs" dxfId="131" priority="716" operator="equal">
      <formula>"APAGADO"</formula>
    </cfRule>
  </conditionalFormatting>
  <conditionalFormatting sqref="AA326:AB327">
    <cfRule type="cellIs" dxfId="130" priority="1059" operator="equal">
      <formula>"APAGADO"</formula>
    </cfRule>
  </conditionalFormatting>
  <conditionalFormatting sqref="AC407:AG407">
    <cfRule type="cellIs" dxfId="129" priority="229" operator="equal">
      <formula>"APAGADO"</formula>
    </cfRule>
  </conditionalFormatting>
  <conditionalFormatting sqref="AC425:AG425">
    <cfRule type="cellIs" dxfId="128" priority="228" operator="equal">
      <formula>"APAGADO"</formula>
    </cfRule>
  </conditionalFormatting>
  <conditionalFormatting sqref="AC326:AI328">
    <cfRule type="cellIs" dxfId="127" priority="179" operator="equal">
      <formula>"APAGADO"</formula>
    </cfRule>
  </conditionalFormatting>
  <conditionalFormatting sqref="AC121:AV121">
    <cfRule type="cellIs" dxfId="126" priority="1328" operator="equal">
      <formula>"APAGADO"</formula>
    </cfRule>
  </conditionalFormatting>
  <conditionalFormatting sqref="AD406:AG406">
    <cfRule type="cellIs" dxfId="125" priority="528" operator="equal">
      <formula>"APAGADO"</formula>
    </cfRule>
  </conditionalFormatting>
  <conditionalFormatting sqref="AH234:AI234">
    <cfRule type="cellIs" dxfId="124" priority="2197" operator="equal">
      <formula>"APAGADO"</formula>
    </cfRule>
  </conditionalFormatting>
  <conditionalFormatting sqref="AH406:AI408">
    <cfRule type="cellIs" dxfId="123" priority="2161" operator="equal">
      <formula>"APAGADO"</formula>
    </cfRule>
  </conditionalFormatting>
  <conditionalFormatting sqref="AJ407:AJ408">
    <cfRule type="cellIs" dxfId="122" priority="118" operator="equal">
      <formula>"APAGADO"</formula>
    </cfRule>
  </conditionalFormatting>
  <conditionalFormatting sqref="AJ425">
    <cfRule type="cellIs" dxfId="121" priority="114" operator="equal">
      <formula>"APAGADO"</formula>
    </cfRule>
  </conditionalFormatting>
  <conditionalFormatting sqref="AJ326:AJ329 AL326:AT329">
    <cfRule type="cellIs" dxfId="120" priority="62" operator="equal">
      <formula>"APAGADO"</formula>
    </cfRule>
  </conditionalFormatting>
  <conditionalFormatting sqref="AL234:AP234">
    <cfRule type="cellIs" dxfId="119" priority="1738" operator="equal">
      <formula>"APAGADO"</formula>
    </cfRule>
  </conditionalFormatting>
  <conditionalFormatting sqref="AL406:AP408">
    <cfRule type="cellIs" dxfId="118" priority="1719" operator="equal">
      <formula>"APAGADO"</formula>
    </cfRule>
  </conditionalFormatting>
  <conditionalFormatting sqref="AL37:AV38">
    <cfRule type="cellIs" dxfId="117" priority="1335" operator="equal">
      <formula>"APAGADO"</formula>
    </cfRule>
  </conditionalFormatting>
  <conditionalFormatting sqref="AR234:AV234">
    <cfRule type="cellIs" dxfId="116" priority="1309" operator="equal">
      <formula>"APAGADO"</formula>
    </cfRule>
  </conditionalFormatting>
  <conditionalFormatting sqref="AS407:AS408">
    <cfRule type="cellIs" dxfId="115" priority="1581" operator="equal">
      <formula>"APAGADO"</formula>
    </cfRule>
  </conditionalFormatting>
  <conditionalFormatting sqref="AT408:AU408">
    <cfRule type="cellIs" dxfId="114" priority="1467" operator="equal">
      <formula>"APAGADO"</formula>
    </cfRule>
  </conditionalFormatting>
  <conditionalFormatting sqref="AU39:AV120">
    <cfRule type="cellIs" dxfId="113" priority="1329" operator="equal">
      <formula>"APAGADO"</formula>
    </cfRule>
  </conditionalFormatting>
  <conditionalFormatting sqref="AU236:AV402">
    <cfRule type="cellIs" dxfId="112" priority="1258" operator="equal">
      <formula>"APAGADO"</formula>
    </cfRule>
  </conditionalFormatting>
  <conditionalFormatting sqref="AV406:AV408">
    <cfRule type="cellIs" dxfId="111" priority="1277" operator="equal">
      <formula>"APAGADO"</formula>
    </cfRule>
  </conditionalFormatting>
  <conditionalFormatting sqref="AK75">
    <cfRule type="cellIs" dxfId="60" priority="61" operator="equal">
      <formula>"APAGADO"</formula>
    </cfRule>
  </conditionalFormatting>
  <conditionalFormatting sqref="AK77">
    <cfRule type="cellIs" dxfId="59" priority="60" operator="equal">
      <formula>"APAGADO"</formula>
    </cfRule>
  </conditionalFormatting>
  <conditionalFormatting sqref="AK87">
    <cfRule type="cellIs" dxfId="58" priority="59" operator="equal">
      <formula>"APAGADO"</formula>
    </cfRule>
  </conditionalFormatting>
  <conditionalFormatting sqref="AK92">
    <cfRule type="cellIs" dxfId="57" priority="58" operator="equal">
      <formula>"APAGADO"</formula>
    </cfRule>
  </conditionalFormatting>
  <conditionalFormatting sqref="AK110">
    <cfRule type="cellIs" dxfId="56" priority="57" operator="equal">
      <formula>"APAGADO"</formula>
    </cfRule>
  </conditionalFormatting>
  <conditionalFormatting sqref="AK112">
    <cfRule type="cellIs" dxfId="55" priority="56" operator="equal">
      <formula>"APAGADO"</formula>
    </cfRule>
  </conditionalFormatting>
  <conditionalFormatting sqref="AK118">
    <cfRule type="cellIs" dxfId="54" priority="55" operator="equal">
      <formula>"APAGADO"</formula>
    </cfRule>
  </conditionalFormatting>
  <conditionalFormatting sqref="AK48">
    <cfRule type="cellIs" dxfId="53" priority="54" operator="equal">
      <formula>"APAGADO"</formula>
    </cfRule>
  </conditionalFormatting>
  <conditionalFormatting sqref="AK51">
    <cfRule type="cellIs" dxfId="52" priority="53" operator="equal">
      <formula>"APAGADO"</formula>
    </cfRule>
  </conditionalFormatting>
  <conditionalFormatting sqref="AK129">
    <cfRule type="cellIs" dxfId="51" priority="52" operator="equal">
      <formula>"APAGADO"</formula>
    </cfRule>
  </conditionalFormatting>
  <conditionalFormatting sqref="AK131">
    <cfRule type="cellIs" dxfId="50" priority="51" operator="equal">
      <formula>"APAGADO"</formula>
    </cfRule>
  </conditionalFormatting>
  <conditionalFormatting sqref="AK143">
    <cfRule type="cellIs" dxfId="49" priority="50" operator="equal">
      <formula>"APAGADO"</formula>
    </cfRule>
  </conditionalFormatting>
  <conditionalFormatting sqref="AK149">
    <cfRule type="cellIs" dxfId="48" priority="49" operator="equal">
      <formula>"APAGADO"</formula>
    </cfRule>
  </conditionalFormatting>
  <conditionalFormatting sqref="AK150">
    <cfRule type="cellIs" dxfId="47" priority="48" operator="equal">
      <formula>"APAGADO"</formula>
    </cfRule>
  </conditionalFormatting>
  <conditionalFormatting sqref="AK166">
    <cfRule type="cellIs" dxfId="46" priority="47" operator="equal">
      <formula>"APAGADO"</formula>
    </cfRule>
  </conditionalFormatting>
  <conditionalFormatting sqref="AK171">
    <cfRule type="cellIs" dxfId="45" priority="46" operator="equal">
      <formula>"APAGADO"</formula>
    </cfRule>
  </conditionalFormatting>
  <conditionalFormatting sqref="AK175">
    <cfRule type="cellIs" dxfId="44" priority="45" operator="equal">
      <formula>"APAGADO"</formula>
    </cfRule>
  </conditionalFormatting>
  <conditionalFormatting sqref="AK176">
    <cfRule type="cellIs" dxfId="43" priority="44" operator="equal">
      <formula>"APAGADO"</formula>
    </cfRule>
  </conditionalFormatting>
  <conditionalFormatting sqref="AK177">
    <cfRule type="cellIs" dxfId="42" priority="43" operator="equal">
      <formula>"APAGADO"</formula>
    </cfRule>
  </conditionalFormatting>
  <conditionalFormatting sqref="AK196">
    <cfRule type="cellIs" dxfId="41" priority="42" operator="equal">
      <formula>"APAGADO"</formula>
    </cfRule>
  </conditionalFormatting>
  <conditionalFormatting sqref="AK205">
    <cfRule type="cellIs" dxfId="40" priority="41" operator="equal">
      <formula>"APAGADO"</formula>
    </cfRule>
  </conditionalFormatting>
  <conditionalFormatting sqref="AK250">
    <cfRule type="cellIs" dxfId="39" priority="40" operator="equal">
      <formula>"APAGADO"</formula>
    </cfRule>
  </conditionalFormatting>
  <conditionalFormatting sqref="AK254">
    <cfRule type="cellIs" dxfId="38" priority="39" operator="equal">
      <formula>"APAGADO"</formula>
    </cfRule>
  </conditionalFormatting>
  <conditionalFormatting sqref="AK255">
    <cfRule type="cellIs" dxfId="37" priority="38" operator="equal">
      <formula>"APAGADO"</formula>
    </cfRule>
  </conditionalFormatting>
  <conditionalFormatting sqref="AK260">
    <cfRule type="cellIs" dxfId="36" priority="37" operator="equal">
      <formula>"APAGADO"</formula>
    </cfRule>
  </conditionalFormatting>
  <conditionalFormatting sqref="AK270">
    <cfRule type="cellIs" dxfId="35" priority="36" operator="equal">
      <formula>"APAGADO"</formula>
    </cfRule>
  </conditionalFormatting>
  <conditionalFormatting sqref="AK275">
    <cfRule type="cellIs" dxfId="34" priority="35" operator="equal">
      <formula>"APAGADO"</formula>
    </cfRule>
  </conditionalFormatting>
  <conditionalFormatting sqref="AK293">
    <cfRule type="cellIs" dxfId="33" priority="34" operator="equal">
      <formula>"APAGADO"</formula>
    </cfRule>
  </conditionalFormatting>
  <conditionalFormatting sqref="AK294">
    <cfRule type="cellIs" dxfId="32" priority="33" operator="equal">
      <formula>"APAGADO"</formula>
    </cfRule>
  </conditionalFormatting>
  <conditionalFormatting sqref="AK298">
    <cfRule type="cellIs" dxfId="31" priority="32" operator="equal">
      <formula>"APAGADO"</formula>
    </cfRule>
  </conditionalFormatting>
  <conditionalFormatting sqref="AK299">
    <cfRule type="cellIs" dxfId="30" priority="31" operator="equal">
      <formula>"APAGADO"</formula>
    </cfRule>
  </conditionalFormatting>
  <conditionalFormatting sqref="AK339">
    <cfRule type="cellIs" dxfId="29" priority="30" operator="equal">
      <formula>"APAGADO"</formula>
    </cfRule>
  </conditionalFormatting>
  <conditionalFormatting sqref="AK359">
    <cfRule type="cellIs" dxfId="28" priority="29" operator="equal">
      <formula>"APAGADO"</formula>
    </cfRule>
  </conditionalFormatting>
  <conditionalFormatting sqref="AK360">
    <cfRule type="cellIs" dxfId="27" priority="28" operator="equal">
      <formula>"APAGADO"</formula>
    </cfRule>
  </conditionalFormatting>
  <conditionalFormatting sqref="AK346">
    <cfRule type="cellIs" dxfId="26" priority="27" operator="equal">
      <formula>"APAGADO"</formula>
    </cfRule>
  </conditionalFormatting>
  <conditionalFormatting sqref="AK354">
    <cfRule type="cellIs" dxfId="25" priority="26" operator="equal">
      <formula>"APAGADO"</formula>
    </cfRule>
  </conditionalFormatting>
  <conditionalFormatting sqref="AK355">
    <cfRule type="cellIs" dxfId="24" priority="25" operator="equal">
      <formula>"APAGADO"</formula>
    </cfRule>
  </conditionalFormatting>
  <conditionalFormatting sqref="AK356">
    <cfRule type="cellIs" dxfId="23" priority="24" operator="equal">
      <formula>"APAGADO"</formula>
    </cfRule>
  </conditionalFormatting>
  <conditionalFormatting sqref="AK374">
    <cfRule type="cellIs" dxfId="22" priority="23" operator="equal">
      <formula>"APAGADO"</formula>
    </cfRule>
  </conditionalFormatting>
  <conditionalFormatting sqref="AK400">
    <cfRule type="cellIs" dxfId="21" priority="22" operator="equal">
      <formula>"APAGADO"</formula>
    </cfRule>
  </conditionalFormatting>
  <conditionalFormatting sqref="AK388">
    <cfRule type="cellIs" dxfId="20" priority="21" operator="equal">
      <formula>"APAGADO"</formula>
    </cfRule>
  </conditionalFormatting>
  <conditionalFormatting sqref="AK401">
    <cfRule type="cellIs" dxfId="19" priority="20" operator="equal">
      <formula>"APAGADO"</formula>
    </cfRule>
  </conditionalFormatting>
  <conditionalFormatting sqref="AK402">
    <cfRule type="cellIs" dxfId="18" priority="19" operator="equal">
      <formula>"APAGADO"</formula>
    </cfRule>
  </conditionalFormatting>
  <conditionalFormatting sqref="AK392">
    <cfRule type="cellIs" dxfId="17" priority="18" operator="equal">
      <formula>"APAGADO"</formula>
    </cfRule>
  </conditionalFormatting>
  <conditionalFormatting sqref="AK393">
    <cfRule type="cellIs" dxfId="16" priority="17" operator="equal">
      <formula>"APAGADO"</formula>
    </cfRule>
  </conditionalFormatting>
  <conditionalFormatting sqref="AK407">
    <cfRule type="cellIs" dxfId="15" priority="16" operator="equal">
      <formula>"APAGADO"</formula>
    </cfRule>
  </conditionalFormatting>
  <conditionalFormatting sqref="AK408">
    <cfRule type="cellIs" dxfId="14" priority="15" operator="equal">
      <formula>"APAGADO"</formula>
    </cfRule>
  </conditionalFormatting>
  <conditionalFormatting sqref="AK413">
    <cfRule type="cellIs" dxfId="13" priority="14" operator="equal">
      <formula>"APAGADO"</formula>
    </cfRule>
  </conditionalFormatting>
  <conditionalFormatting sqref="AK414">
    <cfRule type="cellIs" dxfId="12" priority="13" operator="equal">
      <formula>"APAGADO"</formula>
    </cfRule>
  </conditionalFormatting>
  <conditionalFormatting sqref="AK432">
    <cfRule type="cellIs" dxfId="11" priority="12" operator="equal">
      <formula>"APAGADO"</formula>
    </cfRule>
  </conditionalFormatting>
  <conditionalFormatting sqref="AK425">
    <cfRule type="cellIs" dxfId="10" priority="11" operator="equal">
      <formula>"APAGADO"</formula>
    </cfRule>
  </conditionalFormatting>
  <conditionalFormatting sqref="AK428">
    <cfRule type="cellIs" dxfId="9" priority="10" operator="equal">
      <formula>"APAGADO"</formula>
    </cfRule>
  </conditionalFormatting>
  <conditionalFormatting sqref="AK308">
    <cfRule type="cellIs" dxfId="8" priority="9" operator="equal">
      <formula>"APAGADO"</formula>
    </cfRule>
  </conditionalFormatting>
  <conditionalFormatting sqref="AK317">
    <cfRule type="cellIs" dxfId="7" priority="8" operator="equal">
      <formula>"APAGADO"</formula>
    </cfRule>
  </conditionalFormatting>
  <conditionalFormatting sqref="AK326">
    <cfRule type="cellIs" dxfId="6" priority="7" operator="equal">
      <formula>"APAGADO"</formula>
    </cfRule>
  </conditionalFormatting>
  <conditionalFormatting sqref="AK327">
    <cfRule type="cellIs" dxfId="5" priority="6" operator="equal">
      <formula>"APAGADO"</formula>
    </cfRule>
  </conditionalFormatting>
  <conditionalFormatting sqref="AK328">
    <cfRule type="cellIs" dxfId="4" priority="5" operator="equal">
      <formula>"APAGADO"</formula>
    </cfRule>
  </conditionalFormatting>
  <conditionalFormatting sqref="AK329">
    <cfRule type="cellIs" dxfId="3" priority="4" operator="equal">
      <formula>"APAGADO"</formula>
    </cfRule>
  </conditionalFormatting>
  <conditionalFormatting sqref="AK320">
    <cfRule type="cellIs" dxfId="2" priority="3" operator="equal">
      <formula>"APAGADO"</formula>
    </cfRule>
  </conditionalFormatting>
  <conditionalFormatting sqref="AK321">
    <cfRule type="cellIs" dxfId="1" priority="2" operator="equal">
      <formula>"APAGADO"</formula>
    </cfRule>
  </conditionalFormatting>
  <conditionalFormatting sqref="AK319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46143</v>
      </c>
      <c r="G4" s="11">
        <f>'RESUMEN TOTAL'!T7</f>
        <v>46144</v>
      </c>
      <c r="H4" s="11">
        <f>'RESUMEN TOTAL'!U7</f>
        <v>46145</v>
      </c>
      <c r="I4" s="11">
        <f>'RESUMEN TOTAL'!V7</f>
        <v>46146</v>
      </c>
      <c r="J4" s="11">
        <f>'RESUMEN TOTAL'!W7</f>
        <v>46147</v>
      </c>
      <c r="K4" s="11">
        <f>'RESUMEN TOTAL'!X7</f>
        <v>46148</v>
      </c>
      <c r="L4" s="11">
        <f>'RESUMEN TOTAL'!Y7</f>
        <v>46149</v>
      </c>
      <c r="M4" s="11">
        <f>'RESUMEN TOTAL'!Z7</f>
        <v>46150</v>
      </c>
      <c r="N4" s="11">
        <f>'RESUMEN TOTAL'!AA7</f>
        <v>46151</v>
      </c>
      <c r="O4" s="11">
        <f>'RESUMEN TOTAL'!AB7</f>
        <v>46152</v>
      </c>
      <c r="P4" s="11">
        <f>'RESUMEN TOTAL'!AC7</f>
        <v>46153</v>
      </c>
      <c r="Q4" s="11">
        <f>'RESUMEN TOTAL'!AD7</f>
        <v>46154</v>
      </c>
      <c r="R4" s="11">
        <f>'RESUMEN TOTAL'!AE7</f>
        <v>46155</v>
      </c>
      <c r="S4" s="11">
        <f>'RESUMEN TOTAL'!AF7</f>
        <v>46156</v>
      </c>
      <c r="T4" s="11">
        <f>'RESUMEN TOTAL'!AG7</f>
        <v>46157</v>
      </c>
      <c r="U4" s="11">
        <f>'RESUMEN TOTAL'!AH7</f>
        <v>46158</v>
      </c>
      <c r="V4" s="11">
        <f>'RESUMEN TOTAL'!AI7</f>
        <v>46159</v>
      </c>
      <c r="W4" s="11">
        <f>'RESUMEN TOTAL'!AJ7</f>
        <v>46160</v>
      </c>
      <c r="X4" s="11">
        <f>'RESUMEN TOTAL'!AK7</f>
        <v>46161</v>
      </c>
      <c r="Y4" s="11">
        <f>'RESUMEN TOTAL'!AL7</f>
        <v>46162</v>
      </c>
      <c r="Z4" s="11">
        <f>'RESUMEN TOTAL'!AM7</f>
        <v>46163</v>
      </c>
      <c r="AA4" s="11">
        <f>'RESUMEN TOTAL'!AN7</f>
        <v>46164</v>
      </c>
      <c r="AB4" s="11">
        <f>'RESUMEN TOTAL'!AO7</f>
        <v>46165</v>
      </c>
      <c r="AC4" s="11">
        <f>'RESUMEN TOTAL'!AP7</f>
        <v>46166</v>
      </c>
      <c r="AD4" s="11">
        <f>'RESUMEN TOTAL'!AQ7</f>
        <v>46167</v>
      </c>
      <c r="AE4" s="11">
        <f>'RESUMEN TOTAL'!AR7</f>
        <v>46168</v>
      </c>
      <c r="AF4" s="11">
        <f>'RESUMEN TOTAL'!AS7</f>
        <v>46169</v>
      </c>
      <c r="AG4" s="11">
        <f>'RESUMEN TOTAL'!AT7</f>
        <v>46170</v>
      </c>
      <c r="AH4" s="11">
        <f>'RESUMEN TOTAL'!AU7</f>
        <v>46171</v>
      </c>
      <c r="AI4" s="11">
        <f>'RESUMEN TOTAL'!AV7</f>
        <v>46172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 t="str">
        <f>'RESUMEN TOTAL'!V11</f>
        <v>APAGADO</v>
      </c>
      <c r="J8" s="70" t="str">
        <f>'RESUMEN TOTAL'!W11</f>
        <v>APAGADO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 t="str">
        <f>'RESUMEN TOTAL'!V12</f>
        <v>APAGADO</v>
      </c>
      <c r="J9" s="70" t="str">
        <f>'RESUMEN TOTAL'!W12</f>
        <v>APAGADO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 t="str">
        <f>'RESUMEN TOTAL'!X22</f>
        <v>APAGADO</v>
      </c>
      <c r="L17" s="70" t="str">
        <f>'RESUMEN TOTAL'!Y22</f>
        <v>APAGADO</v>
      </c>
      <c r="M17" s="70" t="str">
        <f>'RESUMEN TOTAL'!Z22</f>
        <v>APAGADO</v>
      </c>
      <c r="N17" s="70">
        <f>'RESUMEN TOTAL'!AA22</f>
        <v>0</v>
      </c>
      <c r="O17" s="70">
        <f>'RESUMEN TOTAL'!AB22</f>
        <v>0</v>
      </c>
      <c r="P17" s="70" t="str">
        <f>'RESUMEN TOTAL'!AC22</f>
        <v>APAGADO</v>
      </c>
      <c r="Q17" s="70" t="str">
        <f>'RESUMEN TOTAL'!AD22</f>
        <v>APAGADO</v>
      </c>
      <c r="R17" s="70" t="str">
        <f>'RESUMEN TOTAL'!AE22</f>
        <v>APAGADO</v>
      </c>
      <c r="S17" s="70" t="str">
        <f>'RESUMEN TOTAL'!AF22</f>
        <v>APAGADO</v>
      </c>
      <c r="T17" s="70" t="str">
        <f>'RESUMEN TOTAL'!AG22</f>
        <v>APAGADO</v>
      </c>
      <c r="U17" s="70">
        <f>'RESUMEN TOTAL'!AH22</f>
        <v>0</v>
      </c>
      <c r="V17" s="70">
        <f>'RESUMEN TOTAL'!AI22</f>
        <v>0</v>
      </c>
      <c r="W17" s="70" t="str">
        <f>'RESUMEN TOTAL'!AJ22</f>
        <v>APAGADO</v>
      </c>
      <c r="X17" s="70" t="str">
        <f>'RESUMEN TOTAL'!AK22</f>
        <v>APAGADO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 t="str">
        <f>'RESUMEN TOTAL'!X23</f>
        <v>APAGADO</v>
      </c>
      <c r="L18" s="70" t="str">
        <f>'RESUMEN TOTAL'!Y23</f>
        <v>APAGADO</v>
      </c>
      <c r="M18" s="70" t="str">
        <f>'RESUMEN TOTAL'!Z23</f>
        <v>APAGADO</v>
      </c>
      <c r="N18" s="70">
        <f>'RESUMEN TOTAL'!AA23</f>
        <v>0</v>
      </c>
      <c r="O18" s="70">
        <f>'RESUMEN TOTAL'!AB23</f>
        <v>0</v>
      </c>
      <c r="P18" s="70" t="str">
        <f>'RESUMEN TOTAL'!AC23</f>
        <v>APAGADO</v>
      </c>
      <c r="Q18" s="70" t="str">
        <f>'RESUMEN TOTAL'!AD23</f>
        <v>APAGADO</v>
      </c>
      <c r="R18" s="70" t="str">
        <f>'RESUMEN TOTAL'!AE23</f>
        <v>APAGADO</v>
      </c>
      <c r="S18" s="70" t="str">
        <f>'RESUMEN TOTAL'!AF23</f>
        <v>APAGADO</v>
      </c>
      <c r="T18" s="70" t="str">
        <f>'RESUMEN TOTAL'!AG23</f>
        <v>APAGADO</v>
      </c>
      <c r="U18" s="70">
        <f>'RESUMEN TOTAL'!AH23</f>
        <v>0</v>
      </c>
      <c r="V18" s="70">
        <f>'RESUMEN TOTAL'!AI23</f>
        <v>0</v>
      </c>
      <c r="W18" s="70" t="str">
        <f>'RESUMEN TOTAL'!AJ23</f>
        <v>APAGADO</v>
      </c>
      <c r="X18" s="70" t="str">
        <f>'RESUMEN TOTAL'!AK23</f>
        <v>APAGADO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 t="str">
        <f>'RESUMEN TOTAL'!V48</f>
        <v>APAGADO</v>
      </c>
      <c r="J25" s="70" t="str">
        <f>'RESUMEN TOTAL'!W48</f>
        <v>APAGADO</v>
      </c>
      <c r="K25" s="70" t="str">
        <f>'RESUMEN TOTAL'!X48</f>
        <v>APAGADO</v>
      </c>
      <c r="L25" s="70" t="str">
        <f>'RESUMEN TOTAL'!Y48</f>
        <v>APAGADO</v>
      </c>
      <c r="M25" s="70" t="str">
        <f>'RESUMEN TOTAL'!Z48</f>
        <v>APAGADO</v>
      </c>
      <c r="N25" s="70">
        <f>'RESUMEN TOTAL'!AA48</f>
        <v>0</v>
      </c>
      <c r="O25" s="70">
        <f>'RESUMEN TOTAL'!AB48</f>
        <v>0</v>
      </c>
      <c r="P25" s="70" t="str">
        <f>'RESUMEN TOTAL'!AC48</f>
        <v>APAGADO</v>
      </c>
      <c r="Q25" s="70" t="str">
        <f>'RESUMEN TOTAL'!AD48</f>
        <v>APAGADO</v>
      </c>
      <c r="R25" s="70" t="str">
        <f>'RESUMEN TOTAL'!AE48</f>
        <v>APAGADO</v>
      </c>
      <c r="S25" s="70" t="str">
        <f>'RESUMEN TOTAL'!AF48</f>
        <v>APAGADO</v>
      </c>
      <c r="T25" s="70" t="str">
        <f>'RESUMEN TOTAL'!AG48</f>
        <v>APAGADO</v>
      </c>
      <c r="U25" s="70">
        <f>'RESUMEN TOTAL'!AH48</f>
        <v>0</v>
      </c>
      <c r="V25" s="70">
        <f>'RESUMEN TOTAL'!AI48</f>
        <v>0</v>
      </c>
      <c r="W25" s="70" t="str">
        <f>'RESUMEN TOTAL'!AJ48</f>
        <v>APAGADO</v>
      </c>
      <c r="X25" s="70" t="str">
        <f>'RESUMEN TOTAL'!AK48</f>
        <v>APAGADO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 t="str">
        <f>'RESUMEN TOTAL'!V51</f>
        <v>APAGADO</v>
      </c>
      <c r="J28" s="70" t="str">
        <f>'RESUMEN TOTAL'!W51</f>
        <v>APAGADO</v>
      </c>
      <c r="K28" s="70" t="str">
        <f>'RESUMEN TOTAL'!X51</f>
        <v>APAGADO</v>
      </c>
      <c r="L28" s="70" t="str">
        <f>'RESUMEN TOTAL'!Y51</f>
        <v>APAGADO</v>
      </c>
      <c r="M28" s="70" t="str">
        <f>'RESUMEN TOTAL'!Z51</f>
        <v>APAGADO</v>
      </c>
      <c r="N28" s="70">
        <f>'RESUMEN TOTAL'!AA51</f>
        <v>0</v>
      </c>
      <c r="O28" s="70">
        <f>'RESUMEN TOTAL'!AB51</f>
        <v>0</v>
      </c>
      <c r="P28" s="70" t="str">
        <f>'RESUMEN TOTAL'!AC51</f>
        <v>APAGADO</v>
      </c>
      <c r="Q28" s="70" t="str">
        <f>'RESUMEN TOTAL'!AD51</f>
        <v>APAGADO</v>
      </c>
      <c r="R28" s="70" t="str">
        <f>'RESUMEN TOTAL'!AE51</f>
        <v>APAGADO</v>
      </c>
      <c r="S28" s="70" t="str">
        <f>'RESUMEN TOTAL'!AF51</f>
        <v>APAGADO</v>
      </c>
      <c r="T28" s="70" t="str">
        <f>'RESUMEN TOTAL'!AG51</f>
        <v>APAGADO</v>
      </c>
      <c r="U28" s="70">
        <f>'RESUMEN TOTAL'!AH51</f>
        <v>0</v>
      </c>
      <c r="V28" s="70">
        <f>'RESUMEN TOTAL'!AI51</f>
        <v>0</v>
      </c>
      <c r="W28" s="70" t="str">
        <f>'RESUMEN TOTAL'!AJ51</f>
        <v>APAGADO</v>
      </c>
      <c r="X28" s="70" t="str">
        <f>'RESUMEN TOTAL'!AK51</f>
        <v>APAGADO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 t="str">
        <f>'RESUMEN TOTAL'!AF62</f>
        <v>APAGADO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 t="str">
        <f>'RESUMEN TOTAL'!AJ62</f>
        <v>APAGADO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 t="str">
        <f>'RESUMEN TOTAL'!V69</f>
        <v>APAGADO</v>
      </c>
      <c r="J46" s="70" t="str">
        <f>'RESUMEN TOTAL'!W69</f>
        <v>APAGADO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 t="str">
        <f>'RESUMEN TOTAL'!AD69</f>
        <v>APAGADO</v>
      </c>
      <c r="R46" s="70">
        <f>'RESUMEN TOTAL'!AE69</f>
        <v>0</v>
      </c>
      <c r="S46" s="70">
        <f>'RESUMEN TOTAL'!AF69</f>
        <v>0</v>
      </c>
      <c r="T46" s="70" t="str">
        <f>'RESUMEN TOTAL'!AG69</f>
        <v>APAGADO</v>
      </c>
      <c r="U46" s="70">
        <f>'RESUMEN TOTAL'!AH69</f>
        <v>0</v>
      </c>
      <c r="V46" s="70">
        <f>'RESUMEN TOTAL'!AI69</f>
        <v>0</v>
      </c>
      <c r="W46" s="70" t="str">
        <f>'RESUMEN TOTAL'!AJ69</f>
        <v>APAGADO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 t="str">
        <f>'RESUMEN TOTAL'!AG70</f>
        <v>APAGADO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 t="str">
        <f>'RESUMEN TOTAL'!AC71</f>
        <v>APAGADO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 t="str">
        <f>'RESUMEN TOTAL'!AC75</f>
        <v>APAGADO</v>
      </c>
      <c r="Q52" s="70" t="str">
        <f>'RESUMEN TOTAL'!AD75</f>
        <v>APAGADO</v>
      </c>
      <c r="R52" s="70" t="str">
        <f>'RESUMEN TOTAL'!AE75</f>
        <v>APAGADO</v>
      </c>
      <c r="S52" s="70" t="str">
        <f>'RESUMEN TOTAL'!AF75</f>
        <v>APAGADO</v>
      </c>
      <c r="T52" s="70" t="str">
        <f>'RESUMEN TOTAL'!AG75</f>
        <v>APAGADO</v>
      </c>
      <c r="U52" s="70">
        <f>'RESUMEN TOTAL'!AH75</f>
        <v>0</v>
      </c>
      <c r="V52" s="70">
        <f>'RESUMEN TOTAL'!AI75</f>
        <v>0</v>
      </c>
      <c r="W52" s="70" t="str">
        <f>'RESUMEN TOTAL'!AJ75</f>
        <v>APAGADO</v>
      </c>
      <c r="X52" s="70" t="str">
        <f>'RESUMEN TOTAL'!AK75</f>
        <v>APAGADO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 t="str">
        <f>'RESUMEN TOTAL'!V77</f>
        <v>APAGADO</v>
      </c>
      <c r="J54" s="70">
        <f>'RESUMEN TOTAL'!W77</f>
        <v>0</v>
      </c>
      <c r="K54" s="70">
        <f>'RESUMEN TOTAL'!X77</f>
        <v>0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 t="str">
        <f>'RESUMEN TOTAL'!AC77</f>
        <v>APAGADO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>
        <f>'RESUMEN TOTAL'!AH77</f>
        <v>0</v>
      </c>
      <c r="V54" s="70">
        <f>'RESUMEN TOTAL'!AI77</f>
        <v>0</v>
      </c>
      <c r="W54" s="70" t="str">
        <f>'RESUMEN TOTAL'!AJ77</f>
        <v>APAGADO</v>
      </c>
      <c r="X54" s="70" t="str">
        <f>'RESUMEN TOTAL'!AK77</f>
        <v>APAGADO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 t="str">
        <f>'RESUMEN TOTAL'!V82</f>
        <v>APAGADO</v>
      </c>
      <c r="J59" s="70" t="str">
        <f>'RESUMEN TOTAL'!W82</f>
        <v>APAGADO</v>
      </c>
      <c r="K59" s="70" t="str">
        <f>'RESUMEN TOTAL'!X82</f>
        <v>APAGADO</v>
      </c>
      <c r="L59" s="70" t="str">
        <f>'RESUMEN TOTAL'!Y82</f>
        <v>APAGADO</v>
      </c>
      <c r="M59" s="70" t="str">
        <f>'RESUMEN TOTAL'!Z82</f>
        <v>APAGADO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 t="str">
        <f>'RESUMEN TOTAL'!AC87</f>
        <v>APAGADO</v>
      </c>
      <c r="Q64" s="70" t="str">
        <f>'RESUMEN TOTAL'!AD87</f>
        <v>APAGADO</v>
      </c>
      <c r="R64" s="70" t="str">
        <f>'RESUMEN TOTAL'!AE87</f>
        <v>APAGADO</v>
      </c>
      <c r="S64" s="70" t="str">
        <f>'RESUMEN TOTAL'!AF87</f>
        <v>APAGADO</v>
      </c>
      <c r="T64" s="70" t="str">
        <f>'RESUMEN TOTAL'!AG87</f>
        <v>APAGADO</v>
      </c>
      <c r="U64" s="70">
        <f>'RESUMEN TOTAL'!AH87</f>
        <v>0</v>
      </c>
      <c r="V64" s="70">
        <f>'RESUMEN TOTAL'!AI87</f>
        <v>0</v>
      </c>
      <c r="W64" s="70" t="str">
        <f>'RESUMEN TOTAL'!AJ87</f>
        <v>APAGADO</v>
      </c>
      <c r="X64" s="70" t="str">
        <f>'RESUMEN TOTAL'!AK87</f>
        <v>APAGADO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 t="str">
        <f>'RESUMEN TOTAL'!V92</f>
        <v>APAGADO</v>
      </c>
      <c r="J69" s="70" t="str">
        <f>'RESUMEN TOTAL'!W92</f>
        <v>APAGADO</v>
      </c>
      <c r="K69" s="70" t="str">
        <f>'RESUMEN TOTAL'!X92</f>
        <v>APAGADO</v>
      </c>
      <c r="L69" s="70" t="str">
        <f>'RESUMEN TOTAL'!Y92</f>
        <v>APAGADO</v>
      </c>
      <c r="M69" s="70" t="str">
        <f>'RESUMEN TOTAL'!Z92</f>
        <v>APAGADO</v>
      </c>
      <c r="N69" s="70">
        <f>'RESUMEN TOTAL'!AA92</f>
        <v>0</v>
      </c>
      <c r="O69" s="70">
        <f>'RESUMEN TOTAL'!AB92</f>
        <v>0</v>
      </c>
      <c r="P69" s="70" t="str">
        <f>'RESUMEN TOTAL'!AC92</f>
        <v>APAGADO</v>
      </c>
      <c r="Q69" s="70" t="str">
        <f>'RESUMEN TOTAL'!AD92</f>
        <v>APAGADO</v>
      </c>
      <c r="R69" s="70" t="str">
        <f>'RESUMEN TOTAL'!AE92</f>
        <v>APAGADO</v>
      </c>
      <c r="S69" s="70" t="str">
        <f>'RESUMEN TOTAL'!AF92</f>
        <v>APAGADO</v>
      </c>
      <c r="T69" s="70" t="str">
        <f>'RESUMEN TOTAL'!AG92</f>
        <v>APAGADO</v>
      </c>
      <c r="U69" s="70">
        <f>'RESUMEN TOTAL'!AH92</f>
        <v>0</v>
      </c>
      <c r="V69" s="70">
        <f>'RESUMEN TOTAL'!AI92</f>
        <v>0</v>
      </c>
      <c r="W69" s="70" t="str">
        <f>'RESUMEN TOTAL'!AJ92</f>
        <v>APAGADO</v>
      </c>
      <c r="X69" s="70" t="str">
        <f>'RESUMEN TOTAL'!AK92</f>
        <v>APAGADO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 t="str">
        <f>'RESUMEN TOTAL'!AD110</f>
        <v>APAGADO</v>
      </c>
      <c r="R87" s="70" t="str">
        <f>'RESUMEN TOTAL'!AE110</f>
        <v>APAGADO</v>
      </c>
      <c r="S87" s="70" t="str">
        <f>'RESUMEN TOTAL'!AF110</f>
        <v>APAGADO</v>
      </c>
      <c r="T87" s="70" t="str">
        <f>'RESUMEN TOTAL'!AG110</f>
        <v>APAGADO</v>
      </c>
      <c r="U87" s="70">
        <f>'RESUMEN TOTAL'!AH110</f>
        <v>0</v>
      </c>
      <c r="V87" s="70">
        <f>'RESUMEN TOTAL'!AI110</f>
        <v>0</v>
      </c>
      <c r="W87" s="70" t="str">
        <f>'RESUMEN TOTAL'!AJ110</f>
        <v>APAGADO</v>
      </c>
      <c r="X87" s="70" t="str">
        <f>'RESUMEN TOTAL'!AK110</f>
        <v>APAGADO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 t="str">
        <f>'RESUMEN TOTAL'!AE112</f>
        <v>APAGADO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 t="str">
        <f>'RESUMEN TOTAL'!AK112</f>
        <v>APAGADO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 t="str">
        <f>'RESUMEN TOTAL'!AJ116</f>
        <v>APAGADO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 t="str">
        <f>'RESUMEN TOTAL'!V118</f>
        <v>APAGADO</v>
      </c>
      <c r="J95" s="70" t="str">
        <f>'RESUMEN TOTAL'!W118</f>
        <v>APAGADO</v>
      </c>
      <c r="K95" s="70" t="str">
        <f>'RESUMEN TOTAL'!X118</f>
        <v>APAGADO</v>
      </c>
      <c r="L95" s="70" t="str">
        <f>'RESUMEN TOTAL'!Y118</f>
        <v>APAGADO</v>
      </c>
      <c r="M95" s="70" t="str">
        <f>'RESUMEN TOTAL'!Z118</f>
        <v>APAGADO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 t="str">
        <f>'RESUMEN TOTAL'!AE118</f>
        <v>APAGADO</v>
      </c>
      <c r="S95" s="70" t="str">
        <f>'RESUMEN TOTAL'!AF118</f>
        <v>APAGADO</v>
      </c>
      <c r="T95" s="70" t="str">
        <f>'RESUMEN TOTAL'!AG118</f>
        <v>APAGADO</v>
      </c>
      <c r="U95" s="70">
        <f>'RESUMEN TOTAL'!AH118</f>
        <v>0</v>
      </c>
      <c r="V95" s="70">
        <f>'RESUMEN TOTAL'!AI118</f>
        <v>0</v>
      </c>
      <c r="W95" s="70" t="str">
        <f>'RESUMEN TOTAL'!AJ118</f>
        <v>APAGADO</v>
      </c>
      <c r="X95" s="70" t="str">
        <f>'RESUMEN TOTAL'!AK118</f>
        <v>APAGADO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 t="str">
        <f>'RESUMEN TOTAL'!V129</f>
        <v>APAGADO</v>
      </c>
      <c r="J106" s="70" t="str">
        <f>'RESUMEN TOTAL'!W129</f>
        <v>APAGADO</v>
      </c>
      <c r="K106" s="70" t="str">
        <f>'RESUMEN TOTAL'!X129</f>
        <v>APAGADO</v>
      </c>
      <c r="L106" s="70" t="str">
        <f>'RESUMEN TOTAL'!Y129</f>
        <v>APAGADO</v>
      </c>
      <c r="M106" s="70" t="str">
        <f>'RESUMEN TOTAL'!Z129</f>
        <v>APAGADO</v>
      </c>
      <c r="N106" s="70">
        <f>'RESUMEN TOTAL'!AA129</f>
        <v>0</v>
      </c>
      <c r="O106" s="70">
        <f>'RESUMEN TOTAL'!AB129</f>
        <v>0</v>
      </c>
      <c r="P106" s="70" t="str">
        <f>'RESUMEN TOTAL'!AC129</f>
        <v>APAGADO</v>
      </c>
      <c r="Q106" s="70" t="str">
        <f>'RESUMEN TOTAL'!AD129</f>
        <v>APAGADO</v>
      </c>
      <c r="R106" s="70" t="str">
        <f>'RESUMEN TOTAL'!AE129</f>
        <v>APAGADO</v>
      </c>
      <c r="S106" s="70" t="str">
        <f>'RESUMEN TOTAL'!AF129</f>
        <v>APAGADO</v>
      </c>
      <c r="T106" s="70" t="str">
        <f>'RESUMEN TOTAL'!AG129</f>
        <v>APAGADO</v>
      </c>
      <c r="U106" s="70">
        <f>'RESUMEN TOTAL'!AH129</f>
        <v>0</v>
      </c>
      <c r="V106" s="70">
        <f>'RESUMEN TOTAL'!AI129</f>
        <v>0</v>
      </c>
      <c r="W106" s="70" t="str">
        <f>'RESUMEN TOTAL'!AJ129</f>
        <v>APAGADO</v>
      </c>
      <c r="X106" s="70" t="str">
        <f>'RESUMEN TOTAL'!AK129</f>
        <v>APAGADO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 t="str">
        <f>'RESUMEN TOTAL'!V131</f>
        <v>APAGADO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 t="str">
        <f>'RESUMEN TOTAL'!AC131</f>
        <v>APAGADO</v>
      </c>
      <c r="Q108" s="70" t="str">
        <f>'RESUMEN TOTAL'!AD131</f>
        <v>APAGADO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>
        <f>'RESUMEN TOTAL'!AH131</f>
        <v>0</v>
      </c>
      <c r="V108" s="70">
        <f>'RESUMEN TOTAL'!AI131</f>
        <v>0</v>
      </c>
      <c r="W108" s="70" t="str">
        <f>'RESUMEN TOTAL'!AJ131</f>
        <v>APAGADO</v>
      </c>
      <c r="X108" s="70" t="str">
        <f>'RESUMEN TOTAL'!AK131</f>
        <v>APAGADO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 t="str">
        <f>'RESUMEN TOTAL'!V148</f>
        <v>APAGADO</v>
      </c>
      <c r="J111" s="70" t="str">
        <f>'RESUMEN TOTAL'!W148</f>
        <v>APAGADO</v>
      </c>
      <c r="K111" s="70" t="str">
        <f>'RESUMEN TOTAL'!X148</f>
        <v>APAGADO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 t="str">
        <f>'RESUMEN TOTAL'!AC148</f>
        <v>APAGADO</v>
      </c>
      <c r="Q111" s="70" t="str">
        <f>'RESUMEN TOTAL'!AD148</f>
        <v>APAGADO</v>
      </c>
      <c r="R111" s="70" t="str">
        <f>'RESUMEN TOTAL'!AE148</f>
        <v>APAGADO</v>
      </c>
      <c r="S111" s="70" t="str">
        <f>'RESUMEN TOTAL'!AF148</f>
        <v>APAGADO</v>
      </c>
      <c r="T111" s="70" t="str">
        <f>'RESUMEN TOTAL'!AG148</f>
        <v>APAGADO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 t="str">
        <f>'RESUMEN TOTAL'!AC149</f>
        <v>APAGADO</v>
      </c>
      <c r="Q112" s="70" t="str">
        <f>'RESUMEN TOTAL'!AD149</f>
        <v>APAGADO</v>
      </c>
      <c r="R112" s="70" t="str">
        <f>'RESUMEN TOTAL'!AE149</f>
        <v>APAGADO</v>
      </c>
      <c r="S112" s="70" t="str">
        <f>'RESUMEN TOTAL'!AF149</f>
        <v>APAGADO</v>
      </c>
      <c r="T112" s="70" t="str">
        <f>'RESUMEN TOTAL'!AG149</f>
        <v>APAGADO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 t="str">
        <f>'RESUMEN TOTAL'!AK149</f>
        <v>APAGADO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 t="str">
        <f>'RESUMEN TOTAL'!AC150</f>
        <v>APAGADO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 t="str">
        <f>'RESUMEN TOTAL'!AJ150</f>
        <v>APAGADO</v>
      </c>
      <c r="X113" s="70" t="str">
        <f>'RESUMEN TOTAL'!AK150</f>
        <v>APAGADO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 t="str">
        <f>'RESUMEN TOTAL'!V151</f>
        <v>APAGADO</v>
      </c>
      <c r="J114" s="70" t="str">
        <f>'RESUMEN TOTAL'!W151</f>
        <v>APAGADO</v>
      </c>
      <c r="K114" s="70" t="str">
        <f>'RESUMEN TOTAL'!X151</f>
        <v>APAGADO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 t="str">
        <f>'RESUMEN TOTAL'!AC151</f>
        <v>APAGADO</v>
      </c>
      <c r="Q114" s="70" t="str">
        <f>'RESUMEN TOTAL'!AD151</f>
        <v>APAGADO</v>
      </c>
      <c r="R114" s="70" t="str">
        <f>'RESUMEN TOTAL'!AE151</f>
        <v>APAGADO</v>
      </c>
      <c r="S114" s="70" t="str">
        <f>'RESUMEN TOTAL'!AF151</f>
        <v>APAGADO</v>
      </c>
      <c r="T114" s="70" t="str">
        <f>'RESUMEN TOTAL'!AG151</f>
        <v>APAGADO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 t="str">
        <f>'RESUMEN TOTAL'!V171</f>
        <v>APAGADO</v>
      </c>
      <c r="J128" s="70" t="str">
        <f>'RESUMEN TOTAL'!W171</f>
        <v>APAGADO</v>
      </c>
      <c r="K128" s="70" t="str">
        <f>'RESUMEN TOTAL'!X171</f>
        <v>APAGADO</v>
      </c>
      <c r="L128" s="70" t="str">
        <f>'RESUMEN TOTAL'!Y171</f>
        <v>APAGADO</v>
      </c>
      <c r="M128" s="70" t="str">
        <f>'RESUMEN TOTAL'!Z171</f>
        <v>APAGADO</v>
      </c>
      <c r="N128" s="70">
        <f>'RESUMEN TOTAL'!AA171</f>
        <v>0</v>
      </c>
      <c r="O128" s="70">
        <f>'RESUMEN TOTAL'!AB171</f>
        <v>0</v>
      </c>
      <c r="P128" s="70" t="str">
        <f>'RESUMEN TOTAL'!AC171</f>
        <v>APAGADO</v>
      </c>
      <c r="Q128" s="70" t="str">
        <f>'RESUMEN TOTAL'!AD171</f>
        <v>APAGADO</v>
      </c>
      <c r="R128" s="70" t="str">
        <f>'RESUMEN TOTAL'!AE171</f>
        <v>APAGADO</v>
      </c>
      <c r="S128" s="70" t="str">
        <f>'RESUMEN TOTAL'!AF171</f>
        <v>APAGADO</v>
      </c>
      <c r="T128" s="70" t="str">
        <f>'RESUMEN TOTAL'!AG171</f>
        <v>APAGADO</v>
      </c>
      <c r="U128" s="70">
        <f>'RESUMEN TOTAL'!AH171</f>
        <v>0</v>
      </c>
      <c r="V128" s="70">
        <f>'RESUMEN TOTAL'!AI171</f>
        <v>0</v>
      </c>
      <c r="W128" s="70" t="str">
        <f>'RESUMEN TOTAL'!AJ171</f>
        <v>APAGADO</v>
      </c>
      <c r="X128" s="70" t="str">
        <f>'RESUMEN TOTAL'!AK171</f>
        <v>APAGADO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 15</v>
      </c>
      <c r="C130" t="str">
        <f>'RESUMEN TOTAL'!I175</f>
        <v>Basualdo y Lieja</v>
      </c>
      <c r="D130" s="30" t="str">
        <f>'RESUMEN TOTAL'!J175</f>
        <v>Fija</v>
      </c>
      <c r="E130" s="30" t="str">
        <f>'RESUMEN TOTAL'!K175</f>
        <v>Fibra Optica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 t="str">
        <f>'RESUMEN TOTAL'!V175</f>
        <v>APAGADO</v>
      </c>
      <c r="J130" s="70" t="str">
        <f>'RESUMEN TOTAL'!W175</f>
        <v>APAGADO</v>
      </c>
      <c r="K130" s="70" t="str">
        <f>'RESUMEN TOTAL'!X175</f>
        <v>APAGADO</v>
      </c>
      <c r="L130" s="70" t="str">
        <f>'RESUMEN TOTAL'!Y175</f>
        <v>APAGADO</v>
      </c>
      <c r="M130" s="70" t="str">
        <f>'RESUMEN TOTAL'!Z175</f>
        <v>APAGADO</v>
      </c>
      <c r="N130" s="70">
        <f>'RESUMEN TOTAL'!AA175</f>
        <v>0</v>
      </c>
      <c r="O130" s="70">
        <f>'RESUMEN TOTAL'!AB175</f>
        <v>0</v>
      </c>
      <c r="P130" s="70" t="str">
        <f>'RESUMEN TOTAL'!AC175</f>
        <v>APAGADO</v>
      </c>
      <c r="Q130" s="70" t="str">
        <f>'RESUMEN TOTAL'!AD175</f>
        <v>APAGADO</v>
      </c>
      <c r="R130" s="70" t="str">
        <f>'RESUMEN TOTAL'!AE175</f>
        <v>APAGADO</v>
      </c>
      <c r="S130" s="70" t="str">
        <f>'RESUMEN TOTAL'!AF175</f>
        <v>APAGADO</v>
      </c>
      <c r="T130" s="70" t="str">
        <f>'RESUMEN TOTAL'!AG175</f>
        <v>APAGADO</v>
      </c>
      <c r="U130" s="70">
        <f>'RESUMEN TOTAL'!AH175</f>
        <v>0</v>
      </c>
      <c r="V130" s="70">
        <f>'RESUMEN TOTAL'!AI175</f>
        <v>0</v>
      </c>
      <c r="W130" s="70" t="str">
        <f>'RESUMEN TOTAL'!AJ175</f>
        <v>APAGADO</v>
      </c>
      <c r="X130" s="70" t="str">
        <f>'RESUMEN TOTAL'!AK175</f>
        <v>APAGADO</v>
      </c>
      <c r="Y130" s="70">
        <f>'RESUMEN TOTAL'!AL175</f>
        <v>0</v>
      </c>
      <c r="Z130" s="70">
        <f>'RESUMEN TOTAL'!AM175</f>
        <v>0</v>
      </c>
      <c r="AA130" s="70">
        <f>'RESUMEN TOTAL'!AN175</f>
        <v>0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>
        <f>'RESUMEN TOTAL'!AR175</f>
        <v>0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LA ESMERALDA</v>
      </c>
      <c r="B131" t="str">
        <f>'RESUMEN TOTAL'!G176</f>
        <v>ESM 16</v>
      </c>
      <c r="C131" t="str">
        <f>'RESUMEN TOTAL'!I176</f>
        <v>Basualdo y Lieja</v>
      </c>
      <c r="D131" s="30" t="str">
        <f>'RESUMEN TOTAL'!J176</f>
        <v>Fija</v>
      </c>
      <c r="E131" s="30" t="str">
        <f>'RESUMEN TOTAL'!K176</f>
        <v>Fibra Optica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 t="str">
        <f>'RESUMEN TOTAL'!V176</f>
        <v>APAGADO</v>
      </c>
      <c r="J131" s="70" t="str">
        <f>'RESUMEN TOTAL'!W176</f>
        <v>APAGADO</v>
      </c>
      <c r="K131" s="70" t="str">
        <f>'RESUMEN TOTAL'!X176</f>
        <v>APAGADO</v>
      </c>
      <c r="L131" s="70" t="str">
        <f>'RESUMEN TOTAL'!Y176</f>
        <v>APAGADO</v>
      </c>
      <c r="M131" s="70" t="str">
        <f>'RESUMEN TOTAL'!Z176</f>
        <v>APAGADO</v>
      </c>
      <c r="N131" s="70">
        <f>'RESUMEN TOTAL'!AA176</f>
        <v>0</v>
      </c>
      <c r="O131" s="70">
        <f>'RESUMEN TOTAL'!AB176</f>
        <v>0</v>
      </c>
      <c r="P131" s="70" t="str">
        <f>'RESUMEN TOTAL'!AC176</f>
        <v>APAGADO</v>
      </c>
      <c r="Q131" s="70" t="str">
        <f>'RESUMEN TOTAL'!AD176</f>
        <v>APAGADO</v>
      </c>
      <c r="R131" s="70" t="str">
        <f>'RESUMEN TOTAL'!AE176</f>
        <v>APAGADO</v>
      </c>
      <c r="S131" s="70" t="str">
        <f>'RESUMEN TOTAL'!AF176</f>
        <v>APAGADO</v>
      </c>
      <c r="T131" s="70" t="str">
        <f>'RESUMEN TOTAL'!AG176</f>
        <v>APAGADO</v>
      </c>
      <c r="U131" s="70">
        <f>'RESUMEN TOTAL'!AH176</f>
        <v>0</v>
      </c>
      <c r="V131" s="70">
        <f>'RESUMEN TOTAL'!AI176</f>
        <v>0</v>
      </c>
      <c r="W131" s="70" t="str">
        <f>'RESUMEN TOTAL'!AJ176</f>
        <v>APAGADO</v>
      </c>
      <c r="X131" s="70" t="str">
        <f>'RESUMEN TOTAL'!AK176</f>
        <v>APAGADO</v>
      </c>
      <c r="Y131" s="70">
        <f>'RESUMEN TOTAL'!AL176</f>
        <v>0</v>
      </c>
      <c r="Z131" s="70">
        <f>'RESUMEN TOTAL'!AM176</f>
        <v>0</v>
      </c>
      <c r="AA131" s="70">
        <f>'RESUMEN TOTAL'!AN176</f>
        <v>0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>
        <f>'RESUMEN TOTAL'!AR176</f>
        <v>0</v>
      </c>
      <c r="AF131" s="70">
        <f>'RESUMEN TOTAL'!AS176</f>
        <v>0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LA ESMERALDA</v>
      </c>
      <c r="B132" t="str">
        <f>'RESUMEN TOTAL'!G177</f>
        <v>ESM 17</v>
      </c>
      <c r="C132" t="str">
        <f>'RESUMEN TOTAL'!I177</f>
        <v>Plaza La Esmeralda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 t="str">
        <f>'RESUMEN TOTAL'!AJ177</f>
        <v>APAGADO</v>
      </c>
      <c r="X132" s="70" t="str">
        <f>'RESUMEN TOTAL'!AK177</f>
        <v>APAGADO</v>
      </c>
      <c r="Y132" s="70">
        <f>'RESUMEN TOTAL'!AL177</f>
        <v>0</v>
      </c>
      <c r="Z132" s="70">
        <f>'RESUMEN TOTAL'!AM177</f>
        <v>0</v>
      </c>
      <c r="AA132" s="70">
        <f>'RESUMEN TOTAL'!AN177</f>
        <v>0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>
        <f>'RESUMEN TOTAL'!AR177</f>
        <v>0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 18</v>
      </c>
      <c r="C133" t="str">
        <f>'RESUMEN TOTAL'!I178</f>
        <v>Belgicca y Cerdeña</v>
      </c>
      <c r="D133" s="30" t="str">
        <f>'RESUMEN TOTAL'!J178</f>
        <v>Domo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 t="str">
        <f>'RESUMEN TOTAL'!AG178</f>
        <v>APAGADO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 19</v>
      </c>
      <c r="C134" t="str">
        <f>'RESUMEN TOTAL'!I179</f>
        <v>Basualdo E Aniceto y Bengochea</v>
      </c>
      <c r="D134" s="30" t="str">
        <f>'RESUMEN TOTAL'!J179</f>
        <v>fija</v>
      </c>
      <c r="E134" s="30" t="str">
        <f>'RESUMEN TOTAL'!K179</f>
        <v>GPON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ESM01</v>
      </c>
      <c r="C135" t="str">
        <f>'RESUMEN TOTAL'!I180</f>
        <v>Cabello y Brasil</v>
      </c>
      <c r="D135" s="30" t="str">
        <f>'RESUMEN TOTAL'!J180</f>
        <v>Domo</v>
      </c>
      <c r="E135" s="30" t="str">
        <f>'RESUMEN TOTAL'!K180</f>
        <v>PTO A FO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JORGE</v>
      </c>
      <c r="B136" t="str">
        <f>'RESUMEN TOTAL'!G181</f>
        <v>ESM02</v>
      </c>
      <c r="C136" t="str">
        <f>'RESUMEN TOTAL'!I181</f>
        <v>Novak y Cabello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JORGE</v>
      </c>
      <c r="B137" t="str">
        <f>'RESUMEN TOTAL'!G182</f>
        <v>ESM03</v>
      </c>
      <c r="C137" t="str">
        <f>'RESUMEN TOTAL'!I182</f>
        <v>Novak y Humahuaca</v>
      </c>
      <c r="D137" s="30" t="str">
        <f>'RESUMEN TOTAL'!J182</f>
        <v>DOMO</v>
      </c>
      <c r="E137" s="30" t="str">
        <f>'RESUMEN TOTAL'!K182</f>
        <v>PTO A FO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ESM04</v>
      </c>
      <c r="C138" t="str">
        <f>'RESUMEN TOTAL'!I183</f>
        <v>Basualdo y Bengochea</v>
      </c>
      <c r="D138" s="30" t="str">
        <f>'RESUMEN TOTAL'!J183</f>
        <v>Domo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>
        <f>'RESUMEN TOTAL'!AM183</f>
        <v>0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ESM05</v>
      </c>
      <c r="C139" t="str">
        <f>'RESUMEN TOTAL'!I184</f>
        <v>Aniceto Diaz y Villar</v>
      </c>
      <c r="D139" s="30" t="str">
        <f>'RESUMEN TOTAL'!J184</f>
        <v>Domo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ESM06</v>
      </c>
      <c r="C140" t="str">
        <f>'RESUMEN TOTAL'!I185</f>
        <v>Roselli y Cabello</v>
      </c>
      <c r="D140" s="30" t="str">
        <f>'RESUMEN TOTAL'!J185</f>
        <v>Domo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 t="str">
        <f>'RESUMEN TOTAL'!Y185</f>
        <v>APAGADO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ESM07</v>
      </c>
      <c r="C141" t="str">
        <f>'RESUMEN TOTAL'!I186</f>
        <v>AV. NOVAK Y SERRANO</v>
      </c>
      <c r="D141" s="30" t="str">
        <f>'RESUMEN TOTAL'!J186</f>
        <v>DOMO</v>
      </c>
      <c r="E141" s="30" t="str">
        <f>'RESUMEN TOTAL'!K186</f>
        <v>PTO A FO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ESM09 (fija 1)</v>
      </c>
      <c r="C142" t="str">
        <f>'RESUMEN TOTAL'!I187</f>
        <v>EEUU Y CABELLO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ESM10 (fija 2)</v>
      </c>
      <c r="C143" t="str">
        <f>'RESUMEN TOTAL'!I188</f>
        <v>EEUU Y CABELLO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ESM11 (fija 1)</v>
      </c>
      <c r="C144" t="str">
        <f>'RESUMEN TOTAL'!I189</f>
        <v>NOVAK Y LAMBARDI</v>
      </c>
      <c r="D144" s="30" t="str">
        <f>'RESUMEN TOTAL'!J189</f>
        <v>Fija</v>
      </c>
      <c r="E144" s="30" t="str">
        <f>'RESUMEN TOTAL'!K189</f>
        <v>FO A GPON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ESM12 (fija 2)</v>
      </c>
      <c r="C145" t="str">
        <f>'RESUMEN TOTAL'!I190</f>
        <v>NOVAK Y LAMBARDI</v>
      </c>
      <c r="D145" s="30" t="str">
        <f>'RESUMEN TOTAL'!J190</f>
        <v>Fija</v>
      </c>
      <c r="E145" s="30" t="str">
        <f>'RESUMEN TOTAL'!K190</f>
        <v>FO A GPON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KM 26700 (JULIO A. COSTA)</v>
      </c>
      <c r="B146" t="str">
        <f>'RESUMEN TOTAL'!G197</f>
        <v>KM 07</v>
      </c>
      <c r="C146" t="str">
        <f>'RESUMEN TOTAL'!I197</f>
        <v>EL ALJIBE E/ EL ZONDA Y DON SEGUNDO SOMBRA</v>
      </c>
      <c r="D146" s="30" t="str">
        <f>'RESUMEN TOTAL'!J197</f>
        <v>DOMO</v>
      </c>
      <c r="E146" s="30" t="str">
        <f>'RESUMEN TOTAL'!K197</f>
        <v>GPON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 t="str">
        <f>'RESUMEN TOTAL'!AC197</f>
        <v>APAGADO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>
        <f>'RESUMEN TOTAL'!AM197</f>
        <v>0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KM 26700 (JULIO A. COSTA)</v>
      </c>
      <c r="B147" t="str">
        <f>'RESUMEN TOTAL'!G198</f>
        <v>KM 10 / UPA 2</v>
      </c>
      <c r="C147" t="str">
        <f>'RESUMEN TOTAL'!I198</f>
        <v>PLAYA DE ESTACIONAMIENTO INTERNA E/ HOSP. MODULAR Y UPA 11.</v>
      </c>
      <c r="D147" s="30" t="str">
        <f>'RESUMEN TOTAL'!J198</f>
        <v>DOMO</v>
      </c>
      <c r="E147" s="30" t="str">
        <f>'RESUMEN TOTAL'!K198</f>
        <v>GPON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KM 26700 (JULIO A. COSTA)</v>
      </c>
      <c r="B148" t="str">
        <f>'RESUMEN TOTAL'!G199</f>
        <v>KM 12 FIJA 1</v>
      </c>
      <c r="C148" t="str">
        <f>'RESUMEN TOTAL'!I199</f>
        <v>BLANDENGUES Y LA ZAMBA</v>
      </c>
      <c r="D148" s="30" t="str">
        <f>'RESUMEN TOTAL'!J199</f>
        <v>Fija</v>
      </c>
      <c r="E148" s="30" t="str">
        <f>'RESUMEN TOTAL'!K199</f>
        <v>PTO A FO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KM 26700 (JULIO A. COSTA)</v>
      </c>
      <c r="B149" t="str">
        <f>'RESUMEN TOTAL'!G200</f>
        <v>KM 13 FIJA 2</v>
      </c>
      <c r="C149" t="str">
        <f>'RESUMEN TOTAL'!I200</f>
        <v>BLANDENGUES Y LA ZAMBA</v>
      </c>
      <c r="D149" s="30" t="str">
        <f>'RESUMEN TOTAL'!J200</f>
        <v>Fija</v>
      </c>
      <c r="E149" s="30" t="str">
        <f>'RESUMEN TOTAL'!K200</f>
        <v>PTO A FO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KM 26700 (JULIO A. COSTA)</v>
      </c>
      <c r="B150" t="str">
        <f>'RESUMEN TOTAL'!G201</f>
        <v>KM 14 (fija 1)</v>
      </c>
      <c r="C150" t="str">
        <f>'RESUMEN TOTAL'!I201</f>
        <v>EL GAUCHO Y EL ZONDA</v>
      </c>
      <c r="D150" s="30" t="str">
        <f>'RESUMEN TOTAL'!J201</f>
        <v>Fija</v>
      </c>
      <c r="E150" s="30" t="str">
        <f>'RESUMEN TOTAL'!K201</f>
        <v>PTO A FO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 15 (fija 2)</v>
      </c>
      <c r="C151" t="str">
        <f>'RESUMEN TOTAL'!I202</f>
        <v>EL GAUCHO Y EL ZONDA</v>
      </c>
      <c r="D151" s="30" t="str">
        <f>'RESUMEN TOTAL'!J202</f>
        <v>Fija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 16 (fija 1)</v>
      </c>
      <c r="C152" t="str">
        <f>'RESUMEN TOTAL'!I203</f>
        <v>EL GAUCHO Y MARTIN FIERRO</v>
      </c>
      <c r="D152" s="30" t="str">
        <f>'RESUMEN TOTAL'!J203</f>
        <v>Fija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 17 (fija 2)</v>
      </c>
      <c r="C153" t="str">
        <f>'RESUMEN TOTAL'!I204</f>
        <v>EL GAUCHO Y MARTIN FIERRO</v>
      </c>
      <c r="D153" s="30" t="str">
        <f>'RESUMEN TOTAL'!J204</f>
        <v>Fija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 18</v>
      </c>
      <c r="C154" t="str">
        <f>'RESUMEN TOTAL'!I205</f>
        <v>PULPERIA Y EL ALJIBE</v>
      </c>
      <c r="D154" s="30" t="str">
        <f>'RESUMEN TOTAL'!J205</f>
        <v>Domo</v>
      </c>
      <c r="E154" s="30" t="str">
        <f>'RESUMEN TOTAL'!K205</f>
        <v>GPON</v>
      </c>
      <c r="F154" s="70">
        <f>'RESUMEN TOTAL'!S205</f>
        <v>0</v>
      </c>
      <c r="G154" s="70">
        <f>'RESUMEN TOTAL'!T205</f>
        <v>0</v>
      </c>
      <c r="H154" s="70">
        <f>'RESUMEN TOTAL'!U205</f>
        <v>0</v>
      </c>
      <c r="I154" s="70" t="str">
        <f>'RESUMEN TOTAL'!V205</f>
        <v>APAGADO</v>
      </c>
      <c r="J154" s="70" t="str">
        <f>'RESUMEN TOTAL'!W205</f>
        <v>APAGADO</v>
      </c>
      <c r="K154" s="70" t="str">
        <f>'RESUMEN TOTAL'!X205</f>
        <v>APAGADO</v>
      </c>
      <c r="L154" s="70" t="str">
        <f>'RESUMEN TOTAL'!Y205</f>
        <v>APAGADO</v>
      </c>
      <c r="M154" s="70" t="str">
        <f>'RESUMEN TOTAL'!Z205</f>
        <v>APAGADO</v>
      </c>
      <c r="N154" s="70">
        <f>'RESUMEN TOTAL'!AA205</f>
        <v>0</v>
      </c>
      <c r="O154" s="70">
        <f>'RESUMEN TOTAL'!AB205</f>
        <v>0</v>
      </c>
      <c r="P154" s="70" t="str">
        <f>'RESUMEN TOTAL'!AC205</f>
        <v>APAGADO</v>
      </c>
      <c r="Q154" s="70" t="str">
        <f>'RESUMEN TOTAL'!AD205</f>
        <v>APAGADO</v>
      </c>
      <c r="R154" s="70" t="str">
        <f>'RESUMEN TOTAL'!AE205</f>
        <v>APAGADO</v>
      </c>
      <c r="S154" s="70" t="str">
        <f>'RESUMEN TOTAL'!AF205</f>
        <v>APAGADO</v>
      </c>
      <c r="T154" s="70" t="str">
        <f>'RESUMEN TOTAL'!AG205</f>
        <v>APAGADO</v>
      </c>
      <c r="U154" s="70">
        <f>'RESUMEN TOTAL'!AH205</f>
        <v>0</v>
      </c>
      <c r="V154" s="70">
        <f>'RESUMEN TOTAL'!AI205</f>
        <v>0</v>
      </c>
      <c r="W154" s="70" t="str">
        <f>'RESUMEN TOTAL'!AJ205</f>
        <v>APAGADO</v>
      </c>
      <c r="X154" s="70" t="str">
        <f>'RESUMEN TOTAL'!AK205</f>
        <v>APAGADO</v>
      </c>
      <c r="Y154" s="70">
        <f>'RESUMEN TOTAL'!AL205</f>
        <v>0</v>
      </c>
      <c r="Z154" s="70">
        <f>'RESUMEN TOTAL'!AM205</f>
        <v>0</v>
      </c>
      <c r="AA154" s="70">
        <f>'RESUMEN TOTAL'!AN205</f>
        <v>0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>
        <f>'RESUMEN TOTAL'!AR205</f>
        <v>0</v>
      </c>
      <c r="AF154" s="70">
        <f>'RESUMEN TOTAL'!AS205</f>
        <v>0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>
        <f>'RESUMEN TOTAL'!F206</f>
        <v>0</v>
      </c>
      <c r="B155" t="str">
        <f>'RESUMEN TOTAL'!G206</f>
        <v>KM 21</v>
      </c>
      <c r="C155" t="str">
        <f>'RESUMEN TOTAL'!I206</f>
        <v>EL PONCHO Y ARROYO LAS PIEDRAS</v>
      </c>
      <c r="D155" s="30">
        <f>'RESUMEN TOTAL'!J206</f>
        <v>0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 t="str">
        <f>'RESUMEN TOTAL'!V206</f>
        <v>APAGADO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VILLA ARGENTINA</v>
      </c>
      <c r="B156" t="str">
        <f>'RESUMEN TOTAL'!G207</f>
        <v>KM01</v>
      </c>
      <c r="C156" t="str">
        <f>'RESUMEN TOTAL'!I207</f>
        <v>Vias FFCC y La Pulperia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CHACABUCO</v>
      </c>
      <c r="B157" t="str">
        <f>'RESUMEN TOTAL'!G208</f>
        <v>KM02</v>
      </c>
      <c r="C157" t="str">
        <f>'RESUMEN TOTAL'!I208</f>
        <v>Novak e/El Overo y el Mangrullo</v>
      </c>
      <c r="D157" s="30" t="str">
        <f>'RESUMEN TOTAL'!J208</f>
        <v>Domo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KM03</v>
      </c>
      <c r="C158" t="str">
        <f>'RESUMEN TOTAL'!I209</f>
        <v>Novak y La Pulperia</v>
      </c>
      <c r="D158" s="30" t="str">
        <f>'RESUMEN TOTAL'!J209</f>
        <v>Domo</v>
      </c>
      <c r="E158" s="30" t="str">
        <f>'RESUMEN TOTAL'!K209</f>
        <v>PTO A FO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 t="str">
        <f>'RESUMEN TOTAL'!AF209</f>
        <v>APAGADO</v>
      </c>
      <c r="T158" s="70" t="str">
        <f>'RESUMEN TOTAL'!AG209</f>
        <v>APAGADO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KM04</v>
      </c>
      <c r="C159" t="str">
        <f>'RESUMEN TOTAL'!I210</f>
        <v>El Ombu y El Zonda</v>
      </c>
      <c r="D159" s="30" t="str">
        <f>'RESUMEN TOTAL'!J210</f>
        <v>Domo</v>
      </c>
      <c r="E159" s="30" t="str">
        <f>'RESUMEN TOTAL'!K210</f>
        <v>PTO A FO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KM05</v>
      </c>
      <c r="C160" t="str">
        <f>'RESUMEN TOTAL'!I211</f>
        <v>El Ombu y Los Charruas</v>
      </c>
      <c r="D160" s="30" t="str">
        <f>'RESUMEN TOTAL'!J211</f>
        <v>Domo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 t="str">
        <f>'RESUMEN TOTAL'!V211</f>
        <v>APAGADO</v>
      </c>
      <c r="J160" s="70" t="str">
        <f>'RESUMEN TOTAL'!W211</f>
        <v>APAGADO</v>
      </c>
      <c r="K160" s="70" t="str">
        <f>'RESUMEN TOTAL'!X211</f>
        <v>APAGADO</v>
      </c>
      <c r="L160" s="70" t="str">
        <f>'RESUMEN TOTAL'!Y211</f>
        <v>APAGADO</v>
      </c>
      <c r="M160" s="70" t="str">
        <f>'RESUMEN TOTAL'!Z211</f>
        <v>APAGADO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KM06</v>
      </c>
      <c r="C161" t="str">
        <f>'RESUMEN TOTAL'!I212</f>
        <v>El Ombu y La Cautiva</v>
      </c>
      <c r="D161" s="30" t="str">
        <f>'RESUMEN TOTAL'!J212</f>
        <v>DOMO</v>
      </c>
      <c r="E161" s="30" t="str">
        <f>'RESUMEN TOTAL'!K212</f>
        <v>GPON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KM08 / UPA 03</v>
      </c>
      <c r="C162" t="str">
        <f>'RESUMEN TOTAL'!I213</f>
        <v>LOS CHARRUAS Y BLANDENGUES</v>
      </c>
      <c r="D162" s="30" t="str">
        <f>'RESUMEN TOTAL'!J213</f>
        <v>DOMO</v>
      </c>
      <c r="E162" s="30" t="str">
        <f>'RESUMEN TOTAL'!K213</f>
        <v>GPON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 t="str">
        <f>'RESUMEN TOTAL'!V213</f>
        <v>APAGADO</v>
      </c>
      <c r="J162" s="70" t="str">
        <f>'RESUMEN TOTAL'!W213</f>
        <v>APAGADO</v>
      </c>
      <c r="K162" s="70" t="str">
        <f>'RESUMEN TOTAL'!X213</f>
        <v>APAGADO</v>
      </c>
      <c r="L162" s="70" t="str">
        <f>'RESUMEN TOTAL'!Y213</f>
        <v>APAGADO</v>
      </c>
      <c r="M162" s="70" t="str">
        <f>'RESUMEN TOTAL'!Z213</f>
        <v>APAGADO</v>
      </c>
      <c r="N162" s="70">
        <f>'RESUMEN TOTAL'!AA213</f>
        <v>0</v>
      </c>
      <c r="O162" s="70">
        <f>'RESUMEN TOTAL'!AB213</f>
        <v>0</v>
      </c>
      <c r="P162" s="70" t="str">
        <f>'RESUMEN TOTAL'!AC213</f>
        <v>APAGADO</v>
      </c>
      <c r="Q162" s="70" t="str">
        <f>'RESUMEN TOTAL'!AD213</f>
        <v>APAGADO</v>
      </c>
      <c r="R162" s="70" t="str">
        <f>'RESUMEN TOTAL'!AE213</f>
        <v>APAGADO</v>
      </c>
      <c r="S162" s="70" t="str">
        <f>'RESUMEN TOTAL'!AF213</f>
        <v>APAGADO</v>
      </c>
      <c r="T162" s="70" t="str">
        <f>'RESUMEN TOTAL'!AG213</f>
        <v>APAGADO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>
        <f>'RESUMEN TOTAL'!AM213</f>
        <v>0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KM09 / UPA 1</v>
      </c>
      <c r="C163" t="str">
        <f>'RESUMEN TOTAL'!I214</f>
        <v>NOVAK Y LA POSTA</v>
      </c>
      <c r="D163" s="30" t="str">
        <f>'RESUMEN TOTAL'!J214</f>
        <v>DOMO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KM11</v>
      </c>
      <c r="C164" t="str">
        <f>'RESUMEN TOTAL'!I215</f>
        <v>NOVAK Y EL OVERO</v>
      </c>
      <c r="D164" s="30" t="str">
        <f>'RESUMEN TOTAL'!J215</f>
        <v>DOMO</v>
      </c>
      <c r="E164" s="30" t="str">
        <f>'RESUMEN TOTAL'!K215</f>
        <v>GPON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 t="str">
        <f>'RESUMEN TOTAL'!AF215</f>
        <v>APAGADO</v>
      </c>
      <c r="T164" s="70" t="str">
        <f>'RESUMEN TOTAL'!AG215</f>
        <v>APAGADO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KM19</v>
      </c>
      <c r="C165" t="str">
        <f>'RESUMEN TOTAL'!I216</f>
        <v>El Aljibe y El Zonda</v>
      </c>
      <c r="D165" s="30" t="str">
        <f>'RESUMEN TOTAL'!J216</f>
        <v>Fija</v>
      </c>
      <c r="E165" s="30" t="str">
        <f>'RESUMEN TOTAL'!K216</f>
        <v>GPON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KM20</v>
      </c>
      <c r="C166" t="str">
        <f>'RESUMEN TOTAL'!I217</f>
        <v xml:space="preserve">Novak y Pagani </v>
      </c>
      <c r="D166" s="30" t="str">
        <f>'RESUMEN TOTAL'!J217</f>
        <v>Fija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04</v>
      </c>
      <c r="C167" t="str">
        <f>'RESUMEN TOTAL'!I221</f>
        <v>PLAZA LOMAS DE MONTEVERDE</v>
      </c>
      <c r="D167" s="30" t="str">
        <f>'RESUMEN TOTAL'!J221</f>
        <v>DOMO</v>
      </c>
      <c r="E167" s="30" t="str">
        <f>'RESUMEN TOTAL'!K221</f>
        <v>FO A GPON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 t="str">
        <f>'RESUMEN TOTAL'!V221</f>
        <v>APAGADO</v>
      </c>
      <c r="J167" s="70" t="str">
        <f>'RESUMEN TOTAL'!W221</f>
        <v>APAGADO</v>
      </c>
      <c r="K167" s="70" t="str">
        <f>'RESUMEN TOTAL'!X221</f>
        <v>APAGADO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05</v>
      </c>
      <c r="C168" t="str">
        <f>'RESUMEN TOTAL'!I222</f>
        <v>Las Heras y Riobamba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LIBERTAD</v>
      </c>
      <c r="B169" t="str">
        <f>'RESUMEN TOTAL'!G223</f>
        <v>LIBER 01</v>
      </c>
      <c r="C169" t="str">
        <f>'RESUMEN TOTAL'!I223</f>
        <v>511 Y 574 FIJA 01</v>
      </c>
      <c r="D169" s="30" t="str">
        <f>'RESUMEN TOTAL'!J223</f>
        <v>Fija</v>
      </c>
      <c r="E169" s="30" t="str">
        <f>'RESUMEN TOTAL'!K223</f>
        <v>Radio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CHACABUCO</v>
      </c>
      <c r="B170" t="str">
        <f>'RESUMEN TOTAL'!G226</f>
        <v>LPI02</v>
      </c>
      <c r="C170" t="str">
        <f>'RESUMEN TOTAL'!I226</f>
        <v>EE.UU y Ayacucho</v>
      </c>
      <c r="D170" s="30" t="str">
        <f>'RESUMEN TOTAL'!J226</f>
        <v>Domo</v>
      </c>
      <c r="E170" s="30" t="str">
        <f>'RESUMEN TOTAL'!K226</f>
        <v>GPON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 t="str">
        <f>'RESUMEN TOTAL'!AD226</f>
        <v>APAGADO</v>
      </c>
      <c r="R170" s="70" t="str">
        <f>'RESUMEN TOTAL'!AE226</f>
        <v>APAGADO</v>
      </c>
      <c r="S170" s="70" t="str">
        <f>'RESUMEN TOTAL'!AF226</f>
        <v>APAGADO</v>
      </c>
      <c r="T170" s="70" t="str">
        <f>'RESUMEN TOTAL'!AG226</f>
        <v>APAGADO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LA PILETA</v>
      </c>
      <c r="B171" t="str">
        <f>'RESUMEN TOTAL'!G227</f>
        <v>LPI03 (fija 2)</v>
      </c>
      <c r="C171" t="str">
        <f>'RESUMEN TOTAL'!I227</f>
        <v>MAIPU Y POSADAS</v>
      </c>
      <c r="D171" s="30" t="str">
        <f>'RESUMEN TOTAL'!J227</f>
        <v>Fija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LA PILETA</v>
      </c>
      <c r="B172" t="str">
        <f>'RESUMEN TOTAL'!G228</f>
        <v>LPI04 (fija 1)</v>
      </c>
      <c r="C172" t="str">
        <f>'RESUMEN TOTAL'!I228</f>
        <v>MAIPU Y POSADAS</v>
      </c>
      <c r="D172" s="30" t="str">
        <f>'RESUMEN TOTAL'!J228</f>
        <v>FIJA</v>
      </c>
      <c r="E172" s="30" t="str">
        <f>'RESUMEN TOTAL'!K228</f>
        <v>Fibra Optica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LA PILETA</v>
      </c>
      <c r="B173" t="str">
        <f>'RESUMEN TOTAL'!G229</f>
        <v>LPI05</v>
      </c>
      <c r="C173" t="str">
        <f>'RESUMEN TOTAL'!I229</f>
        <v>PAGANI Y RIVADAVIA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LPI06</v>
      </c>
      <c r="C174" t="str">
        <f>'RESUMEN TOTAL'!I230</f>
        <v>EEUU e/Ayacucho y Newbery</v>
      </c>
      <c r="D174" s="30" t="str">
        <f>'RESUMEN TOTAL'!J230</f>
        <v>DOMO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LPI07</v>
      </c>
      <c r="C175" t="str">
        <f>'RESUMEN TOTAL'!I231</f>
        <v xml:space="preserve">Velez Sarfield y Estados Unidos </v>
      </c>
      <c r="D175" s="30" t="str">
        <f>'RESUMEN TOTAL'!J231</f>
        <v>DOMO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 t="str">
        <f>'RESUMEN TOTAL'!V231</f>
        <v>APAGADO</v>
      </c>
      <c r="J175" s="70" t="str">
        <f>'RESUMEN TOTAL'!W231</f>
        <v>APAGADO</v>
      </c>
      <c r="K175" s="70" t="str">
        <f>'RESUMEN TOTAL'!X231</f>
        <v>APAGADO</v>
      </c>
      <c r="L175" s="70" t="str">
        <f>'RESUMEN TOTAL'!Y231</f>
        <v>APAGADO</v>
      </c>
      <c r="M175" s="70" t="str">
        <f>'RESUMEN TOTAL'!Z231</f>
        <v>APAGADO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LPR04</v>
      </c>
      <c r="C176" t="str">
        <f>'RESUMEN TOTAL'!I236</f>
        <v>Cacheuta y 1341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LOPEZ ROMERO</v>
      </c>
      <c r="B177" t="str">
        <f>'RESUMEN TOTAL'!G237</f>
        <v>LRO 05</v>
      </c>
      <c r="C177" t="str">
        <f>'RESUMEN TOTAL'!I237</f>
        <v>Calchaqui y Las Americas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LOPEZ ROMERO</v>
      </c>
      <c r="B178" t="str">
        <f>'RESUMEN TOTAL'!G238</f>
        <v>LRO 09</v>
      </c>
      <c r="C178" t="str">
        <f>'RESUMEN TOTAL'!I238</f>
        <v>Las Americas y Braile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12 (fija 1)</v>
      </c>
      <c r="C179" t="str">
        <f>'RESUMEN TOTAL'!I240</f>
        <v>LAS AMERICAS E/ BRAILLE Y ALVARADO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13 (fija 2)</v>
      </c>
      <c r="C180" t="str">
        <f>'RESUMEN TOTAL'!I241</f>
        <v>LAS AMERICAS E/ BRAILLE Y ALVARADO</v>
      </c>
      <c r="D180" s="30" t="str">
        <f>'RESUMEN TOTAL'!J241</f>
        <v>Fija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LRO01</v>
      </c>
      <c r="C181" t="str">
        <f>'RESUMEN TOTAL'!I242</f>
        <v>H. IRIGOYEN Y BRAILE</v>
      </c>
      <c r="D181" s="30" t="str">
        <f>'RESUMEN TOTAL'!J242</f>
        <v>FIJA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PRESIDENTE SARMIENTO</v>
      </c>
      <c r="B182" t="str">
        <f>'RESUMEN TOTAL'!G243</f>
        <v>LRO02</v>
      </c>
      <c r="C182" t="str">
        <f>'RESUMEN TOTAL'!I243</f>
        <v>H. Irigoyen e Islas Orcadas</v>
      </c>
      <c r="D182" s="30" t="str">
        <f>'RESUMEN TOTAL'!J243</f>
        <v>Domo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LRO03</v>
      </c>
      <c r="C183" t="str">
        <f>'RESUMEN TOTAL'!I244</f>
        <v>H. Irigoyen y Parravicini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LRO04</v>
      </c>
      <c r="C184" t="str">
        <f>'RESUMEN TOTAL'!I245</f>
        <v>H. Irigoyen y Alvarado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LRO06</v>
      </c>
      <c r="C185" t="str">
        <f>'RESUMEN TOTAL'!I246</f>
        <v>H. Irigoyen y Belgrano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>
        <f>'RESUMEN TOTAL'!AN246</f>
        <v>0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LRO07</v>
      </c>
      <c r="C186" t="str">
        <f>'RESUMEN TOTAL'!I247</f>
        <v>H. Irigoyen y Remedios de Escalada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LRO08</v>
      </c>
      <c r="C187" t="str">
        <f>'RESUMEN TOTAL'!I248</f>
        <v>Remedios de Escalada y Finochieto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 t="str">
        <f>'RESUMEN TOTAL'!V248</f>
        <v>APAGADO</v>
      </c>
      <c r="J187" s="70" t="str">
        <f>'RESUMEN TOTAL'!W248</f>
        <v>APAGADO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LOPEZ ROMERO</v>
      </c>
      <c r="B188" t="str">
        <f>'RESUMEN TOTAL'!G249</f>
        <v>LRO11</v>
      </c>
      <c r="C188" t="str">
        <f>'RESUMEN TOTAL'!I249</f>
        <v>Av. Yrigoyen y Braile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 t="str">
        <f>'RESUMEN TOTAL'!AJ249</f>
        <v>APAGADO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LRO14</v>
      </c>
      <c r="C189" t="str">
        <f>'RESUMEN TOTAL'!I250</f>
        <v>YRIGOYEN Y STORNI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 t="str">
        <f>'RESUMEN TOTAL'!V250</f>
        <v>APAGADO</v>
      </c>
      <c r="J189" s="70" t="str">
        <f>'RESUMEN TOTAL'!W250</f>
        <v>APAGADO</v>
      </c>
      <c r="K189" s="70" t="str">
        <f>'RESUMEN TOTAL'!X250</f>
        <v>APAGADO</v>
      </c>
      <c r="L189" s="70" t="str">
        <f>'RESUMEN TOTAL'!Y250</f>
        <v>APAGADO</v>
      </c>
      <c r="M189" s="70" t="str">
        <f>'RESUMEN TOTAL'!Z250</f>
        <v>APAGADO</v>
      </c>
      <c r="N189" s="70">
        <f>'RESUMEN TOTAL'!AA250</f>
        <v>0</v>
      </c>
      <c r="O189" s="70">
        <f>'RESUMEN TOTAL'!AB250</f>
        <v>0</v>
      </c>
      <c r="P189" s="70" t="str">
        <f>'RESUMEN TOTAL'!AC250</f>
        <v>APAGADO</v>
      </c>
      <c r="Q189" s="70" t="str">
        <f>'RESUMEN TOTAL'!AD250</f>
        <v>APAGADO</v>
      </c>
      <c r="R189" s="70" t="str">
        <f>'RESUMEN TOTAL'!AE250</f>
        <v>APAGADO</v>
      </c>
      <c r="S189" s="70" t="str">
        <f>'RESUMEN TOTAL'!AF250</f>
        <v>APAGADO</v>
      </c>
      <c r="T189" s="70" t="str">
        <f>'RESUMEN TOTAL'!AG250</f>
        <v>APAGADO</v>
      </c>
      <c r="U189" s="70">
        <f>'RESUMEN TOTAL'!AH250</f>
        <v>0</v>
      </c>
      <c r="V189" s="70">
        <f>'RESUMEN TOTAL'!AI250</f>
        <v>0</v>
      </c>
      <c r="W189" s="70" t="str">
        <f>'RESUMEN TOTAL'!AJ250</f>
        <v>APAGADO</v>
      </c>
      <c r="X189" s="70" t="str">
        <f>'RESUMEN TOTAL'!AK250</f>
        <v>APAGADO</v>
      </c>
      <c r="Y189" s="70">
        <f>'RESUMEN TOTAL'!AL250</f>
        <v>0</v>
      </c>
      <c r="Z189" s="70">
        <f>'RESUMEN TOTAL'!AM250</f>
        <v>0</v>
      </c>
      <c r="AA189" s="70">
        <f>'RESUMEN TOTAL'!AN250</f>
        <v>0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>
        <f>'RESUMEN TOTAL'!AR250</f>
        <v>0</v>
      </c>
      <c r="AF189" s="70">
        <f>'RESUMEN TOTAL'!AS250</f>
        <v>0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LRO15</v>
      </c>
      <c r="C190" t="str">
        <f>'RESUMEN TOTAL'!I251</f>
        <v>BRAILE Y FINOCCHIETTO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 t="str">
        <f>'RESUMEN TOTAL'!V251</f>
        <v>APAGADO</v>
      </c>
      <c r="J190" s="70" t="str">
        <f>'RESUMEN TOTAL'!W251</f>
        <v>APAGADO</v>
      </c>
      <c r="K190" s="70" t="str">
        <f>'RESUMEN TOTAL'!X251</f>
        <v>APAGADO</v>
      </c>
      <c r="L190" s="70" t="str">
        <f>'RESUMEN TOTAL'!Y251</f>
        <v>APAGADO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 t="str">
        <f>'RESUMEN TOTAL'!AG251</f>
        <v>APAGADO</v>
      </c>
      <c r="U190" s="70">
        <f>'RESUMEN TOTAL'!AH251</f>
        <v>0</v>
      </c>
      <c r="V190" s="70">
        <f>'RESUMEN TOTAL'!AI251</f>
        <v>0</v>
      </c>
      <c r="W190" s="70" t="str">
        <f>'RESUMEN TOTAL'!AJ251</f>
        <v>APAGADO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>
        <f>'RESUMEN TOTAL'!AN251</f>
        <v>0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LUJAN</v>
      </c>
      <c r="B191" t="str">
        <f>'RESUMEN TOTAL'!G252</f>
        <v>LUJ 01</v>
      </c>
      <c r="C191" t="str">
        <f>'RESUMEN TOTAL'!I252</f>
        <v>ñandu y Los Pinos</v>
      </c>
      <c r="D191" s="30" t="str">
        <f>'RESUMEN TOTAL'!J252</f>
        <v>Domo</v>
      </c>
      <c r="E191" s="30" t="str">
        <f>'RESUMEN TOTAL'!K252</f>
        <v>GPON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VILLA ARGENTINA</v>
      </c>
      <c r="B192" t="str">
        <f>'RESUMEN TOTAL'!G253</f>
        <v>LUJ 02</v>
      </c>
      <c r="C192" t="str">
        <f>'RESUMEN TOTAL'!I253</f>
        <v>DIAG. LOS TILOS Y 527</v>
      </c>
      <c r="D192" s="30" t="str">
        <f>'RESUMEN TOTAL'!J253</f>
        <v>DOMO</v>
      </c>
      <c r="E192" s="30" t="str">
        <f>'RESUMEN TOTAL'!K253</f>
        <v>PTO A FO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 t="str">
        <f>'RESUMEN TOTAL'!V253</f>
        <v>APAGADO</v>
      </c>
      <c r="J192" s="70" t="str">
        <f>'RESUMEN TOTAL'!W253</f>
        <v>APAGADO</v>
      </c>
      <c r="K192" s="70" t="str">
        <f>'RESUMEN TOTAL'!X253</f>
        <v>APAGADO</v>
      </c>
      <c r="L192" s="70" t="str">
        <f>'RESUMEN TOTAL'!Y253</f>
        <v>APAGADO</v>
      </c>
      <c r="M192" s="70" t="str">
        <f>'RESUMEN TOTAL'!Z253</f>
        <v>APAGADO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LUJAN</v>
      </c>
      <c r="B193" t="str">
        <f>'RESUMEN TOTAL'!G254</f>
        <v>LUJ03</v>
      </c>
      <c r="C193" t="str">
        <f>'RESUMEN TOTAL'!I254</f>
        <v>LOS PINOS Y LOS TILOS</v>
      </c>
      <c r="D193" s="30" t="str">
        <f>'RESUMEN TOTAL'!J254</f>
        <v>DOMO</v>
      </c>
      <c r="E193" s="30" t="str">
        <f>'RESUMEN TOTAL'!K254</f>
        <v>GPON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 t="str">
        <f>'RESUMEN TOTAL'!V254</f>
        <v>APAGADO</v>
      </c>
      <c r="J193" s="70" t="str">
        <f>'RESUMEN TOTAL'!W254</f>
        <v>APAGADO</v>
      </c>
      <c r="K193" s="70" t="str">
        <f>'RESUMEN TOTAL'!X254</f>
        <v>APAGADO</v>
      </c>
      <c r="L193" s="70" t="str">
        <f>'RESUMEN TOTAL'!Y254</f>
        <v>APAGADO</v>
      </c>
      <c r="M193" s="70" t="str">
        <f>'RESUMEN TOTAL'!Z254</f>
        <v>APAGADO</v>
      </c>
      <c r="N193" s="70">
        <f>'RESUMEN TOTAL'!AA254</f>
        <v>0</v>
      </c>
      <c r="O193" s="70">
        <f>'RESUMEN TOTAL'!AB254</f>
        <v>0</v>
      </c>
      <c r="P193" s="70" t="str">
        <f>'RESUMEN TOTAL'!AC254</f>
        <v>APAGADO</v>
      </c>
      <c r="Q193" s="70" t="str">
        <f>'RESUMEN TOTAL'!AD254</f>
        <v>APAGADO</v>
      </c>
      <c r="R193" s="70" t="str">
        <f>'RESUMEN TOTAL'!AE254</f>
        <v>APAGADO</v>
      </c>
      <c r="S193" s="70" t="str">
        <f>'RESUMEN TOTAL'!AF254</f>
        <v>APAGADO</v>
      </c>
      <c r="T193" s="70" t="str">
        <f>'RESUMEN TOTAL'!AG254</f>
        <v>APAGADO</v>
      </c>
      <c r="U193" s="70">
        <f>'RESUMEN TOTAL'!AH254</f>
        <v>0</v>
      </c>
      <c r="V193" s="70">
        <f>'RESUMEN TOTAL'!AI254</f>
        <v>0</v>
      </c>
      <c r="W193" s="70" t="str">
        <f>'RESUMEN TOTAL'!AJ254</f>
        <v>APAGADO</v>
      </c>
      <c r="X193" s="70" t="str">
        <f>'RESUMEN TOTAL'!AK254</f>
        <v>APAGADO</v>
      </c>
      <c r="Y193" s="70">
        <f>'RESUMEN TOTAL'!AL254</f>
        <v>0</v>
      </c>
      <c r="Z193" s="70">
        <f>'RESUMEN TOTAL'!AM254</f>
        <v>0</v>
      </c>
      <c r="AA193" s="70">
        <f>'RESUMEN TOTAL'!AN254</f>
        <v>0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>
        <f>'RESUMEN TOTAL'!AR254</f>
        <v>0</v>
      </c>
      <c r="AF193" s="70">
        <f>'RESUMEN TOTAL'!AS254</f>
        <v>0</v>
      </c>
      <c r="AG193" s="70">
        <f>'RESUMEN TOTAL'!AT254</f>
        <v>0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LUJ04</v>
      </c>
      <c r="C194" t="str">
        <f>'RESUMEN TOTAL'!I255</f>
        <v>LOS ALGARROBOS Y LA PALOMA</v>
      </c>
      <c r="D194" s="30" t="str">
        <f>'RESUMEN TOTAL'!J255</f>
        <v>Fija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 t="str">
        <f>'RESUMEN TOTAL'!V255</f>
        <v>APAGADO</v>
      </c>
      <c r="J194" s="70" t="str">
        <f>'RESUMEN TOTAL'!W255</f>
        <v>APAGADO</v>
      </c>
      <c r="K194" s="70" t="str">
        <f>'RESUMEN TOTAL'!X255</f>
        <v>APAGADO</v>
      </c>
      <c r="L194" s="70" t="str">
        <f>'RESUMEN TOTAL'!Y255</f>
        <v>APAGADO</v>
      </c>
      <c r="M194" s="70" t="str">
        <f>'RESUMEN TOTAL'!Z255</f>
        <v>APAGADO</v>
      </c>
      <c r="N194" s="70">
        <f>'RESUMEN TOTAL'!AA255</f>
        <v>0</v>
      </c>
      <c r="O194" s="70">
        <f>'RESUMEN TOTAL'!AB255</f>
        <v>0</v>
      </c>
      <c r="P194" s="70" t="str">
        <f>'RESUMEN TOTAL'!AC255</f>
        <v>APAGADO</v>
      </c>
      <c r="Q194" s="70" t="str">
        <f>'RESUMEN TOTAL'!AD255</f>
        <v>APAGADO</v>
      </c>
      <c r="R194" s="70" t="str">
        <f>'RESUMEN TOTAL'!AE255</f>
        <v>APAGADO</v>
      </c>
      <c r="S194" s="70" t="str">
        <f>'RESUMEN TOTAL'!AF255</f>
        <v>APAGADO</v>
      </c>
      <c r="T194" s="70" t="str">
        <f>'RESUMEN TOTAL'!AG255</f>
        <v>APAGADO</v>
      </c>
      <c r="U194" s="70">
        <f>'RESUMEN TOTAL'!AH255</f>
        <v>0</v>
      </c>
      <c r="V194" s="70">
        <f>'RESUMEN TOTAL'!AI255</f>
        <v>0</v>
      </c>
      <c r="W194" s="70" t="str">
        <f>'RESUMEN TOTAL'!AJ255</f>
        <v>APAGADO</v>
      </c>
      <c r="X194" s="70" t="str">
        <f>'RESUMEN TOTAL'!AK255</f>
        <v>APAGADO</v>
      </c>
      <c r="Y194" s="70">
        <f>'RESUMEN TOTAL'!AL255</f>
        <v>0</v>
      </c>
      <c r="Z194" s="70">
        <f>'RESUMEN TOTAL'!AM255</f>
        <v>0</v>
      </c>
      <c r="AA194" s="70">
        <f>'RESUMEN TOTAL'!AN255</f>
        <v>0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>
        <f>'RESUMEN TOTAL'!AR255</f>
        <v>0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LUJAN</v>
      </c>
      <c r="B195" t="str">
        <f>'RESUMEN TOTAL'!G256</f>
        <v>LUJ05</v>
      </c>
      <c r="C195" t="str">
        <f>'RESUMEN TOTAL'!I256</f>
        <v>LOS ALGARROBOS Y LA PALOMA</v>
      </c>
      <c r="D195" s="30" t="str">
        <f>'RESUMEN TOTAL'!J256</f>
        <v>DOMO</v>
      </c>
      <c r="E195" s="30" t="str">
        <f>'RESUMEN TOTAL'!K256</f>
        <v>GPON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 t="str">
        <f>'RESUMEN TOTAL'!AF256</f>
        <v>APAGADO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LUJ06</v>
      </c>
      <c r="C196" t="str">
        <f>'RESUMEN TOTAL'!I257</f>
        <v>LOS PINOS Y LA PALOMA</v>
      </c>
      <c r="D196" s="30" t="str">
        <f>'RESUMEN TOTAL'!J257</f>
        <v>DOMO</v>
      </c>
      <c r="E196" s="30" t="str">
        <f>'RESUMEN TOTAL'!K257</f>
        <v>GPON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RICARDO ROJAS</v>
      </c>
      <c r="B197" t="str">
        <f>'RESUMEN TOTAL'!G261</f>
        <v>MAR 02 (FIJA1)</v>
      </c>
      <c r="C197" t="str">
        <f>'RESUMEN TOTAL'!I261</f>
        <v>LUJAN Y PATAGONES</v>
      </c>
      <c r="D197" s="30" t="str">
        <f>'RESUMEN TOTAL'!J261</f>
        <v>Fija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LAS MARGARITAS</v>
      </c>
      <c r="B198" t="str">
        <f>'RESUMEN TOTAL'!G262</f>
        <v>MAR 03 (FIJA 2)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>
        <f>'RESUMEN TOTAL'!F263</f>
        <v>0</v>
      </c>
      <c r="B199" t="str">
        <f>'RESUMEN TOTAL'!G263</f>
        <v>MAR 04 (FIJA)</v>
      </c>
      <c r="C199" t="str">
        <f>'RESUMEN TOTAL'!I263</f>
        <v>Calle968 y Miguel Cané</v>
      </c>
      <c r="D199" s="30" t="str">
        <f>'RESUMEN TOTAL'!J263</f>
        <v>FIJA</v>
      </c>
      <c r="E199" s="30" t="str">
        <f>'RESUMEN TOTAL'!K263</f>
        <v>GPON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02</v>
      </c>
      <c r="C200" t="str">
        <f>'RESUMEN TOTAL'!I266</f>
        <v>EVA PERON Y MONTEVIDEO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03</v>
      </c>
      <c r="C201" t="str">
        <f>'RESUMEN TOTAL'!I267</f>
        <v>CHAÑAR Y SAN NICOLAS</v>
      </c>
      <c r="D201" s="30" t="str">
        <f>'RESUMEN TOTAL'!J267</f>
        <v>DOMO</v>
      </c>
      <c r="E201" s="30" t="str">
        <f>'RESUMEN TOTAL'!K267</f>
        <v>PTO A FO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04</v>
      </c>
      <c r="C202" t="str">
        <f>'RESUMEN TOTAL'!I268</f>
        <v>MAR CHIQUITA Y RIO JACHAL</v>
      </c>
      <c r="D202" s="30" t="str">
        <f>'RESUMEN TOTAL'!J268</f>
        <v>DOMO</v>
      </c>
      <c r="E202" s="30" t="str">
        <f>'RESUMEN TOTAL'!K268</f>
        <v>Radio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>
        <f>'RESUMEN TOTAL'!F269</f>
        <v>0</v>
      </c>
      <c r="B203" t="str">
        <f>'RESUMEN TOTAL'!G269</f>
        <v>MCUD 01</v>
      </c>
      <c r="C203" t="str">
        <f>'RESUMEN TOTAL'!I269</f>
        <v>TINOGASTA Y SAN LORENZO</v>
      </c>
      <c r="D203" s="30" t="str">
        <f>'RESUMEN TOTAL'!J269</f>
        <v>Domo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02</v>
      </c>
      <c r="C204" t="str">
        <f>'RESUMEN TOTAL'!I270</f>
        <v>CALLE 115 A Y 158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 t="str">
        <f>'RESUMEN TOTAL'!V270</f>
        <v>APAGADO</v>
      </c>
      <c r="J204" s="70" t="str">
        <f>'RESUMEN TOTAL'!W270</f>
        <v>APAGADO</v>
      </c>
      <c r="K204" s="70" t="str">
        <f>'RESUMEN TOTAL'!X270</f>
        <v>APAGADO</v>
      </c>
      <c r="L204" s="70" t="str">
        <f>'RESUMEN TOTAL'!Y270</f>
        <v>APAGADO</v>
      </c>
      <c r="M204" s="70" t="str">
        <f>'RESUMEN TOTAL'!Z270</f>
        <v>APAGADO</v>
      </c>
      <c r="N204" s="70">
        <f>'RESUMEN TOTAL'!AA270</f>
        <v>0</v>
      </c>
      <c r="O204" s="70">
        <f>'RESUMEN TOTAL'!AB270</f>
        <v>0</v>
      </c>
      <c r="P204" s="70" t="str">
        <f>'RESUMEN TOTAL'!AC270</f>
        <v>APAGADO</v>
      </c>
      <c r="Q204" s="70" t="str">
        <f>'RESUMEN TOTAL'!AD270</f>
        <v>APAGADO</v>
      </c>
      <c r="R204" s="70" t="str">
        <f>'RESUMEN TOTAL'!AE270</f>
        <v>APAGADO</v>
      </c>
      <c r="S204" s="70" t="str">
        <f>'RESUMEN TOTAL'!AF270</f>
        <v>APAGADO</v>
      </c>
      <c r="T204" s="70" t="str">
        <f>'RESUMEN TOTAL'!AG270</f>
        <v>APAGADO</v>
      </c>
      <c r="U204" s="70">
        <f>'RESUMEN TOTAL'!AH270</f>
        <v>0</v>
      </c>
      <c r="V204" s="70">
        <f>'RESUMEN TOTAL'!AI270</f>
        <v>0</v>
      </c>
      <c r="W204" s="70" t="str">
        <f>'RESUMEN TOTAL'!AJ270</f>
        <v>APAGADO</v>
      </c>
      <c r="X204" s="70" t="str">
        <f>'RESUMEN TOTAL'!AK270</f>
        <v>APAGADO</v>
      </c>
      <c r="Y204" s="70">
        <f>'RESUMEN TOTAL'!AL270</f>
        <v>0</v>
      </c>
      <c r="Z204" s="70">
        <f>'RESUMEN TOTAL'!AM270</f>
        <v>0</v>
      </c>
      <c r="AA204" s="70">
        <f>'RESUMEN TOTAL'!AN270</f>
        <v>0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>
        <f>'RESUMEN TOTAL'!AR270</f>
        <v>0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MARTIN FIERRO</v>
      </c>
      <c r="B205" t="str">
        <f>'RESUMEN TOTAL'!G271</f>
        <v>MFI 01</v>
      </c>
      <c r="C205" t="str">
        <f>'RESUMEN TOTAL'!I271</f>
        <v>Belgrano y Sgto. Cabral</v>
      </c>
      <c r="D205" s="30" t="str">
        <f>'RESUMEN TOTAL'!J271</f>
        <v>Fija</v>
      </c>
      <c r="E205" s="30" t="str">
        <f>'RESUMEN TOTAL'!K271</f>
        <v>GPON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SAN EMILIO</v>
      </c>
      <c r="B206" t="str">
        <f>'RESUMEN TOTAL'!G272</f>
        <v>MFI 03</v>
      </c>
      <c r="C206" t="str">
        <f>'RESUMEN TOTAL'!I272</f>
        <v>Cno. Gral. Belgrano y Av. del Trabajo</v>
      </c>
      <c r="D206" s="30" t="str">
        <f>'RESUMEN TOTAL'!J272</f>
        <v>Domo</v>
      </c>
      <c r="E206" s="30" t="str">
        <f>'RESUMEN TOTAL'!K272</f>
        <v>GPON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SAN EMILIO</v>
      </c>
      <c r="B207" t="str">
        <f>'RESUMEN TOTAL'!G273</f>
        <v>MFI 05</v>
      </c>
      <c r="C207" t="str">
        <f>'RESUMEN TOTAL'!I273</f>
        <v>Cno. Gral. Belgrano y Guayaquil</v>
      </c>
      <c r="D207" s="30" t="str">
        <f>'RESUMEN TOTAL'!J273</f>
        <v>Domo</v>
      </c>
      <c r="E207" s="30" t="str">
        <f>'RESUMEN TOTAL'!K273</f>
        <v>PTO GPON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MARTIN FIERRO</v>
      </c>
      <c r="B208" t="str">
        <f>'RESUMEN TOTAL'!G274</f>
        <v>MFI 07</v>
      </c>
      <c r="C208" t="str">
        <f>'RESUMEN TOTAL'!I274</f>
        <v>Sargento Cabral y Carlos Gardel</v>
      </c>
      <c r="D208" s="30" t="str">
        <f>'RESUMEN TOTAL'!J274</f>
        <v>Domo</v>
      </c>
      <c r="E208" s="30" t="str">
        <f>'RESUMEN TOTAL'!K274</f>
        <v>GPON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 t="str">
        <f>'RESUMEN TOTAL'!V274</f>
        <v>APAGADO</v>
      </c>
      <c r="J208" s="70" t="str">
        <f>'RESUMEN TOTAL'!W274</f>
        <v>APAGADO</v>
      </c>
      <c r="K208" s="70" t="str">
        <f>'RESUMEN TOTAL'!X274</f>
        <v>APAGADO</v>
      </c>
      <c r="L208" s="70" t="str">
        <f>'RESUMEN TOTAL'!Y274</f>
        <v>APAGADO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>
        <f>'RESUMEN TOTAL'!AM274</f>
        <v>0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 08</v>
      </c>
      <c r="C209" t="str">
        <f>'RESUMEN TOTAL'!I275</f>
        <v>Braile y Batalla de Callao</v>
      </c>
      <c r="D209" s="30" t="str">
        <f>'RESUMEN TOTAL'!J275</f>
        <v>Domo</v>
      </c>
      <c r="E209" s="30" t="str">
        <f>'RESUMEN TOTAL'!K275</f>
        <v>PTO A FO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 t="str">
        <f>'RESUMEN TOTAL'!W275</f>
        <v>APAGADO</v>
      </c>
      <c r="K209" s="70" t="str">
        <f>'RESUMEN TOTAL'!X275</f>
        <v>APAGADO</v>
      </c>
      <c r="L209" s="70" t="str">
        <f>'RESUMEN TOTAL'!Y275</f>
        <v>APAGADO</v>
      </c>
      <c r="M209" s="70" t="str">
        <f>'RESUMEN TOTAL'!Z275</f>
        <v>APAGADO</v>
      </c>
      <c r="N209" s="70">
        <f>'RESUMEN TOTAL'!AA275</f>
        <v>0</v>
      </c>
      <c r="O209" s="70">
        <f>'RESUMEN TOTAL'!AB275</f>
        <v>0</v>
      </c>
      <c r="P209" s="70" t="str">
        <f>'RESUMEN TOTAL'!AC275</f>
        <v>APAGADO</v>
      </c>
      <c r="Q209" s="70" t="str">
        <f>'RESUMEN TOTAL'!AD275</f>
        <v>APAGADO</v>
      </c>
      <c r="R209" s="70" t="str">
        <f>'RESUMEN TOTAL'!AE275</f>
        <v>APAGADO</v>
      </c>
      <c r="S209" s="70" t="str">
        <f>'RESUMEN TOTAL'!AF275</f>
        <v>APAGADO</v>
      </c>
      <c r="T209" s="70" t="str">
        <f>'RESUMEN TOTAL'!AG275</f>
        <v>APAGADO</v>
      </c>
      <c r="U209" s="70">
        <f>'RESUMEN TOTAL'!AH275</f>
        <v>0</v>
      </c>
      <c r="V209" s="70">
        <f>'RESUMEN TOTAL'!AI275</f>
        <v>0</v>
      </c>
      <c r="W209" s="70" t="str">
        <f>'RESUMEN TOTAL'!AJ275</f>
        <v>APAGADO</v>
      </c>
      <c r="X209" s="70" t="str">
        <f>'RESUMEN TOTAL'!AK275</f>
        <v>APAGADO</v>
      </c>
      <c r="Y209" s="70">
        <f>'RESUMEN TOTAL'!AL275</f>
        <v>0</v>
      </c>
      <c r="Z209" s="70">
        <f>'RESUMEN TOTAL'!AM275</f>
        <v>0</v>
      </c>
      <c r="AA209" s="70">
        <f>'RESUMEN TOTAL'!AN275</f>
        <v>0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>
        <f>'RESUMEN TOTAL'!AR275</f>
        <v>0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LOPEZ ROMERO</v>
      </c>
      <c r="B210" t="str">
        <f>'RESUMEN TOTAL'!G276</f>
        <v>MFI02</v>
      </c>
      <c r="C210" t="str">
        <f>'RESUMEN TOTAL'!I276</f>
        <v>Calchaqui y Balcarce</v>
      </c>
      <c r="D210" s="30" t="str">
        <f>'RESUMEN TOTAL'!J276</f>
        <v>Fija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MARTIN FIERRO</v>
      </c>
      <c r="B211" t="str">
        <f>'RESUMEN TOTAL'!G277</f>
        <v>MFI04</v>
      </c>
      <c r="C211" t="str">
        <f>'RESUMEN TOTAL'!I277</f>
        <v>Calchaqui y balcarce</v>
      </c>
      <c r="D211" s="30" t="str">
        <f>'RESUMEN TOTAL'!J277</f>
        <v>Domo</v>
      </c>
      <c r="E211" s="30" t="str">
        <f>'RESUMEN TOTAL'!K277</f>
        <v>Fibra Optica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SAN EMILIO</v>
      </c>
      <c r="B212" t="str">
        <f>'RESUMEN TOTAL'!G278</f>
        <v>MFI06</v>
      </c>
      <c r="C212" t="str">
        <f>'RESUMEN TOTAL'!I278</f>
        <v>Con. Gral. Belgrano y Bombero Galarza</v>
      </c>
      <c r="D212" s="30" t="str">
        <f>'RESUMEN TOTAL'!J278</f>
        <v>DOMO</v>
      </c>
      <c r="E212" s="30" t="str">
        <f>'RESUMEN TOTAL'!K278</f>
        <v>PTO A FO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GOBERNADOR MONTEVERDE</v>
      </c>
      <c r="B213" t="str">
        <f>'RESUMEN TOTAL'!G279</f>
        <v>MON01</v>
      </c>
      <c r="C213" t="str">
        <f>'RESUMEN TOTAL'!I279</f>
        <v>San Martin y Patricias Argentinas</v>
      </c>
      <c r="D213" s="30" t="str">
        <f>'RESUMEN TOTAL'!J279</f>
        <v>Fija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MON02</v>
      </c>
      <c r="C214" t="str">
        <f>'RESUMEN TOTAL'!I280</f>
        <v>Senzabello y Famatina</v>
      </c>
      <c r="D214" s="30" t="str">
        <f>'RESUMEN TOTAL'!J280</f>
        <v>Domo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MON03</v>
      </c>
      <c r="C215" t="str">
        <f>'RESUMEN TOTAL'!I281</f>
        <v>Senzabello y Guemes</v>
      </c>
      <c r="D215" s="30" t="str">
        <f>'RESUMEN TOTAL'!J281</f>
        <v>Domo</v>
      </c>
      <c r="E215" s="30" t="str">
        <f>'RESUMEN TOTAL'!K281</f>
        <v>PTO A FO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MON04</v>
      </c>
      <c r="C216" t="str">
        <f>'RESUMEN TOTAL'!I282</f>
        <v>Av. Yrigoyen y San Lorenzo</v>
      </c>
      <c r="D216" s="30" t="str">
        <f>'RESUMEN TOTAL'!J282</f>
        <v>Domo</v>
      </c>
      <c r="E216" s="30" t="str">
        <f>'RESUMEN TOTAL'!K282</f>
        <v>GPON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MON05 Fija 1</v>
      </c>
      <c r="C217" t="str">
        <f>'RESUMEN TOTAL'!I283</f>
        <v xml:space="preserve">Solis y Guemes 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NJU03</v>
      </c>
      <c r="C218" t="str">
        <f>'RESUMEN TOTAL'!I288</f>
        <v>San Juan y Parrillo</v>
      </c>
      <c r="D218" s="30" t="str">
        <f>'RESUMEN TOTAL'!J288</f>
        <v>Domo</v>
      </c>
      <c r="E218" s="30" t="str">
        <f>'RESUMEN TOTAL'!K288</f>
        <v>PTO A FO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 t="str">
        <f>'RESUMEN TOTAL'!Y288</f>
        <v>APAGADO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NJU04</v>
      </c>
      <c r="C219" t="str">
        <f>'RESUMEN TOTAL'!I289</f>
        <v>Ituzaingo y 214 A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 t="str">
        <f>'RESUMEN TOTAL'!AE289</f>
        <v>APAGADO</v>
      </c>
      <c r="S219" s="70" t="str">
        <f>'RESUMEN TOTAL'!AF289</f>
        <v>APAGADO</v>
      </c>
      <c r="T219" s="70" t="str">
        <f>'RESUMEN TOTAL'!AG289</f>
        <v>APAGADO</v>
      </c>
      <c r="U219" s="70">
        <f>'RESUMEN TOTAL'!AH289</f>
        <v>0</v>
      </c>
      <c r="V219" s="70">
        <f>'RESUMEN TOTAL'!AI289</f>
        <v>0</v>
      </c>
      <c r="W219" s="70" t="str">
        <f>'RESUMEN TOTAL'!AJ289</f>
        <v>APAGADO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ZEBALLOS CENTRO</v>
      </c>
      <c r="B220" t="str">
        <f>'RESUMEN TOTAL'!G290</f>
        <v>NJU05</v>
      </c>
      <c r="C220" t="str">
        <f>'RESUMEN TOTAL'!I290</f>
        <v>Ituzaingo y Alem</v>
      </c>
      <c r="D220" s="30" t="str">
        <f>'RESUMEN TOTAL'!J290</f>
        <v>Domo</v>
      </c>
      <c r="E220" s="30" t="str">
        <f>'RESUMEN TOTAL'!K290</f>
        <v>GPON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 t="str">
        <f>'RESUMEN TOTAL'!AD290</f>
        <v>APAGADO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CENTRO</v>
      </c>
      <c r="B221" t="str">
        <f>'RESUMEN TOTAL'!G291</f>
        <v>NJU06</v>
      </c>
      <c r="C221" t="str">
        <f>'RESUMEN TOTAL'!I291</f>
        <v>Sallares y Rodo</v>
      </c>
      <c r="D221" s="30" t="str">
        <f>'RESUMEN TOTAL'!J291</f>
        <v>Domo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 t="str">
        <f>'RESUMEN TOTAL'!V291</f>
        <v>APAGADO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9 DE JULIO</v>
      </c>
      <c r="B222" t="str">
        <f>'RESUMEN TOTAL'!G292</f>
        <v>NJU07</v>
      </c>
      <c r="C222" t="str">
        <f>'RESUMEN TOTAL'!I292</f>
        <v>Gral. Juan Domingo Peron y Parrillo</v>
      </c>
      <c r="D222" s="30" t="str">
        <f>'RESUMEN TOTAL'!J292</f>
        <v>Domo</v>
      </c>
      <c r="E222" s="30" t="str">
        <f>'RESUMEN TOTAL'!K292</f>
        <v>Fibra Optica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>
        <f>'RESUMEN TOTAL'!AM292</f>
        <v>0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9 DE JULIO</v>
      </c>
      <c r="B223" t="str">
        <f>'RESUMEN TOTAL'!G293</f>
        <v>NJU09</v>
      </c>
      <c r="C223" t="str">
        <f>'RESUMEN TOTAL'!I293</f>
        <v>PARRILLO Y CONTRERAS</v>
      </c>
      <c r="D223" s="30" t="str">
        <f>'RESUMEN TOTAL'!J293</f>
        <v>DOMO</v>
      </c>
      <c r="E223" s="30" t="str">
        <f>'RESUMEN TOTAL'!K293</f>
        <v>GPON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 t="str">
        <f>'RESUMEN TOTAL'!AC293</f>
        <v>APAGADO</v>
      </c>
      <c r="Q223" s="70" t="str">
        <f>'RESUMEN TOTAL'!AD293</f>
        <v>APAGADO</v>
      </c>
      <c r="R223" s="70" t="str">
        <f>'RESUMEN TOTAL'!AE293</f>
        <v>APAGADO</v>
      </c>
      <c r="S223" s="70" t="str">
        <f>'RESUMEN TOTAL'!AF293</f>
        <v>APAGADO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 t="str">
        <f>'RESUMEN TOTAL'!AJ293</f>
        <v>APAGADO</v>
      </c>
      <c r="X223" s="70" t="str">
        <f>'RESUMEN TOTAL'!AK293</f>
        <v>APAGADO</v>
      </c>
      <c r="Y223" s="70">
        <f>'RESUMEN TOTAL'!AL293</f>
        <v>0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NJU10</v>
      </c>
      <c r="C224" t="str">
        <f>'RESUMEN TOTAL'!I294</f>
        <v>BOCUZZI Y BARO</v>
      </c>
      <c r="D224" s="30" t="str">
        <f>'RESUMEN TOTAL'!J294</f>
        <v>DOMO</v>
      </c>
      <c r="E224" s="30" t="str">
        <f>'RESUMEN TOTAL'!K294</f>
        <v>GPON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 t="str">
        <f>'RESUMEN TOTAL'!AC294</f>
        <v>APAGADO</v>
      </c>
      <c r="Q224" s="70">
        <f>'RESUMEN TOTAL'!AD294</f>
        <v>0</v>
      </c>
      <c r="R224" s="70" t="str">
        <f>'RESUMEN TOTAL'!AE294</f>
        <v>APAGADO</v>
      </c>
      <c r="S224" s="70" t="str">
        <f>'RESUMEN TOTAL'!AF294</f>
        <v>APAGADO</v>
      </c>
      <c r="T224" s="70" t="str">
        <f>'RESUMEN TOTAL'!AG294</f>
        <v>APAGADO</v>
      </c>
      <c r="U224" s="70">
        <f>'RESUMEN TOTAL'!AH294</f>
        <v>0</v>
      </c>
      <c r="V224" s="70">
        <f>'RESUMEN TOTAL'!AI294</f>
        <v>0</v>
      </c>
      <c r="W224" s="70" t="str">
        <f>'RESUMEN TOTAL'!AJ294</f>
        <v>APAGADO</v>
      </c>
      <c r="X224" s="70" t="str">
        <f>'RESUMEN TOTAL'!AK294</f>
        <v>APAGADO</v>
      </c>
      <c r="Y224" s="70">
        <f>'RESUMEN TOTAL'!AL294</f>
        <v>0</v>
      </c>
      <c r="Z224" s="70">
        <f>'RESUMEN TOTAL'!AM294</f>
        <v>0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10 DE JULIO</v>
      </c>
      <c r="B225" t="str">
        <f>'RESUMEN TOTAL'!G295</f>
        <v>NJU11</v>
      </c>
      <c r="C225" t="str">
        <f>'RESUMEN TOTAL'!I295</f>
        <v>Tte:Peron y Chile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10 DE JULIO</v>
      </c>
      <c r="B226" t="str">
        <f>'RESUMEN TOTAL'!G296</f>
        <v>NJU12</v>
      </c>
      <c r="C226" t="str">
        <f>'RESUMEN TOTAL'!I296</f>
        <v>Bocuzzi y Rodo</v>
      </c>
      <c r="D226" s="30" t="str">
        <f>'RESUMEN TOTAL'!J296</f>
        <v>Domo</v>
      </c>
      <c r="E226" s="30" t="str">
        <f>'RESUMEN TOTAL'!K296</f>
        <v>Fibra Optica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 t="str">
        <f>'RESUMEN TOTAL'!V300</f>
        <v>APAGADO</v>
      </c>
      <c r="J227" s="70" t="str">
        <f>'RESUMEN TOTAL'!W300</f>
        <v>APAGADO</v>
      </c>
      <c r="K227" s="70" t="str">
        <f>'RESUMEN TOTAL'!X300</f>
        <v>APAGADO</v>
      </c>
      <c r="L227" s="70" t="str">
        <f>'RESUMEN TOTAL'!Y300</f>
        <v>APAGADO</v>
      </c>
      <c r="M227" s="70" t="str">
        <f>'RESUMEN TOTAL'!Z300</f>
        <v>APAGADO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 t="str">
        <f>'RESUMEN TOTAL'!AE300</f>
        <v>APAGADO</v>
      </c>
      <c r="S227" s="70" t="str">
        <f>'RESUMEN TOTAL'!AF300</f>
        <v>APAGADO</v>
      </c>
      <c r="T227" s="70" t="str">
        <f>'RESUMEN TOTAL'!AG300</f>
        <v>APAGADO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 t="str">
        <f>'RESUMEN TOTAL'!V301</f>
        <v>APAGADO</v>
      </c>
      <c r="J228" s="70" t="str">
        <f>'RESUMEN TOTAL'!W301</f>
        <v>APAGADO</v>
      </c>
      <c r="K228" s="70" t="str">
        <f>'RESUMEN TOTAL'!X301</f>
        <v>APAGADO</v>
      </c>
      <c r="L228" s="70" t="str">
        <f>'RESUMEN TOTAL'!Y301</f>
        <v>APAGADO</v>
      </c>
      <c r="M228" s="70" t="str">
        <f>'RESUMEN TOTAL'!Z301</f>
        <v>APAGADO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 t="str">
        <f>'RESUMEN TOTAL'!AE301</f>
        <v>APAGADO</v>
      </c>
      <c r="S228" s="70" t="str">
        <f>'RESUMEN TOTAL'!AF301</f>
        <v>APAGADO</v>
      </c>
      <c r="T228" s="70" t="str">
        <f>'RESUMEN TOTAL'!AG301</f>
        <v>APAGADO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 t="str">
        <f>'RESUMEN TOTAL'!V302</f>
        <v>APAGADO</v>
      </c>
      <c r="J229" s="70" t="str">
        <f>'RESUMEN TOTAL'!W302</f>
        <v>APAGADO</v>
      </c>
      <c r="K229" s="70" t="str">
        <f>'RESUMEN TOTAL'!X302</f>
        <v>APAGADO</v>
      </c>
      <c r="L229" s="70" t="str">
        <f>'RESUMEN TOTAL'!Y302</f>
        <v>APAGADO</v>
      </c>
      <c r="M229" s="70" t="str">
        <f>'RESUMEN TOTAL'!Z302</f>
        <v>APAGADO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 t="str">
        <f>'RESUMEN TOTAL'!AE302</f>
        <v>APAGADO</v>
      </c>
      <c r="S229" s="70" t="str">
        <f>'RESUMEN TOTAL'!AF302</f>
        <v>APAGADO</v>
      </c>
      <c r="T229" s="70" t="str">
        <f>'RESUMEN TOTAL'!AG302</f>
        <v>APAGADO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 t="str">
        <f>'RESUMEN TOTAL'!V303</f>
        <v>APAGADO</v>
      </c>
      <c r="J230" s="70" t="str">
        <f>'RESUMEN TOTAL'!W303</f>
        <v>APAGADO</v>
      </c>
      <c r="K230" s="70" t="str">
        <f>'RESUMEN TOTAL'!X303</f>
        <v>APAGADO</v>
      </c>
      <c r="L230" s="70" t="str">
        <f>'RESUMEN TOTAL'!Y303</f>
        <v>APAGADO</v>
      </c>
      <c r="M230" s="70" t="str">
        <f>'RESUMEN TOTAL'!Z303</f>
        <v>APAGADO</v>
      </c>
      <c r="N230" s="70">
        <f>'RESUMEN TOTAL'!AA303</f>
        <v>0</v>
      </c>
      <c r="O230" s="70">
        <f>'RESUMEN TOTAL'!AB303</f>
        <v>0</v>
      </c>
      <c r="P230" s="70" t="str">
        <f>'RESUMEN TOTAL'!AC303</f>
        <v>APAGADO</v>
      </c>
      <c r="Q230" s="70" t="str">
        <f>'RESUMEN TOTAL'!AD303</f>
        <v>APAGADO</v>
      </c>
      <c r="R230" s="70" t="str">
        <f>'RESUMEN TOTAL'!AE303</f>
        <v>APAGADO</v>
      </c>
      <c r="S230" s="70" t="str">
        <f>'RESUMEN TOTAL'!AF303</f>
        <v>APAGADO</v>
      </c>
      <c r="T230" s="70" t="str">
        <f>'RESUMEN TOTAL'!AG303</f>
        <v>APAGADO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 t="str">
        <f>'RESUMEN TOTAL'!V304</f>
        <v>APAGADO</v>
      </c>
      <c r="J231" s="70" t="str">
        <f>'RESUMEN TOTAL'!W304</f>
        <v>APAGADO</v>
      </c>
      <c r="K231" s="70" t="str">
        <f>'RESUMEN TOTAL'!X304</f>
        <v>APAGADO</v>
      </c>
      <c r="L231" s="70" t="str">
        <f>'RESUMEN TOTAL'!Y304</f>
        <v>APAGADO</v>
      </c>
      <c r="M231" s="70" t="str">
        <f>'RESUMEN TOTAL'!Z304</f>
        <v>APAGADO</v>
      </c>
      <c r="N231" s="70">
        <f>'RESUMEN TOTAL'!AA304</f>
        <v>0</v>
      </c>
      <c r="O231" s="70">
        <f>'RESUMEN TOTAL'!AB304</f>
        <v>0</v>
      </c>
      <c r="P231" s="70" t="str">
        <f>'RESUMEN TOTAL'!AC304</f>
        <v>APAGADO</v>
      </c>
      <c r="Q231" s="70" t="str">
        <f>'RESUMEN TOTAL'!AD304</f>
        <v>APAGADO</v>
      </c>
      <c r="R231" s="70" t="str">
        <f>'RESUMEN TOTAL'!AE304</f>
        <v>APAGADO</v>
      </c>
      <c r="S231" s="70" t="str">
        <f>'RESUMEN TOTAL'!AF304</f>
        <v>APAGADO</v>
      </c>
      <c r="T231" s="70" t="str">
        <f>'RESUMEN TOTAL'!AG304</f>
        <v>APAGADO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EL PARQUE</v>
      </c>
      <c r="B234" t="str">
        <f>'RESUMEN TOTAL'!G307</f>
        <v>PUNTO SEGURO - EL PARQUE (domo)</v>
      </c>
      <c r="C234" t="str">
        <f>'RESUMEN TOTAL'!I307</f>
        <v>CALLE 1282 Y 1201</v>
      </c>
      <c r="D234" s="30" t="str">
        <f>'RESUMEN TOTAL'!J307</f>
        <v>DOMO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 t="str">
        <f>'RESUMEN TOTAL'!V307</f>
        <v>APAGADO</v>
      </c>
      <c r="J234" s="70" t="str">
        <f>'RESUMEN TOTAL'!W307</f>
        <v>APAGADO</v>
      </c>
      <c r="K234" s="70" t="str">
        <f>'RESUMEN TOTAL'!X307</f>
        <v>APAGADO</v>
      </c>
      <c r="L234" s="70" t="str">
        <f>'RESUMEN TOTAL'!Y307</f>
        <v>APAGADO</v>
      </c>
      <c r="M234" s="70" t="str">
        <f>'RESUMEN TOTAL'!Z307</f>
        <v>APAGADO</v>
      </c>
      <c r="N234" s="70">
        <f>'RESUMEN TOTAL'!AA307</f>
        <v>0</v>
      </c>
      <c r="O234" s="70">
        <f>'RESUMEN TOTAL'!AB307</f>
        <v>0</v>
      </c>
      <c r="P234" s="70" t="str">
        <f>'RESUMEN TOTAL'!AC307</f>
        <v>APAGADO</v>
      </c>
      <c r="Q234" s="70" t="str">
        <f>'RESUMEN TOTAL'!AD307</f>
        <v>APAGADO</v>
      </c>
      <c r="R234" s="70" t="str">
        <f>'RESUMEN TOTAL'!AE307</f>
        <v>APAGADO</v>
      </c>
      <c r="S234" s="70" t="str">
        <f>'RESUMEN TOTAL'!AF307</f>
        <v>APAGADO</v>
      </c>
      <c r="T234" s="70" t="str">
        <f>'RESUMEN TOTAL'!AG307</f>
        <v>APAGADO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(fija)</v>
      </c>
      <c r="C235" t="str">
        <f>'RESUMEN TOTAL'!I308</f>
        <v>CALLE 1282 Y 1201</v>
      </c>
      <c r="D235" s="30" t="str">
        <f>'RESUMEN TOTAL'!J308</f>
        <v>Fija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 t="str">
        <f>'RESUMEN TOTAL'!V308</f>
        <v>APAGADO</v>
      </c>
      <c r="J235" s="70" t="str">
        <f>'RESUMEN TOTAL'!W308</f>
        <v>APAGADO</v>
      </c>
      <c r="K235" s="70" t="str">
        <f>'RESUMEN TOTAL'!X308</f>
        <v>APAGADO</v>
      </c>
      <c r="L235" s="70" t="str">
        <f>'RESUMEN TOTAL'!Y308</f>
        <v>APAGADO</v>
      </c>
      <c r="M235" s="70" t="str">
        <f>'RESUMEN TOTAL'!Z308</f>
        <v>APAGADO</v>
      </c>
      <c r="N235" s="70">
        <f>'RESUMEN TOTAL'!AA308</f>
        <v>0</v>
      </c>
      <c r="O235" s="70">
        <f>'RESUMEN TOTAL'!AB308</f>
        <v>0</v>
      </c>
      <c r="P235" s="70" t="str">
        <f>'RESUMEN TOTAL'!AC308</f>
        <v>APAGADO</v>
      </c>
      <c r="Q235" s="70" t="str">
        <f>'RESUMEN TOTAL'!AD308</f>
        <v>APAGADO</v>
      </c>
      <c r="R235" s="70" t="str">
        <f>'RESUMEN TOTAL'!AE308</f>
        <v>APAGADO</v>
      </c>
      <c r="S235" s="70" t="str">
        <f>'RESUMEN TOTAL'!AF308</f>
        <v>APAGADO</v>
      </c>
      <c r="T235" s="70" t="str">
        <f>'RESUMEN TOTAL'!AG308</f>
        <v>APAGADO</v>
      </c>
      <c r="U235" s="70">
        <f>'RESUMEN TOTAL'!AH308</f>
        <v>0</v>
      </c>
      <c r="V235" s="70">
        <f>'RESUMEN TOTAL'!AI308</f>
        <v>0</v>
      </c>
      <c r="W235" s="70" t="str">
        <f>'RESUMEN TOTAL'!AJ308</f>
        <v>APAGADO</v>
      </c>
      <c r="X235" s="70" t="str">
        <f>'RESUMEN TOTAL'!AK308</f>
        <v>APAGADO</v>
      </c>
      <c r="Y235" s="70">
        <f>'RESUMEN TOTAL'!AL308</f>
        <v>0</v>
      </c>
      <c r="Z235" s="70">
        <f>'RESUMEN TOTAL'!AM308</f>
        <v>0</v>
      </c>
      <c r="AA235" s="70">
        <f>'RESUMEN TOTAL'!AN308</f>
        <v>0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>
        <f>'RESUMEN TOTAL'!AR308</f>
        <v>0</v>
      </c>
      <c r="AF235" s="70">
        <f>'RESUMEN TOTAL'!AS308</f>
        <v>0</v>
      </c>
      <c r="AG235" s="70">
        <f>'RESUMEN TOTAL'!AT308</f>
        <v>0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INTERCOMUNICADOR</v>
      </c>
      <c r="C236" t="str">
        <f>'RESUMEN TOTAL'!I309</f>
        <v>1282 Y 1201</v>
      </c>
      <c r="D236" s="30" t="str">
        <f>'RESUMEN TOTAL'!J309</f>
        <v>Fija</v>
      </c>
      <c r="E236" s="30" t="str">
        <f>'RESUMEN TOTAL'!K309</f>
        <v>Fibra Optica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>
        <f>'RESUMEN TOTAL'!AS309</f>
        <v>0</v>
      </c>
      <c r="AG236" s="70">
        <f>'RESUMEN TOTAL'!AT309</f>
        <v>0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INGENIERO ALLAN</v>
      </c>
      <c r="B237" t="str">
        <f>'RESUMEN TOTAL'!G310</f>
        <v>PUNTO SEGURO - ING ALLAN INTERCOMUNICADOR</v>
      </c>
      <c r="C237" t="str">
        <f>'RESUMEN TOTAL'!I310</f>
        <v>DIAG LOS YAGANES Y 1148</v>
      </c>
      <c r="D237" s="30" t="str">
        <f>'RESUMEN TOTAL'!J310</f>
        <v>Domo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 t="str">
        <f>'RESUMEN TOTAL'!V310</f>
        <v>APAGADO</v>
      </c>
      <c r="J237" s="70" t="str">
        <f>'RESUMEN TOTAL'!W310</f>
        <v>APAGADO</v>
      </c>
      <c r="K237" s="70" t="str">
        <f>'RESUMEN TOTAL'!X310</f>
        <v>APAGADO</v>
      </c>
      <c r="L237" s="70" t="str">
        <f>'RESUMEN TOTAL'!Y310</f>
        <v>APAGADO</v>
      </c>
      <c r="M237" s="70" t="str">
        <f>'RESUMEN TOTAL'!Z310</f>
        <v>APAGADO</v>
      </c>
      <c r="N237" s="70">
        <f>'RESUMEN TOTAL'!AA310</f>
        <v>0</v>
      </c>
      <c r="O237" s="70">
        <f>'RESUMEN TOTAL'!AB310</f>
        <v>0</v>
      </c>
      <c r="P237" s="70" t="str">
        <f>'RESUMEN TOTAL'!AC310</f>
        <v>APAGADO</v>
      </c>
      <c r="Q237" s="70" t="str">
        <f>'RESUMEN TOTAL'!AD310</f>
        <v>APAGADO</v>
      </c>
      <c r="R237" s="70" t="str">
        <f>'RESUMEN TOTAL'!AE310</f>
        <v>APAGADO</v>
      </c>
      <c r="S237" s="70" t="str">
        <f>'RESUMEN TOTAL'!AF310</f>
        <v>APAGADO</v>
      </c>
      <c r="T237" s="70" t="str">
        <f>'RESUMEN TOTAL'!AG310</f>
        <v>APAGADO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 t="str">
        <f>'RESUMEN TOTAL'!V312</f>
        <v>APAGADO</v>
      </c>
      <c r="J239" s="70" t="str">
        <f>'RESUMEN TOTAL'!W312</f>
        <v>APAGADO</v>
      </c>
      <c r="K239" s="70" t="str">
        <f>'RESUMEN TOTAL'!X312</f>
        <v>APAGADO</v>
      </c>
      <c r="L239" s="70" t="str">
        <f>'RESUMEN TOTAL'!Y312</f>
        <v>APAGADO</v>
      </c>
      <c r="M239" s="70" t="str">
        <f>'RESUMEN TOTAL'!Z312</f>
        <v>APAGADO</v>
      </c>
      <c r="N239" s="70">
        <f>'RESUMEN TOTAL'!AA312</f>
        <v>0</v>
      </c>
      <c r="O239" s="70">
        <f>'RESUMEN TOTAL'!AB312</f>
        <v>0</v>
      </c>
      <c r="P239" s="70" t="str">
        <f>'RESUMEN TOTAL'!AC312</f>
        <v>APAGADO</v>
      </c>
      <c r="Q239" s="70" t="str">
        <f>'RESUMEN TOTAL'!AD312</f>
        <v>APAGADO</v>
      </c>
      <c r="R239" s="70" t="str">
        <f>'RESUMEN TOTAL'!AE312</f>
        <v>APAGADO</v>
      </c>
      <c r="S239" s="70" t="str">
        <f>'RESUMEN TOTAL'!AF312</f>
        <v>APAGADO</v>
      </c>
      <c r="T239" s="70" t="str">
        <f>'RESUMEN TOTAL'!AG312</f>
        <v>APAGADO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LUJAN</v>
      </c>
      <c r="B240" t="str">
        <f>'RESUMEN TOTAL'!G313</f>
        <v>PUNTO SEGURO - LUJAN (fija)</v>
      </c>
      <c r="C240" t="str">
        <f>'RESUMEN TOTAL'!I313</f>
        <v>DIAG. LOS TILOS Y LOS ALGARROBOS</v>
      </c>
      <c r="D240" s="30" t="str">
        <f>'RESUMEN TOTAL'!J313</f>
        <v>Fija</v>
      </c>
      <c r="E240" s="30" t="str">
        <f>'RESUMEN TOTAL'!K313</f>
        <v>GPON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 t="str">
        <f>'RESUMEN TOTAL'!AF313</f>
        <v>APAGADO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ZONA RURAL SANTA ROSA</v>
      </c>
      <c r="B241" t="str">
        <f>'RESUMEN TOTAL'!G314</f>
        <v>PUNTO SEGURO - PICO DE ORO (domo)</v>
      </c>
      <c r="C241" t="str">
        <f>'RESUMEN TOTAL'!I314</f>
        <v>PISANI Y BULGARIA</v>
      </c>
      <c r="D241" s="30" t="str">
        <f>'RESUMEN TOTAL'!J314</f>
        <v>DOMO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ZONA RURAL SANTA ROSA</v>
      </c>
      <c r="B242" t="str">
        <f>'RESUMEN TOTAL'!G315</f>
        <v>PUNTO SEGURO - PICO DE ORO (fija)</v>
      </c>
      <c r="C242" t="str">
        <f>'RESUMEN TOTAL'!I315</f>
        <v>PISANI Y BULGARIA</v>
      </c>
      <c r="D242" s="30" t="str">
        <f>'RESUMEN TOTAL'!J315</f>
        <v>Fija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SAN FRANCISCO ESTE (CHICO)</v>
      </c>
      <c r="B243" t="str">
        <f>'RESUMEN TOTAL'!G316</f>
        <v>PUNTO SEGURO - SAN FRANCISCO (domo)</v>
      </c>
      <c r="C243" t="str">
        <f>'RESUMEN TOTAL'!I316</f>
        <v>RP 53 Y 1332</v>
      </c>
      <c r="D243" s="30" t="str">
        <f>'RESUMEN TOTAL'!J316</f>
        <v>DOMO</v>
      </c>
      <c r="E243" s="30" t="str">
        <f>'RESUMEN TOTAL'!K316</f>
        <v>GPON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SAN JORGE</v>
      </c>
      <c r="B244" t="str">
        <f>'RESUMEN TOTAL'!G317</f>
        <v>Punto Seguro - San Jorge (Domo)</v>
      </c>
      <c r="C244" t="str">
        <f>'RESUMEN TOTAL'!I317</f>
        <v>CALLE 523 E/ 554 Y 556</v>
      </c>
      <c r="D244" s="30" t="str">
        <f>'RESUMEN TOTAL'!J317</f>
        <v>DOMO</v>
      </c>
      <c r="E244" s="30" t="str">
        <f>'RESUMEN TOTAL'!K317</f>
        <v>GPON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 t="str">
        <f>'RESUMEN TOTAL'!V317</f>
        <v>APAGADO</v>
      </c>
      <c r="J244" s="70" t="str">
        <f>'RESUMEN TOTAL'!W317</f>
        <v>APAGADO</v>
      </c>
      <c r="K244" s="70" t="str">
        <f>'RESUMEN TOTAL'!X317</f>
        <v>APAGADO</v>
      </c>
      <c r="L244" s="70" t="str">
        <f>'RESUMEN TOTAL'!Y317</f>
        <v>APAGADO</v>
      </c>
      <c r="M244" s="70" t="str">
        <f>'RESUMEN TOTAL'!Z317</f>
        <v>APAGADO</v>
      </c>
      <c r="N244" s="70">
        <f>'RESUMEN TOTAL'!AA317</f>
        <v>0</v>
      </c>
      <c r="O244" s="70">
        <f>'RESUMEN TOTAL'!AB317</f>
        <v>0</v>
      </c>
      <c r="P244" s="70" t="str">
        <f>'RESUMEN TOTAL'!AC317</f>
        <v>APAGADO</v>
      </c>
      <c r="Q244" s="70" t="str">
        <f>'RESUMEN TOTAL'!AD317</f>
        <v>APAGADO</v>
      </c>
      <c r="R244" s="70" t="str">
        <f>'RESUMEN TOTAL'!AE317</f>
        <v>APAGADO</v>
      </c>
      <c r="S244" s="70" t="str">
        <f>'RESUMEN TOTAL'!AF317</f>
        <v>APAGADO</v>
      </c>
      <c r="T244" s="70" t="str">
        <f>'RESUMEN TOTAL'!AG317</f>
        <v>APAGADO</v>
      </c>
      <c r="U244" s="70">
        <f>'RESUMEN TOTAL'!AH317</f>
        <v>0</v>
      </c>
      <c r="V244" s="70">
        <f>'RESUMEN TOTAL'!AI317</f>
        <v>0</v>
      </c>
      <c r="W244" s="70" t="str">
        <f>'RESUMEN TOTAL'!AJ317</f>
        <v>APAGADO</v>
      </c>
      <c r="X244" s="70" t="str">
        <f>'RESUMEN TOTAL'!AK317</f>
        <v>APAGADO</v>
      </c>
      <c r="Y244" s="70">
        <f>'RESUMEN TOTAL'!AL317</f>
        <v>0</v>
      </c>
      <c r="Z244" s="70">
        <f>'RESUMEN TOTAL'!AM317</f>
        <v>0</v>
      </c>
      <c r="AA244" s="70">
        <f>'RESUMEN TOTAL'!AN317</f>
        <v>0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>
        <f>'RESUMEN TOTAL'!AR317</f>
        <v>0</v>
      </c>
      <c r="AF244" s="70">
        <f>'RESUMEN TOTAL'!AS317</f>
        <v>0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SAN JORGE</v>
      </c>
      <c r="B245" t="str">
        <f>'RESUMEN TOTAL'!G318</f>
        <v>Punto Seguro - San Jorge (Fija)</v>
      </c>
      <c r="C245" t="str">
        <f>'RESUMEN TOTAL'!I318</f>
        <v>CALLE 523 E/ 554 Y 556</v>
      </c>
      <c r="D245" s="30" t="str">
        <f>'RESUMEN TOTAL'!J318</f>
        <v>Fija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SAN RUDECINDO</v>
      </c>
      <c r="B246" t="str">
        <f>'RESUMEN TOTAL'!G319</f>
        <v>PUNTO SEGURO - SAN RUDECINDO (fija)</v>
      </c>
      <c r="C246" t="str">
        <f>'RESUMEN TOTAL'!I319</f>
        <v>SANTA SOFIA Y ALVAR NUÑEZ</v>
      </c>
      <c r="D246" s="30" t="str">
        <f>'RESUMEN TOTAL'!J319</f>
        <v>Fija</v>
      </c>
      <c r="E246" s="30" t="str">
        <f>'RESUMEN TOTAL'!K319</f>
        <v>GPON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 t="str">
        <f>'RESUMEN TOTAL'!V319</f>
        <v>APAGADO</v>
      </c>
      <c r="J246" s="70" t="str">
        <f>'RESUMEN TOTAL'!W319</f>
        <v>APAGADO</v>
      </c>
      <c r="K246" s="70" t="str">
        <f>'RESUMEN TOTAL'!X319</f>
        <v>APAGADO</v>
      </c>
      <c r="L246" s="70" t="str">
        <f>'RESUMEN TOTAL'!Y319</f>
        <v>APAGADO</v>
      </c>
      <c r="M246" s="70" t="str">
        <f>'RESUMEN TOTAL'!Z319</f>
        <v>APAGADO</v>
      </c>
      <c r="N246" s="70">
        <f>'RESUMEN TOTAL'!AA319</f>
        <v>0</v>
      </c>
      <c r="O246" s="70">
        <f>'RESUMEN TOTAL'!AB319</f>
        <v>0</v>
      </c>
      <c r="P246" s="70" t="str">
        <f>'RESUMEN TOTAL'!AC319</f>
        <v>APAGADO</v>
      </c>
      <c r="Q246" s="70" t="str">
        <f>'RESUMEN TOTAL'!AD319</f>
        <v>APAGADO</v>
      </c>
      <c r="R246" s="70" t="str">
        <f>'RESUMEN TOTAL'!AE319</f>
        <v>APAGADO</v>
      </c>
      <c r="S246" s="70" t="str">
        <f>'RESUMEN TOTAL'!AF319</f>
        <v>APAGADO</v>
      </c>
      <c r="T246" s="70" t="str">
        <f>'RESUMEN TOTAL'!AG319</f>
        <v>APAGADO</v>
      </c>
      <c r="U246" s="70">
        <f>'RESUMEN TOTAL'!AH319</f>
        <v>0</v>
      </c>
      <c r="V246" s="70">
        <f>'RESUMEN TOTAL'!AI319</f>
        <v>0</v>
      </c>
      <c r="W246" s="70" t="str">
        <f>'RESUMEN TOTAL'!AJ319</f>
        <v>APAGADO</v>
      </c>
      <c r="X246" s="70" t="str">
        <f>'RESUMEN TOTAL'!AK319</f>
        <v>APAGADO</v>
      </c>
      <c r="Y246" s="70">
        <f>'RESUMEN TOTAL'!AL319</f>
        <v>0</v>
      </c>
      <c r="Z246" s="70">
        <f>'RESUMEN TOTAL'!AM319</f>
        <v>0</v>
      </c>
      <c r="AA246" s="70">
        <f>'RESUMEN TOTAL'!AN319</f>
        <v>0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>
        <f>'RESUMEN TOTAL'!AR319</f>
        <v>0</v>
      </c>
      <c r="AF246" s="70">
        <f>'RESUMEN TOTAL'!AS319</f>
        <v>0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ZONA RURAL SANTA ROSA</v>
      </c>
      <c r="B247" t="str">
        <f>'RESUMEN TOTAL'!G320</f>
        <v>PUNTO SEGURO - SANTA ROSA (domo)</v>
      </c>
      <c r="C247" t="str">
        <f>'RESUMEN TOTAL'!I320</f>
        <v>BRUSELAS Y SICILIA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 t="str">
        <f>'RESUMEN TOTAL'!V320</f>
        <v>APAGADO</v>
      </c>
      <c r="J247" s="70" t="str">
        <f>'RESUMEN TOTAL'!W320</f>
        <v>APAGADO</v>
      </c>
      <c r="K247" s="70">
        <f>'RESUMEN TOTAL'!X320</f>
        <v>0</v>
      </c>
      <c r="L247" s="70" t="str">
        <f>'RESUMEN TOTAL'!Y320</f>
        <v>APAGADO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 t="str">
        <f>'RESUMEN TOTAL'!AD320</f>
        <v>APAGADO</v>
      </c>
      <c r="R247" s="70" t="str">
        <f>'RESUMEN TOTAL'!AE320</f>
        <v>APAGADO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 t="str">
        <f>'RESUMEN TOTAL'!AJ320</f>
        <v>APAGADO</v>
      </c>
      <c r="X247" s="70" t="str">
        <f>'RESUMEN TOTAL'!AK320</f>
        <v>APAGADO</v>
      </c>
      <c r="Y247" s="70">
        <f>'RESUMEN TOTAL'!AL320</f>
        <v>0</v>
      </c>
      <c r="Z247" s="70">
        <f>'RESUMEN TOTAL'!AM320</f>
        <v>0</v>
      </c>
      <c r="AA247" s="70">
        <f>'RESUMEN TOTAL'!AN320</f>
        <v>0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ZONA RURAL SANTA ROSA</v>
      </c>
      <c r="B248" t="str">
        <f>'RESUMEN TOTAL'!G321</f>
        <v>PUNTO SEGURO - SANTA ROSA (fija)</v>
      </c>
      <c r="C248" t="str">
        <f>'RESUMEN TOTAL'!I321</f>
        <v>BRUSELAS Y SICILIA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 t="str">
        <f>'RESUMEN TOTAL'!AJ321</f>
        <v>APAGADO</v>
      </c>
      <c r="X248" s="70" t="str">
        <f>'RESUMEN TOTAL'!AK321</f>
        <v>APAGADO</v>
      </c>
      <c r="Y248" s="70">
        <f>'RESUMEN TOTAL'!AL321</f>
        <v>0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AGUSTIN RAMIREZ</v>
      </c>
      <c r="B249" t="str">
        <f>'RESUMEN TOTAL'!G322</f>
        <v>PUNTO SEGURO AGUSTIN RAMIREZ INTERCOMUNICADOR</v>
      </c>
      <c r="C249" t="str">
        <f>'RESUMEN TOTAL'!I322</f>
        <v>MALAMBO Y LA TRANQUERA</v>
      </c>
      <c r="D249" s="30" t="str">
        <f>'RESUMEN TOTAL'!J322</f>
        <v>Fija</v>
      </c>
      <c r="E249" s="30" t="str">
        <f>'RESUMEN TOTAL'!K322</f>
        <v>Fibra Optica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LUJAN</v>
      </c>
      <c r="B250" t="str">
        <f>'RESUMEN TOTAL'!G323</f>
        <v>PUNTO SEGURO LUJAN (domo)</v>
      </c>
      <c r="C250" t="str">
        <f>'RESUMEN TOTAL'!I323</f>
        <v>DIAG. LOS TILOS Y LOS ALGARROBOS</v>
      </c>
      <c r="D250" s="30" t="str">
        <f>'RESUMEN TOTAL'!J323</f>
        <v>DOMO</v>
      </c>
      <c r="E250" s="30" t="str">
        <f>'RESUMEN TOTAL'!K323</f>
        <v>GPON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 t="str">
        <f>'RESUMEN TOTAL'!AF323</f>
        <v>APAGADO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LUJAN</v>
      </c>
      <c r="B251" t="str">
        <f>'RESUMEN TOTAL'!G324</f>
        <v>PUNTO SEGURO LUJAN INTERCOMUNICADOR</v>
      </c>
      <c r="C251" t="str">
        <f>'RESUMEN TOTAL'!I324</f>
        <v>DIAG LOS TILOS Y LOS ALGARROBOS</v>
      </c>
      <c r="D251" s="30" t="str">
        <f>'RESUMEN TOTAL'!J324</f>
        <v>Fija</v>
      </c>
      <c r="E251" s="30" t="str">
        <f>'RESUMEN TOTAL'!K324</f>
        <v>GPON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 t="str">
        <f>'RESUMEN TOTAL'!AF324</f>
        <v>APAGADO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ZONA RURAL SANTA ROSA</v>
      </c>
      <c r="B252" t="str">
        <f>'RESUMEN TOTAL'!G325</f>
        <v>PUNTO SEGURO PICO DE ORO INTERCOMUNICADOR</v>
      </c>
      <c r="C252" t="str">
        <f>'RESUMEN TOTAL'!I325</f>
        <v>PISANI Y BULGARIA</v>
      </c>
      <c r="D252" s="30" t="str">
        <f>'RESUMEN TOTAL'!J325</f>
        <v>Domo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JORGE</v>
      </c>
      <c r="B253" t="str">
        <f>'RESUMEN TOTAL'!G326</f>
        <v>PUNTO SEGURO SAN JORGE INTERCOMUNICADOR</v>
      </c>
      <c r="C253" t="str">
        <f>'RESUMEN TOTAL'!I326</f>
        <v>CALLE 554 Y 523</v>
      </c>
      <c r="D253" s="30" t="str">
        <f>'RESUMEN TOTAL'!J326</f>
        <v>Fija</v>
      </c>
      <c r="E253" s="30" t="str">
        <f>'RESUMEN TOTAL'!K326</f>
        <v>GPON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 t="str">
        <f>'RESUMEN TOTAL'!V326</f>
        <v>APAGADO</v>
      </c>
      <c r="J253" s="70" t="str">
        <f>'RESUMEN TOTAL'!W326</f>
        <v>APAGADO</v>
      </c>
      <c r="K253" s="70" t="str">
        <f>'RESUMEN TOTAL'!X326</f>
        <v>APAGADO</v>
      </c>
      <c r="L253" s="70" t="str">
        <f>'RESUMEN TOTAL'!Y326</f>
        <v>APAGADO</v>
      </c>
      <c r="M253" s="70" t="str">
        <f>'RESUMEN TOTAL'!Z326</f>
        <v>APAGADO</v>
      </c>
      <c r="N253" s="70">
        <f>'RESUMEN TOTAL'!AA326</f>
        <v>0</v>
      </c>
      <c r="O253" s="70">
        <f>'RESUMEN TOTAL'!AB326</f>
        <v>0</v>
      </c>
      <c r="P253" s="70" t="str">
        <f>'RESUMEN TOTAL'!AC326</f>
        <v>APAGADO</v>
      </c>
      <c r="Q253" s="70" t="str">
        <f>'RESUMEN TOTAL'!AD326</f>
        <v>APAGADO</v>
      </c>
      <c r="R253" s="70" t="str">
        <f>'RESUMEN TOTAL'!AE326</f>
        <v>APAGADO</v>
      </c>
      <c r="S253" s="70" t="str">
        <f>'RESUMEN TOTAL'!AF326</f>
        <v>APAGADO</v>
      </c>
      <c r="T253" s="70" t="str">
        <f>'RESUMEN TOTAL'!AG326</f>
        <v>APAGADO</v>
      </c>
      <c r="U253" s="70">
        <f>'RESUMEN TOTAL'!AH326</f>
        <v>0</v>
      </c>
      <c r="V253" s="70">
        <f>'RESUMEN TOTAL'!AI326</f>
        <v>0</v>
      </c>
      <c r="W253" s="70" t="str">
        <f>'RESUMEN TOTAL'!AJ326</f>
        <v>APAGADO</v>
      </c>
      <c r="X253" s="70" t="str">
        <f>'RESUMEN TOTAL'!AK326</f>
        <v>APAGADO</v>
      </c>
      <c r="Y253" s="70">
        <f>'RESUMEN TOTAL'!AL326</f>
        <v>0</v>
      </c>
      <c r="Z253" s="70">
        <f>'RESUMEN TOTAL'!AM326</f>
        <v>0</v>
      </c>
      <c r="AA253" s="70">
        <f>'RESUMEN TOTAL'!AN326</f>
        <v>0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>
        <f>'RESUMEN TOTAL'!AR326</f>
        <v>0</v>
      </c>
      <c r="AF253" s="70">
        <f>'RESUMEN TOTAL'!AS326</f>
        <v>0</v>
      </c>
      <c r="AG253" s="70">
        <f>'RESUMEN TOTAL'!AT326</f>
        <v>0</v>
      </c>
      <c r="AH253" s="70">
        <f>'RESUMEN TOTAL'!AU326</f>
        <v>0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SAN RUDECINDO</v>
      </c>
      <c r="B254" t="str">
        <f>'RESUMEN TOTAL'!G327</f>
        <v>PUNTO SEGURO- SAN RUDECINDO (domo)</v>
      </c>
      <c r="C254" t="str">
        <f>'RESUMEN TOTAL'!I327</f>
        <v>SANTA SOFIA Y ALVAR NUÑEZ</v>
      </c>
      <c r="D254" s="30" t="str">
        <f>'RESUMEN TOTAL'!J327</f>
        <v>DOMO</v>
      </c>
      <c r="E254" s="30" t="str">
        <f>'RESUMEN TOTAL'!K327</f>
        <v>GPON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 t="str">
        <f>'RESUMEN TOTAL'!V327</f>
        <v>APAGADO</v>
      </c>
      <c r="J254" s="70" t="str">
        <f>'RESUMEN TOTAL'!W327</f>
        <v>APAGADO</v>
      </c>
      <c r="K254" s="70" t="str">
        <f>'RESUMEN TOTAL'!X327</f>
        <v>APAGADO</v>
      </c>
      <c r="L254" s="70" t="str">
        <f>'RESUMEN TOTAL'!Y327</f>
        <v>APAGADO</v>
      </c>
      <c r="M254" s="70" t="str">
        <f>'RESUMEN TOTAL'!Z327</f>
        <v>APAGADO</v>
      </c>
      <c r="N254" s="70">
        <f>'RESUMEN TOTAL'!AA327</f>
        <v>0</v>
      </c>
      <c r="O254" s="70" t="e">
        <f>'RESUMEN TOTAL'!#REF!</f>
        <v>#REF!</v>
      </c>
      <c r="P254" s="70" t="str">
        <f>'RESUMEN TOTAL'!AC327</f>
        <v>APAGADO</v>
      </c>
      <c r="Q254" s="70" t="str">
        <f>'RESUMEN TOTAL'!AD327</f>
        <v>APAGADO</v>
      </c>
      <c r="R254" s="70" t="str">
        <f>'RESUMEN TOTAL'!AE327</f>
        <v>APAGADO</v>
      </c>
      <c r="S254" s="70" t="str">
        <f>'RESUMEN TOTAL'!AF327</f>
        <v>APAGADO</v>
      </c>
      <c r="T254" s="70" t="str">
        <f>'RESUMEN TOTAL'!AG327</f>
        <v>APAGADO</v>
      </c>
      <c r="U254" s="70">
        <f>'RESUMEN TOTAL'!AH327</f>
        <v>0</v>
      </c>
      <c r="V254" s="70">
        <f>'RESUMEN TOTAL'!AI327</f>
        <v>0</v>
      </c>
      <c r="W254" s="70" t="str">
        <f>'RESUMEN TOTAL'!AJ327</f>
        <v>APAGADO</v>
      </c>
      <c r="X254" s="70" t="str">
        <f>'RESUMEN TOTAL'!AK327</f>
        <v>APAGADO</v>
      </c>
      <c r="Y254" s="70">
        <f>'RESUMEN TOTAL'!AL327</f>
        <v>0</v>
      </c>
      <c r="Z254" s="70">
        <f>'RESUMEN TOTAL'!AM327</f>
        <v>0</v>
      </c>
      <c r="AA254" s="70">
        <f>'RESUMEN TOTAL'!AN327</f>
        <v>0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>
        <f>'RESUMEN TOTAL'!AR327</f>
        <v>0</v>
      </c>
      <c r="AF254" s="70">
        <f>'RESUMEN TOTAL'!AS327</f>
        <v>0</v>
      </c>
      <c r="AG254" s="70">
        <f>'RESUMEN TOTAL'!AT327</f>
        <v>0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SAN RUDECINDO</v>
      </c>
      <c r="B255" t="str">
        <f>'RESUMEN TOTAL'!G328</f>
        <v>PUNTO SEGURO SAN RUDECINDO INTERCOMUNICADOR</v>
      </c>
      <c r="C255" t="str">
        <f>'RESUMEN TOTAL'!I328</f>
        <v>SABTA SOFIA Y ALVAR NUÃ‘EZ</v>
      </c>
      <c r="D255" s="30" t="str">
        <f>'RESUMEN TOTAL'!J328</f>
        <v>Domo</v>
      </c>
      <c r="E255" s="30" t="str">
        <f>'RESUMEN TOTAL'!K328</f>
        <v>GPON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 t="str">
        <f>'RESUMEN TOTAL'!V328</f>
        <v>APAGADO</v>
      </c>
      <c r="J255" s="70" t="str">
        <f>'RESUMEN TOTAL'!W328</f>
        <v>APAGADO</v>
      </c>
      <c r="K255" s="70" t="str">
        <f>'RESUMEN TOTAL'!X328</f>
        <v>APAGADO</v>
      </c>
      <c r="L255" s="70" t="str">
        <f>'RESUMEN TOTAL'!Y328</f>
        <v>APAGADO</v>
      </c>
      <c r="M255" s="70" t="str">
        <f>'RESUMEN TOTAL'!Z328</f>
        <v>APAGADO</v>
      </c>
      <c r="N255" s="70">
        <f>'RESUMEN TOTAL'!AA328</f>
        <v>0</v>
      </c>
      <c r="O255" s="70">
        <f>'RESUMEN TOTAL'!AB327</f>
        <v>0</v>
      </c>
      <c r="P255" s="70" t="str">
        <f>'RESUMEN TOTAL'!AC328</f>
        <v>APAGADO</v>
      </c>
      <c r="Q255" s="70" t="str">
        <f>'RESUMEN TOTAL'!AD328</f>
        <v>APAGADO</v>
      </c>
      <c r="R255" s="70" t="str">
        <f>'RESUMEN TOTAL'!AE328</f>
        <v>APAGADO</v>
      </c>
      <c r="S255" s="70" t="str">
        <f>'RESUMEN TOTAL'!AF328</f>
        <v>APAGADO</v>
      </c>
      <c r="T255" s="70" t="str">
        <f>'RESUMEN TOTAL'!AG328</f>
        <v>APAGADO</v>
      </c>
      <c r="U255" s="70">
        <f>'RESUMEN TOTAL'!AH328</f>
        <v>0</v>
      </c>
      <c r="V255" s="70">
        <f>'RESUMEN TOTAL'!AI328</f>
        <v>0</v>
      </c>
      <c r="W255" s="70" t="str">
        <f>'RESUMEN TOTAL'!AJ328</f>
        <v>APAGADO</v>
      </c>
      <c r="X255" s="70" t="str">
        <f>'RESUMEN TOTAL'!AK328</f>
        <v>APAGADO</v>
      </c>
      <c r="Y255" s="70">
        <f>'RESUMEN TOTAL'!AL328</f>
        <v>0</v>
      </c>
      <c r="Z255" s="70">
        <f>'RESUMEN TOTAL'!AM328</f>
        <v>0</v>
      </c>
      <c r="AA255" s="70">
        <f>'RESUMEN TOTAL'!AN328</f>
        <v>0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>
        <f>'RESUMEN TOTAL'!AR328</f>
        <v>0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 t="str">
        <f>'RESUMEN TOTAL'!AJ329</f>
        <v>APAGADO</v>
      </c>
      <c r="X256" s="70" t="str">
        <f>'RESUMEN TOTAL'!AK329</f>
        <v>APAGADO</v>
      </c>
      <c r="Y256" s="70">
        <f>'RESUMEN TOTAL'!AL329</f>
        <v>0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 t="str">
        <f>'RESUMEN TOTAL'!AG331</f>
        <v>APAGADO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 t="str">
        <f>'RESUMEN TOTAL'!Z333</f>
        <v>APAGADO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 t="str">
        <f>'RESUMEN TOTAL'!Y335</f>
        <v>APAGADO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 t="str">
        <f>'RESUMEN TOTAL'!Y336</f>
        <v>APAGADO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 05</v>
      </c>
      <c r="C266" t="str">
        <f>'RESUMEN TOTAL'!I345</f>
        <v>LUJAN Y RUTA 36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 06</v>
      </c>
      <c r="C267" t="str">
        <f>'RESUMEN TOTAL'!I346</f>
        <v>Constancio Vigil y Pablo Groussac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 t="str">
        <f>'RESUMEN TOTAL'!Y346</f>
        <v>APAGADO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 t="str">
        <f>'RESUMEN TOTAL'!AK346</f>
        <v>APAGADO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>
        <f>'RESUMEN TOTAL'!AR346</f>
        <v>0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 07</v>
      </c>
      <c r="C268" t="str">
        <f>'RESUMEN TOTAL'!I347</f>
        <v>Constancio Vigil y Estanislao del Campo</v>
      </c>
      <c r="D268" s="30" t="str">
        <f>'RESUMEN TOTAL'!J347</f>
        <v>Domo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>
        <f>'RESUMEN TOTAL'!AR347</f>
        <v>0</v>
      </c>
      <c r="AF268" s="70">
        <f>'RESUMEN TOTAL'!AS347</f>
        <v>0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 08</v>
      </c>
      <c r="C269" t="str">
        <f>'RESUMEN TOTAL'!I348</f>
        <v>Constancio Vigil y Pablo Podesta</v>
      </c>
      <c r="D269" s="30" t="str">
        <f>'RESUMEN TOTAL'!J348</f>
        <v>Domo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 t="str">
        <f>'RESUMEN TOTAL'!Y348</f>
        <v>APAGADO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>
        <f>'RESUMEN TOTAL'!AR348</f>
        <v>0</v>
      </c>
      <c r="AF269" s="70">
        <f>'RESUMEN TOTAL'!AS348</f>
        <v>0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09</v>
      </c>
      <c r="C270" t="str">
        <f>'RESUMEN TOTAL'!I349</f>
        <v>Constancio Vigil y Jose Ingeniero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 t="str">
        <f>'RESUMEN TOTAL'!Y349</f>
        <v>APAGADO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>
        <f>'RESUMEN TOTAL'!AR349</f>
        <v>0</v>
      </c>
      <c r="AF270" s="70">
        <f>'RESUMEN TOTAL'!AS349</f>
        <v>0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10</v>
      </c>
      <c r="C271" t="str">
        <f>'RESUMEN TOTAL'!I350</f>
        <v>LUGONES Y OBLIGADO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>
        <f>'RESUMEN TOTAL'!AS350</f>
        <v>0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11</v>
      </c>
      <c r="C272" t="str">
        <f>'RESUMEN TOTAL'!I351</f>
        <v>LUGONES Y OBLIGADO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>
        <f>'RESUMEN TOTAL'!AS351</f>
        <v>0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12</v>
      </c>
      <c r="C273" t="str">
        <f>'RESUMEN TOTAL'!I352</f>
        <v>FADER Y DIAGONAL LOS POETAS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13</v>
      </c>
      <c r="C274" t="str">
        <f>'RESUMEN TOTAL'!I353</f>
        <v>LUJAN Y DIAGONAL LOS POETAS</v>
      </c>
      <c r="D274" s="30" t="str">
        <f>'RESUMEN TOTAL'!J353</f>
        <v>Fija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14</v>
      </c>
      <c r="C275" t="str">
        <f>'RESUMEN TOTAL'!I354</f>
        <v> Constancio Vigil y Ruta 36 Domo</v>
      </c>
      <c r="D275" s="30" t="str">
        <f>'RESUMEN TOTAL'!J354</f>
        <v>DOMO</v>
      </c>
      <c r="E275" s="30" t="str">
        <f>'RESUMEN TOTAL'!K354</f>
        <v>PTO A FO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 t="str">
        <f>'RESUMEN TOTAL'!V354</f>
        <v>APAGADO</v>
      </c>
      <c r="J275" s="70" t="str">
        <f>'RESUMEN TOTAL'!W354</f>
        <v>APAGADO</v>
      </c>
      <c r="K275" s="70" t="str">
        <f>'RESUMEN TOTAL'!X354</f>
        <v>APAGADO</v>
      </c>
      <c r="L275" s="70" t="str">
        <f>'RESUMEN TOTAL'!Y354</f>
        <v>APAGADO</v>
      </c>
      <c r="M275" s="70" t="str">
        <f>'RESUMEN TOTAL'!Z354</f>
        <v>APAGADO</v>
      </c>
      <c r="N275" s="70">
        <f>'RESUMEN TOTAL'!AA354</f>
        <v>0</v>
      </c>
      <c r="O275" s="70">
        <f>'RESUMEN TOTAL'!AB354</f>
        <v>0</v>
      </c>
      <c r="P275" s="70" t="str">
        <f>'RESUMEN TOTAL'!AC354</f>
        <v>APAGADO</v>
      </c>
      <c r="Q275" s="70" t="str">
        <f>'RESUMEN TOTAL'!AD354</f>
        <v>APAGADO</v>
      </c>
      <c r="R275" s="70" t="str">
        <f>'RESUMEN TOTAL'!AE354</f>
        <v>APAGADO</v>
      </c>
      <c r="S275" s="70" t="str">
        <f>'RESUMEN TOTAL'!AF354</f>
        <v>APAGADO</v>
      </c>
      <c r="T275" s="70" t="str">
        <f>'RESUMEN TOTAL'!AG354</f>
        <v>APAGADO</v>
      </c>
      <c r="U275" s="70">
        <f>'RESUMEN TOTAL'!AH354</f>
        <v>0</v>
      </c>
      <c r="V275" s="70">
        <f>'RESUMEN TOTAL'!AI354</f>
        <v>0</v>
      </c>
      <c r="W275" s="70" t="str">
        <f>'RESUMEN TOTAL'!AJ354</f>
        <v>APAGADO</v>
      </c>
      <c r="X275" s="70" t="str">
        <f>'RESUMEN TOTAL'!AK354</f>
        <v>APAGADO</v>
      </c>
      <c r="Y275" s="70">
        <f>'RESUMEN TOTAL'!AL354</f>
        <v>0</v>
      </c>
      <c r="Z275" s="70">
        <f>'RESUMEN TOTAL'!AM354</f>
        <v>0</v>
      </c>
      <c r="AA275" s="70">
        <f>'RESUMEN TOTAL'!AN354</f>
        <v>0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>
        <f>'RESUMEN TOTAL'!AR354</f>
        <v>0</v>
      </c>
      <c r="AF275" s="70">
        <f>'RESUMEN TOTAL'!AS354</f>
        <v>0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15</v>
      </c>
      <c r="C276" t="str">
        <f>'RESUMEN TOTAL'!I355</f>
        <v>Constancio Vigil y Ruta 36 fija</v>
      </c>
      <c r="D276" s="30" t="str">
        <f>'RESUMEN TOTAL'!J355</f>
        <v>Fija</v>
      </c>
      <c r="E276" s="30" t="str">
        <f>'RESUMEN TOTAL'!K355</f>
        <v>PTO A FO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 t="str">
        <f>'RESUMEN TOTAL'!V355</f>
        <v>APAGADO</v>
      </c>
      <c r="J276" s="70" t="str">
        <f>'RESUMEN TOTAL'!W355</f>
        <v>APAGADO</v>
      </c>
      <c r="K276" s="70" t="str">
        <f>'RESUMEN TOTAL'!X355</f>
        <v>APAGADO</v>
      </c>
      <c r="L276" s="70" t="str">
        <f>'RESUMEN TOTAL'!Y355</f>
        <v>APAGADO</v>
      </c>
      <c r="M276" s="70" t="str">
        <f>'RESUMEN TOTAL'!Z355</f>
        <v>APAGADO</v>
      </c>
      <c r="N276" s="70">
        <f>'RESUMEN TOTAL'!AA355</f>
        <v>0</v>
      </c>
      <c r="O276" s="70">
        <f>'RESUMEN TOTAL'!AB355</f>
        <v>0</v>
      </c>
      <c r="P276" s="70" t="str">
        <f>'RESUMEN TOTAL'!AC355</f>
        <v>APAGADO</v>
      </c>
      <c r="Q276" s="70" t="str">
        <f>'RESUMEN TOTAL'!AD355</f>
        <v>APAGADO</v>
      </c>
      <c r="R276" s="70" t="str">
        <f>'RESUMEN TOTAL'!AE355</f>
        <v>APAGADO</v>
      </c>
      <c r="S276" s="70" t="str">
        <f>'RESUMEN TOTAL'!AF355</f>
        <v>APAGADO</v>
      </c>
      <c r="T276" s="70" t="str">
        <f>'RESUMEN TOTAL'!AG355</f>
        <v>APAGADO</v>
      </c>
      <c r="U276" s="70">
        <f>'RESUMEN TOTAL'!AH355</f>
        <v>0</v>
      </c>
      <c r="V276" s="70">
        <f>'RESUMEN TOTAL'!AI355</f>
        <v>0</v>
      </c>
      <c r="W276" s="70" t="str">
        <f>'RESUMEN TOTAL'!AJ355</f>
        <v>APAGADO</v>
      </c>
      <c r="X276" s="70" t="str">
        <f>'RESUMEN TOTAL'!AK355</f>
        <v>APAGADO</v>
      </c>
      <c r="Y276" s="70">
        <f>'RESUMEN TOTAL'!AL355</f>
        <v>0</v>
      </c>
      <c r="Z276" s="70">
        <f>'RESUMEN TOTAL'!AM355</f>
        <v>0</v>
      </c>
      <c r="AA276" s="70">
        <f>'RESUMEN TOTAL'!AN355</f>
        <v>0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>
        <f>'RESUMEN TOTAL'!AR355</f>
        <v>0</v>
      </c>
      <c r="AF276" s="70">
        <f>'RESUMEN TOTAL'!AS355</f>
        <v>0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16</v>
      </c>
      <c r="C277" t="str">
        <f>'RESUMEN TOTAL'!I356</f>
        <v>Constancio Vigil y Lujan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 t="str">
        <f>'RESUMEN TOTAL'!V356</f>
        <v>APAGADO</v>
      </c>
      <c r="J277" s="70" t="str">
        <f>'RESUMEN TOTAL'!W356</f>
        <v>APAGADO</v>
      </c>
      <c r="K277" s="70" t="str">
        <f>'RESUMEN TOTAL'!X356</f>
        <v>APAGADO</v>
      </c>
      <c r="L277" s="70" t="str">
        <f>'RESUMEN TOTAL'!Y356</f>
        <v>APAGADO</v>
      </c>
      <c r="M277" s="70" t="str">
        <f>'RESUMEN TOTAL'!Z356</f>
        <v>APAGADO</v>
      </c>
      <c r="N277" s="70">
        <f>'RESUMEN TOTAL'!AA356</f>
        <v>0</v>
      </c>
      <c r="O277" s="70">
        <f>'RESUMEN TOTAL'!AB356</f>
        <v>0</v>
      </c>
      <c r="P277" s="70" t="str">
        <f>'RESUMEN TOTAL'!AC356</f>
        <v>APAGADO</v>
      </c>
      <c r="Q277" s="70" t="str">
        <f>'RESUMEN TOTAL'!AD356</f>
        <v>APAGADO</v>
      </c>
      <c r="R277" s="70" t="str">
        <f>'RESUMEN TOTAL'!AE356</f>
        <v>APAGADO</v>
      </c>
      <c r="S277" s="70" t="str">
        <f>'RESUMEN TOTAL'!AF356</f>
        <v>APAGADO</v>
      </c>
      <c r="T277" s="70" t="str">
        <f>'RESUMEN TOTAL'!AG356</f>
        <v>APAGADO</v>
      </c>
      <c r="U277" s="70">
        <f>'RESUMEN TOTAL'!AH356</f>
        <v>0</v>
      </c>
      <c r="V277" s="70">
        <f>'RESUMEN TOTAL'!AI356</f>
        <v>0</v>
      </c>
      <c r="W277" s="70" t="str">
        <f>'RESUMEN TOTAL'!AJ356</f>
        <v>APAGADO</v>
      </c>
      <c r="X277" s="70" t="str">
        <f>'RESUMEN TOTAL'!AK356</f>
        <v>APAGADO</v>
      </c>
      <c r="Y277" s="70">
        <f>'RESUMEN TOTAL'!AL356</f>
        <v>0</v>
      </c>
      <c r="Z277" s="70">
        <f>'RESUMEN TOTAL'!AM356</f>
        <v>0</v>
      </c>
      <c r="AA277" s="70">
        <f>'RESUMEN TOTAL'!AN356</f>
        <v>0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>
        <f>'RESUMEN TOTAL'!AR356</f>
        <v>0</v>
      </c>
      <c r="AF277" s="70">
        <f>'RESUMEN TOTAL'!AS356</f>
        <v>0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RRJ01</v>
      </c>
      <c r="C278" t="str">
        <f>'RESUMEN TOTAL'!I357</f>
        <v>AV. LUJAN Y BRAGADO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 02 (fija 1)</v>
      </c>
      <c r="C281" t="str">
        <f>'RESUMEN TOTAL'!I363</f>
        <v>DARDO ROCHA Y GABRIELA MISTRAL</v>
      </c>
      <c r="D281" s="30" t="str">
        <f>'RESUMEN TOTAL'!J363</f>
        <v>Fija</v>
      </c>
      <c r="E281" s="30" t="str">
        <f>'RESUMEN TOTAL'!K363</f>
        <v>GPON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03 (fija 2)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04</v>
      </c>
      <c r="C283" t="str">
        <f>'RESUMEN TOTAL'!I365</f>
        <v>MONTES DE OCA Y ALVARADO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05</v>
      </c>
      <c r="C284" t="str">
        <f>'RESUMEN TOTAL'!I366</f>
        <v>ALVARADO Y ROCHA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06</v>
      </c>
      <c r="C285" t="str">
        <f>'RESUMEN TOTAL'!I367</f>
        <v>Necochea y Lorenzini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07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08</v>
      </c>
      <c r="C287" t="str">
        <f>'RESUMEN TOTAL'!I369</f>
        <v>Necochea y Montes de Oca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09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MONTE CUDINE</v>
      </c>
      <c r="B289" t="str">
        <f>'RESUMEN TOTAL'!G371</f>
        <v>SAR 10</v>
      </c>
      <c r="C289" t="str">
        <f>'RESUMEN TOTAL'!I371</f>
        <v>SENZABELLO Y TINOGASTA</v>
      </c>
      <c r="D289" s="30" t="str">
        <f>'RESUMEN TOTAL'!J371</f>
        <v>Domo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11</v>
      </c>
      <c r="C290" t="str">
        <f>'RESUMEN TOTAL'!I372</f>
        <v>SENSABELLO Y BRAILLE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12</v>
      </c>
      <c r="C291" t="str">
        <f>'RESUMEN TOTAL'!I373</f>
        <v>Arenales y Estrada</v>
      </c>
      <c r="D291" s="30" t="str">
        <f>'RESUMEN TOTAL'!J373</f>
        <v>Fija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 t="str">
        <f>'RESUMEN TOTAL'!V378</f>
        <v>APAGADO</v>
      </c>
      <c r="J292" s="70" t="str">
        <f>'RESUMEN TOTAL'!W378</f>
        <v>APAGADO</v>
      </c>
      <c r="K292" s="70" t="str">
        <f>'RESUMEN TOTAL'!X378</f>
        <v>APAGADO</v>
      </c>
      <c r="L292" s="70" t="str">
        <f>'RESUMEN TOTAL'!Y378</f>
        <v>APAGADO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GPON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 02</v>
      </c>
      <c r="C295" t="str">
        <f>'RESUMEN TOTAL'!I382</f>
        <v>Cno. Gral. Belgrano y Francia</v>
      </c>
      <c r="D295" s="30" t="str">
        <f>'RESUMEN TOTAL'!J382</f>
        <v>Domo</v>
      </c>
      <c r="E295" s="30" t="str">
        <f>'RESUMEN TOTAL'!K382</f>
        <v>GPON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SEMI01</v>
      </c>
      <c r="C296" t="str">
        <f>'RESUMEN TOTAL'!I383</f>
        <v>San Martin y Av. del Trabajo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EDUARDO</v>
      </c>
      <c r="B300" t="str">
        <f>'RESUMEN TOTAL'!G387</f>
        <v>SIR 02</v>
      </c>
      <c r="C300" t="str">
        <f>'RESUMEN TOTAL'!I387</f>
        <v>Victorino de la Plaza y Argentina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 t="str">
        <f>'RESUMEN TOTAL'!V387</f>
        <v>APAGADO</v>
      </c>
      <c r="J300" s="70" t="str">
        <f>'RESUMEN TOTAL'!W387</f>
        <v>APAGADO</v>
      </c>
      <c r="K300" s="70" t="str">
        <f>'RESUMEN TOTAL'!X387</f>
        <v>APAGADO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 t="str">
        <f>'RESUMEN TOTAL'!AC387</f>
        <v>APAGADO</v>
      </c>
      <c r="Q300" s="70" t="str">
        <f>'RESUMEN TOTAL'!AD387</f>
        <v>APAGADO</v>
      </c>
      <c r="R300" s="70" t="str">
        <f>'RESUMEN TOTAL'!AE387</f>
        <v>APAGADO</v>
      </c>
      <c r="S300" s="70" t="str">
        <f>'RESUMEN TOTAL'!AF387</f>
        <v>APAGADO</v>
      </c>
      <c r="T300" s="70" t="str">
        <f>'RESUMEN TOTAL'!AG387</f>
        <v>APAGADO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SAN EDUARDO</v>
      </c>
      <c r="B301" t="str">
        <f>'RESUMEN TOTAL'!G388</f>
        <v>SIR 03</v>
      </c>
      <c r="C301" t="str">
        <f>'RESUMEN TOTAL'!I388</f>
        <v>MONTES Y LONARDI</v>
      </c>
      <c r="D301" s="30" t="str">
        <f>'RESUMEN TOTAL'!J388</f>
        <v>DOMO</v>
      </c>
      <c r="E301" s="30" t="str">
        <f>'RESUMEN TOTAL'!K388</f>
        <v>Fibra Optica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 t="str">
        <f>'RESUMEN TOTAL'!X388</f>
        <v>APAGADO</v>
      </c>
      <c r="L301" s="70" t="str">
        <f>'RESUMEN TOTAL'!Y388</f>
        <v>APAGADO</v>
      </c>
      <c r="M301" s="70" t="str">
        <f>'RESUMEN TOTAL'!Z388</f>
        <v>APAGADO</v>
      </c>
      <c r="N301" s="70">
        <f>'RESUMEN TOTAL'!AA388</f>
        <v>0</v>
      </c>
      <c r="O301" s="70">
        <f>'RESUMEN TOTAL'!AB388</f>
        <v>0</v>
      </c>
      <c r="P301" s="70" t="str">
        <f>'RESUMEN TOTAL'!AC388</f>
        <v>APAGADO</v>
      </c>
      <c r="Q301" s="70" t="str">
        <f>'RESUMEN TOTAL'!AD388</f>
        <v>APAGADO</v>
      </c>
      <c r="R301" s="70" t="str">
        <f>'RESUMEN TOTAL'!AE388</f>
        <v>APAGADO</v>
      </c>
      <c r="S301" s="70" t="str">
        <f>'RESUMEN TOTAL'!AF388</f>
        <v>APAGADO</v>
      </c>
      <c r="T301" s="70" t="str">
        <f>'RESUMEN TOTAL'!AG388</f>
        <v>APAGADO</v>
      </c>
      <c r="U301" s="70">
        <f>'RESUMEN TOTAL'!AH388</f>
        <v>0</v>
      </c>
      <c r="V301" s="70">
        <f>'RESUMEN TOTAL'!AI388</f>
        <v>0</v>
      </c>
      <c r="W301" s="70" t="str">
        <f>'RESUMEN TOTAL'!AJ388</f>
        <v>APAGADO</v>
      </c>
      <c r="X301" s="70" t="str">
        <f>'RESUMEN TOTAL'!AK388</f>
        <v>APAGADO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LA SIRENA</v>
      </c>
      <c r="B302" t="str">
        <f>'RESUMEN TOTAL'!G389</f>
        <v>SIR 04</v>
      </c>
      <c r="C302" t="str">
        <f>'RESUMEN TOTAL'!I389</f>
        <v>AV. MONTEVERDE Y MORAN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LA SIRENA</v>
      </c>
      <c r="B303" t="str">
        <f>'RESUMEN TOTAL'!G390</f>
        <v>SIR 05 (FIJA 01)</v>
      </c>
      <c r="C303" t="str">
        <f>'RESUMEN TOTAL'!I390</f>
        <v>AV. MONTEVERDE Y MORAN</v>
      </c>
      <c r="D303" s="30" t="str">
        <f>'RESUMEN TOTAL'!J390</f>
        <v>Fija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06 (FIJA 02)</v>
      </c>
      <c r="C304" t="str">
        <f>'RESUMEN TOTAL'!I391</f>
        <v>AV. MONTEVERDE Y MORAN</v>
      </c>
      <c r="D304" s="30" t="str">
        <f>'RESUMEN TOTAL'!J391</f>
        <v>Fija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VILLA AURORA</v>
      </c>
      <c r="B305" t="str">
        <f>'RESUMEN TOTAL'!G392</f>
        <v>SIR 13</v>
      </c>
      <c r="C305" t="str">
        <f>'RESUMEN TOTAL'!I392</f>
        <v>AV MONTEVERDE Y URIBURU</v>
      </c>
      <c r="D305" s="30" t="str">
        <f>'RESUMEN TOTAL'!J392</f>
        <v>Domo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 t="str">
        <f>'RESUMEN TOTAL'!V392</f>
        <v>APAGADO</v>
      </c>
      <c r="J305" s="70" t="str">
        <f>'RESUMEN TOTAL'!W392</f>
        <v>APAGADO</v>
      </c>
      <c r="K305" s="70" t="str">
        <f>'RESUMEN TOTAL'!X392</f>
        <v>APAGADO</v>
      </c>
      <c r="L305" s="70" t="str">
        <f>'RESUMEN TOTAL'!Y392</f>
        <v>APAGADO</v>
      </c>
      <c r="M305" s="70" t="str">
        <f>'RESUMEN TOTAL'!Z392</f>
        <v>APAGADO</v>
      </c>
      <c r="N305" s="70">
        <f>'RESUMEN TOTAL'!AA392</f>
        <v>0</v>
      </c>
      <c r="O305" s="70">
        <f>'RESUMEN TOTAL'!AB392</f>
        <v>0</v>
      </c>
      <c r="P305" s="70" t="str">
        <f>'RESUMEN TOTAL'!AC392</f>
        <v>APAGADO</v>
      </c>
      <c r="Q305" s="70" t="str">
        <f>'RESUMEN TOTAL'!AD392</f>
        <v>APAGADO</v>
      </c>
      <c r="R305" s="70" t="str">
        <f>'RESUMEN TOTAL'!AE392</f>
        <v>APAGADO</v>
      </c>
      <c r="S305" s="70" t="str">
        <f>'RESUMEN TOTAL'!AF392</f>
        <v>APAGADO</v>
      </c>
      <c r="T305" s="70" t="str">
        <f>'RESUMEN TOTAL'!AG392</f>
        <v>APAGADO</v>
      </c>
      <c r="U305" s="70">
        <f>'RESUMEN TOTAL'!AH392</f>
        <v>0</v>
      </c>
      <c r="V305" s="70">
        <f>'RESUMEN TOTAL'!AI392</f>
        <v>0</v>
      </c>
      <c r="W305" s="70" t="str">
        <f>'RESUMEN TOTAL'!AJ392</f>
        <v>APAGADO</v>
      </c>
      <c r="X305" s="70" t="str">
        <f>'RESUMEN TOTAL'!AK392</f>
        <v>APAGADO</v>
      </c>
      <c r="Y305" s="70">
        <f>'RESUMEN TOTAL'!AL392</f>
        <v>0</v>
      </c>
      <c r="Z305" s="70">
        <f>'RESUMEN TOTAL'!AM392</f>
        <v>0</v>
      </c>
      <c r="AA305" s="70">
        <f>'RESUMEN TOTAL'!AN392</f>
        <v>0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>
        <f>'RESUMEN TOTAL'!AR392</f>
        <v>0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14</v>
      </c>
      <c r="C306" t="str">
        <f>'RESUMEN TOTAL'!I393</f>
        <v>MANUEL IGLESIAS Y PEDRAZA</v>
      </c>
      <c r="D306" s="30" t="str">
        <f>'RESUMEN TOTAL'!J393</f>
        <v>Domo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 t="str">
        <f>'RESUMEN TOTAL'!V393</f>
        <v>APAGADO</v>
      </c>
      <c r="J306" s="70" t="str">
        <f>'RESUMEN TOTAL'!W393</f>
        <v>APAGADO</v>
      </c>
      <c r="K306" s="70" t="str">
        <f>'RESUMEN TOTAL'!X393</f>
        <v>APAGADO</v>
      </c>
      <c r="L306" s="70" t="str">
        <f>'RESUMEN TOTAL'!Y393</f>
        <v>APAGADO</v>
      </c>
      <c r="M306" s="70" t="str">
        <f>'RESUMEN TOTAL'!Z393</f>
        <v>APAGADO</v>
      </c>
      <c r="N306" s="70">
        <f>'RESUMEN TOTAL'!AA393</f>
        <v>0</v>
      </c>
      <c r="O306" s="70">
        <f>'RESUMEN TOTAL'!AB393</f>
        <v>0</v>
      </c>
      <c r="P306" s="70" t="str">
        <f>'RESUMEN TOTAL'!AC393</f>
        <v>APAGADO</v>
      </c>
      <c r="Q306" s="70" t="str">
        <f>'RESUMEN TOTAL'!AD393</f>
        <v>APAGADO</v>
      </c>
      <c r="R306" s="70" t="str">
        <f>'RESUMEN TOTAL'!AE393</f>
        <v>APAGADO</v>
      </c>
      <c r="S306" s="70" t="str">
        <f>'RESUMEN TOTAL'!AF393</f>
        <v>APAGADO</v>
      </c>
      <c r="T306" s="70" t="str">
        <f>'RESUMEN TOTAL'!AG393</f>
        <v>APAGADO</v>
      </c>
      <c r="U306" s="70">
        <f>'RESUMEN TOTAL'!AH393</f>
        <v>0</v>
      </c>
      <c r="V306" s="70">
        <f>'RESUMEN TOTAL'!AI393</f>
        <v>0</v>
      </c>
      <c r="W306" s="70" t="str">
        <f>'RESUMEN TOTAL'!AJ393</f>
        <v>APAGADO</v>
      </c>
      <c r="X306" s="70" t="str">
        <f>'RESUMEN TOTAL'!AK393</f>
        <v>APAGADO</v>
      </c>
      <c r="Y306" s="70">
        <f>'RESUMEN TOTAL'!AL393</f>
        <v>0</v>
      </c>
      <c r="Z306" s="70">
        <f>'RESUMEN TOTAL'!AM393</f>
        <v>0</v>
      </c>
      <c r="AA306" s="70">
        <f>'RESUMEN TOTAL'!AN393</f>
        <v>0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>
        <f>'RESUMEN TOTAL'!AR393</f>
        <v>0</v>
      </c>
      <c r="AF306" s="70">
        <f>'RESUMEN TOTAL'!AS393</f>
        <v>0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LA SIRENA</v>
      </c>
      <c r="B307" t="str">
        <f>'RESUMEN TOTAL'!G394</f>
        <v>SIR 15</v>
      </c>
      <c r="C307" t="str">
        <f>'RESUMEN TOTAL'!I394</f>
        <v>Monteverde y Azara</v>
      </c>
      <c r="D307" s="30" t="str">
        <f>'RESUMEN TOTAL'!J394</f>
        <v>Domo</v>
      </c>
      <c r="E307" s="30" t="str">
        <f>'RESUMEN TOTAL'!K394</f>
        <v>GPON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 t="str">
        <f>'RESUMEN TOTAL'!V394</f>
        <v>APAGADO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LA SIRENA</v>
      </c>
      <c r="B308" t="str">
        <f>'RESUMEN TOTAL'!G395</f>
        <v>SIR 16</v>
      </c>
      <c r="C308" t="str">
        <f>'RESUMEN TOTAL'!I395</f>
        <v>Las Heras y Finochietto</v>
      </c>
      <c r="D308" s="30" t="str">
        <f>'RESUMEN TOTAL'!J395</f>
        <v>Domo</v>
      </c>
      <c r="E308" s="30" t="str">
        <f>'RESUMEN TOTAL'!K395</f>
        <v>GPON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 17</v>
      </c>
      <c r="C309" t="str">
        <f>'RESUMEN TOTAL'!I396</f>
        <v>Las Heras y Finochietto</v>
      </c>
      <c r="D309" s="30" t="str">
        <f>'RESUMEN TOTAL'!J396</f>
        <v>Fija</v>
      </c>
      <c r="E309" s="30" t="str">
        <f>'RESUMEN TOTAL'!K396</f>
        <v>GPON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 18</v>
      </c>
      <c r="C310" t="str">
        <f>'RESUMEN TOTAL'!I397</f>
        <v>Las Heras y Finochietto</v>
      </c>
      <c r="D310" s="30" t="str">
        <f>'RESUMEN TOTAL'!J397</f>
        <v>Fija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 19</v>
      </c>
      <c r="C311" t="str">
        <f>'RESUMEN TOTAL'!I398</f>
        <v xml:space="preserve">AZARA Y NUESTRAS MALVINAS </v>
      </c>
      <c r="D311" s="30" t="str">
        <f>'RESUMEN TOTAL'!J398</f>
        <v>Domo</v>
      </c>
      <c r="E311" s="30" t="str">
        <f>'RESUMEN TOTAL'!K398</f>
        <v>Fibra Optica</v>
      </c>
      <c r="F311" s="70" t="str">
        <f>'RESUMEN TOTAL'!S398</f>
        <v>A4-18-94-05-51-D3</v>
      </c>
      <c r="G311" s="70" t="str">
        <f>'RESUMEN TOTAL'!T398</f>
        <v>A4-18-94-05-51-D4</v>
      </c>
      <c r="H311" s="70" t="str">
        <f>'RESUMEN TOTAL'!U398</f>
        <v>A4-18-94-05-51-D5</v>
      </c>
      <c r="I311" s="70" t="str">
        <f>'RESUMEN TOTAL'!V398</f>
        <v>A4-18-94-05-51-D6</v>
      </c>
      <c r="J311" s="70" t="str">
        <f>'RESUMEN TOTAL'!W398</f>
        <v>A4-18-94-05-51-D7</v>
      </c>
      <c r="K311" s="70" t="str">
        <f>'RESUMEN TOTAL'!X398</f>
        <v>A4-18-94-05-51-D8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 20</v>
      </c>
      <c r="C312" t="str">
        <f>'RESUMEN TOTAL'!I399</f>
        <v>Darragueira y Monteverde</v>
      </c>
      <c r="D312" s="30" t="str">
        <f>'RESUMEN TOTAL'!J399</f>
        <v>Domo</v>
      </c>
      <c r="E312" s="30" t="str">
        <f>'RESUMEN TOTAL'!K399</f>
        <v>GPON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LA SIRENA</v>
      </c>
      <c r="B313" t="str">
        <f>'RESUMEN TOTAL'!G400</f>
        <v>SIR01</v>
      </c>
      <c r="C313" t="str">
        <f>'RESUMEN TOTAL'!I400</f>
        <v>Moran y Calle 14</v>
      </c>
      <c r="D313" s="30" t="str">
        <f>'RESUMEN TOTAL'!J400</f>
        <v>DOMO</v>
      </c>
      <c r="E313" s="30" t="str">
        <f>'RESUMEN TOTAL'!K400</f>
        <v>Radio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 t="str">
        <f>'RESUMEN TOTAL'!V400</f>
        <v>APAGADO</v>
      </c>
      <c r="J313" s="70" t="str">
        <f>'RESUMEN TOTAL'!W400</f>
        <v>APAGADO</v>
      </c>
      <c r="K313" s="70" t="str">
        <f>'RESUMEN TOTAL'!X400</f>
        <v>APAGADO</v>
      </c>
      <c r="L313" s="70" t="str">
        <f>'RESUMEN TOTAL'!Y400</f>
        <v>APAGADO</v>
      </c>
      <c r="M313" s="70" t="str">
        <f>'RESUMEN TOTAL'!Z400</f>
        <v>APAGADO</v>
      </c>
      <c r="N313" s="70">
        <f>'RESUMEN TOTAL'!AA400</f>
        <v>0</v>
      </c>
      <c r="O313" s="70">
        <f>'RESUMEN TOTAL'!AB400</f>
        <v>0</v>
      </c>
      <c r="P313" s="70" t="str">
        <f>'RESUMEN TOTAL'!AC400</f>
        <v>APAGADO</v>
      </c>
      <c r="Q313" s="70" t="str">
        <f>'RESUMEN TOTAL'!AD400</f>
        <v>APAGADO</v>
      </c>
      <c r="R313" s="70" t="str">
        <f>'RESUMEN TOTAL'!AE400</f>
        <v>APAGADO</v>
      </c>
      <c r="S313" s="70" t="str">
        <f>'RESUMEN TOTAL'!AF400</f>
        <v>APAGADO</v>
      </c>
      <c r="T313" s="70" t="str">
        <f>'RESUMEN TOTAL'!AG400</f>
        <v>APAGADO</v>
      </c>
      <c r="U313" s="70">
        <f>'RESUMEN TOTAL'!AH400</f>
        <v>0</v>
      </c>
      <c r="V313" s="70">
        <f>'RESUMEN TOTAL'!AI400</f>
        <v>0</v>
      </c>
      <c r="W313" s="70" t="str">
        <f>'RESUMEN TOTAL'!AJ400</f>
        <v>APAGADO</v>
      </c>
      <c r="X313" s="70" t="str">
        <f>'RESUMEN TOTAL'!AK400</f>
        <v>APAGADO</v>
      </c>
      <c r="Y313" s="70">
        <f>'RESUMEN TOTAL'!AL400</f>
        <v>0</v>
      </c>
      <c r="Z313" s="70">
        <f>'RESUMEN TOTAL'!AM400</f>
        <v>0</v>
      </c>
      <c r="AA313" s="70">
        <f>'RESUMEN TOTAL'!AN400</f>
        <v>0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>
        <f>'RESUMEN TOTAL'!AR400</f>
        <v>0</v>
      </c>
      <c r="AF313" s="70">
        <f>'RESUMEN TOTAL'!AS400</f>
        <v>0</v>
      </c>
      <c r="AG313" s="70">
        <f>'RESUMEN TOTAL'!AT400</f>
        <v>0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VILLA AURORA</v>
      </c>
      <c r="B314" t="str">
        <f>'RESUMEN TOTAL'!G401</f>
        <v>SIR07 (fija 1)</v>
      </c>
      <c r="C314" t="str">
        <f>'RESUMEN TOTAL'!I401</f>
        <v>MONTEVERDE Y URIBURU</v>
      </c>
      <c r="D314" s="30" t="str">
        <f>'RESUMEN TOTAL'!J401</f>
        <v>Fija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 t="str">
        <f>'RESUMEN TOTAL'!V401</f>
        <v>APAGADO</v>
      </c>
      <c r="J314" s="70" t="str">
        <f>'RESUMEN TOTAL'!W401</f>
        <v>APAGADO</v>
      </c>
      <c r="K314" s="70" t="str">
        <f>'RESUMEN TOTAL'!X401</f>
        <v>APAGADO</v>
      </c>
      <c r="L314" s="70" t="str">
        <f>'RESUMEN TOTAL'!Y401</f>
        <v>APAGADO</v>
      </c>
      <c r="M314" s="70" t="str">
        <f>'RESUMEN TOTAL'!Z401</f>
        <v>APAGADO</v>
      </c>
      <c r="N314" s="70">
        <f>'RESUMEN TOTAL'!AA401</f>
        <v>0</v>
      </c>
      <c r="O314" s="70">
        <f>'RESUMEN TOTAL'!AB401</f>
        <v>0</v>
      </c>
      <c r="P314" s="70" t="str">
        <f>'RESUMEN TOTAL'!AC401</f>
        <v>APAGADO</v>
      </c>
      <c r="Q314" s="70" t="str">
        <f>'RESUMEN TOTAL'!AD401</f>
        <v>APAGADO</v>
      </c>
      <c r="R314" s="70" t="str">
        <f>'RESUMEN TOTAL'!AE401</f>
        <v>APAGADO</v>
      </c>
      <c r="S314" s="70" t="str">
        <f>'RESUMEN TOTAL'!AF401</f>
        <v>APAGADO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 t="str">
        <f>'RESUMEN TOTAL'!AJ401</f>
        <v>APAGADO</v>
      </c>
      <c r="X314" s="70" t="str">
        <f>'RESUMEN TOTAL'!AK401</f>
        <v>APAGADO</v>
      </c>
      <c r="Y314" s="70">
        <f>'RESUMEN TOTAL'!AL401</f>
        <v>0</v>
      </c>
      <c r="Z314" s="70">
        <f>'RESUMEN TOTAL'!AM401</f>
        <v>0</v>
      </c>
      <c r="AA314" s="70">
        <f>'RESUMEN TOTAL'!AN401</f>
        <v>0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>
        <f>'RESUMEN TOTAL'!AR401</f>
        <v>0</v>
      </c>
      <c r="AF314" s="70">
        <f>'RESUMEN TOTAL'!AS401</f>
        <v>0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VILLA AURORA</v>
      </c>
      <c r="B315" t="str">
        <f>'RESUMEN TOTAL'!G402</f>
        <v>SIR08 (fija 2)</v>
      </c>
      <c r="C315" t="str">
        <f>'RESUMEN TOTAL'!I402</f>
        <v>MONTEVERDE Y URIBURU</v>
      </c>
      <c r="D315" s="30" t="str">
        <f>'RESUMEN TOTAL'!J402</f>
        <v>Fija</v>
      </c>
      <c r="E315" s="30" t="str">
        <f>'RESUMEN TOTAL'!K402</f>
        <v>Fibra Optica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 t="str">
        <f>'RESUMEN TOTAL'!V402</f>
        <v>APAGADO</v>
      </c>
      <c r="J315" s="70" t="str">
        <f>'RESUMEN TOTAL'!W402</f>
        <v>APAGADO</v>
      </c>
      <c r="K315" s="70" t="str">
        <f>'RESUMEN TOTAL'!X402</f>
        <v>APAGADO</v>
      </c>
      <c r="L315" s="70" t="str">
        <f>'RESUMEN TOTAL'!Y402</f>
        <v>APAGADO</v>
      </c>
      <c r="M315" s="70" t="str">
        <f>'RESUMEN TOTAL'!Z402</f>
        <v>APAGADO</v>
      </c>
      <c r="N315" s="70">
        <f>'RESUMEN TOTAL'!AA402</f>
        <v>0</v>
      </c>
      <c r="O315" s="70">
        <f>'RESUMEN TOTAL'!AB402</f>
        <v>0</v>
      </c>
      <c r="P315" s="70" t="str">
        <f>'RESUMEN TOTAL'!AC402</f>
        <v>APAGADO</v>
      </c>
      <c r="Q315" s="70" t="str">
        <f>'RESUMEN TOTAL'!AD402</f>
        <v>APAGADO</v>
      </c>
      <c r="R315" s="70" t="str">
        <f>'RESUMEN TOTAL'!AE402</f>
        <v>APAGADO</v>
      </c>
      <c r="S315" s="70" t="str">
        <f>'RESUMEN TOTAL'!AF402</f>
        <v>APAGADO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 t="str">
        <f>'RESUMEN TOTAL'!AJ402</f>
        <v>APAGADO</v>
      </c>
      <c r="X315" s="70" t="str">
        <f>'RESUMEN TOTAL'!AK402</f>
        <v>APAGADO</v>
      </c>
      <c r="Y315" s="70">
        <f>'RESUMEN TOTAL'!AL402</f>
        <v>0</v>
      </c>
      <c r="Z315" s="70">
        <f>'RESUMEN TOTAL'!AM402</f>
        <v>0</v>
      </c>
      <c r="AA315" s="70">
        <f>'RESUMEN TOTAL'!AN402</f>
        <v>0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>
        <f>'RESUMEN TOTAL'!AR402</f>
        <v>0</v>
      </c>
      <c r="AF315" s="70">
        <f>'RESUMEN TOTAL'!AS402</f>
        <v>0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04</v>
      </c>
      <c r="C316" t="str">
        <f>'RESUMEN TOTAL'!I408</f>
        <v>552 Y 519</v>
      </c>
      <c r="D316" s="30" t="str">
        <f>'RESUMEN TOTAL'!J408</f>
        <v>DOMO</v>
      </c>
      <c r="E316" s="30" t="str">
        <f>'RESUMEN TOTAL'!K408</f>
        <v>GPON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 t="str">
        <f>'RESUMEN TOTAL'!AJ408</f>
        <v>APAGADO</v>
      </c>
      <c r="X316" s="70" t="str">
        <f>'RESUMEN TOTAL'!AK408</f>
        <v>APAGADO</v>
      </c>
      <c r="Y316" s="70">
        <f>'RESUMEN TOTAL'!AL408</f>
        <v>0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09 (FIJA 1)</v>
      </c>
      <c r="C317" t="str">
        <f>'RESUMEN TOTAL'!I409</f>
        <v>515 Y 566</v>
      </c>
      <c r="D317" s="30" t="str">
        <f>'RESUMEN TOTAL'!J409</f>
        <v>Fija</v>
      </c>
      <c r="E317" s="30" t="str">
        <f>'RESUMEN TOTAL'!K409</f>
        <v>Radio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10 (FIJA 2)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SJO01</v>
      </c>
      <c r="C319" t="str">
        <f>'RESUMEN TOTAL'!I411</f>
        <v>Calle 554 y 527</v>
      </c>
      <c r="D319" s="30" t="str">
        <f>'RESUMEN TOTAL'!J411</f>
        <v>Domo</v>
      </c>
      <c r="E319" s="30" t="str">
        <f>'RESUMEN TOTAL'!K411</f>
        <v>PTO A FO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SJO02</v>
      </c>
      <c r="C320" t="str">
        <f>'RESUMEN TOTAL'!I412</f>
        <v>Calle 554 y 511</v>
      </c>
      <c r="D320" s="30" t="str">
        <f>'RESUMEN TOTAL'!J412</f>
        <v>Domo</v>
      </c>
      <c r="E320" s="30" t="str">
        <f>'RESUMEN TOTAL'!K412</f>
        <v>Radio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SJO05 (fija 1)</v>
      </c>
      <c r="C321" t="str">
        <f>'RESUMEN TOTAL'!I413</f>
        <v>511 Y 560</v>
      </c>
      <c r="D321" s="30" t="str">
        <f>'RESUMEN TOTAL'!J413</f>
        <v>Fija</v>
      </c>
      <c r="E321" s="30" t="str">
        <f>'RESUMEN TOTAL'!K413</f>
        <v>FO A GPON</v>
      </c>
      <c r="F321" s="70">
        <f>'RESUMEN TOTAL'!S413</f>
        <v>0</v>
      </c>
      <c r="G321" s="70">
        <f>'RESUMEN TOTAL'!T413</f>
        <v>0</v>
      </c>
      <c r="H321" s="70" t="str">
        <f>'RESUMEN TOTAL'!V413</f>
        <v>APAGADO</v>
      </c>
      <c r="I321" s="70">
        <v>0</v>
      </c>
      <c r="J321" s="70" t="str">
        <f>'RESUMEN TOTAL'!W413</f>
        <v>APAGADO</v>
      </c>
      <c r="K321" s="70" t="str">
        <f>'RESUMEN TOTAL'!X413</f>
        <v>APAGADO</v>
      </c>
      <c r="L321" s="70" t="str">
        <f>'RESUMEN TOTAL'!Y413</f>
        <v>APAGADO</v>
      </c>
      <c r="M321" s="70" t="str">
        <f>'RESUMEN TOTAL'!Z413</f>
        <v>APAGADO</v>
      </c>
      <c r="N321" s="70">
        <f>'RESUMEN TOTAL'!AA413</f>
        <v>0</v>
      </c>
      <c r="O321" s="70">
        <f>'RESUMEN TOTAL'!AB413</f>
        <v>0</v>
      </c>
      <c r="P321" s="70" t="str">
        <f>'RESUMEN TOTAL'!AC413</f>
        <v>APAGADO</v>
      </c>
      <c r="Q321" s="70" t="str">
        <f>'RESUMEN TOTAL'!AD413</f>
        <v>APAGADO</v>
      </c>
      <c r="R321" s="70" t="str">
        <f>'RESUMEN TOTAL'!AE413</f>
        <v>APAGADO</v>
      </c>
      <c r="S321" s="70" t="str">
        <f>'RESUMEN TOTAL'!AF413</f>
        <v>APAGADO</v>
      </c>
      <c r="T321" s="70" t="str">
        <f>'RESUMEN TOTAL'!AG413</f>
        <v>APAGADO</v>
      </c>
      <c r="U321" s="70">
        <f>'RESUMEN TOTAL'!AH413</f>
        <v>0</v>
      </c>
      <c r="V321" s="70">
        <f>'RESUMEN TOTAL'!AI413</f>
        <v>0</v>
      </c>
      <c r="W321" s="70" t="str">
        <f>'RESUMEN TOTAL'!AJ413</f>
        <v>APAGADO</v>
      </c>
      <c r="X321" s="70" t="str">
        <f>'RESUMEN TOTAL'!AK413</f>
        <v>APAGADO</v>
      </c>
      <c r="Y321" s="70">
        <f>'RESUMEN TOTAL'!AL413</f>
        <v>0</v>
      </c>
      <c r="Z321" s="70">
        <f>'RESUMEN TOTAL'!AM413</f>
        <v>0</v>
      </c>
      <c r="AA321" s="70">
        <f>'RESUMEN TOTAL'!AN413</f>
        <v>0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>
        <f>'RESUMEN TOTAL'!AR413</f>
        <v>0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SJO06 (fija 2)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FO A GPON</v>
      </c>
      <c r="F322" s="70">
        <f>'RESUMEN TOTAL'!S414</f>
        <v>0</v>
      </c>
      <c r="G322" s="70">
        <f>'RESUMEN TOTAL'!T414</f>
        <v>0</v>
      </c>
      <c r="H322" s="70" t="str">
        <f>'RESUMEN TOTAL'!V414</f>
        <v>APAGADO</v>
      </c>
      <c r="I322" s="70">
        <v>0</v>
      </c>
      <c r="J322" s="70" t="str">
        <f>'RESUMEN TOTAL'!W414</f>
        <v>APAGADO</v>
      </c>
      <c r="K322" s="70" t="str">
        <f>'RESUMEN TOTAL'!X414</f>
        <v>APAGADO</v>
      </c>
      <c r="L322" s="70" t="str">
        <f>'RESUMEN TOTAL'!Y414</f>
        <v>APAGADO</v>
      </c>
      <c r="M322" s="70" t="str">
        <f>'RESUMEN TOTAL'!Z414</f>
        <v>APAGADO</v>
      </c>
      <c r="N322" s="70">
        <f>'RESUMEN TOTAL'!AA414</f>
        <v>0</v>
      </c>
      <c r="O322" s="70">
        <f>'RESUMEN TOTAL'!AB414</f>
        <v>0</v>
      </c>
      <c r="P322" s="70" t="str">
        <f>'RESUMEN TOTAL'!AC414</f>
        <v>APAGADO</v>
      </c>
      <c r="Q322" s="70" t="str">
        <f>'RESUMEN TOTAL'!AD414</f>
        <v>APAGADO</v>
      </c>
      <c r="R322" s="70" t="str">
        <f>'RESUMEN TOTAL'!AE414</f>
        <v>APAGADO</v>
      </c>
      <c r="S322" s="70" t="str">
        <f>'RESUMEN TOTAL'!AF414</f>
        <v>APAGADO</v>
      </c>
      <c r="T322" s="70" t="str">
        <f>'RESUMEN TOTAL'!AG414</f>
        <v>APAGADO</v>
      </c>
      <c r="U322" s="70">
        <f>'RESUMEN TOTAL'!AH414</f>
        <v>0</v>
      </c>
      <c r="V322" s="70">
        <f>'RESUMEN TOTAL'!AI414</f>
        <v>0</v>
      </c>
      <c r="W322" s="70" t="str">
        <f>'RESUMEN TOTAL'!AJ414</f>
        <v>APAGADO</v>
      </c>
      <c r="X322" s="70" t="str">
        <f>'RESUMEN TOTAL'!AK414</f>
        <v>APAGADO</v>
      </c>
      <c r="Y322" s="70">
        <f>'RESUMEN TOTAL'!AL414</f>
        <v>0</v>
      </c>
      <c r="Z322" s="70">
        <f>'RESUMEN TOTAL'!AM414</f>
        <v>0</v>
      </c>
      <c r="AA322" s="70">
        <f>'RESUMEN TOTAL'!AN414</f>
        <v>0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>
        <f>'RESUMEN TOTAL'!AR414</f>
        <v>0</v>
      </c>
      <c r="AF322" s="70">
        <f>'RESUMEN TOTAL'!AS414</f>
        <v>0</v>
      </c>
      <c r="AG322" s="70">
        <f>'RESUMEN TOTAL'!AT414</f>
        <v>0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SJO07 (fija 1)</v>
      </c>
      <c r="C323" t="str">
        <f>'RESUMEN TOTAL'!I415</f>
        <v>503 Y 556</v>
      </c>
      <c r="D323" s="30" t="str">
        <f>'RESUMEN TOTAL'!J415</f>
        <v>Fija</v>
      </c>
      <c r="E323" s="30" t="str">
        <f>'RESUMEN TOTAL'!K415</f>
        <v>GPON</v>
      </c>
      <c r="F323" s="70">
        <f>'RESUMEN TOTAL'!S415</f>
        <v>0</v>
      </c>
      <c r="G323" s="70">
        <f>'RESUMEN TOTAL'!T415</f>
        <v>0</v>
      </c>
      <c r="H323" s="70" t="str">
        <f>'RESUMEN TOTAL'!V415</f>
        <v>APAGADO</v>
      </c>
      <c r="I323" s="70">
        <v>0</v>
      </c>
      <c r="J323" s="70" t="str">
        <f>'RESUMEN TOTAL'!W415</f>
        <v>APAGADO</v>
      </c>
      <c r="K323" s="70" t="str">
        <f>'RESUMEN TOTAL'!X415</f>
        <v>APAGADO</v>
      </c>
      <c r="L323" s="70" t="str">
        <f>'RESUMEN TOTAL'!Y415</f>
        <v>APAGADO</v>
      </c>
      <c r="M323" s="70" t="str">
        <f>'RESUMEN TOTAL'!Z415</f>
        <v>APAGADO</v>
      </c>
      <c r="N323" s="70">
        <f>'RESUMEN TOTAL'!AA415</f>
        <v>0</v>
      </c>
      <c r="O323" s="70">
        <f>'RESUMEN TOTAL'!AB415</f>
        <v>0</v>
      </c>
      <c r="P323" s="70" t="str">
        <f>'RESUMEN TOTAL'!AC415</f>
        <v>APAGADO</v>
      </c>
      <c r="Q323" s="70" t="str">
        <f>'RESUMEN TOTAL'!AD415</f>
        <v>APAGADO</v>
      </c>
      <c r="R323" s="70" t="str">
        <f>'RESUMEN TOTAL'!AE415</f>
        <v>APAGADO</v>
      </c>
      <c r="S323" s="70" t="str">
        <f>'RESUMEN TOTAL'!AF415</f>
        <v>APAGADO</v>
      </c>
      <c r="T323" s="70" t="str">
        <f>'RESUMEN TOTAL'!AG415</f>
        <v>APAGADO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SJO08 (fija 2)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 t="str">
        <f>'RESUMEN TOTAL'!V416</f>
        <v>APAGADO</v>
      </c>
      <c r="I324" s="70">
        <v>0</v>
      </c>
      <c r="J324" s="70" t="str">
        <f>'RESUMEN TOTAL'!W416</f>
        <v>APAGADO</v>
      </c>
      <c r="K324" s="70" t="str">
        <f>'RESUMEN TOTAL'!X416</f>
        <v>APAGADO</v>
      </c>
      <c r="L324" s="70" t="str">
        <f>'RESUMEN TOTAL'!Y416</f>
        <v>APAGADO</v>
      </c>
      <c r="M324" s="70" t="str">
        <f>'RESUMEN TOTAL'!Z416</f>
        <v>APAGADO</v>
      </c>
      <c r="N324" s="70">
        <f>'RESUMEN TOTAL'!AA416</f>
        <v>0</v>
      </c>
      <c r="O324" s="70">
        <f>'RESUMEN TOTAL'!AB416</f>
        <v>0</v>
      </c>
      <c r="P324" s="70" t="str">
        <f>'RESUMEN TOTAL'!AC416</f>
        <v>APAGADO</v>
      </c>
      <c r="Q324" s="70" t="str">
        <f>'RESUMEN TOTAL'!AD416</f>
        <v>APAGADO</v>
      </c>
      <c r="R324" s="70" t="str">
        <f>'RESUMEN TOTAL'!AE416</f>
        <v>APAGADO</v>
      </c>
      <c r="S324" s="70" t="str">
        <f>'RESUMEN TOTAL'!AF416</f>
        <v>APAGADO</v>
      </c>
      <c r="T324" s="70" t="str">
        <f>'RESUMEN TOTAL'!AG416</f>
        <v>APAGADO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SJO11 (fija 1)</v>
      </c>
      <c r="C325" t="str">
        <f>'RESUMEN TOTAL'!I417</f>
        <v>554 Y 531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SJU02</v>
      </c>
      <c r="C326" t="str">
        <f>'RESUMEN TOTAL'!I422</f>
        <v>Av Bosques y Touring Club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>
        <f>'RESUMEN TOTAL'!AM422</f>
        <v>0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 04</v>
      </c>
      <c r="C327" t="str">
        <f>'RESUMEN TOTAL'!I426</f>
        <v>HUDSON Y MONTEVIDEO</v>
      </c>
      <c r="D327" s="30" t="str">
        <f>'RESUMEN TOTAL'!J426</f>
        <v>FIJA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 t="str">
        <f>'RESUMEN TOTAL'!X426</f>
        <v>APAGADO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 06</v>
      </c>
      <c r="C328" t="str">
        <f>'RESUMEN TOTAL'!I427</f>
        <v>AV. HUDSON Y RIO IGUAZU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07</v>
      </c>
      <c r="C329" t="str">
        <f>'RESUMEN TOTAL'!I428</f>
        <v>AV. HUDSON Y RIO TURBIO</v>
      </c>
      <c r="D329" s="30" t="str">
        <f>'RESUMEN TOTAL'!J428</f>
        <v>DOMO</v>
      </c>
      <c r="E329" s="30" t="str">
        <f>'RESUMEN TOTAL'!K428</f>
        <v>GPON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 t="str">
        <f>'RESUMEN TOTAL'!V428</f>
        <v>APAGADO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 t="str">
        <f>'RESUMEN TOTAL'!Z428</f>
        <v>APAGADO</v>
      </c>
      <c r="N329" s="70">
        <f>'RESUMEN TOTAL'!AA428</f>
        <v>0</v>
      </c>
      <c r="O329" s="70">
        <f>'RESUMEN TOTAL'!AB428</f>
        <v>0</v>
      </c>
      <c r="P329" s="70" t="str">
        <f>'RESUMEN TOTAL'!AC428</f>
        <v>APAGADO</v>
      </c>
      <c r="Q329" s="70" t="str">
        <f>'RESUMEN TOTAL'!AD428</f>
        <v>APAGADO</v>
      </c>
      <c r="R329" s="70" t="str">
        <f>'RESUMEN TOTAL'!AE428</f>
        <v>APAGADO</v>
      </c>
      <c r="S329" s="70" t="str">
        <f>'RESUMEN TOTAL'!AF428</f>
        <v>APAGADO</v>
      </c>
      <c r="T329" s="70" t="str">
        <f>'RESUMEN TOTAL'!AG428</f>
        <v>APAGADO</v>
      </c>
      <c r="U329" s="70">
        <f>'RESUMEN TOTAL'!AH428</f>
        <v>0</v>
      </c>
      <c r="V329" s="70">
        <f>'RESUMEN TOTAL'!AI428</f>
        <v>0</v>
      </c>
      <c r="W329" s="70" t="str">
        <f>'RESUMEN TOTAL'!AJ428</f>
        <v>APAGADO</v>
      </c>
      <c r="X329" s="70" t="str">
        <f>'RESUMEN TOTAL'!AK428</f>
        <v>APAGADO</v>
      </c>
      <c r="Y329" s="70">
        <f>'RESUMEN TOTAL'!AL428</f>
        <v>0</v>
      </c>
      <c r="Z329" s="70">
        <f>'RESUMEN TOTAL'!AM428</f>
        <v>0</v>
      </c>
      <c r="AA329" s="70">
        <f>'RESUMEN TOTAL'!AN428</f>
        <v>0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>
        <f>'RESUMEN TOTAL'!AR428</f>
        <v>0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SAN MARTIN</v>
      </c>
      <c r="B330" t="str">
        <f>'RESUMEN TOTAL'!G429</f>
        <v>SMA 08</v>
      </c>
      <c r="C330" t="str">
        <f>'RESUMEN TOTAL'!I429</f>
        <v>12 De Octubre y H. Lagos</v>
      </c>
      <c r="D330" s="30" t="str">
        <f>'RESUMEN TOTAL'!J429</f>
        <v>fija</v>
      </c>
      <c r="E330" s="30" t="str">
        <f>'RESUMEN TOTAL'!K429</f>
        <v>FO A GPON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SAN MARTIN</v>
      </c>
      <c r="B331" t="str">
        <f>'RESUMEN TOTAL'!G430</f>
        <v>SMA 09</v>
      </c>
      <c r="C331" t="str">
        <f>'RESUMEN TOTAL'!I430</f>
        <v>12 De Octubre y H. Lagos</v>
      </c>
      <c r="D331" s="30" t="str">
        <f>'RESUMEN TOTAL'!J430</f>
        <v>fija</v>
      </c>
      <c r="E331" s="30" t="str">
        <f>'RESUMEN TOTAL'!K430</f>
        <v>FO A GPON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SMA01</v>
      </c>
      <c r="C332" t="str">
        <f>'RESUMEN TOTAL'!I431</f>
        <v>Hudson y Montevideo</v>
      </c>
      <c r="D332" s="30" t="str">
        <f>'RESUMEN TOTAL'!J431</f>
        <v>DOMO</v>
      </c>
      <c r="E332" s="30" t="str">
        <f>'RESUMEN TOTAL'!K431</f>
        <v>GPON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SMA02</v>
      </c>
      <c r="C333" t="str">
        <f>'RESUMEN TOTAL'!I432</f>
        <v>Hudson y San Nicolas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 t="str">
        <f>'RESUMEN TOTAL'!V432</f>
        <v>APAGADO</v>
      </c>
      <c r="J333" s="70" t="str">
        <f>'RESUMEN TOTAL'!W432</f>
        <v>APAGADO</v>
      </c>
      <c r="K333" s="70" t="str">
        <f>'RESUMEN TOTAL'!X432</f>
        <v>APAGADO</v>
      </c>
      <c r="L333" s="70" t="str">
        <f>'RESUMEN TOTAL'!Y432</f>
        <v>APAGADO</v>
      </c>
      <c r="M333" s="70" t="str">
        <f>'RESUMEN TOTAL'!Z432</f>
        <v>APAGADO</v>
      </c>
      <c r="N333" s="70">
        <f>'RESUMEN TOTAL'!AA432</f>
        <v>0</v>
      </c>
      <c r="O333" s="70">
        <f>'RESUMEN TOTAL'!AB432</f>
        <v>0</v>
      </c>
      <c r="P333" s="70" t="str">
        <f>'RESUMEN TOTAL'!AC432</f>
        <v>APAGADO</v>
      </c>
      <c r="Q333" s="70" t="str">
        <f>'RESUMEN TOTAL'!AD432</f>
        <v>APAGADO</v>
      </c>
      <c r="R333" s="70" t="str">
        <f>'RESUMEN TOTAL'!AE432</f>
        <v>APAGADO</v>
      </c>
      <c r="S333" s="70" t="str">
        <f>'RESUMEN TOTAL'!AF432</f>
        <v>APAGADO</v>
      </c>
      <c r="T333" s="70" t="str">
        <f>'RESUMEN TOTAL'!AG432</f>
        <v>APAGADO</v>
      </c>
      <c r="U333" s="70">
        <f>'RESUMEN TOTAL'!AH432</f>
        <v>0</v>
      </c>
      <c r="V333" s="70">
        <f>'RESUMEN TOTAL'!AI432</f>
        <v>0</v>
      </c>
      <c r="W333" s="70" t="str">
        <f>'RESUMEN TOTAL'!AJ432</f>
        <v>APAGADO</v>
      </c>
      <c r="X333" s="70" t="str">
        <f>'RESUMEN TOTAL'!AK432</f>
        <v>APAGADO</v>
      </c>
      <c r="Y333" s="70">
        <f>'RESUMEN TOTAL'!AL432</f>
        <v>0</v>
      </c>
      <c r="Z333" s="70">
        <f>'RESUMEN TOTAL'!AM432</f>
        <v>0</v>
      </c>
      <c r="AA333" s="70">
        <f>'RESUMEN TOTAL'!AN432</f>
        <v>0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>
        <f>'RESUMEN TOTAL'!AR432</f>
        <v>0</v>
      </c>
      <c r="AF333" s="70">
        <f>'RESUMEN TOTAL'!AS432</f>
        <v>0</v>
      </c>
      <c r="AG333" s="70">
        <f>'RESUMEN TOTAL'!AT432</f>
        <v>0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VILLA GENERAL SAN MARTIN</v>
      </c>
      <c r="B334" t="str">
        <f>'RESUMEN TOTAL'!G433</f>
        <v>SMA05</v>
      </c>
      <c r="C334" t="str">
        <f>'RESUMEN TOTAL'!I433</f>
        <v>MONTEVIDEO Y VILLEGAS</v>
      </c>
      <c r="D334" s="30" t="str">
        <f>'RESUMEN TOTAL'!J433</f>
        <v>DOMO</v>
      </c>
      <c r="E334" s="30" t="str">
        <f>'RESUMEN TOTAL'!K433</f>
        <v>PTO A FO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EMILIO</v>
      </c>
      <c r="B335" t="str">
        <f>'RESUMEN TOTAL'!G434</f>
        <v>SMAT01</v>
      </c>
      <c r="C335" t="str">
        <f>'RESUMEN TOTAL'!I434</f>
        <v xml:space="preserve">AV BOSQUES Y CANTU </v>
      </c>
      <c r="D335" s="30" t="str">
        <f>'RESUMEN TOTAL'!J434</f>
        <v>DOMO</v>
      </c>
      <c r="E335" s="30" t="str">
        <f>'RESUMEN TOTAL'!K434</f>
        <v>GPON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 t="str">
        <f>'RESUMEN TOTAL'!Z434</f>
        <v>APAGADO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 03 (fija 1)</v>
      </c>
      <c r="C336" t="str">
        <f>'RESUMEN TOTAL'!I438</f>
        <v>SARRATEA Y LOS TREBOLES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 04 (fija 2)</v>
      </c>
      <c r="C337" t="str">
        <f>'RESUMEN TOTAL'!I439</f>
        <v>SARRATEA Y LOS TREBOLES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SNI01 (fija 1)</v>
      </c>
      <c r="C338" t="str">
        <f>'RESUMEN TOTAL'!I440</f>
        <v>SARRATEA E/ EEUU DE A. Y AGRELO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SNI02 (fija 2)</v>
      </c>
      <c r="C339" t="str">
        <f>'RESUMEN TOTAL'!I441</f>
        <v>SARRATEA E/ EEUU DE A. Y AGRELO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 04</v>
      </c>
      <c r="C340" t="str">
        <f>'RESUMEN TOTAL'!I442</f>
        <v>Belgica y Andorra</v>
      </c>
      <c r="D340" s="30" t="str">
        <f>'RESUMEN TOTAL'!J442</f>
        <v>Domo</v>
      </c>
      <c r="E340" s="30" t="str">
        <f>'RESUMEN TOTAL'!K442</f>
        <v>GPON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 t="str">
        <f>'RESUMEN TOTAL'!V442</f>
        <v>APAGADO</v>
      </c>
      <c r="J340" s="70" t="str">
        <f>'RESUMEN TOTAL'!W442</f>
        <v>APAGADO</v>
      </c>
      <c r="K340" s="70" t="str">
        <f>'RESUMEN TOTAL'!X442</f>
        <v>APAGADO</v>
      </c>
      <c r="L340" s="70" t="str">
        <f>'RESUMEN TOTAL'!Y442</f>
        <v>APAGADO</v>
      </c>
      <c r="M340" s="70" t="str">
        <f>'RESUMEN TOTAL'!Z442</f>
        <v>APAGADO</v>
      </c>
      <c r="N340" s="70">
        <f>'RESUMEN TOTAL'!AA442</f>
        <v>0</v>
      </c>
      <c r="O340" s="70">
        <f>'RESUMEN TOTAL'!AB442</f>
        <v>0</v>
      </c>
      <c r="P340" s="70" t="str">
        <f>'RESUMEN TOTAL'!AC442</f>
        <v>APAGADO</v>
      </c>
      <c r="Q340" s="70" t="str">
        <f>'RESUMEN TOTAL'!AD442</f>
        <v>APAGADO</v>
      </c>
      <c r="R340" s="70" t="str">
        <f>'RESUMEN TOTAL'!AE442</f>
        <v>APAGADO</v>
      </c>
      <c r="S340" s="70" t="str">
        <f>'RESUMEN TOTAL'!AF442</f>
        <v>APAGADO</v>
      </c>
      <c r="T340" s="70" t="str">
        <f>'RESUMEN TOTAL'!AG442</f>
        <v>APAGADO</v>
      </c>
      <c r="U340" s="70">
        <f>'RESUMEN TOTAL'!AH442</f>
        <v>0</v>
      </c>
      <c r="V340" s="70">
        <f>'RESUMEN TOTAL'!AI442</f>
        <v>0</v>
      </c>
      <c r="W340" s="70" t="str">
        <f>'RESUMEN TOTAL'!AJ442</f>
        <v>APAGADO</v>
      </c>
      <c r="X340" s="70" t="str">
        <f>'RESUMEN TOTAL'!AK442</f>
        <v>APAGADO</v>
      </c>
      <c r="Y340" s="70">
        <f>'RESUMEN TOTAL'!AL442</f>
        <v>0</v>
      </c>
      <c r="Z340" s="70">
        <f>'RESUMEN TOTAL'!AM442</f>
        <v>0</v>
      </c>
      <c r="AA340" s="70">
        <f>'RESUMEN TOTAL'!AN442</f>
        <v>0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>
        <f>'RESUMEN TOTAL'!AR442</f>
        <v>0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SANTA ROSA</v>
      </c>
      <c r="B341" t="str">
        <f>'RESUMEN TOTAL'!G443</f>
        <v>SRO 08</v>
      </c>
      <c r="C341" t="str">
        <f>'RESUMEN TOTAL'!I443</f>
        <v>NOVAK E/ DESSY Y BELGICA (POLIDEPORTIVO LA PATRIADA)</v>
      </c>
      <c r="D341" s="30" t="str">
        <f>'RESUMEN TOTAL'!J443</f>
        <v>Domo</v>
      </c>
      <c r="E341" s="30" t="str">
        <f>'RESUMEN TOTAL'!K443</f>
        <v>GPON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 t="str">
        <f>'RESUMEN TOTAL'!AK443</f>
        <v>APAGADO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 11</v>
      </c>
      <c r="C342" t="str">
        <f>'RESUMEN TOTAL'!I444</f>
        <v>MILAN Y MALLORCA</v>
      </c>
      <c r="D342" s="30" t="str">
        <f>'RESUMEN TOTAL'!J444</f>
        <v>DOMO</v>
      </c>
      <c r="E342" s="30" t="str">
        <f>'RESUMEN TOTAL'!K444</f>
        <v>Radio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 t="str">
        <f>'RESUMEN TOTAL'!V444</f>
        <v>APAGADO</v>
      </c>
      <c r="J342" s="70" t="str">
        <f>'RESUMEN TOTAL'!W444</f>
        <v>APAGADO</v>
      </c>
      <c r="K342" s="70" t="str">
        <f>'RESUMEN TOTAL'!X444</f>
        <v>APAGADO</v>
      </c>
      <c r="L342" s="70" t="str">
        <f>'RESUMEN TOTAL'!Y444</f>
        <v>APAGADO</v>
      </c>
      <c r="M342" s="70" t="str">
        <f>'RESUMEN TOTAL'!Z444</f>
        <v>APAGADO</v>
      </c>
      <c r="N342" s="70">
        <f>'RESUMEN TOTAL'!AA444</f>
        <v>0</v>
      </c>
      <c r="O342" s="70">
        <f>'RESUMEN TOTAL'!AB444</f>
        <v>0</v>
      </c>
      <c r="P342" s="70" t="str">
        <f>'RESUMEN TOTAL'!AC444</f>
        <v>APAGADO</v>
      </c>
      <c r="Q342" s="70" t="str">
        <f>'RESUMEN TOTAL'!AD444</f>
        <v>APAGADO</v>
      </c>
      <c r="R342" s="70" t="str">
        <f>'RESUMEN TOTAL'!AE444</f>
        <v>APAGADO</v>
      </c>
      <c r="S342" s="70" t="str">
        <f>'RESUMEN TOTAL'!AF444</f>
        <v>APAGADO</v>
      </c>
      <c r="T342" s="70" t="str">
        <f>'RESUMEN TOTAL'!AG444</f>
        <v>APAGADO</v>
      </c>
      <c r="U342" s="70">
        <f>'RESUMEN TOTAL'!AH444</f>
        <v>0</v>
      </c>
      <c r="V342" s="70">
        <f>'RESUMEN TOTAL'!AI444</f>
        <v>0</v>
      </c>
      <c r="W342" s="70" t="str">
        <f>'RESUMEN TOTAL'!AJ444</f>
        <v>APAGADO</v>
      </c>
      <c r="X342" s="70" t="str">
        <f>'RESUMEN TOTAL'!AK444</f>
        <v>APAGADO</v>
      </c>
      <c r="Y342" s="70">
        <f>'RESUMEN TOTAL'!AL444</f>
        <v>0</v>
      </c>
      <c r="Z342" s="70">
        <f>'RESUMEN TOTAL'!AM444</f>
        <v>0</v>
      </c>
      <c r="AA342" s="70">
        <f>'RESUMEN TOTAL'!AN444</f>
        <v>0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>
        <f>'RESUMEN TOTAL'!AR444</f>
        <v>0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ZONA RURAL SANTA ROSA</v>
      </c>
      <c r="B343" t="str">
        <f>'RESUMEN TOTAL'!G445</f>
        <v>SRO 13 (fija 1)</v>
      </c>
      <c r="C343" t="str">
        <f>'RESUMEN TOTAL'!I445</f>
        <v>BRUSELAS E/ GRECIA Y CHECOSLOVAQUIA</v>
      </c>
      <c r="D343" s="30" t="str">
        <f>'RESUMEN TOTAL'!J445</f>
        <v>Fija</v>
      </c>
      <c r="E343" s="30" t="str">
        <f>'RESUMEN TOTAL'!K445</f>
        <v>FO A GPON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 t="str">
        <f>'RESUMEN TOTAL'!AJ445</f>
        <v>APAGADO</v>
      </c>
      <c r="X343" s="70" t="str">
        <f>'RESUMEN TOTAL'!AK445</f>
        <v>APAGADO</v>
      </c>
      <c r="Y343" s="70">
        <f>'RESUMEN TOTAL'!AL445</f>
        <v>0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ZONA RURAL SANTA ROSA</v>
      </c>
      <c r="B344" t="str">
        <f>'RESUMEN TOTAL'!G446</f>
        <v>SRO 14 (fija 2)</v>
      </c>
      <c r="C344" t="str">
        <f>'RESUMEN TOTAL'!I446</f>
        <v>BRUSELAS E/ GRECIA Y CHECOSLOVAQUIA</v>
      </c>
      <c r="D344" s="30" t="str">
        <f>'RESUMEN TOTAL'!J446</f>
        <v>Fija</v>
      </c>
      <c r="E344" s="30" t="str">
        <f>'RESUMEN TOTAL'!K446</f>
        <v>FO A GPON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 t="str">
        <f>'RESUMEN TOTAL'!AJ446</f>
        <v>APAGADO</v>
      </c>
      <c r="X344" s="70" t="str">
        <f>'RESUMEN TOTAL'!AK446</f>
        <v>APAGADO</v>
      </c>
      <c r="Y344" s="70">
        <f>'RESUMEN TOTAL'!AL446</f>
        <v>0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 18 (fija 1)</v>
      </c>
      <c r="C345" t="str">
        <f>'RESUMEN TOTAL'!I447</f>
        <v>GRAN CANARIA Y BUDAPEST</v>
      </c>
      <c r="D345" s="30" t="str">
        <f>'RESUMEN TOTAL'!J447</f>
        <v>Fija</v>
      </c>
      <c r="E345" s="30" t="str">
        <f>'RESUMEN TOTAL'!K447</f>
        <v>FO A GPON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 t="str">
        <f>'RESUMEN TOTAL'!AJ447</f>
        <v>APAGADO</v>
      </c>
      <c r="X345" s="70" t="str">
        <f>'RESUMEN TOTAL'!AK447</f>
        <v>APAGADO</v>
      </c>
      <c r="Y345" s="70">
        <f>'RESUMEN TOTAL'!AL447</f>
        <v>0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 19 (fija 2)</v>
      </c>
      <c r="C346" t="str">
        <f>'RESUMEN TOTAL'!I448</f>
        <v>GRAN CANARIA Y BUDAPEST</v>
      </c>
      <c r="D346" s="30" t="str">
        <f>'RESUMEN TOTAL'!J448</f>
        <v>Fija</v>
      </c>
      <c r="E346" s="30" t="str">
        <f>'RESUMEN TOTAL'!K448</f>
        <v>FO A GPON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 t="str">
        <f>'RESUMEN TOTAL'!AJ448</f>
        <v>APAGADO</v>
      </c>
      <c r="X346" s="70" t="str">
        <f>'RESUMEN TOTAL'!AK448</f>
        <v>APAGADO</v>
      </c>
      <c r="Y346" s="70">
        <f>'RESUMEN TOTAL'!AL448</f>
        <v>0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SRO01</v>
      </c>
      <c r="C347" t="str">
        <f>'RESUMEN TOTAL'!I449</f>
        <v>Yugoslavia y Milan</v>
      </c>
      <c r="D347" s="30" t="str">
        <f>'RESUMEN TOTAL'!J449</f>
        <v>Domo</v>
      </c>
      <c r="E347" s="30" t="str">
        <f>'RESUMEN TOTAL'!K449</f>
        <v>PTO A FO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 t="str">
        <f>'RESUMEN TOTAL'!AJ449</f>
        <v>APAGADO</v>
      </c>
      <c r="X347" s="70" t="str">
        <f>'RESUMEN TOTAL'!AK449</f>
        <v>APAGADO</v>
      </c>
      <c r="Y347" s="70">
        <f>'RESUMEN TOTAL'!AL449</f>
        <v>0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ZONA RURAL SANTA ROSA</v>
      </c>
      <c r="B348" t="str">
        <f>'RESUMEN TOTAL'!G450</f>
        <v>SRO02</v>
      </c>
      <c r="C348" t="str">
        <f>'RESUMEN TOTAL'!I450</f>
        <v>Bruselas y Calle 647</v>
      </c>
      <c r="D348" s="30" t="str">
        <f>'RESUMEN TOTAL'!J450</f>
        <v>Domo</v>
      </c>
      <c r="E348" s="30" t="str">
        <f>'RESUMEN TOTAL'!K450</f>
        <v>PTO A GPON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 t="str">
        <f>'RESUMEN TOTAL'!AJ450</f>
        <v>APAGADO</v>
      </c>
      <c r="X348" s="70" t="str">
        <f>'RESUMEN TOTAL'!AK450</f>
        <v>APAGADO</v>
      </c>
      <c r="Y348" s="70">
        <f>'RESUMEN TOTAL'!AL450</f>
        <v>0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SRO03</v>
      </c>
      <c r="C349" t="str">
        <f>'RESUMEN TOTAL'!I451</f>
        <v>Eva Peron y Paysandu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SRO05</v>
      </c>
      <c r="C350" t="str">
        <f>'RESUMEN TOTAL'!I452</f>
        <v>CAFFERATA Y BONN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SRO06</v>
      </c>
      <c r="C351" t="str">
        <f>'RESUMEN TOTAL'!I453</f>
        <v>Novak y Bonn</v>
      </c>
      <c r="D351" s="30" t="str">
        <f>'RESUMEN TOTAL'!J453</f>
        <v>Domo</v>
      </c>
      <c r="E351" s="30" t="str">
        <f>'RESUMEN TOTAL'!K453</f>
        <v>GPON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 t="str">
        <f>'RESUMEN TOTAL'!AK453</f>
        <v>APAGADO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SANTA ROSA</v>
      </c>
      <c r="B352" t="str">
        <f>'RESUMEN TOTAL'!G454</f>
        <v>SRO07</v>
      </c>
      <c r="C352" t="str">
        <f>'RESUMEN TOTAL'!I454</f>
        <v>NOVAK Y BELGICA</v>
      </c>
      <c r="D352" s="30" t="str">
        <f>'RESUMEN TOTAL'!J454</f>
        <v>Domo</v>
      </c>
      <c r="E352" s="30" t="str">
        <f>'RESUMEN TOTAL'!K454</f>
        <v>GPON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SANTA ROSA</v>
      </c>
      <c r="B353" t="str">
        <f>'RESUMEN TOTAL'!G455</f>
        <v>SRO09</v>
      </c>
      <c r="C353" t="str">
        <f>'RESUMEN TOTAL'!I455</f>
        <v>BUCAREST E/ ALEMANIA Y CAFFERATA</v>
      </c>
      <c r="D353" s="30" t="str">
        <f>'RESUMEN TOTAL'!J455</f>
        <v>DOMO</v>
      </c>
      <c r="E353" s="30" t="str">
        <f>'RESUMEN TOTAL'!K455</f>
        <v>Radio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SRO10</v>
      </c>
      <c r="C354" t="str">
        <f>'RESUMEN TOTAL'!I456</f>
        <v>DINAMARCA Y MILAN</v>
      </c>
      <c r="D354" s="30" t="str">
        <f>'RESUMEN TOTAL'!J456</f>
        <v>DOMO</v>
      </c>
      <c r="E354" s="30" t="str">
        <f>'RESUMEN TOTAL'!K456</f>
        <v>Radio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 t="str">
        <f>'RESUMEN TOTAL'!V456</f>
        <v>APAGADO</v>
      </c>
      <c r="J354" s="70" t="str">
        <f>'RESUMEN TOTAL'!W456</f>
        <v>APAGADO</v>
      </c>
      <c r="K354" s="70" t="str">
        <f>'RESUMEN TOTAL'!X456</f>
        <v>APAGADO</v>
      </c>
      <c r="L354" s="70" t="str">
        <f>'RESUMEN TOTAL'!Y456</f>
        <v>APAGADO</v>
      </c>
      <c r="M354" s="70" t="str">
        <f>'RESUMEN TOTAL'!Z456</f>
        <v>APAGADO</v>
      </c>
      <c r="N354" s="70">
        <f>'RESUMEN TOTAL'!AA456</f>
        <v>0</v>
      </c>
      <c r="O354" s="70">
        <f>'RESUMEN TOTAL'!AB456</f>
        <v>0</v>
      </c>
      <c r="P354" s="70" t="str">
        <f>'RESUMEN TOTAL'!AC456</f>
        <v>APAGADO</v>
      </c>
      <c r="Q354" s="70" t="str">
        <f>'RESUMEN TOTAL'!AD456</f>
        <v>APAGADO</v>
      </c>
      <c r="R354" s="70" t="str">
        <f>'RESUMEN TOTAL'!AE456</f>
        <v>APAGADO</v>
      </c>
      <c r="S354" s="70" t="str">
        <f>'RESUMEN TOTAL'!AF456</f>
        <v>APAGADO</v>
      </c>
      <c r="T354" s="70" t="str">
        <f>'RESUMEN TOTAL'!AG456</f>
        <v>APAGADO</v>
      </c>
      <c r="U354" s="70">
        <f>'RESUMEN TOTAL'!AH456</f>
        <v>0</v>
      </c>
      <c r="V354" s="70">
        <f>'RESUMEN TOTAL'!AI456</f>
        <v>0</v>
      </c>
      <c r="W354" s="70" t="str">
        <f>'RESUMEN TOTAL'!AJ456</f>
        <v>APAGADO</v>
      </c>
      <c r="X354" s="70" t="str">
        <f>'RESUMEN TOTAL'!AK456</f>
        <v>APAGADO</v>
      </c>
      <c r="Y354" s="70">
        <f>'RESUMEN TOTAL'!AL456</f>
        <v>0</v>
      </c>
      <c r="Z354" s="70">
        <f>'RESUMEN TOTAL'!AM456</f>
        <v>0</v>
      </c>
      <c r="AA354" s="70">
        <f>'RESUMEN TOTAL'!AN456</f>
        <v>0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>
        <f>'RESUMEN TOTAL'!AR456</f>
        <v>0</v>
      </c>
      <c r="AF354" s="70">
        <f>'RESUMEN TOTAL'!AS456</f>
        <v>0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SRO12</v>
      </c>
      <c r="C355" t="str">
        <f>'RESUMEN TOTAL'!I457</f>
        <v>YUGOSLAVIA Y PAYSANDU</v>
      </c>
      <c r="D355" s="30" t="str">
        <f>'RESUMEN TOTAL'!J457</f>
        <v>DOMO</v>
      </c>
      <c r="E355" s="30" t="str">
        <f>'RESUMEN TOTAL'!K457</f>
        <v>Radio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SRO15</v>
      </c>
      <c r="C356" t="str">
        <f>'RESUMEN TOTAL'!I458</f>
        <v>NOVAK Y TIRANA (614)</v>
      </c>
      <c r="D356" s="30" t="str">
        <f>'RESUMEN TOTAL'!J458</f>
        <v>DOMO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SRO16 (fija 1)</v>
      </c>
      <c r="C357" t="str">
        <f>'RESUMEN TOTAL'!I459</f>
        <v>ANDORRA E/ BELGICA Y SAN MARINO</v>
      </c>
      <c r="D357" s="30" t="str">
        <f>'RESUMEN TOTAL'!J459</f>
        <v>Fija</v>
      </c>
      <c r="E357" s="30" t="str">
        <f>'RESUMEN TOTAL'!K459</f>
        <v>GPON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SRO17 (fija 2)</v>
      </c>
      <c r="C358" t="str">
        <f>'RESUMEN TOTAL'!I460</f>
        <v>ANDORRA E/ BELGICA Y SAN MARINO</v>
      </c>
      <c r="D358" s="30" t="str">
        <f>'RESUMEN TOTAL'!J460</f>
        <v>Fija</v>
      </c>
      <c r="E358" s="30" t="str">
        <f>'RESUMEN TOTAL'!K460</f>
        <v>GPON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GPON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 t="str">
        <f>'RESUMEN TOTAL'!AK461</f>
        <v>APAGADO</v>
      </c>
      <c r="Y359" s="70">
        <f>'RESUMEN TOTAL'!AL461</f>
        <v>0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GPON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 t="str">
        <f>'RESUMEN TOTAL'!AK462</f>
        <v>APAGADO</v>
      </c>
      <c r="Y360" s="70">
        <f>'RESUMEN TOTAL'!AL462</f>
        <v>0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 t="str">
        <f>'RESUMEN TOTAL'!V469</f>
        <v>APAGADO</v>
      </c>
      <c r="J361" s="70" t="str">
        <f>'RESUMEN TOTAL'!W469</f>
        <v>APAGADO</v>
      </c>
      <c r="K361" s="70" t="str">
        <f>'RESUMEN TOTAL'!X469</f>
        <v>APAGADO</v>
      </c>
      <c r="L361" s="70" t="str">
        <f>'RESUMEN TOTAL'!Y469</f>
        <v>APAGADO</v>
      </c>
      <c r="M361" s="70" t="str">
        <f>'RESUMEN TOTAL'!Z469</f>
        <v>APAGADO</v>
      </c>
      <c r="N361" s="70">
        <f>'RESUMEN TOTAL'!AA469</f>
        <v>0</v>
      </c>
      <c r="O361" s="70">
        <f>'RESUMEN TOTAL'!AB469</f>
        <v>0</v>
      </c>
      <c r="P361" s="70" t="str">
        <f>'RESUMEN TOTAL'!AC469</f>
        <v>APAGADO</v>
      </c>
      <c r="Q361" s="70" t="str">
        <f>'RESUMEN TOTAL'!AD469</f>
        <v>APAGADO</v>
      </c>
      <c r="R361" s="70" t="str">
        <f>'RESUMEN TOTAL'!AE469</f>
        <v>APAGADO</v>
      </c>
      <c r="S361" s="70" t="str">
        <f>'RESUMEN TOTAL'!AF469</f>
        <v>APAGADO</v>
      </c>
      <c r="T361" s="70" t="str">
        <f>'RESUMEN TOTAL'!AG469</f>
        <v>APAGADO</v>
      </c>
      <c r="U361" s="70">
        <f>'RESUMEN TOTAL'!AH469</f>
        <v>0</v>
      </c>
      <c r="V361" s="70">
        <f>'RESUMEN TOTAL'!AI469</f>
        <v>0</v>
      </c>
      <c r="W361" s="70" t="str">
        <f>'RESUMEN TOTAL'!AJ469</f>
        <v>APAGADO</v>
      </c>
      <c r="X361" s="70" t="str">
        <f>'RESUMEN TOTAL'!AK469</f>
        <v>APAGADO</v>
      </c>
      <c r="Y361" s="70">
        <f>'RESUMEN TOTAL'!AL469</f>
        <v>0</v>
      </c>
      <c r="Z361" s="70">
        <f>'RESUMEN TOTAL'!AM469</f>
        <v>0</v>
      </c>
      <c r="AA361" s="70">
        <f>'RESUMEN TOTAL'!AN469</f>
        <v>0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>
        <f>'RESUMEN TOTAL'!AR469</f>
        <v>0</v>
      </c>
      <c r="AF361" s="70">
        <f>'RESUMEN TOTAL'!AS469</f>
        <v>0</v>
      </c>
      <c r="AG361" s="70">
        <f>'RESUMEN TOTAL'!AT469</f>
        <v>0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 t="str">
        <f>'RESUMEN TOTAL'!V470</f>
        <v>APAGADO</v>
      </c>
      <c r="J362" s="70" t="str">
        <f>'RESUMEN TOTAL'!W470</f>
        <v>APAGADO</v>
      </c>
      <c r="K362" s="70" t="str">
        <f>'RESUMEN TOTAL'!X470</f>
        <v>APAGADO</v>
      </c>
      <c r="L362" s="70" t="str">
        <f>'RESUMEN TOTAL'!Y470</f>
        <v>APAGADO</v>
      </c>
      <c r="M362" s="70" t="str">
        <f>'RESUMEN TOTAL'!Z470</f>
        <v>APAGADO</v>
      </c>
      <c r="N362" s="70">
        <f>'RESUMEN TOTAL'!AA470</f>
        <v>0</v>
      </c>
      <c r="O362" s="70">
        <f>'RESUMEN TOTAL'!AB470</f>
        <v>0</v>
      </c>
      <c r="P362" s="70" t="str">
        <f>'RESUMEN TOTAL'!AC470</f>
        <v>APAGADO</v>
      </c>
      <c r="Q362" s="70" t="str">
        <f>'RESUMEN TOTAL'!AD470</f>
        <v>APAGADO</v>
      </c>
      <c r="R362" s="70" t="str">
        <f>'RESUMEN TOTAL'!AE470</f>
        <v>APAGADO</v>
      </c>
      <c r="S362" s="70" t="str">
        <f>'RESUMEN TOTAL'!AF470</f>
        <v>APAGADO</v>
      </c>
      <c r="T362" s="70" t="str">
        <f>'RESUMEN TOTAL'!AG470</f>
        <v>APAGADO</v>
      </c>
      <c r="U362" s="70">
        <f>'RESUMEN TOTAL'!AH470</f>
        <v>0</v>
      </c>
      <c r="V362" s="70">
        <f>'RESUMEN TOTAL'!AI470</f>
        <v>0</v>
      </c>
      <c r="W362" s="70" t="str">
        <f>'RESUMEN TOTAL'!AJ470</f>
        <v>APAGADO</v>
      </c>
      <c r="X362" s="70" t="str">
        <f>'RESUMEN TOTAL'!AK470</f>
        <v>APAGADO</v>
      </c>
      <c r="Y362" s="70">
        <f>'RESUMEN TOTAL'!AL470</f>
        <v>0</v>
      </c>
      <c r="Z362" s="70">
        <f>'RESUMEN TOTAL'!AM470</f>
        <v>0</v>
      </c>
      <c r="AA362" s="70">
        <f>'RESUMEN TOTAL'!AN470</f>
        <v>0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>
        <f>'RESUMEN TOTAL'!AR470</f>
        <v>0</v>
      </c>
      <c r="AF362" s="70">
        <f>'RESUMEN TOTAL'!AS470</f>
        <v>0</v>
      </c>
      <c r="AG362" s="70">
        <f>'RESUMEN TOTAL'!AT470</f>
        <v>0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 t="str">
        <f>'RESUMEN TOTAL'!V471</f>
        <v>APAGADO</v>
      </c>
      <c r="J363" s="70" t="str">
        <f>'RESUMEN TOTAL'!W471</f>
        <v>APAGADO</v>
      </c>
      <c r="K363" s="70" t="str">
        <f>'RESUMEN TOTAL'!X471</f>
        <v>APAGADO</v>
      </c>
      <c r="L363" s="70" t="str">
        <f>'RESUMEN TOTAL'!Y471</f>
        <v>APAGADO</v>
      </c>
      <c r="M363" s="70" t="str">
        <f>'RESUMEN TOTAL'!Z471</f>
        <v>APAGADO</v>
      </c>
      <c r="N363" s="70">
        <f>'RESUMEN TOTAL'!AA471</f>
        <v>0</v>
      </c>
      <c r="O363" s="70">
        <f>'RESUMEN TOTAL'!AB471</f>
        <v>0</v>
      </c>
      <c r="P363" s="70" t="str">
        <f>'RESUMEN TOTAL'!AC471</f>
        <v>APAGADO</v>
      </c>
      <c r="Q363" s="70" t="str">
        <f>'RESUMEN TOTAL'!AD471</f>
        <v>APAGADO</v>
      </c>
      <c r="R363" s="70" t="str">
        <f>'RESUMEN TOTAL'!AE471</f>
        <v>APAGADO</v>
      </c>
      <c r="S363" s="70" t="str">
        <f>'RESUMEN TOTAL'!AF471</f>
        <v>APAGADO</v>
      </c>
      <c r="T363" s="70" t="str">
        <f>'RESUMEN TOTAL'!AG471</f>
        <v>APAGADO</v>
      </c>
      <c r="U363" s="70">
        <f>'RESUMEN TOTAL'!AH471</f>
        <v>0</v>
      </c>
      <c r="V363" s="70">
        <f>'RESUMEN TOTAL'!AI471</f>
        <v>0</v>
      </c>
      <c r="W363" s="70" t="str">
        <f>'RESUMEN TOTAL'!AJ471</f>
        <v>APAGADO</v>
      </c>
      <c r="X363" s="70" t="str">
        <f>'RESUMEN TOTAL'!AK471</f>
        <v>APAGADO</v>
      </c>
      <c r="Y363" s="70">
        <f>'RESUMEN TOTAL'!AL471</f>
        <v>0</v>
      </c>
      <c r="Z363" s="70">
        <f>'RESUMEN TOTAL'!AM471</f>
        <v>0</v>
      </c>
      <c r="AA363" s="70">
        <f>'RESUMEN TOTAL'!AN471</f>
        <v>0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>
        <f>'RESUMEN TOTAL'!AR471</f>
        <v>0</v>
      </c>
      <c r="AF363" s="70">
        <f>'RESUMEN TOTAL'!AS471</f>
        <v>0</v>
      </c>
      <c r="AG363" s="70">
        <f>'RESUMEN TOTAL'!AT471</f>
        <v>0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 t="str">
        <f>'RESUMEN TOTAL'!V474</f>
        <v>APAGADO</v>
      </c>
      <c r="J364" s="70" t="str">
        <f>'RESUMEN TOTAL'!W474</f>
        <v>APAGADO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 t="str">
        <f>'RESUMEN TOTAL'!V475</f>
        <v>APAGADO</v>
      </c>
      <c r="J365" s="70" t="str">
        <f>'RESUMEN TOTAL'!W475</f>
        <v>APAGADO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 t="str">
        <f>'RESUMEN TOTAL'!V482</f>
        <v>APAGADO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 08 (fija 1)</v>
      </c>
      <c r="C379" t="str">
        <f>'RESUMEN TOTAL'!I496</f>
        <v>534 Y 523</v>
      </c>
      <c r="D379" s="30" t="str">
        <f>'RESUMEN TOTAL'!J496</f>
        <v>Fija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 09 (fija 2)</v>
      </c>
      <c r="C380" t="str">
        <f>'RESUMEN TOTAL'!I497</f>
        <v>534 Y 523</v>
      </c>
      <c r="D380" s="30" t="str">
        <f>'RESUMEN TOTAL'!J497</f>
        <v>Fija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VAR03 (fija 1)</v>
      </c>
      <c r="C381" t="str">
        <f>'RESUMEN TOTAL'!I498</f>
        <v>509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VAR04 (fija 2)</v>
      </c>
      <c r="C382" t="str">
        <f>'RESUMEN TOTAL'!I499</f>
        <v>509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 t="str">
        <f>'RESUMEN TOTAL'!X499</f>
        <v>APAGADO</v>
      </c>
      <c r="L382" s="70" t="str">
        <f>'RESUMEN TOTAL'!Y499</f>
        <v>APAGADO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 t="str">
        <f>'RESUMEN TOTAL'!AE499</f>
        <v>APAGADO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VAR05 (fija 1)</v>
      </c>
      <c r="C383" t="str">
        <f>'RESUMEN TOTAL'!I500</f>
        <v>511 E/ 544 Y 546</v>
      </c>
      <c r="D383" s="30" t="str">
        <f>'RESUMEN TOTAL'!J500</f>
        <v>Fija</v>
      </c>
      <c r="E383" s="30" t="str">
        <f>'RESUMEN TOTAL'!K500</f>
        <v>Radio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VAR06 (fija 2)</v>
      </c>
      <c r="C384" t="str">
        <f>'RESUMEN TOTAL'!I501</f>
        <v>511 E/ 544 Y 546</v>
      </c>
      <c r="D384" s="30" t="str">
        <f>'RESUMEN TOTAL'!J501</f>
        <v>Fija</v>
      </c>
      <c r="E384" s="30" t="str">
        <f>'RESUMEN TOTAL'!K501</f>
        <v>Radio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VAR07</v>
      </c>
      <c r="C385" t="str">
        <f>'RESUMEN TOTAL'!I502</f>
        <v>DIAG. LOS TILOS Y 517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 CENTRO</v>
      </c>
      <c r="B391" t="str">
        <f>'RESUMEN TOTAL'!G508</f>
        <v>VAT 10</v>
      </c>
      <c r="C391" t="str">
        <f>'RESUMEN TOTAL'!I508</f>
        <v>Belgrano y Quintana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</v>
      </c>
      <c r="B392" t="str">
        <f>'RESUMEN TOTAL'!G509</f>
        <v>VAT 14</v>
      </c>
      <c r="C392" t="str">
        <f>'RESUMEN TOTAL'!I509</f>
        <v>FLORIDA Y MONTEVIDEO</v>
      </c>
      <c r="D392" s="30" t="str">
        <f>'RESUMEN TOTAL'!J509</f>
        <v>DOMO</v>
      </c>
      <c r="E392" s="30" t="str">
        <f>'RESUMEN TOTAL'!K509</f>
        <v>PTO A GPON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 t="str">
        <f>'RESUMEN TOTAL'!V509</f>
        <v>APAGADO</v>
      </c>
      <c r="J392" s="70" t="str">
        <f>'RESUMEN TOTAL'!W509</f>
        <v>APAGADO</v>
      </c>
      <c r="K392" s="70" t="str">
        <f>'RESUMEN TOTAL'!X509</f>
        <v>APAGADO</v>
      </c>
      <c r="L392" s="70" t="str">
        <f>'RESUMEN TOTAL'!Y509</f>
        <v>APAGADO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 t="str">
        <f>'RESUMEN TOTAL'!AD509</f>
        <v>APAGADO</v>
      </c>
      <c r="R392" s="70" t="str">
        <f>'RESUMEN TOTAL'!AE509</f>
        <v>APAGADO</v>
      </c>
      <c r="S392" s="70" t="str">
        <f>'RESUMEN TOTAL'!AF509</f>
        <v>APAGADO</v>
      </c>
      <c r="T392" s="70" t="str">
        <f>'RESUMEN TOTAL'!AG509</f>
        <v>APAGADO</v>
      </c>
      <c r="U392" s="70">
        <f>'RESUMEN TOTAL'!AH509</f>
        <v>0</v>
      </c>
      <c r="V392" s="70">
        <f>'RESUMEN TOTAL'!AI509</f>
        <v>0</v>
      </c>
      <c r="W392" s="70" t="str">
        <f>'RESUMEN TOTAL'!AJ509</f>
        <v>APAGADO</v>
      </c>
      <c r="X392" s="70" t="str">
        <f>'RESUMEN TOTAL'!AK509</f>
        <v>APAGADO</v>
      </c>
      <c r="Y392" s="70">
        <f>'RESUMEN TOTAL'!AL509</f>
        <v>0</v>
      </c>
      <c r="Z392" s="70">
        <f>'RESUMEN TOTAL'!AM509</f>
        <v>0</v>
      </c>
      <c r="AA392" s="70">
        <f>'RESUMEN TOTAL'!AN509</f>
        <v>0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</v>
      </c>
      <c r="B393" t="str">
        <f>'RESUMEN TOTAL'!G510</f>
        <v>VAT 15</v>
      </c>
      <c r="C393" t="str">
        <f>'RESUMEN TOTAL'!I510</f>
        <v>CORRIENTES Y VICENTE LOPEZ</v>
      </c>
      <c r="D393" s="30" t="str">
        <f>'RESUMEN TOTAL'!J510</f>
        <v>DOMO</v>
      </c>
      <c r="E393" s="30" t="str">
        <f>'RESUMEN TOTAL'!K510</f>
        <v>PTO A FO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</v>
      </c>
      <c r="B394" t="str">
        <f>'RESUMEN TOTAL'!G511</f>
        <v>VAT 16</v>
      </c>
      <c r="C394" t="str">
        <f>'RESUMEN TOTAL'!I511</f>
        <v>MONTEVIDEO Y CHACO</v>
      </c>
      <c r="D394" s="30" t="str">
        <f>'RESUMEN TOTAL'!J511</f>
        <v>DOMO</v>
      </c>
      <c r="E394" s="30" t="str">
        <f>'RESUMEN TOTAL'!K511</f>
        <v>PTO A FO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</v>
      </c>
      <c r="B395" t="str">
        <f>'RESUMEN TOTAL'!G512</f>
        <v>VAT 17</v>
      </c>
      <c r="C395" t="str">
        <f>'RESUMEN TOTAL'!I512</f>
        <v>CHAÑAR Y URUGUAY</v>
      </c>
      <c r="D395" s="30" t="str">
        <f>'RESUMEN TOTAL'!J512</f>
        <v>DOMO</v>
      </c>
      <c r="E395" s="30" t="str">
        <f>'RESUMEN TOTAL'!K512</f>
        <v>PTO A FO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 t="str">
        <f>'RESUMEN TOTAL'!V512</f>
        <v>APAGADO</v>
      </c>
      <c r="J395" s="70" t="str">
        <f>'RESUMEN TOTAL'!W512</f>
        <v>APAGADO</v>
      </c>
      <c r="K395" s="70" t="str">
        <f>'RESUMEN TOTAL'!X512</f>
        <v>APAGADO</v>
      </c>
      <c r="L395" s="70" t="str">
        <f>'RESUMEN TOTAL'!Y512</f>
        <v>APAGADO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 t="str">
        <f>'RESUMEN TOTAL'!AD512</f>
        <v>APAGADO</v>
      </c>
      <c r="R395" s="70" t="str">
        <f>'RESUMEN TOTAL'!AE512</f>
        <v>APAGADO</v>
      </c>
      <c r="S395" s="70" t="str">
        <f>'RESUMEN TOTAL'!AF512</f>
        <v>APAGADO</v>
      </c>
      <c r="T395" s="70" t="str">
        <f>'RESUMEN TOTAL'!AG512</f>
        <v>APAGADO</v>
      </c>
      <c r="U395" s="70">
        <f>'RESUMEN TOTAL'!AH512</f>
        <v>0</v>
      </c>
      <c r="V395" s="70">
        <f>'RESUMEN TOTAL'!AI512</f>
        <v>0</v>
      </c>
      <c r="W395" s="70" t="str">
        <f>'RESUMEN TOTAL'!AJ512</f>
        <v>APAGADO</v>
      </c>
      <c r="X395" s="70" t="str">
        <f>'RESUMEN TOTAL'!AK512</f>
        <v>APAGADO</v>
      </c>
      <c r="Y395" s="70">
        <f>'RESUMEN TOTAL'!AL512</f>
        <v>0</v>
      </c>
      <c r="Z395" s="70">
        <f>'RESUMEN TOTAL'!AM512</f>
        <v>0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</v>
      </c>
      <c r="B396" t="str">
        <f>'RESUMEN TOTAL'!G513</f>
        <v>VAT 20</v>
      </c>
      <c r="C396" t="str">
        <f>'RESUMEN TOTAL'!I513</f>
        <v>URUGUAY Y PILCOMAYO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 21 (fija 1)</v>
      </c>
      <c r="C397" t="str">
        <f>'RESUMEN TOTAL'!I514</f>
        <v>QUINTANA E/ BELGRANO Y FONROUGE</v>
      </c>
      <c r="D397" s="30" t="str">
        <f>'RESUMEN TOTAL'!J514</f>
        <v>Fija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 CENTRO</v>
      </c>
      <c r="B398" t="str">
        <f>'RESUMEN TOTAL'!G515</f>
        <v>VAT 22 (fija 2)</v>
      </c>
      <c r="C398" t="str">
        <f>'RESUMEN TOTAL'!I515</f>
        <v>QUINTANA E/ BELGRANO Y FONROUGE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 CENTRO</v>
      </c>
      <c r="B399" t="str">
        <f>'RESUMEN TOTAL'!G516</f>
        <v>VAT 25</v>
      </c>
      <c r="C399" t="str">
        <f>'RESUMEN TOTAL'!I516</f>
        <v>Mainini y Uruguay</v>
      </c>
      <c r="D399" s="30" t="str">
        <f>'RESUMEN TOTAL'!J516</f>
        <v>Fija</v>
      </c>
      <c r="E399" s="30" t="str">
        <f>'RESUMEN TOTAL'!K516</f>
        <v>FO A GPON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 t="str">
        <f>'RESUMEN TOTAL'!V516</f>
        <v>APAGADO</v>
      </c>
      <c r="J399" s="70" t="str">
        <f>'RESUMEN TOTAL'!W516</f>
        <v>APAGADO</v>
      </c>
      <c r="K399" s="70" t="str">
        <f>'RESUMEN TOTAL'!X516</f>
        <v>APAGADO</v>
      </c>
      <c r="L399" s="70" t="str">
        <f>'RESUMEN TOTAL'!Y516</f>
        <v>APAGADO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 t="str">
        <f>'RESUMEN TOTAL'!AD516</f>
        <v>APAGADO</v>
      </c>
      <c r="R399" s="70" t="str">
        <f>'RESUMEN TOTAL'!AE516</f>
        <v>APAGADO</v>
      </c>
      <c r="S399" s="70" t="str">
        <f>'RESUMEN TOTAL'!AF516</f>
        <v>APAGADO</v>
      </c>
      <c r="T399" s="70" t="str">
        <f>'RESUMEN TOTAL'!AG516</f>
        <v>APAGADO</v>
      </c>
      <c r="U399" s="70">
        <f>'RESUMEN TOTAL'!AH516</f>
        <v>0</v>
      </c>
      <c r="V399" s="70">
        <f>'RESUMEN TOTAL'!AI516</f>
        <v>0</v>
      </c>
      <c r="W399" s="70" t="str">
        <f>'RESUMEN TOTAL'!AJ516</f>
        <v>APAGADO</v>
      </c>
      <c r="X399" s="70" t="str">
        <f>'RESUMEN TOTAL'!AK516</f>
        <v>APAGADO</v>
      </c>
      <c r="Y399" s="70">
        <f>'RESUMEN TOTAL'!AL516</f>
        <v>0</v>
      </c>
      <c r="Z399" s="70">
        <f>'RESUMEN TOTAL'!AM516</f>
        <v>0</v>
      </c>
      <c r="AA399" s="70">
        <f>'RESUMEN TOTAL'!AN516</f>
        <v>0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26</v>
      </c>
      <c r="C400" t="str">
        <f>'RESUMEN TOTAL'!I517</f>
        <v>Mainini y Uruguay</v>
      </c>
      <c r="D400" s="30" t="str">
        <f>'RESUMEN TOTAL'!J517</f>
        <v>fija</v>
      </c>
      <c r="E400" s="30" t="str">
        <f>'RESUMEN TOTAL'!K517</f>
        <v>FO A GPON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 t="str">
        <f>'RESUMEN TOTAL'!V517</f>
        <v>APAGADO</v>
      </c>
      <c r="J400" s="70" t="str">
        <f>'RESUMEN TOTAL'!W517</f>
        <v>APAGADO</v>
      </c>
      <c r="K400" s="70" t="str">
        <f>'RESUMEN TOTAL'!X517</f>
        <v>APAGADO</v>
      </c>
      <c r="L400" s="70" t="str">
        <f>'RESUMEN TOTAL'!Y517</f>
        <v>APAGADO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 t="str">
        <f>'RESUMEN TOTAL'!AD517</f>
        <v>APAGADO</v>
      </c>
      <c r="R400" s="70" t="str">
        <f>'RESUMEN TOTAL'!AE517</f>
        <v>APAGADO</v>
      </c>
      <c r="S400" s="70" t="str">
        <f>'RESUMEN TOTAL'!AF517</f>
        <v>APAGADO</v>
      </c>
      <c r="T400" s="70" t="str">
        <f>'RESUMEN TOTAL'!AG517</f>
        <v>APAGADO</v>
      </c>
      <c r="U400" s="70">
        <f>'RESUMEN TOTAL'!AH517</f>
        <v>0</v>
      </c>
      <c r="V400" s="70">
        <f>'RESUMEN TOTAL'!AI517</f>
        <v>0</v>
      </c>
      <c r="W400" s="70" t="str">
        <f>'RESUMEN TOTAL'!AJ517</f>
        <v>APAGADO</v>
      </c>
      <c r="X400" s="70" t="str">
        <f>'RESUMEN TOTAL'!AK517</f>
        <v>APAGADO</v>
      </c>
      <c r="Y400" s="70">
        <f>'RESUMEN TOTAL'!AL517</f>
        <v>0</v>
      </c>
      <c r="Z400" s="70">
        <f>'RESUMEN TOTAL'!AM517</f>
        <v>0</v>
      </c>
      <c r="AA400" s="70">
        <f>'RESUMEN TOTAL'!AN517</f>
        <v>0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 27</v>
      </c>
      <c r="C401" t="str">
        <f>'RESUMEN TOTAL'!I518</f>
        <v>12 DE OCTUBRE Y ROSARIO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 28</v>
      </c>
      <c r="C402" t="str">
        <f>'RESUMEN TOTAL'!I519</f>
        <v>Mainini e/Montevideo y Uruuay</v>
      </c>
      <c r="D402" s="30" t="str">
        <f>'RESUMEN TOTAL'!J519</f>
        <v>fija</v>
      </c>
      <c r="E402" s="30" t="str">
        <f>'RESUMEN TOTAL'!K519</f>
        <v>FO A GPON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 t="str">
        <f>'RESUMEN TOTAL'!V519</f>
        <v>APAGADO</v>
      </c>
      <c r="J402" s="70" t="str">
        <f>'RESUMEN TOTAL'!W519</f>
        <v>APAGADO</v>
      </c>
      <c r="K402" s="70" t="str">
        <f>'RESUMEN TOTAL'!X519</f>
        <v>APAGADO</v>
      </c>
      <c r="L402" s="70" t="str">
        <f>'RESUMEN TOTAL'!Y519</f>
        <v>APAGADO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 t="str">
        <f>'RESUMEN TOTAL'!AD519</f>
        <v>APAGADO</v>
      </c>
      <c r="R402" s="70" t="str">
        <f>'RESUMEN TOTAL'!AE519</f>
        <v>APAGADO</v>
      </c>
      <c r="S402" s="70" t="str">
        <f>'RESUMEN TOTAL'!AF519</f>
        <v>APAGADO</v>
      </c>
      <c r="T402" s="70" t="str">
        <f>'RESUMEN TOTAL'!AG519</f>
        <v>APAGADO</v>
      </c>
      <c r="U402" s="70">
        <f>'RESUMEN TOTAL'!AH519</f>
        <v>0</v>
      </c>
      <c r="V402" s="70">
        <f>'RESUMEN TOTAL'!AI519</f>
        <v>0</v>
      </c>
      <c r="W402" s="70" t="str">
        <f>'RESUMEN TOTAL'!AJ519</f>
        <v>APAGADO</v>
      </c>
      <c r="X402" s="70" t="str">
        <f>'RESUMEN TOTAL'!AK519</f>
        <v>APAGADO</v>
      </c>
      <c r="Y402" s="70">
        <f>'RESUMEN TOTAL'!AL519</f>
        <v>0</v>
      </c>
      <c r="Z402" s="70">
        <f>'RESUMEN TOTAL'!AM519</f>
        <v>0</v>
      </c>
      <c r="AA402" s="70">
        <f>'RESUMEN TOTAL'!AN519</f>
        <v>0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</v>
      </c>
      <c r="B403" t="str">
        <f>'RESUMEN TOTAL'!G520</f>
        <v>VAT 29</v>
      </c>
      <c r="C403" t="str">
        <f>'RESUMEN TOTAL'!I520</f>
        <v xml:space="preserve">Vicente Lopez y Tucuman </v>
      </c>
      <c r="D403" s="30" t="str">
        <f>'RESUMEN TOTAL'!J520</f>
        <v>DOMO</v>
      </c>
      <c r="E403" s="30" t="str">
        <f>'RESUMEN TOTAL'!K520</f>
        <v>GPON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 t="str">
        <f>'RESUMEN TOTAL'!AG520</f>
        <v>APAGADO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VAT01</v>
      </c>
      <c r="C404" t="str">
        <f>'RESUMEN TOTAL'!I521</f>
        <v>Montevideo y El Chañar</v>
      </c>
      <c r="D404" s="30" t="str">
        <f>'RESUMEN TOTAL'!J521</f>
        <v>Domo</v>
      </c>
      <c r="E404" s="30" t="str">
        <f>'RESUMEN TOTAL'!K521</f>
        <v>FO A GPON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 t="str">
        <f>'RESUMEN TOTAL'!V521</f>
        <v>APAGADO</v>
      </c>
      <c r="J404" s="70" t="str">
        <f>'RESUMEN TOTAL'!W521</f>
        <v>APAGADO</v>
      </c>
      <c r="K404" s="70" t="str">
        <f>'RESUMEN TOTAL'!X521</f>
        <v>APAGADO</v>
      </c>
      <c r="L404" s="70" t="str">
        <f>'RESUMEN TOTAL'!Y521</f>
        <v>APAGADO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 t="str">
        <f>'RESUMEN TOTAL'!AD521</f>
        <v>APAGADO</v>
      </c>
      <c r="R404" s="70" t="str">
        <f>'RESUMEN TOTAL'!AE521</f>
        <v>APAGADO</v>
      </c>
      <c r="S404" s="70" t="str">
        <f>'RESUMEN TOTAL'!AF521</f>
        <v>APAGADO</v>
      </c>
      <c r="T404" s="70" t="str">
        <f>'RESUMEN TOTAL'!AG521</f>
        <v>APAGADO</v>
      </c>
      <c r="U404" s="70">
        <f>'RESUMEN TOTAL'!AH521</f>
        <v>0</v>
      </c>
      <c r="V404" s="70">
        <f>'RESUMEN TOTAL'!AI521</f>
        <v>0</v>
      </c>
      <c r="W404" s="70" t="str">
        <f>'RESUMEN TOTAL'!AJ521</f>
        <v>APAGADO</v>
      </c>
      <c r="X404" s="70" t="str">
        <f>'RESUMEN TOTAL'!AK521</f>
        <v>APAGADO</v>
      </c>
      <c r="Y404" s="70">
        <f>'RESUMEN TOTAL'!AL521</f>
        <v>0</v>
      </c>
      <c r="Z404" s="70">
        <f>'RESUMEN TOTAL'!AM521</f>
        <v>0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 CENTRO</v>
      </c>
      <c r="B405" t="str">
        <f>'RESUMEN TOTAL'!G522</f>
        <v>VAT02</v>
      </c>
      <c r="C405" t="str">
        <f>'RESUMEN TOTAL'!I522</f>
        <v>Eva Peron y 12 de Octubre</v>
      </c>
      <c r="D405" s="30" t="str">
        <f>'RESUMEN TOTAL'!J522</f>
        <v>Domo</v>
      </c>
      <c r="E405" s="30" t="str">
        <f>'RESUMEN TOTAL'!K522</f>
        <v>Fibra Optica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 t="str">
        <f>'RESUMEN TOTAL'!V522</f>
        <v>APAGADO</v>
      </c>
      <c r="J405" s="70" t="str">
        <f>'RESUMEN TOTAL'!W522</f>
        <v>APAGADO</v>
      </c>
      <c r="K405" s="70" t="str">
        <f>'RESUMEN TOTAL'!X522</f>
        <v>APAGADO</v>
      </c>
      <c r="L405" s="70" t="str">
        <f>'RESUMEN TOTAL'!Y522</f>
        <v>APAGADO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 t="str">
        <f>'RESUMEN TOTAL'!AD522</f>
        <v>APAGADO</v>
      </c>
      <c r="R405" s="70" t="str">
        <f>'RESUMEN TOTAL'!AE522</f>
        <v>APAGADO</v>
      </c>
      <c r="S405" s="70" t="str">
        <f>'RESUMEN TOTAL'!AF522</f>
        <v>APAGADO</v>
      </c>
      <c r="T405" s="70" t="str">
        <f>'RESUMEN TOTAL'!AG522</f>
        <v>APAGADO</v>
      </c>
      <c r="U405" s="70">
        <f>'RESUMEN TOTAL'!AH522</f>
        <v>0</v>
      </c>
      <c r="V405" s="70">
        <f>'RESUMEN TOTAL'!AI522</f>
        <v>0</v>
      </c>
      <c r="W405" s="70" t="str">
        <f>'RESUMEN TOTAL'!AJ522</f>
        <v>APAGADO</v>
      </c>
      <c r="X405" s="70" t="str">
        <f>'RESUMEN TOTAL'!AK522</f>
        <v>APAGADO</v>
      </c>
      <c r="Y405" s="70">
        <f>'RESUMEN TOTAL'!AL522</f>
        <v>0</v>
      </c>
      <c r="Z405" s="70">
        <f>'RESUMEN TOTAL'!AM522</f>
        <v>0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 CENTRO</v>
      </c>
      <c r="B406" t="str">
        <f>'RESUMEN TOTAL'!G523</f>
        <v>VAT03</v>
      </c>
      <c r="C406" t="str">
        <f>'RESUMEN TOTAL'!I523</f>
        <v>Lavalle y Belgrano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 CENTRO</v>
      </c>
      <c r="B407" t="str">
        <f>'RESUMEN TOTAL'!G524</f>
        <v>VAT04</v>
      </c>
      <c r="C407" t="str">
        <f>'RESUMEN TOTAL'!I524</f>
        <v>Lavalle y Entre Rios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VAT05</v>
      </c>
      <c r="C408" t="str">
        <f>'RESUMEN TOTAL'!I525</f>
        <v>Lavalle y Colombia</v>
      </c>
      <c r="D408" s="30" t="str">
        <f>'RESUMEN TOTAL'!J525</f>
        <v>Domo</v>
      </c>
      <c r="E408" s="30" t="str">
        <f>'RESUMEN TOTAL'!K525</f>
        <v>GPON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VAT06</v>
      </c>
      <c r="C409" t="str">
        <f>'RESUMEN TOTAL'!I526</f>
        <v>Eva Peron y Pueyrredon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 t="str">
        <f>'RESUMEN TOTAL'!V526</f>
        <v>APAGADO</v>
      </c>
      <c r="J409" s="70" t="str">
        <f>'RESUMEN TOTAL'!W526</f>
        <v>APAGADO</v>
      </c>
      <c r="K409" s="70" t="str">
        <f>'RESUMEN TOTAL'!X526</f>
        <v>APAGADO</v>
      </c>
      <c r="L409" s="70" t="str">
        <f>'RESUMEN TOTAL'!Y526</f>
        <v>APAGADO</v>
      </c>
      <c r="M409" s="70" t="str">
        <f>'RESUMEN TOTAL'!Z526</f>
        <v>APAGADO</v>
      </c>
      <c r="N409" s="70">
        <f>'RESUMEN TOTAL'!AA526</f>
        <v>0</v>
      </c>
      <c r="O409" s="70">
        <f>'RESUMEN TOTAL'!AB526</f>
        <v>0</v>
      </c>
      <c r="P409" s="70" t="str">
        <f>'RESUMEN TOTAL'!AC526</f>
        <v>APAGADO</v>
      </c>
      <c r="Q409" s="70" t="str">
        <f>'RESUMEN TOTAL'!AD526</f>
        <v>APAGADO</v>
      </c>
      <c r="R409" s="70" t="str">
        <f>'RESUMEN TOTAL'!AE526</f>
        <v>APAGADO</v>
      </c>
      <c r="S409" s="70" t="str">
        <f>'RESUMEN TOTAL'!AF526</f>
        <v>APAGADO</v>
      </c>
      <c r="T409" s="70" t="str">
        <f>'RESUMEN TOTAL'!AG526</f>
        <v>APAGADO</v>
      </c>
      <c r="U409" s="70">
        <f>'RESUMEN TOTAL'!AH526</f>
        <v>0</v>
      </c>
      <c r="V409" s="70">
        <f>'RESUMEN TOTAL'!AI526</f>
        <v>0</v>
      </c>
      <c r="W409" s="70" t="str">
        <f>'RESUMEN TOTAL'!AJ526</f>
        <v>APAGADO</v>
      </c>
      <c r="X409" s="70" t="str">
        <f>'RESUMEN TOTAL'!AK526</f>
        <v>APAGADO</v>
      </c>
      <c r="Y409" s="70">
        <f>'RESUMEN TOTAL'!AL526</f>
        <v>0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 CENTRO</v>
      </c>
      <c r="B410" t="str">
        <f>'RESUMEN TOTAL'!G527</f>
        <v>VAT07</v>
      </c>
      <c r="C410" t="str">
        <f>'RESUMEN TOTAL'!I527</f>
        <v>Eva Peron y Lavalle</v>
      </c>
      <c r="D410" s="30" t="str">
        <f>'RESUMEN TOTAL'!J527</f>
        <v>Domo</v>
      </c>
      <c r="E410" s="30" t="str">
        <f>'RESUMEN TOTAL'!K527</f>
        <v>FO A GPON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</v>
      </c>
      <c r="B411" t="str">
        <f>'RESUMEN TOTAL'!G528</f>
        <v>VAT08</v>
      </c>
      <c r="C411" t="str">
        <f>'RESUMEN TOTAL'!I528</f>
        <v>12 de Octubre y Florida</v>
      </c>
      <c r="D411" s="30" t="str">
        <f>'RESUMEN TOTAL'!J528</f>
        <v>Domo</v>
      </c>
      <c r="E411" s="30" t="str">
        <f>'RESUMEN TOTAL'!K528</f>
        <v>GPON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</v>
      </c>
      <c r="B412" t="str">
        <f>'RESUMEN TOTAL'!G529</f>
        <v>VAT09</v>
      </c>
      <c r="C412" t="str">
        <f>'RESUMEN TOTAL'!I529</f>
        <v>Montevideo y Alsina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</v>
      </c>
      <c r="B413" t="str">
        <f>'RESUMEN TOTAL'!G530</f>
        <v>VAT11</v>
      </c>
      <c r="C413" t="str">
        <f>'RESUMEN TOTAL'!I530</f>
        <v>Mainini y Montevideo</v>
      </c>
      <c r="D413" s="30" t="str">
        <f>'RESUMEN TOTAL'!J530</f>
        <v>Domo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 t="str">
        <f>'RESUMEN TOTAL'!V530</f>
        <v>APAGADO</v>
      </c>
      <c r="J413" s="70" t="str">
        <f>'RESUMEN TOTAL'!W530</f>
        <v>APAGADO</v>
      </c>
      <c r="K413" s="70" t="str">
        <f>'RESUMEN TOTAL'!X530</f>
        <v>APAGADO</v>
      </c>
      <c r="L413" s="70" t="str">
        <f>'RESUMEN TOTAL'!Y530</f>
        <v>APAGADO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 t="str">
        <f>'RESUMEN TOTAL'!AD530</f>
        <v>APAGADO</v>
      </c>
      <c r="R413" s="70" t="str">
        <f>'RESUMEN TOTAL'!AE530</f>
        <v>APAGADO</v>
      </c>
      <c r="S413" s="70" t="str">
        <f>'RESUMEN TOTAL'!AF530</f>
        <v>APAGADO</v>
      </c>
      <c r="T413" s="70" t="str">
        <f>'RESUMEN TOTAL'!AG530</f>
        <v>APAGADO</v>
      </c>
      <c r="U413" s="70">
        <f>'RESUMEN TOTAL'!AH530</f>
        <v>0</v>
      </c>
      <c r="V413" s="70">
        <f>'RESUMEN TOTAL'!AI530</f>
        <v>0</v>
      </c>
      <c r="W413" s="70" t="str">
        <f>'RESUMEN TOTAL'!AJ530</f>
        <v>APAGADO</v>
      </c>
      <c r="X413" s="70" t="str">
        <f>'RESUMEN TOTAL'!AK530</f>
        <v>APAGADO</v>
      </c>
      <c r="Y413" s="70">
        <f>'RESUMEN TOTAL'!AL530</f>
        <v>0</v>
      </c>
      <c r="Z413" s="70">
        <f>'RESUMEN TOTAL'!AM530</f>
        <v>0</v>
      </c>
      <c r="AA413" s="70">
        <f>'RESUMEN TOTAL'!AN530</f>
        <v>0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</v>
      </c>
      <c r="B414" t="str">
        <f>'RESUMEN TOTAL'!G531</f>
        <v>VAT12</v>
      </c>
      <c r="C414" t="str">
        <f>'RESUMEN TOTAL'!I531</f>
        <v>12 DE OCTUBRE Y CHACO</v>
      </c>
      <c r="D414" s="30" t="str">
        <f>'RESUMEN TOTAL'!J531</f>
        <v>DOMO</v>
      </c>
      <c r="E414" s="30" t="str">
        <f>'RESUMEN TOTAL'!K531</f>
        <v>PTO A FO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>
        <f>'RESUMEN TOTAL'!AN531</f>
        <v>0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VAT13</v>
      </c>
      <c r="C415" t="str">
        <f>'RESUMEN TOTAL'!I532</f>
        <v>Av.12 de Octubre y Belgrano</v>
      </c>
      <c r="D415" s="30" t="str">
        <f>'RESUMEN TOTAL'!J532</f>
        <v>Domo</v>
      </c>
      <c r="E415" s="30" t="str">
        <f>'RESUMEN TOTAL'!K532</f>
        <v>PTO A GPON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 t="str">
        <f>'RESUMEN TOTAL'!AE532</f>
        <v>APAGADO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VAT18</v>
      </c>
      <c r="C416" t="str">
        <f>'RESUMEN TOTAL'!I533</f>
        <v>LAVALLE Y FONROUGE</v>
      </c>
      <c r="D416" s="30" t="str">
        <f>'RESUMEN TOTAL'!J533</f>
        <v>DOMO</v>
      </c>
      <c r="E416" s="30" t="str">
        <f>'RESUMEN TOTAL'!K533</f>
        <v>PTO A FO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 CENTRO</v>
      </c>
      <c r="B417" t="str">
        <f>'RESUMEN TOTAL'!G534</f>
        <v>VAT19</v>
      </c>
      <c r="C417" t="str">
        <f>'RESUMEN TOTAL'!I534</f>
        <v>QUINTANA Y FONROUGE ( TUCUMAN )</v>
      </c>
      <c r="D417" s="30" t="str">
        <f>'RESUMEN TOTAL'!J534</f>
        <v>DOMO</v>
      </c>
      <c r="E417" s="30" t="str">
        <f>'RESUMEN TOTAL'!K534</f>
        <v>Radio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 07</v>
      </c>
      <c r="C420" t="str">
        <f>'RESUMEN TOTAL'!I542</f>
        <v>VICTORINO DE LA PLAZA Y MONTEVERDE</v>
      </c>
      <c r="D420" s="30" t="str">
        <f>'RESUMEN TOTAL'!J542</f>
        <v>Domo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 t="str">
        <f>'RESUMEN TOTAL'!V542</f>
        <v>APAGADO</v>
      </c>
      <c r="J420" s="70" t="str">
        <f>'RESUMEN TOTAL'!W542</f>
        <v>APAGADO</v>
      </c>
      <c r="K420" s="70" t="str">
        <f>'RESUMEN TOTAL'!X542</f>
        <v>APAGADO</v>
      </c>
      <c r="L420" s="70" t="str">
        <f>'RESUMEN TOTAL'!Y542</f>
        <v>APAGADO</v>
      </c>
      <c r="M420" s="70" t="str">
        <f>'RESUMEN TOTAL'!Z542</f>
        <v>APAGADO</v>
      </c>
      <c r="N420" s="70">
        <f>'RESUMEN TOTAL'!AA542</f>
        <v>0</v>
      </c>
      <c r="O420" s="70">
        <f>'RESUMEN TOTAL'!AB542</f>
        <v>0</v>
      </c>
      <c r="P420" s="70" t="str">
        <f>'RESUMEN TOTAL'!AC542</f>
        <v>APAGADO</v>
      </c>
      <c r="Q420" s="70" t="str">
        <f>'RESUMEN TOTAL'!AD542</f>
        <v>APAGADO</v>
      </c>
      <c r="R420" s="70" t="str">
        <f>'RESUMEN TOTAL'!AE542</f>
        <v>APAGADO</v>
      </c>
      <c r="S420" s="70" t="str">
        <f>'RESUMEN TOTAL'!AF542</f>
        <v>APAGADO</v>
      </c>
      <c r="T420" s="70" t="str">
        <f>'RESUMEN TOTAL'!AG542</f>
        <v>APAGADO</v>
      </c>
      <c r="U420" s="70">
        <f>'RESUMEN TOTAL'!AH542</f>
        <v>0</v>
      </c>
      <c r="V420" s="70">
        <f>'RESUMEN TOTAL'!AI542</f>
        <v>0</v>
      </c>
      <c r="W420" s="70" t="str">
        <f>'RESUMEN TOTAL'!AJ542</f>
        <v>APAGADO</v>
      </c>
      <c r="X420" s="70" t="str">
        <f>'RESUMEN TOTAL'!AK542</f>
        <v>APAGADO</v>
      </c>
      <c r="Y420" s="70">
        <f>'RESUMEN TOTAL'!AL542</f>
        <v>0</v>
      </c>
      <c r="Z420" s="70">
        <f>'RESUMEN TOTAL'!AM542</f>
        <v>0</v>
      </c>
      <c r="AA420" s="70">
        <f>'RESUMEN TOTAL'!AN542</f>
        <v>0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>
        <f>'RESUMEN TOTAL'!AR542</f>
        <v>0</v>
      </c>
      <c r="AF420" s="70">
        <f>'RESUMEN TOTAL'!AS542</f>
        <v>0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VAU03 (fija 1)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 t="str">
        <f>'RESUMEN TOTAL'!AC543</f>
        <v>APAGADO</v>
      </c>
      <c r="Q421" s="70" t="str">
        <f>'RESUMEN TOTAL'!AD543</f>
        <v>APAGADO</v>
      </c>
      <c r="R421" s="70" t="str">
        <f>'RESUMEN TOTAL'!AE543</f>
        <v>APAGADO</v>
      </c>
      <c r="S421" s="70" t="str">
        <f>'RESUMEN TOTAL'!AF543</f>
        <v>APAGADO</v>
      </c>
      <c r="T421" s="70" t="str">
        <f>'RESUMEN TOTAL'!AG543</f>
        <v>APAGADO</v>
      </c>
      <c r="U421" s="70">
        <f>'RESUMEN TOTAL'!AH543</f>
        <v>0</v>
      </c>
      <c r="V421" s="70">
        <f>'RESUMEN TOTAL'!AI543</f>
        <v>0</v>
      </c>
      <c r="W421" s="70" t="str">
        <f>'RESUMEN TOTAL'!AJ543</f>
        <v>APAGADO</v>
      </c>
      <c r="X421" s="70" t="str">
        <f>'RESUMEN TOTAL'!AK543</f>
        <v>APAGADO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VAU04 (fija 2)</v>
      </c>
      <c r="C422" t="str">
        <f>'RESUMEN TOTAL'!I544</f>
        <v>PIZZURNO Y NUESTRAS MALVINAS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 t="str">
        <f>'RESUMEN TOTAL'!AC544</f>
        <v>APAGADO</v>
      </c>
      <c r="Q422" s="70" t="str">
        <f>'RESUMEN TOTAL'!AD544</f>
        <v>APAGADO</v>
      </c>
      <c r="R422" s="70" t="str">
        <f>'RESUMEN TOTAL'!AE544</f>
        <v>APAGADO</v>
      </c>
      <c r="S422" s="70" t="str">
        <f>'RESUMEN TOTAL'!AF544</f>
        <v>APAGADO</v>
      </c>
      <c r="T422" s="70" t="str">
        <f>'RESUMEN TOTAL'!AG544</f>
        <v>APAGADO</v>
      </c>
      <c r="U422" s="70">
        <f>'RESUMEN TOTAL'!AH544</f>
        <v>0</v>
      </c>
      <c r="V422" s="70">
        <f>'RESUMEN TOTAL'!AI544</f>
        <v>0</v>
      </c>
      <c r="W422" s="70" t="str">
        <f>'RESUMEN TOTAL'!AJ544</f>
        <v>APAGADO</v>
      </c>
      <c r="X422" s="70" t="str">
        <f>'RESUMEN TOTAL'!AK544</f>
        <v>APAGADO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VAU05 (fija 1)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VAU06 (fija 2)</v>
      </c>
      <c r="C424" t="str">
        <f>'RESUMEN TOTAL'!I546</f>
        <v>GUIDO SPANO Y VICTORINO DE LA PLAZA</v>
      </c>
      <c r="D424" s="30" t="str">
        <f>'RESUMEN TOTAL'!J546</f>
        <v>Fija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VDPL01</v>
      </c>
      <c r="C426" t="str">
        <f>'RESUMEN TOTAL'!I549</f>
        <v>Abrahan y Delgado</v>
      </c>
      <c r="D426" s="30" t="str">
        <f>'RESUMEN TOTAL'!J549</f>
        <v>DOMO</v>
      </c>
      <c r="E426" s="30" t="str">
        <f>'RESUMEN TOTAL'!K549</f>
        <v>GPON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VDPL02</v>
      </c>
      <c r="C427" t="str">
        <f>'RESUMEN TOTAL'!I550</f>
        <v>Thevenet y Berutti</v>
      </c>
      <c r="D427" s="30" t="str">
        <f>'RESUMEN TOTAL'!J550</f>
        <v>Domo</v>
      </c>
      <c r="E427" s="30" t="str">
        <f>'RESUMEN TOTAL'!K550</f>
        <v>Fibra Optica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VDPL03</v>
      </c>
      <c r="C428" t="str">
        <f>'RESUMEN TOTAL'!I551</f>
        <v>Neuquen y Alvarado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 t="str">
        <f>'RESUMEN TOTAL'!V551</f>
        <v>APAGADO</v>
      </c>
      <c r="J428" s="70" t="str">
        <f>'RESUMEN TOTAL'!W551</f>
        <v>APAGADO</v>
      </c>
      <c r="K428" s="70" t="str">
        <f>'RESUMEN TOTAL'!X551</f>
        <v>APAGADO</v>
      </c>
      <c r="L428" s="70" t="str">
        <f>'RESUMEN TOTAL'!Y551</f>
        <v>APAGADO</v>
      </c>
      <c r="M428" s="70" t="str">
        <f>'RESUMEN TOTAL'!Z551</f>
        <v>APAGADO</v>
      </c>
      <c r="N428" s="70">
        <f>'RESUMEN TOTAL'!AA551</f>
        <v>0</v>
      </c>
      <c r="O428" s="70">
        <f>'RESUMEN TOTAL'!AB551</f>
        <v>0</v>
      </c>
      <c r="P428" s="70" t="str">
        <f>'RESUMEN TOTAL'!AC551</f>
        <v>APAGADO</v>
      </c>
      <c r="Q428" s="70" t="str">
        <f>'RESUMEN TOTAL'!AD551</f>
        <v>APAGADO</v>
      </c>
      <c r="R428" s="70" t="str">
        <f>'RESUMEN TOTAL'!AE551</f>
        <v>APAGADO</v>
      </c>
      <c r="S428" s="70" t="str">
        <f>'RESUMEN TOTAL'!AF551</f>
        <v>APAGADO</v>
      </c>
      <c r="T428" s="70" t="str">
        <f>'RESUMEN TOTAL'!AG551</f>
        <v>APAGADO</v>
      </c>
      <c r="U428" s="70">
        <f>'RESUMEN TOTAL'!AH551</f>
        <v>0</v>
      </c>
      <c r="V428" s="70">
        <f>'RESUMEN TOTAL'!AI551</f>
        <v>0</v>
      </c>
      <c r="W428" s="70" t="str">
        <f>'RESUMEN TOTAL'!AJ551</f>
        <v>APAGADO</v>
      </c>
      <c r="X428" s="70" t="str">
        <f>'RESUMEN TOTAL'!AK551</f>
        <v>APAGADO</v>
      </c>
      <c r="Y428" s="70">
        <f>'RESUMEN TOTAL'!AL551</f>
        <v>0</v>
      </c>
      <c r="Z428" s="70">
        <f>'RESUMEN TOTAL'!AM551</f>
        <v>0</v>
      </c>
      <c r="AA428" s="70">
        <f>'RESUMEN TOTAL'!AN551</f>
        <v>0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>
        <f>'RESUMEN TOTAL'!AR551</f>
        <v>0</v>
      </c>
      <c r="AF428" s="70">
        <f>'RESUMEN TOTAL'!AS551</f>
        <v>0</v>
      </c>
      <c r="AG428" s="70">
        <f>'RESUMEN TOTAL'!AT551</f>
        <v>0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VDPL04</v>
      </c>
      <c r="C429" t="str">
        <f>'RESUMEN TOTAL'!I552</f>
        <v>Neuquen y Diagonal Guemes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DEL PLATA</v>
      </c>
      <c r="B430" t="str">
        <f>'RESUMEN TOTAL'!G553</f>
        <v>VDPL05</v>
      </c>
      <c r="C430" t="str">
        <f>'RESUMEN TOTAL'!I553</f>
        <v>Ruta 36 y Abraham</v>
      </c>
      <c r="D430" s="30" t="str">
        <f>'RESUMEN TOTAL'!J553</f>
        <v>Domo</v>
      </c>
      <c r="E430" s="30" t="str">
        <f>'RESUMEN TOTAL'!K553</f>
        <v>PTO A FO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 t="str">
        <f>'RESUMEN TOTAL'!V553</f>
        <v>APAGADO</v>
      </c>
      <c r="J430" s="70" t="str">
        <f>'RESUMEN TOTAL'!W553</f>
        <v>APAGADO</v>
      </c>
      <c r="K430" s="70" t="str">
        <f>'RESUMEN TOTAL'!X553</f>
        <v>APAGADO</v>
      </c>
      <c r="L430" s="70" t="str">
        <f>'RESUMEN TOTAL'!Y553</f>
        <v>APAGADO</v>
      </c>
      <c r="M430" s="70" t="str">
        <f>'RESUMEN TOTAL'!Z553</f>
        <v>APAGADO</v>
      </c>
      <c r="N430" s="70">
        <f>'RESUMEN TOTAL'!AA553</f>
        <v>0</v>
      </c>
      <c r="O430" s="70">
        <f>'RESUMEN TOTAL'!AB553</f>
        <v>0</v>
      </c>
      <c r="P430" s="70" t="str">
        <f>'RESUMEN TOTAL'!AC553</f>
        <v>APAGADO</v>
      </c>
      <c r="Q430" s="70" t="str">
        <f>'RESUMEN TOTAL'!AD553</f>
        <v>APAGADO</v>
      </c>
      <c r="R430" s="70" t="str">
        <f>'RESUMEN TOTAL'!AE553</f>
        <v>APAGADO</v>
      </c>
      <c r="S430" s="70" t="str">
        <f>'RESUMEN TOTAL'!AF553</f>
        <v>APAGADO</v>
      </c>
      <c r="T430" s="70" t="str">
        <f>'RESUMEN TOTAL'!AG553</f>
        <v>APAGADO</v>
      </c>
      <c r="U430" s="70">
        <f>'RESUMEN TOTAL'!AH553</f>
        <v>0</v>
      </c>
      <c r="V430" s="70">
        <f>'RESUMEN TOTAL'!AI553</f>
        <v>0</v>
      </c>
      <c r="W430" s="70" t="str">
        <f>'RESUMEN TOTAL'!AJ553</f>
        <v>APAGADO</v>
      </c>
      <c r="X430" s="70" t="str">
        <f>'RESUMEN TOTAL'!AK553</f>
        <v>APAGADO</v>
      </c>
      <c r="Y430" s="70">
        <f>'RESUMEN TOTAL'!AL553</f>
        <v>0</v>
      </c>
      <c r="Z430" s="70">
        <f>'RESUMEN TOTAL'!AM553</f>
        <v>0</v>
      </c>
      <c r="AA430" s="70">
        <f>'RESUMEN TOTAL'!AN553</f>
        <v>0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>
        <f>'RESUMEN TOTAL'!AR553</f>
        <v>0</v>
      </c>
      <c r="AF430" s="70">
        <f>'RESUMEN TOTAL'!AS553</f>
        <v>0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VDPL06</v>
      </c>
      <c r="C431" t="str">
        <f>'RESUMEN TOTAL'!I554</f>
        <v>Thevenet e/ Islas Orcadas y Gardel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DEL PLATA</v>
      </c>
      <c r="B432" t="str">
        <f>'RESUMEN TOTAL'!G556</f>
        <v>VDPL08</v>
      </c>
      <c r="C432" t="str">
        <f>'RESUMEN TOTAL'!I556</f>
        <v>Tte. Gral Perón y Tunez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 t="str">
        <f>'RESUMEN TOTAL'!AE556</f>
        <v>APAGADO</v>
      </c>
      <c r="S432" s="70" t="str">
        <f>'RESUMEN TOTAL'!AF556</f>
        <v>APAGADO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ESTER</v>
      </c>
      <c r="B433" t="str">
        <f>'RESUMEN TOTAL'!G557</f>
        <v>VEST01</v>
      </c>
      <c r="C433" t="str">
        <f>'RESUMEN TOTAL'!I557</f>
        <v>Tte.Gral Perón y Garibaldi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 t="str">
        <f>'RESUMEN TOTAL'!AK557</f>
        <v>APAGADO</v>
      </c>
      <c r="Y433" s="70">
        <f>'RESUMEN TOTAL'!AL557</f>
        <v>0</v>
      </c>
      <c r="Z433" s="70">
        <f>'RESUMEN TOTAL'!AM557</f>
        <v>0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01</v>
      </c>
      <c r="C434" t="str">
        <f>'RESUMEN TOTAL'!I558</f>
        <v>AV. HUDSON Y AV. LUJAN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02</v>
      </c>
      <c r="C435" t="str">
        <f>'RESUMEN TOTAL'!I559</f>
        <v>AV. LUJAN Y CALLE 909 A</v>
      </c>
      <c r="D435" s="30" t="str">
        <f>'RESUMEN TOTAL'!J559</f>
        <v>DOMO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HUDSON</v>
      </c>
      <c r="B436" t="str">
        <f>'RESUMEN TOTAL'!G563</f>
        <v>VHS 06</v>
      </c>
      <c r="C436" t="str">
        <f>'RESUMEN TOTAL'!I563</f>
        <v>Av Hubson y Oliden</v>
      </c>
      <c r="D436" s="30" t="str">
        <f>'RESUMEN TOTAL'!J563</f>
        <v>DOMO</v>
      </c>
      <c r="E436" s="30" t="str">
        <f>'RESUMEN TOTAL'!K563</f>
        <v>GPON</v>
      </c>
      <c r="F436" s="70">
        <f>'RESUMEN TOTAL'!S563</f>
        <v>0</v>
      </c>
      <c r="G436" s="70">
        <f>'RESUMEN TOTAL'!T563</f>
        <v>0</v>
      </c>
      <c r="H436" s="70">
        <f>'RESUMEN TOTAL'!U563</f>
        <v>0</v>
      </c>
      <c r="I436" s="70" t="str">
        <f>'RESUMEN TOTAL'!V563</f>
        <v>APAGADO</v>
      </c>
      <c r="J436" s="70" t="str">
        <f>'RESUMEN TOTAL'!W563</f>
        <v>APAGADO</v>
      </c>
      <c r="K436" s="70" t="str">
        <f>'RESUMEN TOTAL'!X563</f>
        <v>APAGADO</v>
      </c>
      <c r="L436" s="70" t="str">
        <f>'RESUMEN TOTAL'!Y563</f>
        <v>APAGADO</v>
      </c>
      <c r="M436" s="70" t="str">
        <f>'RESUMEN TOTAL'!Z563</f>
        <v>APAGADO</v>
      </c>
      <c r="N436" s="70">
        <f>'RESUMEN TOTAL'!AA563</f>
        <v>0</v>
      </c>
      <c r="O436" s="70">
        <f>'RESUMEN TOTAL'!AB563</f>
        <v>0</v>
      </c>
      <c r="P436" s="70" t="str">
        <f>'RESUMEN TOTAL'!AC563</f>
        <v>APAGADO</v>
      </c>
      <c r="Q436" s="70" t="str">
        <f>'RESUMEN TOTAL'!AD563</f>
        <v>APAGADO</v>
      </c>
      <c r="R436" s="70" t="str">
        <f>'RESUMEN TOTAL'!AE563</f>
        <v>APAGADO</v>
      </c>
      <c r="S436" s="70" t="str">
        <f>'RESUMEN TOTAL'!AF563</f>
        <v>APAGADO</v>
      </c>
      <c r="T436" s="70" t="str">
        <f>'RESUMEN TOTAL'!AG563</f>
        <v>APAGADO</v>
      </c>
      <c r="U436" s="70">
        <f>'RESUMEN TOTAL'!AH563</f>
        <v>0</v>
      </c>
      <c r="V436" s="70">
        <f>'RESUMEN TOTAL'!AI563</f>
        <v>0</v>
      </c>
      <c r="W436" s="70" t="str">
        <f>'RESUMEN TOTAL'!AJ563</f>
        <v>APAGADO</v>
      </c>
      <c r="X436" s="70" t="str">
        <f>'RESUMEN TOTAL'!AK563</f>
        <v>APAGADO</v>
      </c>
      <c r="Y436" s="70">
        <f>'RESUMEN TOTAL'!AL563</f>
        <v>0</v>
      </c>
      <c r="Z436" s="70">
        <f>'RESUMEN TOTAL'!AM563</f>
        <v>0</v>
      </c>
      <c r="AA436" s="70">
        <f>'RESUMEN TOTAL'!AN563</f>
        <v>0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>
        <f>'RESUMEN TOTAL'!AR563</f>
        <v>0</v>
      </c>
      <c r="AF436" s="70">
        <f>'RESUMEN TOTAL'!AS563</f>
        <v>0</v>
      </c>
      <c r="AG436" s="70">
        <f>'RESUMEN TOTAL'!AT563</f>
        <v>0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HUDSON</v>
      </c>
      <c r="B437" t="str">
        <f>'RESUMEN TOTAL'!G564</f>
        <v>VHS07</v>
      </c>
      <c r="C437" t="str">
        <f>'RESUMEN TOTAL'!I564</f>
        <v>Hudson y Rincon</v>
      </c>
      <c r="D437" s="30" t="str">
        <f>'RESUMEN TOTAL'!J564</f>
        <v>DOMO</v>
      </c>
      <c r="E437" s="30" t="str">
        <f>'RESUMEN TOTAL'!K564</f>
        <v>GPON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TOTAL'!F565</f>
        <v>VILLA ARIAS</v>
      </c>
      <c r="B438" t="str">
        <f>'RESUMEN TOTAL'!G565</f>
        <v>VLA 01 (fija 1)</v>
      </c>
      <c r="C438" t="str">
        <f>'RESUMEN TOTAL'!I565</f>
        <v>820 Y SOLER</v>
      </c>
      <c r="D438" s="30" t="str">
        <f>'RESUMEN TOTAL'!J565</f>
        <v>Fija</v>
      </c>
      <c r="E438" s="30" t="str">
        <f>'RESUMEN TOTAL'!K565</f>
        <v>GPON</v>
      </c>
      <c r="F438" s="70">
        <f>'RESUMEN TOTAL'!S565</f>
        <v>0</v>
      </c>
      <c r="G438" s="70">
        <f>'RESUMEN TOTAL'!T565</f>
        <v>0</v>
      </c>
      <c r="H438" s="70">
        <f>'RESUMEN TOTAL'!U565</f>
        <v>0</v>
      </c>
      <c r="I438" s="70" t="str">
        <f>'RESUMEN TOTAL'!V565</f>
        <v>APAGADO</v>
      </c>
      <c r="J438" s="70" t="str">
        <f>'RESUMEN TOTAL'!W565</f>
        <v>APAGADO</v>
      </c>
      <c r="K438" s="70" t="str">
        <f>'RESUMEN TOTAL'!X565</f>
        <v>APAGADO</v>
      </c>
      <c r="L438" s="70" t="str">
        <f>'RESUMEN TOTAL'!Y565</f>
        <v>APAGADO</v>
      </c>
      <c r="M438" s="70" t="str">
        <f>'RESUMEN TOTAL'!Z565</f>
        <v>APAGADO</v>
      </c>
      <c r="N438" s="70">
        <f>'RESUMEN TOTAL'!AA565</f>
        <v>0</v>
      </c>
      <c r="O438" s="70">
        <f>'RESUMEN TOTAL'!AB565</f>
        <v>0</v>
      </c>
      <c r="P438" s="70" t="str">
        <f>'RESUMEN TOTAL'!AC565</f>
        <v>APAGADO</v>
      </c>
      <c r="Q438" s="70" t="str">
        <f>'RESUMEN TOTAL'!AD565</f>
        <v>APAGADO</v>
      </c>
      <c r="R438" s="70" t="str">
        <f>'RESUMEN TOTAL'!AE565</f>
        <v>APAGADO</v>
      </c>
      <c r="S438" s="70" t="str">
        <f>'RESUMEN TOTAL'!AF565</f>
        <v>APAGADO</v>
      </c>
      <c r="T438" s="70" t="str">
        <f>'RESUMEN TOTAL'!AG565</f>
        <v>APAGADO</v>
      </c>
      <c r="U438" s="70">
        <f>'RESUMEN TOTAL'!AH565</f>
        <v>0</v>
      </c>
      <c r="V438" s="70">
        <f>'RESUMEN TOTAL'!AI565</f>
        <v>0</v>
      </c>
      <c r="W438" s="70" t="str">
        <f>'RESUMEN TOTAL'!AJ565</f>
        <v>APAGADO</v>
      </c>
      <c r="X438" s="70" t="str">
        <f>'RESUMEN TOTAL'!AK565</f>
        <v>APAGADO</v>
      </c>
      <c r="Y438" s="70">
        <f>'RESUMEN TOTAL'!AL565</f>
        <v>0</v>
      </c>
      <c r="Z438" s="70">
        <f>'RESUMEN TOTAL'!AM565</f>
        <v>0</v>
      </c>
      <c r="AA438" s="70">
        <f>'RESUMEN TOTAL'!AN565</f>
        <v>0</v>
      </c>
      <c r="AB438" s="70">
        <f>'RESUMEN TOTAL'!AO565</f>
        <v>0</v>
      </c>
      <c r="AC438" s="70">
        <f>'RESUMEN TOTAL'!AP565</f>
        <v>0</v>
      </c>
      <c r="AD438" s="70">
        <f>'RESUMEN TOTAL'!AQ565</f>
        <v>0</v>
      </c>
      <c r="AE438" s="70">
        <f>'RESUMEN TOTAL'!AR565</f>
        <v>0</v>
      </c>
      <c r="AF438" s="70">
        <f>'RESUMEN TOTAL'!AS565</f>
        <v>0</v>
      </c>
      <c r="AG438" s="70">
        <f>'RESUMEN TOTAL'!AT565</f>
        <v>0</v>
      </c>
      <c r="AH438" s="70">
        <f>'RESUMEN TOTAL'!AU565</f>
        <v>0</v>
      </c>
      <c r="AI438" s="70">
        <f>'RESUMEN TOTAL'!AV565</f>
        <v>0</v>
      </c>
      <c r="AJ438" s="70" t="e">
        <f>'RESUMEN TOTAL'!#REF!</f>
        <v>#REF!</v>
      </c>
    </row>
    <row r="439" spans="1:36" x14ac:dyDescent="0.25">
      <c r="A439" t="str">
        <f>'RESUMEN TOTAL'!F566</f>
        <v>VILLA ARIAS</v>
      </c>
      <c r="B439" t="str">
        <f>'RESUMEN TOTAL'!G566</f>
        <v>VLA 02</v>
      </c>
      <c r="C439" t="str">
        <f>'RESUMEN TOTAL'!I566</f>
        <v>ESPORA Y HUDSON</v>
      </c>
      <c r="D439" s="30" t="str">
        <f>'RESUMEN TOTAL'!J566</f>
        <v>DOMO</v>
      </c>
      <c r="E439" s="30" t="str">
        <f>'RESUMEN TOTAL'!K566</f>
        <v>FO A GPON</v>
      </c>
      <c r="F439" s="70">
        <f>'RESUMEN TOTAL'!S566</f>
        <v>0</v>
      </c>
      <c r="G439" s="70">
        <f>'RESUMEN TOTAL'!T566</f>
        <v>0</v>
      </c>
      <c r="H439" s="70">
        <f>'RESUMEN TOTAL'!U566</f>
        <v>0</v>
      </c>
      <c r="I439" s="70">
        <f>'RESUMEN TOTAL'!V566</f>
        <v>0</v>
      </c>
      <c r="J439" s="70">
        <f>'RESUMEN TOTAL'!W566</f>
        <v>0</v>
      </c>
      <c r="K439" s="70">
        <f>'RESUMEN TOTAL'!X566</f>
        <v>0</v>
      </c>
      <c r="L439" s="70">
        <f>'RESUMEN TOTAL'!Y566</f>
        <v>0</v>
      </c>
      <c r="M439" s="70">
        <f>'RESUMEN TOTAL'!Z566</f>
        <v>0</v>
      </c>
      <c r="N439" s="70">
        <f>'RESUMEN TOTAL'!AA566</f>
        <v>0</v>
      </c>
      <c r="O439" s="70">
        <f>'RESUMEN TOTAL'!AB566</f>
        <v>0</v>
      </c>
      <c r="P439" s="70">
        <f>'RESUMEN TOTAL'!AC566</f>
        <v>0</v>
      </c>
      <c r="Q439" s="70">
        <f>'RESUMEN TOTAL'!AD566</f>
        <v>0</v>
      </c>
      <c r="R439" s="70">
        <f>'RESUMEN TOTAL'!AE566</f>
        <v>0</v>
      </c>
      <c r="S439" s="70">
        <f>'RESUMEN TOTAL'!AF566</f>
        <v>0</v>
      </c>
      <c r="T439" s="70">
        <f>'RESUMEN TOTAL'!AG566</f>
        <v>0</v>
      </c>
      <c r="U439" s="70">
        <f>'RESUMEN TOTAL'!AH566</f>
        <v>0</v>
      </c>
      <c r="V439" s="70">
        <f>'RESUMEN TOTAL'!AI566</f>
        <v>0</v>
      </c>
      <c r="W439" s="70">
        <f>'RESUMEN TOTAL'!AJ566</f>
        <v>0</v>
      </c>
      <c r="X439" s="70">
        <f>'RESUMEN TOTAL'!AK566</f>
        <v>0</v>
      </c>
      <c r="Y439" s="70">
        <f>'RESUMEN TOTAL'!AL566</f>
        <v>0</v>
      </c>
      <c r="Z439" s="70">
        <f>'RESUMEN TOTAL'!AM566</f>
        <v>0</v>
      </c>
      <c r="AA439" s="70">
        <f>'RESUMEN TOTAL'!AN566</f>
        <v>0</v>
      </c>
      <c r="AB439" s="70">
        <f>'RESUMEN TOTAL'!AO566</f>
        <v>0</v>
      </c>
      <c r="AC439" s="70">
        <f>'RESUMEN TOTAL'!AP566</f>
        <v>0</v>
      </c>
      <c r="AD439" s="70">
        <f>'RESUMEN TOTAL'!AQ566</f>
        <v>0</v>
      </c>
      <c r="AE439" s="70">
        <f>'RESUMEN TOTAL'!AR566</f>
        <v>0</v>
      </c>
      <c r="AF439" s="70">
        <f>'RESUMEN TOTAL'!AS566</f>
        <v>0</v>
      </c>
      <c r="AG439" s="70">
        <f>'RESUMEN TOTAL'!AT566</f>
        <v>0</v>
      </c>
      <c r="AH439" s="70">
        <f>'RESUMEN TOTAL'!AU566</f>
        <v>0</v>
      </c>
      <c r="AI439" s="70">
        <f>'RESUMEN TOTAL'!AV566</f>
        <v>0</v>
      </c>
      <c r="AJ439" s="70" t="e">
        <f>'RESUMEN TOTAL'!#REF!</f>
        <v>#REF!</v>
      </c>
    </row>
    <row r="440" spans="1:36" x14ac:dyDescent="0.25">
      <c r="A440" t="str">
        <f>'RESUMEN TOTAL'!F567</f>
        <v>VILLA ARIAS</v>
      </c>
      <c r="B440" t="str">
        <f>'RESUMEN TOTAL'!G567</f>
        <v>VLA03 (fija 2)</v>
      </c>
      <c r="C440" t="str">
        <f>'RESUMEN TOTAL'!I567</f>
        <v>820 y SOLER</v>
      </c>
      <c r="D440" s="30" t="str">
        <f>'RESUMEN TOTAL'!J567</f>
        <v>Fija</v>
      </c>
      <c r="E440" s="30" t="str">
        <f>'RESUMEN TOTAL'!K567</f>
        <v>GPON</v>
      </c>
      <c r="F440" s="70">
        <f>'RESUMEN TOTAL'!S567</f>
        <v>0</v>
      </c>
      <c r="G440" s="70">
        <f>'RESUMEN TOTAL'!T567</f>
        <v>0</v>
      </c>
      <c r="H440" s="70">
        <f>'RESUMEN TOTAL'!U567</f>
        <v>0</v>
      </c>
      <c r="I440" s="70" t="str">
        <f>'RESUMEN TOTAL'!V567</f>
        <v>APAGADO</v>
      </c>
      <c r="J440" s="70" t="str">
        <f>'RESUMEN TOTAL'!W567</f>
        <v>APAGADO</v>
      </c>
      <c r="K440" s="70" t="str">
        <f>'RESUMEN TOTAL'!X567</f>
        <v>APAGADO</v>
      </c>
      <c r="L440" s="70" t="str">
        <f>'RESUMEN TOTAL'!Y567</f>
        <v>APAGADO</v>
      </c>
      <c r="M440" s="70" t="str">
        <f>'RESUMEN TOTAL'!Z567</f>
        <v>APAGADO</v>
      </c>
      <c r="N440" s="70">
        <f>'RESUMEN TOTAL'!AA567</f>
        <v>0</v>
      </c>
      <c r="O440" s="70">
        <f>'RESUMEN TOTAL'!AB567</f>
        <v>0</v>
      </c>
      <c r="P440" s="70" t="str">
        <f>'RESUMEN TOTAL'!AC567</f>
        <v>APAGADO</v>
      </c>
      <c r="Q440" s="70" t="str">
        <f>'RESUMEN TOTAL'!AD567</f>
        <v>APAGADO</v>
      </c>
      <c r="R440" s="70" t="str">
        <f>'RESUMEN TOTAL'!AE567</f>
        <v>APAGADO</v>
      </c>
      <c r="S440" s="70" t="str">
        <f>'RESUMEN TOTAL'!AF567</f>
        <v>APAGADO</v>
      </c>
      <c r="T440" s="70" t="str">
        <f>'RESUMEN TOTAL'!AG567</f>
        <v>APAGADO</v>
      </c>
      <c r="U440" s="70">
        <f>'RESUMEN TOTAL'!AH567</f>
        <v>0</v>
      </c>
      <c r="V440" s="70">
        <f>'RESUMEN TOTAL'!AI567</f>
        <v>0</v>
      </c>
      <c r="W440" s="70">
        <f>'RESUMEN TOTAL'!AJ567</f>
        <v>0</v>
      </c>
      <c r="X440" s="70" t="str">
        <f>'RESUMEN TOTAL'!AK567</f>
        <v>APAGADO</v>
      </c>
      <c r="Y440" s="70">
        <f>'RESUMEN TOTAL'!AL567</f>
        <v>0</v>
      </c>
      <c r="Z440" s="70">
        <f>'RESUMEN TOTAL'!AM567</f>
        <v>0</v>
      </c>
      <c r="AA440" s="70">
        <f>'RESUMEN TOTAL'!AN567</f>
        <v>0</v>
      </c>
      <c r="AB440" s="70">
        <f>'RESUMEN TOTAL'!AO567</f>
        <v>0</v>
      </c>
      <c r="AC440" s="70">
        <f>'RESUMEN TOTAL'!AP567</f>
        <v>0</v>
      </c>
      <c r="AD440" s="70">
        <f>'RESUMEN TOTAL'!AQ567</f>
        <v>0</v>
      </c>
      <c r="AE440" s="70">
        <f>'RESUMEN TOTAL'!AR567</f>
        <v>0</v>
      </c>
      <c r="AF440" s="70">
        <f>'RESUMEN TOTAL'!AS567</f>
        <v>0</v>
      </c>
      <c r="AG440" s="70">
        <f>'RESUMEN TOTAL'!AT567</f>
        <v>0</v>
      </c>
      <c r="AH440" s="70">
        <f>'RESUMEN TOTAL'!AU567</f>
        <v>0</v>
      </c>
      <c r="AI440" s="70">
        <f>'RESUMEN TOTAL'!AV567</f>
        <v>0</v>
      </c>
      <c r="AJ440" s="70" t="e">
        <f>'RESUMEN TOTAL'!#REF!</f>
        <v>#REF!</v>
      </c>
    </row>
    <row r="441" spans="1:36" x14ac:dyDescent="0.25">
      <c r="A441" t="str">
        <f>'RESUMEN TOTAL'!F569</f>
        <v>VILLA ARIAS</v>
      </c>
      <c r="B441" t="str">
        <f>'RESUMEN TOTAL'!G569</f>
        <v>VLA05</v>
      </c>
      <c r="C441" t="str">
        <f>'RESUMEN TOTAL'!I569</f>
        <v>ESPORA Y 802</v>
      </c>
      <c r="D441" s="30" t="str">
        <f>'RESUMEN TOTAL'!J569</f>
        <v>DOMO</v>
      </c>
      <c r="E441" s="30" t="str">
        <f>'RESUMEN TOTAL'!K569</f>
        <v>GPON</v>
      </c>
      <c r="F441" s="70">
        <f>'RESUMEN TOTAL'!S569</f>
        <v>0</v>
      </c>
      <c r="G441" s="70">
        <f>'RESUMEN TOTAL'!T569</f>
        <v>0</v>
      </c>
      <c r="H441" s="70">
        <f>'RESUMEN TOTAL'!U569</f>
        <v>0</v>
      </c>
      <c r="I441" s="70">
        <f>'RESUMEN TOTAL'!V569</f>
        <v>0</v>
      </c>
      <c r="J441" s="70">
        <f>'RESUMEN TOTAL'!W569</f>
        <v>0</v>
      </c>
      <c r="K441" s="70">
        <f>'RESUMEN TOTAL'!X569</f>
        <v>0</v>
      </c>
      <c r="L441" s="70">
        <f>'RESUMEN TOTAL'!Y569</f>
        <v>0</v>
      </c>
      <c r="M441" s="70">
        <f>'RESUMEN TOTAL'!Z569</f>
        <v>0</v>
      </c>
      <c r="N441" s="70">
        <f>'RESUMEN TOTAL'!AA569</f>
        <v>0</v>
      </c>
      <c r="O441" s="70">
        <f>'RESUMEN TOTAL'!AB569</f>
        <v>0</v>
      </c>
      <c r="P441" s="70">
        <f>'RESUMEN TOTAL'!AC569</f>
        <v>0</v>
      </c>
      <c r="Q441" s="70">
        <f>'RESUMEN TOTAL'!AD569</f>
        <v>0</v>
      </c>
      <c r="R441" s="70">
        <f>'RESUMEN TOTAL'!AE569</f>
        <v>0</v>
      </c>
      <c r="S441" s="70">
        <f>'RESUMEN TOTAL'!AF569</f>
        <v>0</v>
      </c>
      <c r="T441" s="70">
        <f>'RESUMEN TOTAL'!AG569</f>
        <v>0</v>
      </c>
      <c r="U441" s="70">
        <f>'RESUMEN TOTAL'!AH569</f>
        <v>0</v>
      </c>
      <c r="V441" s="70">
        <f>'RESUMEN TOTAL'!AI569</f>
        <v>0</v>
      </c>
      <c r="W441" s="70">
        <f>'RESUMEN TOTAL'!AJ569</f>
        <v>0</v>
      </c>
      <c r="X441" s="70">
        <f>'RESUMEN TOTAL'!AK569</f>
        <v>0</v>
      </c>
      <c r="Y441" s="70">
        <f>'RESUMEN TOTAL'!AL569</f>
        <v>0</v>
      </c>
      <c r="Z441" s="70">
        <f>'RESUMEN TOTAL'!AM569</f>
        <v>0</v>
      </c>
      <c r="AA441" s="70">
        <f>'RESUMEN TOTAL'!AN569</f>
        <v>0</v>
      </c>
      <c r="AB441" s="70">
        <f>'RESUMEN TOTAL'!AO569</f>
        <v>0</v>
      </c>
      <c r="AC441" s="70">
        <f>'RESUMEN TOTAL'!AP569</f>
        <v>0</v>
      </c>
      <c r="AD441" s="70">
        <f>'RESUMEN TOTAL'!AQ569</f>
        <v>0</v>
      </c>
      <c r="AE441" s="70">
        <f>'RESUMEN TOTAL'!AR569</f>
        <v>0</v>
      </c>
      <c r="AF441" s="70">
        <f>'RESUMEN TOTAL'!AS569</f>
        <v>0</v>
      </c>
      <c r="AG441" s="70">
        <f>'RESUMEN TOTAL'!AT569</f>
        <v>0</v>
      </c>
      <c r="AH441" s="70">
        <f>'RESUMEN TOTAL'!AU569</f>
        <v>0</v>
      </c>
      <c r="AI441" s="70">
        <f>'RESUMEN TOTAL'!AV569</f>
        <v>0</v>
      </c>
      <c r="AJ441" s="70" t="e">
        <f>'RESUMEN TOTAL'!#REF!</f>
        <v>#REF!</v>
      </c>
    </row>
    <row r="442" spans="1:36" x14ac:dyDescent="0.25">
      <c r="A442" t="str">
        <f>'RESUMEN TOTAL'!F570</f>
        <v>VILLA MONICA NUEVA</v>
      </c>
      <c r="B442" t="str">
        <f>'RESUMEN TOTAL'!G570</f>
        <v>VMO 02</v>
      </c>
      <c r="C442" t="str">
        <f>'RESUMEN TOTAL'!I570</f>
        <v>Rio Carapachay y Oroño</v>
      </c>
      <c r="D442" s="30" t="str">
        <f>'RESUMEN TOTAL'!J570</f>
        <v>Domo</v>
      </c>
      <c r="E442" s="30" t="str">
        <f>'RESUMEN TOTAL'!K570</f>
        <v>Radio</v>
      </c>
      <c r="F442" s="70">
        <f>'RESUMEN TOTAL'!S570</f>
        <v>0</v>
      </c>
      <c r="G442" s="70">
        <f>'RESUMEN TOTAL'!T570</f>
        <v>0</v>
      </c>
      <c r="H442" s="70">
        <f>'RESUMEN TOTAL'!U570</f>
        <v>0</v>
      </c>
      <c r="I442" s="70">
        <f>'RESUMEN TOTAL'!V570</f>
        <v>0</v>
      </c>
      <c r="J442" s="70">
        <f>'RESUMEN TOTAL'!W570</f>
        <v>0</v>
      </c>
      <c r="K442" s="70">
        <f>'RESUMEN TOTAL'!X570</f>
        <v>0</v>
      </c>
      <c r="L442" s="70">
        <f>'RESUMEN TOTAL'!Y570</f>
        <v>0</v>
      </c>
      <c r="M442" s="70">
        <f>'RESUMEN TOTAL'!Z570</f>
        <v>0</v>
      </c>
      <c r="N442" s="70">
        <f>'RESUMEN TOTAL'!AA570</f>
        <v>0</v>
      </c>
      <c r="O442" s="70">
        <f>'RESUMEN TOTAL'!AB570</f>
        <v>0</v>
      </c>
      <c r="P442" s="70">
        <f>'RESUMEN TOTAL'!AC570</f>
        <v>0</v>
      </c>
      <c r="Q442" s="70">
        <f>'RESUMEN TOTAL'!AD570</f>
        <v>0</v>
      </c>
      <c r="R442" s="70">
        <f>'RESUMEN TOTAL'!AE570</f>
        <v>0</v>
      </c>
      <c r="S442" s="70">
        <f>'RESUMEN TOTAL'!AF570</f>
        <v>0</v>
      </c>
      <c r="T442" s="70">
        <f>'RESUMEN TOTAL'!AG570</f>
        <v>0</v>
      </c>
      <c r="U442" s="70">
        <f>'RESUMEN TOTAL'!AH570</f>
        <v>0</v>
      </c>
      <c r="V442" s="70">
        <f>'RESUMEN TOTAL'!AI570</f>
        <v>0</v>
      </c>
      <c r="W442" s="70">
        <f>'RESUMEN TOTAL'!AJ570</f>
        <v>0</v>
      </c>
      <c r="X442" s="70">
        <f>'RESUMEN TOTAL'!AK570</f>
        <v>0</v>
      </c>
      <c r="Y442" s="70">
        <f>'RESUMEN TOTAL'!AL570</f>
        <v>0</v>
      </c>
      <c r="Z442" s="70">
        <f>'RESUMEN TOTAL'!AM570</f>
        <v>0</v>
      </c>
      <c r="AA442" s="70">
        <f>'RESUMEN TOTAL'!AN570</f>
        <v>0</v>
      </c>
      <c r="AB442" s="70">
        <f>'RESUMEN TOTAL'!AO570</f>
        <v>0</v>
      </c>
      <c r="AC442" s="70">
        <f>'RESUMEN TOTAL'!AP570</f>
        <v>0</v>
      </c>
      <c r="AD442" s="70">
        <f>'RESUMEN TOTAL'!AQ570</f>
        <v>0</v>
      </c>
      <c r="AE442" s="70">
        <f>'RESUMEN TOTAL'!AR570</f>
        <v>0</v>
      </c>
      <c r="AF442" s="70">
        <f>'RESUMEN TOTAL'!AS570</f>
        <v>0</v>
      </c>
      <c r="AG442" s="70">
        <f>'RESUMEN TOTAL'!AT570</f>
        <v>0</v>
      </c>
      <c r="AH442" s="70">
        <f>'RESUMEN TOTAL'!AU570</f>
        <v>0</v>
      </c>
      <c r="AI442" s="70">
        <f>'RESUMEN TOTAL'!AV570</f>
        <v>0</v>
      </c>
      <c r="AJ442" s="70" t="e">
        <f>'RESUMEN TOTAL'!#REF!</f>
        <v>#REF!</v>
      </c>
    </row>
    <row r="443" spans="1:36" x14ac:dyDescent="0.25">
      <c r="A443" t="str">
        <f>'RESUMEN TOTAL'!F571</f>
        <v>VILLA MONICA NUEVA</v>
      </c>
      <c r="B443" t="str">
        <f>'RESUMEN TOTAL'!G571</f>
        <v>VMO 03 (fija 1)</v>
      </c>
      <c r="C443" t="str">
        <f>'RESUMEN TOTAL'!I571</f>
        <v>EVA PERON E/ OROÑO Y 734 A</v>
      </c>
      <c r="D443" s="30" t="str">
        <f>'RESUMEN TOTAL'!J571</f>
        <v>Fija</v>
      </c>
      <c r="E443" s="30" t="str">
        <f>'RESUMEN TOTAL'!K571</f>
        <v>Fibra Optica</v>
      </c>
      <c r="F443" s="70">
        <f>'RESUMEN TOTAL'!S571</f>
        <v>0</v>
      </c>
      <c r="G443" s="70">
        <f>'RESUMEN TOTAL'!T571</f>
        <v>0</v>
      </c>
      <c r="H443" s="70">
        <f>'RESUMEN TOTAL'!U571</f>
        <v>0</v>
      </c>
      <c r="I443" s="70" t="str">
        <f>'RESUMEN TOTAL'!V571</f>
        <v>APAGADO</v>
      </c>
      <c r="J443" s="70" t="str">
        <f>'RESUMEN TOTAL'!W571</f>
        <v>APAGADO</v>
      </c>
      <c r="K443" s="70" t="str">
        <f>'RESUMEN TOTAL'!X571</f>
        <v>APAGADO</v>
      </c>
      <c r="L443" s="70" t="str">
        <f>'RESUMEN TOTAL'!Y571</f>
        <v>APAGADO</v>
      </c>
      <c r="M443" s="70" t="str">
        <f>'RESUMEN TOTAL'!Z571</f>
        <v>APAGADO</v>
      </c>
      <c r="N443" s="70">
        <f>'RESUMEN TOTAL'!AA571</f>
        <v>0</v>
      </c>
      <c r="O443" s="70">
        <f>'RESUMEN TOTAL'!AB571</f>
        <v>0</v>
      </c>
      <c r="P443" s="70" t="str">
        <f>'RESUMEN TOTAL'!AC571</f>
        <v>APAGADO</v>
      </c>
      <c r="Q443" s="70" t="str">
        <f>'RESUMEN TOTAL'!AD571</f>
        <v>APAGADO</v>
      </c>
      <c r="R443" s="70" t="str">
        <f>'RESUMEN TOTAL'!AE571</f>
        <v>APAGADO</v>
      </c>
      <c r="S443" s="70" t="str">
        <f>'RESUMEN TOTAL'!AF571</f>
        <v>APAGADO</v>
      </c>
      <c r="T443" s="70" t="str">
        <f>'RESUMEN TOTAL'!AG571</f>
        <v>APAGADO</v>
      </c>
      <c r="U443" s="70">
        <f>'RESUMEN TOTAL'!AH571</f>
        <v>0</v>
      </c>
      <c r="V443" s="70">
        <f>'RESUMEN TOTAL'!AI571</f>
        <v>0</v>
      </c>
      <c r="W443" s="70" t="str">
        <f>'RESUMEN TOTAL'!AJ571</f>
        <v>APAGADO</v>
      </c>
      <c r="X443" s="70">
        <f>'RESUMEN TOTAL'!AK571</f>
        <v>0</v>
      </c>
      <c r="Y443" s="70">
        <f>'RESUMEN TOTAL'!AL571</f>
        <v>0</v>
      </c>
      <c r="Z443" s="70">
        <f>'RESUMEN TOTAL'!AM571</f>
        <v>0</v>
      </c>
      <c r="AA443" s="70">
        <f>'RESUMEN TOTAL'!AN571</f>
        <v>0</v>
      </c>
      <c r="AB443" s="70">
        <f>'RESUMEN TOTAL'!AO571</f>
        <v>0</v>
      </c>
      <c r="AC443" s="70">
        <f>'RESUMEN TOTAL'!AP571</f>
        <v>0</v>
      </c>
      <c r="AD443" s="70">
        <f>'RESUMEN TOTAL'!AQ571</f>
        <v>0</v>
      </c>
      <c r="AE443" s="70">
        <f>'RESUMEN TOTAL'!AR571</f>
        <v>0</v>
      </c>
      <c r="AF443" s="70">
        <f>'RESUMEN TOTAL'!AS571</f>
        <v>0</v>
      </c>
      <c r="AG443" s="70">
        <f>'RESUMEN TOTAL'!AT571</f>
        <v>0</v>
      </c>
      <c r="AH443" s="70">
        <f>'RESUMEN TOTAL'!AU571</f>
        <v>0</v>
      </c>
      <c r="AI443" s="70">
        <f>'RESUMEN TOTAL'!AV571</f>
        <v>0</v>
      </c>
      <c r="AJ443" s="70" t="e">
        <f>'RESUMEN TOTAL'!#REF!</f>
        <v>#REF!</v>
      </c>
    </row>
    <row r="444" spans="1:36" x14ac:dyDescent="0.25">
      <c r="A444" t="str">
        <f>'RESUMEN TOTAL'!F572</f>
        <v>VILLA MONICA NUEVA</v>
      </c>
      <c r="B444" t="str">
        <f>'RESUMEN TOTAL'!G572</f>
        <v>VMO 04 (fija 2)</v>
      </c>
      <c r="C444" t="str">
        <f>'RESUMEN TOTAL'!I572</f>
        <v>EVA PERON E/ OROÑO Y 734 A</v>
      </c>
      <c r="D444" s="30" t="str">
        <f>'RESUMEN TOTAL'!J572</f>
        <v>Fija</v>
      </c>
      <c r="E444" s="30" t="str">
        <f>'RESUMEN TOTAL'!K572</f>
        <v>Fibra Optica</v>
      </c>
      <c r="F444" s="70">
        <f>'RESUMEN TOTAL'!S572</f>
        <v>0</v>
      </c>
      <c r="G444" s="70">
        <f>'RESUMEN TOTAL'!T572</f>
        <v>0</v>
      </c>
      <c r="H444" s="70">
        <f>'RESUMEN TOTAL'!U572</f>
        <v>0</v>
      </c>
      <c r="I444" s="70" t="str">
        <f>'RESUMEN TOTAL'!V572</f>
        <v>APAGADO</v>
      </c>
      <c r="J444" s="70" t="str">
        <f>'RESUMEN TOTAL'!W572</f>
        <v>APAGADO</v>
      </c>
      <c r="K444" s="70" t="str">
        <f>'RESUMEN TOTAL'!X572</f>
        <v>APAGADO</v>
      </c>
      <c r="L444" s="70" t="str">
        <f>'RESUMEN TOTAL'!Y572</f>
        <v>APAGADO</v>
      </c>
      <c r="M444" s="70" t="str">
        <f>'RESUMEN TOTAL'!Z572</f>
        <v>APAGADO</v>
      </c>
      <c r="N444" s="70">
        <f>'RESUMEN TOTAL'!AA572</f>
        <v>0</v>
      </c>
      <c r="O444" s="70">
        <f>'RESUMEN TOTAL'!AB572</f>
        <v>0</v>
      </c>
      <c r="P444" s="70" t="str">
        <f>'RESUMEN TOTAL'!AC572</f>
        <v>APAGADO</v>
      </c>
      <c r="Q444" s="70" t="str">
        <f>'RESUMEN TOTAL'!AD572</f>
        <v>APAGADO</v>
      </c>
      <c r="R444" s="70" t="str">
        <f>'RESUMEN TOTAL'!AE572</f>
        <v>APAGADO</v>
      </c>
      <c r="S444" s="70" t="str">
        <f>'RESUMEN TOTAL'!AF572</f>
        <v>APAGADO</v>
      </c>
      <c r="T444" s="70" t="str">
        <f>'RESUMEN TOTAL'!AG572</f>
        <v>APAGADO</v>
      </c>
      <c r="U444" s="70">
        <f>'RESUMEN TOTAL'!AH572</f>
        <v>0</v>
      </c>
      <c r="V444" s="70">
        <f>'RESUMEN TOTAL'!AI572</f>
        <v>0</v>
      </c>
      <c r="W444" s="70" t="str">
        <f>'RESUMEN TOTAL'!AJ572</f>
        <v>APAGADO</v>
      </c>
      <c r="X444" s="70">
        <f>'RESUMEN TOTAL'!AK572</f>
        <v>0</v>
      </c>
      <c r="Y444" s="70">
        <f>'RESUMEN TOTAL'!AL572</f>
        <v>0</v>
      </c>
      <c r="Z444" s="70">
        <f>'RESUMEN TOTAL'!AM572</f>
        <v>0</v>
      </c>
      <c r="AA444" s="70">
        <f>'RESUMEN TOTAL'!AN572</f>
        <v>0</v>
      </c>
      <c r="AB444" s="70">
        <f>'RESUMEN TOTAL'!AO572</f>
        <v>0</v>
      </c>
      <c r="AC444" s="70">
        <f>'RESUMEN TOTAL'!AP572</f>
        <v>0</v>
      </c>
      <c r="AD444" s="70">
        <f>'RESUMEN TOTAL'!AQ572</f>
        <v>0</v>
      </c>
      <c r="AE444" s="70">
        <f>'RESUMEN TOTAL'!AR572</f>
        <v>0</v>
      </c>
      <c r="AF444" s="70">
        <f>'RESUMEN TOTAL'!AS572</f>
        <v>0</v>
      </c>
      <c r="AG444" s="70">
        <f>'RESUMEN TOTAL'!AT572</f>
        <v>0</v>
      </c>
      <c r="AH444" s="70">
        <f>'RESUMEN TOTAL'!AU572</f>
        <v>0</v>
      </c>
      <c r="AI444" s="70">
        <f>'RESUMEN TOTAL'!AV572</f>
        <v>0</v>
      </c>
      <c r="AJ444" s="70" t="e">
        <f>'RESUMEN TOTAL'!#REF!</f>
        <v>#REF!</v>
      </c>
    </row>
    <row r="445" spans="1:36" x14ac:dyDescent="0.25">
      <c r="A445" t="str">
        <f>'RESUMEN TOTAL'!F573</f>
        <v>VILLA MONICA NUEVA</v>
      </c>
      <c r="B445" t="str">
        <f>'RESUMEN TOTAL'!G573</f>
        <v>VMO 05</v>
      </c>
      <c r="C445" t="str">
        <f>'RESUMEN TOTAL'!I573</f>
        <v>OROÑO Y EVA PERON</v>
      </c>
      <c r="D445" s="30" t="str">
        <f>'RESUMEN TOTAL'!J573</f>
        <v>DOMO</v>
      </c>
      <c r="E445" s="30" t="str">
        <f>'RESUMEN TOTAL'!K573</f>
        <v>Fibra Optica</v>
      </c>
      <c r="F445" s="70">
        <f>'RESUMEN TOTAL'!S573</f>
        <v>0</v>
      </c>
      <c r="G445" s="70">
        <f>'RESUMEN TOTAL'!T573</f>
        <v>0</v>
      </c>
      <c r="H445" s="70">
        <f>'RESUMEN TOTAL'!U573</f>
        <v>0</v>
      </c>
      <c r="I445" s="70" t="str">
        <f>'RESUMEN TOTAL'!V573</f>
        <v>APAGADO</v>
      </c>
      <c r="J445" s="70" t="str">
        <f>'RESUMEN TOTAL'!W573</f>
        <v>APAGADO</v>
      </c>
      <c r="K445" s="70" t="str">
        <f>'RESUMEN TOTAL'!X573</f>
        <v>APAGADO</v>
      </c>
      <c r="L445" s="70" t="str">
        <f>'RESUMEN TOTAL'!Y573</f>
        <v>APAGADO</v>
      </c>
      <c r="M445" s="70" t="str">
        <f>'RESUMEN TOTAL'!Z573</f>
        <v>APAGADO</v>
      </c>
      <c r="N445" s="70">
        <f>'RESUMEN TOTAL'!AA573</f>
        <v>0</v>
      </c>
      <c r="O445" s="70">
        <f>'RESUMEN TOTAL'!AB573</f>
        <v>0</v>
      </c>
      <c r="P445" s="70" t="str">
        <f>'RESUMEN TOTAL'!AC573</f>
        <v>APAGADO</v>
      </c>
      <c r="Q445" s="70" t="str">
        <f>'RESUMEN TOTAL'!AD573</f>
        <v>APAGADO</v>
      </c>
      <c r="R445" s="70" t="str">
        <f>'RESUMEN TOTAL'!AE573</f>
        <v>APAGADO</v>
      </c>
      <c r="S445" s="70" t="str">
        <f>'RESUMEN TOTAL'!AF573</f>
        <v>APAGADO</v>
      </c>
      <c r="T445" s="70" t="str">
        <f>'RESUMEN TOTAL'!AG573</f>
        <v>APAGADO</v>
      </c>
      <c r="U445" s="70">
        <f>'RESUMEN TOTAL'!AH573</f>
        <v>0</v>
      </c>
      <c r="V445" s="70">
        <f>'RESUMEN TOTAL'!AI573</f>
        <v>0</v>
      </c>
      <c r="W445" s="70" t="str">
        <f>'RESUMEN TOTAL'!AJ573</f>
        <v>APAGADO</v>
      </c>
      <c r="X445" s="70">
        <f>'RESUMEN TOTAL'!AK573</f>
        <v>0</v>
      </c>
      <c r="Y445" s="70">
        <f>'RESUMEN TOTAL'!AL573</f>
        <v>0</v>
      </c>
      <c r="Z445" s="70">
        <f>'RESUMEN TOTAL'!AM573</f>
        <v>0</v>
      </c>
      <c r="AA445" s="70">
        <f>'RESUMEN TOTAL'!AN573</f>
        <v>0</v>
      </c>
      <c r="AB445" s="70">
        <f>'RESUMEN TOTAL'!AO573</f>
        <v>0</v>
      </c>
      <c r="AC445" s="70">
        <f>'RESUMEN TOTAL'!AP573</f>
        <v>0</v>
      </c>
      <c r="AD445" s="70">
        <f>'RESUMEN TOTAL'!AQ573</f>
        <v>0</v>
      </c>
      <c r="AE445" s="70">
        <f>'RESUMEN TOTAL'!AR573</f>
        <v>0</v>
      </c>
      <c r="AF445" s="70">
        <f>'RESUMEN TOTAL'!AS573</f>
        <v>0</v>
      </c>
      <c r="AG445" s="70">
        <f>'RESUMEN TOTAL'!AT573</f>
        <v>0</v>
      </c>
      <c r="AH445" s="70">
        <f>'RESUMEN TOTAL'!AU573</f>
        <v>0</v>
      </c>
      <c r="AI445" s="70">
        <f>'RESUMEN TOTAL'!AV573</f>
        <v>0</v>
      </c>
      <c r="AJ445" s="70" t="e">
        <f>'RESUMEN TOTAL'!#REF!</f>
        <v>#REF!</v>
      </c>
    </row>
    <row r="446" spans="1:36" x14ac:dyDescent="0.25">
      <c r="A446" t="str">
        <f>'RESUMEN TOTAL'!F574</f>
        <v>VILLA MONICA NUEVA</v>
      </c>
      <c r="B446" t="str">
        <f>'RESUMEN TOTAL'!G574</f>
        <v>VMO01</v>
      </c>
      <c r="C446" t="str">
        <f>'RESUMEN TOTAL'!I574</f>
        <v>Eva Peron y Monseñor de las Casas</v>
      </c>
      <c r="D446" s="30" t="str">
        <f>'RESUMEN TOTAL'!J574</f>
        <v>DOMO</v>
      </c>
      <c r="E446" s="30" t="str">
        <f>'RESUMEN TOTAL'!K574</f>
        <v>PTO A FO</v>
      </c>
      <c r="F446" s="70">
        <f>'RESUMEN TOTAL'!S574</f>
        <v>0</v>
      </c>
      <c r="G446" s="70">
        <f>'RESUMEN TOTAL'!T574</f>
        <v>0</v>
      </c>
      <c r="H446" s="70">
        <f>'RESUMEN TOTAL'!U574</f>
        <v>0</v>
      </c>
      <c r="I446" s="70" t="str">
        <f>'RESUMEN TOTAL'!V574</f>
        <v>APAGADO</v>
      </c>
      <c r="J446" s="70" t="str">
        <f>'RESUMEN TOTAL'!W574</f>
        <v>APAGADO</v>
      </c>
      <c r="K446" s="70" t="str">
        <f>'RESUMEN TOTAL'!X574</f>
        <v>APAGADO</v>
      </c>
      <c r="L446" s="70" t="str">
        <f>'RESUMEN TOTAL'!Y574</f>
        <v>APAGADO</v>
      </c>
      <c r="M446" s="70" t="str">
        <f>'RESUMEN TOTAL'!Z574</f>
        <v>APAGADO</v>
      </c>
      <c r="N446" s="70">
        <f>'RESUMEN TOTAL'!AA574</f>
        <v>0</v>
      </c>
      <c r="O446" s="70">
        <f>'RESUMEN TOTAL'!AB574</f>
        <v>0</v>
      </c>
      <c r="P446" s="70" t="str">
        <f>'RESUMEN TOTAL'!AC574</f>
        <v>APAGADO</v>
      </c>
      <c r="Q446" s="70" t="str">
        <f>'RESUMEN TOTAL'!AD574</f>
        <v>APAGADO</v>
      </c>
      <c r="R446" s="70" t="str">
        <f>'RESUMEN TOTAL'!AE574</f>
        <v>APAGADO</v>
      </c>
      <c r="S446" s="70" t="str">
        <f>'RESUMEN TOTAL'!AF574</f>
        <v>APAGADO</v>
      </c>
      <c r="T446" s="70" t="str">
        <f>'RESUMEN TOTAL'!AG574</f>
        <v>APAGADO</v>
      </c>
      <c r="U446" s="70">
        <f>'RESUMEN TOTAL'!AH574</f>
        <v>0</v>
      </c>
      <c r="V446" s="70">
        <f>'RESUMEN TOTAL'!AI574</f>
        <v>0</v>
      </c>
      <c r="W446" s="70" t="str">
        <f>'RESUMEN TOTAL'!AJ574</f>
        <v>APAGADO</v>
      </c>
      <c r="X446" s="70" t="str">
        <f>'RESUMEN TOTAL'!AK574</f>
        <v>APAGADO</v>
      </c>
      <c r="Y446" s="70">
        <f>'RESUMEN TOTAL'!AL574</f>
        <v>0</v>
      </c>
      <c r="Z446" s="70">
        <f>'RESUMEN TOTAL'!AM574</f>
        <v>0</v>
      </c>
      <c r="AA446" s="70">
        <f>'RESUMEN TOTAL'!AN574</f>
        <v>0</v>
      </c>
      <c r="AB446" s="70">
        <f>'RESUMEN TOTAL'!AO574</f>
        <v>0</v>
      </c>
      <c r="AC446" s="70">
        <f>'RESUMEN TOTAL'!AP574</f>
        <v>0</v>
      </c>
      <c r="AD446" s="70">
        <f>'RESUMEN TOTAL'!AQ574</f>
        <v>0</v>
      </c>
      <c r="AE446" s="70">
        <f>'RESUMEN TOTAL'!AR574</f>
        <v>0</v>
      </c>
      <c r="AF446" s="70">
        <f>'RESUMEN TOTAL'!AS574</f>
        <v>0</v>
      </c>
      <c r="AG446" s="70">
        <f>'RESUMEN TOTAL'!AT574</f>
        <v>0</v>
      </c>
      <c r="AH446" s="70">
        <f>'RESUMEN TOTAL'!AU574</f>
        <v>0</v>
      </c>
      <c r="AI446" s="70">
        <f>'RESUMEN TOTAL'!AV574</f>
        <v>0</v>
      </c>
      <c r="AJ446" s="70" t="e">
        <f>'RESUMEN TOTAL'!#REF!</f>
        <v>#REF!</v>
      </c>
    </row>
    <row r="447" spans="1:36" x14ac:dyDescent="0.25">
      <c r="A447" t="str">
        <f>'RESUMEN TOTAL'!F575</f>
        <v>VILLA MONICA VIEJA</v>
      </c>
      <c r="B447" t="str">
        <f>'RESUMEN TOTAL'!G575</f>
        <v>VMOV 02 (fija 2)</v>
      </c>
      <c r="C447" t="str">
        <f>'RESUMEN TOTAL'!I575</f>
        <v>ATENAS E/ CAFFERATA Y ALEMANIA</v>
      </c>
      <c r="D447" s="30" t="str">
        <f>'RESUMEN TOTAL'!J575</f>
        <v>Fija</v>
      </c>
      <c r="E447" s="30" t="str">
        <f>'RESUMEN TOTAL'!K575</f>
        <v>Fibra Optica</v>
      </c>
      <c r="F447" s="70">
        <f>'RESUMEN TOTAL'!S575</f>
        <v>0</v>
      </c>
      <c r="G447" s="70">
        <f>'RESUMEN TOTAL'!T575</f>
        <v>0</v>
      </c>
      <c r="H447" s="70">
        <f>'RESUMEN TOTAL'!U575</f>
        <v>0</v>
      </c>
      <c r="I447" s="70" t="str">
        <f>'RESUMEN TOTAL'!V575</f>
        <v>APAGADO</v>
      </c>
      <c r="J447" s="70" t="str">
        <f>'RESUMEN TOTAL'!W575</f>
        <v>APAGADO</v>
      </c>
      <c r="K447" s="70" t="str">
        <f>'RESUMEN TOTAL'!X575</f>
        <v>APAGADO</v>
      </c>
      <c r="L447" s="70" t="str">
        <f>'RESUMEN TOTAL'!Y575</f>
        <v>APAGADO</v>
      </c>
      <c r="M447" s="70" t="str">
        <f>'RESUMEN TOTAL'!Z575</f>
        <v>APAGADO</v>
      </c>
      <c r="N447" s="70">
        <f>'RESUMEN TOTAL'!AA575</f>
        <v>0</v>
      </c>
      <c r="O447" s="70">
        <f>'RESUMEN TOTAL'!AB575</f>
        <v>0</v>
      </c>
      <c r="P447" s="70" t="str">
        <f>'RESUMEN TOTAL'!AC575</f>
        <v>APAGADO</v>
      </c>
      <c r="Q447" s="70" t="str">
        <f>'RESUMEN TOTAL'!AD575</f>
        <v>APAGADO</v>
      </c>
      <c r="R447" s="70" t="str">
        <f>'RESUMEN TOTAL'!AE575</f>
        <v>APAGADO</v>
      </c>
      <c r="S447" s="70" t="str">
        <f>'RESUMEN TOTAL'!AF575</f>
        <v>APAGADO</v>
      </c>
      <c r="T447" s="70" t="str">
        <f>'RESUMEN TOTAL'!AG575</f>
        <v>APAGADO</v>
      </c>
      <c r="U447" s="70">
        <f>'RESUMEN TOTAL'!AH575</f>
        <v>0</v>
      </c>
      <c r="V447" s="70">
        <f>'RESUMEN TOTAL'!AI575</f>
        <v>0</v>
      </c>
      <c r="W447" s="70" t="str">
        <f>'RESUMEN TOTAL'!AJ575</f>
        <v>APAGADO</v>
      </c>
      <c r="X447" s="70">
        <f>'RESUMEN TOTAL'!AK575</f>
        <v>0</v>
      </c>
      <c r="Y447" s="70">
        <f>'RESUMEN TOTAL'!AL575</f>
        <v>0</v>
      </c>
      <c r="Z447" s="70">
        <f>'RESUMEN TOTAL'!AM575</f>
        <v>0</v>
      </c>
      <c r="AA447" s="70">
        <f>'RESUMEN TOTAL'!AN575</f>
        <v>0</v>
      </c>
      <c r="AB447" s="70">
        <f>'RESUMEN TOTAL'!AO575</f>
        <v>0</v>
      </c>
      <c r="AC447" s="70">
        <f>'RESUMEN TOTAL'!AP575</f>
        <v>0</v>
      </c>
      <c r="AD447" s="70">
        <f>'RESUMEN TOTAL'!AQ575</f>
        <v>0</v>
      </c>
      <c r="AE447" s="70">
        <f>'RESUMEN TOTAL'!AR575</f>
        <v>0</v>
      </c>
      <c r="AF447" s="70">
        <f>'RESUMEN TOTAL'!AS575</f>
        <v>0</v>
      </c>
      <c r="AG447" s="70">
        <f>'RESUMEN TOTAL'!AT575</f>
        <v>0</v>
      </c>
      <c r="AH447" s="70">
        <f>'RESUMEN TOTAL'!AU575</f>
        <v>0</v>
      </c>
      <c r="AI447" s="70">
        <f>'RESUMEN TOTAL'!AV575</f>
        <v>0</v>
      </c>
      <c r="AJ447" s="70" t="e">
        <f>'RESUMEN TOTAL'!#REF!</f>
        <v>#REF!</v>
      </c>
    </row>
    <row r="448" spans="1:36" x14ac:dyDescent="0.25">
      <c r="A448" t="str">
        <f>'RESUMEN TOTAL'!F576</f>
        <v>VILLA MONICA VIEJA</v>
      </c>
      <c r="B448" t="str">
        <f>'RESUMEN TOTAL'!G576</f>
        <v>VMOV 03 (fija 1)</v>
      </c>
      <c r="C448" t="str">
        <f>'RESUMEN TOTAL'!I576</f>
        <v>ROMA E/ HOLANDA Y CAFFERATA</v>
      </c>
      <c r="D448" s="30" t="str">
        <f>'RESUMEN TOTAL'!J576</f>
        <v>Fija</v>
      </c>
      <c r="E448" s="30" t="str">
        <f>'RESUMEN TOTAL'!K576</f>
        <v>Fibra Optica</v>
      </c>
      <c r="F448" s="70">
        <f>'RESUMEN TOTAL'!S576</f>
        <v>0</v>
      </c>
      <c r="G448" s="70">
        <f>'RESUMEN TOTAL'!T576</f>
        <v>0</v>
      </c>
      <c r="H448" s="70">
        <f>'RESUMEN TOTAL'!U576</f>
        <v>0</v>
      </c>
      <c r="I448" s="70" t="str">
        <f>'RESUMEN TOTAL'!V576</f>
        <v>APAGADO</v>
      </c>
      <c r="J448" s="70" t="str">
        <f>'RESUMEN TOTAL'!W576</f>
        <v>APAGADO</v>
      </c>
      <c r="K448" s="70" t="str">
        <f>'RESUMEN TOTAL'!X576</f>
        <v>APAGADO</v>
      </c>
      <c r="L448" s="70" t="str">
        <f>'RESUMEN TOTAL'!Y576</f>
        <v>APAGADO</v>
      </c>
      <c r="M448" s="70" t="str">
        <f>'RESUMEN TOTAL'!Z576</f>
        <v>APAGADO</v>
      </c>
      <c r="N448" s="70">
        <f>'RESUMEN TOTAL'!AA576</f>
        <v>0</v>
      </c>
      <c r="O448" s="70">
        <f>'RESUMEN TOTAL'!AB576</f>
        <v>0</v>
      </c>
      <c r="P448" s="70" t="str">
        <f>'RESUMEN TOTAL'!AC576</f>
        <v>APAGADO</v>
      </c>
      <c r="Q448" s="70" t="str">
        <f>'RESUMEN TOTAL'!AD576</f>
        <v>APAGADO</v>
      </c>
      <c r="R448" s="70" t="str">
        <f>'RESUMEN TOTAL'!AE576</f>
        <v>APAGADO</v>
      </c>
      <c r="S448" s="70" t="str">
        <f>'RESUMEN TOTAL'!AF576</f>
        <v>APAGADO</v>
      </c>
      <c r="T448" s="70" t="str">
        <f>'RESUMEN TOTAL'!AG576</f>
        <v>APAGADO</v>
      </c>
      <c r="U448" s="70">
        <f>'RESUMEN TOTAL'!AH576</f>
        <v>0</v>
      </c>
      <c r="V448" s="70">
        <f>'RESUMEN TOTAL'!AI576</f>
        <v>0</v>
      </c>
      <c r="W448" s="70" t="str">
        <f>'RESUMEN TOTAL'!AJ576</f>
        <v>APAGADO</v>
      </c>
      <c r="X448" s="70">
        <f>'RESUMEN TOTAL'!AK576</f>
        <v>0</v>
      </c>
      <c r="Y448" s="70">
        <f>'RESUMEN TOTAL'!AL576</f>
        <v>0</v>
      </c>
      <c r="Z448" s="70">
        <f>'RESUMEN TOTAL'!AM576</f>
        <v>0</v>
      </c>
      <c r="AA448" s="70">
        <f>'RESUMEN TOTAL'!AN576</f>
        <v>0</v>
      </c>
      <c r="AB448" s="70">
        <f>'RESUMEN TOTAL'!AO576</f>
        <v>0</v>
      </c>
      <c r="AC448" s="70">
        <f>'RESUMEN TOTAL'!AP576</f>
        <v>0</v>
      </c>
      <c r="AD448" s="70">
        <f>'RESUMEN TOTAL'!AQ576</f>
        <v>0</v>
      </c>
      <c r="AE448" s="70">
        <f>'RESUMEN TOTAL'!AR576</f>
        <v>0</v>
      </c>
      <c r="AF448" s="70">
        <f>'RESUMEN TOTAL'!AS576</f>
        <v>0</v>
      </c>
      <c r="AG448" s="70">
        <f>'RESUMEN TOTAL'!AT576</f>
        <v>0</v>
      </c>
      <c r="AH448" s="70">
        <f>'RESUMEN TOTAL'!AU576</f>
        <v>0</v>
      </c>
      <c r="AI448" s="70">
        <f>'RESUMEN TOTAL'!AV576</f>
        <v>0</v>
      </c>
      <c r="AJ448" s="70" t="e">
        <f>'RESUMEN TOTAL'!#REF!</f>
        <v>#REF!</v>
      </c>
    </row>
    <row r="449" spans="1:36" x14ac:dyDescent="0.25">
      <c r="A449" t="str">
        <f>'RESUMEN TOTAL'!F577</f>
        <v>VILLA MONICA VIEJA</v>
      </c>
      <c r="B449" t="str">
        <f>'RESUMEN TOTAL'!G577</f>
        <v>VMOV01 (fija 1)</v>
      </c>
      <c r="C449" t="str">
        <f>'RESUMEN TOTAL'!I577</f>
        <v>ATENAS E/ CAFFERATA Y ALEMANIA</v>
      </c>
      <c r="D449" s="30" t="str">
        <f>'RESUMEN TOTAL'!J577</f>
        <v>Fija</v>
      </c>
      <c r="E449" s="30" t="str">
        <f>'RESUMEN TOTAL'!K577</f>
        <v>Fibra Optica</v>
      </c>
      <c r="F449" s="70">
        <f>'RESUMEN TOTAL'!S577</f>
        <v>0</v>
      </c>
      <c r="G449" s="70">
        <f>'RESUMEN TOTAL'!T577</f>
        <v>0</v>
      </c>
      <c r="H449" s="70">
        <f>'RESUMEN TOTAL'!U577</f>
        <v>0</v>
      </c>
      <c r="I449" s="70" t="str">
        <f>'RESUMEN TOTAL'!V577</f>
        <v>APAGADO</v>
      </c>
      <c r="J449" s="70" t="str">
        <f>'RESUMEN TOTAL'!W577</f>
        <v>APAGADO</v>
      </c>
      <c r="K449" s="70" t="str">
        <f>'RESUMEN TOTAL'!X577</f>
        <v>APAGADO</v>
      </c>
      <c r="L449" s="70" t="str">
        <f>'RESUMEN TOTAL'!Y577</f>
        <v>APAGADO</v>
      </c>
      <c r="M449" s="70" t="str">
        <f>'RESUMEN TOTAL'!Z577</f>
        <v>APAGADO</v>
      </c>
      <c r="N449" s="70">
        <f>'RESUMEN TOTAL'!AA577</f>
        <v>0</v>
      </c>
      <c r="O449" s="70">
        <f>'RESUMEN TOTAL'!AB577</f>
        <v>0</v>
      </c>
      <c r="P449" s="70" t="str">
        <f>'RESUMEN TOTAL'!AC577</f>
        <v>APAGADO</v>
      </c>
      <c r="Q449" s="70" t="str">
        <f>'RESUMEN TOTAL'!AD577</f>
        <v>APAGADO</v>
      </c>
      <c r="R449" s="70" t="str">
        <f>'RESUMEN TOTAL'!AE577</f>
        <v>APAGADO</v>
      </c>
      <c r="S449" s="70" t="str">
        <f>'RESUMEN TOTAL'!AF577</f>
        <v>APAGADO</v>
      </c>
      <c r="T449" s="70" t="str">
        <f>'RESUMEN TOTAL'!AG577</f>
        <v>APAGADO</v>
      </c>
      <c r="U449" s="70">
        <f>'RESUMEN TOTAL'!AH577</f>
        <v>0</v>
      </c>
      <c r="V449" s="70">
        <f>'RESUMEN TOTAL'!AI577</f>
        <v>0</v>
      </c>
      <c r="W449" s="70" t="str">
        <f>'RESUMEN TOTAL'!AJ577</f>
        <v>APAGADO</v>
      </c>
      <c r="X449" s="70">
        <f>'RESUMEN TOTAL'!AK577</f>
        <v>0</v>
      </c>
      <c r="Y449" s="70">
        <f>'RESUMEN TOTAL'!AL577</f>
        <v>0</v>
      </c>
      <c r="Z449" s="70">
        <f>'RESUMEN TOTAL'!AM577</f>
        <v>0</v>
      </c>
      <c r="AA449" s="70">
        <f>'RESUMEN TOTAL'!AN577</f>
        <v>0</v>
      </c>
      <c r="AB449" s="70">
        <f>'RESUMEN TOTAL'!AO577</f>
        <v>0</v>
      </c>
      <c r="AC449" s="70">
        <f>'RESUMEN TOTAL'!AP577</f>
        <v>0</v>
      </c>
      <c r="AD449" s="70">
        <f>'RESUMEN TOTAL'!AQ577</f>
        <v>0</v>
      </c>
      <c r="AE449" s="70">
        <f>'RESUMEN TOTAL'!AR577</f>
        <v>0</v>
      </c>
      <c r="AF449" s="70">
        <f>'RESUMEN TOTAL'!AS577</f>
        <v>0</v>
      </c>
      <c r="AG449" s="70">
        <f>'RESUMEN TOTAL'!AT577</f>
        <v>0</v>
      </c>
      <c r="AH449" s="70">
        <f>'RESUMEN TOTAL'!AU577</f>
        <v>0</v>
      </c>
      <c r="AI449" s="70">
        <f>'RESUMEN TOTAL'!AV577</f>
        <v>0</v>
      </c>
      <c r="AJ449" s="70" t="e">
        <f>'RESUMEN TOTAL'!#REF!</f>
        <v>#REF!</v>
      </c>
    </row>
    <row r="450" spans="1:36" x14ac:dyDescent="0.25">
      <c r="A450" t="str">
        <f>'RESUMEN TOTAL'!F578</f>
        <v>VILLA MONICA VIEJA</v>
      </c>
      <c r="B450" t="str">
        <f>'RESUMEN TOTAL'!G578</f>
        <v>VMOV04 (fija 2)</v>
      </c>
      <c r="C450" t="str">
        <f>'RESUMEN TOTAL'!I578</f>
        <v>ROMA E/ HOLANDA Y CAFFERATA</v>
      </c>
      <c r="D450" s="30" t="str">
        <f>'RESUMEN TOTAL'!J578</f>
        <v>Fija</v>
      </c>
      <c r="E450" s="30" t="str">
        <f>'RESUMEN TOTAL'!K578</f>
        <v>Fibra Optica</v>
      </c>
      <c r="F450" s="70">
        <f>'RESUMEN TOTAL'!S578</f>
        <v>0</v>
      </c>
      <c r="G450" s="70">
        <f>'RESUMEN TOTAL'!T578</f>
        <v>0</v>
      </c>
      <c r="H450" s="70">
        <f>'RESUMEN TOTAL'!U578</f>
        <v>0</v>
      </c>
      <c r="I450" s="70" t="str">
        <f>'RESUMEN TOTAL'!V578</f>
        <v>APAGADO</v>
      </c>
      <c r="J450" s="70" t="str">
        <f>'RESUMEN TOTAL'!W578</f>
        <v>APAGADO</v>
      </c>
      <c r="K450" s="70" t="str">
        <f>'RESUMEN TOTAL'!X578</f>
        <v>APAGADO</v>
      </c>
      <c r="L450" s="70" t="str">
        <f>'RESUMEN TOTAL'!Y578</f>
        <v>APAGADO</v>
      </c>
      <c r="M450" s="70" t="str">
        <f>'RESUMEN TOTAL'!Z578</f>
        <v>APAGADO</v>
      </c>
      <c r="N450" s="70">
        <f>'RESUMEN TOTAL'!AA578</f>
        <v>0</v>
      </c>
      <c r="O450" s="70">
        <f>'RESUMEN TOTAL'!AB578</f>
        <v>0</v>
      </c>
      <c r="P450" s="70" t="str">
        <f>'RESUMEN TOTAL'!AC578</f>
        <v>APAGADO</v>
      </c>
      <c r="Q450" s="70" t="str">
        <f>'RESUMEN TOTAL'!AD578</f>
        <v>APAGADO</v>
      </c>
      <c r="R450" s="70" t="str">
        <f>'RESUMEN TOTAL'!AE578</f>
        <v>APAGADO</v>
      </c>
      <c r="S450" s="70" t="str">
        <f>'RESUMEN TOTAL'!AF578</f>
        <v>APAGADO</v>
      </c>
      <c r="T450" s="70" t="str">
        <f>'RESUMEN TOTAL'!AG578</f>
        <v>APAGADO</v>
      </c>
      <c r="U450" s="70">
        <f>'RESUMEN TOTAL'!AH578</f>
        <v>0</v>
      </c>
      <c r="V450" s="70">
        <f>'RESUMEN TOTAL'!AI578</f>
        <v>0</v>
      </c>
      <c r="W450" s="70" t="str">
        <f>'RESUMEN TOTAL'!AJ578</f>
        <v>APAGADO</v>
      </c>
      <c r="X450" s="70">
        <f>'RESUMEN TOTAL'!AK578</f>
        <v>0</v>
      </c>
      <c r="Y450" s="70">
        <f>'RESUMEN TOTAL'!AL578</f>
        <v>0</v>
      </c>
      <c r="Z450" s="70">
        <f>'RESUMEN TOTAL'!AM578</f>
        <v>0</v>
      </c>
      <c r="AA450" s="70">
        <f>'RESUMEN TOTAL'!AN578</f>
        <v>0</v>
      </c>
      <c r="AB450" s="70">
        <f>'RESUMEN TOTAL'!AO578</f>
        <v>0</v>
      </c>
      <c r="AC450" s="70">
        <f>'RESUMEN TOTAL'!AP578</f>
        <v>0</v>
      </c>
      <c r="AD450" s="70">
        <f>'RESUMEN TOTAL'!AQ578</f>
        <v>0</v>
      </c>
      <c r="AE450" s="70">
        <f>'RESUMEN TOTAL'!AR578</f>
        <v>0</v>
      </c>
      <c r="AF450" s="70">
        <f>'RESUMEN TOTAL'!AS578</f>
        <v>0</v>
      </c>
      <c r="AG450" s="70">
        <f>'RESUMEN TOTAL'!AT578</f>
        <v>0</v>
      </c>
      <c r="AH450" s="70">
        <f>'RESUMEN TOTAL'!AU578</f>
        <v>0</v>
      </c>
      <c r="AI450" s="70">
        <f>'RESUMEN TOTAL'!AV578</f>
        <v>0</v>
      </c>
      <c r="AJ450" s="70" t="e">
        <f>'RESUMEN TOTAL'!#REF!</f>
        <v>#REF!</v>
      </c>
    </row>
    <row r="451" spans="1:36" x14ac:dyDescent="0.25">
      <c r="A451" t="str">
        <f>'RESUMEN TOTAL'!F582</f>
        <v>VILLA SAN LUIS</v>
      </c>
      <c r="B451" t="str">
        <f>'RESUMEN TOTAL'!G582</f>
        <v>VSL 03</v>
      </c>
      <c r="C451" t="str">
        <f>'RESUMEN TOTAL'!I582</f>
        <v>1314 y 1371</v>
      </c>
      <c r="D451" s="30" t="str">
        <f>'RESUMEN TOTAL'!J582</f>
        <v>DOMO</v>
      </c>
      <c r="E451" s="30" t="str">
        <f>'RESUMEN TOTAL'!K582</f>
        <v>GPON</v>
      </c>
      <c r="F451" s="70">
        <f>'RESUMEN TOTAL'!S582</f>
        <v>0</v>
      </c>
      <c r="G451" s="70">
        <f>'RESUMEN TOTAL'!T582</f>
        <v>0</v>
      </c>
      <c r="H451" s="70">
        <f>'RESUMEN TOTAL'!U582</f>
        <v>0</v>
      </c>
      <c r="I451" s="70">
        <f>'RESUMEN TOTAL'!V582</f>
        <v>0</v>
      </c>
      <c r="J451" s="70">
        <f>'RESUMEN TOTAL'!W582</f>
        <v>0</v>
      </c>
      <c r="K451" s="70">
        <f>'RESUMEN TOTAL'!X582</f>
        <v>0</v>
      </c>
      <c r="L451" s="70">
        <f>'RESUMEN TOTAL'!Y582</f>
        <v>0</v>
      </c>
      <c r="M451" s="70">
        <f>'RESUMEN TOTAL'!Z582</f>
        <v>0</v>
      </c>
      <c r="N451" s="70">
        <f>'RESUMEN TOTAL'!AA582</f>
        <v>0</v>
      </c>
      <c r="O451" s="70">
        <f>'RESUMEN TOTAL'!AB582</f>
        <v>0</v>
      </c>
      <c r="P451" s="70">
        <f>'RESUMEN TOTAL'!AC582</f>
        <v>0</v>
      </c>
      <c r="Q451" s="70">
        <f>'RESUMEN TOTAL'!AD582</f>
        <v>0</v>
      </c>
      <c r="R451" s="70">
        <f>'RESUMEN TOTAL'!AE582</f>
        <v>0</v>
      </c>
      <c r="S451" s="70">
        <f>'RESUMEN TOTAL'!AF582</f>
        <v>0</v>
      </c>
      <c r="T451" s="70">
        <f>'RESUMEN TOTAL'!AG582</f>
        <v>0</v>
      </c>
      <c r="U451" s="70">
        <f>'RESUMEN TOTAL'!AH582</f>
        <v>0</v>
      </c>
      <c r="V451" s="70">
        <f>'RESUMEN TOTAL'!AI582</f>
        <v>0</v>
      </c>
      <c r="W451" s="70">
        <f>'RESUMEN TOTAL'!AJ582</f>
        <v>0</v>
      </c>
      <c r="X451" s="70">
        <f>'RESUMEN TOTAL'!AK582</f>
        <v>0</v>
      </c>
      <c r="Y451" s="70">
        <f>'RESUMEN TOTAL'!AL582</f>
        <v>0</v>
      </c>
      <c r="Z451" s="70">
        <f>'RESUMEN TOTAL'!AM582</f>
        <v>0</v>
      </c>
      <c r="AA451" s="70">
        <f>'RESUMEN TOTAL'!AN582</f>
        <v>0</v>
      </c>
      <c r="AB451" s="70">
        <f>'RESUMEN TOTAL'!AO582</f>
        <v>0</v>
      </c>
      <c r="AC451" s="70">
        <f>'RESUMEN TOTAL'!AP582</f>
        <v>0</v>
      </c>
      <c r="AD451" s="70">
        <f>'RESUMEN TOTAL'!AQ582</f>
        <v>0</v>
      </c>
      <c r="AE451" s="70">
        <f>'RESUMEN TOTAL'!AR582</f>
        <v>0</v>
      </c>
      <c r="AF451" s="70">
        <f>'RESUMEN TOTAL'!AS582</f>
        <v>0</v>
      </c>
      <c r="AG451" s="70">
        <f>'RESUMEN TOTAL'!AT582</f>
        <v>0</v>
      </c>
      <c r="AH451" s="70">
        <f>'RESUMEN TOTAL'!AU582</f>
        <v>0</v>
      </c>
      <c r="AI451" s="70">
        <f>'RESUMEN TOTAL'!AV582</f>
        <v>0</v>
      </c>
      <c r="AJ451" s="70" t="e">
        <f>'RESUMEN TOTAL'!#REF!</f>
        <v>#REF!</v>
      </c>
    </row>
    <row r="452" spans="1:36" x14ac:dyDescent="0.25">
      <c r="A452" t="str">
        <f>'RESUMEN TOTAL'!F583</f>
        <v>VILLA SUSANA</v>
      </c>
      <c r="B452" t="str">
        <f>'RESUMEN TOTAL'!G583</f>
        <v>VSU 02</v>
      </c>
      <c r="C452" t="str">
        <f>'RESUMEN TOTAL'!I583</f>
        <v>CABELLO Y SANTA FE</v>
      </c>
      <c r="D452" s="30" t="str">
        <f>'RESUMEN TOTAL'!J583</f>
        <v>DOMO</v>
      </c>
      <c r="E452" s="30" t="str">
        <f>'RESUMEN TOTAL'!K583</f>
        <v>Radio</v>
      </c>
      <c r="F452" s="70">
        <f>'RESUMEN TOTAL'!S583</f>
        <v>0</v>
      </c>
      <c r="G452" s="70">
        <f>'RESUMEN TOTAL'!T583</f>
        <v>0</v>
      </c>
      <c r="H452" s="70">
        <f>'RESUMEN TOTAL'!U583</f>
        <v>0</v>
      </c>
      <c r="I452" s="70">
        <f>'RESUMEN TOTAL'!V583</f>
        <v>0</v>
      </c>
      <c r="J452" s="70">
        <f>'RESUMEN TOTAL'!W583</f>
        <v>0</v>
      </c>
      <c r="K452" s="70">
        <f>'RESUMEN TOTAL'!X583</f>
        <v>0</v>
      </c>
      <c r="L452" s="70">
        <f>'RESUMEN TOTAL'!Y583</f>
        <v>0</v>
      </c>
      <c r="M452" s="70">
        <f>'RESUMEN TOTAL'!Z583</f>
        <v>0</v>
      </c>
      <c r="N452" s="70">
        <f>'RESUMEN TOTAL'!AA583</f>
        <v>0</v>
      </c>
      <c r="O452" s="70">
        <f>'RESUMEN TOTAL'!AB583</f>
        <v>0</v>
      </c>
      <c r="P452" s="70">
        <f>'RESUMEN TOTAL'!AC583</f>
        <v>0</v>
      </c>
      <c r="Q452" s="70">
        <f>'RESUMEN TOTAL'!AD583</f>
        <v>0</v>
      </c>
      <c r="R452" s="70">
        <f>'RESUMEN TOTAL'!AE583</f>
        <v>0</v>
      </c>
      <c r="S452" s="70">
        <f>'RESUMEN TOTAL'!AF583</f>
        <v>0</v>
      </c>
      <c r="T452" s="70">
        <f>'RESUMEN TOTAL'!AG583</f>
        <v>0</v>
      </c>
      <c r="U452" s="70">
        <f>'RESUMEN TOTAL'!AH583</f>
        <v>0</v>
      </c>
      <c r="V452" s="70">
        <f>'RESUMEN TOTAL'!AI583</f>
        <v>0</v>
      </c>
      <c r="W452" s="70">
        <f>'RESUMEN TOTAL'!AJ583</f>
        <v>0</v>
      </c>
      <c r="X452" s="70">
        <f>'RESUMEN TOTAL'!AK583</f>
        <v>0</v>
      </c>
      <c r="Y452" s="70">
        <f>'RESUMEN TOTAL'!AL583</f>
        <v>0</v>
      </c>
      <c r="Z452" s="70">
        <f>'RESUMEN TOTAL'!AM583</f>
        <v>0</v>
      </c>
      <c r="AA452" s="70">
        <f>'RESUMEN TOTAL'!AN583</f>
        <v>0</v>
      </c>
      <c r="AB452" s="70">
        <f>'RESUMEN TOTAL'!AO583</f>
        <v>0</v>
      </c>
      <c r="AC452" s="70">
        <f>'RESUMEN TOTAL'!AP583</f>
        <v>0</v>
      </c>
      <c r="AD452" s="70">
        <f>'RESUMEN TOTAL'!AQ583</f>
        <v>0</v>
      </c>
      <c r="AE452" s="70">
        <f>'RESUMEN TOTAL'!AR583</f>
        <v>0</v>
      </c>
      <c r="AF452" s="70">
        <f>'RESUMEN TOTAL'!AS583</f>
        <v>0</v>
      </c>
      <c r="AG452" s="70">
        <f>'RESUMEN TOTAL'!AT583</f>
        <v>0</v>
      </c>
      <c r="AH452" s="70">
        <f>'RESUMEN TOTAL'!AU583</f>
        <v>0</v>
      </c>
      <c r="AI452" s="70">
        <f>'RESUMEN TOTAL'!AV583</f>
        <v>0</v>
      </c>
      <c r="AJ452" s="70" t="e">
        <f>'RESUMEN TOTAL'!#REF!</f>
        <v>#REF!</v>
      </c>
    </row>
    <row r="453" spans="1:36" x14ac:dyDescent="0.25">
      <c r="A453" t="str">
        <f>'RESUMEN TOTAL'!F584</f>
        <v>VILLA SUSANA</v>
      </c>
      <c r="B453" t="str">
        <f>'RESUMEN TOTAL'!G584</f>
        <v>VSU 03</v>
      </c>
      <c r="C453" t="str">
        <f>'RESUMEN TOTAL'!I584</f>
        <v>EE.UU Y SERRANO</v>
      </c>
      <c r="D453" s="30" t="str">
        <f>'RESUMEN TOTAL'!J584</f>
        <v>DOMO</v>
      </c>
      <c r="E453" s="30" t="str">
        <f>'RESUMEN TOTAL'!K584</f>
        <v>Radio</v>
      </c>
      <c r="F453" s="70">
        <f>'RESUMEN TOTAL'!S584</f>
        <v>0</v>
      </c>
      <c r="G453" s="70">
        <f>'RESUMEN TOTAL'!T584</f>
        <v>0</v>
      </c>
      <c r="H453" s="70">
        <f>'RESUMEN TOTAL'!U584</f>
        <v>0</v>
      </c>
      <c r="I453" s="70">
        <f>'RESUMEN TOTAL'!V584</f>
        <v>0</v>
      </c>
      <c r="J453" s="70">
        <f>'RESUMEN TOTAL'!W584</f>
        <v>0</v>
      </c>
      <c r="K453" s="70">
        <f>'RESUMEN TOTAL'!X584</f>
        <v>0</v>
      </c>
      <c r="L453" s="70">
        <f>'RESUMEN TOTAL'!Y584</f>
        <v>0</v>
      </c>
      <c r="M453" s="70">
        <f>'RESUMEN TOTAL'!Z584</f>
        <v>0</v>
      </c>
      <c r="N453" s="70">
        <f>'RESUMEN TOTAL'!AA584</f>
        <v>0</v>
      </c>
      <c r="O453" s="70">
        <f>'RESUMEN TOTAL'!AB584</f>
        <v>0</v>
      </c>
      <c r="P453" s="70">
        <f>'RESUMEN TOTAL'!AC584</f>
        <v>0</v>
      </c>
      <c r="Q453" s="70">
        <f>'RESUMEN TOTAL'!AD584</f>
        <v>0</v>
      </c>
      <c r="R453" s="70">
        <f>'RESUMEN TOTAL'!AE584</f>
        <v>0</v>
      </c>
      <c r="S453" s="70">
        <f>'RESUMEN TOTAL'!AF584</f>
        <v>0</v>
      </c>
      <c r="T453" s="70">
        <f>'RESUMEN TOTAL'!AG584</f>
        <v>0</v>
      </c>
      <c r="U453" s="70">
        <f>'RESUMEN TOTAL'!AH584</f>
        <v>0</v>
      </c>
      <c r="V453" s="70">
        <f>'RESUMEN TOTAL'!AI584</f>
        <v>0</v>
      </c>
      <c r="W453" s="70">
        <f>'RESUMEN TOTAL'!AJ584</f>
        <v>0</v>
      </c>
      <c r="X453" s="70">
        <f>'RESUMEN TOTAL'!AK584</f>
        <v>0</v>
      </c>
      <c r="Y453" s="70">
        <f>'RESUMEN TOTAL'!AL584</f>
        <v>0</v>
      </c>
      <c r="Z453" s="70">
        <f>'RESUMEN TOTAL'!AM584</f>
        <v>0</v>
      </c>
      <c r="AA453" s="70">
        <f>'RESUMEN TOTAL'!AN584</f>
        <v>0</v>
      </c>
      <c r="AB453" s="70">
        <f>'RESUMEN TOTAL'!AO584</f>
        <v>0</v>
      </c>
      <c r="AC453" s="70">
        <f>'RESUMEN TOTAL'!AP584</f>
        <v>0</v>
      </c>
      <c r="AD453" s="70">
        <f>'RESUMEN TOTAL'!AQ584</f>
        <v>0</v>
      </c>
      <c r="AE453" s="70">
        <f>'RESUMEN TOTAL'!AR584</f>
        <v>0</v>
      </c>
      <c r="AF453" s="70">
        <f>'RESUMEN TOTAL'!AS584</f>
        <v>0</v>
      </c>
      <c r="AG453" s="70">
        <f>'RESUMEN TOTAL'!AT584</f>
        <v>0</v>
      </c>
      <c r="AH453" s="70">
        <f>'RESUMEN TOTAL'!AU584</f>
        <v>0</v>
      </c>
      <c r="AI453" s="70">
        <f>'RESUMEN TOTAL'!AV584</f>
        <v>0</v>
      </c>
      <c r="AJ453" s="70" t="e">
        <f>'RESUMEN TOTAL'!#REF!</f>
        <v>#REF!</v>
      </c>
    </row>
    <row r="454" spans="1:36" x14ac:dyDescent="0.25">
      <c r="A454" t="str">
        <f>'RESUMEN TOTAL'!F585</f>
        <v>VILLA SUSANA</v>
      </c>
      <c r="B454" t="str">
        <f>'RESUMEN TOTAL'!G585</f>
        <v>VSU 04</v>
      </c>
      <c r="C454" t="str">
        <f>'RESUMEN TOTAL'!I585</f>
        <v>Aniceto Diaz y Cordoba</v>
      </c>
      <c r="D454" s="30" t="str">
        <f>'RESUMEN TOTAL'!J585</f>
        <v>fija</v>
      </c>
      <c r="E454" s="30" t="str">
        <f>'RESUMEN TOTAL'!K585</f>
        <v>Fibra Optica</v>
      </c>
      <c r="F454" s="70">
        <f>'RESUMEN TOTAL'!S585</f>
        <v>0</v>
      </c>
      <c r="G454" s="70">
        <f>'RESUMEN TOTAL'!T585</f>
        <v>0</v>
      </c>
      <c r="H454" s="70">
        <f>'RESUMEN TOTAL'!U585</f>
        <v>0</v>
      </c>
      <c r="I454" s="70">
        <f>'RESUMEN TOTAL'!V585</f>
        <v>0</v>
      </c>
      <c r="J454" s="70">
        <f>'RESUMEN TOTAL'!W585</f>
        <v>0</v>
      </c>
      <c r="K454" s="70">
        <f>'RESUMEN TOTAL'!X585</f>
        <v>0</v>
      </c>
      <c r="L454" s="70">
        <f>'RESUMEN TOTAL'!Y585</f>
        <v>0</v>
      </c>
      <c r="M454" s="70">
        <f>'RESUMEN TOTAL'!Z585</f>
        <v>0</v>
      </c>
      <c r="N454" s="70">
        <f>'RESUMEN TOTAL'!AA585</f>
        <v>0</v>
      </c>
      <c r="O454" s="70">
        <f>'RESUMEN TOTAL'!AB585</f>
        <v>0</v>
      </c>
      <c r="P454" s="70">
        <f>'RESUMEN TOTAL'!AC585</f>
        <v>0</v>
      </c>
      <c r="Q454" s="70">
        <f>'RESUMEN TOTAL'!AD585</f>
        <v>0</v>
      </c>
      <c r="R454" s="70">
        <f>'RESUMEN TOTAL'!AE585</f>
        <v>0</v>
      </c>
      <c r="S454" s="70">
        <f>'RESUMEN TOTAL'!AF585</f>
        <v>0</v>
      </c>
      <c r="T454" s="70">
        <f>'RESUMEN TOTAL'!AG585</f>
        <v>0</v>
      </c>
      <c r="U454" s="70">
        <f>'RESUMEN TOTAL'!AH585</f>
        <v>0</v>
      </c>
      <c r="V454" s="70">
        <f>'RESUMEN TOTAL'!AI585</f>
        <v>0</v>
      </c>
      <c r="W454" s="70">
        <f>'RESUMEN TOTAL'!AJ585</f>
        <v>0</v>
      </c>
      <c r="X454" s="70">
        <f>'RESUMEN TOTAL'!AK585</f>
        <v>0</v>
      </c>
      <c r="Y454" s="70">
        <f>'RESUMEN TOTAL'!AL585</f>
        <v>0</v>
      </c>
      <c r="Z454" s="70">
        <f>'RESUMEN TOTAL'!AM585</f>
        <v>0</v>
      </c>
      <c r="AA454" s="70">
        <f>'RESUMEN TOTAL'!AN585</f>
        <v>0</v>
      </c>
      <c r="AB454" s="70">
        <f>'RESUMEN TOTAL'!AO585</f>
        <v>0</v>
      </c>
      <c r="AC454" s="70">
        <f>'RESUMEN TOTAL'!AP585</f>
        <v>0</v>
      </c>
      <c r="AD454" s="70">
        <f>'RESUMEN TOTAL'!AQ585</f>
        <v>0</v>
      </c>
      <c r="AE454" s="70">
        <f>'RESUMEN TOTAL'!AR585</f>
        <v>0</v>
      </c>
      <c r="AF454" s="70">
        <f>'RESUMEN TOTAL'!AS585</f>
        <v>0</v>
      </c>
      <c r="AG454" s="70">
        <f>'RESUMEN TOTAL'!AT585</f>
        <v>0</v>
      </c>
      <c r="AH454" s="70">
        <f>'RESUMEN TOTAL'!AU585</f>
        <v>0</v>
      </c>
      <c r="AI454" s="70">
        <f>'RESUMEN TOTAL'!AV585</f>
        <v>0</v>
      </c>
      <c r="AJ454" s="70" t="e">
        <f>'RESUMEN TOTAL'!#REF!</f>
        <v>#REF!</v>
      </c>
    </row>
    <row r="455" spans="1:36" x14ac:dyDescent="0.25">
      <c r="A455" t="str">
        <f>'RESUMEN TOTAL'!F586</f>
        <v>VILLA SUSANA</v>
      </c>
      <c r="B455" t="str">
        <f>'RESUMEN TOTAL'!G586</f>
        <v>VSU 05</v>
      </c>
      <c r="C455" t="str">
        <f>'RESUMEN TOTAL'!I586</f>
        <v>Aniceto Diaz y Cordoba</v>
      </c>
      <c r="D455" s="30" t="str">
        <f>'RESUMEN TOTAL'!J586</f>
        <v>fija</v>
      </c>
      <c r="E455" s="30" t="str">
        <f>'RESUMEN TOTAL'!K586</f>
        <v>Fibra Optica</v>
      </c>
      <c r="F455" s="70">
        <f>'RESUMEN TOTAL'!S586</f>
        <v>0</v>
      </c>
      <c r="G455" s="70">
        <f>'RESUMEN TOTAL'!T586</f>
        <v>0</v>
      </c>
      <c r="H455" s="70">
        <f>'RESUMEN TOTAL'!U586</f>
        <v>0</v>
      </c>
      <c r="I455" s="70">
        <f>'RESUMEN TOTAL'!V586</f>
        <v>0</v>
      </c>
      <c r="J455" s="70">
        <f>'RESUMEN TOTAL'!W586</f>
        <v>0</v>
      </c>
      <c r="K455" s="70">
        <f>'RESUMEN TOTAL'!X586</f>
        <v>0</v>
      </c>
      <c r="L455" s="70">
        <f>'RESUMEN TOTAL'!Y586</f>
        <v>0</v>
      </c>
      <c r="M455" s="70">
        <f>'RESUMEN TOTAL'!Z586</f>
        <v>0</v>
      </c>
      <c r="N455" s="70">
        <f>'RESUMEN TOTAL'!AA586</f>
        <v>0</v>
      </c>
      <c r="O455" s="70">
        <f>'RESUMEN TOTAL'!AB586</f>
        <v>0</v>
      </c>
      <c r="P455" s="70">
        <f>'RESUMEN TOTAL'!AC586</f>
        <v>0</v>
      </c>
      <c r="Q455" s="70">
        <f>'RESUMEN TOTAL'!AD586</f>
        <v>0</v>
      </c>
      <c r="R455" s="70">
        <f>'RESUMEN TOTAL'!AE586</f>
        <v>0</v>
      </c>
      <c r="S455" s="70">
        <f>'RESUMEN TOTAL'!AF586</f>
        <v>0</v>
      </c>
      <c r="T455" s="70">
        <f>'RESUMEN TOTAL'!AG586</f>
        <v>0</v>
      </c>
      <c r="U455" s="70">
        <f>'RESUMEN TOTAL'!AH586</f>
        <v>0</v>
      </c>
      <c r="V455" s="70">
        <f>'RESUMEN TOTAL'!AI586</f>
        <v>0</v>
      </c>
      <c r="W455" s="70">
        <f>'RESUMEN TOTAL'!AJ586</f>
        <v>0</v>
      </c>
      <c r="X455" s="70">
        <f>'RESUMEN TOTAL'!AK586</f>
        <v>0</v>
      </c>
      <c r="Y455" s="70">
        <f>'RESUMEN TOTAL'!AL586</f>
        <v>0</v>
      </c>
      <c r="Z455" s="70">
        <f>'RESUMEN TOTAL'!AM586</f>
        <v>0</v>
      </c>
      <c r="AA455" s="70">
        <f>'RESUMEN TOTAL'!AN586</f>
        <v>0</v>
      </c>
      <c r="AB455" s="70">
        <f>'RESUMEN TOTAL'!AO586</f>
        <v>0</v>
      </c>
      <c r="AC455" s="70">
        <f>'RESUMEN TOTAL'!AP586</f>
        <v>0</v>
      </c>
      <c r="AD455" s="70">
        <f>'RESUMEN TOTAL'!AQ586</f>
        <v>0</v>
      </c>
      <c r="AE455" s="70">
        <f>'RESUMEN TOTAL'!AR586</f>
        <v>0</v>
      </c>
      <c r="AF455" s="70">
        <f>'RESUMEN TOTAL'!AS586</f>
        <v>0</v>
      </c>
      <c r="AG455" s="70">
        <f>'RESUMEN TOTAL'!AT586</f>
        <v>0</v>
      </c>
      <c r="AH455" s="70">
        <f>'RESUMEN TOTAL'!AU586</f>
        <v>0</v>
      </c>
      <c r="AI455" s="70">
        <f>'RESUMEN TOTAL'!AV586</f>
        <v>0</v>
      </c>
      <c r="AJ455" s="70" t="e">
        <f>'RESUMEN TOTAL'!#REF!</f>
        <v>#REF!</v>
      </c>
    </row>
    <row r="456" spans="1:36" x14ac:dyDescent="0.25">
      <c r="A456" t="str">
        <f>'RESUMEN TOTAL'!F587</f>
        <v>VILLA SUSANA</v>
      </c>
      <c r="B456" t="str">
        <f>'RESUMEN TOTAL'!G587</f>
        <v>VSU 06</v>
      </c>
      <c r="C456" t="str">
        <f>'RESUMEN TOTAL'!I587</f>
        <v>EE.UU Y BROWN</v>
      </c>
      <c r="D456" s="30" t="str">
        <f>'RESUMEN TOTAL'!J587</f>
        <v>DOMO</v>
      </c>
      <c r="E456" s="30" t="str">
        <f>'RESUMEN TOTAL'!K587</f>
        <v>Fibra Optica</v>
      </c>
      <c r="F456" s="70">
        <f>'RESUMEN TOTAL'!S587</f>
        <v>0</v>
      </c>
      <c r="G456" s="70">
        <f>'RESUMEN TOTAL'!T587</f>
        <v>0</v>
      </c>
      <c r="H456" s="70">
        <f>'RESUMEN TOTAL'!U587</f>
        <v>0</v>
      </c>
      <c r="I456" s="70">
        <f>'RESUMEN TOTAL'!V587</f>
        <v>0</v>
      </c>
      <c r="J456" s="70">
        <f>'RESUMEN TOTAL'!W587</f>
        <v>0</v>
      </c>
      <c r="K456" s="70">
        <f>'RESUMEN TOTAL'!X587</f>
        <v>0</v>
      </c>
      <c r="L456" s="70" t="str">
        <f>'RESUMEN TOTAL'!Y587</f>
        <v>APAGADO</v>
      </c>
      <c r="M456" s="70" t="str">
        <f>'RESUMEN TOTAL'!Z587</f>
        <v>APAGADO</v>
      </c>
      <c r="N456" s="70">
        <f>'RESUMEN TOTAL'!AA587</f>
        <v>0</v>
      </c>
      <c r="O456" s="70">
        <f>'RESUMEN TOTAL'!AB587</f>
        <v>0</v>
      </c>
      <c r="P456" s="70" t="str">
        <f>'RESUMEN TOTAL'!AC587</f>
        <v>APAGADO</v>
      </c>
      <c r="Q456" s="70" t="str">
        <f>'RESUMEN TOTAL'!AD587</f>
        <v>APAGADO</v>
      </c>
      <c r="R456" s="70" t="str">
        <f>'RESUMEN TOTAL'!AE587</f>
        <v>APAGADO</v>
      </c>
      <c r="S456" s="70" t="str">
        <f>'RESUMEN TOTAL'!AF587</f>
        <v>APAGADO</v>
      </c>
      <c r="T456" s="70" t="str">
        <f>'RESUMEN TOTAL'!AG587</f>
        <v>APAGADO</v>
      </c>
      <c r="U456" s="70">
        <f>'RESUMEN TOTAL'!AH587</f>
        <v>0</v>
      </c>
      <c r="V456" s="70">
        <f>'RESUMEN TOTAL'!AI587</f>
        <v>0</v>
      </c>
      <c r="W456" s="70" t="str">
        <f>'RESUMEN TOTAL'!AJ587</f>
        <v>APAGADO</v>
      </c>
      <c r="X456" s="70" t="str">
        <f>'RESUMEN TOTAL'!AK587</f>
        <v>APAGADO</v>
      </c>
      <c r="Y456" s="70">
        <f>'RESUMEN TOTAL'!AL587</f>
        <v>0</v>
      </c>
      <c r="Z456" s="70">
        <f>'RESUMEN TOTAL'!AM587</f>
        <v>0</v>
      </c>
      <c r="AA456" s="70">
        <f>'RESUMEN TOTAL'!AN587</f>
        <v>0</v>
      </c>
      <c r="AB456" s="70">
        <f>'RESUMEN TOTAL'!AO587</f>
        <v>0</v>
      </c>
      <c r="AC456" s="70">
        <f>'RESUMEN TOTAL'!AP587</f>
        <v>0</v>
      </c>
      <c r="AD456" s="70">
        <f>'RESUMEN TOTAL'!AQ587</f>
        <v>0</v>
      </c>
      <c r="AE456" s="70">
        <f>'RESUMEN TOTAL'!AR587</f>
        <v>0</v>
      </c>
      <c r="AF456" s="70">
        <f>'RESUMEN TOTAL'!AS587</f>
        <v>0</v>
      </c>
      <c r="AG456" s="70">
        <f>'RESUMEN TOTAL'!AT587</f>
        <v>0</v>
      </c>
      <c r="AH456" s="70">
        <f>'RESUMEN TOTAL'!AU587</f>
        <v>0</v>
      </c>
      <c r="AI456" s="70">
        <f>'RESUMEN TOTAL'!AV587</f>
        <v>0</v>
      </c>
      <c r="AJ456" s="70" t="e">
        <f>'RESUMEN TOTAL'!#REF!</f>
        <v>#REF!</v>
      </c>
    </row>
    <row r="457" spans="1:36" x14ac:dyDescent="0.25">
      <c r="A457" t="str">
        <f>'RESUMEN TOTAL'!F589</f>
        <v>ZEBALLOS</v>
      </c>
      <c r="B457" t="str">
        <f>'RESUMEN TOTAL'!G589</f>
        <v>ZEB 05</v>
      </c>
      <c r="C457" t="str">
        <f>'RESUMEN TOTAL'!I589</f>
        <v>DIAG. GRANADEROS Y 214 BIS</v>
      </c>
      <c r="D457" s="30" t="str">
        <f>'RESUMEN TOTAL'!J589</f>
        <v>Domo</v>
      </c>
      <c r="E457" s="30" t="str">
        <f>'RESUMEN TOTAL'!K589</f>
        <v>GPON</v>
      </c>
      <c r="F457" s="70">
        <f>'RESUMEN TOTAL'!S589</f>
        <v>0</v>
      </c>
      <c r="G457" s="70">
        <f>'RESUMEN TOTAL'!T589</f>
        <v>0</v>
      </c>
      <c r="H457" s="70">
        <f>'RESUMEN TOTAL'!U589</f>
        <v>0</v>
      </c>
      <c r="I457" s="70">
        <f>'RESUMEN TOTAL'!V589</f>
        <v>0</v>
      </c>
      <c r="J457" s="70">
        <f>'RESUMEN TOTAL'!W589</f>
        <v>0</v>
      </c>
      <c r="K457" s="70">
        <f>'RESUMEN TOTAL'!X589</f>
        <v>0</v>
      </c>
      <c r="L457" s="70">
        <f>'RESUMEN TOTAL'!Y589</f>
        <v>0</v>
      </c>
      <c r="M457" s="70">
        <f>'RESUMEN TOTAL'!Z589</f>
        <v>0</v>
      </c>
      <c r="N457" s="70">
        <f>'RESUMEN TOTAL'!AA589</f>
        <v>0</v>
      </c>
      <c r="O457" s="70">
        <f>'RESUMEN TOTAL'!AB589</f>
        <v>0</v>
      </c>
      <c r="P457" s="70">
        <f>'RESUMEN TOTAL'!AC589</f>
        <v>0</v>
      </c>
      <c r="Q457" s="70">
        <f>'RESUMEN TOTAL'!AD589</f>
        <v>0</v>
      </c>
      <c r="R457" s="70">
        <f>'RESUMEN TOTAL'!AE589</f>
        <v>0</v>
      </c>
      <c r="S457" s="70">
        <f>'RESUMEN TOTAL'!AF589</f>
        <v>0</v>
      </c>
      <c r="T457" s="70">
        <f>'RESUMEN TOTAL'!AG589</f>
        <v>0</v>
      </c>
      <c r="U457" s="70">
        <f>'RESUMEN TOTAL'!AH589</f>
        <v>0</v>
      </c>
      <c r="V457" s="70">
        <f>'RESUMEN TOTAL'!AI589</f>
        <v>0</v>
      </c>
      <c r="W457" s="70">
        <f>'RESUMEN TOTAL'!AJ589</f>
        <v>0</v>
      </c>
      <c r="X457" s="70">
        <f>'RESUMEN TOTAL'!AK589</f>
        <v>0</v>
      </c>
      <c r="Y457" s="70">
        <f>'RESUMEN TOTAL'!AL589</f>
        <v>0</v>
      </c>
      <c r="Z457" s="70">
        <f>'RESUMEN TOTAL'!AM589</f>
        <v>0</v>
      </c>
      <c r="AA457" s="70">
        <f>'RESUMEN TOTAL'!AN589</f>
        <v>0</v>
      </c>
      <c r="AB457" s="70">
        <f>'RESUMEN TOTAL'!AO589</f>
        <v>0</v>
      </c>
      <c r="AC457" s="70">
        <f>'RESUMEN TOTAL'!AP589</f>
        <v>0</v>
      </c>
      <c r="AD457" s="70">
        <f>'RESUMEN TOTAL'!AQ589</f>
        <v>0</v>
      </c>
      <c r="AE457" s="70">
        <f>'RESUMEN TOTAL'!AR589</f>
        <v>0</v>
      </c>
      <c r="AF457" s="70">
        <f>'RESUMEN TOTAL'!AS589</f>
        <v>0</v>
      </c>
      <c r="AG457" s="70">
        <f>'RESUMEN TOTAL'!AT589</f>
        <v>0</v>
      </c>
      <c r="AH457" s="70">
        <f>'RESUMEN TOTAL'!AU589</f>
        <v>0</v>
      </c>
      <c r="AI457" s="70">
        <f>'RESUMEN TOTAL'!AV589</f>
        <v>0</v>
      </c>
      <c r="AJ457" s="70" t="e">
        <f>'RESUMEN TOTAL'!#REF!</f>
        <v>#REF!</v>
      </c>
    </row>
    <row r="458" spans="1:36" x14ac:dyDescent="0.25">
      <c r="A458" t="str">
        <f>'RESUMEN TOTAL'!F590</f>
        <v>ZEBALLOS</v>
      </c>
      <c r="B458" t="str">
        <f>'RESUMEN TOTAL'!G590</f>
        <v>ZEB 06</v>
      </c>
      <c r="C458" t="str">
        <f>'RESUMEN TOTAL'!I590</f>
        <v>Peron e/Ituzaingo y Buenos Aires</v>
      </c>
      <c r="D458" s="30" t="str">
        <f>'RESUMEN TOTAL'!J590</f>
        <v>FIJA</v>
      </c>
      <c r="E458" s="30" t="str">
        <f>'RESUMEN TOTAL'!K590</f>
        <v>GPON</v>
      </c>
      <c r="F458" s="70">
        <f>'RESUMEN TOTAL'!S590</f>
        <v>0</v>
      </c>
      <c r="G458" s="70">
        <f>'RESUMEN TOTAL'!T590</f>
        <v>0</v>
      </c>
      <c r="H458" s="70">
        <f>'RESUMEN TOTAL'!U590</f>
        <v>0</v>
      </c>
      <c r="I458" s="70">
        <f>'RESUMEN TOTAL'!V590</f>
        <v>0</v>
      </c>
      <c r="J458" s="70">
        <f>'RESUMEN TOTAL'!W590</f>
        <v>0</v>
      </c>
      <c r="K458" s="70">
        <f>'RESUMEN TOTAL'!X590</f>
        <v>0</v>
      </c>
      <c r="L458" s="70">
        <f>'RESUMEN TOTAL'!Y590</f>
        <v>0</v>
      </c>
      <c r="M458" s="70">
        <f>'RESUMEN TOTAL'!Z590</f>
        <v>0</v>
      </c>
      <c r="N458" s="70">
        <f>'RESUMEN TOTAL'!AA590</f>
        <v>0</v>
      </c>
      <c r="O458" s="70">
        <f>'RESUMEN TOTAL'!AB590</f>
        <v>0</v>
      </c>
      <c r="P458" s="70">
        <f>'RESUMEN TOTAL'!AC590</f>
        <v>0</v>
      </c>
      <c r="Q458" s="70">
        <f>'RESUMEN TOTAL'!AD590</f>
        <v>0</v>
      </c>
      <c r="R458" s="70">
        <f>'RESUMEN TOTAL'!AE590</f>
        <v>0</v>
      </c>
      <c r="S458" s="70">
        <f>'RESUMEN TOTAL'!AF590</f>
        <v>0</v>
      </c>
      <c r="T458" s="70">
        <f>'RESUMEN TOTAL'!AG590</f>
        <v>0</v>
      </c>
      <c r="U458" s="70">
        <f>'RESUMEN TOTAL'!AH590</f>
        <v>0</v>
      </c>
      <c r="V458" s="70">
        <f>'RESUMEN TOTAL'!AI590</f>
        <v>0</v>
      </c>
      <c r="W458" s="70">
        <f>'RESUMEN TOTAL'!AJ590</f>
        <v>0</v>
      </c>
      <c r="X458" s="70">
        <f>'RESUMEN TOTAL'!AK590</f>
        <v>0</v>
      </c>
      <c r="Y458" s="70">
        <f>'RESUMEN TOTAL'!AL590</f>
        <v>0</v>
      </c>
      <c r="Z458" s="70">
        <f>'RESUMEN TOTAL'!AM590</f>
        <v>0</v>
      </c>
      <c r="AA458" s="70">
        <f>'RESUMEN TOTAL'!AN590</f>
        <v>0</v>
      </c>
      <c r="AB458" s="70">
        <f>'RESUMEN TOTAL'!AO590</f>
        <v>0</v>
      </c>
      <c r="AC458" s="70">
        <f>'RESUMEN TOTAL'!AP590</f>
        <v>0</v>
      </c>
      <c r="AD458" s="70">
        <f>'RESUMEN TOTAL'!AQ590</f>
        <v>0</v>
      </c>
      <c r="AE458" s="70">
        <f>'RESUMEN TOTAL'!AR590</f>
        <v>0</v>
      </c>
      <c r="AF458" s="70">
        <f>'RESUMEN TOTAL'!AS590</f>
        <v>0</v>
      </c>
      <c r="AG458" s="70">
        <f>'RESUMEN TOTAL'!AT590</f>
        <v>0</v>
      </c>
      <c r="AH458" s="70">
        <f>'RESUMEN TOTAL'!AU590</f>
        <v>0</v>
      </c>
      <c r="AI458" s="70">
        <f>'RESUMEN TOTAL'!AV590</f>
        <v>0</v>
      </c>
      <c r="AJ458" s="70" t="e">
        <f>'RESUMEN TOTAL'!#REF!</f>
        <v>#REF!</v>
      </c>
    </row>
    <row r="459" spans="1:36" x14ac:dyDescent="0.25">
      <c r="A459" t="str">
        <f>'RESUMEN TOTAL'!F591</f>
        <v>ZEBALLOS</v>
      </c>
      <c r="B459" t="str">
        <f>'RESUMEN TOTAL'!G591</f>
        <v>ZEB 07 (Fija 1)</v>
      </c>
      <c r="C459" t="str">
        <f>'RESUMEN TOTAL'!I591</f>
        <v xml:space="preserve">Quinquela Martn y 861 </v>
      </c>
      <c r="D459" s="30" t="str">
        <f>'RESUMEN TOTAL'!J591</f>
        <v>Fija</v>
      </c>
      <c r="E459" s="30" t="str">
        <f>'RESUMEN TOTAL'!K591</f>
        <v>GPON</v>
      </c>
      <c r="F459" s="70">
        <f>'RESUMEN TOTAL'!S591</f>
        <v>0</v>
      </c>
      <c r="G459" s="70">
        <f>'RESUMEN TOTAL'!T591</f>
        <v>0</v>
      </c>
      <c r="H459" s="70">
        <f>'RESUMEN TOTAL'!U591</f>
        <v>0</v>
      </c>
      <c r="I459" s="70">
        <f>'RESUMEN TOTAL'!V591</f>
        <v>0</v>
      </c>
      <c r="J459" s="70">
        <f>'RESUMEN TOTAL'!W591</f>
        <v>0</v>
      </c>
      <c r="K459" s="70">
        <f>'RESUMEN TOTAL'!X591</f>
        <v>0</v>
      </c>
      <c r="L459" s="70">
        <f>'RESUMEN TOTAL'!Y591</f>
        <v>0</v>
      </c>
      <c r="M459" s="70">
        <f>'RESUMEN TOTAL'!Z591</f>
        <v>0</v>
      </c>
      <c r="N459" s="70">
        <f>'RESUMEN TOTAL'!AA591</f>
        <v>0</v>
      </c>
      <c r="O459" s="70">
        <f>'RESUMEN TOTAL'!AB591</f>
        <v>0</v>
      </c>
      <c r="P459" s="70">
        <f>'RESUMEN TOTAL'!AC591</f>
        <v>0</v>
      </c>
      <c r="Q459" s="70">
        <f>'RESUMEN TOTAL'!AD591</f>
        <v>0</v>
      </c>
      <c r="R459" s="70">
        <f>'RESUMEN TOTAL'!AE591</f>
        <v>0</v>
      </c>
      <c r="S459" s="70">
        <f>'RESUMEN TOTAL'!AF591</f>
        <v>0</v>
      </c>
      <c r="T459" s="70">
        <f>'RESUMEN TOTAL'!AG591</f>
        <v>0</v>
      </c>
      <c r="U459" s="70">
        <f>'RESUMEN TOTAL'!AH591</f>
        <v>0</v>
      </c>
      <c r="V459" s="70">
        <f>'RESUMEN TOTAL'!AI591</f>
        <v>0</v>
      </c>
      <c r="W459" s="70">
        <f>'RESUMEN TOTAL'!AJ591</f>
        <v>0</v>
      </c>
      <c r="X459" s="70">
        <f>'RESUMEN TOTAL'!AK591</f>
        <v>0</v>
      </c>
      <c r="Y459" s="70">
        <f>'RESUMEN TOTAL'!AL591</f>
        <v>0</v>
      </c>
      <c r="Z459" s="70">
        <f>'RESUMEN TOTAL'!AM591</f>
        <v>0</v>
      </c>
      <c r="AA459" s="70">
        <f>'RESUMEN TOTAL'!AN591</f>
        <v>0</v>
      </c>
      <c r="AB459" s="70">
        <f>'RESUMEN TOTAL'!AO591</f>
        <v>0</v>
      </c>
      <c r="AC459" s="70">
        <f>'RESUMEN TOTAL'!AP591</f>
        <v>0</v>
      </c>
      <c r="AD459" s="70">
        <f>'RESUMEN TOTAL'!AQ591</f>
        <v>0</v>
      </c>
      <c r="AE459" s="70">
        <f>'RESUMEN TOTAL'!AR591</f>
        <v>0</v>
      </c>
      <c r="AF459" s="70">
        <f>'RESUMEN TOTAL'!AS591</f>
        <v>0</v>
      </c>
      <c r="AG459" s="70">
        <f>'RESUMEN TOTAL'!AT591</f>
        <v>0</v>
      </c>
      <c r="AH459" s="70">
        <f>'RESUMEN TOTAL'!AU591</f>
        <v>0</v>
      </c>
      <c r="AI459" s="70">
        <f>'RESUMEN TOTAL'!AV591</f>
        <v>0</v>
      </c>
      <c r="AJ459" s="70" t="e">
        <f>'RESUMEN TOTAL'!#REF!</f>
        <v>#REF!</v>
      </c>
    </row>
    <row r="460" spans="1:36" x14ac:dyDescent="0.25">
      <c r="A460" t="str">
        <f>'RESUMEN TOTAL'!F592</f>
        <v>ZEBALLOS</v>
      </c>
      <c r="B460" t="str">
        <f>'RESUMEN TOTAL'!G592</f>
        <v>ZEB 08 (Fija 2)</v>
      </c>
      <c r="C460" t="str">
        <f>'RESUMEN TOTAL'!I592</f>
        <v>Quinquela Martin y 861</v>
      </c>
      <c r="D460" s="30" t="str">
        <f>'RESUMEN TOTAL'!J592</f>
        <v>Fija</v>
      </c>
      <c r="E460" s="30" t="str">
        <f>'RESUMEN TOTAL'!K592</f>
        <v>GPON</v>
      </c>
      <c r="F460" s="70">
        <f>'RESUMEN TOTAL'!S592</f>
        <v>0</v>
      </c>
      <c r="G460" s="70">
        <f>'RESUMEN TOTAL'!T592</f>
        <v>0</v>
      </c>
      <c r="H460" s="70">
        <f>'RESUMEN TOTAL'!U592</f>
        <v>0</v>
      </c>
      <c r="I460" s="70">
        <f>'RESUMEN TOTAL'!V592</f>
        <v>0</v>
      </c>
      <c r="J460" s="70">
        <f>'RESUMEN TOTAL'!W592</f>
        <v>0</v>
      </c>
      <c r="K460" s="70">
        <f>'RESUMEN TOTAL'!X592</f>
        <v>0</v>
      </c>
      <c r="L460" s="70">
        <f>'RESUMEN TOTAL'!Y592</f>
        <v>0</v>
      </c>
      <c r="M460" s="70">
        <f>'RESUMEN TOTAL'!Z592</f>
        <v>0</v>
      </c>
      <c r="N460" s="70">
        <f>'RESUMEN TOTAL'!AA592</f>
        <v>0</v>
      </c>
      <c r="O460" s="70">
        <f>'RESUMEN TOTAL'!AB592</f>
        <v>0</v>
      </c>
      <c r="P460" s="70">
        <f>'RESUMEN TOTAL'!AC592</f>
        <v>0</v>
      </c>
      <c r="Q460" s="70">
        <f>'RESUMEN TOTAL'!AD592</f>
        <v>0</v>
      </c>
      <c r="R460" s="70">
        <f>'RESUMEN TOTAL'!AE592</f>
        <v>0</v>
      </c>
      <c r="S460" s="70">
        <f>'RESUMEN TOTAL'!AF592</f>
        <v>0</v>
      </c>
      <c r="T460" s="70">
        <f>'RESUMEN TOTAL'!AG592</f>
        <v>0</v>
      </c>
      <c r="U460" s="70">
        <f>'RESUMEN TOTAL'!AH592</f>
        <v>0</v>
      </c>
      <c r="V460" s="70">
        <f>'RESUMEN TOTAL'!AI592</f>
        <v>0</v>
      </c>
      <c r="W460" s="70">
        <f>'RESUMEN TOTAL'!AJ592</f>
        <v>0</v>
      </c>
      <c r="X460" s="70">
        <f>'RESUMEN TOTAL'!AK592</f>
        <v>0</v>
      </c>
      <c r="Y460" s="70">
        <f>'RESUMEN TOTAL'!AL592</f>
        <v>0</v>
      </c>
      <c r="Z460" s="70">
        <f>'RESUMEN TOTAL'!AM592</f>
        <v>0</v>
      </c>
      <c r="AA460" s="70">
        <f>'RESUMEN TOTAL'!AN592</f>
        <v>0</v>
      </c>
      <c r="AB460" s="70">
        <f>'RESUMEN TOTAL'!AO592</f>
        <v>0</v>
      </c>
      <c r="AC460" s="70">
        <f>'RESUMEN TOTAL'!AP592</f>
        <v>0</v>
      </c>
      <c r="AD460" s="70">
        <f>'RESUMEN TOTAL'!AQ592</f>
        <v>0</v>
      </c>
      <c r="AE460" s="70">
        <f>'RESUMEN TOTAL'!AR592</f>
        <v>0</v>
      </c>
      <c r="AF460" s="70">
        <f>'RESUMEN TOTAL'!AS592</f>
        <v>0</v>
      </c>
      <c r="AG460" s="70">
        <f>'RESUMEN TOTAL'!AT592</f>
        <v>0</v>
      </c>
      <c r="AH460" s="70">
        <f>'RESUMEN TOTAL'!AU592</f>
        <v>0</v>
      </c>
      <c r="AI460" s="70">
        <f>'RESUMEN TOTAL'!AV592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TOTAL'!F680</f>
        <v>0</v>
      </c>
      <c r="B549">
        <f>'RESUMEN TOTAL'!G680</f>
        <v>0</v>
      </c>
      <c r="C549">
        <f>'RESUMEN TOTAL'!I680</f>
        <v>0</v>
      </c>
      <c r="D549" s="30">
        <f>'RESUMEN TOTAL'!J680</f>
        <v>0</v>
      </c>
      <c r="E549" s="30">
        <f>'RESUMEN TOTAL'!K680</f>
        <v>0</v>
      </c>
      <c r="F549" s="70">
        <f>'RESUMEN TOTAL'!S680</f>
        <v>0</v>
      </c>
      <c r="G549" s="70">
        <f>'RESUMEN TOTAL'!T680</f>
        <v>0</v>
      </c>
      <c r="H549" s="70">
        <f>'RESUMEN TOTAL'!U680</f>
        <v>0</v>
      </c>
      <c r="I549" s="70">
        <f>'RESUMEN TOTAL'!V680</f>
        <v>0</v>
      </c>
      <c r="J549" s="70">
        <f>'RESUMEN TOTAL'!W680</f>
        <v>0</v>
      </c>
      <c r="K549" s="70">
        <f>'RESUMEN TOTAL'!X680</f>
        <v>0</v>
      </c>
      <c r="L549" s="70">
        <f>'RESUMEN TOTAL'!Y680</f>
        <v>0</v>
      </c>
      <c r="M549" s="70">
        <f>'RESUMEN TOTAL'!Z680</f>
        <v>0</v>
      </c>
      <c r="N549" s="70">
        <f>'RESUMEN TOTAL'!AA680</f>
        <v>0</v>
      </c>
      <c r="O549" s="70">
        <f>'RESUMEN TOTAL'!AB680</f>
        <v>0</v>
      </c>
      <c r="P549" s="70">
        <f>'RESUMEN TOTAL'!AC680</f>
        <v>0</v>
      </c>
      <c r="Q549" s="70">
        <f>'RESUMEN TOTAL'!AD680</f>
        <v>0</v>
      </c>
      <c r="R549" s="70">
        <f>'RESUMEN TOTAL'!AE680</f>
        <v>0</v>
      </c>
      <c r="S549" s="70">
        <f>'RESUMEN TOTAL'!AF680</f>
        <v>0</v>
      </c>
      <c r="T549" s="70">
        <f>'RESUMEN TOTAL'!AG680</f>
        <v>0</v>
      </c>
      <c r="U549" s="70">
        <f>'RESUMEN TOTAL'!AH680</f>
        <v>0</v>
      </c>
      <c r="V549" s="70">
        <f>'RESUMEN TOTAL'!AI680</f>
        <v>0</v>
      </c>
      <c r="W549" s="70">
        <f>'RESUMEN TOTAL'!AJ680</f>
        <v>0</v>
      </c>
      <c r="X549" s="70">
        <f>'RESUMEN TOTAL'!AK680</f>
        <v>0</v>
      </c>
      <c r="Y549" s="70">
        <f>'RESUMEN TOTAL'!AL680</f>
        <v>0</v>
      </c>
      <c r="Z549" s="70">
        <f>'RESUMEN TOTAL'!AM680</f>
        <v>0</v>
      </c>
      <c r="AA549" s="70">
        <f>'RESUMEN TOTAL'!AN680</f>
        <v>0</v>
      </c>
      <c r="AB549" s="70">
        <f>'RESUMEN TOTAL'!AO680</f>
        <v>0</v>
      </c>
      <c r="AC549" s="70">
        <f>'RESUMEN TOTAL'!AP680</f>
        <v>0</v>
      </c>
      <c r="AD549" s="70">
        <f>'RESUMEN TOTAL'!AQ680</f>
        <v>0</v>
      </c>
      <c r="AE549" s="70">
        <f>'RESUMEN TOTAL'!AR680</f>
        <v>0</v>
      </c>
      <c r="AF549" s="70">
        <f>'RESUMEN TOTAL'!AS680</f>
        <v>0</v>
      </c>
      <c r="AG549" s="70">
        <f>'RESUMEN TOTAL'!AT680</f>
        <v>0</v>
      </c>
      <c r="AH549" s="70">
        <f>'RESUMEN TOTAL'!AU680</f>
        <v>0</v>
      </c>
      <c r="AI549" s="70">
        <f>'RESUMEN TOTAL'!AV680</f>
        <v>0</v>
      </c>
      <c r="AJ549" s="70" t="e">
        <f>'RESUMEN TOTAL'!#REF!</f>
        <v>#REF!</v>
      </c>
    </row>
    <row r="550" spans="1:36" x14ac:dyDescent="0.25">
      <c r="A550">
        <f>'RESUMEN TOTAL'!F681</f>
        <v>0</v>
      </c>
      <c r="B550">
        <f>'RESUMEN TOTAL'!G681</f>
        <v>0</v>
      </c>
      <c r="C550">
        <f>'RESUMEN TOTAL'!I681</f>
        <v>0</v>
      </c>
      <c r="D550" s="30">
        <f>'RESUMEN TOTAL'!J681</f>
        <v>0</v>
      </c>
      <c r="E550" s="30">
        <f>'RESUMEN TOTAL'!K681</f>
        <v>0</v>
      </c>
      <c r="F550" s="70">
        <f>'RESUMEN TOTAL'!S681</f>
        <v>0</v>
      </c>
      <c r="G550" s="70">
        <f>'RESUMEN TOTAL'!T681</f>
        <v>0</v>
      </c>
      <c r="H550" s="70">
        <f>'RESUMEN TOTAL'!U681</f>
        <v>0</v>
      </c>
      <c r="I550" s="70">
        <f>'RESUMEN TOTAL'!V681</f>
        <v>0</v>
      </c>
      <c r="J550" s="70">
        <f>'RESUMEN TOTAL'!W681</f>
        <v>0</v>
      </c>
      <c r="K550" s="70">
        <f>'RESUMEN TOTAL'!X681</f>
        <v>0</v>
      </c>
      <c r="L550" s="70">
        <f>'RESUMEN TOTAL'!Y681</f>
        <v>0</v>
      </c>
      <c r="M550" s="70">
        <f>'RESUMEN TOTAL'!Z681</f>
        <v>0</v>
      </c>
      <c r="N550" s="70">
        <f>'RESUMEN TOTAL'!AA681</f>
        <v>0</v>
      </c>
      <c r="O550" s="70">
        <f>'RESUMEN TOTAL'!AB681</f>
        <v>0</v>
      </c>
      <c r="P550" s="70">
        <f>'RESUMEN TOTAL'!AC681</f>
        <v>0</v>
      </c>
      <c r="Q550" s="70">
        <f>'RESUMEN TOTAL'!AD681</f>
        <v>0</v>
      </c>
      <c r="R550" s="70">
        <f>'RESUMEN TOTAL'!AE681</f>
        <v>0</v>
      </c>
      <c r="S550" s="70">
        <f>'RESUMEN TOTAL'!AF681</f>
        <v>0</v>
      </c>
      <c r="T550" s="70">
        <f>'RESUMEN TOTAL'!AG681</f>
        <v>0</v>
      </c>
      <c r="U550" s="70">
        <f>'RESUMEN TOTAL'!AH681</f>
        <v>0</v>
      </c>
      <c r="V550" s="70">
        <f>'RESUMEN TOTAL'!AI681</f>
        <v>0</v>
      </c>
      <c r="W550" s="70">
        <f>'RESUMEN TOTAL'!AJ681</f>
        <v>0</v>
      </c>
      <c r="X550" s="70">
        <f>'RESUMEN TOTAL'!AK681</f>
        <v>0</v>
      </c>
      <c r="Y550" s="70">
        <f>'RESUMEN TOTAL'!AL681</f>
        <v>0</v>
      </c>
      <c r="Z550" s="70">
        <f>'RESUMEN TOTAL'!AM681</f>
        <v>0</v>
      </c>
      <c r="AA550" s="70">
        <f>'RESUMEN TOTAL'!AN681</f>
        <v>0</v>
      </c>
      <c r="AB550" s="70">
        <f>'RESUMEN TOTAL'!AO681</f>
        <v>0</v>
      </c>
      <c r="AC550" s="70">
        <f>'RESUMEN TOTAL'!AP681</f>
        <v>0</v>
      </c>
      <c r="AD550" s="70">
        <f>'RESUMEN TOTAL'!AQ681</f>
        <v>0</v>
      </c>
      <c r="AE550" s="70">
        <f>'RESUMEN TOTAL'!AR681</f>
        <v>0</v>
      </c>
      <c r="AF550" s="70">
        <f>'RESUMEN TOTAL'!AS681</f>
        <v>0</v>
      </c>
      <c r="AG550" s="70">
        <f>'RESUMEN TOTAL'!AT681</f>
        <v>0</v>
      </c>
      <c r="AH550" s="70">
        <f>'RESUMEN TOTAL'!AU681</f>
        <v>0</v>
      </c>
      <c r="AI550" s="70">
        <f>'RESUMEN TOTAL'!AV681</f>
        <v>0</v>
      </c>
      <c r="AJ550" s="70" t="e">
        <f>'RESUMEN TOTAL'!#REF!</f>
        <v>#REF!</v>
      </c>
    </row>
    <row r="551" spans="1:36" x14ac:dyDescent="0.25">
      <c r="A551">
        <f>'RESUMEN TOTAL'!F682</f>
        <v>0</v>
      </c>
      <c r="B551">
        <f>'RESUMEN TOTAL'!G682</f>
        <v>0</v>
      </c>
      <c r="C551">
        <f>'RESUMEN TOTAL'!I682</f>
        <v>0</v>
      </c>
      <c r="D551" s="30">
        <f>'RESUMEN TOTAL'!J682</f>
        <v>0</v>
      </c>
      <c r="E551" s="30">
        <f>'RESUMEN TOTAL'!K682</f>
        <v>0</v>
      </c>
      <c r="F551" s="70">
        <f>'RESUMEN TOTAL'!S682</f>
        <v>0</v>
      </c>
      <c r="G551" s="70">
        <f>'RESUMEN TOTAL'!T682</f>
        <v>0</v>
      </c>
      <c r="H551" s="70">
        <f>'RESUMEN TOTAL'!U682</f>
        <v>0</v>
      </c>
      <c r="I551" s="70">
        <f>'RESUMEN TOTAL'!V682</f>
        <v>0</v>
      </c>
      <c r="J551" s="70">
        <f>'RESUMEN TOTAL'!W682</f>
        <v>0</v>
      </c>
      <c r="K551" s="70">
        <f>'RESUMEN TOTAL'!X682</f>
        <v>0</v>
      </c>
      <c r="L551" s="70">
        <f>'RESUMEN TOTAL'!Y682</f>
        <v>0</v>
      </c>
      <c r="M551" s="70">
        <f>'RESUMEN TOTAL'!Z682</f>
        <v>0</v>
      </c>
      <c r="N551" s="70">
        <f>'RESUMEN TOTAL'!AA682</f>
        <v>0</v>
      </c>
      <c r="O551" s="70">
        <f>'RESUMEN TOTAL'!AB682</f>
        <v>0</v>
      </c>
      <c r="P551" s="70">
        <f>'RESUMEN TOTAL'!AC682</f>
        <v>0</v>
      </c>
      <c r="Q551" s="70">
        <f>'RESUMEN TOTAL'!AD682</f>
        <v>0</v>
      </c>
      <c r="R551" s="70">
        <f>'RESUMEN TOTAL'!AE682</f>
        <v>0</v>
      </c>
      <c r="S551" s="70">
        <f>'RESUMEN TOTAL'!AF682</f>
        <v>0</v>
      </c>
      <c r="T551" s="70">
        <f>'RESUMEN TOTAL'!AG682</f>
        <v>0</v>
      </c>
      <c r="U551" s="70">
        <f>'RESUMEN TOTAL'!AH682</f>
        <v>0</v>
      </c>
      <c r="V551" s="70">
        <f>'RESUMEN TOTAL'!AI682</f>
        <v>0</v>
      </c>
      <c r="W551" s="70">
        <f>'RESUMEN TOTAL'!AJ682</f>
        <v>0</v>
      </c>
      <c r="X551" s="70">
        <f>'RESUMEN TOTAL'!AK682</f>
        <v>0</v>
      </c>
      <c r="Y551" s="70">
        <f>'RESUMEN TOTAL'!AL682</f>
        <v>0</v>
      </c>
      <c r="Z551" s="70">
        <f>'RESUMEN TOTAL'!AM682</f>
        <v>0</v>
      </c>
      <c r="AA551" s="70">
        <f>'RESUMEN TOTAL'!AN682</f>
        <v>0</v>
      </c>
      <c r="AB551" s="70">
        <f>'RESUMEN TOTAL'!AO682</f>
        <v>0</v>
      </c>
      <c r="AC551" s="70">
        <f>'RESUMEN TOTAL'!AP682</f>
        <v>0</v>
      </c>
      <c r="AD551" s="70">
        <f>'RESUMEN TOTAL'!AQ682</f>
        <v>0</v>
      </c>
      <c r="AE551" s="70">
        <f>'RESUMEN TOTAL'!AR682</f>
        <v>0</v>
      </c>
      <c r="AF551" s="70">
        <f>'RESUMEN TOTAL'!AS682</f>
        <v>0</v>
      </c>
      <c r="AG551" s="70">
        <f>'RESUMEN TOTAL'!AT682</f>
        <v>0</v>
      </c>
      <c r="AH551" s="70">
        <f>'RESUMEN TOTAL'!AU682</f>
        <v>0</v>
      </c>
      <c r="AI551" s="70">
        <f>'RESUMEN TOTAL'!AV682</f>
        <v>0</v>
      </c>
      <c r="AJ551" s="70" t="e">
        <f>'RESUMEN TOTAL'!#REF!</f>
        <v>#REF!</v>
      </c>
    </row>
    <row r="552" spans="1:36" x14ac:dyDescent="0.25">
      <c r="A552">
        <f>'RESUMEN TOTAL'!F683</f>
        <v>0</v>
      </c>
      <c r="B552">
        <f>'RESUMEN TOTAL'!G683</f>
        <v>0</v>
      </c>
      <c r="C552">
        <f>'RESUMEN TOTAL'!I683</f>
        <v>0</v>
      </c>
      <c r="D552" s="30">
        <f>'RESUMEN TOTAL'!J683</f>
        <v>0</v>
      </c>
      <c r="E552" s="30">
        <f>'RESUMEN TOTAL'!K683</f>
        <v>0</v>
      </c>
      <c r="F552" s="70">
        <f>'RESUMEN TOTAL'!S683</f>
        <v>0</v>
      </c>
      <c r="G552" s="70">
        <f>'RESUMEN TOTAL'!T683</f>
        <v>0</v>
      </c>
      <c r="H552" s="70">
        <f>'RESUMEN TOTAL'!U683</f>
        <v>0</v>
      </c>
      <c r="I552" s="70">
        <f>'RESUMEN TOTAL'!V683</f>
        <v>0</v>
      </c>
      <c r="J552" s="70">
        <f>'RESUMEN TOTAL'!W683</f>
        <v>0</v>
      </c>
      <c r="K552" s="70">
        <f>'RESUMEN TOTAL'!X683</f>
        <v>0</v>
      </c>
      <c r="L552" s="70">
        <f>'RESUMEN TOTAL'!Y683</f>
        <v>0</v>
      </c>
      <c r="M552" s="70">
        <f>'RESUMEN TOTAL'!Z683</f>
        <v>0</v>
      </c>
      <c r="N552" s="70">
        <f>'RESUMEN TOTAL'!AA683</f>
        <v>0</v>
      </c>
      <c r="O552" s="70">
        <f>'RESUMEN TOTAL'!AB683</f>
        <v>0</v>
      </c>
      <c r="P552" s="70">
        <f>'RESUMEN TOTAL'!AC683</f>
        <v>0</v>
      </c>
      <c r="Q552" s="70">
        <f>'RESUMEN TOTAL'!AD683</f>
        <v>0</v>
      </c>
      <c r="R552" s="70">
        <f>'RESUMEN TOTAL'!AE683</f>
        <v>0</v>
      </c>
      <c r="S552" s="70">
        <f>'RESUMEN TOTAL'!AF683</f>
        <v>0</v>
      </c>
      <c r="T552" s="70">
        <f>'RESUMEN TOTAL'!AG683</f>
        <v>0</v>
      </c>
      <c r="U552" s="70">
        <f>'RESUMEN TOTAL'!AH683</f>
        <v>0</v>
      </c>
      <c r="V552" s="70">
        <f>'RESUMEN TOTAL'!AI683</f>
        <v>0</v>
      </c>
      <c r="W552" s="70">
        <f>'RESUMEN TOTAL'!AJ683</f>
        <v>0</v>
      </c>
      <c r="X552" s="70">
        <f>'RESUMEN TOTAL'!AK683</f>
        <v>0</v>
      </c>
      <c r="Y552" s="70">
        <f>'RESUMEN TOTAL'!AL683</f>
        <v>0</v>
      </c>
      <c r="Z552" s="70">
        <f>'RESUMEN TOTAL'!AM683</f>
        <v>0</v>
      </c>
      <c r="AA552" s="70">
        <f>'RESUMEN TOTAL'!AN683</f>
        <v>0</v>
      </c>
      <c r="AB552" s="70">
        <f>'RESUMEN TOTAL'!AO683</f>
        <v>0</v>
      </c>
      <c r="AC552" s="70">
        <f>'RESUMEN TOTAL'!AP683</f>
        <v>0</v>
      </c>
      <c r="AD552" s="70">
        <f>'RESUMEN TOTAL'!AQ683</f>
        <v>0</v>
      </c>
      <c r="AE552" s="70">
        <f>'RESUMEN TOTAL'!AR683</f>
        <v>0</v>
      </c>
      <c r="AF552" s="70">
        <f>'RESUMEN TOTAL'!AS683</f>
        <v>0</v>
      </c>
      <c r="AG552" s="70">
        <f>'RESUMEN TOTAL'!AT683</f>
        <v>0</v>
      </c>
      <c r="AH552" s="70">
        <f>'RESUMEN TOTAL'!AU683</f>
        <v>0</v>
      </c>
      <c r="AI552" s="70">
        <f>'RESUMEN TOTAL'!AV683</f>
        <v>0</v>
      </c>
      <c r="AJ552" s="70" t="e">
        <f>'RESUMEN TOTAL'!#REF!</f>
        <v>#REF!</v>
      </c>
    </row>
    <row r="553" spans="1:36" x14ac:dyDescent="0.25">
      <c r="A553">
        <f>'RESUMEN TOTAL'!F684</f>
        <v>0</v>
      </c>
      <c r="B553">
        <f>'RESUMEN TOTAL'!G684</f>
        <v>0</v>
      </c>
      <c r="C553">
        <f>'RESUMEN TOTAL'!I684</f>
        <v>0</v>
      </c>
      <c r="D553" s="30">
        <f>'RESUMEN TOTAL'!J684</f>
        <v>0</v>
      </c>
      <c r="E553" s="30">
        <f>'RESUMEN TOTAL'!K684</f>
        <v>0</v>
      </c>
      <c r="F553" s="70">
        <f>'RESUMEN TOTAL'!S684</f>
        <v>0</v>
      </c>
      <c r="G553" s="70">
        <f>'RESUMEN TOTAL'!T684</f>
        <v>0</v>
      </c>
      <c r="H553" s="70">
        <f>'RESUMEN TOTAL'!U684</f>
        <v>0</v>
      </c>
      <c r="I553" s="70">
        <f>'RESUMEN TOTAL'!V684</f>
        <v>0</v>
      </c>
      <c r="J553" s="70">
        <f>'RESUMEN TOTAL'!W684</f>
        <v>0</v>
      </c>
      <c r="K553" s="70">
        <f>'RESUMEN TOTAL'!X684</f>
        <v>0</v>
      </c>
      <c r="L553" s="70">
        <f>'RESUMEN TOTAL'!Y684</f>
        <v>0</v>
      </c>
      <c r="M553" s="70">
        <f>'RESUMEN TOTAL'!Z684</f>
        <v>0</v>
      </c>
      <c r="N553" s="70">
        <f>'RESUMEN TOTAL'!AA684</f>
        <v>0</v>
      </c>
      <c r="O553" s="70">
        <f>'RESUMEN TOTAL'!AB684</f>
        <v>0</v>
      </c>
      <c r="P553" s="70">
        <f>'RESUMEN TOTAL'!AC684</f>
        <v>0</v>
      </c>
      <c r="Q553" s="70">
        <f>'RESUMEN TOTAL'!AD684</f>
        <v>0</v>
      </c>
      <c r="R553" s="70">
        <f>'RESUMEN TOTAL'!AE684</f>
        <v>0</v>
      </c>
      <c r="S553" s="70">
        <f>'RESUMEN TOTAL'!AF684</f>
        <v>0</v>
      </c>
      <c r="T553" s="70">
        <f>'RESUMEN TOTAL'!AG684</f>
        <v>0</v>
      </c>
      <c r="U553" s="70">
        <f>'RESUMEN TOTAL'!AH684</f>
        <v>0</v>
      </c>
      <c r="V553" s="70">
        <f>'RESUMEN TOTAL'!AI684</f>
        <v>0</v>
      </c>
      <c r="W553" s="70">
        <f>'RESUMEN TOTAL'!AJ684</f>
        <v>0</v>
      </c>
      <c r="X553" s="70">
        <f>'RESUMEN TOTAL'!AK684</f>
        <v>0</v>
      </c>
      <c r="Y553" s="70">
        <f>'RESUMEN TOTAL'!AL684</f>
        <v>0</v>
      </c>
      <c r="Z553" s="70">
        <f>'RESUMEN TOTAL'!AM684</f>
        <v>0</v>
      </c>
      <c r="AA553" s="70">
        <f>'RESUMEN TOTAL'!AN684</f>
        <v>0</v>
      </c>
      <c r="AB553" s="70">
        <f>'RESUMEN TOTAL'!AO684</f>
        <v>0</v>
      </c>
      <c r="AC553" s="70">
        <f>'RESUMEN TOTAL'!AP684</f>
        <v>0</v>
      </c>
      <c r="AD553" s="70">
        <f>'RESUMEN TOTAL'!AQ684</f>
        <v>0</v>
      </c>
      <c r="AE553" s="70">
        <f>'RESUMEN TOTAL'!AR684</f>
        <v>0</v>
      </c>
      <c r="AF553" s="70">
        <f>'RESUMEN TOTAL'!AS684</f>
        <v>0</v>
      </c>
      <c r="AG553" s="70">
        <f>'RESUMEN TOTAL'!AT684</f>
        <v>0</v>
      </c>
      <c r="AH553" s="70">
        <f>'RESUMEN TOTAL'!AU684</f>
        <v>0</v>
      </c>
      <c r="AI553" s="70">
        <f>'RESUMEN TOTAL'!AV684</f>
        <v>0</v>
      </c>
      <c r="AJ553" s="70" t="e">
        <f>'RESUMEN TOTAL'!#REF!</f>
        <v>#REF!</v>
      </c>
    </row>
    <row r="554" spans="1:36" x14ac:dyDescent="0.25">
      <c r="A554">
        <f>'RESUMEN TOTAL'!F685</f>
        <v>0</v>
      </c>
      <c r="B554">
        <f>'RESUMEN TOTAL'!G685</f>
        <v>0</v>
      </c>
      <c r="C554">
        <f>'RESUMEN TOTAL'!I685</f>
        <v>0</v>
      </c>
      <c r="D554" s="30">
        <f>'RESUMEN TOTAL'!J685</f>
        <v>0</v>
      </c>
      <c r="E554" s="30">
        <f>'RESUMEN TOTAL'!K685</f>
        <v>0</v>
      </c>
      <c r="F554" s="70">
        <f>'RESUMEN TOTAL'!S685</f>
        <v>0</v>
      </c>
      <c r="G554" s="70">
        <f>'RESUMEN TOTAL'!T685</f>
        <v>0</v>
      </c>
      <c r="H554" s="70">
        <f>'RESUMEN TOTAL'!U685</f>
        <v>0</v>
      </c>
      <c r="I554" s="70">
        <f>'RESUMEN TOTAL'!V685</f>
        <v>0</v>
      </c>
      <c r="J554" s="70">
        <f>'RESUMEN TOTAL'!W685</f>
        <v>0</v>
      </c>
      <c r="K554" s="70">
        <f>'RESUMEN TOTAL'!X685</f>
        <v>0</v>
      </c>
      <c r="L554" s="70">
        <f>'RESUMEN TOTAL'!Y685</f>
        <v>0</v>
      </c>
      <c r="M554" s="70">
        <f>'RESUMEN TOTAL'!Z685</f>
        <v>0</v>
      </c>
      <c r="N554" s="70">
        <f>'RESUMEN TOTAL'!AA685</f>
        <v>0</v>
      </c>
      <c r="O554" s="70">
        <f>'RESUMEN TOTAL'!AB685</f>
        <v>0</v>
      </c>
      <c r="P554" s="70">
        <f>'RESUMEN TOTAL'!AC685</f>
        <v>0</v>
      </c>
      <c r="Q554" s="70">
        <f>'RESUMEN TOTAL'!AD685</f>
        <v>0</v>
      </c>
      <c r="R554" s="70">
        <f>'RESUMEN TOTAL'!AE685</f>
        <v>0</v>
      </c>
      <c r="S554" s="70">
        <f>'RESUMEN TOTAL'!AF685</f>
        <v>0</v>
      </c>
      <c r="T554" s="70">
        <f>'RESUMEN TOTAL'!AG685</f>
        <v>0</v>
      </c>
      <c r="U554" s="70">
        <f>'RESUMEN TOTAL'!AH685</f>
        <v>0</v>
      </c>
      <c r="V554" s="70">
        <f>'RESUMEN TOTAL'!AI685</f>
        <v>0</v>
      </c>
      <c r="W554" s="70">
        <f>'RESUMEN TOTAL'!AJ685</f>
        <v>0</v>
      </c>
      <c r="X554" s="70">
        <f>'RESUMEN TOTAL'!AK685</f>
        <v>0</v>
      </c>
      <c r="Y554" s="70">
        <f>'RESUMEN TOTAL'!AL685</f>
        <v>0</v>
      </c>
      <c r="Z554" s="70">
        <f>'RESUMEN TOTAL'!AM685</f>
        <v>0</v>
      </c>
      <c r="AA554" s="70">
        <f>'RESUMEN TOTAL'!AN685</f>
        <v>0</v>
      </c>
      <c r="AB554" s="70">
        <f>'RESUMEN TOTAL'!AO685</f>
        <v>0</v>
      </c>
      <c r="AC554" s="70">
        <f>'RESUMEN TOTAL'!AP685</f>
        <v>0</v>
      </c>
      <c r="AD554" s="70">
        <f>'RESUMEN TOTAL'!AQ685</f>
        <v>0</v>
      </c>
      <c r="AE554" s="70">
        <f>'RESUMEN TOTAL'!AR685</f>
        <v>0</v>
      </c>
      <c r="AF554" s="70">
        <f>'RESUMEN TOTAL'!AS685</f>
        <v>0</v>
      </c>
      <c r="AG554" s="70">
        <f>'RESUMEN TOTAL'!AT685</f>
        <v>0</v>
      </c>
      <c r="AH554" s="70">
        <f>'RESUMEN TOTAL'!AU685</f>
        <v>0</v>
      </c>
      <c r="AI554" s="70">
        <f>'RESUMEN TOTAL'!AV685</f>
        <v>0</v>
      </c>
      <c r="AJ554" s="70" t="e">
        <f>'RESUMEN TOTAL'!#REF!</f>
        <v>#REF!</v>
      </c>
    </row>
    <row r="555" spans="1:36" x14ac:dyDescent="0.25">
      <c r="A555">
        <f>'RESUMEN TOTAL'!F686</f>
        <v>0</v>
      </c>
      <c r="B555">
        <f>'RESUMEN TOTAL'!G686</f>
        <v>0</v>
      </c>
      <c r="C555">
        <f>'RESUMEN TOTAL'!I686</f>
        <v>0</v>
      </c>
      <c r="D555" s="30">
        <f>'RESUMEN TOTAL'!J686</f>
        <v>0</v>
      </c>
      <c r="E555" s="30">
        <f>'RESUMEN TOTAL'!K686</f>
        <v>0</v>
      </c>
      <c r="F555" s="70">
        <f>'RESUMEN TOTAL'!S686</f>
        <v>0</v>
      </c>
      <c r="G555" s="70">
        <f>'RESUMEN TOTAL'!T686</f>
        <v>0</v>
      </c>
      <c r="H555" s="70">
        <f>'RESUMEN TOTAL'!U686</f>
        <v>0</v>
      </c>
      <c r="I555" s="70">
        <f>'RESUMEN TOTAL'!V686</f>
        <v>0</v>
      </c>
      <c r="J555" s="70">
        <f>'RESUMEN TOTAL'!W686</f>
        <v>0</v>
      </c>
      <c r="K555" s="70">
        <f>'RESUMEN TOTAL'!X686</f>
        <v>0</v>
      </c>
      <c r="L555" s="70">
        <f>'RESUMEN TOTAL'!Y686</f>
        <v>0</v>
      </c>
      <c r="M555" s="70">
        <f>'RESUMEN TOTAL'!Z686</f>
        <v>0</v>
      </c>
      <c r="N555" s="70">
        <f>'RESUMEN TOTAL'!AA686</f>
        <v>0</v>
      </c>
      <c r="O555" s="70">
        <f>'RESUMEN TOTAL'!AB686</f>
        <v>0</v>
      </c>
      <c r="P555" s="70">
        <f>'RESUMEN TOTAL'!AC686</f>
        <v>0</v>
      </c>
      <c r="Q555" s="70">
        <f>'RESUMEN TOTAL'!AD686</f>
        <v>0</v>
      </c>
      <c r="R555" s="70">
        <f>'RESUMEN TOTAL'!AE686</f>
        <v>0</v>
      </c>
      <c r="S555" s="70">
        <f>'RESUMEN TOTAL'!AF686</f>
        <v>0</v>
      </c>
      <c r="T555" s="70">
        <f>'RESUMEN TOTAL'!AG686</f>
        <v>0</v>
      </c>
      <c r="U555" s="70">
        <f>'RESUMEN TOTAL'!AH686</f>
        <v>0</v>
      </c>
      <c r="V555" s="70">
        <f>'RESUMEN TOTAL'!AI686</f>
        <v>0</v>
      </c>
      <c r="W555" s="70">
        <f>'RESUMEN TOTAL'!AJ686</f>
        <v>0</v>
      </c>
      <c r="X555" s="70">
        <f>'RESUMEN TOTAL'!AK686</f>
        <v>0</v>
      </c>
      <c r="Y555" s="70">
        <f>'RESUMEN TOTAL'!AL686</f>
        <v>0</v>
      </c>
      <c r="Z555" s="70">
        <f>'RESUMEN TOTAL'!AM686</f>
        <v>0</v>
      </c>
      <c r="AA555" s="70">
        <f>'RESUMEN TOTAL'!AN686</f>
        <v>0</v>
      </c>
      <c r="AB555" s="70">
        <f>'RESUMEN TOTAL'!AO686</f>
        <v>0</v>
      </c>
      <c r="AC555" s="70">
        <f>'RESUMEN TOTAL'!AP686</f>
        <v>0</v>
      </c>
      <c r="AD555" s="70">
        <f>'RESUMEN TOTAL'!AQ686</f>
        <v>0</v>
      </c>
      <c r="AE555" s="70">
        <f>'RESUMEN TOTAL'!AR686</f>
        <v>0</v>
      </c>
      <c r="AF555" s="70">
        <f>'RESUMEN TOTAL'!AS686</f>
        <v>0</v>
      </c>
      <c r="AG555" s="70">
        <f>'RESUMEN TOTAL'!AT686</f>
        <v>0</v>
      </c>
      <c r="AH555" s="70">
        <f>'RESUMEN TOTAL'!AU686</f>
        <v>0</v>
      </c>
      <c r="AI555" s="70">
        <f>'RESUMEN TOTAL'!AV686</f>
        <v>0</v>
      </c>
      <c r="AJ555" s="70" t="e">
        <f>'RESUMEN TOTAL'!#REF!</f>
        <v>#REF!</v>
      </c>
    </row>
    <row r="556" spans="1:36" x14ac:dyDescent="0.25">
      <c r="A556">
        <f>'RESUMEN TOTAL'!F687</f>
        <v>0</v>
      </c>
      <c r="B556">
        <f>'RESUMEN TOTAL'!G687</f>
        <v>0</v>
      </c>
      <c r="C556">
        <f>'RESUMEN TOTAL'!I687</f>
        <v>0</v>
      </c>
      <c r="D556" s="30">
        <f>'RESUMEN TOTAL'!J687</f>
        <v>0</v>
      </c>
      <c r="E556" s="30">
        <f>'RESUMEN TOTAL'!K687</f>
        <v>0</v>
      </c>
      <c r="F556" s="70">
        <f>'RESUMEN TOTAL'!S687</f>
        <v>0</v>
      </c>
      <c r="G556" s="70">
        <f>'RESUMEN TOTAL'!T687</f>
        <v>0</v>
      </c>
      <c r="H556" s="70">
        <f>'RESUMEN TOTAL'!U687</f>
        <v>0</v>
      </c>
      <c r="I556" s="70">
        <f>'RESUMEN TOTAL'!V687</f>
        <v>0</v>
      </c>
      <c r="J556" s="70">
        <f>'RESUMEN TOTAL'!W687</f>
        <v>0</v>
      </c>
      <c r="K556" s="70">
        <f>'RESUMEN TOTAL'!X687</f>
        <v>0</v>
      </c>
      <c r="L556" s="70">
        <f>'RESUMEN TOTAL'!Y687</f>
        <v>0</v>
      </c>
      <c r="M556" s="70">
        <f>'RESUMEN TOTAL'!Z687</f>
        <v>0</v>
      </c>
      <c r="N556" s="70">
        <f>'RESUMEN TOTAL'!AA687</f>
        <v>0</v>
      </c>
      <c r="O556" s="70">
        <f>'RESUMEN TOTAL'!AB687</f>
        <v>0</v>
      </c>
      <c r="P556" s="70">
        <f>'RESUMEN TOTAL'!AC687</f>
        <v>0</v>
      </c>
      <c r="Q556" s="70">
        <f>'RESUMEN TOTAL'!AD687</f>
        <v>0</v>
      </c>
      <c r="R556" s="70">
        <f>'RESUMEN TOTAL'!AE687</f>
        <v>0</v>
      </c>
      <c r="S556" s="70">
        <f>'RESUMEN TOTAL'!AF687</f>
        <v>0</v>
      </c>
      <c r="T556" s="70">
        <f>'RESUMEN TOTAL'!AG687</f>
        <v>0</v>
      </c>
      <c r="U556" s="70">
        <f>'RESUMEN TOTAL'!AH687</f>
        <v>0</v>
      </c>
      <c r="V556" s="70">
        <f>'RESUMEN TOTAL'!AI687</f>
        <v>0</v>
      </c>
      <c r="W556" s="70">
        <f>'RESUMEN TOTAL'!AJ687</f>
        <v>0</v>
      </c>
      <c r="X556" s="70">
        <f>'RESUMEN TOTAL'!AK687</f>
        <v>0</v>
      </c>
      <c r="Y556" s="70">
        <f>'RESUMEN TOTAL'!AL687</f>
        <v>0</v>
      </c>
      <c r="Z556" s="70">
        <f>'RESUMEN TOTAL'!AM687</f>
        <v>0</v>
      </c>
      <c r="AA556" s="70">
        <f>'RESUMEN TOTAL'!AN687</f>
        <v>0</v>
      </c>
      <c r="AB556" s="70">
        <f>'RESUMEN TOTAL'!AO687</f>
        <v>0</v>
      </c>
      <c r="AC556" s="70">
        <f>'RESUMEN TOTAL'!AP687</f>
        <v>0</v>
      </c>
      <c r="AD556" s="70">
        <f>'RESUMEN TOTAL'!AQ687</f>
        <v>0</v>
      </c>
      <c r="AE556" s="70">
        <f>'RESUMEN TOTAL'!AR687</f>
        <v>0</v>
      </c>
      <c r="AF556" s="70">
        <f>'RESUMEN TOTAL'!AS687</f>
        <v>0</v>
      </c>
      <c r="AG556" s="70">
        <f>'RESUMEN TOTAL'!AT687</f>
        <v>0</v>
      </c>
      <c r="AH556" s="70">
        <f>'RESUMEN TOTAL'!AU687</f>
        <v>0</v>
      </c>
      <c r="AI556" s="70">
        <f>'RESUMEN TOTAL'!AV687</f>
        <v>0</v>
      </c>
      <c r="AJ556" s="70" t="e">
        <f>'RESUMEN TOTAL'!#REF!</f>
        <v>#REF!</v>
      </c>
    </row>
    <row r="557" spans="1:36" x14ac:dyDescent="0.25">
      <c r="A557">
        <f>'RESUMEN TOTAL'!F688</f>
        <v>0</v>
      </c>
      <c r="B557">
        <f>'RESUMEN TOTAL'!G688</f>
        <v>0</v>
      </c>
      <c r="C557">
        <f>'RESUMEN TOTAL'!I688</f>
        <v>0</v>
      </c>
      <c r="D557" s="30">
        <f>'RESUMEN TOTAL'!J688</f>
        <v>0</v>
      </c>
      <c r="E557" s="30">
        <f>'RESUMEN TOTAL'!K688</f>
        <v>0</v>
      </c>
      <c r="F557" s="70">
        <f>'RESUMEN TOTAL'!S688</f>
        <v>0</v>
      </c>
      <c r="G557" s="70">
        <f>'RESUMEN TOTAL'!T688</f>
        <v>0</v>
      </c>
      <c r="H557" s="70">
        <f>'RESUMEN TOTAL'!U688</f>
        <v>0</v>
      </c>
      <c r="I557" s="70">
        <f>'RESUMEN TOTAL'!V688</f>
        <v>0</v>
      </c>
      <c r="J557" s="70">
        <f>'RESUMEN TOTAL'!W688</f>
        <v>0</v>
      </c>
      <c r="K557" s="70">
        <f>'RESUMEN TOTAL'!X688</f>
        <v>0</v>
      </c>
      <c r="L557" s="70">
        <f>'RESUMEN TOTAL'!Y688</f>
        <v>0</v>
      </c>
      <c r="M557" s="70">
        <f>'RESUMEN TOTAL'!Z688</f>
        <v>0</v>
      </c>
      <c r="N557" s="70">
        <f>'RESUMEN TOTAL'!AA688</f>
        <v>0</v>
      </c>
      <c r="O557" s="70">
        <f>'RESUMEN TOTAL'!AB688</f>
        <v>0</v>
      </c>
      <c r="P557" s="70">
        <f>'RESUMEN TOTAL'!AC688</f>
        <v>0</v>
      </c>
      <c r="Q557" s="70">
        <f>'RESUMEN TOTAL'!AD688</f>
        <v>0</v>
      </c>
      <c r="R557" s="70">
        <f>'RESUMEN TOTAL'!AE688</f>
        <v>0</v>
      </c>
      <c r="S557" s="70">
        <f>'RESUMEN TOTAL'!AF688</f>
        <v>0</v>
      </c>
      <c r="T557" s="70">
        <f>'RESUMEN TOTAL'!AG688</f>
        <v>0</v>
      </c>
      <c r="U557" s="70">
        <f>'RESUMEN TOTAL'!AH688</f>
        <v>0</v>
      </c>
      <c r="V557" s="70">
        <f>'RESUMEN TOTAL'!AI688</f>
        <v>0</v>
      </c>
      <c r="W557" s="70">
        <f>'RESUMEN TOTAL'!AJ688</f>
        <v>0</v>
      </c>
      <c r="X557" s="70">
        <f>'RESUMEN TOTAL'!AK688</f>
        <v>0</v>
      </c>
      <c r="Y557" s="70">
        <f>'RESUMEN TOTAL'!AL688</f>
        <v>0</v>
      </c>
      <c r="Z557" s="70">
        <f>'RESUMEN TOTAL'!AM688</f>
        <v>0</v>
      </c>
      <c r="AA557" s="70">
        <f>'RESUMEN TOTAL'!AN688</f>
        <v>0</v>
      </c>
      <c r="AB557" s="70">
        <f>'RESUMEN TOTAL'!AO688</f>
        <v>0</v>
      </c>
      <c r="AC557" s="70">
        <f>'RESUMEN TOTAL'!AP688</f>
        <v>0</v>
      </c>
      <c r="AD557" s="70">
        <f>'RESUMEN TOTAL'!AQ688</f>
        <v>0</v>
      </c>
      <c r="AE557" s="70">
        <f>'RESUMEN TOTAL'!AR688</f>
        <v>0</v>
      </c>
      <c r="AF557" s="70">
        <f>'RESUMEN TOTAL'!AS688</f>
        <v>0</v>
      </c>
      <c r="AG557" s="70">
        <f>'RESUMEN TOTAL'!AT688</f>
        <v>0</v>
      </c>
      <c r="AH557" s="70">
        <f>'RESUMEN TOTAL'!AU688</f>
        <v>0</v>
      </c>
      <c r="AI557" s="70">
        <f>'RESUMEN TOTAL'!AV688</f>
        <v>0</v>
      </c>
      <c r="AJ557" s="70" t="e">
        <f>'RESUMEN TOTAL'!#REF!</f>
        <v>#REF!</v>
      </c>
    </row>
    <row r="558" spans="1:36" x14ac:dyDescent="0.25">
      <c r="A558">
        <f>'RESUMEN TOTAL'!F689</f>
        <v>0</v>
      </c>
      <c r="B558">
        <f>'RESUMEN TOTAL'!G689</f>
        <v>0</v>
      </c>
      <c r="C558">
        <f>'RESUMEN TOTAL'!I689</f>
        <v>0</v>
      </c>
      <c r="D558" s="30">
        <f>'RESUMEN TOTAL'!J689</f>
        <v>0</v>
      </c>
      <c r="E558" s="30">
        <f>'RESUMEN TOTAL'!K689</f>
        <v>0</v>
      </c>
      <c r="F558" s="70">
        <f>'RESUMEN TOTAL'!S689</f>
        <v>0</v>
      </c>
      <c r="G558" s="70">
        <f>'RESUMEN TOTAL'!T689</f>
        <v>0</v>
      </c>
      <c r="H558" s="70">
        <f>'RESUMEN TOTAL'!U689</f>
        <v>0</v>
      </c>
      <c r="I558" s="70">
        <f>'RESUMEN TOTAL'!V689</f>
        <v>0</v>
      </c>
      <c r="J558" s="70">
        <f>'RESUMEN TOTAL'!W689</f>
        <v>0</v>
      </c>
      <c r="K558" s="70">
        <f>'RESUMEN TOTAL'!X689</f>
        <v>0</v>
      </c>
      <c r="L558" s="70">
        <f>'RESUMEN TOTAL'!Y689</f>
        <v>0</v>
      </c>
      <c r="M558" s="70">
        <f>'RESUMEN TOTAL'!Z689</f>
        <v>0</v>
      </c>
      <c r="N558" s="70">
        <f>'RESUMEN TOTAL'!AA689</f>
        <v>0</v>
      </c>
      <c r="O558" s="70">
        <f>'RESUMEN TOTAL'!AB689</f>
        <v>0</v>
      </c>
      <c r="P558" s="70">
        <f>'RESUMEN TOTAL'!AC689</f>
        <v>0</v>
      </c>
      <c r="Q558" s="70">
        <f>'RESUMEN TOTAL'!AD689</f>
        <v>0</v>
      </c>
      <c r="R558" s="70">
        <f>'RESUMEN TOTAL'!AE689</f>
        <v>0</v>
      </c>
      <c r="S558" s="70">
        <f>'RESUMEN TOTAL'!AF689</f>
        <v>0</v>
      </c>
      <c r="T558" s="70">
        <f>'RESUMEN TOTAL'!AG689</f>
        <v>0</v>
      </c>
      <c r="U558" s="70">
        <f>'RESUMEN TOTAL'!AH689</f>
        <v>0</v>
      </c>
      <c r="V558" s="70">
        <f>'RESUMEN TOTAL'!AI689</f>
        <v>0</v>
      </c>
      <c r="W558" s="70">
        <f>'RESUMEN TOTAL'!AJ689</f>
        <v>0</v>
      </c>
      <c r="X558" s="70">
        <f>'RESUMEN TOTAL'!AK689</f>
        <v>0</v>
      </c>
      <c r="Y558" s="70">
        <f>'RESUMEN TOTAL'!AL689</f>
        <v>0</v>
      </c>
      <c r="Z558" s="70">
        <f>'RESUMEN TOTAL'!AM689</f>
        <v>0</v>
      </c>
      <c r="AA558" s="70">
        <f>'RESUMEN TOTAL'!AN689</f>
        <v>0</v>
      </c>
      <c r="AB558" s="70">
        <f>'RESUMEN TOTAL'!AO689</f>
        <v>0</v>
      </c>
      <c r="AC558" s="70">
        <f>'RESUMEN TOTAL'!AP689</f>
        <v>0</v>
      </c>
      <c r="AD558" s="70">
        <f>'RESUMEN TOTAL'!AQ689</f>
        <v>0</v>
      </c>
      <c r="AE558" s="70">
        <f>'RESUMEN TOTAL'!AR689</f>
        <v>0</v>
      </c>
      <c r="AF558" s="70">
        <f>'RESUMEN TOTAL'!AS689</f>
        <v>0</v>
      </c>
      <c r="AG558" s="70">
        <f>'RESUMEN TOTAL'!AT689</f>
        <v>0</v>
      </c>
      <c r="AH558" s="70">
        <f>'RESUMEN TOTAL'!AU689</f>
        <v>0</v>
      </c>
      <c r="AI558" s="70">
        <f>'RESUMEN TOTAL'!AV689</f>
        <v>0</v>
      </c>
      <c r="AJ558" s="70" t="e">
        <f>'RESUMEN TOTAL'!#REF!</f>
        <v>#REF!</v>
      </c>
    </row>
    <row r="559" spans="1:36" x14ac:dyDescent="0.25">
      <c r="A559">
        <f>'RESUMEN TOTAL'!F690</f>
        <v>0</v>
      </c>
      <c r="B559">
        <f>'RESUMEN TOTAL'!G690</f>
        <v>0</v>
      </c>
      <c r="C559">
        <f>'RESUMEN TOTAL'!I690</f>
        <v>0</v>
      </c>
      <c r="D559" s="30">
        <f>'RESUMEN TOTAL'!J690</f>
        <v>0</v>
      </c>
      <c r="E559" s="30">
        <f>'RESUMEN TOTAL'!K690</f>
        <v>0</v>
      </c>
      <c r="F559" s="70">
        <f>'RESUMEN TOTAL'!S690</f>
        <v>0</v>
      </c>
      <c r="G559" s="70">
        <f>'RESUMEN TOTAL'!T690</f>
        <v>0</v>
      </c>
      <c r="H559" s="70">
        <f>'RESUMEN TOTAL'!U690</f>
        <v>0</v>
      </c>
      <c r="I559" s="70">
        <f>'RESUMEN TOTAL'!V690</f>
        <v>0</v>
      </c>
      <c r="J559" s="70">
        <f>'RESUMEN TOTAL'!W690</f>
        <v>0</v>
      </c>
      <c r="K559" s="70">
        <f>'RESUMEN TOTAL'!X690</f>
        <v>0</v>
      </c>
      <c r="L559" s="70">
        <f>'RESUMEN TOTAL'!Y690</f>
        <v>0</v>
      </c>
      <c r="M559" s="70">
        <f>'RESUMEN TOTAL'!Z690</f>
        <v>0</v>
      </c>
      <c r="N559" s="70">
        <f>'RESUMEN TOTAL'!AA690</f>
        <v>0</v>
      </c>
      <c r="O559" s="70">
        <f>'RESUMEN TOTAL'!AB690</f>
        <v>0</v>
      </c>
      <c r="P559" s="70">
        <f>'RESUMEN TOTAL'!AC690</f>
        <v>0</v>
      </c>
      <c r="Q559" s="70">
        <f>'RESUMEN TOTAL'!AD690</f>
        <v>0</v>
      </c>
      <c r="R559" s="70">
        <f>'RESUMEN TOTAL'!AE690</f>
        <v>0</v>
      </c>
      <c r="S559" s="70">
        <f>'RESUMEN TOTAL'!AF690</f>
        <v>0</v>
      </c>
      <c r="T559" s="70">
        <f>'RESUMEN TOTAL'!AG690</f>
        <v>0</v>
      </c>
      <c r="U559" s="70">
        <f>'RESUMEN TOTAL'!AH690</f>
        <v>0</v>
      </c>
      <c r="V559" s="70">
        <f>'RESUMEN TOTAL'!AI690</f>
        <v>0</v>
      </c>
      <c r="W559" s="70">
        <f>'RESUMEN TOTAL'!AJ690</f>
        <v>0</v>
      </c>
      <c r="X559" s="70">
        <f>'RESUMEN TOTAL'!AK690</f>
        <v>0</v>
      </c>
      <c r="Y559" s="70">
        <f>'RESUMEN TOTAL'!AL690</f>
        <v>0</v>
      </c>
      <c r="Z559" s="70">
        <f>'RESUMEN TOTAL'!AM690</f>
        <v>0</v>
      </c>
      <c r="AA559" s="70">
        <f>'RESUMEN TOTAL'!AN690</f>
        <v>0</v>
      </c>
      <c r="AB559" s="70">
        <f>'RESUMEN TOTAL'!AO690</f>
        <v>0</v>
      </c>
      <c r="AC559" s="70">
        <f>'RESUMEN TOTAL'!AP690</f>
        <v>0</v>
      </c>
      <c r="AD559" s="70">
        <f>'RESUMEN TOTAL'!AQ690</f>
        <v>0</v>
      </c>
      <c r="AE559" s="70">
        <f>'RESUMEN TOTAL'!AR690</f>
        <v>0</v>
      </c>
      <c r="AF559" s="70">
        <f>'RESUMEN TOTAL'!AS690</f>
        <v>0</v>
      </c>
      <c r="AG559" s="70">
        <f>'RESUMEN TOTAL'!AT690</f>
        <v>0</v>
      </c>
      <c r="AH559" s="70">
        <f>'RESUMEN TOTAL'!AU690</f>
        <v>0</v>
      </c>
      <c r="AI559" s="70">
        <f>'RESUMEN TOTAL'!AV690</f>
        <v>0</v>
      </c>
      <c r="AJ559" s="70" t="e">
        <f>'RESUMEN TOTAL'!#REF!</f>
        <v>#REF!</v>
      </c>
    </row>
    <row r="560" spans="1:36" x14ac:dyDescent="0.25">
      <c r="A560">
        <f>'RESUMEN TOTAL'!F691</f>
        <v>0</v>
      </c>
      <c r="B560">
        <f>'RESUMEN TOTAL'!G691</f>
        <v>0</v>
      </c>
      <c r="C560">
        <f>'RESUMEN TOTAL'!I691</f>
        <v>0</v>
      </c>
      <c r="D560" s="30">
        <f>'RESUMEN TOTAL'!J691</f>
        <v>0</v>
      </c>
      <c r="E560" s="30">
        <f>'RESUMEN TOTAL'!K691</f>
        <v>0</v>
      </c>
      <c r="F560" s="70">
        <f>'RESUMEN TOTAL'!S691</f>
        <v>0</v>
      </c>
      <c r="G560" s="70">
        <f>'RESUMEN TOTAL'!T691</f>
        <v>0</v>
      </c>
      <c r="H560" s="70">
        <f>'RESUMEN TOTAL'!U691</f>
        <v>0</v>
      </c>
      <c r="I560" s="70">
        <f>'RESUMEN TOTAL'!V691</f>
        <v>0</v>
      </c>
      <c r="J560" s="70">
        <f>'RESUMEN TOTAL'!W691</f>
        <v>0</v>
      </c>
      <c r="K560" s="70">
        <f>'RESUMEN TOTAL'!X691</f>
        <v>0</v>
      </c>
      <c r="L560" s="70">
        <f>'RESUMEN TOTAL'!Y691</f>
        <v>0</v>
      </c>
      <c r="M560" s="70">
        <f>'RESUMEN TOTAL'!Z691</f>
        <v>0</v>
      </c>
      <c r="N560" s="70">
        <f>'RESUMEN TOTAL'!AA691</f>
        <v>0</v>
      </c>
      <c r="O560" s="70">
        <f>'RESUMEN TOTAL'!AB691</f>
        <v>0</v>
      </c>
      <c r="P560" s="70">
        <f>'RESUMEN TOTAL'!AC691</f>
        <v>0</v>
      </c>
      <c r="Q560" s="70">
        <f>'RESUMEN TOTAL'!AD691</f>
        <v>0</v>
      </c>
      <c r="R560" s="70">
        <f>'RESUMEN TOTAL'!AE691</f>
        <v>0</v>
      </c>
      <c r="S560" s="70">
        <f>'RESUMEN TOTAL'!AF691</f>
        <v>0</v>
      </c>
      <c r="T560" s="70">
        <f>'RESUMEN TOTAL'!AG691</f>
        <v>0</v>
      </c>
      <c r="U560" s="70">
        <f>'RESUMEN TOTAL'!AH691</f>
        <v>0</v>
      </c>
      <c r="V560" s="70">
        <f>'RESUMEN TOTAL'!AI691</f>
        <v>0</v>
      </c>
      <c r="W560" s="70">
        <f>'RESUMEN TOTAL'!AJ691</f>
        <v>0</v>
      </c>
      <c r="X560" s="70">
        <f>'RESUMEN TOTAL'!AK691</f>
        <v>0</v>
      </c>
      <c r="Y560" s="70">
        <f>'RESUMEN TOTAL'!AL691</f>
        <v>0</v>
      </c>
      <c r="Z560" s="70">
        <f>'RESUMEN TOTAL'!AM691</f>
        <v>0</v>
      </c>
      <c r="AA560" s="70">
        <f>'RESUMEN TOTAL'!AN691</f>
        <v>0</v>
      </c>
      <c r="AB560" s="70">
        <f>'RESUMEN TOTAL'!AO691</f>
        <v>0</v>
      </c>
      <c r="AC560" s="70">
        <f>'RESUMEN TOTAL'!AP691</f>
        <v>0</v>
      </c>
      <c r="AD560" s="70">
        <f>'RESUMEN TOTAL'!AQ691</f>
        <v>0</v>
      </c>
      <c r="AE560" s="70">
        <f>'RESUMEN TOTAL'!AR691</f>
        <v>0</v>
      </c>
      <c r="AF560" s="70">
        <f>'RESUMEN TOTAL'!AS691</f>
        <v>0</v>
      </c>
      <c r="AG560" s="70">
        <f>'RESUMEN TOTAL'!AT691</f>
        <v>0</v>
      </c>
      <c r="AH560" s="70">
        <f>'RESUMEN TOTAL'!AU691</f>
        <v>0</v>
      </c>
      <c r="AI560" s="70">
        <f>'RESUMEN TOTAL'!AV691</f>
        <v>0</v>
      </c>
      <c r="AJ560" s="70" t="e">
        <f>'RESUMEN TOTAL'!#REF!</f>
        <v>#REF!</v>
      </c>
    </row>
    <row r="561" spans="1:36" x14ac:dyDescent="0.25">
      <c r="A561">
        <f>'RESUMEN TOTAL'!F692</f>
        <v>0</v>
      </c>
      <c r="B561">
        <f>'RESUMEN TOTAL'!G692</f>
        <v>0</v>
      </c>
      <c r="C561">
        <f>'RESUMEN TOTAL'!I692</f>
        <v>0</v>
      </c>
      <c r="D561" s="30">
        <f>'RESUMEN TOTAL'!J692</f>
        <v>0</v>
      </c>
      <c r="E561" s="30">
        <f>'RESUMEN TOTAL'!K692</f>
        <v>0</v>
      </c>
      <c r="F561" s="70">
        <f>'RESUMEN TOTAL'!S692</f>
        <v>0</v>
      </c>
      <c r="G561" s="70">
        <f>'RESUMEN TOTAL'!T692</f>
        <v>0</v>
      </c>
      <c r="H561" s="70">
        <f>'RESUMEN TOTAL'!U692</f>
        <v>0</v>
      </c>
      <c r="I561" s="70">
        <f>'RESUMEN TOTAL'!V692</f>
        <v>0</v>
      </c>
      <c r="J561" s="70">
        <f>'RESUMEN TOTAL'!W692</f>
        <v>0</v>
      </c>
      <c r="K561" s="70">
        <f>'RESUMEN TOTAL'!X692</f>
        <v>0</v>
      </c>
      <c r="L561" s="70">
        <f>'RESUMEN TOTAL'!Y692</f>
        <v>0</v>
      </c>
      <c r="M561" s="70">
        <f>'RESUMEN TOTAL'!Z692</f>
        <v>0</v>
      </c>
      <c r="N561" s="70">
        <f>'RESUMEN TOTAL'!AA692</f>
        <v>0</v>
      </c>
      <c r="O561" s="70">
        <f>'RESUMEN TOTAL'!AB692</f>
        <v>0</v>
      </c>
      <c r="P561" s="70">
        <f>'RESUMEN TOTAL'!AC692</f>
        <v>0</v>
      </c>
      <c r="Q561" s="70">
        <f>'RESUMEN TOTAL'!AD692</f>
        <v>0</v>
      </c>
      <c r="R561" s="70">
        <f>'RESUMEN TOTAL'!AE692</f>
        <v>0</v>
      </c>
      <c r="S561" s="70">
        <f>'RESUMEN TOTAL'!AF692</f>
        <v>0</v>
      </c>
      <c r="T561" s="70">
        <f>'RESUMEN TOTAL'!AG692</f>
        <v>0</v>
      </c>
      <c r="U561" s="70">
        <f>'RESUMEN TOTAL'!AH692</f>
        <v>0</v>
      </c>
      <c r="V561" s="70">
        <f>'RESUMEN TOTAL'!AI692</f>
        <v>0</v>
      </c>
      <c r="W561" s="70">
        <f>'RESUMEN TOTAL'!AJ692</f>
        <v>0</v>
      </c>
      <c r="X561" s="70">
        <f>'RESUMEN TOTAL'!AK692</f>
        <v>0</v>
      </c>
      <c r="Y561" s="70">
        <f>'RESUMEN TOTAL'!AL692</f>
        <v>0</v>
      </c>
      <c r="Z561" s="70">
        <f>'RESUMEN TOTAL'!AM692</f>
        <v>0</v>
      </c>
      <c r="AA561" s="70">
        <f>'RESUMEN TOTAL'!AN692</f>
        <v>0</v>
      </c>
      <c r="AB561" s="70">
        <f>'RESUMEN TOTAL'!AO692</f>
        <v>0</v>
      </c>
      <c r="AC561" s="70">
        <f>'RESUMEN TOTAL'!AP692</f>
        <v>0</v>
      </c>
      <c r="AD561" s="70">
        <f>'RESUMEN TOTAL'!AQ692</f>
        <v>0</v>
      </c>
      <c r="AE561" s="70">
        <f>'RESUMEN TOTAL'!AR692</f>
        <v>0</v>
      </c>
      <c r="AF561" s="70">
        <f>'RESUMEN TOTAL'!AS692</f>
        <v>0</v>
      </c>
      <c r="AG561" s="70">
        <f>'RESUMEN TOTAL'!AT692</f>
        <v>0</v>
      </c>
      <c r="AH561" s="70">
        <f>'RESUMEN TOTAL'!AU692</f>
        <v>0</v>
      </c>
      <c r="AI561" s="70">
        <f>'RESUMEN TOTAL'!AV692</f>
        <v>0</v>
      </c>
      <c r="AJ561" s="70" t="e">
        <f>'RESUMEN TOTAL'!#REF!</f>
        <v>#REF!</v>
      </c>
    </row>
    <row r="562" spans="1:36" x14ac:dyDescent="0.25">
      <c r="A562">
        <f>'RESUMEN TOTAL'!F693</f>
        <v>0</v>
      </c>
      <c r="B562">
        <f>'RESUMEN TOTAL'!G693</f>
        <v>0</v>
      </c>
      <c r="C562">
        <f>'RESUMEN TOTAL'!I693</f>
        <v>0</v>
      </c>
      <c r="D562" s="30">
        <f>'RESUMEN TOTAL'!J693</f>
        <v>0</v>
      </c>
      <c r="E562" s="30">
        <f>'RESUMEN TOTAL'!K693</f>
        <v>0</v>
      </c>
      <c r="F562" s="70">
        <f>'RESUMEN TOTAL'!S693</f>
        <v>0</v>
      </c>
      <c r="G562" s="70">
        <f>'RESUMEN TOTAL'!T693</f>
        <v>0</v>
      </c>
      <c r="H562" s="70">
        <f>'RESUMEN TOTAL'!U693</f>
        <v>0</v>
      </c>
      <c r="I562" s="70">
        <f>'RESUMEN TOTAL'!V693</f>
        <v>0</v>
      </c>
      <c r="J562" s="70">
        <f>'RESUMEN TOTAL'!W693</f>
        <v>0</v>
      </c>
      <c r="K562" s="70">
        <f>'RESUMEN TOTAL'!X693</f>
        <v>0</v>
      </c>
      <c r="L562" s="70">
        <f>'RESUMEN TOTAL'!Y693</f>
        <v>0</v>
      </c>
      <c r="M562" s="70">
        <f>'RESUMEN TOTAL'!Z693</f>
        <v>0</v>
      </c>
      <c r="N562" s="70">
        <f>'RESUMEN TOTAL'!AA693</f>
        <v>0</v>
      </c>
      <c r="O562" s="70">
        <f>'RESUMEN TOTAL'!AB693</f>
        <v>0</v>
      </c>
      <c r="P562" s="70">
        <f>'RESUMEN TOTAL'!AC693</f>
        <v>0</v>
      </c>
      <c r="Q562" s="70">
        <f>'RESUMEN TOTAL'!AD693</f>
        <v>0</v>
      </c>
      <c r="R562" s="70">
        <f>'RESUMEN TOTAL'!AE693</f>
        <v>0</v>
      </c>
      <c r="S562" s="70">
        <f>'RESUMEN TOTAL'!AF693</f>
        <v>0</v>
      </c>
      <c r="T562" s="70">
        <f>'RESUMEN TOTAL'!AG693</f>
        <v>0</v>
      </c>
      <c r="U562" s="70">
        <f>'RESUMEN TOTAL'!AH693</f>
        <v>0</v>
      </c>
      <c r="V562" s="70">
        <f>'RESUMEN TOTAL'!AI693</f>
        <v>0</v>
      </c>
      <c r="W562" s="70">
        <f>'RESUMEN TOTAL'!AJ693</f>
        <v>0</v>
      </c>
      <c r="X562" s="70">
        <f>'RESUMEN TOTAL'!AK693</f>
        <v>0</v>
      </c>
      <c r="Y562" s="70">
        <f>'RESUMEN TOTAL'!AL693</f>
        <v>0</v>
      </c>
      <c r="Z562" s="70">
        <f>'RESUMEN TOTAL'!AM693</f>
        <v>0</v>
      </c>
      <c r="AA562" s="70">
        <f>'RESUMEN TOTAL'!AN693</f>
        <v>0</v>
      </c>
      <c r="AB562" s="70">
        <f>'RESUMEN TOTAL'!AO693</f>
        <v>0</v>
      </c>
      <c r="AC562" s="70">
        <f>'RESUMEN TOTAL'!AP693</f>
        <v>0</v>
      </c>
      <c r="AD562" s="70">
        <f>'RESUMEN TOTAL'!AQ693</f>
        <v>0</v>
      </c>
      <c r="AE562" s="70">
        <f>'RESUMEN TOTAL'!AR693</f>
        <v>0</v>
      </c>
      <c r="AF562" s="70">
        <f>'RESUMEN TOTAL'!AS693</f>
        <v>0</v>
      </c>
      <c r="AG562" s="70">
        <f>'RESUMEN TOTAL'!AT693</f>
        <v>0</v>
      </c>
      <c r="AH562" s="70">
        <f>'RESUMEN TOTAL'!AU693</f>
        <v>0</v>
      </c>
      <c r="AI562" s="70">
        <f>'RESUMEN TOTAL'!AV693</f>
        <v>0</v>
      </c>
      <c r="AJ562" s="70" t="e">
        <f>'RESUMEN TOTAL'!#REF!</f>
        <v>#REF!</v>
      </c>
    </row>
    <row r="563" spans="1:36" x14ac:dyDescent="0.25">
      <c r="A563">
        <f>'RESUMEN TOTAL'!F694</f>
        <v>0</v>
      </c>
      <c r="B563">
        <f>'RESUMEN TOTAL'!G694</f>
        <v>0</v>
      </c>
      <c r="C563">
        <f>'RESUMEN TOTAL'!I694</f>
        <v>0</v>
      </c>
      <c r="D563" s="30">
        <f>'RESUMEN TOTAL'!J694</f>
        <v>0</v>
      </c>
      <c r="E563" s="30">
        <f>'RESUMEN TOTAL'!K694</f>
        <v>0</v>
      </c>
      <c r="F563" s="70">
        <f>'RESUMEN TOTAL'!S694</f>
        <v>0</v>
      </c>
      <c r="G563" s="70">
        <f>'RESUMEN TOTAL'!T694</f>
        <v>0</v>
      </c>
      <c r="H563" s="70">
        <f>'RESUMEN TOTAL'!U694</f>
        <v>0</v>
      </c>
      <c r="I563" s="70">
        <f>'RESUMEN TOTAL'!V694</f>
        <v>0</v>
      </c>
      <c r="J563" s="70">
        <f>'RESUMEN TOTAL'!W694</f>
        <v>0</v>
      </c>
      <c r="K563" s="70">
        <f>'RESUMEN TOTAL'!X694</f>
        <v>0</v>
      </c>
      <c r="L563" s="70">
        <f>'RESUMEN TOTAL'!Y694</f>
        <v>0</v>
      </c>
      <c r="M563" s="70">
        <f>'RESUMEN TOTAL'!Z694</f>
        <v>0</v>
      </c>
      <c r="N563" s="70">
        <f>'RESUMEN TOTAL'!AA694</f>
        <v>0</v>
      </c>
      <c r="O563" s="70">
        <f>'RESUMEN TOTAL'!AB694</f>
        <v>0</v>
      </c>
      <c r="P563" s="70">
        <f>'RESUMEN TOTAL'!AC694</f>
        <v>0</v>
      </c>
      <c r="Q563" s="70">
        <f>'RESUMEN TOTAL'!AD694</f>
        <v>0</v>
      </c>
      <c r="R563" s="70">
        <f>'RESUMEN TOTAL'!AE694</f>
        <v>0</v>
      </c>
      <c r="S563" s="70">
        <f>'RESUMEN TOTAL'!AF694</f>
        <v>0</v>
      </c>
      <c r="T563" s="70">
        <f>'RESUMEN TOTAL'!AG694</f>
        <v>0</v>
      </c>
      <c r="U563" s="70">
        <f>'RESUMEN TOTAL'!AH694</f>
        <v>0</v>
      </c>
      <c r="V563" s="70">
        <f>'RESUMEN TOTAL'!AI694</f>
        <v>0</v>
      </c>
      <c r="W563" s="70">
        <f>'RESUMEN TOTAL'!AJ694</f>
        <v>0</v>
      </c>
      <c r="X563" s="70">
        <f>'RESUMEN TOTAL'!AK694</f>
        <v>0</v>
      </c>
      <c r="Y563" s="70">
        <f>'RESUMEN TOTAL'!AL694</f>
        <v>0</v>
      </c>
      <c r="Z563" s="70">
        <f>'RESUMEN TOTAL'!AM694</f>
        <v>0</v>
      </c>
      <c r="AA563" s="70">
        <f>'RESUMEN TOTAL'!AN694</f>
        <v>0</v>
      </c>
      <c r="AB563" s="70">
        <f>'RESUMEN TOTAL'!AO694</f>
        <v>0</v>
      </c>
      <c r="AC563" s="70">
        <f>'RESUMEN TOTAL'!AP694</f>
        <v>0</v>
      </c>
      <c r="AD563" s="70">
        <f>'RESUMEN TOTAL'!AQ694</f>
        <v>0</v>
      </c>
      <c r="AE563" s="70">
        <f>'RESUMEN TOTAL'!AR694</f>
        <v>0</v>
      </c>
      <c r="AF563" s="70">
        <f>'RESUMEN TOTAL'!AS694</f>
        <v>0</v>
      </c>
      <c r="AG563" s="70">
        <f>'RESUMEN TOTAL'!AT694</f>
        <v>0</v>
      </c>
      <c r="AH563" s="70">
        <f>'RESUMEN TOTAL'!AU694</f>
        <v>0</v>
      </c>
      <c r="AI563" s="70">
        <f>'RESUMEN TOTAL'!AV694</f>
        <v>0</v>
      </c>
      <c r="AJ563" s="70" t="e">
        <f>'RESUMEN TOTAL'!#REF!</f>
        <v>#REF!</v>
      </c>
    </row>
    <row r="564" spans="1:36" x14ac:dyDescent="0.25">
      <c r="A564">
        <f>'RESUMEN TOTAL'!F695</f>
        <v>0</v>
      </c>
      <c r="B564">
        <f>'RESUMEN TOTAL'!G695</f>
        <v>0</v>
      </c>
      <c r="C564">
        <f>'RESUMEN TOTAL'!I695</f>
        <v>0</v>
      </c>
      <c r="D564" s="30">
        <f>'RESUMEN TOTAL'!J695</f>
        <v>0</v>
      </c>
      <c r="E564" s="30">
        <f>'RESUMEN TOTAL'!K695</f>
        <v>0</v>
      </c>
      <c r="F564" s="70">
        <f>'RESUMEN TOTAL'!S695</f>
        <v>0</v>
      </c>
      <c r="G564" s="70">
        <f>'RESUMEN TOTAL'!T695</f>
        <v>0</v>
      </c>
      <c r="H564" s="70">
        <f>'RESUMEN TOTAL'!U695</f>
        <v>0</v>
      </c>
      <c r="I564" s="70">
        <f>'RESUMEN TOTAL'!V695</f>
        <v>0</v>
      </c>
      <c r="J564" s="70">
        <f>'RESUMEN TOTAL'!W695</f>
        <v>0</v>
      </c>
      <c r="K564" s="70">
        <f>'RESUMEN TOTAL'!X695</f>
        <v>0</v>
      </c>
      <c r="L564" s="70">
        <f>'RESUMEN TOTAL'!Y695</f>
        <v>0</v>
      </c>
      <c r="M564" s="70">
        <f>'RESUMEN TOTAL'!Z695</f>
        <v>0</v>
      </c>
      <c r="N564" s="70">
        <f>'RESUMEN TOTAL'!AA695</f>
        <v>0</v>
      </c>
      <c r="O564" s="70">
        <f>'RESUMEN TOTAL'!AB695</f>
        <v>0</v>
      </c>
      <c r="P564" s="70">
        <f>'RESUMEN TOTAL'!AC695</f>
        <v>0</v>
      </c>
      <c r="Q564" s="70">
        <f>'RESUMEN TOTAL'!AD695</f>
        <v>0</v>
      </c>
      <c r="R564" s="70">
        <f>'RESUMEN TOTAL'!AE695</f>
        <v>0</v>
      </c>
      <c r="S564" s="70">
        <f>'RESUMEN TOTAL'!AF695</f>
        <v>0</v>
      </c>
      <c r="T564" s="70">
        <f>'RESUMEN TOTAL'!AG695</f>
        <v>0</v>
      </c>
      <c r="U564" s="70">
        <f>'RESUMEN TOTAL'!AH695</f>
        <v>0</v>
      </c>
      <c r="V564" s="70">
        <f>'RESUMEN TOTAL'!AI695</f>
        <v>0</v>
      </c>
      <c r="W564" s="70">
        <f>'RESUMEN TOTAL'!AJ695</f>
        <v>0</v>
      </c>
      <c r="X564" s="70">
        <f>'RESUMEN TOTAL'!AK695</f>
        <v>0</v>
      </c>
      <c r="Y564" s="70">
        <f>'RESUMEN TOTAL'!AL695</f>
        <v>0</v>
      </c>
      <c r="Z564" s="70">
        <f>'RESUMEN TOTAL'!AM695</f>
        <v>0</v>
      </c>
      <c r="AA564" s="70">
        <f>'RESUMEN TOTAL'!AN695</f>
        <v>0</v>
      </c>
      <c r="AB564" s="70">
        <f>'RESUMEN TOTAL'!AO695</f>
        <v>0</v>
      </c>
      <c r="AC564" s="70">
        <f>'RESUMEN TOTAL'!AP695</f>
        <v>0</v>
      </c>
      <c r="AD564" s="70">
        <f>'RESUMEN TOTAL'!AQ695</f>
        <v>0</v>
      </c>
      <c r="AE564" s="70">
        <f>'RESUMEN TOTAL'!AR695</f>
        <v>0</v>
      </c>
      <c r="AF564" s="70">
        <f>'RESUMEN TOTAL'!AS695</f>
        <v>0</v>
      </c>
      <c r="AG564" s="70">
        <f>'RESUMEN TOTAL'!AT695</f>
        <v>0</v>
      </c>
      <c r="AH564" s="70">
        <f>'RESUMEN TOTAL'!AU695</f>
        <v>0</v>
      </c>
      <c r="AI564" s="70">
        <f>'RESUMEN TOTAL'!AV695</f>
        <v>0</v>
      </c>
      <c r="AJ564" s="70" t="e">
        <f>'RESUMEN TOTAL'!#REF!</f>
        <v>#REF!</v>
      </c>
    </row>
    <row r="565" spans="1:36" x14ac:dyDescent="0.25">
      <c r="A565">
        <f>'RESUMEN TOTAL'!F696</f>
        <v>0</v>
      </c>
      <c r="B565">
        <f>'RESUMEN TOTAL'!G696</f>
        <v>0</v>
      </c>
      <c r="C565">
        <f>'RESUMEN TOTAL'!I696</f>
        <v>0</v>
      </c>
      <c r="D565" s="30">
        <f>'RESUMEN TOTAL'!J696</f>
        <v>0</v>
      </c>
      <c r="E565" s="30">
        <f>'RESUMEN TOTAL'!K696</f>
        <v>0</v>
      </c>
      <c r="F565" s="70">
        <f>'RESUMEN TOTAL'!S696</f>
        <v>0</v>
      </c>
      <c r="G565" s="70">
        <f>'RESUMEN TOTAL'!T696</f>
        <v>0</v>
      </c>
      <c r="H565" s="70">
        <f>'RESUMEN TOTAL'!U696</f>
        <v>0</v>
      </c>
      <c r="I565" s="70">
        <f>'RESUMEN TOTAL'!V696</f>
        <v>0</v>
      </c>
      <c r="J565" s="70">
        <f>'RESUMEN TOTAL'!W696</f>
        <v>0</v>
      </c>
      <c r="K565" s="70">
        <f>'RESUMEN TOTAL'!X696</f>
        <v>0</v>
      </c>
      <c r="L565" s="70">
        <f>'RESUMEN TOTAL'!Y696</f>
        <v>0</v>
      </c>
      <c r="M565" s="70">
        <f>'RESUMEN TOTAL'!Z696</f>
        <v>0</v>
      </c>
      <c r="N565" s="70">
        <f>'RESUMEN TOTAL'!AA696</f>
        <v>0</v>
      </c>
      <c r="O565" s="70">
        <f>'RESUMEN TOTAL'!AB696</f>
        <v>0</v>
      </c>
      <c r="P565" s="70">
        <f>'RESUMEN TOTAL'!AC696</f>
        <v>0</v>
      </c>
      <c r="Q565" s="70">
        <f>'RESUMEN TOTAL'!AD696</f>
        <v>0</v>
      </c>
      <c r="R565" s="70">
        <f>'RESUMEN TOTAL'!AE696</f>
        <v>0</v>
      </c>
      <c r="S565" s="70">
        <f>'RESUMEN TOTAL'!AF696</f>
        <v>0</v>
      </c>
      <c r="T565" s="70">
        <f>'RESUMEN TOTAL'!AG696</f>
        <v>0</v>
      </c>
      <c r="U565" s="70">
        <f>'RESUMEN TOTAL'!AH696</f>
        <v>0</v>
      </c>
      <c r="V565" s="70">
        <f>'RESUMEN TOTAL'!AI696</f>
        <v>0</v>
      </c>
      <c r="W565" s="70">
        <f>'RESUMEN TOTAL'!AJ696</f>
        <v>0</v>
      </c>
      <c r="X565" s="70">
        <f>'RESUMEN TOTAL'!AK696</f>
        <v>0</v>
      </c>
      <c r="Y565" s="70">
        <f>'RESUMEN TOTAL'!AL696</f>
        <v>0</v>
      </c>
      <c r="Z565" s="70">
        <f>'RESUMEN TOTAL'!AM696</f>
        <v>0</v>
      </c>
      <c r="AA565" s="70">
        <f>'RESUMEN TOTAL'!AN696</f>
        <v>0</v>
      </c>
      <c r="AB565" s="70">
        <f>'RESUMEN TOTAL'!AO696</f>
        <v>0</v>
      </c>
      <c r="AC565" s="70">
        <f>'RESUMEN TOTAL'!AP696</f>
        <v>0</v>
      </c>
      <c r="AD565" s="70">
        <f>'RESUMEN TOTAL'!AQ696</f>
        <v>0</v>
      </c>
      <c r="AE565" s="70">
        <f>'RESUMEN TOTAL'!AR696</f>
        <v>0</v>
      </c>
      <c r="AF565" s="70">
        <f>'RESUMEN TOTAL'!AS696</f>
        <v>0</v>
      </c>
      <c r="AG565" s="70">
        <f>'RESUMEN TOTAL'!AT696</f>
        <v>0</v>
      </c>
      <c r="AH565" s="70">
        <f>'RESUMEN TOTAL'!AU696</f>
        <v>0</v>
      </c>
      <c r="AI565" s="70">
        <f>'RESUMEN TOTAL'!AV696</f>
        <v>0</v>
      </c>
      <c r="AJ565" s="70" t="e">
        <f>'RESUMEN TOTAL'!#REF!</f>
        <v>#REF!</v>
      </c>
    </row>
    <row r="566" spans="1:36" x14ac:dyDescent="0.25">
      <c r="A566">
        <f>'RESUMEN TOTAL'!F697</f>
        <v>0</v>
      </c>
      <c r="B566">
        <f>'RESUMEN TOTAL'!G697</f>
        <v>0</v>
      </c>
      <c r="C566">
        <f>'RESUMEN TOTAL'!I697</f>
        <v>0</v>
      </c>
      <c r="D566" s="30">
        <f>'RESUMEN TOTAL'!J697</f>
        <v>0</v>
      </c>
      <c r="E566" s="30">
        <f>'RESUMEN TOTAL'!K697</f>
        <v>0</v>
      </c>
      <c r="F566" s="70">
        <f>'RESUMEN TOTAL'!S697</f>
        <v>0</v>
      </c>
      <c r="G566" s="70">
        <f>'RESUMEN TOTAL'!T697</f>
        <v>0</v>
      </c>
      <c r="H566" s="70">
        <f>'RESUMEN TOTAL'!U697</f>
        <v>0</v>
      </c>
      <c r="I566" s="70">
        <f>'RESUMEN TOTAL'!V697</f>
        <v>0</v>
      </c>
      <c r="J566" s="70">
        <f>'RESUMEN TOTAL'!W697</f>
        <v>0</v>
      </c>
      <c r="K566" s="70">
        <f>'RESUMEN TOTAL'!X697</f>
        <v>0</v>
      </c>
      <c r="L566" s="70">
        <f>'RESUMEN TOTAL'!Y697</f>
        <v>0</v>
      </c>
      <c r="M566" s="70">
        <f>'RESUMEN TOTAL'!Z697</f>
        <v>0</v>
      </c>
      <c r="N566" s="70">
        <f>'RESUMEN TOTAL'!AA697</f>
        <v>0</v>
      </c>
      <c r="O566" s="70">
        <f>'RESUMEN TOTAL'!AB697</f>
        <v>0</v>
      </c>
      <c r="P566" s="70">
        <f>'RESUMEN TOTAL'!AC697</f>
        <v>0</v>
      </c>
      <c r="Q566" s="70">
        <f>'RESUMEN TOTAL'!AD697</f>
        <v>0</v>
      </c>
      <c r="R566" s="70">
        <f>'RESUMEN TOTAL'!AE697</f>
        <v>0</v>
      </c>
      <c r="S566" s="70">
        <f>'RESUMEN TOTAL'!AF697</f>
        <v>0</v>
      </c>
      <c r="T566" s="70">
        <f>'RESUMEN TOTAL'!AG697</f>
        <v>0</v>
      </c>
      <c r="U566" s="70">
        <f>'RESUMEN TOTAL'!AH697</f>
        <v>0</v>
      </c>
      <c r="V566" s="70">
        <f>'RESUMEN TOTAL'!AI697</f>
        <v>0</v>
      </c>
      <c r="W566" s="70">
        <f>'RESUMEN TOTAL'!AJ697</f>
        <v>0</v>
      </c>
      <c r="X566" s="70">
        <f>'RESUMEN TOTAL'!AK697</f>
        <v>0</v>
      </c>
      <c r="Y566" s="70">
        <f>'RESUMEN TOTAL'!AL697</f>
        <v>0</v>
      </c>
      <c r="Z566" s="70">
        <f>'RESUMEN TOTAL'!AM697</f>
        <v>0</v>
      </c>
      <c r="AA566" s="70">
        <f>'RESUMEN TOTAL'!AN697</f>
        <v>0</v>
      </c>
      <c r="AB566" s="70">
        <f>'RESUMEN TOTAL'!AO697</f>
        <v>0</v>
      </c>
      <c r="AC566" s="70">
        <f>'RESUMEN TOTAL'!AP697</f>
        <v>0</v>
      </c>
      <c r="AD566" s="70">
        <f>'RESUMEN TOTAL'!AQ697</f>
        <v>0</v>
      </c>
      <c r="AE566" s="70">
        <f>'RESUMEN TOTAL'!AR697</f>
        <v>0</v>
      </c>
      <c r="AF566" s="70">
        <f>'RESUMEN TOTAL'!AS697</f>
        <v>0</v>
      </c>
      <c r="AG566" s="70">
        <f>'RESUMEN TOTAL'!AT697</f>
        <v>0</v>
      </c>
      <c r="AH566" s="70">
        <f>'RESUMEN TOTAL'!AU697</f>
        <v>0</v>
      </c>
      <c r="AI566" s="70">
        <f>'RESUMEN TOTAL'!AV697</f>
        <v>0</v>
      </c>
      <c r="AJ566" s="70" t="e">
        <f>'RESUMEN TOTAL'!#REF!</f>
        <v>#REF!</v>
      </c>
    </row>
    <row r="567" spans="1:36" x14ac:dyDescent="0.25">
      <c r="A567">
        <f>'RESUMEN TOTAL'!F698</f>
        <v>0</v>
      </c>
      <c r="B567">
        <f>'RESUMEN TOTAL'!G698</f>
        <v>0</v>
      </c>
      <c r="C567">
        <f>'RESUMEN TOTAL'!I698</f>
        <v>0</v>
      </c>
      <c r="D567" s="30">
        <f>'RESUMEN TOTAL'!J698</f>
        <v>0</v>
      </c>
      <c r="E567" s="30">
        <f>'RESUMEN TOTAL'!K698</f>
        <v>0</v>
      </c>
      <c r="F567" s="70">
        <f>'RESUMEN TOTAL'!S698</f>
        <v>0</v>
      </c>
      <c r="G567" s="70">
        <f>'RESUMEN TOTAL'!T698</f>
        <v>0</v>
      </c>
      <c r="H567" s="70">
        <f>'RESUMEN TOTAL'!U698</f>
        <v>0</v>
      </c>
      <c r="I567" s="70">
        <f>'RESUMEN TOTAL'!V698</f>
        <v>0</v>
      </c>
      <c r="J567" s="70">
        <f>'RESUMEN TOTAL'!W698</f>
        <v>0</v>
      </c>
      <c r="K567" s="70">
        <f>'RESUMEN TOTAL'!X698</f>
        <v>0</v>
      </c>
      <c r="L567" s="70">
        <f>'RESUMEN TOTAL'!Y698</f>
        <v>0</v>
      </c>
      <c r="M567" s="70">
        <f>'RESUMEN TOTAL'!Z698</f>
        <v>0</v>
      </c>
      <c r="N567" s="70">
        <f>'RESUMEN TOTAL'!AA698</f>
        <v>0</v>
      </c>
      <c r="O567" s="70">
        <f>'RESUMEN TOTAL'!AB698</f>
        <v>0</v>
      </c>
      <c r="P567" s="70">
        <f>'RESUMEN TOTAL'!AC698</f>
        <v>0</v>
      </c>
      <c r="Q567" s="70">
        <f>'RESUMEN TOTAL'!AD698</f>
        <v>0</v>
      </c>
      <c r="R567" s="70">
        <f>'RESUMEN TOTAL'!AE698</f>
        <v>0</v>
      </c>
      <c r="S567" s="70">
        <f>'RESUMEN TOTAL'!AF698</f>
        <v>0</v>
      </c>
      <c r="T567" s="70">
        <f>'RESUMEN TOTAL'!AG698</f>
        <v>0</v>
      </c>
      <c r="U567" s="70">
        <f>'RESUMEN TOTAL'!AH698</f>
        <v>0</v>
      </c>
      <c r="V567" s="70">
        <f>'RESUMEN TOTAL'!AI698</f>
        <v>0</v>
      </c>
      <c r="W567" s="70">
        <f>'RESUMEN TOTAL'!AJ698</f>
        <v>0</v>
      </c>
      <c r="X567" s="70">
        <f>'RESUMEN TOTAL'!AK698</f>
        <v>0</v>
      </c>
      <c r="Y567" s="70">
        <f>'RESUMEN TOTAL'!AL698</f>
        <v>0</v>
      </c>
      <c r="Z567" s="70">
        <f>'RESUMEN TOTAL'!AM698</f>
        <v>0</v>
      </c>
      <c r="AA567" s="70">
        <f>'RESUMEN TOTAL'!AN698</f>
        <v>0</v>
      </c>
      <c r="AB567" s="70">
        <f>'RESUMEN TOTAL'!AO698</f>
        <v>0</v>
      </c>
      <c r="AC567" s="70">
        <f>'RESUMEN TOTAL'!AP698</f>
        <v>0</v>
      </c>
      <c r="AD567" s="70">
        <f>'RESUMEN TOTAL'!AQ698</f>
        <v>0</v>
      </c>
      <c r="AE567" s="70">
        <f>'RESUMEN TOTAL'!AR698</f>
        <v>0</v>
      </c>
      <c r="AF567" s="70">
        <f>'RESUMEN TOTAL'!AS698</f>
        <v>0</v>
      </c>
      <c r="AG567" s="70">
        <f>'RESUMEN TOTAL'!AT698</f>
        <v>0</v>
      </c>
      <c r="AH567" s="70">
        <f>'RESUMEN TOTAL'!AU698</f>
        <v>0</v>
      </c>
      <c r="AI567" s="70">
        <f>'RESUMEN TOTAL'!AV698</f>
        <v>0</v>
      </c>
      <c r="AJ567" s="70" t="e">
        <f>'RESUMEN TOTAL'!#REF!</f>
        <v>#REF!</v>
      </c>
    </row>
    <row r="568" spans="1:36" x14ac:dyDescent="0.25">
      <c r="A568">
        <f>'RESUMEN TOTAL'!F699</f>
        <v>0</v>
      </c>
      <c r="B568">
        <f>'RESUMEN TOTAL'!G699</f>
        <v>0</v>
      </c>
      <c r="C568">
        <f>'RESUMEN TOTAL'!I699</f>
        <v>0</v>
      </c>
      <c r="D568" s="30">
        <f>'RESUMEN TOTAL'!J699</f>
        <v>0</v>
      </c>
      <c r="E568" s="30">
        <f>'RESUMEN TOTAL'!K699</f>
        <v>0</v>
      </c>
      <c r="F568" s="70">
        <f>'RESUMEN TOTAL'!S699</f>
        <v>0</v>
      </c>
      <c r="G568" s="70">
        <f>'RESUMEN TOTAL'!T699</f>
        <v>0</v>
      </c>
      <c r="H568" s="70">
        <f>'RESUMEN TOTAL'!U699</f>
        <v>0</v>
      </c>
      <c r="I568" s="70">
        <f>'RESUMEN TOTAL'!V699</f>
        <v>0</v>
      </c>
      <c r="J568" s="70">
        <f>'RESUMEN TOTAL'!W699</f>
        <v>0</v>
      </c>
      <c r="K568" s="70">
        <f>'RESUMEN TOTAL'!X699</f>
        <v>0</v>
      </c>
      <c r="L568" s="70">
        <f>'RESUMEN TOTAL'!Y699</f>
        <v>0</v>
      </c>
      <c r="M568" s="70">
        <f>'RESUMEN TOTAL'!Z699</f>
        <v>0</v>
      </c>
      <c r="N568" s="70">
        <f>'RESUMEN TOTAL'!AA699</f>
        <v>0</v>
      </c>
      <c r="O568" s="70">
        <f>'RESUMEN TOTAL'!AB699</f>
        <v>0</v>
      </c>
      <c r="P568" s="70">
        <f>'RESUMEN TOTAL'!AC699</f>
        <v>0</v>
      </c>
      <c r="Q568" s="70">
        <f>'RESUMEN TOTAL'!AD699</f>
        <v>0</v>
      </c>
      <c r="R568" s="70">
        <f>'RESUMEN TOTAL'!AE699</f>
        <v>0</v>
      </c>
      <c r="S568" s="70">
        <f>'RESUMEN TOTAL'!AF699</f>
        <v>0</v>
      </c>
      <c r="T568" s="70">
        <f>'RESUMEN TOTAL'!AG699</f>
        <v>0</v>
      </c>
      <c r="U568" s="70">
        <f>'RESUMEN TOTAL'!AH699</f>
        <v>0</v>
      </c>
      <c r="V568" s="70">
        <f>'RESUMEN TOTAL'!AI699</f>
        <v>0</v>
      </c>
      <c r="W568" s="70">
        <f>'RESUMEN TOTAL'!AJ699</f>
        <v>0</v>
      </c>
      <c r="X568" s="70">
        <f>'RESUMEN TOTAL'!AK699</f>
        <v>0</v>
      </c>
      <c r="Y568" s="70">
        <f>'RESUMEN TOTAL'!AL699</f>
        <v>0</v>
      </c>
      <c r="Z568" s="70">
        <f>'RESUMEN TOTAL'!AM699</f>
        <v>0</v>
      </c>
      <c r="AA568" s="70">
        <f>'RESUMEN TOTAL'!AN699</f>
        <v>0</v>
      </c>
      <c r="AB568" s="70">
        <f>'RESUMEN TOTAL'!AO699</f>
        <v>0</v>
      </c>
      <c r="AC568" s="70">
        <f>'RESUMEN TOTAL'!AP699</f>
        <v>0</v>
      </c>
      <c r="AD568" s="70">
        <f>'RESUMEN TOTAL'!AQ699</f>
        <v>0</v>
      </c>
      <c r="AE568" s="70">
        <f>'RESUMEN TOTAL'!AR699</f>
        <v>0</v>
      </c>
      <c r="AF568" s="70">
        <f>'RESUMEN TOTAL'!AS699</f>
        <v>0</v>
      </c>
      <c r="AG568" s="70">
        <f>'RESUMEN TOTAL'!AT699</f>
        <v>0</v>
      </c>
      <c r="AH568" s="70">
        <f>'RESUMEN TOTAL'!AU699</f>
        <v>0</v>
      </c>
      <c r="AI568" s="70">
        <f>'RESUMEN TOTAL'!AV699</f>
        <v>0</v>
      </c>
      <c r="AJ568" s="70" t="e">
        <f>'RESUMEN TOTAL'!#REF!</f>
        <v>#REF!</v>
      </c>
    </row>
    <row r="569" spans="1:36" x14ac:dyDescent="0.25">
      <c r="A569">
        <f>'RESUMEN TOTAL'!F700</f>
        <v>0</v>
      </c>
      <c r="B569">
        <f>'RESUMEN TOTAL'!G700</f>
        <v>0</v>
      </c>
      <c r="C569">
        <f>'RESUMEN TOTAL'!I700</f>
        <v>0</v>
      </c>
      <c r="D569" s="30">
        <f>'RESUMEN TOTAL'!J700</f>
        <v>0</v>
      </c>
      <c r="E569" s="30">
        <f>'RESUMEN TOTAL'!K700</f>
        <v>0</v>
      </c>
      <c r="F569" s="70">
        <f>'RESUMEN TOTAL'!S700</f>
        <v>0</v>
      </c>
      <c r="G569" s="70">
        <f>'RESUMEN TOTAL'!T700</f>
        <v>0</v>
      </c>
      <c r="H569" s="70">
        <f>'RESUMEN TOTAL'!U700</f>
        <v>0</v>
      </c>
      <c r="I569" s="70">
        <f>'RESUMEN TOTAL'!V700</f>
        <v>0</v>
      </c>
      <c r="J569" s="70">
        <f>'RESUMEN TOTAL'!W700</f>
        <v>0</v>
      </c>
      <c r="K569" s="70">
        <f>'RESUMEN TOTAL'!X700</f>
        <v>0</v>
      </c>
      <c r="L569" s="70">
        <f>'RESUMEN TOTAL'!Y700</f>
        <v>0</v>
      </c>
      <c r="M569" s="70">
        <f>'RESUMEN TOTAL'!Z700</f>
        <v>0</v>
      </c>
      <c r="N569" s="70">
        <f>'RESUMEN TOTAL'!AA700</f>
        <v>0</v>
      </c>
      <c r="O569" s="70">
        <f>'RESUMEN TOTAL'!AB700</f>
        <v>0</v>
      </c>
      <c r="P569" s="70">
        <f>'RESUMEN TOTAL'!AC700</f>
        <v>0</v>
      </c>
      <c r="Q569" s="70">
        <f>'RESUMEN TOTAL'!AD700</f>
        <v>0</v>
      </c>
      <c r="R569" s="70">
        <f>'RESUMEN TOTAL'!AE700</f>
        <v>0</v>
      </c>
      <c r="S569" s="70">
        <f>'RESUMEN TOTAL'!AF700</f>
        <v>0</v>
      </c>
      <c r="T569" s="70">
        <f>'RESUMEN TOTAL'!AG700</f>
        <v>0</v>
      </c>
      <c r="U569" s="70">
        <f>'RESUMEN TOTAL'!AH700</f>
        <v>0</v>
      </c>
      <c r="V569" s="70">
        <f>'RESUMEN TOTAL'!AI700</f>
        <v>0</v>
      </c>
      <c r="W569" s="70">
        <f>'RESUMEN TOTAL'!AJ700</f>
        <v>0</v>
      </c>
      <c r="X569" s="70">
        <f>'RESUMEN TOTAL'!AK700</f>
        <v>0</v>
      </c>
      <c r="Y569" s="70">
        <f>'RESUMEN TOTAL'!AL700</f>
        <v>0</v>
      </c>
      <c r="Z569" s="70">
        <f>'RESUMEN TOTAL'!AM700</f>
        <v>0</v>
      </c>
      <c r="AA569" s="70">
        <f>'RESUMEN TOTAL'!AN700</f>
        <v>0</v>
      </c>
      <c r="AB569" s="70">
        <f>'RESUMEN TOTAL'!AO700</f>
        <v>0</v>
      </c>
      <c r="AC569" s="70">
        <f>'RESUMEN TOTAL'!AP700</f>
        <v>0</v>
      </c>
      <c r="AD569" s="70">
        <f>'RESUMEN TOTAL'!AQ700</f>
        <v>0</v>
      </c>
      <c r="AE569" s="70">
        <f>'RESUMEN TOTAL'!AR700</f>
        <v>0</v>
      </c>
      <c r="AF569" s="70">
        <f>'RESUMEN TOTAL'!AS700</f>
        <v>0</v>
      </c>
      <c r="AG569" s="70">
        <f>'RESUMEN TOTAL'!AT700</f>
        <v>0</v>
      </c>
      <c r="AH569" s="70">
        <f>'RESUMEN TOTAL'!AU700</f>
        <v>0</v>
      </c>
      <c r="AI569" s="70">
        <f>'RESUMEN TOTAL'!AV700</f>
        <v>0</v>
      </c>
      <c r="AJ569" s="70" t="e">
        <f>'RESUMEN TOTAL'!#REF!</f>
        <v>#REF!</v>
      </c>
    </row>
    <row r="570" spans="1:36" x14ac:dyDescent="0.25">
      <c r="A570">
        <f>'RESUMEN TOTAL'!F701</f>
        <v>0</v>
      </c>
      <c r="B570">
        <f>'RESUMEN TOTAL'!G701</f>
        <v>0</v>
      </c>
      <c r="C570">
        <f>'RESUMEN TOTAL'!I701</f>
        <v>0</v>
      </c>
      <c r="D570" s="30">
        <f>'RESUMEN TOTAL'!J701</f>
        <v>0</v>
      </c>
      <c r="E570" s="30">
        <f>'RESUMEN TOTAL'!K701</f>
        <v>0</v>
      </c>
      <c r="F570" s="70">
        <f>'RESUMEN TOTAL'!S701</f>
        <v>0</v>
      </c>
      <c r="G570" s="70">
        <f>'RESUMEN TOTAL'!T701</f>
        <v>0</v>
      </c>
      <c r="H570" s="70">
        <f>'RESUMEN TOTAL'!U701</f>
        <v>0</v>
      </c>
      <c r="I570" s="70">
        <f>'RESUMEN TOTAL'!V701</f>
        <v>0</v>
      </c>
      <c r="J570" s="70">
        <f>'RESUMEN TOTAL'!W701</f>
        <v>0</v>
      </c>
      <c r="K570" s="70">
        <f>'RESUMEN TOTAL'!X701</f>
        <v>0</v>
      </c>
      <c r="L570" s="70">
        <f>'RESUMEN TOTAL'!Y701</f>
        <v>0</v>
      </c>
      <c r="M570" s="70">
        <f>'RESUMEN TOTAL'!Z701</f>
        <v>0</v>
      </c>
      <c r="N570" s="70">
        <f>'RESUMEN TOTAL'!AA701</f>
        <v>0</v>
      </c>
      <c r="O570" s="70">
        <f>'RESUMEN TOTAL'!AB701</f>
        <v>0</v>
      </c>
      <c r="P570" s="70">
        <f>'RESUMEN TOTAL'!AC701</f>
        <v>0</v>
      </c>
      <c r="Q570" s="70">
        <f>'RESUMEN TOTAL'!AD701</f>
        <v>0</v>
      </c>
      <c r="R570" s="70">
        <f>'RESUMEN TOTAL'!AE701</f>
        <v>0</v>
      </c>
      <c r="S570" s="70">
        <f>'RESUMEN TOTAL'!AF701</f>
        <v>0</v>
      </c>
      <c r="T570" s="70">
        <f>'RESUMEN TOTAL'!AG701</f>
        <v>0</v>
      </c>
      <c r="U570" s="70">
        <f>'RESUMEN TOTAL'!AH701</f>
        <v>0</v>
      </c>
      <c r="V570" s="70">
        <f>'RESUMEN TOTAL'!AI701</f>
        <v>0</v>
      </c>
      <c r="W570" s="70">
        <f>'RESUMEN TOTAL'!AJ701</f>
        <v>0</v>
      </c>
      <c r="X570" s="70">
        <f>'RESUMEN TOTAL'!AK701</f>
        <v>0</v>
      </c>
      <c r="Y570" s="70">
        <f>'RESUMEN TOTAL'!AL701</f>
        <v>0</v>
      </c>
      <c r="Z570" s="70">
        <f>'RESUMEN TOTAL'!AM701</f>
        <v>0</v>
      </c>
      <c r="AA570" s="70">
        <f>'RESUMEN TOTAL'!AN701</f>
        <v>0</v>
      </c>
      <c r="AB570" s="70">
        <f>'RESUMEN TOTAL'!AO701</f>
        <v>0</v>
      </c>
      <c r="AC570" s="70">
        <f>'RESUMEN TOTAL'!AP701</f>
        <v>0</v>
      </c>
      <c r="AD570" s="70">
        <f>'RESUMEN TOTAL'!AQ701</f>
        <v>0</v>
      </c>
      <c r="AE570" s="70">
        <f>'RESUMEN TOTAL'!AR701</f>
        <v>0</v>
      </c>
      <c r="AF570" s="70">
        <f>'RESUMEN TOTAL'!AS701</f>
        <v>0</v>
      </c>
      <c r="AG570" s="70">
        <f>'RESUMEN TOTAL'!AT701</f>
        <v>0</v>
      </c>
      <c r="AH570" s="70">
        <f>'RESUMEN TOTAL'!AU701</f>
        <v>0</v>
      </c>
      <c r="AI570" s="70">
        <f>'RESUMEN TOTAL'!AV701</f>
        <v>0</v>
      </c>
      <c r="AJ570" s="70" t="e">
        <f>'RESUMEN TOTAL'!#REF!</f>
        <v>#REF!</v>
      </c>
    </row>
    <row r="571" spans="1:36" x14ac:dyDescent="0.25">
      <c r="A571">
        <f>'RESUMEN TOTAL'!F702</f>
        <v>0</v>
      </c>
      <c r="B571">
        <f>'RESUMEN TOTAL'!G702</f>
        <v>0</v>
      </c>
      <c r="C571">
        <f>'RESUMEN TOTAL'!I702</f>
        <v>0</v>
      </c>
      <c r="D571" s="30">
        <f>'RESUMEN TOTAL'!J702</f>
        <v>0</v>
      </c>
      <c r="E571" s="30">
        <f>'RESUMEN TOTAL'!K702</f>
        <v>0</v>
      </c>
      <c r="F571" s="70">
        <f>'RESUMEN TOTAL'!S702</f>
        <v>0</v>
      </c>
      <c r="G571" s="70">
        <f>'RESUMEN TOTAL'!T702</f>
        <v>0</v>
      </c>
      <c r="H571" s="70">
        <f>'RESUMEN TOTAL'!U702</f>
        <v>0</v>
      </c>
      <c r="I571" s="70">
        <f>'RESUMEN TOTAL'!V702</f>
        <v>0</v>
      </c>
      <c r="J571" s="70">
        <f>'RESUMEN TOTAL'!W702</f>
        <v>0</v>
      </c>
      <c r="K571" s="70">
        <f>'RESUMEN TOTAL'!X702</f>
        <v>0</v>
      </c>
      <c r="L571" s="70">
        <f>'RESUMEN TOTAL'!Y702</f>
        <v>0</v>
      </c>
      <c r="M571" s="70">
        <f>'RESUMEN TOTAL'!Z702</f>
        <v>0</v>
      </c>
      <c r="N571" s="70">
        <f>'RESUMEN TOTAL'!AA702</f>
        <v>0</v>
      </c>
      <c r="O571" s="70">
        <f>'RESUMEN TOTAL'!AB702</f>
        <v>0</v>
      </c>
      <c r="P571" s="70">
        <f>'RESUMEN TOTAL'!AC702</f>
        <v>0</v>
      </c>
      <c r="Q571" s="70">
        <f>'RESUMEN TOTAL'!AD702</f>
        <v>0</v>
      </c>
      <c r="R571" s="70">
        <f>'RESUMEN TOTAL'!AE702</f>
        <v>0</v>
      </c>
      <c r="S571" s="70">
        <f>'RESUMEN TOTAL'!AF702</f>
        <v>0</v>
      </c>
      <c r="T571" s="70">
        <f>'RESUMEN TOTAL'!AG702</f>
        <v>0</v>
      </c>
      <c r="U571" s="70">
        <f>'RESUMEN TOTAL'!AH702</f>
        <v>0</v>
      </c>
      <c r="V571" s="70">
        <f>'RESUMEN TOTAL'!AI702</f>
        <v>0</v>
      </c>
      <c r="W571" s="70">
        <f>'RESUMEN TOTAL'!AJ702</f>
        <v>0</v>
      </c>
      <c r="X571" s="70">
        <f>'RESUMEN TOTAL'!AK702</f>
        <v>0</v>
      </c>
      <c r="Y571" s="70">
        <f>'RESUMEN TOTAL'!AL702</f>
        <v>0</v>
      </c>
      <c r="Z571" s="70">
        <f>'RESUMEN TOTAL'!AM702</f>
        <v>0</v>
      </c>
      <c r="AA571" s="70">
        <f>'RESUMEN TOTAL'!AN702</f>
        <v>0</v>
      </c>
      <c r="AB571" s="70">
        <f>'RESUMEN TOTAL'!AO702</f>
        <v>0</v>
      </c>
      <c r="AC571" s="70">
        <f>'RESUMEN TOTAL'!AP702</f>
        <v>0</v>
      </c>
      <c r="AD571" s="70">
        <f>'RESUMEN TOTAL'!AQ702</f>
        <v>0</v>
      </c>
      <c r="AE571" s="70">
        <f>'RESUMEN TOTAL'!AR702</f>
        <v>0</v>
      </c>
      <c r="AF571" s="70">
        <f>'RESUMEN TOTAL'!AS702</f>
        <v>0</v>
      </c>
      <c r="AG571" s="70">
        <f>'RESUMEN TOTAL'!AT702</f>
        <v>0</v>
      </c>
      <c r="AH571" s="70">
        <f>'RESUMEN TOTAL'!AU702</f>
        <v>0</v>
      </c>
      <c r="AI571" s="70">
        <f>'RESUMEN TOTAL'!AV702</f>
        <v>0</v>
      </c>
      <c r="AJ571" s="70" t="e">
        <f>'RESUMEN TOTAL'!#REF!</f>
        <v>#REF!</v>
      </c>
    </row>
    <row r="572" spans="1:36" x14ac:dyDescent="0.25">
      <c r="A572">
        <f>'RESUMEN TOTAL'!F703</f>
        <v>0</v>
      </c>
      <c r="B572">
        <f>'RESUMEN TOTAL'!G703</f>
        <v>0</v>
      </c>
      <c r="C572">
        <f>'RESUMEN TOTAL'!I703</f>
        <v>0</v>
      </c>
      <c r="D572" s="30">
        <f>'RESUMEN TOTAL'!J703</f>
        <v>0</v>
      </c>
      <c r="E572" s="30">
        <f>'RESUMEN TOTAL'!K703</f>
        <v>0</v>
      </c>
      <c r="F572" s="70">
        <f>'RESUMEN TOTAL'!S703</f>
        <v>0</v>
      </c>
      <c r="G572" s="70">
        <f>'RESUMEN TOTAL'!T703</f>
        <v>0</v>
      </c>
      <c r="H572" s="70">
        <f>'RESUMEN TOTAL'!U703</f>
        <v>0</v>
      </c>
      <c r="I572" s="70">
        <f>'RESUMEN TOTAL'!V703</f>
        <v>0</v>
      </c>
      <c r="J572" s="70">
        <f>'RESUMEN TOTAL'!W703</f>
        <v>0</v>
      </c>
      <c r="K572" s="70">
        <f>'RESUMEN TOTAL'!X703</f>
        <v>0</v>
      </c>
      <c r="L572" s="70">
        <f>'RESUMEN TOTAL'!Y703</f>
        <v>0</v>
      </c>
      <c r="M572" s="70">
        <f>'RESUMEN TOTAL'!Z703</f>
        <v>0</v>
      </c>
      <c r="N572" s="70">
        <f>'RESUMEN TOTAL'!AA703</f>
        <v>0</v>
      </c>
      <c r="O572" s="70">
        <f>'RESUMEN TOTAL'!AB703</f>
        <v>0</v>
      </c>
      <c r="P572" s="70">
        <f>'RESUMEN TOTAL'!AC703</f>
        <v>0</v>
      </c>
      <c r="Q572" s="70">
        <f>'RESUMEN TOTAL'!AD703</f>
        <v>0</v>
      </c>
      <c r="R572" s="70">
        <f>'RESUMEN TOTAL'!AE703</f>
        <v>0</v>
      </c>
      <c r="S572" s="70">
        <f>'RESUMEN TOTAL'!AF703</f>
        <v>0</v>
      </c>
      <c r="T572" s="70">
        <f>'RESUMEN TOTAL'!AG703</f>
        <v>0</v>
      </c>
      <c r="U572" s="70">
        <f>'RESUMEN TOTAL'!AH703</f>
        <v>0</v>
      </c>
      <c r="V572" s="70">
        <f>'RESUMEN TOTAL'!AI703</f>
        <v>0</v>
      </c>
      <c r="W572" s="70">
        <f>'RESUMEN TOTAL'!AJ703</f>
        <v>0</v>
      </c>
      <c r="X572" s="70">
        <f>'RESUMEN TOTAL'!AK703</f>
        <v>0</v>
      </c>
      <c r="Y572" s="70">
        <f>'RESUMEN TOTAL'!AL703</f>
        <v>0</v>
      </c>
      <c r="Z572" s="70">
        <f>'RESUMEN TOTAL'!AM703</f>
        <v>0</v>
      </c>
      <c r="AA572" s="70">
        <f>'RESUMEN TOTAL'!AN703</f>
        <v>0</v>
      </c>
      <c r="AB572" s="70">
        <f>'RESUMEN TOTAL'!AO703</f>
        <v>0</v>
      </c>
      <c r="AC572" s="70">
        <f>'RESUMEN TOTAL'!AP703</f>
        <v>0</v>
      </c>
      <c r="AD572" s="70">
        <f>'RESUMEN TOTAL'!AQ703</f>
        <v>0</v>
      </c>
      <c r="AE572" s="70">
        <f>'RESUMEN TOTAL'!AR703</f>
        <v>0</v>
      </c>
      <c r="AF572" s="70">
        <f>'RESUMEN TOTAL'!AS703</f>
        <v>0</v>
      </c>
      <c r="AG572" s="70">
        <f>'RESUMEN TOTAL'!AT703</f>
        <v>0</v>
      </c>
      <c r="AH572" s="70">
        <f>'RESUMEN TOTAL'!AU703</f>
        <v>0</v>
      </c>
      <c r="AI572" s="70">
        <f>'RESUMEN TOTAL'!AV703</f>
        <v>0</v>
      </c>
      <c r="AJ572" s="70" t="e">
        <f>'RESUMEN TOTAL'!#REF!</f>
        <v>#REF!</v>
      </c>
    </row>
    <row r="573" spans="1:36" x14ac:dyDescent="0.25">
      <c r="A573">
        <f>'RESUMEN TOTAL'!F704</f>
        <v>0</v>
      </c>
      <c r="B573">
        <f>'RESUMEN TOTAL'!G704</f>
        <v>0</v>
      </c>
      <c r="C573">
        <f>'RESUMEN TOTAL'!I704</f>
        <v>0</v>
      </c>
      <c r="D573" s="30">
        <f>'RESUMEN TOTAL'!J704</f>
        <v>0</v>
      </c>
      <c r="E573" s="30">
        <f>'RESUMEN TOTAL'!K704</f>
        <v>0</v>
      </c>
      <c r="F573" s="70">
        <f>'RESUMEN TOTAL'!S704</f>
        <v>0</v>
      </c>
      <c r="G573" s="70">
        <f>'RESUMEN TOTAL'!T704</f>
        <v>0</v>
      </c>
      <c r="H573" s="70">
        <f>'RESUMEN TOTAL'!U704</f>
        <v>0</v>
      </c>
      <c r="I573" s="70">
        <f>'RESUMEN TOTAL'!V704</f>
        <v>0</v>
      </c>
      <c r="J573" s="70">
        <f>'RESUMEN TOTAL'!W704</f>
        <v>0</v>
      </c>
      <c r="K573" s="70">
        <f>'RESUMEN TOTAL'!X704</f>
        <v>0</v>
      </c>
      <c r="L573" s="70">
        <f>'RESUMEN TOTAL'!Y704</f>
        <v>0</v>
      </c>
      <c r="M573" s="70">
        <f>'RESUMEN TOTAL'!Z704</f>
        <v>0</v>
      </c>
      <c r="N573" s="70">
        <f>'RESUMEN TOTAL'!AA704</f>
        <v>0</v>
      </c>
      <c r="O573" s="70">
        <f>'RESUMEN TOTAL'!AB704</f>
        <v>0</v>
      </c>
      <c r="P573" s="70">
        <f>'RESUMEN TOTAL'!AC704</f>
        <v>0</v>
      </c>
      <c r="Q573" s="70">
        <f>'RESUMEN TOTAL'!AD704</f>
        <v>0</v>
      </c>
      <c r="R573" s="70">
        <f>'RESUMEN TOTAL'!AE704</f>
        <v>0</v>
      </c>
      <c r="S573" s="70">
        <f>'RESUMEN TOTAL'!AF704</f>
        <v>0</v>
      </c>
      <c r="T573" s="70">
        <f>'RESUMEN TOTAL'!AG704</f>
        <v>0</v>
      </c>
      <c r="U573" s="70">
        <f>'RESUMEN TOTAL'!AH704</f>
        <v>0</v>
      </c>
      <c r="V573" s="70">
        <f>'RESUMEN TOTAL'!AI704</f>
        <v>0</v>
      </c>
      <c r="W573" s="70">
        <f>'RESUMEN TOTAL'!AJ704</f>
        <v>0</v>
      </c>
      <c r="X573" s="70">
        <f>'RESUMEN TOTAL'!AK704</f>
        <v>0</v>
      </c>
      <c r="Y573" s="70">
        <f>'RESUMEN TOTAL'!AL704</f>
        <v>0</v>
      </c>
      <c r="Z573" s="70">
        <f>'RESUMEN TOTAL'!AM704</f>
        <v>0</v>
      </c>
      <c r="AA573" s="70">
        <f>'RESUMEN TOTAL'!AN704</f>
        <v>0</v>
      </c>
      <c r="AB573" s="70">
        <f>'RESUMEN TOTAL'!AO704</f>
        <v>0</v>
      </c>
      <c r="AC573" s="70">
        <f>'RESUMEN TOTAL'!AP704</f>
        <v>0</v>
      </c>
      <c r="AD573" s="70">
        <f>'RESUMEN TOTAL'!AQ704</f>
        <v>0</v>
      </c>
      <c r="AE573" s="70">
        <f>'RESUMEN TOTAL'!AR704</f>
        <v>0</v>
      </c>
      <c r="AF573" s="70">
        <f>'RESUMEN TOTAL'!AS704</f>
        <v>0</v>
      </c>
      <c r="AG573" s="70">
        <f>'RESUMEN TOTAL'!AT704</f>
        <v>0</v>
      </c>
      <c r="AH573" s="70">
        <f>'RESUMEN TOTAL'!AU704</f>
        <v>0</v>
      </c>
      <c r="AI573" s="70">
        <f>'RESUMEN TOTAL'!AV704</f>
        <v>0</v>
      </c>
      <c r="AJ573" s="70" t="e">
        <f>'RESUMEN TOTAL'!#REF!</f>
        <v>#REF!</v>
      </c>
    </row>
    <row r="574" spans="1:36" x14ac:dyDescent="0.25">
      <c r="A574">
        <f>'RESUMEN TOTAL'!F705</f>
        <v>0</v>
      </c>
      <c r="B574">
        <f>'RESUMEN TOTAL'!G705</f>
        <v>0</v>
      </c>
      <c r="C574">
        <f>'RESUMEN TOTAL'!I705</f>
        <v>0</v>
      </c>
      <c r="D574" s="30">
        <f>'RESUMEN TOTAL'!J705</f>
        <v>0</v>
      </c>
      <c r="E574" s="30">
        <f>'RESUMEN TOTAL'!K705</f>
        <v>0</v>
      </c>
      <c r="F574" s="70">
        <f>'RESUMEN TOTAL'!S705</f>
        <v>0</v>
      </c>
      <c r="G574" s="70">
        <f>'RESUMEN TOTAL'!T705</f>
        <v>0</v>
      </c>
      <c r="H574" s="70">
        <f>'RESUMEN TOTAL'!U705</f>
        <v>0</v>
      </c>
      <c r="I574" s="70">
        <f>'RESUMEN TOTAL'!V705</f>
        <v>0</v>
      </c>
      <c r="J574" s="70">
        <f>'RESUMEN TOTAL'!W705</f>
        <v>0</v>
      </c>
      <c r="K574" s="70">
        <f>'RESUMEN TOTAL'!X705</f>
        <v>0</v>
      </c>
      <c r="L574" s="70">
        <f>'RESUMEN TOTAL'!Y705</f>
        <v>0</v>
      </c>
      <c r="M574" s="70">
        <f>'RESUMEN TOTAL'!Z705</f>
        <v>0</v>
      </c>
      <c r="N574" s="70">
        <f>'RESUMEN TOTAL'!AA705</f>
        <v>0</v>
      </c>
      <c r="O574" s="70">
        <f>'RESUMEN TOTAL'!AB705</f>
        <v>0</v>
      </c>
      <c r="P574" s="70">
        <f>'RESUMEN TOTAL'!AC705</f>
        <v>0</v>
      </c>
      <c r="Q574" s="70">
        <f>'RESUMEN TOTAL'!AD705</f>
        <v>0</v>
      </c>
      <c r="R574" s="70">
        <f>'RESUMEN TOTAL'!AE705</f>
        <v>0</v>
      </c>
      <c r="S574" s="70">
        <f>'RESUMEN TOTAL'!AF705</f>
        <v>0</v>
      </c>
      <c r="T574" s="70">
        <f>'RESUMEN TOTAL'!AG705</f>
        <v>0</v>
      </c>
      <c r="U574" s="70">
        <f>'RESUMEN TOTAL'!AH705</f>
        <v>0</v>
      </c>
      <c r="V574" s="70">
        <f>'RESUMEN TOTAL'!AI705</f>
        <v>0</v>
      </c>
      <c r="W574" s="70">
        <f>'RESUMEN TOTAL'!AJ705</f>
        <v>0</v>
      </c>
      <c r="X574" s="70">
        <f>'RESUMEN TOTAL'!AK705</f>
        <v>0</v>
      </c>
      <c r="Y574" s="70">
        <f>'RESUMEN TOTAL'!AL705</f>
        <v>0</v>
      </c>
      <c r="Z574" s="70">
        <f>'RESUMEN TOTAL'!AM705</f>
        <v>0</v>
      </c>
      <c r="AA574" s="70">
        <f>'RESUMEN TOTAL'!AN705</f>
        <v>0</v>
      </c>
      <c r="AB574" s="70">
        <f>'RESUMEN TOTAL'!AO705</f>
        <v>0</v>
      </c>
      <c r="AC574" s="70">
        <f>'RESUMEN TOTAL'!AP705</f>
        <v>0</v>
      </c>
      <c r="AD574" s="70">
        <f>'RESUMEN TOTAL'!AQ705</f>
        <v>0</v>
      </c>
      <c r="AE574" s="70">
        <f>'RESUMEN TOTAL'!AR705</f>
        <v>0</v>
      </c>
      <c r="AF574" s="70">
        <f>'RESUMEN TOTAL'!AS705</f>
        <v>0</v>
      </c>
      <c r="AG574" s="70">
        <f>'RESUMEN TOTAL'!AT705</f>
        <v>0</v>
      </c>
      <c r="AH574" s="70">
        <f>'RESUMEN TOTAL'!AU705</f>
        <v>0</v>
      </c>
      <c r="AI574" s="70">
        <f>'RESUMEN TOTAL'!AV705</f>
        <v>0</v>
      </c>
      <c r="AJ574" s="70" t="e">
        <f>'RESUMEN TOTAL'!#REF!</f>
        <v>#REF!</v>
      </c>
    </row>
    <row r="575" spans="1:36" x14ac:dyDescent="0.25">
      <c r="A575">
        <f>'RESUMEN TOTAL'!F706</f>
        <v>0</v>
      </c>
      <c r="B575">
        <f>'RESUMEN TOTAL'!G706</f>
        <v>0</v>
      </c>
      <c r="C575">
        <f>'RESUMEN TOTAL'!I706</f>
        <v>0</v>
      </c>
      <c r="D575" s="30">
        <f>'RESUMEN TOTAL'!J706</f>
        <v>0</v>
      </c>
      <c r="E575" s="30">
        <f>'RESUMEN TOTAL'!K706</f>
        <v>0</v>
      </c>
      <c r="F575" s="70">
        <f>'RESUMEN TOTAL'!S706</f>
        <v>0</v>
      </c>
      <c r="G575" s="70">
        <f>'RESUMEN TOTAL'!T706</f>
        <v>0</v>
      </c>
      <c r="H575" s="70">
        <f>'RESUMEN TOTAL'!U706</f>
        <v>0</v>
      </c>
      <c r="I575" s="70">
        <f>'RESUMEN TOTAL'!V706</f>
        <v>0</v>
      </c>
      <c r="J575" s="70">
        <f>'RESUMEN TOTAL'!W706</f>
        <v>0</v>
      </c>
      <c r="K575" s="70">
        <f>'RESUMEN TOTAL'!X706</f>
        <v>0</v>
      </c>
      <c r="L575" s="70">
        <f>'RESUMEN TOTAL'!Y706</f>
        <v>0</v>
      </c>
      <c r="M575" s="70">
        <f>'RESUMEN TOTAL'!Z706</f>
        <v>0</v>
      </c>
      <c r="N575" s="70">
        <f>'RESUMEN TOTAL'!AA706</f>
        <v>0</v>
      </c>
      <c r="O575" s="70">
        <f>'RESUMEN TOTAL'!AB706</f>
        <v>0</v>
      </c>
      <c r="P575" s="70">
        <f>'RESUMEN TOTAL'!AC706</f>
        <v>0</v>
      </c>
      <c r="Q575" s="70">
        <f>'RESUMEN TOTAL'!AD706</f>
        <v>0</v>
      </c>
      <c r="R575" s="70">
        <f>'RESUMEN TOTAL'!AE706</f>
        <v>0</v>
      </c>
      <c r="S575" s="70">
        <f>'RESUMEN TOTAL'!AF706</f>
        <v>0</v>
      </c>
      <c r="T575" s="70">
        <f>'RESUMEN TOTAL'!AG706</f>
        <v>0</v>
      </c>
      <c r="U575" s="70">
        <f>'RESUMEN TOTAL'!AH706</f>
        <v>0</v>
      </c>
      <c r="V575" s="70">
        <f>'RESUMEN TOTAL'!AI706</f>
        <v>0</v>
      </c>
      <c r="W575" s="70">
        <f>'RESUMEN TOTAL'!AJ706</f>
        <v>0</v>
      </c>
      <c r="X575" s="70">
        <f>'RESUMEN TOTAL'!AK706</f>
        <v>0</v>
      </c>
      <c r="Y575" s="70">
        <f>'RESUMEN TOTAL'!AL706</f>
        <v>0</v>
      </c>
      <c r="Z575" s="70">
        <f>'RESUMEN TOTAL'!AM706</f>
        <v>0</v>
      </c>
      <c r="AA575" s="70">
        <f>'RESUMEN TOTAL'!AN706</f>
        <v>0</v>
      </c>
      <c r="AB575" s="70">
        <f>'RESUMEN TOTAL'!AO706</f>
        <v>0</v>
      </c>
      <c r="AC575" s="70">
        <f>'RESUMEN TOTAL'!AP706</f>
        <v>0</v>
      </c>
      <c r="AD575" s="70">
        <f>'RESUMEN TOTAL'!AQ706</f>
        <v>0</v>
      </c>
      <c r="AE575" s="70">
        <f>'RESUMEN TOTAL'!AR706</f>
        <v>0</v>
      </c>
      <c r="AF575" s="70">
        <f>'RESUMEN TOTAL'!AS706</f>
        <v>0</v>
      </c>
      <c r="AG575" s="70">
        <f>'RESUMEN TOTAL'!AT706</f>
        <v>0</v>
      </c>
      <c r="AH575" s="70">
        <f>'RESUMEN TOTAL'!AU706</f>
        <v>0</v>
      </c>
      <c r="AI575" s="70">
        <f>'RESUMEN TOTAL'!AV706</f>
        <v>0</v>
      </c>
      <c r="AJ575" s="70" t="e">
        <f>'RESUMEN TOTAL'!#REF!</f>
        <v>#REF!</v>
      </c>
    </row>
    <row r="576" spans="1:36" x14ac:dyDescent="0.25">
      <c r="A576">
        <f>'RESUMEN TOTAL'!F707</f>
        <v>0</v>
      </c>
      <c r="B576">
        <f>'RESUMEN TOTAL'!G707</f>
        <v>0</v>
      </c>
      <c r="C576">
        <f>'RESUMEN TOTAL'!I707</f>
        <v>0</v>
      </c>
      <c r="D576" s="30">
        <f>'RESUMEN TOTAL'!J707</f>
        <v>0</v>
      </c>
      <c r="E576" s="30">
        <f>'RESUMEN TOTAL'!K707</f>
        <v>0</v>
      </c>
      <c r="F576" s="70">
        <f>'RESUMEN TOTAL'!S707</f>
        <v>0</v>
      </c>
      <c r="G576" s="70">
        <f>'RESUMEN TOTAL'!T707</f>
        <v>0</v>
      </c>
      <c r="H576" s="70">
        <f>'RESUMEN TOTAL'!U707</f>
        <v>0</v>
      </c>
      <c r="I576" s="70">
        <f>'RESUMEN TOTAL'!V707</f>
        <v>0</v>
      </c>
      <c r="J576" s="70">
        <f>'RESUMEN TOTAL'!W707</f>
        <v>0</v>
      </c>
      <c r="K576" s="70">
        <f>'RESUMEN TOTAL'!X707</f>
        <v>0</v>
      </c>
      <c r="L576" s="70">
        <f>'RESUMEN TOTAL'!Y707</f>
        <v>0</v>
      </c>
      <c r="M576" s="70">
        <f>'RESUMEN TOTAL'!Z707</f>
        <v>0</v>
      </c>
      <c r="N576" s="70">
        <f>'RESUMEN TOTAL'!AA707</f>
        <v>0</v>
      </c>
      <c r="O576" s="70">
        <f>'RESUMEN TOTAL'!AB707</f>
        <v>0</v>
      </c>
      <c r="P576" s="70">
        <f>'RESUMEN TOTAL'!AC707</f>
        <v>0</v>
      </c>
      <c r="Q576" s="70">
        <f>'RESUMEN TOTAL'!AD707</f>
        <v>0</v>
      </c>
      <c r="R576" s="70">
        <f>'RESUMEN TOTAL'!AE707</f>
        <v>0</v>
      </c>
      <c r="S576" s="70">
        <f>'RESUMEN TOTAL'!AF707</f>
        <v>0</v>
      </c>
      <c r="T576" s="70">
        <f>'RESUMEN TOTAL'!AG707</f>
        <v>0</v>
      </c>
      <c r="U576" s="70">
        <f>'RESUMEN TOTAL'!AH707</f>
        <v>0</v>
      </c>
      <c r="V576" s="70">
        <f>'RESUMEN TOTAL'!AI707</f>
        <v>0</v>
      </c>
      <c r="W576" s="70">
        <f>'RESUMEN TOTAL'!AJ707</f>
        <v>0</v>
      </c>
      <c r="X576" s="70">
        <f>'RESUMEN TOTAL'!AK707</f>
        <v>0</v>
      </c>
      <c r="Y576" s="70">
        <f>'RESUMEN TOTAL'!AL707</f>
        <v>0</v>
      </c>
      <c r="Z576" s="70">
        <f>'RESUMEN TOTAL'!AM707</f>
        <v>0</v>
      </c>
      <c r="AA576" s="70">
        <f>'RESUMEN TOTAL'!AN707</f>
        <v>0</v>
      </c>
      <c r="AB576" s="70">
        <f>'RESUMEN TOTAL'!AO707</f>
        <v>0</v>
      </c>
      <c r="AC576" s="70">
        <f>'RESUMEN TOTAL'!AP707</f>
        <v>0</v>
      </c>
      <c r="AD576" s="70">
        <f>'RESUMEN TOTAL'!AQ707</f>
        <v>0</v>
      </c>
      <c r="AE576" s="70">
        <f>'RESUMEN TOTAL'!AR707</f>
        <v>0</v>
      </c>
      <c r="AF576" s="70">
        <f>'RESUMEN TOTAL'!AS707</f>
        <v>0</v>
      </c>
      <c r="AG576" s="70">
        <f>'RESUMEN TOTAL'!AT707</f>
        <v>0</v>
      </c>
      <c r="AH576" s="70">
        <f>'RESUMEN TOTAL'!AU707</f>
        <v>0</v>
      </c>
      <c r="AI576" s="70">
        <f>'RESUMEN TOTAL'!AV707</f>
        <v>0</v>
      </c>
      <c r="AJ576" s="70" t="e">
        <f>'RESUMEN TOTAL'!#REF!</f>
        <v>#REF!</v>
      </c>
    </row>
    <row r="577" spans="1:36" x14ac:dyDescent="0.25">
      <c r="A577">
        <f>'RESUMEN TOTAL'!F708</f>
        <v>0</v>
      </c>
      <c r="B577">
        <f>'RESUMEN TOTAL'!G708</f>
        <v>0</v>
      </c>
      <c r="C577">
        <f>'RESUMEN TOTAL'!I708</f>
        <v>0</v>
      </c>
      <c r="D577" s="30">
        <f>'RESUMEN TOTAL'!J708</f>
        <v>0</v>
      </c>
      <c r="E577" s="30">
        <f>'RESUMEN TOTAL'!K708</f>
        <v>0</v>
      </c>
      <c r="F577" s="70">
        <f>'RESUMEN TOTAL'!S708</f>
        <v>0</v>
      </c>
      <c r="G577" s="70">
        <f>'RESUMEN TOTAL'!T708</f>
        <v>0</v>
      </c>
      <c r="H577" s="70">
        <f>'RESUMEN TOTAL'!U708</f>
        <v>0</v>
      </c>
      <c r="I577" s="70">
        <f>'RESUMEN TOTAL'!V708</f>
        <v>0</v>
      </c>
      <c r="J577" s="70">
        <f>'RESUMEN TOTAL'!W708</f>
        <v>0</v>
      </c>
      <c r="K577" s="70">
        <f>'RESUMEN TOTAL'!X708</f>
        <v>0</v>
      </c>
      <c r="L577" s="70">
        <f>'RESUMEN TOTAL'!Y708</f>
        <v>0</v>
      </c>
      <c r="M577" s="70">
        <f>'RESUMEN TOTAL'!Z708</f>
        <v>0</v>
      </c>
      <c r="N577" s="70">
        <f>'RESUMEN TOTAL'!AA708</f>
        <v>0</v>
      </c>
      <c r="O577" s="70">
        <f>'RESUMEN TOTAL'!AB708</f>
        <v>0</v>
      </c>
      <c r="P577" s="70">
        <f>'RESUMEN TOTAL'!AC708</f>
        <v>0</v>
      </c>
      <c r="Q577" s="70">
        <f>'RESUMEN TOTAL'!AD708</f>
        <v>0</v>
      </c>
      <c r="R577" s="70">
        <f>'RESUMEN TOTAL'!AE708</f>
        <v>0</v>
      </c>
      <c r="S577" s="70">
        <f>'RESUMEN TOTAL'!AF708</f>
        <v>0</v>
      </c>
      <c r="T577" s="70">
        <f>'RESUMEN TOTAL'!AG708</f>
        <v>0</v>
      </c>
      <c r="U577" s="70">
        <f>'RESUMEN TOTAL'!AH708</f>
        <v>0</v>
      </c>
      <c r="V577" s="70">
        <f>'RESUMEN TOTAL'!AI708</f>
        <v>0</v>
      </c>
      <c r="W577" s="70">
        <f>'RESUMEN TOTAL'!AJ708</f>
        <v>0</v>
      </c>
      <c r="X577" s="70">
        <f>'RESUMEN TOTAL'!AK708</f>
        <v>0</v>
      </c>
      <c r="Y577" s="70">
        <f>'RESUMEN TOTAL'!AL708</f>
        <v>0</v>
      </c>
      <c r="Z577" s="70">
        <f>'RESUMEN TOTAL'!AM708</f>
        <v>0</v>
      </c>
      <c r="AA577" s="70">
        <f>'RESUMEN TOTAL'!AN708</f>
        <v>0</v>
      </c>
      <c r="AB577" s="70">
        <f>'RESUMEN TOTAL'!AO708</f>
        <v>0</v>
      </c>
      <c r="AC577" s="70">
        <f>'RESUMEN TOTAL'!AP708</f>
        <v>0</v>
      </c>
      <c r="AD577" s="70">
        <f>'RESUMEN TOTAL'!AQ708</f>
        <v>0</v>
      </c>
      <c r="AE577" s="70">
        <f>'RESUMEN TOTAL'!AR708</f>
        <v>0</v>
      </c>
      <c r="AF577" s="70">
        <f>'RESUMEN TOTAL'!AS708</f>
        <v>0</v>
      </c>
      <c r="AG577" s="70">
        <f>'RESUMEN TOTAL'!AT708</f>
        <v>0</v>
      </c>
      <c r="AH577" s="70">
        <f>'RESUMEN TOTAL'!AU708</f>
        <v>0</v>
      </c>
      <c r="AI577" s="70">
        <f>'RESUMEN TOTAL'!AV708</f>
        <v>0</v>
      </c>
      <c r="AJ577" s="70" t="e">
        <f>'RESUMEN TOTAL'!#REF!</f>
        <v>#REF!</v>
      </c>
    </row>
    <row r="578" spans="1:36" x14ac:dyDescent="0.25">
      <c r="A578">
        <f>'RESUMEN TOTAL'!F709</f>
        <v>0</v>
      </c>
      <c r="B578">
        <f>'RESUMEN TOTAL'!G709</f>
        <v>0</v>
      </c>
      <c r="C578">
        <f>'RESUMEN TOTAL'!I709</f>
        <v>0</v>
      </c>
      <c r="D578" s="30">
        <f>'RESUMEN TOTAL'!J709</f>
        <v>0</v>
      </c>
      <c r="E578" s="30">
        <f>'RESUMEN TOTAL'!K709</f>
        <v>0</v>
      </c>
      <c r="F578" s="70">
        <f>'RESUMEN TOTAL'!S709</f>
        <v>0</v>
      </c>
      <c r="G578" s="70">
        <f>'RESUMEN TOTAL'!T709</f>
        <v>0</v>
      </c>
      <c r="H578" s="70">
        <f>'RESUMEN TOTAL'!U709</f>
        <v>0</v>
      </c>
      <c r="I578" s="70">
        <f>'RESUMEN TOTAL'!V709</f>
        <v>0</v>
      </c>
      <c r="J578" s="70">
        <f>'RESUMEN TOTAL'!W709</f>
        <v>0</v>
      </c>
      <c r="K578" s="70">
        <f>'RESUMEN TOTAL'!X709</f>
        <v>0</v>
      </c>
      <c r="L578" s="70">
        <f>'RESUMEN TOTAL'!Y709</f>
        <v>0</v>
      </c>
      <c r="M578" s="70">
        <f>'RESUMEN TOTAL'!Z709</f>
        <v>0</v>
      </c>
      <c r="N578" s="70">
        <f>'RESUMEN TOTAL'!AA709</f>
        <v>0</v>
      </c>
      <c r="O578" s="70">
        <f>'RESUMEN TOTAL'!AB709</f>
        <v>0</v>
      </c>
      <c r="P578" s="70">
        <f>'RESUMEN TOTAL'!AC709</f>
        <v>0</v>
      </c>
      <c r="Q578" s="70">
        <f>'RESUMEN TOTAL'!AD709</f>
        <v>0</v>
      </c>
      <c r="R578" s="70">
        <f>'RESUMEN TOTAL'!AE709</f>
        <v>0</v>
      </c>
      <c r="S578" s="70">
        <f>'RESUMEN TOTAL'!AF709</f>
        <v>0</v>
      </c>
      <c r="T578" s="70">
        <f>'RESUMEN TOTAL'!AG709</f>
        <v>0</v>
      </c>
      <c r="U578" s="70">
        <f>'RESUMEN TOTAL'!AH709</f>
        <v>0</v>
      </c>
      <c r="V578" s="70">
        <f>'RESUMEN TOTAL'!AI709</f>
        <v>0</v>
      </c>
      <c r="W578" s="70">
        <f>'RESUMEN TOTAL'!AJ709</f>
        <v>0</v>
      </c>
      <c r="X578" s="70">
        <f>'RESUMEN TOTAL'!AK709</f>
        <v>0</v>
      </c>
      <c r="Y578" s="70">
        <f>'RESUMEN TOTAL'!AL709</f>
        <v>0</v>
      </c>
      <c r="Z578" s="70">
        <f>'RESUMEN TOTAL'!AM709</f>
        <v>0</v>
      </c>
      <c r="AA578" s="70">
        <f>'RESUMEN TOTAL'!AN709</f>
        <v>0</v>
      </c>
      <c r="AB578" s="70">
        <f>'RESUMEN TOTAL'!AO709</f>
        <v>0</v>
      </c>
      <c r="AC578" s="70">
        <f>'RESUMEN TOTAL'!AP709</f>
        <v>0</v>
      </c>
      <c r="AD578" s="70">
        <f>'RESUMEN TOTAL'!AQ709</f>
        <v>0</v>
      </c>
      <c r="AE578" s="70">
        <f>'RESUMEN TOTAL'!AR709</f>
        <v>0</v>
      </c>
      <c r="AF578" s="70">
        <f>'RESUMEN TOTAL'!AS709</f>
        <v>0</v>
      </c>
      <c r="AG578" s="70">
        <f>'RESUMEN TOTAL'!AT709</f>
        <v>0</v>
      </c>
      <c r="AH578" s="70">
        <f>'RESUMEN TOTAL'!AU709</f>
        <v>0</v>
      </c>
      <c r="AI578" s="70">
        <f>'RESUMEN TOTAL'!AV709</f>
        <v>0</v>
      </c>
      <c r="AJ578" s="70" t="e">
        <f>'RESUMEN TOTAL'!#REF!</f>
        <v>#REF!</v>
      </c>
    </row>
    <row r="579" spans="1:36" x14ac:dyDescent="0.25">
      <c r="A579">
        <f>'RESUMEN TOTAL'!F710</f>
        <v>0</v>
      </c>
      <c r="B579">
        <f>'RESUMEN TOTAL'!G710</f>
        <v>0</v>
      </c>
      <c r="C579">
        <f>'RESUMEN TOTAL'!I710</f>
        <v>0</v>
      </c>
      <c r="D579" s="30">
        <f>'RESUMEN TOTAL'!J710</f>
        <v>0</v>
      </c>
      <c r="E579" s="30">
        <f>'RESUMEN TOTAL'!K710</f>
        <v>0</v>
      </c>
      <c r="F579" s="70">
        <f>'RESUMEN TOTAL'!S710</f>
        <v>0</v>
      </c>
      <c r="G579" s="70">
        <f>'RESUMEN TOTAL'!T710</f>
        <v>0</v>
      </c>
      <c r="H579" s="70">
        <f>'RESUMEN TOTAL'!U710</f>
        <v>0</v>
      </c>
      <c r="I579" s="70">
        <f>'RESUMEN TOTAL'!V710</f>
        <v>0</v>
      </c>
      <c r="J579" s="70">
        <f>'RESUMEN TOTAL'!W710</f>
        <v>0</v>
      </c>
      <c r="K579" s="70">
        <f>'RESUMEN TOTAL'!X710</f>
        <v>0</v>
      </c>
      <c r="L579" s="70">
        <f>'RESUMEN TOTAL'!Y710</f>
        <v>0</v>
      </c>
      <c r="M579" s="70">
        <f>'RESUMEN TOTAL'!Z710</f>
        <v>0</v>
      </c>
      <c r="N579" s="70">
        <f>'RESUMEN TOTAL'!AA710</f>
        <v>0</v>
      </c>
      <c r="O579" s="70">
        <f>'RESUMEN TOTAL'!AB710</f>
        <v>0</v>
      </c>
      <c r="P579" s="70">
        <f>'RESUMEN TOTAL'!AC710</f>
        <v>0</v>
      </c>
      <c r="Q579" s="70">
        <f>'RESUMEN TOTAL'!AD710</f>
        <v>0</v>
      </c>
      <c r="R579" s="70">
        <f>'RESUMEN TOTAL'!AE710</f>
        <v>0</v>
      </c>
      <c r="S579" s="70">
        <f>'RESUMEN TOTAL'!AF710</f>
        <v>0</v>
      </c>
      <c r="T579" s="70">
        <f>'RESUMEN TOTAL'!AG710</f>
        <v>0</v>
      </c>
      <c r="U579" s="70">
        <f>'RESUMEN TOTAL'!AH710</f>
        <v>0</v>
      </c>
      <c r="V579" s="70">
        <f>'RESUMEN TOTAL'!AI710</f>
        <v>0</v>
      </c>
      <c r="W579" s="70">
        <f>'RESUMEN TOTAL'!AJ710</f>
        <v>0</v>
      </c>
      <c r="X579" s="70">
        <f>'RESUMEN TOTAL'!AK710</f>
        <v>0</v>
      </c>
      <c r="Y579" s="70">
        <f>'RESUMEN TOTAL'!AL710</f>
        <v>0</v>
      </c>
      <c r="Z579" s="70">
        <f>'RESUMEN TOTAL'!AM710</f>
        <v>0</v>
      </c>
      <c r="AA579" s="70">
        <f>'RESUMEN TOTAL'!AN710</f>
        <v>0</v>
      </c>
      <c r="AB579" s="70">
        <f>'RESUMEN TOTAL'!AO710</f>
        <v>0</v>
      </c>
      <c r="AC579" s="70">
        <f>'RESUMEN TOTAL'!AP710</f>
        <v>0</v>
      </c>
      <c r="AD579" s="70">
        <f>'RESUMEN TOTAL'!AQ710</f>
        <v>0</v>
      </c>
      <c r="AE579" s="70">
        <f>'RESUMEN TOTAL'!AR710</f>
        <v>0</v>
      </c>
      <c r="AF579" s="70">
        <f>'RESUMEN TOTAL'!AS710</f>
        <v>0</v>
      </c>
      <c r="AG579" s="70">
        <f>'RESUMEN TOTAL'!AT710</f>
        <v>0</v>
      </c>
      <c r="AH579" s="70">
        <f>'RESUMEN TOTAL'!AU710</f>
        <v>0</v>
      </c>
      <c r="AI579" s="70">
        <f>'RESUMEN TOTAL'!AV710</f>
        <v>0</v>
      </c>
      <c r="AJ579" s="70" t="e">
        <f>'RESUMEN TOTAL'!#REF!</f>
        <v>#REF!</v>
      </c>
    </row>
    <row r="580" spans="1:36" x14ac:dyDescent="0.25">
      <c r="A580">
        <f>'RESUMEN TOTAL'!F711</f>
        <v>0</v>
      </c>
      <c r="B580">
        <f>'RESUMEN TOTAL'!G711</f>
        <v>0</v>
      </c>
      <c r="C580">
        <f>'RESUMEN TOTAL'!I711</f>
        <v>0</v>
      </c>
      <c r="D580" s="30">
        <f>'RESUMEN TOTAL'!J711</f>
        <v>0</v>
      </c>
      <c r="E580" s="30">
        <f>'RESUMEN TOTAL'!K711</f>
        <v>0</v>
      </c>
      <c r="F580" s="70">
        <f>'RESUMEN TOTAL'!S711</f>
        <v>0</v>
      </c>
      <c r="G580" s="70">
        <f>'RESUMEN TOTAL'!T711</f>
        <v>0</v>
      </c>
      <c r="H580" s="70">
        <f>'RESUMEN TOTAL'!U711</f>
        <v>0</v>
      </c>
      <c r="I580" s="70">
        <f>'RESUMEN TOTAL'!V711</f>
        <v>0</v>
      </c>
      <c r="J580" s="70">
        <f>'RESUMEN TOTAL'!W711</f>
        <v>0</v>
      </c>
      <c r="K580" s="70">
        <f>'RESUMEN TOTAL'!X711</f>
        <v>0</v>
      </c>
      <c r="L580" s="70">
        <f>'RESUMEN TOTAL'!Y711</f>
        <v>0</v>
      </c>
      <c r="M580" s="70">
        <f>'RESUMEN TOTAL'!Z711</f>
        <v>0</v>
      </c>
      <c r="N580" s="70">
        <f>'RESUMEN TOTAL'!AA711</f>
        <v>0</v>
      </c>
      <c r="O580" s="70">
        <f>'RESUMEN TOTAL'!AB711</f>
        <v>0</v>
      </c>
      <c r="P580" s="70">
        <f>'RESUMEN TOTAL'!AC711</f>
        <v>0</v>
      </c>
      <c r="Q580" s="70">
        <f>'RESUMEN TOTAL'!AD711</f>
        <v>0</v>
      </c>
      <c r="R580" s="70">
        <f>'RESUMEN TOTAL'!AE711</f>
        <v>0</v>
      </c>
      <c r="S580" s="70">
        <f>'RESUMEN TOTAL'!AF711</f>
        <v>0</v>
      </c>
      <c r="T580" s="70">
        <f>'RESUMEN TOTAL'!AG711</f>
        <v>0</v>
      </c>
      <c r="U580" s="70">
        <f>'RESUMEN TOTAL'!AH711</f>
        <v>0</v>
      </c>
      <c r="V580" s="70">
        <f>'RESUMEN TOTAL'!AI711</f>
        <v>0</v>
      </c>
      <c r="W580" s="70">
        <f>'RESUMEN TOTAL'!AJ711</f>
        <v>0</v>
      </c>
      <c r="X580" s="70">
        <f>'RESUMEN TOTAL'!AK711</f>
        <v>0</v>
      </c>
      <c r="Y580" s="70">
        <f>'RESUMEN TOTAL'!AL711</f>
        <v>0</v>
      </c>
      <c r="Z580" s="70">
        <f>'RESUMEN TOTAL'!AM711</f>
        <v>0</v>
      </c>
      <c r="AA580" s="70">
        <f>'RESUMEN TOTAL'!AN711</f>
        <v>0</v>
      </c>
      <c r="AB580" s="70">
        <f>'RESUMEN TOTAL'!AO711</f>
        <v>0</v>
      </c>
      <c r="AC580" s="70">
        <f>'RESUMEN TOTAL'!AP711</f>
        <v>0</v>
      </c>
      <c r="AD580" s="70">
        <f>'RESUMEN TOTAL'!AQ711</f>
        <v>0</v>
      </c>
      <c r="AE580" s="70">
        <f>'RESUMEN TOTAL'!AR711</f>
        <v>0</v>
      </c>
      <c r="AF580" s="70">
        <f>'RESUMEN TOTAL'!AS711</f>
        <v>0</v>
      </c>
      <c r="AG580" s="70">
        <f>'RESUMEN TOTAL'!AT711</f>
        <v>0</v>
      </c>
      <c r="AH580" s="70">
        <f>'RESUMEN TOTAL'!AU711</f>
        <v>0</v>
      </c>
      <c r="AI580" s="70">
        <f>'RESUMEN TOTAL'!AV711</f>
        <v>0</v>
      </c>
      <c r="AJ580" s="70" t="e">
        <f>'RESUMEN TOTAL'!#REF!</f>
        <v>#REF!</v>
      </c>
    </row>
    <row r="581" spans="1:36" x14ac:dyDescent="0.25">
      <c r="A581">
        <f>'RESUMEN TOTAL'!F712</f>
        <v>0</v>
      </c>
      <c r="B581">
        <f>'RESUMEN TOTAL'!G712</f>
        <v>0</v>
      </c>
      <c r="C581">
        <f>'RESUMEN TOTAL'!I712</f>
        <v>0</v>
      </c>
      <c r="D581" s="30">
        <f>'RESUMEN TOTAL'!J712</f>
        <v>0</v>
      </c>
      <c r="E581" s="30">
        <f>'RESUMEN TOTAL'!K712</f>
        <v>0</v>
      </c>
      <c r="F581" s="70">
        <f>'RESUMEN TOTAL'!S712</f>
        <v>0</v>
      </c>
      <c r="G581" s="70">
        <f>'RESUMEN TOTAL'!T712</f>
        <v>0</v>
      </c>
      <c r="H581" s="70">
        <f>'RESUMEN TOTAL'!U712</f>
        <v>0</v>
      </c>
      <c r="I581" s="70">
        <f>'RESUMEN TOTAL'!V712</f>
        <v>0</v>
      </c>
      <c r="J581" s="70">
        <f>'RESUMEN TOTAL'!W712</f>
        <v>0</v>
      </c>
      <c r="K581" s="70">
        <f>'RESUMEN TOTAL'!X712</f>
        <v>0</v>
      </c>
      <c r="L581" s="70">
        <f>'RESUMEN TOTAL'!Y712</f>
        <v>0</v>
      </c>
      <c r="M581" s="70">
        <f>'RESUMEN TOTAL'!Z712</f>
        <v>0</v>
      </c>
      <c r="N581" s="70">
        <f>'RESUMEN TOTAL'!AA712</f>
        <v>0</v>
      </c>
      <c r="O581" s="70">
        <f>'RESUMEN TOTAL'!AB712</f>
        <v>0</v>
      </c>
      <c r="P581" s="70">
        <f>'RESUMEN TOTAL'!AC712</f>
        <v>0</v>
      </c>
      <c r="Q581" s="70">
        <f>'RESUMEN TOTAL'!AD712</f>
        <v>0</v>
      </c>
      <c r="R581" s="70">
        <f>'RESUMEN TOTAL'!AE712</f>
        <v>0</v>
      </c>
      <c r="S581" s="70">
        <f>'RESUMEN TOTAL'!AF712</f>
        <v>0</v>
      </c>
      <c r="T581" s="70">
        <f>'RESUMEN TOTAL'!AG712</f>
        <v>0</v>
      </c>
      <c r="U581" s="70">
        <f>'RESUMEN TOTAL'!AH712</f>
        <v>0</v>
      </c>
      <c r="V581" s="70">
        <f>'RESUMEN TOTAL'!AI712</f>
        <v>0</v>
      </c>
      <c r="W581" s="70">
        <f>'RESUMEN TOTAL'!AJ712</f>
        <v>0</v>
      </c>
      <c r="X581" s="70">
        <f>'RESUMEN TOTAL'!AK712</f>
        <v>0</v>
      </c>
      <c r="Y581" s="70">
        <f>'RESUMEN TOTAL'!AL712</f>
        <v>0</v>
      </c>
      <c r="Z581" s="70">
        <f>'RESUMEN TOTAL'!AM712</f>
        <v>0</v>
      </c>
      <c r="AA581" s="70">
        <f>'RESUMEN TOTAL'!AN712</f>
        <v>0</v>
      </c>
      <c r="AB581" s="70">
        <f>'RESUMEN TOTAL'!AO712</f>
        <v>0</v>
      </c>
      <c r="AC581" s="70">
        <f>'RESUMEN TOTAL'!AP712</f>
        <v>0</v>
      </c>
      <c r="AD581" s="70">
        <f>'RESUMEN TOTAL'!AQ712</f>
        <v>0</v>
      </c>
      <c r="AE581" s="70">
        <f>'RESUMEN TOTAL'!AR712</f>
        <v>0</v>
      </c>
      <c r="AF581" s="70">
        <f>'RESUMEN TOTAL'!AS712</f>
        <v>0</v>
      </c>
      <c r="AG581" s="70">
        <f>'RESUMEN TOTAL'!AT712</f>
        <v>0</v>
      </c>
      <c r="AH581" s="70">
        <f>'RESUMEN TOTAL'!AU712</f>
        <v>0</v>
      </c>
      <c r="AI581" s="70">
        <f>'RESUMEN TOTAL'!AV712</f>
        <v>0</v>
      </c>
      <c r="AJ581" s="70" t="e">
        <f>'RESUMEN TOTAL'!#REF!</f>
        <v>#REF!</v>
      </c>
    </row>
    <row r="582" spans="1:36" x14ac:dyDescent="0.25">
      <c r="A582">
        <f>'RESUMEN TOTAL'!F713</f>
        <v>0</v>
      </c>
      <c r="B582">
        <f>'RESUMEN TOTAL'!G713</f>
        <v>0</v>
      </c>
      <c r="C582">
        <f>'RESUMEN TOTAL'!I713</f>
        <v>0</v>
      </c>
      <c r="D582" s="30">
        <f>'RESUMEN TOTAL'!J713</f>
        <v>0</v>
      </c>
      <c r="E582" s="30">
        <f>'RESUMEN TOTAL'!K713</f>
        <v>0</v>
      </c>
      <c r="F582" s="70">
        <f>'RESUMEN TOTAL'!S713</f>
        <v>0</v>
      </c>
      <c r="G582" s="70">
        <f>'RESUMEN TOTAL'!T713</f>
        <v>0</v>
      </c>
      <c r="H582" s="70">
        <f>'RESUMEN TOTAL'!U713</f>
        <v>0</v>
      </c>
      <c r="I582" s="70">
        <f>'RESUMEN TOTAL'!V713</f>
        <v>0</v>
      </c>
      <c r="J582" s="70">
        <f>'RESUMEN TOTAL'!W713</f>
        <v>0</v>
      </c>
      <c r="K582" s="70">
        <f>'RESUMEN TOTAL'!X713</f>
        <v>0</v>
      </c>
      <c r="L582" s="70">
        <f>'RESUMEN TOTAL'!Y713</f>
        <v>0</v>
      </c>
      <c r="M582" s="70">
        <f>'RESUMEN TOTAL'!Z713</f>
        <v>0</v>
      </c>
      <c r="N582" s="70">
        <f>'RESUMEN TOTAL'!AA713</f>
        <v>0</v>
      </c>
      <c r="O582" s="70">
        <f>'RESUMEN TOTAL'!AB713</f>
        <v>0</v>
      </c>
      <c r="P582" s="70">
        <f>'RESUMEN TOTAL'!AC713</f>
        <v>0</v>
      </c>
      <c r="Q582" s="70">
        <f>'RESUMEN TOTAL'!AD713</f>
        <v>0</v>
      </c>
      <c r="R582" s="70">
        <f>'RESUMEN TOTAL'!AE713</f>
        <v>0</v>
      </c>
      <c r="S582" s="70">
        <f>'RESUMEN TOTAL'!AF713</f>
        <v>0</v>
      </c>
      <c r="T582" s="70">
        <f>'RESUMEN TOTAL'!AG713</f>
        <v>0</v>
      </c>
      <c r="U582" s="70">
        <f>'RESUMEN TOTAL'!AH713</f>
        <v>0</v>
      </c>
      <c r="V582" s="70">
        <f>'RESUMEN TOTAL'!AI713</f>
        <v>0</v>
      </c>
      <c r="W582" s="70">
        <f>'RESUMEN TOTAL'!AJ713</f>
        <v>0</v>
      </c>
      <c r="X582" s="70">
        <f>'RESUMEN TOTAL'!AK713</f>
        <v>0</v>
      </c>
      <c r="Y582" s="70">
        <f>'RESUMEN TOTAL'!AL713</f>
        <v>0</v>
      </c>
      <c r="Z582" s="70">
        <f>'RESUMEN TOTAL'!AM713</f>
        <v>0</v>
      </c>
      <c r="AA582" s="70">
        <f>'RESUMEN TOTAL'!AN713</f>
        <v>0</v>
      </c>
      <c r="AB582" s="70">
        <f>'RESUMEN TOTAL'!AO713</f>
        <v>0</v>
      </c>
      <c r="AC582" s="70">
        <f>'RESUMEN TOTAL'!AP713</f>
        <v>0</v>
      </c>
      <c r="AD582" s="70">
        <f>'RESUMEN TOTAL'!AQ713</f>
        <v>0</v>
      </c>
      <c r="AE582" s="70">
        <f>'RESUMEN TOTAL'!AR713</f>
        <v>0</v>
      </c>
      <c r="AF582" s="70">
        <f>'RESUMEN TOTAL'!AS713</f>
        <v>0</v>
      </c>
      <c r="AG582" s="70">
        <f>'RESUMEN TOTAL'!AT713</f>
        <v>0</v>
      </c>
      <c r="AH582" s="70">
        <f>'RESUMEN TOTAL'!AU713</f>
        <v>0</v>
      </c>
      <c r="AI582" s="70">
        <f>'RESUMEN TOTAL'!AV713</f>
        <v>0</v>
      </c>
      <c r="AJ582" s="70" t="e">
        <f>'RESUMEN TOTAL'!#REF!</f>
        <v>#REF!</v>
      </c>
    </row>
    <row r="583" spans="1:36" x14ac:dyDescent="0.25">
      <c r="A583">
        <f>'RESUMEN TOTAL'!F714</f>
        <v>0</v>
      </c>
      <c r="B583">
        <f>'RESUMEN TOTAL'!G714</f>
        <v>0</v>
      </c>
      <c r="C583">
        <f>'RESUMEN TOTAL'!I714</f>
        <v>0</v>
      </c>
      <c r="D583" s="30">
        <f>'RESUMEN TOTAL'!J714</f>
        <v>0</v>
      </c>
      <c r="E583" s="30">
        <f>'RESUMEN TOTAL'!K714</f>
        <v>0</v>
      </c>
      <c r="F583" s="70">
        <f>'RESUMEN TOTAL'!S714</f>
        <v>0</v>
      </c>
      <c r="G583" s="70">
        <f>'RESUMEN TOTAL'!T714</f>
        <v>0</v>
      </c>
      <c r="H583" s="70">
        <f>'RESUMEN TOTAL'!U714</f>
        <v>0</v>
      </c>
      <c r="I583" s="70">
        <f>'RESUMEN TOTAL'!V714</f>
        <v>0</v>
      </c>
      <c r="J583" s="70">
        <f>'RESUMEN TOTAL'!W714</f>
        <v>0</v>
      </c>
      <c r="K583" s="70">
        <f>'RESUMEN TOTAL'!X714</f>
        <v>0</v>
      </c>
      <c r="L583" s="70">
        <f>'RESUMEN TOTAL'!Y714</f>
        <v>0</v>
      </c>
      <c r="M583" s="70">
        <f>'RESUMEN TOTAL'!Z714</f>
        <v>0</v>
      </c>
      <c r="N583" s="70">
        <f>'RESUMEN TOTAL'!AA714</f>
        <v>0</v>
      </c>
      <c r="O583" s="70">
        <f>'RESUMEN TOTAL'!AB714</f>
        <v>0</v>
      </c>
      <c r="P583" s="70">
        <f>'RESUMEN TOTAL'!AC714</f>
        <v>0</v>
      </c>
      <c r="Q583" s="70">
        <f>'RESUMEN TOTAL'!AD714</f>
        <v>0</v>
      </c>
      <c r="R583" s="70">
        <f>'RESUMEN TOTAL'!AE714</f>
        <v>0</v>
      </c>
      <c r="S583" s="70">
        <f>'RESUMEN TOTAL'!AF714</f>
        <v>0</v>
      </c>
      <c r="T583" s="70">
        <f>'RESUMEN TOTAL'!AG714</f>
        <v>0</v>
      </c>
      <c r="U583" s="70">
        <f>'RESUMEN TOTAL'!AH714</f>
        <v>0</v>
      </c>
      <c r="V583" s="70">
        <f>'RESUMEN TOTAL'!AI714</f>
        <v>0</v>
      </c>
      <c r="W583" s="70">
        <f>'RESUMEN TOTAL'!AJ714</f>
        <v>0</v>
      </c>
      <c r="X583" s="70">
        <f>'RESUMEN TOTAL'!AK714</f>
        <v>0</v>
      </c>
      <c r="Y583" s="70">
        <f>'RESUMEN TOTAL'!AL714</f>
        <v>0</v>
      </c>
      <c r="Z583" s="70">
        <f>'RESUMEN TOTAL'!AM714</f>
        <v>0</v>
      </c>
      <c r="AA583" s="70">
        <f>'RESUMEN TOTAL'!AN714</f>
        <v>0</v>
      </c>
      <c r="AB583" s="70">
        <f>'RESUMEN TOTAL'!AO714</f>
        <v>0</v>
      </c>
      <c r="AC583" s="70">
        <f>'RESUMEN TOTAL'!AP714</f>
        <v>0</v>
      </c>
      <c r="AD583" s="70">
        <f>'RESUMEN TOTAL'!AQ714</f>
        <v>0</v>
      </c>
      <c r="AE583" s="70">
        <f>'RESUMEN TOTAL'!AR714</f>
        <v>0</v>
      </c>
      <c r="AF583" s="70">
        <f>'RESUMEN TOTAL'!AS714</f>
        <v>0</v>
      </c>
      <c r="AG583" s="70">
        <f>'RESUMEN TOTAL'!AT714</f>
        <v>0</v>
      </c>
      <c r="AH583" s="70">
        <f>'RESUMEN TOTAL'!AU714</f>
        <v>0</v>
      </c>
      <c r="AI583" s="70">
        <f>'RESUMEN TOTAL'!AV714</f>
        <v>0</v>
      </c>
      <c r="AJ583" s="70" t="e">
        <f>'RESUMEN TOTAL'!#REF!</f>
        <v>#REF!</v>
      </c>
    </row>
    <row r="584" spans="1:36" x14ac:dyDescent="0.25">
      <c r="A584">
        <f>'RESUMEN TOTAL'!F715</f>
        <v>0</v>
      </c>
      <c r="B584">
        <f>'RESUMEN TOTAL'!G715</f>
        <v>0</v>
      </c>
      <c r="C584">
        <f>'RESUMEN TOTAL'!I715</f>
        <v>0</v>
      </c>
      <c r="D584" s="30">
        <f>'RESUMEN TOTAL'!J715</f>
        <v>0</v>
      </c>
      <c r="E584" s="30">
        <f>'RESUMEN TOTAL'!K715</f>
        <v>0</v>
      </c>
      <c r="F584" s="70">
        <f>'RESUMEN TOTAL'!S715</f>
        <v>0</v>
      </c>
      <c r="G584" s="70">
        <f>'RESUMEN TOTAL'!T715</f>
        <v>0</v>
      </c>
      <c r="H584" s="70">
        <f>'RESUMEN TOTAL'!U715</f>
        <v>0</v>
      </c>
      <c r="I584" s="70">
        <f>'RESUMEN TOTAL'!V715</f>
        <v>0</v>
      </c>
      <c r="J584" s="70">
        <f>'RESUMEN TOTAL'!W715</f>
        <v>0</v>
      </c>
      <c r="K584" s="70">
        <f>'RESUMEN TOTAL'!X715</f>
        <v>0</v>
      </c>
      <c r="L584" s="70">
        <f>'RESUMEN TOTAL'!Y715</f>
        <v>0</v>
      </c>
      <c r="M584" s="70">
        <f>'RESUMEN TOTAL'!Z715</f>
        <v>0</v>
      </c>
      <c r="N584" s="70">
        <f>'RESUMEN TOTAL'!AA715</f>
        <v>0</v>
      </c>
      <c r="O584" s="70">
        <f>'RESUMEN TOTAL'!AB715</f>
        <v>0</v>
      </c>
      <c r="P584" s="70">
        <f>'RESUMEN TOTAL'!AC715</f>
        <v>0</v>
      </c>
      <c r="Q584" s="70">
        <f>'RESUMEN TOTAL'!AD715</f>
        <v>0</v>
      </c>
      <c r="R584" s="70">
        <f>'RESUMEN TOTAL'!AE715</f>
        <v>0</v>
      </c>
      <c r="S584" s="70">
        <f>'RESUMEN TOTAL'!AF715</f>
        <v>0</v>
      </c>
      <c r="T584" s="70">
        <f>'RESUMEN TOTAL'!AG715</f>
        <v>0</v>
      </c>
      <c r="U584" s="70">
        <f>'RESUMEN TOTAL'!AH715</f>
        <v>0</v>
      </c>
      <c r="V584" s="70">
        <f>'RESUMEN TOTAL'!AI715</f>
        <v>0</v>
      </c>
      <c r="W584" s="70">
        <f>'RESUMEN TOTAL'!AJ715</f>
        <v>0</v>
      </c>
      <c r="X584" s="70">
        <f>'RESUMEN TOTAL'!AK715</f>
        <v>0</v>
      </c>
      <c r="Y584" s="70">
        <f>'RESUMEN TOTAL'!AL715</f>
        <v>0</v>
      </c>
      <c r="Z584" s="70">
        <f>'RESUMEN TOTAL'!AM715</f>
        <v>0</v>
      </c>
      <c r="AA584" s="70">
        <f>'RESUMEN TOTAL'!AN715</f>
        <v>0</v>
      </c>
      <c r="AB584" s="70">
        <f>'RESUMEN TOTAL'!AO715</f>
        <v>0</v>
      </c>
      <c r="AC584" s="70">
        <f>'RESUMEN TOTAL'!AP715</f>
        <v>0</v>
      </c>
      <c r="AD584" s="70">
        <f>'RESUMEN TOTAL'!AQ715</f>
        <v>0</v>
      </c>
      <c r="AE584" s="70">
        <f>'RESUMEN TOTAL'!AR715</f>
        <v>0</v>
      </c>
      <c r="AF584" s="70">
        <f>'RESUMEN TOTAL'!AS715</f>
        <v>0</v>
      </c>
      <c r="AG584" s="70">
        <f>'RESUMEN TOTAL'!AT715</f>
        <v>0</v>
      </c>
      <c r="AH584" s="70">
        <f>'RESUMEN TOTAL'!AU715</f>
        <v>0</v>
      </c>
      <c r="AI584" s="70">
        <f>'RESUMEN TOTAL'!AV715</f>
        <v>0</v>
      </c>
      <c r="AJ584" s="70" t="e">
        <f>'RESUMEN TOTAL'!#REF!</f>
        <v>#REF!</v>
      </c>
    </row>
    <row r="585" spans="1:36" x14ac:dyDescent="0.25">
      <c r="A585">
        <f>'RESUMEN TOTAL'!F716</f>
        <v>0</v>
      </c>
      <c r="B585">
        <f>'RESUMEN TOTAL'!G716</f>
        <v>0</v>
      </c>
      <c r="C585">
        <f>'RESUMEN TOTAL'!I716</f>
        <v>0</v>
      </c>
      <c r="D585" s="30">
        <f>'RESUMEN TOTAL'!J716</f>
        <v>0</v>
      </c>
      <c r="E585" s="30">
        <f>'RESUMEN TOTAL'!K716</f>
        <v>0</v>
      </c>
      <c r="F585" s="70">
        <f>'RESUMEN TOTAL'!S716</f>
        <v>0</v>
      </c>
      <c r="G585" s="70">
        <f>'RESUMEN TOTAL'!T716</f>
        <v>0</v>
      </c>
      <c r="H585" s="70">
        <f>'RESUMEN TOTAL'!U716</f>
        <v>0</v>
      </c>
      <c r="I585" s="70">
        <f>'RESUMEN TOTAL'!V716</f>
        <v>0</v>
      </c>
      <c r="J585" s="70">
        <f>'RESUMEN TOTAL'!W716</f>
        <v>0</v>
      </c>
      <c r="K585" s="70">
        <f>'RESUMEN TOTAL'!X716</f>
        <v>0</v>
      </c>
      <c r="L585" s="70">
        <f>'RESUMEN TOTAL'!Y716</f>
        <v>0</v>
      </c>
      <c r="M585" s="70">
        <f>'RESUMEN TOTAL'!Z716</f>
        <v>0</v>
      </c>
      <c r="N585" s="70">
        <f>'RESUMEN TOTAL'!AA716</f>
        <v>0</v>
      </c>
      <c r="O585" s="70">
        <f>'RESUMEN TOTAL'!AB716</f>
        <v>0</v>
      </c>
      <c r="P585" s="70">
        <f>'RESUMEN TOTAL'!AC716</f>
        <v>0</v>
      </c>
      <c r="Q585" s="70">
        <f>'RESUMEN TOTAL'!AD716</f>
        <v>0</v>
      </c>
      <c r="R585" s="70">
        <f>'RESUMEN TOTAL'!AE716</f>
        <v>0</v>
      </c>
      <c r="S585" s="70">
        <f>'RESUMEN TOTAL'!AF716</f>
        <v>0</v>
      </c>
      <c r="T585" s="70">
        <f>'RESUMEN TOTAL'!AG716</f>
        <v>0</v>
      </c>
      <c r="U585" s="70">
        <f>'RESUMEN TOTAL'!AH716</f>
        <v>0</v>
      </c>
      <c r="V585" s="70">
        <f>'RESUMEN TOTAL'!AI716</f>
        <v>0</v>
      </c>
      <c r="W585" s="70">
        <f>'RESUMEN TOTAL'!AJ716</f>
        <v>0</v>
      </c>
      <c r="X585" s="70">
        <f>'RESUMEN TOTAL'!AK716</f>
        <v>0</v>
      </c>
      <c r="Y585" s="70">
        <f>'RESUMEN TOTAL'!AL716</f>
        <v>0</v>
      </c>
      <c r="Z585" s="70">
        <f>'RESUMEN TOTAL'!AM716</f>
        <v>0</v>
      </c>
      <c r="AA585" s="70">
        <f>'RESUMEN TOTAL'!AN716</f>
        <v>0</v>
      </c>
      <c r="AB585" s="70">
        <f>'RESUMEN TOTAL'!AO716</f>
        <v>0</v>
      </c>
      <c r="AC585" s="70">
        <f>'RESUMEN TOTAL'!AP716</f>
        <v>0</v>
      </c>
      <c r="AD585" s="70">
        <f>'RESUMEN TOTAL'!AQ716</f>
        <v>0</v>
      </c>
      <c r="AE585" s="70">
        <f>'RESUMEN TOTAL'!AR716</f>
        <v>0</v>
      </c>
      <c r="AF585" s="70">
        <f>'RESUMEN TOTAL'!AS716</f>
        <v>0</v>
      </c>
      <c r="AG585" s="70">
        <f>'RESUMEN TOTAL'!AT716</f>
        <v>0</v>
      </c>
      <c r="AH585" s="70">
        <f>'RESUMEN TOTAL'!AU716</f>
        <v>0</v>
      </c>
      <c r="AI585" s="70">
        <f>'RESUMEN TOTAL'!AV716</f>
        <v>0</v>
      </c>
      <c r="AJ585" s="70" t="e">
        <f>'RESUMEN TOTAL'!#REF!</f>
        <v>#REF!</v>
      </c>
    </row>
    <row r="586" spans="1:36" x14ac:dyDescent="0.25">
      <c r="A586">
        <f>'RESUMEN TOTAL'!F717</f>
        <v>0</v>
      </c>
      <c r="B586">
        <f>'RESUMEN TOTAL'!G717</f>
        <v>0</v>
      </c>
      <c r="C586">
        <f>'RESUMEN TOTAL'!I717</f>
        <v>0</v>
      </c>
      <c r="D586" s="30">
        <f>'RESUMEN TOTAL'!J717</f>
        <v>0</v>
      </c>
      <c r="E586" s="30">
        <f>'RESUMEN TOTAL'!K717</f>
        <v>0</v>
      </c>
      <c r="F586" s="70">
        <f>'RESUMEN TOTAL'!S717</f>
        <v>0</v>
      </c>
      <c r="G586" s="70">
        <f>'RESUMEN TOTAL'!T717</f>
        <v>0</v>
      </c>
      <c r="H586" s="70">
        <f>'RESUMEN TOTAL'!U717</f>
        <v>0</v>
      </c>
      <c r="I586" s="70">
        <f>'RESUMEN TOTAL'!V717</f>
        <v>0</v>
      </c>
      <c r="J586" s="70">
        <f>'RESUMEN TOTAL'!W717</f>
        <v>0</v>
      </c>
      <c r="K586" s="70">
        <f>'RESUMEN TOTAL'!X717</f>
        <v>0</v>
      </c>
      <c r="L586" s="70">
        <f>'RESUMEN TOTAL'!Y717</f>
        <v>0</v>
      </c>
      <c r="M586" s="70">
        <f>'RESUMEN TOTAL'!Z717</f>
        <v>0</v>
      </c>
      <c r="N586" s="70">
        <f>'RESUMEN TOTAL'!AA717</f>
        <v>0</v>
      </c>
      <c r="O586" s="70">
        <f>'RESUMEN TOTAL'!AB717</f>
        <v>0</v>
      </c>
      <c r="P586" s="70">
        <f>'RESUMEN TOTAL'!AC717</f>
        <v>0</v>
      </c>
      <c r="Q586" s="70">
        <f>'RESUMEN TOTAL'!AD717</f>
        <v>0</v>
      </c>
      <c r="R586" s="70">
        <f>'RESUMEN TOTAL'!AE717</f>
        <v>0</v>
      </c>
      <c r="S586" s="70">
        <f>'RESUMEN TOTAL'!AF717</f>
        <v>0</v>
      </c>
      <c r="T586" s="70">
        <f>'RESUMEN TOTAL'!AG717</f>
        <v>0</v>
      </c>
      <c r="U586" s="70">
        <f>'RESUMEN TOTAL'!AH717</f>
        <v>0</v>
      </c>
      <c r="V586" s="70">
        <f>'RESUMEN TOTAL'!AI717</f>
        <v>0</v>
      </c>
      <c r="W586" s="70">
        <f>'RESUMEN TOTAL'!AJ717</f>
        <v>0</v>
      </c>
      <c r="X586" s="70">
        <f>'RESUMEN TOTAL'!AK717</f>
        <v>0</v>
      </c>
      <c r="Y586" s="70">
        <f>'RESUMEN TOTAL'!AL717</f>
        <v>0</v>
      </c>
      <c r="Z586" s="70">
        <f>'RESUMEN TOTAL'!AM717</f>
        <v>0</v>
      </c>
      <c r="AA586" s="70">
        <f>'RESUMEN TOTAL'!AN717</f>
        <v>0</v>
      </c>
      <c r="AB586" s="70">
        <f>'RESUMEN TOTAL'!AO717</f>
        <v>0</v>
      </c>
      <c r="AC586" s="70">
        <f>'RESUMEN TOTAL'!AP717</f>
        <v>0</v>
      </c>
      <c r="AD586" s="70">
        <f>'RESUMEN TOTAL'!AQ717</f>
        <v>0</v>
      </c>
      <c r="AE586" s="70">
        <f>'RESUMEN TOTAL'!AR717</f>
        <v>0</v>
      </c>
      <c r="AF586" s="70">
        <f>'RESUMEN TOTAL'!AS717</f>
        <v>0</v>
      </c>
      <c r="AG586" s="70">
        <f>'RESUMEN TOTAL'!AT717</f>
        <v>0</v>
      </c>
      <c r="AH586" s="70">
        <f>'RESUMEN TOTAL'!AU717</f>
        <v>0</v>
      </c>
      <c r="AI586" s="70">
        <f>'RESUMEN TOTAL'!AV717</f>
        <v>0</v>
      </c>
      <c r="AJ586" s="70" t="e">
        <f>'RESUMEN TOTAL'!#REF!</f>
        <v>#REF!</v>
      </c>
    </row>
    <row r="587" spans="1:36" x14ac:dyDescent="0.25">
      <c r="A587">
        <f>'RESUMEN TOTAL'!F718</f>
        <v>0</v>
      </c>
      <c r="B587">
        <f>'RESUMEN TOTAL'!G718</f>
        <v>0</v>
      </c>
      <c r="C587">
        <f>'RESUMEN TOTAL'!I718</f>
        <v>0</v>
      </c>
      <c r="D587" s="30">
        <f>'RESUMEN TOTAL'!J718</f>
        <v>0</v>
      </c>
      <c r="E587" s="30">
        <f>'RESUMEN TOTAL'!K718</f>
        <v>0</v>
      </c>
      <c r="F587" s="70">
        <f>'RESUMEN TOTAL'!S718</f>
        <v>0</v>
      </c>
      <c r="G587" s="70">
        <f>'RESUMEN TOTAL'!T718</f>
        <v>0</v>
      </c>
      <c r="H587" s="70">
        <f>'RESUMEN TOTAL'!U718</f>
        <v>0</v>
      </c>
      <c r="I587" s="70">
        <f>'RESUMEN TOTAL'!V718</f>
        <v>0</v>
      </c>
      <c r="J587" s="70">
        <f>'RESUMEN TOTAL'!W718</f>
        <v>0</v>
      </c>
      <c r="K587" s="70">
        <f>'RESUMEN TOTAL'!X718</f>
        <v>0</v>
      </c>
      <c r="L587" s="70">
        <f>'RESUMEN TOTAL'!Y718</f>
        <v>0</v>
      </c>
      <c r="M587" s="70">
        <f>'RESUMEN TOTAL'!Z718</f>
        <v>0</v>
      </c>
      <c r="N587" s="70">
        <f>'RESUMEN TOTAL'!AA718</f>
        <v>0</v>
      </c>
      <c r="O587" s="70">
        <f>'RESUMEN TOTAL'!AB718</f>
        <v>0</v>
      </c>
      <c r="P587" s="70">
        <f>'RESUMEN TOTAL'!AC718</f>
        <v>0</v>
      </c>
      <c r="Q587" s="70">
        <f>'RESUMEN TOTAL'!AD718</f>
        <v>0</v>
      </c>
      <c r="R587" s="70">
        <f>'RESUMEN TOTAL'!AE718</f>
        <v>0</v>
      </c>
      <c r="S587" s="70">
        <f>'RESUMEN TOTAL'!AF718</f>
        <v>0</v>
      </c>
      <c r="T587" s="70">
        <f>'RESUMEN TOTAL'!AG718</f>
        <v>0</v>
      </c>
      <c r="U587" s="70">
        <f>'RESUMEN TOTAL'!AH718</f>
        <v>0</v>
      </c>
      <c r="V587" s="70">
        <f>'RESUMEN TOTAL'!AI718</f>
        <v>0</v>
      </c>
      <c r="W587" s="70">
        <f>'RESUMEN TOTAL'!AJ718</f>
        <v>0</v>
      </c>
      <c r="X587" s="70">
        <f>'RESUMEN TOTAL'!AK718</f>
        <v>0</v>
      </c>
      <c r="Y587" s="70">
        <f>'RESUMEN TOTAL'!AL718</f>
        <v>0</v>
      </c>
      <c r="Z587" s="70">
        <f>'RESUMEN TOTAL'!AM718</f>
        <v>0</v>
      </c>
      <c r="AA587" s="70">
        <f>'RESUMEN TOTAL'!AN718</f>
        <v>0</v>
      </c>
      <c r="AB587" s="70">
        <f>'RESUMEN TOTAL'!AO718</f>
        <v>0</v>
      </c>
      <c r="AC587" s="70">
        <f>'RESUMEN TOTAL'!AP718</f>
        <v>0</v>
      </c>
      <c r="AD587" s="70">
        <f>'RESUMEN TOTAL'!AQ718</f>
        <v>0</v>
      </c>
      <c r="AE587" s="70">
        <f>'RESUMEN TOTAL'!AR718</f>
        <v>0</v>
      </c>
      <c r="AF587" s="70">
        <f>'RESUMEN TOTAL'!AS718</f>
        <v>0</v>
      </c>
      <c r="AG587" s="70">
        <f>'RESUMEN TOTAL'!AT718</f>
        <v>0</v>
      </c>
      <c r="AH587" s="70">
        <f>'RESUMEN TOTAL'!AU718</f>
        <v>0</v>
      </c>
      <c r="AI587" s="70">
        <f>'RESUMEN TOTAL'!AV718</f>
        <v>0</v>
      </c>
      <c r="AJ587" s="70" t="e">
        <f>'RESUMEN TOTAL'!#REF!</f>
        <v>#REF!</v>
      </c>
    </row>
    <row r="588" spans="1:36" x14ac:dyDescent="0.25">
      <c r="A588">
        <f>'RESUMEN TOTAL'!F719</f>
        <v>0</v>
      </c>
      <c r="B588">
        <f>'RESUMEN TOTAL'!G719</f>
        <v>0</v>
      </c>
      <c r="C588">
        <f>'RESUMEN TOTAL'!I719</f>
        <v>0</v>
      </c>
      <c r="D588" s="30">
        <f>'RESUMEN TOTAL'!J719</f>
        <v>0</v>
      </c>
      <c r="E588" s="30">
        <f>'RESUMEN TOTAL'!K719</f>
        <v>0</v>
      </c>
      <c r="F588" s="70">
        <f>'RESUMEN TOTAL'!S719</f>
        <v>0</v>
      </c>
      <c r="G588" s="70">
        <f>'RESUMEN TOTAL'!T719</f>
        <v>0</v>
      </c>
      <c r="H588" s="70">
        <f>'RESUMEN TOTAL'!U719</f>
        <v>0</v>
      </c>
      <c r="I588" s="70">
        <f>'RESUMEN TOTAL'!V719</f>
        <v>0</v>
      </c>
      <c r="J588" s="70">
        <f>'RESUMEN TOTAL'!W719</f>
        <v>0</v>
      </c>
      <c r="K588" s="70">
        <f>'RESUMEN TOTAL'!X719</f>
        <v>0</v>
      </c>
      <c r="L588" s="70">
        <f>'RESUMEN TOTAL'!Y719</f>
        <v>0</v>
      </c>
      <c r="M588" s="70">
        <f>'RESUMEN TOTAL'!Z719</f>
        <v>0</v>
      </c>
      <c r="N588" s="70">
        <f>'RESUMEN TOTAL'!AA719</f>
        <v>0</v>
      </c>
      <c r="O588" s="70">
        <f>'RESUMEN TOTAL'!AB719</f>
        <v>0</v>
      </c>
      <c r="P588" s="70">
        <f>'RESUMEN TOTAL'!AC719</f>
        <v>0</v>
      </c>
      <c r="Q588" s="70">
        <f>'RESUMEN TOTAL'!AD719</f>
        <v>0</v>
      </c>
      <c r="R588" s="70">
        <f>'RESUMEN TOTAL'!AE719</f>
        <v>0</v>
      </c>
      <c r="S588" s="70">
        <f>'RESUMEN TOTAL'!AF719</f>
        <v>0</v>
      </c>
      <c r="T588" s="70">
        <f>'RESUMEN TOTAL'!AG719</f>
        <v>0</v>
      </c>
      <c r="U588" s="70">
        <f>'RESUMEN TOTAL'!AH719</f>
        <v>0</v>
      </c>
      <c r="V588" s="70">
        <f>'RESUMEN TOTAL'!AI719</f>
        <v>0</v>
      </c>
      <c r="W588" s="70">
        <f>'RESUMEN TOTAL'!AJ719</f>
        <v>0</v>
      </c>
      <c r="X588" s="70">
        <f>'RESUMEN TOTAL'!AK719</f>
        <v>0</v>
      </c>
      <c r="Y588" s="70">
        <f>'RESUMEN TOTAL'!AL719</f>
        <v>0</v>
      </c>
      <c r="Z588" s="70">
        <f>'RESUMEN TOTAL'!AM719</f>
        <v>0</v>
      </c>
      <c r="AA588" s="70">
        <f>'RESUMEN TOTAL'!AN719</f>
        <v>0</v>
      </c>
      <c r="AB588" s="70">
        <f>'RESUMEN TOTAL'!AO719</f>
        <v>0</v>
      </c>
      <c r="AC588" s="70">
        <f>'RESUMEN TOTAL'!AP719</f>
        <v>0</v>
      </c>
      <c r="AD588" s="70">
        <f>'RESUMEN TOTAL'!AQ719</f>
        <v>0</v>
      </c>
      <c r="AE588" s="70">
        <f>'RESUMEN TOTAL'!AR719</f>
        <v>0</v>
      </c>
      <c r="AF588" s="70">
        <f>'RESUMEN TOTAL'!AS719</f>
        <v>0</v>
      </c>
      <c r="AG588" s="70">
        <f>'RESUMEN TOTAL'!AT719</f>
        <v>0</v>
      </c>
      <c r="AH588" s="70">
        <f>'RESUMEN TOTAL'!AU719</f>
        <v>0</v>
      </c>
      <c r="AI588" s="70">
        <f>'RESUMEN TOTAL'!AV719</f>
        <v>0</v>
      </c>
      <c r="AJ588" s="70" t="e">
        <f>'RESUMEN TOTAL'!#REF!</f>
        <v>#REF!</v>
      </c>
    </row>
    <row r="589" spans="1:36" x14ac:dyDescent="0.25">
      <c r="A589">
        <f>'RESUMEN TOTAL'!F720</f>
        <v>0</v>
      </c>
      <c r="B589">
        <f>'RESUMEN TOTAL'!G720</f>
        <v>0</v>
      </c>
      <c r="C589">
        <f>'RESUMEN TOTAL'!I720</f>
        <v>0</v>
      </c>
      <c r="D589" s="30">
        <f>'RESUMEN TOTAL'!J720</f>
        <v>0</v>
      </c>
      <c r="E589" s="30">
        <f>'RESUMEN TOTAL'!K720</f>
        <v>0</v>
      </c>
      <c r="F589" s="70">
        <f>'RESUMEN TOTAL'!S720</f>
        <v>0</v>
      </c>
      <c r="G589" s="70">
        <f>'RESUMEN TOTAL'!T720</f>
        <v>0</v>
      </c>
      <c r="H589" s="70">
        <f>'RESUMEN TOTAL'!U720</f>
        <v>0</v>
      </c>
      <c r="I589" s="70">
        <f>'RESUMEN TOTAL'!V720</f>
        <v>0</v>
      </c>
      <c r="J589" s="70">
        <f>'RESUMEN TOTAL'!W720</f>
        <v>0</v>
      </c>
      <c r="K589" s="70">
        <f>'RESUMEN TOTAL'!X720</f>
        <v>0</v>
      </c>
      <c r="L589" s="70">
        <f>'RESUMEN TOTAL'!Y720</f>
        <v>0</v>
      </c>
      <c r="M589" s="70">
        <f>'RESUMEN TOTAL'!Z720</f>
        <v>0</v>
      </c>
      <c r="N589" s="70">
        <f>'RESUMEN TOTAL'!AA720</f>
        <v>0</v>
      </c>
      <c r="O589" s="70">
        <f>'RESUMEN TOTAL'!AB720</f>
        <v>0</v>
      </c>
      <c r="P589" s="70">
        <f>'RESUMEN TOTAL'!AC720</f>
        <v>0</v>
      </c>
      <c r="Q589" s="70">
        <f>'RESUMEN TOTAL'!AD720</f>
        <v>0</v>
      </c>
      <c r="R589" s="70">
        <f>'RESUMEN TOTAL'!AE720</f>
        <v>0</v>
      </c>
      <c r="S589" s="70">
        <f>'RESUMEN TOTAL'!AF720</f>
        <v>0</v>
      </c>
      <c r="T589" s="70">
        <f>'RESUMEN TOTAL'!AG720</f>
        <v>0</v>
      </c>
      <c r="U589" s="70">
        <f>'RESUMEN TOTAL'!AH720</f>
        <v>0</v>
      </c>
      <c r="V589" s="70">
        <f>'RESUMEN TOTAL'!AI720</f>
        <v>0</v>
      </c>
      <c r="W589" s="70">
        <f>'RESUMEN TOTAL'!AJ720</f>
        <v>0</v>
      </c>
      <c r="X589" s="70">
        <f>'RESUMEN TOTAL'!AK720</f>
        <v>0</v>
      </c>
      <c r="Y589" s="70">
        <f>'RESUMEN TOTAL'!AL720</f>
        <v>0</v>
      </c>
      <c r="Z589" s="70">
        <f>'RESUMEN TOTAL'!AM720</f>
        <v>0</v>
      </c>
      <c r="AA589" s="70">
        <f>'RESUMEN TOTAL'!AN720</f>
        <v>0</v>
      </c>
      <c r="AB589" s="70">
        <f>'RESUMEN TOTAL'!AO720</f>
        <v>0</v>
      </c>
      <c r="AC589" s="70">
        <f>'RESUMEN TOTAL'!AP720</f>
        <v>0</v>
      </c>
      <c r="AD589" s="70">
        <f>'RESUMEN TOTAL'!AQ720</f>
        <v>0</v>
      </c>
      <c r="AE589" s="70">
        <f>'RESUMEN TOTAL'!AR720</f>
        <v>0</v>
      </c>
      <c r="AF589" s="70">
        <f>'RESUMEN TOTAL'!AS720</f>
        <v>0</v>
      </c>
      <c r="AG589" s="70">
        <f>'RESUMEN TOTAL'!AT720</f>
        <v>0</v>
      </c>
      <c r="AH589" s="70">
        <f>'RESUMEN TOTAL'!AU720</f>
        <v>0</v>
      </c>
      <c r="AI589" s="70">
        <f>'RESUMEN TOTAL'!AV720</f>
        <v>0</v>
      </c>
      <c r="AJ589" s="70" t="e">
        <f>'RESUMEN TOTAL'!#REF!</f>
        <v>#REF!</v>
      </c>
    </row>
    <row r="590" spans="1:36" x14ac:dyDescent="0.25">
      <c r="A590">
        <f>'RESUMEN TOTAL'!F721</f>
        <v>0</v>
      </c>
      <c r="B590">
        <f>'RESUMEN TOTAL'!G721</f>
        <v>0</v>
      </c>
      <c r="C590">
        <f>'RESUMEN TOTAL'!I721</f>
        <v>0</v>
      </c>
      <c r="D590" s="30">
        <f>'RESUMEN TOTAL'!J721</f>
        <v>0</v>
      </c>
      <c r="E590" s="30">
        <f>'RESUMEN TOTAL'!K721</f>
        <v>0</v>
      </c>
      <c r="F590" s="70">
        <f>'RESUMEN TOTAL'!S721</f>
        <v>0</v>
      </c>
      <c r="G590" s="70">
        <f>'RESUMEN TOTAL'!T721</f>
        <v>0</v>
      </c>
      <c r="H590" s="70">
        <f>'RESUMEN TOTAL'!U721</f>
        <v>0</v>
      </c>
      <c r="I590" s="70">
        <f>'RESUMEN TOTAL'!V721</f>
        <v>0</v>
      </c>
      <c r="J590" s="70">
        <f>'RESUMEN TOTAL'!W721</f>
        <v>0</v>
      </c>
      <c r="K590" s="70">
        <f>'RESUMEN TOTAL'!X721</f>
        <v>0</v>
      </c>
      <c r="L590" s="70">
        <f>'RESUMEN TOTAL'!Y721</f>
        <v>0</v>
      </c>
      <c r="M590" s="70">
        <f>'RESUMEN TOTAL'!Z721</f>
        <v>0</v>
      </c>
      <c r="N590" s="70">
        <f>'RESUMEN TOTAL'!AA721</f>
        <v>0</v>
      </c>
      <c r="O590" s="70">
        <f>'RESUMEN TOTAL'!AB721</f>
        <v>0</v>
      </c>
      <c r="P590" s="70">
        <f>'RESUMEN TOTAL'!AC721</f>
        <v>0</v>
      </c>
      <c r="Q590" s="70">
        <f>'RESUMEN TOTAL'!AD721</f>
        <v>0</v>
      </c>
      <c r="R590" s="70">
        <f>'RESUMEN TOTAL'!AE721</f>
        <v>0</v>
      </c>
      <c r="S590" s="70">
        <f>'RESUMEN TOTAL'!AF721</f>
        <v>0</v>
      </c>
      <c r="T590" s="70">
        <f>'RESUMEN TOTAL'!AG721</f>
        <v>0</v>
      </c>
      <c r="U590" s="70">
        <f>'RESUMEN TOTAL'!AH721</f>
        <v>0</v>
      </c>
      <c r="V590" s="70">
        <f>'RESUMEN TOTAL'!AI721</f>
        <v>0</v>
      </c>
      <c r="W590" s="70">
        <f>'RESUMEN TOTAL'!AJ721</f>
        <v>0</v>
      </c>
      <c r="X590" s="70">
        <f>'RESUMEN TOTAL'!AK721</f>
        <v>0</v>
      </c>
      <c r="Y590" s="70">
        <f>'RESUMEN TOTAL'!AL721</f>
        <v>0</v>
      </c>
      <c r="Z590" s="70">
        <f>'RESUMEN TOTAL'!AM721</f>
        <v>0</v>
      </c>
      <c r="AA590" s="70">
        <f>'RESUMEN TOTAL'!AN721</f>
        <v>0</v>
      </c>
      <c r="AB590" s="70">
        <f>'RESUMEN TOTAL'!AO721</f>
        <v>0</v>
      </c>
      <c r="AC590" s="70">
        <f>'RESUMEN TOTAL'!AP721</f>
        <v>0</v>
      </c>
      <c r="AD590" s="70">
        <f>'RESUMEN TOTAL'!AQ721</f>
        <v>0</v>
      </c>
      <c r="AE590" s="70">
        <f>'RESUMEN TOTAL'!AR721</f>
        <v>0</v>
      </c>
      <c r="AF590" s="70">
        <f>'RESUMEN TOTAL'!AS721</f>
        <v>0</v>
      </c>
      <c r="AG590" s="70">
        <f>'RESUMEN TOTAL'!AT721</f>
        <v>0</v>
      </c>
      <c r="AH590" s="70">
        <f>'RESUMEN TOTAL'!AU721</f>
        <v>0</v>
      </c>
      <c r="AI590" s="70">
        <f>'RESUMEN TOTAL'!AV721</f>
        <v>0</v>
      </c>
      <c r="AJ590" s="70" t="e">
        <f>'RESUMEN TOTAL'!#REF!</f>
        <v>#REF!</v>
      </c>
    </row>
    <row r="591" spans="1:36" x14ac:dyDescent="0.25">
      <c r="A591">
        <f>'RESUMEN TOTAL'!F722</f>
        <v>0</v>
      </c>
      <c r="B591">
        <f>'RESUMEN TOTAL'!G722</f>
        <v>0</v>
      </c>
      <c r="C591">
        <f>'RESUMEN TOTAL'!I722</f>
        <v>0</v>
      </c>
      <c r="D591" s="30">
        <f>'RESUMEN TOTAL'!J722</f>
        <v>0</v>
      </c>
      <c r="E591" s="30">
        <f>'RESUMEN TOTAL'!K722</f>
        <v>0</v>
      </c>
      <c r="F591" s="70">
        <f>'RESUMEN TOTAL'!S722</f>
        <v>0</v>
      </c>
      <c r="G591" s="70">
        <f>'RESUMEN TOTAL'!T722</f>
        <v>0</v>
      </c>
      <c r="H591" s="70">
        <f>'RESUMEN TOTAL'!U722</f>
        <v>0</v>
      </c>
      <c r="I591" s="70">
        <f>'RESUMEN TOTAL'!V722</f>
        <v>0</v>
      </c>
      <c r="J591" s="70">
        <f>'RESUMEN TOTAL'!W722</f>
        <v>0</v>
      </c>
      <c r="K591" s="70">
        <f>'RESUMEN TOTAL'!X722</f>
        <v>0</v>
      </c>
      <c r="L591" s="70">
        <f>'RESUMEN TOTAL'!Y722</f>
        <v>0</v>
      </c>
      <c r="M591" s="70">
        <f>'RESUMEN TOTAL'!Z722</f>
        <v>0</v>
      </c>
      <c r="N591" s="70">
        <f>'RESUMEN TOTAL'!AA722</f>
        <v>0</v>
      </c>
      <c r="O591" s="70">
        <f>'RESUMEN TOTAL'!AB722</f>
        <v>0</v>
      </c>
      <c r="P591" s="70">
        <f>'RESUMEN TOTAL'!AC722</f>
        <v>0</v>
      </c>
      <c r="Q591" s="70">
        <f>'RESUMEN TOTAL'!AD722</f>
        <v>0</v>
      </c>
      <c r="R591" s="70">
        <f>'RESUMEN TOTAL'!AE722</f>
        <v>0</v>
      </c>
      <c r="S591" s="70">
        <f>'RESUMEN TOTAL'!AF722</f>
        <v>0</v>
      </c>
      <c r="T591" s="70">
        <f>'RESUMEN TOTAL'!AG722</f>
        <v>0</v>
      </c>
      <c r="U591" s="70">
        <f>'RESUMEN TOTAL'!AH722</f>
        <v>0</v>
      </c>
      <c r="V591" s="70">
        <f>'RESUMEN TOTAL'!AI722</f>
        <v>0</v>
      </c>
      <c r="W591" s="70">
        <f>'RESUMEN TOTAL'!AJ722</f>
        <v>0</v>
      </c>
      <c r="X591" s="70">
        <f>'RESUMEN TOTAL'!AK722</f>
        <v>0</v>
      </c>
      <c r="Y591" s="70">
        <f>'RESUMEN TOTAL'!AL722</f>
        <v>0</v>
      </c>
      <c r="Z591" s="70">
        <f>'RESUMEN TOTAL'!AM722</f>
        <v>0</v>
      </c>
      <c r="AA591" s="70">
        <f>'RESUMEN TOTAL'!AN722</f>
        <v>0</v>
      </c>
      <c r="AB591" s="70">
        <f>'RESUMEN TOTAL'!AO722</f>
        <v>0</v>
      </c>
      <c r="AC591" s="70">
        <f>'RESUMEN TOTAL'!AP722</f>
        <v>0</v>
      </c>
      <c r="AD591" s="70">
        <f>'RESUMEN TOTAL'!AQ722</f>
        <v>0</v>
      </c>
      <c r="AE591" s="70">
        <f>'RESUMEN TOTAL'!AR722</f>
        <v>0</v>
      </c>
      <c r="AF591" s="70">
        <f>'RESUMEN TOTAL'!AS722</f>
        <v>0</v>
      </c>
      <c r="AG591" s="70">
        <f>'RESUMEN TOTAL'!AT722</f>
        <v>0</v>
      </c>
      <c r="AH591" s="70">
        <f>'RESUMEN TOTAL'!AU722</f>
        <v>0</v>
      </c>
      <c r="AI591" s="70">
        <f>'RESUMEN TOTAL'!AV722</f>
        <v>0</v>
      </c>
      <c r="AJ591" s="70" t="e">
        <f>'RESUMEN TOTAL'!#REF!</f>
        <v>#REF!</v>
      </c>
    </row>
    <row r="592" spans="1:36" x14ac:dyDescent="0.25">
      <c r="A592">
        <f>'RESUMEN TOTAL'!F723</f>
        <v>0</v>
      </c>
      <c r="B592">
        <f>'RESUMEN TOTAL'!G723</f>
        <v>0</v>
      </c>
      <c r="C592">
        <f>'RESUMEN TOTAL'!I723</f>
        <v>0</v>
      </c>
      <c r="D592" s="30">
        <f>'RESUMEN TOTAL'!J723</f>
        <v>0</v>
      </c>
      <c r="E592" s="30">
        <f>'RESUMEN TOTAL'!K723</f>
        <v>0</v>
      </c>
      <c r="F592" s="70">
        <f>'RESUMEN TOTAL'!S723</f>
        <v>0</v>
      </c>
      <c r="G592" s="70">
        <f>'RESUMEN TOTAL'!T723</f>
        <v>0</v>
      </c>
      <c r="H592" s="70">
        <f>'RESUMEN TOTAL'!U723</f>
        <v>0</v>
      </c>
      <c r="I592" s="70">
        <f>'RESUMEN TOTAL'!V723</f>
        <v>0</v>
      </c>
      <c r="J592" s="70">
        <f>'RESUMEN TOTAL'!W723</f>
        <v>0</v>
      </c>
      <c r="K592" s="70">
        <f>'RESUMEN TOTAL'!X723</f>
        <v>0</v>
      </c>
      <c r="L592" s="70">
        <f>'RESUMEN TOTAL'!Y723</f>
        <v>0</v>
      </c>
      <c r="M592" s="70">
        <f>'RESUMEN TOTAL'!Z723</f>
        <v>0</v>
      </c>
      <c r="N592" s="70">
        <f>'RESUMEN TOTAL'!AA723</f>
        <v>0</v>
      </c>
      <c r="O592" s="70">
        <f>'RESUMEN TOTAL'!AB723</f>
        <v>0</v>
      </c>
      <c r="P592" s="70">
        <f>'RESUMEN TOTAL'!AC723</f>
        <v>0</v>
      </c>
      <c r="Q592" s="70">
        <f>'RESUMEN TOTAL'!AD723</f>
        <v>0</v>
      </c>
      <c r="R592" s="70">
        <f>'RESUMEN TOTAL'!AE723</f>
        <v>0</v>
      </c>
      <c r="S592" s="70">
        <f>'RESUMEN TOTAL'!AF723</f>
        <v>0</v>
      </c>
      <c r="T592" s="70">
        <f>'RESUMEN TOTAL'!AG723</f>
        <v>0</v>
      </c>
      <c r="U592" s="70">
        <f>'RESUMEN TOTAL'!AH723</f>
        <v>0</v>
      </c>
      <c r="V592" s="70">
        <f>'RESUMEN TOTAL'!AI723</f>
        <v>0</v>
      </c>
      <c r="W592" s="70">
        <f>'RESUMEN TOTAL'!AJ723</f>
        <v>0</v>
      </c>
      <c r="X592" s="70">
        <f>'RESUMEN TOTAL'!AK723</f>
        <v>0</v>
      </c>
      <c r="Y592" s="70">
        <f>'RESUMEN TOTAL'!AL723</f>
        <v>0</v>
      </c>
      <c r="Z592" s="70">
        <f>'RESUMEN TOTAL'!AM723</f>
        <v>0</v>
      </c>
      <c r="AA592" s="70">
        <f>'RESUMEN TOTAL'!AN723</f>
        <v>0</v>
      </c>
      <c r="AB592" s="70">
        <f>'RESUMEN TOTAL'!AO723</f>
        <v>0</v>
      </c>
      <c r="AC592" s="70">
        <f>'RESUMEN TOTAL'!AP723</f>
        <v>0</v>
      </c>
      <c r="AD592" s="70">
        <f>'RESUMEN TOTAL'!AQ723</f>
        <v>0</v>
      </c>
      <c r="AE592" s="70">
        <f>'RESUMEN TOTAL'!AR723</f>
        <v>0</v>
      </c>
      <c r="AF592" s="70">
        <f>'RESUMEN TOTAL'!AS723</f>
        <v>0</v>
      </c>
      <c r="AG592" s="70">
        <f>'RESUMEN TOTAL'!AT723</f>
        <v>0</v>
      </c>
      <c r="AH592" s="70">
        <f>'RESUMEN TOTAL'!AU723</f>
        <v>0</v>
      </c>
      <c r="AI592" s="70">
        <f>'RESUMEN TOTAL'!AV723</f>
        <v>0</v>
      </c>
      <c r="AJ592" s="70" t="e">
        <f>'RESUMEN TOTAL'!#REF!</f>
        <v>#REF!</v>
      </c>
    </row>
    <row r="593" spans="1:36" x14ac:dyDescent="0.25">
      <c r="A593">
        <f>'RESUMEN TOTAL'!F724</f>
        <v>0</v>
      </c>
      <c r="B593">
        <f>'RESUMEN TOTAL'!G724</f>
        <v>0</v>
      </c>
      <c r="C593">
        <f>'RESUMEN TOTAL'!I724</f>
        <v>0</v>
      </c>
      <c r="D593" s="30">
        <f>'RESUMEN TOTAL'!J724</f>
        <v>0</v>
      </c>
      <c r="E593" s="30">
        <f>'RESUMEN TOTAL'!K724</f>
        <v>0</v>
      </c>
      <c r="F593" s="70">
        <f>'RESUMEN TOTAL'!S724</f>
        <v>0</v>
      </c>
      <c r="G593" s="70">
        <f>'RESUMEN TOTAL'!T724</f>
        <v>0</v>
      </c>
      <c r="H593" s="70">
        <f>'RESUMEN TOTAL'!U724</f>
        <v>0</v>
      </c>
      <c r="I593" s="70">
        <f>'RESUMEN TOTAL'!V724</f>
        <v>0</v>
      </c>
      <c r="J593" s="70">
        <f>'RESUMEN TOTAL'!W724</f>
        <v>0</v>
      </c>
      <c r="K593" s="70">
        <f>'RESUMEN TOTAL'!X724</f>
        <v>0</v>
      </c>
      <c r="L593" s="70">
        <f>'RESUMEN TOTAL'!Y724</f>
        <v>0</v>
      </c>
      <c r="M593" s="70">
        <f>'RESUMEN TOTAL'!Z724</f>
        <v>0</v>
      </c>
      <c r="N593" s="70">
        <f>'RESUMEN TOTAL'!AA724</f>
        <v>0</v>
      </c>
      <c r="O593" s="70">
        <f>'RESUMEN TOTAL'!AB724</f>
        <v>0</v>
      </c>
      <c r="P593" s="70">
        <f>'RESUMEN TOTAL'!AC724</f>
        <v>0</v>
      </c>
      <c r="Q593" s="70">
        <f>'RESUMEN TOTAL'!AD724</f>
        <v>0</v>
      </c>
      <c r="R593" s="70">
        <f>'RESUMEN TOTAL'!AE724</f>
        <v>0</v>
      </c>
      <c r="S593" s="70">
        <f>'RESUMEN TOTAL'!AF724</f>
        <v>0</v>
      </c>
      <c r="T593" s="70">
        <f>'RESUMEN TOTAL'!AG724</f>
        <v>0</v>
      </c>
      <c r="U593" s="70">
        <f>'RESUMEN TOTAL'!AH724</f>
        <v>0</v>
      </c>
      <c r="V593" s="70">
        <f>'RESUMEN TOTAL'!AI724</f>
        <v>0</v>
      </c>
      <c r="W593" s="70">
        <f>'RESUMEN TOTAL'!AJ724</f>
        <v>0</v>
      </c>
      <c r="X593" s="70">
        <f>'RESUMEN TOTAL'!AK724</f>
        <v>0</v>
      </c>
      <c r="Y593" s="70">
        <f>'RESUMEN TOTAL'!AL724</f>
        <v>0</v>
      </c>
      <c r="Z593" s="70">
        <f>'RESUMEN TOTAL'!AM724</f>
        <v>0</v>
      </c>
      <c r="AA593" s="70">
        <f>'RESUMEN TOTAL'!AN724</f>
        <v>0</v>
      </c>
      <c r="AB593" s="70">
        <f>'RESUMEN TOTAL'!AO724</f>
        <v>0</v>
      </c>
      <c r="AC593" s="70">
        <f>'RESUMEN TOTAL'!AP724</f>
        <v>0</v>
      </c>
      <c r="AD593" s="70">
        <f>'RESUMEN TOTAL'!AQ724</f>
        <v>0</v>
      </c>
      <c r="AE593" s="70">
        <f>'RESUMEN TOTAL'!AR724</f>
        <v>0</v>
      </c>
      <c r="AF593" s="70">
        <f>'RESUMEN TOTAL'!AS724</f>
        <v>0</v>
      </c>
      <c r="AG593" s="70">
        <f>'RESUMEN TOTAL'!AT724</f>
        <v>0</v>
      </c>
      <c r="AH593" s="70">
        <f>'RESUMEN TOTAL'!AU724</f>
        <v>0</v>
      </c>
      <c r="AI593" s="70">
        <f>'RESUMEN TOTAL'!AV724</f>
        <v>0</v>
      </c>
      <c r="AJ593" s="70" t="e">
        <f>'RESUMEN TOTAL'!#REF!</f>
        <v>#REF!</v>
      </c>
    </row>
    <row r="594" spans="1:36" x14ac:dyDescent="0.25">
      <c r="A594">
        <f>'RESUMEN TOTAL'!F725</f>
        <v>0</v>
      </c>
      <c r="B594">
        <f>'RESUMEN TOTAL'!G725</f>
        <v>0</v>
      </c>
      <c r="C594">
        <f>'RESUMEN TOTAL'!I725</f>
        <v>0</v>
      </c>
      <c r="D594" s="30">
        <f>'RESUMEN TOTAL'!J725</f>
        <v>0</v>
      </c>
      <c r="E594" s="30">
        <f>'RESUMEN TOTAL'!K725</f>
        <v>0</v>
      </c>
      <c r="F594" s="70">
        <f>'RESUMEN TOTAL'!S725</f>
        <v>0</v>
      </c>
      <c r="G594" s="70">
        <f>'RESUMEN TOTAL'!T725</f>
        <v>0</v>
      </c>
      <c r="H594" s="70">
        <f>'RESUMEN TOTAL'!U725</f>
        <v>0</v>
      </c>
      <c r="I594" s="70">
        <f>'RESUMEN TOTAL'!V725</f>
        <v>0</v>
      </c>
      <c r="J594" s="70">
        <f>'RESUMEN TOTAL'!W725</f>
        <v>0</v>
      </c>
      <c r="K594" s="70">
        <f>'RESUMEN TOTAL'!X725</f>
        <v>0</v>
      </c>
      <c r="L594" s="70">
        <f>'RESUMEN TOTAL'!Y725</f>
        <v>0</v>
      </c>
      <c r="M594" s="70">
        <f>'RESUMEN TOTAL'!Z725</f>
        <v>0</v>
      </c>
      <c r="N594" s="70">
        <f>'RESUMEN TOTAL'!AA725</f>
        <v>0</v>
      </c>
      <c r="O594" s="70">
        <f>'RESUMEN TOTAL'!AB725</f>
        <v>0</v>
      </c>
      <c r="P594" s="70">
        <f>'RESUMEN TOTAL'!AC725</f>
        <v>0</v>
      </c>
      <c r="Q594" s="70">
        <f>'RESUMEN TOTAL'!AD725</f>
        <v>0</v>
      </c>
      <c r="R594" s="70">
        <f>'RESUMEN TOTAL'!AE725</f>
        <v>0</v>
      </c>
      <c r="S594" s="70">
        <f>'RESUMEN TOTAL'!AF725</f>
        <v>0</v>
      </c>
      <c r="T594" s="70">
        <f>'RESUMEN TOTAL'!AG725</f>
        <v>0</v>
      </c>
      <c r="U594" s="70">
        <f>'RESUMEN TOTAL'!AH725</f>
        <v>0</v>
      </c>
      <c r="V594" s="70">
        <f>'RESUMEN TOTAL'!AI725</f>
        <v>0</v>
      </c>
      <c r="W594" s="70">
        <f>'RESUMEN TOTAL'!AJ725</f>
        <v>0</v>
      </c>
      <c r="X594" s="70">
        <f>'RESUMEN TOTAL'!AK725</f>
        <v>0</v>
      </c>
      <c r="Y594" s="70">
        <f>'RESUMEN TOTAL'!AL725</f>
        <v>0</v>
      </c>
      <c r="Z594" s="70">
        <f>'RESUMEN TOTAL'!AM725</f>
        <v>0</v>
      </c>
      <c r="AA594" s="70">
        <f>'RESUMEN TOTAL'!AN725</f>
        <v>0</v>
      </c>
      <c r="AB594" s="70">
        <f>'RESUMEN TOTAL'!AO725</f>
        <v>0</v>
      </c>
      <c r="AC594" s="70">
        <f>'RESUMEN TOTAL'!AP725</f>
        <v>0</v>
      </c>
      <c r="AD594" s="70">
        <f>'RESUMEN TOTAL'!AQ725</f>
        <v>0</v>
      </c>
      <c r="AE594" s="70">
        <f>'RESUMEN TOTAL'!AR725</f>
        <v>0</v>
      </c>
      <c r="AF594" s="70">
        <f>'RESUMEN TOTAL'!AS725</f>
        <v>0</v>
      </c>
      <c r="AG594" s="70">
        <f>'RESUMEN TOTAL'!AT725</f>
        <v>0</v>
      </c>
      <c r="AH594" s="70">
        <f>'RESUMEN TOTAL'!AU725</f>
        <v>0</v>
      </c>
      <c r="AI594" s="70">
        <f>'RESUMEN TOTAL'!AV725</f>
        <v>0</v>
      </c>
      <c r="AJ594" s="70" t="e">
        <f>'RESUMEN TOTAL'!#REF!</f>
        <v>#REF!</v>
      </c>
    </row>
    <row r="595" spans="1:36" x14ac:dyDescent="0.25">
      <c r="A595">
        <f>'RESUMEN TOTAL'!F726</f>
        <v>0</v>
      </c>
      <c r="B595">
        <f>'RESUMEN TOTAL'!G726</f>
        <v>0</v>
      </c>
      <c r="C595">
        <f>'RESUMEN TOTAL'!I726</f>
        <v>0</v>
      </c>
      <c r="D595" s="30">
        <f>'RESUMEN TOTAL'!J726</f>
        <v>0</v>
      </c>
      <c r="E595" s="30">
        <f>'RESUMEN TOTAL'!K726</f>
        <v>0</v>
      </c>
      <c r="F595" s="70">
        <f>'RESUMEN TOTAL'!S726</f>
        <v>0</v>
      </c>
      <c r="G595" s="70">
        <f>'RESUMEN TOTAL'!T726</f>
        <v>0</v>
      </c>
      <c r="H595" s="70">
        <f>'RESUMEN TOTAL'!U726</f>
        <v>0</v>
      </c>
      <c r="I595" s="70">
        <f>'RESUMEN TOTAL'!V726</f>
        <v>0</v>
      </c>
      <c r="J595" s="70">
        <f>'RESUMEN TOTAL'!W726</f>
        <v>0</v>
      </c>
      <c r="K595" s="70">
        <f>'RESUMEN TOTAL'!X726</f>
        <v>0</v>
      </c>
      <c r="L595" s="70">
        <f>'RESUMEN TOTAL'!Y726</f>
        <v>0</v>
      </c>
      <c r="M595" s="70">
        <f>'RESUMEN TOTAL'!Z726</f>
        <v>0</v>
      </c>
      <c r="N595" s="70">
        <f>'RESUMEN TOTAL'!AA726</f>
        <v>0</v>
      </c>
      <c r="O595" s="70">
        <f>'RESUMEN TOTAL'!AB726</f>
        <v>0</v>
      </c>
      <c r="P595" s="70">
        <f>'RESUMEN TOTAL'!AC726</f>
        <v>0</v>
      </c>
      <c r="Q595" s="70">
        <f>'RESUMEN TOTAL'!AD726</f>
        <v>0</v>
      </c>
      <c r="R595" s="70">
        <f>'RESUMEN TOTAL'!AE726</f>
        <v>0</v>
      </c>
      <c r="S595" s="70">
        <f>'RESUMEN TOTAL'!AF726</f>
        <v>0</v>
      </c>
      <c r="T595" s="70">
        <f>'RESUMEN TOTAL'!AG726</f>
        <v>0</v>
      </c>
      <c r="U595" s="70">
        <f>'RESUMEN TOTAL'!AH726</f>
        <v>0</v>
      </c>
      <c r="V595" s="70">
        <f>'RESUMEN TOTAL'!AI726</f>
        <v>0</v>
      </c>
      <c r="W595" s="70">
        <f>'RESUMEN TOTAL'!AJ726</f>
        <v>0</v>
      </c>
      <c r="X595" s="70">
        <f>'RESUMEN TOTAL'!AK726</f>
        <v>0</v>
      </c>
      <c r="Y595" s="70">
        <f>'RESUMEN TOTAL'!AL726</f>
        <v>0</v>
      </c>
      <c r="Z595" s="70">
        <f>'RESUMEN TOTAL'!AM726</f>
        <v>0</v>
      </c>
      <c r="AA595" s="70">
        <f>'RESUMEN TOTAL'!AN726</f>
        <v>0</v>
      </c>
      <c r="AB595" s="70">
        <f>'RESUMEN TOTAL'!AO726</f>
        <v>0</v>
      </c>
      <c r="AC595" s="70">
        <f>'RESUMEN TOTAL'!AP726</f>
        <v>0</v>
      </c>
      <c r="AD595" s="70">
        <f>'RESUMEN TOTAL'!AQ726</f>
        <v>0</v>
      </c>
      <c r="AE595" s="70">
        <f>'RESUMEN TOTAL'!AR726</f>
        <v>0</v>
      </c>
      <c r="AF595" s="70">
        <f>'RESUMEN TOTAL'!AS726</f>
        <v>0</v>
      </c>
      <c r="AG595" s="70">
        <f>'RESUMEN TOTAL'!AT726</f>
        <v>0</v>
      </c>
      <c r="AH595" s="70">
        <f>'RESUMEN TOTAL'!AU726</f>
        <v>0</v>
      </c>
      <c r="AI595" s="70">
        <f>'RESUMEN TOTAL'!AV726</f>
        <v>0</v>
      </c>
      <c r="AJ595" s="70" t="e">
        <f>'RESUMEN TOTAL'!#REF!</f>
        <v>#REF!</v>
      </c>
    </row>
    <row r="596" spans="1:36" x14ac:dyDescent="0.25">
      <c r="A596">
        <f>'RESUMEN TOTAL'!F727</f>
        <v>0</v>
      </c>
      <c r="B596">
        <f>'RESUMEN TOTAL'!G727</f>
        <v>0</v>
      </c>
      <c r="C596">
        <f>'RESUMEN TOTAL'!I727</f>
        <v>0</v>
      </c>
      <c r="D596" s="30">
        <f>'RESUMEN TOTAL'!J727</f>
        <v>0</v>
      </c>
      <c r="E596" s="30">
        <f>'RESUMEN TOTAL'!K727</f>
        <v>0</v>
      </c>
      <c r="F596" s="70">
        <f>'RESUMEN TOTAL'!S727</f>
        <v>0</v>
      </c>
      <c r="G596" s="70">
        <f>'RESUMEN TOTAL'!T727</f>
        <v>0</v>
      </c>
      <c r="H596" s="70">
        <f>'RESUMEN TOTAL'!U727</f>
        <v>0</v>
      </c>
      <c r="I596" s="70">
        <f>'RESUMEN TOTAL'!V727</f>
        <v>0</v>
      </c>
      <c r="J596" s="70">
        <f>'RESUMEN TOTAL'!W727</f>
        <v>0</v>
      </c>
      <c r="K596" s="70">
        <f>'RESUMEN TOTAL'!X727</f>
        <v>0</v>
      </c>
      <c r="L596" s="70">
        <f>'RESUMEN TOTAL'!Y727</f>
        <v>0</v>
      </c>
      <c r="M596" s="70">
        <f>'RESUMEN TOTAL'!Z727</f>
        <v>0</v>
      </c>
      <c r="N596" s="70">
        <f>'RESUMEN TOTAL'!AA727</f>
        <v>0</v>
      </c>
      <c r="O596" s="70">
        <f>'RESUMEN TOTAL'!AB727</f>
        <v>0</v>
      </c>
      <c r="P596" s="70">
        <f>'RESUMEN TOTAL'!AC727</f>
        <v>0</v>
      </c>
      <c r="Q596" s="70">
        <f>'RESUMEN TOTAL'!AD727</f>
        <v>0</v>
      </c>
      <c r="R596" s="70">
        <f>'RESUMEN TOTAL'!AE727</f>
        <v>0</v>
      </c>
      <c r="S596" s="70">
        <f>'RESUMEN TOTAL'!AF727</f>
        <v>0</v>
      </c>
      <c r="T596" s="70">
        <f>'RESUMEN TOTAL'!AG727</f>
        <v>0</v>
      </c>
      <c r="U596" s="70">
        <f>'RESUMEN TOTAL'!AH727</f>
        <v>0</v>
      </c>
      <c r="V596" s="70">
        <f>'RESUMEN TOTAL'!AI727</f>
        <v>0</v>
      </c>
      <c r="W596" s="70">
        <f>'RESUMEN TOTAL'!AJ727</f>
        <v>0</v>
      </c>
      <c r="X596" s="70">
        <f>'RESUMEN TOTAL'!AK727</f>
        <v>0</v>
      </c>
      <c r="Y596" s="70">
        <f>'RESUMEN TOTAL'!AL727</f>
        <v>0</v>
      </c>
      <c r="Z596" s="70">
        <f>'RESUMEN TOTAL'!AM727</f>
        <v>0</v>
      </c>
      <c r="AA596" s="70">
        <f>'RESUMEN TOTAL'!AN727</f>
        <v>0</v>
      </c>
      <c r="AB596" s="70">
        <f>'RESUMEN TOTAL'!AO727</f>
        <v>0</v>
      </c>
      <c r="AC596" s="70">
        <f>'RESUMEN TOTAL'!AP727</f>
        <v>0</v>
      </c>
      <c r="AD596" s="70">
        <f>'RESUMEN TOTAL'!AQ727</f>
        <v>0</v>
      </c>
      <c r="AE596" s="70">
        <f>'RESUMEN TOTAL'!AR727</f>
        <v>0</v>
      </c>
      <c r="AF596" s="70">
        <f>'RESUMEN TOTAL'!AS727</f>
        <v>0</v>
      </c>
      <c r="AG596" s="70">
        <f>'RESUMEN TOTAL'!AT727</f>
        <v>0</v>
      </c>
      <c r="AH596" s="70">
        <f>'RESUMEN TOTAL'!AU727</f>
        <v>0</v>
      </c>
      <c r="AI596" s="70">
        <f>'RESUMEN TOTAL'!AV727</f>
        <v>0</v>
      </c>
      <c r="AJ596" s="70" t="e">
        <f>'RESUMEN TOTAL'!#REF!</f>
        <v>#REF!</v>
      </c>
    </row>
    <row r="597" spans="1:36" x14ac:dyDescent="0.25">
      <c r="A597">
        <f>'RESUMEN TOTAL'!F728</f>
        <v>0</v>
      </c>
      <c r="B597">
        <f>'RESUMEN TOTAL'!G728</f>
        <v>0</v>
      </c>
      <c r="C597">
        <f>'RESUMEN TOTAL'!I728</f>
        <v>0</v>
      </c>
      <c r="D597" s="30">
        <f>'RESUMEN TOTAL'!J728</f>
        <v>0</v>
      </c>
      <c r="E597" s="30">
        <f>'RESUMEN TOTAL'!K728</f>
        <v>0</v>
      </c>
      <c r="F597" s="70">
        <f>'RESUMEN TOTAL'!S728</f>
        <v>0</v>
      </c>
      <c r="G597" s="70">
        <f>'RESUMEN TOTAL'!T728</f>
        <v>0</v>
      </c>
      <c r="H597" s="70">
        <f>'RESUMEN TOTAL'!U728</f>
        <v>0</v>
      </c>
      <c r="I597" s="70">
        <f>'RESUMEN TOTAL'!V728</f>
        <v>0</v>
      </c>
      <c r="J597" s="70">
        <f>'RESUMEN TOTAL'!W728</f>
        <v>0</v>
      </c>
      <c r="K597" s="70">
        <f>'RESUMEN TOTAL'!X728</f>
        <v>0</v>
      </c>
      <c r="L597" s="70">
        <f>'RESUMEN TOTAL'!Y728</f>
        <v>0</v>
      </c>
      <c r="M597" s="70">
        <f>'RESUMEN TOTAL'!Z728</f>
        <v>0</v>
      </c>
      <c r="N597" s="70">
        <f>'RESUMEN TOTAL'!AA728</f>
        <v>0</v>
      </c>
      <c r="O597" s="70">
        <f>'RESUMEN TOTAL'!AB728</f>
        <v>0</v>
      </c>
      <c r="P597" s="70">
        <f>'RESUMEN TOTAL'!AC728</f>
        <v>0</v>
      </c>
      <c r="Q597" s="70">
        <f>'RESUMEN TOTAL'!AD728</f>
        <v>0</v>
      </c>
      <c r="R597" s="70">
        <f>'RESUMEN TOTAL'!AE728</f>
        <v>0</v>
      </c>
      <c r="S597" s="70">
        <f>'RESUMEN TOTAL'!AF728</f>
        <v>0</v>
      </c>
      <c r="T597" s="70">
        <f>'RESUMEN TOTAL'!AG728</f>
        <v>0</v>
      </c>
      <c r="U597" s="70">
        <f>'RESUMEN TOTAL'!AH728</f>
        <v>0</v>
      </c>
      <c r="V597" s="70">
        <f>'RESUMEN TOTAL'!AI728</f>
        <v>0</v>
      </c>
      <c r="W597" s="70">
        <f>'RESUMEN TOTAL'!AJ728</f>
        <v>0</v>
      </c>
      <c r="X597" s="70">
        <f>'RESUMEN TOTAL'!AK728</f>
        <v>0</v>
      </c>
      <c r="Y597" s="70">
        <f>'RESUMEN TOTAL'!AL728</f>
        <v>0</v>
      </c>
      <c r="Z597" s="70">
        <f>'RESUMEN TOTAL'!AM728</f>
        <v>0</v>
      </c>
      <c r="AA597" s="70">
        <f>'RESUMEN TOTAL'!AN728</f>
        <v>0</v>
      </c>
      <c r="AB597" s="70">
        <f>'RESUMEN TOTAL'!AO728</f>
        <v>0</v>
      </c>
      <c r="AC597" s="70">
        <f>'RESUMEN TOTAL'!AP728</f>
        <v>0</v>
      </c>
      <c r="AD597" s="70">
        <f>'RESUMEN TOTAL'!AQ728</f>
        <v>0</v>
      </c>
      <c r="AE597" s="70">
        <f>'RESUMEN TOTAL'!AR728</f>
        <v>0</v>
      </c>
      <c r="AF597" s="70">
        <f>'RESUMEN TOTAL'!AS728</f>
        <v>0</v>
      </c>
      <c r="AG597" s="70">
        <f>'RESUMEN TOTAL'!AT728</f>
        <v>0</v>
      </c>
      <c r="AH597" s="70">
        <f>'RESUMEN TOTAL'!AU728</f>
        <v>0</v>
      </c>
      <c r="AI597" s="70">
        <f>'RESUMEN TOTAL'!AV728</f>
        <v>0</v>
      </c>
      <c r="AJ597" s="70" t="e">
        <f>'RESUMEN TOTAL'!#REF!</f>
        <v>#REF!</v>
      </c>
    </row>
    <row r="598" spans="1:36" x14ac:dyDescent="0.25">
      <c r="A598">
        <f>'RESUMEN TOTAL'!F729</f>
        <v>0</v>
      </c>
      <c r="B598">
        <f>'RESUMEN TOTAL'!G729</f>
        <v>0</v>
      </c>
      <c r="C598">
        <f>'RESUMEN TOTAL'!I729</f>
        <v>0</v>
      </c>
      <c r="D598" s="30">
        <f>'RESUMEN TOTAL'!J729</f>
        <v>0</v>
      </c>
      <c r="E598" s="30">
        <f>'RESUMEN TOTAL'!K729</f>
        <v>0</v>
      </c>
      <c r="F598" s="70">
        <f>'RESUMEN TOTAL'!S729</f>
        <v>0</v>
      </c>
      <c r="G598" s="70">
        <f>'RESUMEN TOTAL'!T729</f>
        <v>0</v>
      </c>
      <c r="H598" s="70">
        <f>'RESUMEN TOTAL'!U729</f>
        <v>0</v>
      </c>
      <c r="I598" s="70">
        <f>'RESUMEN TOTAL'!V729</f>
        <v>0</v>
      </c>
      <c r="J598" s="70">
        <f>'RESUMEN TOTAL'!W729</f>
        <v>0</v>
      </c>
      <c r="K598" s="70">
        <f>'RESUMEN TOTAL'!X729</f>
        <v>0</v>
      </c>
      <c r="L598" s="70">
        <f>'RESUMEN TOTAL'!Y729</f>
        <v>0</v>
      </c>
      <c r="M598" s="70">
        <f>'RESUMEN TOTAL'!Z729</f>
        <v>0</v>
      </c>
      <c r="N598" s="70">
        <f>'RESUMEN TOTAL'!AA729</f>
        <v>0</v>
      </c>
      <c r="O598" s="70">
        <f>'RESUMEN TOTAL'!AB729</f>
        <v>0</v>
      </c>
      <c r="P598" s="70">
        <f>'RESUMEN TOTAL'!AC729</f>
        <v>0</v>
      </c>
      <c r="Q598" s="70">
        <f>'RESUMEN TOTAL'!AD729</f>
        <v>0</v>
      </c>
      <c r="R598" s="70">
        <f>'RESUMEN TOTAL'!AE729</f>
        <v>0</v>
      </c>
      <c r="S598" s="70">
        <f>'RESUMEN TOTAL'!AF729</f>
        <v>0</v>
      </c>
      <c r="T598" s="70">
        <f>'RESUMEN TOTAL'!AG729</f>
        <v>0</v>
      </c>
      <c r="U598" s="70">
        <f>'RESUMEN TOTAL'!AH729</f>
        <v>0</v>
      </c>
      <c r="V598" s="70">
        <f>'RESUMEN TOTAL'!AI729</f>
        <v>0</v>
      </c>
      <c r="W598" s="70">
        <f>'RESUMEN TOTAL'!AJ729</f>
        <v>0</v>
      </c>
      <c r="X598" s="70">
        <f>'RESUMEN TOTAL'!AK729</f>
        <v>0</v>
      </c>
      <c r="Y598" s="70">
        <f>'RESUMEN TOTAL'!AL729</f>
        <v>0</v>
      </c>
      <c r="Z598" s="70">
        <f>'RESUMEN TOTAL'!AM729</f>
        <v>0</v>
      </c>
      <c r="AA598" s="70">
        <f>'RESUMEN TOTAL'!AN729</f>
        <v>0</v>
      </c>
      <c r="AB598" s="70">
        <f>'RESUMEN TOTAL'!AO729</f>
        <v>0</v>
      </c>
      <c r="AC598" s="70">
        <f>'RESUMEN TOTAL'!AP729</f>
        <v>0</v>
      </c>
      <c r="AD598" s="70">
        <f>'RESUMEN TOTAL'!AQ729</f>
        <v>0</v>
      </c>
      <c r="AE598" s="70">
        <f>'RESUMEN TOTAL'!AR729</f>
        <v>0</v>
      </c>
      <c r="AF598" s="70">
        <f>'RESUMEN TOTAL'!AS729</f>
        <v>0</v>
      </c>
      <c r="AG598" s="70">
        <f>'RESUMEN TOTAL'!AT729</f>
        <v>0</v>
      </c>
      <c r="AH598" s="70">
        <f>'RESUMEN TOTAL'!AU729</f>
        <v>0</v>
      </c>
      <c r="AI598" s="70">
        <f>'RESUMEN TOTAL'!AV729</f>
        <v>0</v>
      </c>
      <c r="AJ598" s="70" t="e">
        <f>'RESUMEN TOTAL'!#REF!</f>
        <v>#REF!</v>
      </c>
    </row>
    <row r="599" spans="1:36" x14ac:dyDescent="0.25">
      <c r="A599">
        <f>'RESUMEN TOTAL'!F730</f>
        <v>0</v>
      </c>
      <c r="B599">
        <f>'RESUMEN TOTAL'!G730</f>
        <v>0</v>
      </c>
      <c r="C599">
        <f>'RESUMEN TOTAL'!I730</f>
        <v>0</v>
      </c>
      <c r="D599" s="30">
        <f>'RESUMEN TOTAL'!J730</f>
        <v>0</v>
      </c>
      <c r="E599" s="30">
        <f>'RESUMEN TOTAL'!K730</f>
        <v>0</v>
      </c>
      <c r="F599" s="70">
        <f>'RESUMEN TOTAL'!S730</f>
        <v>0</v>
      </c>
      <c r="G599" s="70">
        <f>'RESUMEN TOTAL'!T730</f>
        <v>0</v>
      </c>
      <c r="H599" s="70">
        <f>'RESUMEN TOTAL'!U730</f>
        <v>0</v>
      </c>
      <c r="I599" s="70">
        <f>'RESUMEN TOTAL'!V730</f>
        <v>0</v>
      </c>
      <c r="J599" s="70">
        <f>'RESUMEN TOTAL'!W730</f>
        <v>0</v>
      </c>
      <c r="K599" s="70">
        <f>'RESUMEN TOTAL'!X730</f>
        <v>0</v>
      </c>
      <c r="L599" s="70">
        <f>'RESUMEN TOTAL'!Y730</f>
        <v>0</v>
      </c>
      <c r="M599" s="70">
        <f>'RESUMEN TOTAL'!Z730</f>
        <v>0</v>
      </c>
      <c r="N599" s="70">
        <f>'RESUMEN TOTAL'!AA730</f>
        <v>0</v>
      </c>
      <c r="O599" s="70">
        <f>'RESUMEN TOTAL'!AB730</f>
        <v>0</v>
      </c>
      <c r="P599" s="70">
        <f>'RESUMEN TOTAL'!AC730</f>
        <v>0</v>
      </c>
      <c r="Q599" s="70">
        <f>'RESUMEN TOTAL'!AD730</f>
        <v>0</v>
      </c>
      <c r="R599" s="70">
        <f>'RESUMEN TOTAL'!AE730</f>
        <v>0</v>
      </c>
      <c r="S599" s="70">
        <f>'RESUMEN TOTAL'!AF730</f>
        <v>0</v>
      </c>
      <c r="T599" s="70">
        <f>'RESUMEN TOTAL'!AG730</f>
        <v>0</v>
      </c>
      <c r="U599" s="70">
        <f>'RESUMEN TOTAL'!AH730</f>
        <v>0</v>
      </c>
      <c r="V599" s="70">
        <f>'RESUMEN TOTAL'!AI730</f>
        <v>0</v>
      </c>
      <c r="W599" s="70">
        <f>'RESUMEN TOTAL'!AJ730</f>
        <v>0</v>
      </c>
      <c r="X599" s="70">
        <f>'RESUMEN TOTAL'!AK730</f>
        <v>0</v>
      </c>
      <c r="Y599" s="70">
        <f>'RESUMEN TOTAL'!AL730</f>
        <v>0</v>
      </c>
      <c r="Z599" s="70">
        <f>'RESUMEN TOTAL'!AM730</f>
        <v>0</v>
      </c>
      <c r="AA599" s="70">
        <f>'RESUMEN TOTAL'!AN730</f>
        <v>0</v>
      </c>
      <c r="AB599" s="70">
        <f>'RESUMEN TOTAL'!AO730</f>
        <v>0</v>
      </c>
      <c r="AC599" s="70">
        <f>'RESUMEN TOTAL'!AP730</f>
        <v>0</v>
      </c>
      <c r="AD599" s="70">
        <f>'RESUMEN TOTAL'!AQ730</f>
        <v>0</v>
      </c>
      <c r="AE599" s="70">
        <f>'RESUMEN TOTAL'!AR730</f>
        <v>0</v>
      </c>
      <c r="AF599" s="70">
        <f>'RESUMEN TOTAL'!AS730</f>
        <v>0</v>
      </c>
      <c r="AG599" s="70">
        <f>'RESUMEN TOTAL'!AT730</f>
        <v>0</v>
      </c>
      <c r="AH599" s="70">
        <f>'RESUMEN TOTAL'!AU730</f>
        <v>0</v>
      </c>
      <c r="AI599" s="70">
        <f>'RESUMEN TOTAL'!AV730</f>
        <v>0</v>
      </c>
      <c r="AJ599" s="70" t="e">
        <f>'RESUMEN TOTAL'!#REF!</f>
        <v>#REF!</v>
      </c>
    </row>
    <row r="600" spans="1:36" x14ac:dyDescent="0.25">
      <c r="A600">
        <f>'RESUMEN TOTAL'!F731</f>
        <v>0</v>
      </c>
      <c r="B600">
        <f>'RESUMEN TOTAL'!G731</f>
        <v>0</v>
      </c>
      <c r="C600">
        <f>'RESUMEN TOTAL'!I731</f>
        <v>0</v>
      </c>
      <c r="D600" s="30">
        <f>'RESUMEN TOTAL'!J731</f>
        <v>0</v>
      </c>
      <c r="E600" s="30">
        <f>'RESUMEN TOTAL'!K731</f>
        <v>0</v>
      </c>
      <c r="F600" s="70">
        <f>'RESUMEN TOTAL'!S731</f>
        <v>0</v>
      </c>
      <c r="G600" s="70">
        <f>'RESUMEN TOTAL'!T731</f>
        <v>0</v>
      </c>
      <c r="H600" s="70">
        <f>'RESUMEN TOTAL'!U731</f>
        <v>0</v>
      </c>
      <c r="I600" s="70">
        <f>'RESUMEN TOTAL'!V731</f>
        <v>0</v>
      </c>
      <c r="J600" s="70">
        <f>'RESUMEN TOTAL'!W731</f>
        <v>0</v>
      </c>
      <c r="K600" s="70">
        <f>'RESUMEN TOTAL'!X731</f>
        <v>0</v>
      </c>
      <c r="L600" s="70">
        <f>'RESUMEN TOTAL'!Y731</f>
        <v>0</v>
      </c>
      <c r="M600" s="70">
        <f>'RESUMEN TOTAL'!Z731</f>
        <v>0</v>
      </c>
      <c r="N600" s="70">
        <f>'RESUMEN TOTAL'!AA731</f>
        <v>0</v>
      </c>
      <c r="O600" s="70">
        <f>'RESUMEN TOTAL'!AB731</f>
        <v>0</v>
      </c>
      <c r="P600" s="70">
        <f>'RESUMEN TOTAL'!AC731</f>
        <v>0</v>
      </c>
      <c r="Q600" s="70">
        <f>'RESUMEN TOTAL'!AD731</f>
        <v>0</v>
      </c>
      <c r="R600" s="70">
        <f>'RESUMEN TOTAL'!AE731</f>
        <v>0</v>
      </c>
      <c r="S600" s="70">
        <f>'RESUMEN TOTAL'!AF731</f>
        <v>0</v>
      </c>
      <c r="T600" s="70">
        <f>'RESUMEN TOTAL'!AG731</f>
        <v>0</v>
      </c>
      <c r="U600" s="70">
        <f>'RESUMEN TOTAL'!AH731</f>
        <v>0</v>
      </c>
      <c r="V600" s="70">
        <f>'RESUMEN TOTAL'!AI731</f>
        <v>0</v>
      </c>
      <c r="W600" s="70">
        <f>'RESUMEN TOTAL'!AJ731</f>
        <v>0</v>
      </c>
      <c r="X600" s="70">
        <f>'RESUMEN TOTAL'!AK731</f>
        <v>0</v>
      </c>
      <c r="Y600" s="70">
        <f>'RESUMEN TOTAL'!AL731</f>
        <v>0</v>
      </c>
      <c r="Z600" s="70">
        <f>'RESUMEN TOTAL'!AM731</f>
        <v>0</v>
      </c>
      <c r="AA600" s="70">
        <f>'RESUMEN TOTAL'!AN731</f>
        <v>0</v>
      </c>
      <c r="AB600" s="70">
        <f>'RESUMEN TOTAL'!AO731</f>
        <v>0</v>
      </c>
      <c r="AC600" s="70">
        <f>'RESUMEN TOTAL'!AP731</f>
        <v>0</v>
      </c>
      <c r="AD600" s="70">
        <f>'RESUMEN TOTAL'!AQ731</f>
        <v>0</v>
      </c>
      <c r="AE600" s="70">
        <f>'RESUMEN TOTAL'!AR731</f>
        <v>0</v>
      </c>
      <c r="AF600" s="70">
        <f>'RESUMEN TOTAL'!AS731</f>
        <v>0</v>
      </c>
      <c r="AG600" s="70">
        <f>'RESUMEN TOTAL'!AT731</f>
        <v>0</v>
      </c>
      <c r="AH600" s="70">
        <f>'RESUMEN TOTAL'!AU731</f>
        <v>0</v>
      </c>
      <c r="AI600" s="70">
        <f>'RESUMEN TOTAL'!AV731</f>
        <v>0</v>
      </c>
      <c r="AJ600" s="70" t="e">
        <f>'RESUMEN TOTAL'!#REF!</f>
        <v>#REF!</v>
      </c>
    </row>
    <row r="601" spans="1:36" x14ac:dyDescent="0.25">
      <c r="A601">
        <f>'RESUMEN TOTAL'!F732</f>
        <v>0</v>
      </c>
      <c r="B601">
        <f>'RESUMEN TOTAL'!G732</f>
        <v>0</v>
      </c>
      <c r="C601">
        <f>'RESUMEN TOTAL'!I732</f>
        <v>0</v>
      </c>
      <c r="D601" s="30">
        <f>'RESUMEN TOTAL'!J732</f>
        <v>0</v>
      </c>
      <c r="E601" s="30">
        <f>'RESUMEN TOTAL'!K732</f>
        <v>0</v>
      </c>
      <c r="F601" s="70">
        <f>'RESUMEN TOTAL'!S732</f>
        <v>0</v>
      </c>
      <c r="G601" s="70">
        <f>'RESUMEN TOTAL'!T732</f>
        <v>0</v>
      </c>
      <c r="H601" s="70">
        <f>'RESUMEN TOTAL'!U732</f>
        <v>0</v>
      </c>
      <c r="I601" s="70">
        <f>'RESUMEN TOTAL'!V732</f>
        <v>0</v>
      </c>
      <c r="J601" s="70">
        <f>'RESUMEN TOTAL'!W732</f>
        <v>0</v>
      </c>
      <c r="K601" s="70">
        <f>'RESUMEN TOTAL'!X732</f>
        <v>0</v>
      </c>
      <c r="L601" s="70">
        <f>'RESUMEN TOTAL'!Y732</f>
        <v>0</v>
      </c>
      <c r="M601" s="70">
        <f>'RESUMEN TOTAL'!Z732</f>
        <v>0</v>
      </c>
      <c r="N601" s="70">
        <f>'RESUMEN TOTAL'!AA732</f>
        <v>0</v>
      </c>
      <c r="O601" s="70">
        <f>'RESUMEN TOTAL'!AB732</f>
        <v>0</v>
      </c>
      <c r="P601" s="70">
        <f>'RESUMEN TOTAL'!AC732</f>
        <v>0</v>
      </c>
      <c r="Q601" s="70">
        <f>'RESUMEN TOTAL'!AD732</f>
        <v>0</v>
      </c>
      <c r="R601" s="70">
        <f>'RESUMEN TOTAL'!AE732</f>
        <v>0</v>
      </c>
      <c r="S601" s="70">
        <f>'RESUMEN TOTAL'!AF732</f>
        <v>0</v>
      </c>
      <c r="T601" s="70">
        <f>'RESUMEN TOTAL'!AG732</f>
        <v>0</v>
      </c>
      <c r="U601" s="70">
        <f>'RESUMEN TOTAL'!AH732</f>
        <v>0</v>
      </c>
      <c r="V601" s="70">
        <f>'RESUMEN TOTAL'!AI732</f>
        <v>0</v>
      </c>
      <c r="W601" s="70">
        <f>'RESUMEN TOTAL'!AJ732</f>
        <v>0</v>
      </c>
      <c r="X601" s="70">
        <f>'RESUMEN TOTAL'!AK732</f>
        <v>0</v>
      </c>
      <c r="Y601" s="70">
        <f>'RESUMEN TOTAL'!AL732</f>
        <v>0</v>
      </c>
      <c r="Z601" s="70">
        <f>'RESUMEN TOTAL'!AM732</f>
        <v>0</v>
      </c>
      <c r="AA601" s="70">
        <f>'RESUMEN TOTAL'!AN732</f>
        <v>0</v>
      </c>
      <c r="AB601" s="70">
        <f>'RESUMEN TOTAL'!AO732</f>
        <v>0</v>
      </c>
      <c r="AC601" s="70">
        <f>'RESUMEN TOTAL'!AP732</f>
        <v>0</v>
      </c>
      <c r="AD601" s="70">
        <f>'RESUMEN TOTAL'!AQ732</f>
        <v>0</v>
      </c>
      <c r="AE601" s="70">
        <f>'RESUMEN TOTAL'!AR732</f>
        <v>0</v>
      </c>
      <c r="AF601" s="70">
        <f>'RESUMEN TOTAL'!AS732</f>
        <v>0</v>
      </c>
      <c r="AG601" s="70">
        <f>'RESUMEN TOTAL'!AT732</f>
        <v>0</v>
      </c>
      <c r="AH601" s="70">
        <f>'RESUMEN TOTAL'!AU732</f>
        <v>0</v>
      </c>
      <c r="AI601" s="70">
        <f>'RESUMEN TOTAL'!AV732</f>
        <v>0</v>
      </c>
      <c r="AJ601" s="70" t="e">
        <f>'RESUMEN TOTAL'!#REF!</f>
        <v>#REF!</v>
      </c>
    </row>
    <row r="602" spans="1:36" x14ac:dyDescent="0.25">
      <c r="A602">
        <f>'RESUMEN TOTAL'!F733</f>
        <v>0</v>
      </c>
      <c r="B602">
        <f>'RESUMEN TOTAL'!G733</f>
        <v>0</v>
      </c>
      <c r="C602">
        <f>'RESUMEN TOTAL'!I733</f>
        <v>0</v>
      </c>
      <c r="D602" s="30">
        <f>'RESUMEN TOTAL'!J733</f>
        <v>0</v>
      </c>
      <c r="E602" s="30">
        <f>'RESUMEN TOTAL'!K733</f>
        <v>0</v>
      </c>
      <c r="F602" s="70">
        <f>'RESUMEN TOTAL'!S733</f>
        <v>0</v>
      </c>
      <c r="G602" s="70">
        <f>'RESUMEN TOTAL'!T733</f>
        <v>0</v>
      </c>
      <c r="H602" s="70">
        <f>'RESUMEN TOTAL'!U733</f>
        <v>0</v>
      </c>
      <c r="I602" s="70">
        <f>'RESUMEN TOTAL'!V733</f>
        <v>0</v>
      </c>
      <c r="J602" s="70">
        <f>'RESUMEN TOTAL'!W733</f>
        <v>0</v>
      </c>
      <c r="K602" s="70">
        <f>'RESUMEN TOTAL'!X733</f>
        <v>0</v>
      </c>
      <c r="L602" s="70">
        <f>'RESUMEN TOTAL'!Y733</f>
        <v>0</v>
      </c>
      <c r="M602" s="70">
        <f>'RESUMEN TOTAL'!Z733</f>
        <v>0</v>
      </c>
      <c r="N602" s="70">
        <f>'RESUMEN TOTAL'!AA733</f>
        <v>0</v>
      </c>
      <c r="O602" s="70">
        <f>'RESUMEN TOTAL'!AB733</f>
        <v>0</v>
      </c>
      <c r="P602" s="70">
        <f>'RESUMEN TOTAL'!AC733</f>
        <v>0</v>
      </c>
      <c r="Q602" s="70">
        <f>'RESUMEN TOTAL'!AD733</f>
        <v>0</v>
      </c>
      <c r="R602" s="70">
        <f>'RESUMEN TOTAL'!AE733</f>
        <v>0</v>
      </c>
      <c r="S602" s="70">
        <f>'RESUMEN TOTAL'!AF733</f>
        <v>0</v>
      </c>
      <c r="T602" s="70">
        <f>'RESUMEN TOTAL'!AG733</f>
        <v>0</v>
      </c>
      <c r="U602" s="70">
        <f>'RESUMEN TOTAL'!AH733</f>
        <v>0</v>
      </c>
      <c r="V602" s="70">
        <f>'RESUMEN TOTAL'!AI733</f>
        <v>0</v>
      </c>
      <c r="W602" s="70">
        <f>'RESUMEN TOTAL'!AJ733</f>
        <v>0</v>
      </c>
      <c r="X602" s="70">
        <f>'RESUMEN TOTAL'!AK733</f>
        <v>0</v>
      </c>
      <c r="Y602" s="70">
        <f>'RESUMEN TOTAL'!AL733</f>
        <v>0</v>
      </c>
      <c r="Z602" s="70">
        <f>'RESUMEN TOTAL'!AM733</f>
        <v>0</v>
      </c>
      <c r="AA602" s="70">
        <f>'RESUMEN TOTAL'!AN733</f>
        <v>0</v>
      </c>
      <c r="AB602" s="70">
        <f>'RESUMEN TOTAL'!AO733</f>
        <v>0</v>
      </c>
      <c r="AC602" s="70">
        <f>'RESUMEN TOTAL'!AP733</f>
        <v>0</v>
      </c>
      <c r="AD602" s="70">
        <f>'RESUMEN TOTAL'!AQ733</f>
        <v>0</v>
      </c>
      <c r="AE602" s="70">
        <f>'RESUMEN TOTAL'!AR733</f>
        <v>0</v>
      </c>
      <c r="AF602" s="70">
        <f>'RESUMEN TOTAL'!AS733</f>
        <v>0</v>
      </c>
      <c r="AG602" s="70">
        <f>'RESUMEN TOTAL'!AT733</f>
        <v>0</v>
      </c>
      <c r="AH602" s="70">
        <f>'RESUMEN TOTAL'!AU733</f>
        <v>0</v>
      </c>
      <c r="AI602" s="70">
        <f>'RESUMEN TOTAL'!AV733</f>
        <v>0</v>
      </c>
      <c r="AJ602" s="70" t="e">
        <f>'RESUMEN TOTAL'!#REF!</f>
        <v>#REF!</v>
      </c>
    </row>
    <row r="603" spans="1:36" x14ac:dyDescent="0.25">
      <c r="A603">
        <f>'RESUMEN TOTAL'!F734</f>
        <v>0</v>
      </c>
      <c r="B603">
        <f>'RESUMEN TOTAL'!G734</f>
        <v>0</v>
      </c>
      <c r="C603">
        <f>'RESUMEN TOTAL'!I734</f>
        <v>0</v>
      </c>
      <c r="D603" s="30">
        <f>'RESUMEN TOTAL'!J734</f>
        <v>0</v>
      </c>
      <c r="E603" s="30">
        <f>'RESUMEN TOTAL'!K734</f>
        <v>0</v>
      </c>
      <c r="F603" s="70">
        <f>'RESUMEN TOTAL'!S734</f>
        <v>0</v>
      </c>
      <c r="G603" s="70">
        <f>'RESUMEN TOTAL'!T734</f>
        <v>0</v>
      </c>
      <c r="H603" s="70">
        <f>'RESUMEN TOTAL'!U734</f>
        <v>0</v>
      </c>
      <c r="I603" s="70">
        <f>'RESUMEN TOTAL'!V734</f>
        <v>0</v>
      </c>
      <c r="J603" s="70">
        <f>'RESUMEN TOTAL'!W734</f>
        <v>0</v>
      </c>
      <c r="K603" s="70">
        <f>'RESUMEN TOTAL'!X734</f>
        <v>0</v>
      </c>
      <c r="L603" s="70">
        <f>'RESUMEN TOTAL'!Y734</f>
        <v>0</v>
      </c>
      <c r="M603" s="70">
        <f>'RESUMEN TOTAL'!Z734</f>
        <v>0</v>
      </c>
      <c r="N603" s="70">
        <f>'RESUMEN TOTAL'!AA734</f>
        <v>0</v>
      </c>
      <c r="O603" s="70">
        <f>'RESUMEN TOTAL'!AB734</f>
        <v>0</v>
      </c>
      <c r="P603" s="70">
        <f>'RESUMEN TOTAL'!AC734</f>
        <v>0</v>
      </c>
      <c r="Q603" s="70">
        <f>'RESUMEN TOTAL'!AD734</f>
        <v>0</v>
      </c>
      <c r="R603" s="70">
        <f>'RESUMEN TOTAL'!AE734</f>
        <v>0</v>
      </c>
      <c r="S603" s="70">
        <f>'RESUMEN TOTAL'!AF734</f>
        <v>0</v>
      </c>
      <c r="T603" s="70">
        <f>'RESUMEN TOTAL'!AG734</f>
        <v>0</v>
      </c>
      <c r="U603" s="70">
        <f>'RESUMEN TOTAL'!AH734</f>
        <v>0</v>
      </c>
      <c r="V603" s="70">
        <f>'RESUMEN TOTAL'!AI734</f>
        <v>0</v>
      </c>
      <c r="W603" s="70">
        <f>'RESUMEN TOTAL'!AJ734</f>
        <v>0</v>
      </c>
      <c r="X603" s="70">
        <f>'RESUMEN TOTAL'!AK734</f>
        <v>0</v>
      </c>
      <c r="Y603" s="70">
        <f>'RESUMEN TOTAL'!AL734</f>
        <v>0</v>
      </c>
      <c r="Z603" s="70">
        <f>'RESUMEN TOTAL'!AM734</f>
        <v>0</v>
      </c>
      <c r="AA603" s="70">
        <f>'RESUMEN TOTAL'!AN734</f>
        <v>0</v>
      </c>
      <c r="AB603" s="70">
        <f>'RESUMEN TOTAL'!AO734</f>
        <v>0</v>
      </c>
      <c r="AC603" s="70">
        <f>'RESUMEN TOTAL'!AP734</f>
        <v>0</v>
      </c>
      <c r="AD603" s="70">
        <f>'RESUMEN TOTAL'!AQ734</f>
        <v>0</v>
      </c>
      <c r="AE603" s="70">
        <f>'RESUMEN TOTAL'!AR734</f>
        <v>0</v>
      </c>
      <c r="AF603" s="70">
        <f>'RESUMEN TOTAL'!AS734</f>
        <v>0</v>
      </c>
      <c r="AG603" s="70">
        <f>'RESUMEN TOTAL'!AT734</f>
        <v>0</v>
      </c>
      <c r="AH603" s="70">
        <f>'RESUMEN TOTAL'!AU734</f>
        <v>0</v>
      </c>
      <c r="AI603" s="70">
        <f>'RESUMEN TOTAL'!AV734</f>
        <v>0</v>
      </c>
      <c r="AJ603" s="70" t="e">
        <f>'RESUMEN TOTAL'!#REF!</f>
        <v>#REF!</v>
      </c>
    </row>
    <row r="604" spans="1:36" x14ac:dyDescent="0.25">
      <c r="A604">
        <f>'RESUMEN TOTAL'!F735</f>
        <v>0</v>
      </c>
      <c r="B604">
        <f>'RESUMEN TOTAL'!G735</f>
        <v>0</v>
      </c>
      <c r="C604">
        <f>'RESUMEN TOTAL'!I735</f>
        <v>0</v>
      </c>
      <c r="D604" s="30">
        <f>'RESUMEN TOTAL'!J735</f>
        <v>0</v>
      </c>
      <c r="E604" s="30">
        <f>'RESUMEN TOTAL'!K735</f>
        <v>0</v>
      </c>
      <c r="F604" s="70">
        <f>'RESUMEN TOTAL'!S735</f>
        <v>0</v>
      </c>
      <c r="G604" s="70">
        <f>'RESUMEN TOTAL'!T735</f>
        <v>0</v>
      </c>
      <c r="H604" s="70">
        <f>'RESUMEN TOTAL'!U735</f>
        <v>0</v>
      </c>
      <c r="I604" s="70">
        <f>'RESUMEN TOTAL'!V735</f>
        <v>0</v>
      </c>
      <c r="J604" s="70">
        <f>'RESUMEN TOTAL'!W735</f>
        <v>0</v>
      </c>
      <c r="K604" s="70">
        <f>'RESUMEN TOTAL'!X735</f>
        <v>0</v>
      </c>
      <c r="L604" s="70">
        <f>'RESUMEN TOTAL'!Y735</f>
        <v>0</v>
      </c>
      <c r="M604" s="70">
        <f>'RESUMEN TOTAL'!Z735</f>
        <v>0</v>
      </c>
      <c r="N604" s="70">
        <f>'RESUMEN TOTAL'!AA735</f>
        <v>0</v>
      </c>
      <c r="O604" s="70">
        <f>'RESUMEN TOTAL'!AB735</f>
        <v>0</v>
      </c>
      <c r="P604" s="70">
        <f>'RESUMEN TOTAL'!AC735</f>
        <v>0</v>
      </c>
      <c r="Q604" s="70">
        <f>'RESUMEN TOTAL'!AD735</f>
        <v>0</v>
      </c>
      <c r="R604" s="70">
        <f>'RESUMEN TOTAL'!AE735</f>
        <v>0</v>
      </c>
      <c r="S604" s="70">
        <f>'RESUMEN TOTAL'!AF735</f>
        <v>0</v>
      </c>
      <c r="T604" s="70">
        <f>'RESUMEN TOTAL'!AG735</f>
        <v>0</v>
      </c>
      <c r="U604" s="70">
        <f>'RESUMEN TOTAL'!AH735</f>
        <v>0</v>
      </c>
      <c r="V604" s="70">
        <f>'RESUMEN TOTAL'!AI735</f>
        <v>0</v>
      </c>
      <c r="W604" s="70">
        <f>'RESUMEN TOTAL'!AJ735</f>
        <v>0</v>
      </c>
      <c r="X604" s="70">
        <f>'RESUMEN TOTAL'!AK735</f>
        <v>0</v>
      </c>
      <c r="Y604" s="70">
        <f>'RESUMEN TOTAL'!AL735</f>
        <v>0</v>
      </c>
      <c r="Z604" s="70">
        <f>'RESUMEN TOTAL'!AM735</f>
        <v>0</v>
      </c>
      <c r="AA604" s="70">
        <f>'RESUMEN TOTAL'!AN735</f>
        <v>0</v>
      </c>
      <c r="AB604" s="70">
        <f>'RESUMEN TOTAL'!AO735</f>
        <v>0</v>
      </c>
      <c r="AC604" s="70">
        <f>'RESUMEN TOTAL'!AP735</f>
        <v>0</v>
      </c>
      <c r="AD604" s="70">
        <f>'RESUMEN TOTAL'!AQ735</f>
        <v>0</v>
      </c>
      <c r="AE604" s="70">
        <f>'RESUMEN TOTAL'!AR735</f>
        <v>0</v>
      </c>
      <c r="AF604" s="70">
        <f>'RESUMEN TOTAL'!AS735</f>
        <v>0</v>
      </c>
      <c r="AG604" s="70">
        <f>'RESUMEN TOTAL'!AT735</f>
        <v>0</v>
      </c>
      <c r="AH604" s="70">
        <f>'RESUMEN TOTAL'!AU735</f>
        <v>0</v>
      </c>
      <c r="AI604" s="70">
        <f>'RESUMEN TOTAL'!AV735</f>
        <v>0</v>
      </c>
      <c r="AJ604" s="70" t="e">
        <f>'RESUMEN TOTAL'!#REF!</f>
        <v>#REF!</v>
      </c>
    </row>
    <row r="605" spans="1:36" x14ac:dyDescent="0.25">
      <c r="A605">
        <f>'RESUMEN TOTAL'!F736</f>
        <v>0</v>
      </c>
      <c r="B605">
        <f>'RESUMEN TOTAL'!G736</f>
        <v>0</v>
      </c>
      <c r="C605">
        <f>'RESUMEN TOTAL'!I736</f>
        <v>0</v>
      </c>
      <c r="D605" s="30">
        <f>'RESUMEN TOTAL'!J736</f>
        <v>0</v>
      </c>
      <c r="E605" s="30">
        <f>'RESUMEN TOTAL'!K736</f>
        <v>0</v>
      </c>
      <c r="F605" s="70">
        <f>'RESUMEN TOTAL'!S736</f>
        <v>0</v>
      </c>
      <c r="G605" s="70">
        <f>'RESUMEN TOTAL'!T736</f>
        <v>0</v>
      </c>
      <c r="H605" s="70">
        <f>'RESUMEN TOTAL'!U736</f>
        <v>0</v>
      </c>
      <c r="I605" s="70">
        <f>'RESUMEN TOTAL'!V736</f>
        <v>0</v>
      </c>
      <c r="J605" s="70">
        <f>'RESUMEN TOTAL'!W736</f>
        <v>0</v>
      </c>
      <c r="K605" s="70">
        <f>'RESUMEN TOTAL'!X736</f>
        <v>0</v>
      </c>
      <c r="L605" s="70">
        <f>'RESUMEN TOTAL'!Y736</f>
        <v>0</v>
      </c>
      <c r="M605" s="70">
        <f>'RESUMEN TOTAL'!Z736</f>
        <v>0</v>
      </c>
      <c r="N605" s="70">
        <f>'RESUMEN TOTAL'!AA736</f>
        <v>0</v>
      </c>
      <c r="O605" s="70">
        <f>'RESUMEN TOTAL'!AB736</f>
        <v>0</v>
      </c>
      <c r="P605" s="70">
        <f>'RESUMEN TOTAL'!AC736</f>
        <v>0</v>
      </c>
      <c r="Q605" s="70">
        <f>'RESUMEN TOTAL'!AD736</f>
        <v>0</v>
      </c>
      <c r="R605" s="70">
        <f>'RESUMEN TOTAL'!AE736</f>
        <v>0</v>
      </c>
      <c r="S605" s="70">
        <f>'RESUMEN TOTAL'!AF736</f>
        <v>0</v>
      </c>
      <c r="T605" s="70">
        <f>'RESUMEN TOTAL'!AG736</f>
        <v>0</v>
      </c>
      <c r="U605" s="70">
        <f>'RESUMEN TOTAL'!AH736</f>
        <v>0</v>
      </c>
      <c r="V605" s="70">
        <f>'RESUMEN TOTAL'!AI736</f>
        <v>0</v>
      </c>
      <c r="W605" s="70">
        <f>'RESUMEN TOTAL'!AJ736</f>
        <v>0</v>
      </c>
      <c r="X605" s="70">
        <f>'RESUMEN TOTAL'!AK736</f>
        <v>0</v>
      </c>
      <c r="Y605" s="70">
        <f>'RESUMEN TOTAL'!AL736</f>
        <v>0</v>
      </c>
      <c r="Z605" s="70">
        <f>'RESUMEN TOTAL'!AM736</f>
        <v>0</v>
      </c>
      <c r="AA605" s="70">
        <f>'RESUMEN TOTAL'!AN736</f>
        <v>0</v>
      </c>
      <c r="AB605" s="70">
        <f>'RESUMEN TOTAL'!AO736</f>
        <v>0</v>
      </c>
      <c r="AC605" s="70">
        <f>'RESUMEN TOTAL'!AP736</f>
        <v>0</v>
      </c>
      <c r="AD605" s="70">
        <f>'RESUMEN TOTAL'!AQ736</f>
        <v>0</v>
      </c>
      <c r="AE605" s="70">
        <f>'RESUMEN TOTAL'!AR736</f>
        <v>0</v>
      </c>
      <c r="AF605" s="70">
        <f>'RESUMEN TOTAL'!AS736</f>
        <v>0</v>
      </c>
      <c r="AG605" s="70">
        <f>'RESUMEN TOTAL'!AT736</f>
        <v>0</v>
      </c>
      <c r="AH605" s="70">
        <f>'RESUMEN TOTAL'!AU736</f>
        <v>0</v>
      </c>
      <c r="AI605" s="70">
        <f>'RESUMEN TOTAL'!AV736</f>
        <v>0</v>
      </c>
      <c r="AJ605" s="70" t="e">
        <f>'RESUMEN TOTAL'!#REF!</f>
        <v>#REF!</v>
      </c>
    </row>
    <row r="606" spans="1:36" x14ac:dyDescent="0.25">
      <c r="A606">
        <f>'RESUMEN TOTAL'!F737</f>
        <v>0</v>
      </c>
      <c r="B606">
        <f>'RESUMEN TOTAL'!G737</f>
        <v>0</v>
      </c>
      <c r="C606">
        <f>'RESUMEN TOTAL'!I737</f>
        <v>0</v>
      </c>
      <c r="D606" s="30">
        <f>'RESUMEN TOTAL'!J737</f>
        <v>0</v>
      </c>
      <c r="E606" s="30">
        <f>'RESUMEN TOTAL'!K737</f>
        <v>0</v>
      </c>
      <c r="F606" s="70">
        <f>'RESUMEN TOTAL'!S737</f>
        <v>0</v>
      </c>
      <c r="G606" s="70">
        <f>'RESUMEN TOTAL'!T737</f>
        <v>0</v>
      </c>
      <c r="H606" s="70">
        <f>'RESUMEN TOTAL'!U737</f>
        <v>0</v>
      </c>
      <c r="I606" s="70">
        <f>'RESUMEN TOTAL'!V737</f>
        <v>0</v>
      </c>
      <c r="J606" s="70">
        <f>'RESUMEN TOTAL'!W737</f>
        <v>0</v>
      </c>
      <c r="K606" s="70">
        <f>'RESUMEN TOTAL'!X737</f>
        <v>0</v>
      </c>
      <c r="L606" s="70">
        <f>'RESUMEN TOTAL'!Y737</f>
        <v>0</v>
      </c>
      <c r="M606" s="70">
        <f>'RESUMEN TOTAL'!Z737</f>
        <v>0</v>
      </c>
      <c r="N606" s="70">
        <f>'RESUMEN TOTAL'!AA737</f>
        <v>0</v>
      </c>
      <c r="O606" s="70">
        <f>'RESUMEN TOTAL'!AB737</f>
        <v>0</v>
      </c>
      <c r="P606" s="70">
        <f>'RESUMEN TOTAL'!AC737</f>
        <v>0</v>
      </c>
      <c r="Q606" s="70">
        <f>'RESUMEN TOTAL'!AD737</f>
        <v>0</v>
      </c>
      <c r="R606" s="70">
        <f>'RESUMEN TOTAL'!AE737</f>
        <v>0</v>
      </c>
      <c r="S606" s="70">
        <f>'RESUMEN TOTAL'!AF737</f>
        <v>0</v>
      </c>
      <c r="T606" s="70">
        <f>'RESUMEN TOTAL'!AG737</f>
        <v>0</v>
      </c>
      <c r="U606" s="70">
        <f>'RESUMEN TOTAL'!AH737</f>
        <v>0</v>
      </c>
      <c r="V606" s="70">
        <f>'RESUMEN TOTAL'!AI737</f>
        <v>0</v>
      </c>
      <c r="W606" s="70">
        <f>'RESUMEN TOTAL'!AJ737</f>
        <v>0</v>
      </c>
      <c r="X606" s="70">
        <f>'RESUMEN TOTAL'!AK737</f>
        <v>0</v>
      </c>
      <c r="Y606" s="70">
        <f>'RESUMEN TOTAL'!AL737</f>
        <v>0</v>
      </c>
      <c r="Z606" s="70">
        <f>'RESUMEN TOTAL'!AM737</f>
        <v>0</v>
      </c>
      <c r="AA606" s="70">
        <f>'RESUMEN TOTAL'!AN737</f>
        <v>0</v>
      </c>
      <c r="AB606" s="70">
        <f>'RESUMEN TOTAL'!AO737</f>
        <v>0</v>
      </c>
      <c r="AC606" s="70">
        <f>'RESUMEN TOTAL'!AP737</f>
        <v>0</v>
      </c>
      <c r="AD606" s="70">
        <f>'RESUMEN TOTAL'!AQ737</f>
        <v>0</v>
      </c>
      <c r="AE606" s="70">
        <f>'RESUMEN TOTAL'!AR737</f>
        <v>0</v>
      </c>
      <c r="AF606" s="70">
        <f>'RESUMEN TOTAL'!AS737</f>
        <v>0</v>
      </c>
      <c r="AG606" s="70">
        <f>'RESUMEN TOTAL'!AT737</f>
        <v>0</v>
      </c>
      <c r="AH606" s="70">
        <f>'RESUMEN TOTAL'!AU737</f>
        <v>0</v>
      </c>
      <c r="AI606" s="70">
        <f>'RESUMEN TOTAL'!AV737</f>
        <v>0</v>
      </c>
      <c r="AJ606" s="70" t="e">
        <f>'RESUMEN TOTAL'!#REF!</f>
        <v>#REF!</v>
      </c>
    </row>
    <row r="607" spans="1:36" x14ac:dyDescent="0.25">
      <c r="A607">
        <f>'RESUMEN TOTAL'!F738</f>
        <v>0</v>
      </c>
      <c r="B607">
        <f>'RESUMEN TOTAL'!G738</f>
        <v>0</v>
      </c>
      <c r="C607">
        <f>'RESUMEN TOTAL'!I738</f>
        <v>0</v>
      </c>
      <c r="D607" s="30">
        <f>'RESUMEN TOTAL'!J738</f>
        <v>0</v>
      </c>
      <c r="E607" s="30">
        <f>'RESUMEN TOTAL'!K738</f>
        <v>0</v>
      </c>
      <c r="F607" s="70">
        <f>'RESUMEN TOTAL'!S738</f>
        <v>0</v>
      </c>
      <c r="G607" s="70">
        <f>'RESUMEN TOTAL'!T738</f>
        <v>0</v>
      </c>
      <c r="H607" s="70">
        <f>'RESUMEN TOTAL'!U738</f>
        <v>0</v>
      </c>
      <c r="I607" s="70">
        <f>'RESUMEN TOTAL'!V738</f>
        <v>0</v>
      </c>
      <c r="J607" s="70">
        <f>'RESUMEN TOTAL'!W738</f>
        <v>0</v>
      </c>
      <c r="K607" s="70">
        <f>'RESUMEN TOTAL'!X738</f>
        <v>0</v>
      </c>
      <c r="L607" s="70">
        <f>'RESUMEN TOTAL'!Y738</f>
        <v>0</v>
      </c>
      <c r="M607" s="70">
        <f>'RESUMEN TOTAL'!Z738</f>
        <v>0</v>
      </c>
      <c r="N607" s="70">
        <f>'RESUMEN TOTAL'!AA738</f>
        <v>0</v>
      </c>
      <c r="O607" s="70">
        <f>'RESUMEN TOTAL'!AB738</f>
        <v>0</v>
      </c>
      <c r="P607" s="70">
        <f>'RESUMEN TOTAL'!AC738</f>
        <v>0</v>
      </c>
      <c r="Q607" s="70">
        <f>'RESUMEN TOTAL'!AD738</f>
        <v>0</v>
      </c>
      <c r="R607" s="70">
        <f>'RESUMEN TOTAL'!AE738</f>
        <v>0</v>
      </c>
      <c r="S607" s="70">
        <f>'RESUMEN TOTAL'!AF738</f>
        <v>0</v>
      </c>
      <c r="T607" s="70">
        <f>'RESUMEN TOTAL'!AG738</f>
        <v>0</v>
      </c>
      <c r="U607" s="70">
        <f>'RESUMEN TOTAL'!AH738</f>
        <v>0</v>
      </c>
      <c r="V607" s="70">
        <f>'RESUMEN TOTAL'!AI738</f>
        <v>0</v>
      </c>
      <c r="W607" s="70">
        <f>'RESUMEN TOTAL'!AJ738</f>
        <v>0</v>
      </c>
      <c r="X607" s="70">
        <f>'RESUMEN TOTAL'!AK738</f>
        <v>0</v>
      </c>
      <c r="Y607" s="70">
        <f>'RESUMEN TOTAL'!AL738</f>
        <v>0</v>
      </c>
      <c r="Z607" s="70">
        <f>'RESUMEN TOTAL'!AM738</f>
        <v>0</v>
      </c>
      <c r="AA607" s="70">
        <f>'RESUMEN TOTAL'!AN738</f>
        <v>0</v>
      </c>
      <c r="AB607" s="70">
        <f>'RESUMEN TOTAL'!AO738</f>
        <v>0</v>
      </c>
      <c r="AC607" s="70">
        <f>'RESUMEN TOTAL'!AP738</f>
        <v>0</v>
      </c>
      <c r="AD607" s="70">
        <f>'RESUMEN TOTAL'!AQ738</f>
        <v>0</v>
      </c>
      <c r="AE607" s="70">
        <f>'RESUMEN TOTAL'!AR738</f>
        <v>0</v>
      </c>
      <c r="AF607" s="70">
        <f>'RESUMEN TOTAL'!AS738</f>
        <v>0</v>
      </c>
      <c r="AG607" s="70">
        <f>'RESUMEN TOTAL'!AT738</f>
        <v>0</v>
      </c>
      <c r="AH607" s="70">
        <f>'RESUMEN TOTAL'!AU738</f>
        <v>0</v>
      </c>
      <c r="AI607" s="70">
        <f>'RESUMEN TOTAL'!AV738</f>
        <v>0</v>
      </c>
      <c r="AJ607" s="70" t="e">
        <f>'RESUMEN TOTAL'!#REF!</f>
        <v>#REF!</v>
      </c>
    </row>
    <row r="608" spans="1:36" x14ac:dyDescent="0.25">
      <c r="A608">
        <f>'RESUMEN TOTAL'!F739</f>
        <v>0</v>
      </c>
      <c r="B608">
        <f>'RESUMEN TOTAL'!G739</f>
        <v>0</v>
      </c>
      <c r="C608">
        <f>'RESUMEN TOTAL'!I739</f>
        <v>0</v>
      </c>
      <c r="D608" s="30">
        <f>'RESUMEN TOTAL'!J739</f>
        <v>0</v>
      </c>
      <c r="E608" s="30">
        <f>'RESUMEN TOTAL'!K739</f>
        <v>0</v>
      </c>
      <c r="F608" s="70">
        <f>'RESUMEN TOTAL'!S739</f>
        <v>0</v>
      </c>
      <c r="G608" s="70">
        <f>'RESUMEN TOTAL'!T739</f>
        <v>0</v>
      </c>
      <c r="H608" s="70">
        <f>'RESUMEN TOTAL'!U739</f>
        <v>0</v>
      </c>
      <c r="I608" s="70">
        <f>'RESUMEN TOTAL'!V739</f>
        <v>0</v>
      </c>
      <c r="J608" s="70">
        <f>'RESUMEN TOTAL'!W739</f>
        <v>0</v>
      </c>
      <c r="K608" s="70">
        <f>'RESUMEN TOTAL'!X739</f>
        <v>0</v>
      </c>
      <c r="L608" s="70">
        <f>'RESUMEN TOTAL'!Y739</f>
        <v>0</v>
      </c>
      <c r="M608" s="70">
        <f>'RESUMEN TOTAL'!Z739</f>
        <v>0</v>
      </c>
      <c r="N608" s="70">
        <f>'RESUMEN TOTAL'!AA739</f>
        <v>0</v>
      </c>
      <c r="O608" s="70">
        <f>'RESUMEN TOTAL'!AB739</f>
        <v>0</v>
      </c>
      <c r="P608" s="70">
        <f>'RESUMEN TOTAL'!AC739</f>
        <v>0</v>
      </c>
      <c r="Q608" s="70">
        <f>'RESUMEN TOTAL'!AD739</f>
        <v>0</v>
      </c>
      <c r="R608" s="70">
        <f>'RESUMEN TOTAL'!AE739</f>
        <v>0</v>
      </c>
      <c r="S608" s="70">
        <f>'RESUMEN TOTAL'!AF739</f>
        <v>0</v>
      </c>
      <c r="T608" s="70">
        <f>'RESUMEN TOTAL'!AG739</f>
        <v>0</v>
      </c>
      <c r="U608" s="70">
        <f>'RESUMEN TOTAL'!AH739</f>
        <v>0</v>
      </c>
      <c r="V608" s="70">
        <f>'RESUMEN TOTAL'!AI739</f>
        <v>0</v>
      </c>
      <c r="W608" s="70">
        <f>'RESUMEN TOTAL'!AJ739</f>
        <v>0</v>
      </c>
      <c r="X608" s="70">
        <f>'RESUMEN TOTAL'!AK739</f>
        <v>0</v>
      </c>
      <c r="Y608" s="70">
        <f>'RESUMEN TOTAL'!AL739</f>
        <v>0</v>
      </c>
      <c r="Z608" s="70">
        <f>'RESUMEN TOTAL'!AM739</f>
        <v>0</v>
      </c>
      <c r="AA608" s="70">
        <f>'RESUMEN TOTAL'!AN739</f>
        <v>0</v>
      </c>
      <c r="AB608" s="70">
        <f>'RESUMEN TOTAL'!AO739</f>
        <v>0</v>
      </c>
      <c r="AC608" s="70">
        <f>'RESUMEN TOTAL'!AP739</f>
        <v>0</v>
      </c>
      <c r="AD608" s="70">
        <f>'RESUMEN TOTAL'!AQ739</f>
        <v>0</v>
      </c>
      <c r="AE608" s="70">
        <f>'RESUMEN TOTAL'!AR739</f>
        <v>0</v>
      </c>
      <c r="AF608" s="70">
        <f>'RESUMEN TOTAL'!AS739</f>
        <v>0</v>
      </c>
      <c r="AG608" s="70">
        <f>'RESUMEN TOTAL'!AT739</f>
        <v>0</v>
      </c>
      <c r="AH608" s="70">
        <f>'RESUMEN TOTAL'!AU739</f>
        <v>0</v>
      </c>
      <c r="AI608" s="70">
        <f>'RESUMEN TOTAL'!AV739</f>
        <v>0</v>
      </c>
      <c r="AJ608" s="70" t="e">
        <f>'RESUMEN TOTAL'!#REF!</f>
        <v>#REF!</v>
      </c>
    </row>
    <row r="609" spans="1:36" x14ac:dyDescent="0.25">
      <c r="A609">
        <f>'RESUMEN TOTAL'!F740</f>
        <v>0</v>
      </c>
      <c r="B609">
        <f>'RESUMEN TOTAL'!G740</f>
        <v>0</v>
      </c>
      <c r="C609">
        <f>'RESUMEN TOTAL'!I740</f>
        <v>0</v>
      </c>
      <c r="D609" s="30">
        <f>'RESUMEN TOTAL'!J740</f>
        <v>0</v>
      </c>
      <c r="E609" s="30">
        <f>'RESUMEN TOTAL'!K740</f>
        <v>0</v>
      </c>
      <c r="F609" s="70">
        <f>'RESUMEN TOTAL'!S740</f>
        <v>0</v>
      </c>
      <c r="G609" s="70">
        <f>'RESUMEN TOTAL'!T740</f>
        <v>0</v>
      </c>
      <c r="H609" s="70">
        <f>'RESUMEN TOTAL'!U740</f>
        <v>0</v>
      </c>
      <c r="I609" s="70">
        <f>'RESUMEN TOTAL'!V740</f>
        <v>0</v>
      </c>
      <c r="J609" s="70">
        <f>'RESUMEN TOTAL'!W740</f>
        <v>0</v>
      </c>
      <c r="K609" s="70">
        <f>'RESUMEN TOTAL'!X740</f>
        <v>0</v>
      </c>
      <c r="L609" s="70">
        <f>'RESUMEN TOTAL'!Y740</f>
        <v>0</v>
      </c>
      <c r="M609" s="70">
        <f>'RESUMEN TOTAL'!Z740</f>
        <v>0</v>
      </c>
      <c r="N609" s="70">
        <f>'RESUMEN TOTAL'!AA740</f>
        <v>0</v>
      </c>
      <c r="O609" s="70">
        <f>'RESUMEN TOTAL'!AB740</f>
        <v>0</v>
      </c>
      <c r="P609" s="70">
        <f>'RESUMEN TOTAL'!AC740</f>
        <v>0</v>
      </c>
      <c r="Q609" s="70">
        <f>'RESUMEN TOTAL'!AD740</f>
        <v>0</v>
      </c>
      <c r="R609" s="70">
        <f>'RESUMEN TOTAL'!AE740</f>
        <v>0</v>
      </c>
      <c r="S609" s="70">
        <f>'RESUMEN TOTAL'!AF740</f>
        <v>0</v>
      </c>
      <c r="T609" s="70">
        <f>'RESUMEN TOTAL'!AG740</f>
        <v>0</v>
      </c>
      <c r="U609" s="70">
        <f>'RESUMEN TOTAL'!AH740</f>
        <v>0</v>
      </c>
      <c r="V609" s="70">
        <f>'RESUMEN TOTAL'!AI740</f>
        <v>0</v>
      </c>
      <c r="W609" s="70">
        <f>'RESUMEN TOTAL'!AJ740</f>
        <v>0</v>
      </c>
      <c r="X609" s="70">
        <f>'RESUMEN TOTAL'!AK740</f>
        <v>0</v>
      </c>
      <c r="Y609" s="70">
        <f>'RESUMEN TOTAL'!AL740</f>
        <v>0</v>
      </c>
      <c r="Z609" s="70">
        <f>'RESUMEN TOTAL'!AM740</f>
        <v>0</v>
      </c>
      <c r="AA609" s="70">
        <f>'RESUMEN TOTAL'!AN740</f>
        <v>0</v>
      </c>
      <c r="AB609" s="70">
        <f>'RESUMEN TOTAL'!AO740</f>
        <v>0</v>
      </c>
      <c r="AC609" s="70">
        <f>'RESUMEN TOTAL'!AP740</f>
        <v>0</v>
      </c>
      <c r="AD609" s="70">
        <f>'RESUMEN TOTAL'!AQ740</f>
        <v>0</v>
      </c>
      <c r="AE609" s="70">
        <f>'RESUMEN TOTAL'!AR740</f>
        <v>0</v>
      </c>
      <c r="AF609" s="70">
        <f>'RESUMEN TOTAL'!AS740</f>
        <v>0</v>
      </c>
      <c r="AG609" s="70">
        <f>'RESUMEN TOTAL'!AT740</f>
        <v>0</v>
      </c>
      <c r="AH609" s="70">
        <f>'RESUMEN TOTAL'!AU740</f>
        <v>0</v>
      </c>
      <c r="AI609" s="70">
        <f>'RESUMEN TOTAL'!AV740</f>
        <v>0</v>
      </c>
      <c r="AJ609" s="70" t="e">
        <f>'RESUMEN TOTAL'!#REF!</f>
        <v>#REF!</v>
      </c>
    </row>
    <row r="610" spans="1:36" x14ac:dyDescent="0.25">
      <c r="A610">
        <f>'RESUMEN TOTAL'!F741</f>
        <v>0</v>
      </c>
      <c r="B610">
        <f>'RESUMEN TOTAL'!G741</f>
        <v>0</v>
      </c>
      <c r="C610">
        <f>'RESUMEN TOTAL'!I741</f>
        <v>0</v>
      </c>
      <c r="D610" s="30">
        <f>'RESUMEN TOTAL'!J741</f>
        <v>0</v>
      </c>
      <c r="E610" s="30">
        <f>'RESUMEN TOTAL'!K741</f>
        <v>0</v>
      </c>
      <c r="F610" s="70">
        <f>'RESUMEN TOTAL'!S741</f>
        <v>0</v>
      </c>
      <c r="G610" s="70">
        <f>'RESUMEN TOTAL'!T741</f>
        <v>0</v>
      </c>
      <c r="H610" s="70">
        <f>'RESUMEN TOTAL'!U741</f>
        <v>0</v>
      </c>
      <c r="I610" s="70">
        <f>'RESUMEN TOTAL'!V741</f>
        <v>0</v>
      </c>
      <c r="J610" s="70">
        <f>'RESUMEN TOTAL'!W741</f>
        <v>0</v>
      </c>
      <c r="K610" s="70">
        <f>'RESUMEN TOTAL'!X741</f>
        <v>0</v>
      </c>
      <c r="L610" s="70">
        <f>'RESUMEN TOTAL'!Y741</f>
        <v>0</v>
      </c>
      <c r="M610" s="70">
        <f>'RESUMEN TOTAL'!Z741</f>
        <v>0</v>
      </c>
      <c r="N610" s="70">
        <f>'RESUMEN TOTAL'!AA741</f>
        <v>0</v>
      </c>
      <c r="O610" s="70">
        <f>'RESUMEN TOTAL'!AB741</f>
        <v>0</v>
      </c>
      <c r="P610" s="70">
        <f>'RESUMEN TOTAL'!AC741</f>
        <v>0</v>
      </c>
      <c r="Q610" s="70">
        <f>'RESUMEN TOTAL'!AD741</f>
        <v>0</v>
      </c>
      <c r="R610" s="70">
        <f>'RESUMEN TOTAL'!AE741</f>
        <v>0</v>
      </c>
      <c r="S610" s="70">
        <f>'RESUMEN TOTAL'!AF741</f>
        <v>0</v>
      </c>
      <c r="T610" s="70">
        <f>'RESUMEN TOTAL'!AG741</f>
        <v>0</v>
      </c>
      <c r="U610" s="70">
        <f>'RESUMEN TOTAL'!AH741</f>
        <v>0</v>
      </c>
      <c r="V610" s="70">
        <f>'RESUMEN TOTAL'!AI741</f>
        <v>0</v>
      </c>
      <c r="W610" s="70">
        <f>'RESUMEN TOTAL'!AJ741</f>
        <v>0</v>
      </c>
      <c r="X610" s="70">
        <f>'RESUMEN TOTAL'!AK741</f>
        <v>0</v>
      </c>
      <c r="Y610" s="70">
        <f>'RESUMEN TOTAL'!AL741</f>
        <v>0</v>
      </c>
      <c r="Z610" s="70">
        <f>'RESUMEN TOTAL'!AM741</f>
        <v>0</v>
      </c>
      <c r="AA610" s="70">
        <f>'RESUMEN TOTAL'!AN741</f>
        <v>0</v>
      </c>
      <c r="AB610" s="70">
        <f>'RESUMEN TOTAL'!AO741</f>
        <v>0</v>
      </c>
      <c r="AC610" s="70">
        <f>'RESUMEN TOTAL'!AP741</f>
        <v>0</v>
      </c>
      <c r="AD610" s="70">
        <f>'RESUMEN TOTAL'!AQ741</f>
        <v>0</v>
      </c>
      <c r="AE610" s="70">
        <f>'RESUMEN TOTAL'!AR741</f>
        <v>0</v>
      </c>
      <c r="AF610" s="70">
        <f>'RESUMEN TOTAL'!AS741</f>
        <v>0</v>
      </c>
      <c r="AG610" s="70">
        <f>'RESUMEN TOTAL'!AT741</f>
        <v>0</v>
      </c>
      <c r="AH610" s="70">
        <f>'RESUMEN TOTAL'!AU741</f>
        <v>0</v>
      </c>
      <c r="AI610" s="70">
        <f>'RESUMEN TOTAL'!AV741</f>
        <v>0</v>
      </c>
      <c r="AJ610" s="70" t="e">
        <f>'RESUMEN TOTAL'!#REF!</f>
        <v>#REF!</v>
      </c>
    </row>
    <row r="611" spans="1:36" x14ac:dyDescent="0.25">
      <c r="A611">
        <f>'RESUMEN TOTAL'!F742</f>
        <v>0</v>
      </c>
      <c r="B611">
        <f>'RESUMEN TOTAL'!G742</f>
        <v>0</v>
      </c>
      <c r="C611">
        <f>'RESUMEN TOTAL'!I742</f>
        <v>0</v>
      </c>
      <c r="D611" s="30">
        <f>'RESUMEN TOTAL'!J742</f>
        <v>0</v>
      </c>
      <c r="E611" s="30">
        <f>'RESUMEN TOTAL'!K742</f>
        <v>0</v>
      </c>
      <c r="F611" s="70">
        <f>'RESUMEN TOTAL'!S742</f>
        <v>0</v>
      </c>
      <c r="G611" s="70">
        <f>'RESUMEN TOTAL'!T742</f>
        <v>0</v>
      </c>
      <c r="H611" s="70">
        <f>'RESUMEN TOTAL'!U742</f>
        <v>0</v>
      </c>
      <c r="I611" s="70">
        <f>'RESUMEN TOTAL'!V742</f>
        <v>0</v>
      </c>
      <c r="J611" s="70">
        <f>'RESUMEN TOTAL'!W742</f>
        <v>0</v>
      </c>
      <c r="K611" s="70">
        <f>'RESUMEN TOTAL'!X742</f>
        <v>0</v>
      </c>
      <c r="L611" s="70">
        <f>'RESUMEN TOTAL'!Y742</f>
        <v>0</v>
      </c>
      <c r="M611" s="70">
        <f>'RESUMEN TOTAL'!Z742</f>
        <v>0</v>
      </c>
      <c r="N611" s="70">
        <f>'RESUMEN TOTAL'!AA742</f>
        <v>0</v>
      </c>
      <c r="O611" s="70">
        <f>'RESUMEN TOTAL'!AB742</f>
        <v>0</v>
      </c>
      <c r="P611" s="70">
        <f>'RESUMEN TOTAL'!AC742</f>
        <v>0</v>
      </c>
      <c r="Q611" s="70">
        <f>'RESUMEN TOTAL'!AD742</f>
        <v>0</v>
      </c>
      <c r="R611" s="70">
        <f>'RESUMEN TOTAL'!AE742</f>
        <v>0</v>
      </c>
      <c r="S611" s="70">
        <f>'RESUMEN TOTAL'!AF742</f>
        <v>0</v>
      </c>
      <c r="T611" s="70">
        <f>'RESUMEN TOTAL'!AG742</f>
        <v>0</v>
      </c>
      <c r="U611" s="70">
        <f>'RESUMEN TOTAL'!AH742</f>
        <v>0</v>
      </c>
      <c r="V611" s="70">
        <f>'RESUMEN TOTAL'!AI742</f>
        <v>0</v>
      </c>
      <c r="W611" s="70">
        <f>'RESUMEN TOTAL'!AJ742</f>
        <v>0</v>
      </c>
      <c r="X611" s="70">
        <f>'RESUMEN TOTAL'!AK742</f>
        <v>0</v>
      </c>
      <c r="Y611" s="70">
        <f>'RESUMEN TOTAL'!AL742</f>
        <v>0</v>
      </c>
      <c r="Z611" s="70">
        <f>'RESUMEN TOTAL'!AM742</f>
        <v>0</v>
      </c>
      <c r="AA611" s="70">
        <f>'RESUMEN TOTAL'!AN742</f>
        <v>0</v>
      </c>
      <c r="AB611" s="70">
        <f>'RESUMEN TOTAL'!AO742</f>
        <v>0</v>
      </c>
      <c r="AC611" s="70">
        <f>'RESUMEN TOTAL'!AP742</f>
        <v>0</v>
      </c>
      <c r="AD611" s="70">
        <f>'RESUMEN TOTAL'!AQ742</f>
        <v>0</v>
      </c>
      <c r="AE611" s="70">
        <f>'RESUMEN TOTAL'!AR742</f>
        <v>0</v>
      </c>
      <c r="AF611" s="70">
        <f>'RESUMEN TOTAL'!AS742</f>
        <v>0</v>
      </c>
      <c r="AG611" s="70">
        <f>'RESUMEN TOTAL'!AT742</f>
        <v>0</v>
      </c>
      <c r="AH611" s="70">
        <f>'RESUMEN TOTAL'!AU742</f>
        <v>0</v>
      </c>
      <c r="AI611" s="70">
        <f>'RESUMEN TOTAL'!AV742</f>
        <v>0</v>
      </c>
      <c r="AJ611" s="70" t="e">
        <f>'RESUMEN TOTAL'!#REF!</f>
        <v>#REF!</v>
      </c>
    </row>
    <row r="612" spans="1:36" x14ac:dyDescent="0.25">
      <c r="A612">
        <f>'RESUMEN TOTAL'!F743</f>
        <v>0</v>
      </c>
      <c r="B612">
        <f>'RESUMEN TOTAL'!G743</f>
        <v>0</v>
      </c>
      <c r="C612">
        <f>'RESUMEN TOTAL'!I743</f>
        <v>0</v>
      </c>
      <c r="D612" s="30">
        <f>'RESUMEN TOTAL'!J743</f>
        <v>0</v>
      </c>
      <c r="E612" s="30">
        <f>'RESUMEN TOTAL'!K743</f>
        <v>0</v>
      </c>
      <c r="F612" s="70">
        <f>'RESUMEN TOTAL'!S743</f>
        <v>0</v>
      </c>
      <c r="G612" s="70">
        <f>'RESUMEN TOTAL'!T743</f>
        <v>0</v>
      </c>
      <c r="H612" s="70">
        <f>'RESUMEN TOTAL'!U743</f>
        <v>0</v>
      </c>
      <c r="I612" s="70">
        <f>'RESUMEN TOTAL'!V743</f>
        <v>0</v>
      </c>
      <c r="J612" s="70">
        <f>'RESUMEN TOTAL'!W743</f>
        <v>0</v>
      </c>
      <c r="K612" s="70">
        <f>'RESUMEN TOTAL'!X743</f>
        <v>0</v>
      </c>
      <c r="L612" s="70">
        <f>'RESUMEN TOTAL'!Y743</f>
        <v>0</v>
      </c>
      <c r="M612" s="70">
        <f>'RESUMEN TOTAL'!Z743</f>
        <v>0</v>
      </c>
      <c r="N612" s="70">
        <f>'RESUMEN TOTAL'!AA743</f>
        <v>0</v>
      </c>
      <c r="O612" s="70">
        <f>'RESUMEN TOTAL'!AB743</f>
        <v>0</v>
      </c>
      <c r="P612" s="70">
        <f>'RESUMEN TOTAL'!AC743</f>
        <v>0</v>
      </c>
      <c r="Q612" s="70">
        <f>'RESUMEN TOTAL'!AD743</f>
        <v>0</v>
      </c>
      <c r="R612" s="70">
        <f>'RESUMEN TOTAL'!AE743</f>
        <v>0</v>
      </c>
      <c r="S612" s="70">
        <f>'RESUMEN TOTAL'!AF743</f>
        <v>0</v>
      </c>
      <c r="T612" s="70">
        <f>'RESUMEN TOTAL'!AG743</f>
        <v>0</v>
      </c>
      <c r="U612" s="70">
        <f>'RESUMEN TOTAL'!AH743</f>
        <v>0</v>
      </c>
      <c r="V612" s="70">
        <f>'RESUMEN TOTAL'!AI743</f>
        <v>0</v>
      </c>
      <c r="W612" s="70">
        <f>'RESUMEN TOTAL'!AJ743</f>
        <v>0</v>
      </c>
      <c r="X612" s="70">
        <f>'RESUMEN TOTAL'!AK743</f>
        <v>0</v>
      </c>
      <c r="Y612" s="70">
        <f>'RESUMEN TOTAL'!AL743</f>
        <v>0</v>
      </c>
      <c r="Z612" s="70">
        <f>'RESUMEN TOTAL'!AM743</f>
        <v>0</v>
      </c>
      <c r="AA612" s="70">
        <f>'RESUMEN TOTAL'!AN743</f>
        <v>0</v>
      </c>
      <c r="AB612" s="70">
        <f>'RESUMEN TOTAL'!AO743</f>
        <v>0</v>
      </c>
      <c r="AC612" s="70">
        <f>'RESUMEN TOTAL'!AP743</f>
        <v>0</v>
      </c>
      <c r="AD612" s="70">
        <f>'RESUMEN TOTAL'!AQ743</f>
        <v>0</v>
      </c>
      <c r="AE612" s="70">
        <f>'RESUMEN TOTAL'!AR743</f>
        <v>0</v>
      </c>
      <c r="AF612" s="70">
        <f>'RESUMEN TOTAL'!AS743</f>
        <v>0</v>
      </c>
      <c r="AG612" s="70">
        <f>'RESUMEN TOTAL'!AT743</f>
        <v>0</v>
      </c>
      <c r="AH612" s="70">
        <f>'RESUMEN TOTAL'!AU743</f>
        <v>0</v>
      </c>
      <c r="AI612" s="70">
        <f>'RESUMEN TOTAL'!AV743</f>
        <v>0</v>
      </c>
      <c r="AJ612" s="70" t="e">
        <f>'RESUMEN TOTAL'!#REF!</f>
        <v>#REF!</v>
      </c>
    </row>
    <row r="613" spans="1:36" x14ac:dyDescent="0.25">
      <c r="A613">
        <f>'RESUMEN TOTAL'!F744</f>
        <v>0</v>
      </c>
      <c r="B613">
        <f>'RESUMEN TOTAL'!G744</f>
        <v>0</v>
      </c>
      <c r="C613">
        <f>'RESUMEN TOTAL'!I744</f>
        <v>0</v>
      </c>
      <c r="D613" s="30">
        <f>'RESUMEN TOTAL'!J744</f>
        <v>0</v>
      </c>
      <c r="E613" s="30">
        <f>'RESUMEN TOTAL'!K744</f>
        <v>0</v>
      </c>
      <c r="F613" s="70">
        <f>'RESUMEN TOTAL'!S744</f>
        <v>0</v>
      </c>
      <c r="G613" s="70">
        <f>'RESUMEN TOTAL'!T744</f>
        <v>0</v>
      </c>
      <c r="H613" s="70">
        <f>'RESUMEN TOTAL'!U744</f>
        <v>0</v>
      </c>
      <c r="I613" s="70">
        <f>'RESUMEN TOTAL'!V744</f>
        <v>0</v>
      </c>
      <c r="J613" s="70">
        <f>'RESUMEN TOTAL'!W744</f>
        <v>0</v>
      </c>
      <c r="K613" s="70">
        <f>'RESUMEN TOTAL'!X744</f>
        <v>0</v>
      </c>
      <c r="L613" s="70">
        <f>'RESUMEN TOTAL'!Y744</f>
        <v>0</v>
      </c>
      <c r="M613" s="70">
        <f>'RESUMEN TOTAL'!Z744</f>
        <v>0</v>
      </c>
      <c r="N613" s="70">
        <f>'RESUMEN TOTAL'!AA744</f>
        <v>0</v>
      </c>
      <c r="O613" s="70">
        <f>'RESUMEN TOTAL'!AB744</f>
        <v>0</v>
      </c>
      <c r="P613" s="70">
        <f>'RESUMEN TOTAL'!AC744</f>
        <v>0</v>
      </c>
      <c r="Q613" s="70">
        <f>'RESUMEN TOTAL'!AD744</f>
        <v>0</v>
      </c>
      <c r="R613" s="70">
        <f>'RESUMEN TOTAL'!AE744</f>
        <v>0</v>
      </c>
      <c r="S613" s="70">
        <f>'RESUMEN TOTAL'!AF744</f>
        <v>0</v>
      </c>
      <c r="T613" s="70">
        <f>'RESUMEN TOTAL'!AG744</f>
        <v>0</v>
      </c>
      <c r="U613" s="70">
        <f>'RESUMEN TOTAL'!AH744</f>
        <v>0</v>
      </c>
      <c r="V613" s="70">
        <f>'RESUMEN TOTAL'!AI744</f>
        <v>0</v>
      </c>
      <c r="W613" s="70">
        <f>'RESUMEN TOTAL'!AJ744</f>
        <v>0</v>
      </c>
      <c r="X613" s="70">
        <f>'RESUMEN TOTAL'!AK744</f>
        <v>0</v>
      </c>
      <c r="Y613" s="70">
        <f>'RESUMEN TOTAL'!AL744</f>
        <v>0</v>
      </c>
      <c r="Z613" s="70">
        <f>'RESUMEN TOTAL'!AM744</f>
        <v>0</v>
      </c>
      <c r="AA613" s="70">
        <f>'RESUMEN TOTAL'!AN744</f>
        <v>0</v>
      </c>
      <c r="AB613" s="70">
        <f>'RESUMEN TOTAL'!AO744</f>
        <v>0</v>
      </c>
      <c r="AC613" s="70">
        <f>'RESUMEN TOTAL'!AP744</f>
        <v>0</v>
      </c>
      <c r="AD613" s="70">
        <f>'RESUMEN TOTAL'!AQ744</f>
        <v>0</v>
      </c>
      <c r="AE613" s="70">
        <f>'RESUMEN TOTAL'!AR744</f>
        <v>0</v>
      </c>
      <c r="AF613" s="70">
        <f>'RESUMEN TOTAL'!AS744</f>
        <v>0</v>
      </c>
      <c r="AG613" s="70">
        <f>'RESUMEN TOTAL'!AT744</f>
        <v>0</v>
      </c>
      <c r="AH613" s="70">
        <f>'RESUMEN TOTAL'!AU744</f>
        <v>0</v>
      </c>
      <c r="AI613" s="70">
        <f>'RESUMEN TOTAL'!AV744</f>
        <v>0</v>
      </c>
      <c r="AJ613" s="70" t="e">
        <f>'RESUMEN TOTAL'!#REF!</f>
        <v>#REF!</v>
      </c>
    </row>
    <row r="614" spans="1:36" x14ac:dyDescent="0.25">
      <c r="A614">
        <f>'RESUMEN TOTAL'!F745</f>
        <v>0</v>
      </c>
      <c r="B614">
        <f>'RESUMEN TOTAL'!G745</f>
        <v>0</v>
      </c>
      <c r="C614">
        <f>'RESUMEN TOTAL'!I745</f>
        <v>0</v>
      </c>
      <c r="D614" s="30">
        <f>'RESUMEN TOTAL'!J745</f>
        <v>0</v>
      </c>
      <c r="E614" s="30">
        <f>'RESUMEN TOTAL'!K745</f>
        <v>0</v>
      </c>
      <c r="F614" s="70">
        <f>'RESUMEN TOTAL'!S745</f>
        <v>0</v>
      </c>
      <c r="G614" s="70">
        <f>'RESUMEN TOTAL'!T745</f>
        <v>0</v>
      </c>
      <c r="H614" s="70">
        <f>'RESUMEN TOTAL'!U745</f>
        <v>0</v>
      </c>
      <c r="I614" s="70">
        <f>'RESUMEN TOTAL'!V745</f>
        <v>0</v>
      </c>
      <c r="J614" s="70">
        <f>'RESUMEN TOTAL'!W745</f>
        <v>0</v>
      </c>
      <c r="K614" s="70">
        <f>'RESUMEN TOTAL'!X745</f>
        <v>0</v>
      </c>
      <c r="L614" s="70">
        <f>'RESUMEN TOTAL'!Y745</f>
        <v>0</v>
      </c>
      <c r="M614" s="70">
        <f>'RESUMEN TOTAL'!Z745</f>
        <v>0</v>
      </c>
      <c r="N614" s="70">
        <f>'RESUMEN TOTAL'!AA745</f>
        <v>0</v>
      </c>
      <c r="O614" s="70">
        <f>'RESUMEN TOTAL'!AB745</f>
        <v>0</v>
      </c>
      <c r="P614" s="70">
        <f>'RESUMEN TOTAL'!AC745</f>
        <v>0</v>
      </c>
      <c r="Q614" s="70">
        <f>'RESUMEN TOTAL'!AD745</f>
        <v>0</v>
      </c>
      <c r="R614" s="70">
        <f>'RESUMEN TOTAL'!AE745</f>
        <v>0</v>
      </c>
      <c r="S614" s="70">
        <f>'RESUMEN TOTAL'!AF745</f>
        <v>0</v>
      </c>
      <c r="T614" s="70">
        <f>'RESUMEN TOTAL'!AG745</f>
        <v>0</v>
      </c>
      <c r="U614" s="70">
        <f>'RESUMEN TOTAL'!AH745</f>
        <v>0</v>
      </c>
      <c r="V614" s="70">
        <f>'RESUMEN TOTAL'!AI745</f>
        <v>0</v>
      </c>
      <c r="W614" s="70">
        <f>'RESUMEN TOTAL'!AJ745</f>
        <v>0</v>
      </c>
      <c r="X614" s="70">
        <f>'RESUMEN TOTAL'!AK745</f>
        <v>0</v>
      </c>
      <c r="Y614" s="70">
        <f>'RESUMEN TOTAL'!AL745</f>
        <v>0</v>
      </c>
      <c r="Z614" s="70">
        <f>'RESUMEN TOTAL'!AM745</f>
        <v>0</v>
      </c>
      <c r="AA614" s="70">
        <f>'RESUMEN TOTAL'!AN745</f>
        <v>0</v>
      </c>
      <c r="AB614" s="70">
        <f>'RESUMEN TOTAL'!AO745</f>
        <v>0</v>
      </c>
      <c r="AC614" s="70">
        <f>'RESUMEN TOTAL'!AP745</f>
        <v>0</v>
      </c>
      <c r="AD614" s="70">
        <f>'RESUMEN TOTAL'!AQ745</f>
        <v>0</v>
      </c>
      <c r="AE614" s="70">
        <f>'RESUMEN TOTAL'!AR745</f>
        <v>0</v>
      </c>
      <c r="AF614" s="70">
        <f>'RESUMEN TOTAL'!AS745</f>
        <v>0</v>
      </c>
      <c r="AG614" s="70">
        <f>'RESUMEN TOTAL'!AT745</f>
        <v>0</v>
      </c>
      <c r="AH614" s="70">
        <f>'RESUMEN TOTAL'!AU745</f>
        <v>0</v>
      </c>
      <c r="AI614" s="70">
        <f>'RESUMEN TOTAL'!AV745</f>
        <v>0</v>
      </c>
      <c r="AJ614" s="70" t="e">
        <f>'RESUMEN TOTAL'!#REF!</f>
        <v>#REF!</v>
      </c>
    </row>
    <row r="615" spans="1:36" x14ac:dyDescent="0.25">
      <c r="A615">
        <f>'RESUMEN TOTAL'!F746</f>
        <v>0</v>
      </c>
      <c r="B615">
        <f>'RESUMEN TOTAL'!G746</f>
        <v>0</v>
      </c>
      <c r="C615">
        <f>'RESUMEN TOTAL'!I746</f>
        <v>0</v>
      </c>
      <c r="D615" s="30">
        <f>'RESUMEN TOTAL'!J746</f>
        <v>0</v>
      </c>
      <c r="E615" s="30">
        <f>'RESUMEN TOTAL'!K746</f>
        <v>0</v>
      </c>
      <c r="F615" s="70">
        <f>'RESUMEN TOTAL'!S746</f>
        <v>0</v>
      </c>
      <c r="G615" s="70">
        <f>'RESUMEN TOTAL'!T746</f>
        <v>0</v>
      </c>
      <c r="H615" s="70">
        <f>'RESUMEN TOTAL'!U746</f>
        <v>0</v>
      </c>
      <c r="I615" s="70">
        <f>'RESUMEN TOTAL'!V746</f>
        <v>0</v>
      </c>
      <c r="J615" s="70">
        <f>'RESUMEN TOTAL'!W746</f>
        <v>0</v>
      </c>
      <c r="K615" s="70">
        <f>'RESUMEN TOTAL'!X746</f>
        <v>0</v>
      </c>
      <c r="L615" s="70">
        <f>'RESUMEN TOTAL'!Y746</f>
        <v>0</v>
      </c>
      <c r="M615" s="70">
        <f>'RESUMEN TOTAL'!Z746</f>
        <v>0</v>
      </c>
      <c r="N615" s="70">
        <f>'RESUMEN TOTAL'!AA746</f>
        <v>0</v>
      </c>
      <c r="O615" s="70">
        <f>'RESUMEN TOTAL'!AB746</f>
        <v>0</v>
      </c>
      <c r="P615" s="70">
        <f>'RESUMEN TOTAL'!AC746</f>
        <v>0</v>
      </c>
      <c r="Q615" s="70">
        <f>'RESUMEN TOTAL'!AD746</f>
        <v>0</v>
      </c>
      <c r="R615" s="70">
        <f>'RESUMEN TOTAL'!AE746</f>
        <v>0</v>
      </c>
      <c r="S615" s="70">
        <f>'RESUMEN TOTAL'!AF746</f>
        <v>0</v>
      </c>
      <c r="T615" s="70">
        <f>'RESUMEN TOTAL'!AG746</f>
        <v>0</v>
      </c>
      <c r="U615" s="70">
        <f>'RESUMEN TOTAL'!AH746</f>
        <v>0</v>
      </c>
      <c r="V615" s="70">
        <f>'RESUMEN TOTAL'!AI746</f>
        <v>0</v>
      </c>
      <c r="W615" s="70">
        <f>'RESUMEN TOTAL'!AJ746</f>
        <v>0</v>
      </c>
      <c r="X615" s="70">
        <f>'RESUMEN TOTAL'!AK746</f>
        <v>0</v>
      </c>
      <c r="Y615" s="70">
        <f>'RESUMEN TOTAL'!AL746</f>
        <v>0</v>
      </c>
      <c r="Z615" s="70">
        <f>'RESUMEN TOTAL'!AM746</f>
        <v>0</v>
      </c>
      <c r="AA615" s="70">
        <f>'RESUMEN TOTAL'!AN746</f>
        <v>0</v>
      </c>
      <c r="AB615" s="70">
        <f>'RESUMEN TOTAL'!AO746</f>
        <v>0</v>
      </c>
      <c r="AC615" s="70">
        <f>'RESUMEN TOTAL'!AP746</f>
        <v>0</v>
      </c>
      <c r="AD615" s="70">
        <f>'RESUMEN TOTAL'!AQ746</f>
        <v>0</v>
      </c>
      <c r="AE615" s="70">
        <f>'RESUMEN TOTAL'!AR746</f>
        <v>0</v>
      </c>
      <c r="AF615" s="70">
        <f>'RESUMEN TOTAL'!AS746</f>
        <v>0</v>
      </c>
      <c r="AG615" s="70">
        <f>'RESUMEN TOTAL'!AT746</f>
        <v>0</v>
      </c>
      <c r="AH615" s="70">
        <f>'RESUMEN TOTAL'!AU746</f>
        <v>0</v>
      </c>
      <c r="AI615" s="70">
        <f>'RESUMEN TOTAL'!AV746</f>
        <v>0</v>
      </c>
      <c r="AJ615" s="70" t="e">
        <f>'RESUMEN TOTAL'!#REF!</f>
        <v>#REF!</v>
      </c>
    </row>
    <row r="616" spans="1:36" x14ac:dyDescent="0.25">
      <c r="A616">
        <f>'RESUMEN TOTAL'!F747</f>
        <v>0</v>
      </c>
      <c r="B616">
        <f>'RESUMEN TOTAL'!G747</f>
        <v>0</v>
      </c>
      <c r="C616">
        <f>'RESUMEN TOTAL'!I747</f>
        <v>0</v>
      </c>
      <c r="D616" s="30">
        <f>'RESUMEN TOTAL'!J747</f>
        <v>0</v>
      </c>
      <c r="E616" s="30">
        <f>'RESUMEN TOTAL'!K747</f>
        <v>0</v>
      </c>
      <c r="F616" s="70">
        <f>'RESUMEN TOTAL'!S747</f>
        <v>0</v>
      </c>
      <c r="G616" s="70">
        <f>'RESUMEN TOTAL'!T747</f>
        <v>0</v>
      </c>
      <c r="H616" s="70">
        <f>'RESUMEN TOTAL'!U747</f>
        <v>0</v>
      </c>
      <c r="I616" s="70">
        <f>'RESUMEN TOTAL'!V747</f>
        <v>0</v>
      </c>
      <c r="J616" s="70">
        <f>'RESUMEN TOTAL'!W747</f>
        <v>0</v>
      </c>
      <c r="K616" s="70">
        <f>'RESUMEN TOTAL'!X747</f>
        <v>0</v>
      </c>
      <c r="L616" s="70">
        <f>'RESUMEN TOTAL'!Y747</f>
        <v>0</v>
      </c>
      <c r="M616" s="70">
        <f>'RESUMEN TOTAL'!Z747</f>
        <v>0</v>
      </c>
      <c r="N616" s="70">
        <f>'RESUMEN TOTAL'!AA747</f>
        <v>0</v>
      </c>
      <c r="O616" s="70">
        <f>'RESUMEN TOTAL'!AB747</f>
        <v>0</v>
      </c>
      <c r="P616" s="70">
        <f>'RESUMEN TOTAL'!AC747</f>
        <v>0</v>
      </c>
      <c r="Q616" s="70">
        <f>'RESUMEN TOTAL'!AD747</f>
        <v>0</v>
      </c>
      <c r="R616" s="70">
        <f>'RESUMEN TOTAL'!AE747</f>
        <v>0</v>
      </c>
      <c r="S616" s="70">
        <f>'RESUMEN TOTAL'!AF747</f>
        <v>0</v>
      </c>
      <c r="T616" s="70">
        <f>'RESUMEN TOTAL'!AG747</f>
        <v>0</v>
      </c>
      <c r="U616" s="70">
        <f>'RESUMEN TOTAL'!AH747</f>
        <v>0</v>
      </c>
      <c r="V616" s="70">
        <f>'RESUMEN TOTAL'!AI747</f>
        <v>0</v>
      </c>
      <c r="W616" s="70">
        <f>'RESUMEN TOTAL'!AJ747</f>
        <v>0</v>
      </c>
      <c r="X616" s="70">
        <f>'RESUMEN TOTAL'!AK747</f>
        <v>0</v>
      </c>
      <c r="Y616" s="70">
        <f>'RESUMEN TOTAL'!AL747</f>
        <v>0</v>
      </c>
      <c r="Z616" s="70">
        <f>'RESUMEN TOTAL'!AM747</f>
        <v>0</v>
      </c>
      <c r="AA616" s="70">
        <f>'RESUMEN TOTAL'!AN747</f>
        <v>0</v>
      </c>
      <c r="AB616" s="70">
        <f>'RESUMEN TOTAL'!AO747</f>
        <v>0</v>
      </c>
      <c r="AC616" s="70">
        <f>'RESUMEN TOTAL'!AP747</f>
        <v>0</v>
      </c>
      <c r="AD616" s="70">
        <f>'RESUMEN TOTAL'!AQ747</f>
        <v>0</v>
      </c>
      <c r="AE616" s="70">
        <f>'RESUMEN TOTAL'!AR747</f>
        <v>0</v>
      </c>
      <c r="AF616" s="70">
        <f>'RESUMEN TOTAL'!AS747</f>
        <v>0</v>
      </c>
      <c r="AG616" s="70">
        <f>'RESUMEN TOTAL'!AT747</f>
        <v>0</v>
      </c>
      <c r="AH616" s="70">
        <f>'RESUMEN TOTAL'!AU747</f>
        <v>0</v>
      </c>
      <c r="AI616" s="70">
        <f>'RESUMEN TOTAL'!AV747</f>
        <v>0</v>
      </c>
      <c r="AJ616" s="70" t="e">
        <f>'RESUMEN TOTAL'!#REF!</f>
        <v>#REF!</v>
      </c>
    </row>
    <row r="617" spans="1:36" x14ac:dyDescent="0.25">
      <c r="A617">
        <f>'RESUMEN TOTAL'!F748</f>
        <v>0</v>
      </c>
      <c r="B617">
        <f>'RESUMEN TOTAL'!G748</f>
        <v>0</v>
      </c>
      <c r="C617">
        <f>'RESUMEN TOTAL'!I748</f>
        <v>0</v>
      </c>
      <c r="D617" s="30">
        <f>'RESUMEN TOTAL'!J748</f>
        <v>0</v>
      </c>
      <c r="E617" s="30">
        <f>'RESUMEN TOTAL'!K748</f>
        <v>0</v>
      </c>
      <c r="F617" s="70">
        <f>'RESUMEN TOTAL'!S748</f>
        <v>0</v>
      </c>
      <c r="G617" s="70">
        <f>'RESUMEN TOTAL'!T748</f>
        <v>0</v>
      </c>
      <c r="H617" s="70">
        <f>'RESUMEN TOTAL'!U748</f>
        <v>0</v>
      </c>
      <c r="I617" s="70">
        <f>'RESUMEN TOTAL'!V748</f>
        <v>0</v>
      </c>
      <c r="J617" s="70">
        <f>'RESUMEN TOTAL'!W748</f>
        <v>0</v>
      </c>
      <c r="K617" s="70">
        <f>'RESUMEN TOTAL'!X748</f>
        <v>0</v>
      </c>
      <c r="L617" s="70">
        <f>'RESUMEN TOTAL'!Y748</f>
        <v>0</v>
      </c>
      <c r="M617" s="70">
        <f>'RESUMEN TOTAL'!Z748</f>
        <v>0</v>
      </c>
      <c r="N617" s="70">
        <f>'RESUMEN TOTAL'!AA748</f>
        <v>0</v>
      </c>
      <c r="O617" s="70">
        <f>'RESUMEN TOTAL'!AB748</f>
        <v>0</v>
      </c>
      <c r="P617" s="70">
        <f>'RESUMEN TOTAL'!AC748</f>
        <v>0</v>
      </c>
      <c r="Q617" s="70">
        <f>'RESUMEN TOTAL'!AD748</f>
        <v>0</v>
      </c>
      <c r="R617" s="70">
        <f>'RESUMEN TOTAL'!AE748</f>
        <v>0</v>
      </c>
      <c r="S617" s="70">
        <f>'RESUMEN TOTAL'!AF748</f>
        <v>0</v>
      </c>
      <c r="T617" s="70">
        <f>'RESUMEN TOTAL'!AG748</f>
        <v>0</v>
      </c>
      <c r="U617" s="70">
        <f>'RESUMEN TOTAL'!AH748</f>
        <v>0</v>
      </c>
      <c r="V617" s="70">
        <f>'RESUMEN TOTAL'!AI748</f>
        <v>0</v>
      </c>
      <c r="W617" s="70">
        <f>'RESUMEN TOTAL'!AJ748</f>
        <v>0</v>
      </c>
      <c r="X617" s="70">
        <f>'RESUMEN TOTAL'!AK748</f>
        <v>0</v>
      </c>
      <c r="Y617" s="70">
        <f>'RESUMEN TOTAL'!AL748</f>
        <v>0</v>
      </c>
      <c r="Z617" s="70">
        <f>'RESUMEN TOTAL'!AM748</f>
        <v>0</v>
      </c>
      <c r="AA617" s="70">
        <f>'RESUMEN TOTAL'!AN748</f>
        <v>0</v>
      </c>
      <c r="AB617" s="70">
        <f>'RESUMEN TOTAL'!AO748</f>
        <v>0</v>
      </c>
      <c r="AC617" s="70">
        <f>'RESUMEN TOTAL'!AP748</f>
        <v>0</v>
      </c>
      <c r="AD617" s="70">
        <f>'RESUMEN TOTAL'!AQ748</f>
        <v>0</v>
      </c>
      <c r="AE617" s="70">
        <f>'RESUMEN TOTAL'!AR748</f>
        <v>0</v>
      </c>
      <c r="AF617" s="70">
        <f>'RESUMEN TOTAL'!AS748</f>
        <v>0</v>
      </c>
      <c r="AG617" s="70">
        <f>'RESUMEN TOTAL'!AT748</f>
        <v>0</v>
      </c>
      <c r="AH617" s="70">
        <f>'RESUMEN TOTAL'!AU748</f>
        <v>0</v>
      </c>
      <c r="AI617" s="70">
        <f>'RESUMEN TOTAL'!AV748</f>
        <v>0</v>
      </c>
      <c r="AJ617" s="70" t="e">
        <f>'RESUMEN TOTAL'!#REF!</f>
        <v>#REF!</v>
      </c>
    </row>
    <row r="618" spans="1:36" x14ac:dyDescent="0.25">
      <c r="A618">
        <f>'RESUMEN TOTAL'!F749</f>
        <v>0</v>
      </c>
      <c r="B618">
        <f>'RESUMEN TOTAL'!G749</f>
        <v>0</v>
      </c>
      <c r="C618">
        <f>'RESUMEN TOTAL'!I749</f>
        <v>0</v>
      </c>
      <c r="D618" s="30">
        <f>'RESUMEN TOTAL'!J749</f>
        <v>0</v>
      </c>
      <c r="E618" s="30">
        <f>'RESUMEN TOTAL'!K749</f>
        <v>0</v>
      </c>
      <c r="F618" s="70">
        <f>'RESUMEN TOTAL'!S749</f>
        <v>0</v>
      </c>
      <c r="G618" s="70">
        <f>'RESUMEN TOTAL'!T749</f>
        <v>0</v>
      </c>
      <c r="H618" s="70">
        <f>'RESUMEN TOTAL'!U749</f>
        <v>0</v>
      </c>
      <c r="I618" s="70">
        <f>'RESUMEN TOTAL'!V749</f>
        <v>0</v>
      </c>
      <c r="J618" s="70">
        <f>'RESUMEN TOTAL'!W749</f>
        <v>0</v>
      </c>
      <c r="K618" s="70">
        <f>'RESUMEN TOTAL'!X749</f>
        <v>0</v>
      </c>
      <c r="L618" s="70">
        <f>'RESUMEN TOTAL'!Y749</f>
        <v>0</v>
      </c>
      <c r="M618" s="70">
        <f>'RESUMEN TOTAL'!Z749</f>
        <v>0</v>
      </c>
      <c r="N618" s="70">
        <f>'RESUMEN TOTAL'!AA749</f>
        <v>0</v>
      </c>
      <c r="O618" s="70">
        <f>'RESUMEN TOTAL'!AB749</f>
        <v>0</v>
      </c>
      <c r="P618" s="70">
        <f>'RESUMEN TOTAL'!AC749</f>
        <v>0</v>
      </c>
      <c r="Q618" s="70">
        <f>'RESUMEN TOTAL'!AD749</f>
        <v>0</v>
      </c>
      <c r="R618" s="70">
        <f>'RESUMEN TOTAL'!AE749</f>
        <v>0</v>
      </c>
      <c r="S618" s="70">
        <f>'RESUMEN TOTAL'!AF749</f>
        <v>0</v>
      </c>
      <c r="T618" s="70">
        <f>'RESUMEN TOTAL'!AG749</f>
        <v>0</v>
      </c>
      <c r="U618" s="70">
        <f>'RESUMEN TOTAL'!AH749</f>
        <v>0</v>
      </c>
      <c r="V618" s="70">
        <f>'RESUMEN TOTAL'!AI749</f>
        <v>0</v>
      </c>
      <c r="W618" s="70">
        <f>'RESUMEN TOTAL'!AJ749</f>
        <v>0</v>
      </c>
      <c r="X618" s="70">
        <f>'RESUMEN TOTAL'!AK749</f>
        <v>0</v>
      </c>
      <c r="Y618" s="70">
        <f>'RESUMEN TOTAL'!AL749</f>
        <v>0</v>
      </c>
      <c r="Z618" s="70">
        <f>'RESUMEN TOTAL'!AM749</f>
        <v>0</v>
      </c>
      <c r="AA618" s="70">
        <f>'RESUMEN TOTAL'!AN749</f>
        <v>0</v>
      </c>
      <c r="AB618" s="70">
        <f>'RESUMEN TOTAL'!AO749</f>
        <v>0</v>
      </c>
      <c r="AC618" s="70">
        <f>'RESUMEN TOTAL'!AP749</f>
        <v>0</v>
      </c>
      <c r="AD618" s="70">
        <f>'RESUMEN TOTAL'!AQ749</f>
        <v>0</v>
      </c>
      <c r="AE618" s="70">
        <f>'RESUMEN TOTAL'!AR749</f>
        <v>0</v>
      </c>
      <c r="AF618" s="70">
        <f>'RESUMEN TOTAL'!AS749</f>
        <v>0</v>
      </c>
      <c r="AG618" s="70">
        <f>'RESUMEN TOTAL'!AT749</f>
        <v>0</v>
      </c>
      <c r="AH618" s="70">
        <f>'RESUMEN TOTAL'!AU749</f>
        <v>0</v>
      </c>
      <c r="AI618" s="70">
        <f>'RESUMEN TOTAL'!AV749</f>
        <v>0</v>
      </c>
      <c r="AJ618" s="70" t="e">
        <f>'RESUMEN TOTAL'!#REF!</f>
        <v>#REF!</v>
      </c>
    </row>
    <row r="619" spans="1:36" x14ac:dyDescent="0.25">
      <c r="A619">
        <f>'RESUMEN TOTAL'!F750</f>
        <v>0</v>
      </c>
      <c r="B619">
        <f>'RESUMEN TOTAL'!G750</f>
        <v>0</v>
      </c>
      <c r="C619">
        <f>'RESUMEN TOTAL'!I750</f>
        <v>0</v>
      </c>
      <c r="D619" s="30">
        <f>'RESUMEN TOTAL'!J750</f>
        <v>0</v>
      </c>
      <c r="E619" s="30">
        <f>'RESUMEN TOTAL'!K750</f>
        <v>0</v>
      </c>
      <c r="F619" s="70">
        <f>'RESUMEN TOTAL'!S750</f>
        <v>0</v>
      </c>
      <c r="G619" s="70">
        <f>'RESUMEN TOTAL'!T750</f>
        <v>0</v>
      </c>
      <c r="H619" s="70">
        <f>'RESUMEN TOTAL'!U750</f>
        <v>0</v>
      </c>
      <c r="I619" s="70">
        <f>'RESUMEN TOTAL'!V750</f>
        <v>0</v>
      </c>
      <c r="J619" s="70">
        <f>'RESUMEN TOTAL'!W750</f>
        <v>0</v>
      </c>
      <c r="K619" s="70">
        <f>'RESUMEN TOTAL'!X750</f>
        <v>0</v>
      </c>
      <c r="L619" s="70">
        <f>'RESUMEN TOTAL'!Y750</f>
        <v>0</v>
      </c>
      <c r="M619" s="70">
        <f>'RESUMEN TOTAL'!Z750</f>
        <v>0</v>
      </c>
      <c r="N619" s="70">
        <f>'RESUMEN TOTAL'!AA750</f>
        <v>0</v>
      </c>
      <c r="O619" s="70">
        <f>'RESUMEN TOTAL'!AB750</f>
        <v>0</v>
      </c>
      <c r="P619" s="70">
        <f>'RESUMEN TOTAL'!AC750</f>
        <v>0</v>
      </c>
      <c r="Q619" s="70">
        <f>'RESUMEN TOTAL'!AD750</f>
        <v>0</v>
      </c>
      <c r="R619" s="70">
        <f>'RESUMEN TOTAL'!AE750</f>
        <v>0</v>
      </c>
      <c r="S619" s="70">
        <f>'RESUMEN TOTAL'!AF750</f>
        <v>0</v>
      </c>
      <c r="T619" s="70">
        <f>'RESUMEN TOTAL'!AG750</f>
        <v>0</v>
      </c>
      <c r="U619" s="70">
        <f>'RESUMEN TOTAL'!AH750</f>
        <v>0</v>
      </c>
      <c r="V619" s="70">
        <f>'RESUMEN TOTAL'!AI750</f>
        <v>0</v>
      </c>
      <c r="W619" s="70">
        <f>'RESUMEN TOTAL'!AJ750</f>
        <v>0</v>
      </c>
      <c r="X619" s="70">
        <f>'RESUMEN TOTAL'!AK750</f>
        <v>0</v>
      </c>
      <c r="Y619" s="70">
        <f>'RESUMEN TOTAL'!AL750</f>
        <v>0</v>
      </c>
      <c r="Z619" s="70">
        <f>'RESUMEN TOTAL'!AM750</f>
        <v>0</v>
      </c>
      <c r="AA619" s="70">
        <f>'RESUMEN TOTAL'!AN750</f>
        <v>0</v>
      </c>
      <c r="AB619" s="70">
        <f>'RESUMEN TOTAL'!AO750</f>
        <v>0</v>
      </c>
      <c r="AC619" s="70">
        <f>'RESUMEN TOTAL'!AP750</f>
        <v>0</v>
      </c>
      <c r="AD619" s="70">
        <f>'RESUMEN TOTAL'!AQ750</f>
        <v>0</v>
      </c>
      <c r="AE619" s="70">
        <f>'RESUMEN TOTAL'!AR750</f>
        <v>0</v>
      </c>
      <c r="AF619" s="70">
        <f>'RESUMEN TOTAL'!AS750</f>
        <v>0</v>
      </c>
      <c r="AG619" s="70">
        <f>'RESUMEN TOTAL'!AT750</f>
        <v>0</v>
      </c>
      <c r="AH619" s="70">
        <f>'RESUMEN TOTAL'!AU750</f>
        <v>0</v>
      </c>
      <c r="AI619" s="70">
        <f>'RESUMEN TOTAL'!AV750</f>
        <v>0</v>
      </c>
      <c r="AJ619" s="70" t="e">
        <f>'RESUMEN TOTAL'!#REF!</f>
        <v>#REF!</v>
      </c>
    </row>
    <row r="620" spans="1:36" x14ac:dyDescent="0.25">
      <c r="A620">
        <f>'RESUMEN TOTAL'!F751</f>
        <v>0</v>
      </c>
      <c r="B620">
        <f>'RESUMEN TOTAL'!G751</f>
        <v>0</v>
      </c>
      <c r="C620">
        <f>'RESUMEN TOTAL'!I751</f>
        <v>0</v>
      </c>
      <c r="D620" s="30">
        <f>'RESUMEN TOTAL'!J751</f>
        <v>0</v>
      </c>
      <c r="E620" s="30">
        <f>'RESUMEN TOTAL'!K751</f>
        <v>0</v>
      </c>
      <c r="F620" s="70">
        <f>'RESUMEN TOTAL'!S751</f>
        <v>0</v>
      </c>
      <c r="G620" s="70">
        <f>'RESUMEN TOTAL'!T751</f>
        <v>0</v>
      </c>
      <c r="H620" s="70">
        <f>'RESUMEN TOTAL'!U751</f>
        <v>0</v>
      </c>
      <c r="I620" s="70">
        <f>'RESUMEN TOTAL'!V751</f>
        <v>0</v>
      </c>
      <c r="J620" s="70">
        <f>'RESUMEN TOTAL'!W751</f>
        <v>0</v>
      </c>
      <c r="K620" s="70">
        <f>'RESUMEN TOTAL'!X751</f>
        <v>0</v>
      </c>
      <c r="L620" s="70">
        <f>'RESUMEN TOTAL'!Y751</f>
        <v>0</v>
      </c>
      <c r="M620" s="70">
        <f>'RESUMEN TOTAL'!Z751</f>
        <v>0</v>
      </c>
      <c r="N620" s="70">
        <f>'RESUMEN TOTAL'!AA751</f>
        <v>0</v>
      </c>
      <c r="O620" s="70">
        <f>'RESUMEN TOTAL'!AB751</f>
        <v>0</v>
      </c>
      <c r="P620" s="70">
        <f>'RESUMEN TOTAL'!AC751</f>
        <v>0</v>
      </c>
      <c r="Q620" s="70">
        <f>'RESUMEN TOTAL'!AD751</f>
        <v>0</v>
      </c>
      <c r="R620" s="70">
        <f>'RESUMEN TOTAL'!AE751</f>
        <v>0</v>
      </c>
      <c r="S620" s="70">
        <f>'RESUMEN TOTAL'!AF751</f>
        <v>0</v>
      </c>
      <c r="T620" s="70">
        <f>'RESUMEN TOTAL'!AG751</f>
        <v>0</v>
      </c>
      <c r="U620" s="70">
        <f>'RESUMEN TOTAL'!AH751</f>
        <v>0</v>
      </c>
      <c r="V620" s="70">
        <f>'RESUMEN TOTAL'!AI751</f>
        <v>0</v>
      </c>
      <c r="W620" s="70">
        <f>'RESUMEN TOTAL'!AJ751</f>
        <v>0</v>
      </c>
      <c r="X620" s="70">
        <f>'RESUMEN TOTAL'!AK751</f>
        <v>0</v>
      </c>
      <c r="Y620" s="70">
        <f>'RESUMEN TOTAL'!AL751</f>
        <v>0</v>
      </c>
      <c r="Z620" s="70">
        <f>'RESUMEN TOTAL'!AM751</f>
        <v>0</v>
      </c>
      <c r="AA620" s="70">
        <f>'RESUMEN TOTAL'!AN751</f>
        <v>0</v>
      </c>
      <c r="AB620" s="70">
        <f>'RESUMEN TOTAL'!AO751</f>
        <v>0</v>
      </c>
      <c r="AC620" s="70">
        <f>'RESUMEN TOTAL'!AP751</f>
        <v>0</v>
      </c>
      <c r="AD620" s="70">
        <f>'RESUMEN TOTAL'!AQ751</f>
        <v>0</v>
      </c>
      <c r="AE620" s="70">
        <f>'RESUMEN TOTAL'!AR751</f>
        <v>0</v>
      </c>
      <c r="AF620" s="70">
        <f>'RESUMEN TOTAL'!AS751</f>
        <v>0</v>
      </c>
      <c r="AG620" s="70">
        <f>'RESUMEN TOTAL'!AT751</f>
        <v>0</v>
      </c>
      <c r="AH620" s="70">
        <f>'RESUMEN TOTAL'!AU751</f>
        <v>0</v>
      </c>
      <c r="AI620" s="70">
        <f>'RESUMEN TOTAL'!AV751</f>
        <v>0</v>
      </c>
      <c r="AJ620" s="70" t="e">
        <f>'RESUMEN TOTAL'!#REF!</f>
        <v>#REF!</v>
      </c>
    </row>
    <row r="621" spans="1:36" x14ac:dyDescent="0.25">
      <c r="A621">
        <f>'RESUMEN TOTAL'!F752</f>
        <v>0</v>
      </c>
      <c r="B621">
        <f>'RESUMEN TOTAL'!G752</f>
        <v>0</v>
      </c>
      <c r="C621">
        <f>'RESUMEN TOTAL'!I752</f>
        <v>0</v>
      </c>
      <c r="D621" s="30">
        <f>'RESUMEN TOTAL'!J752</f>
        <v>0</v>
      </c>
      <c r="E621" s="30">
        <f>'RESUMEN TOTAL'!K752</f>
        <v>0</v>
      </c>
      <c r="F621" s="70">
        <f>'RESUMEN TOTAL'!S752</f>
        <v>0</v>
      </c>
      <c r="G621" s="70">
        <f>'RESUMEN TOTAL'!T752</f>
        <v>0</v>
      </c>
      <c r="H621" s="70">
        <f>'RESUMEN TOTAL'!U752</f>
        <v>0</v>
      </c>
      <c r="I621" s="70">
        <f>'RESUMEN TOTAL'!V752</f>
        <v>0</v>
      </c>
      <c r="J621" s="70">
        <f>'RESUMEN TOTAL'!W752</f>
        <v>0</v>
      </c>
      <c r="K621" s="70">
        <f>'RESUMEN TOTAL'!X752</f>
        <v>0</v>
      </c>
      <c r="L621" s="70">
        <f>'RESUMEN TOTAL'!Y752</f>
        <v>0</v>
      </c>
      <c r="M621" s="70">
        <f>'RESUMEN TOTAL'!Z752</f>
        <v>0</v>
      </c>
      <c r="N621" s="70">
        <f>'RESUMEN TOTAL'!AA752</f>
        <v>0</v>
      </c>
      <c r="O621" s="70">
        <f>'RESUMEN TOTAL'!AB752</f>
        <v>0</v>
      </c>
      <c r="P621" s="70">
        <f>'RESUMEN TOTAL'!AC752</f>
        <v>0</v>
      </c>
      <c r="Q621" s="70">
        <f>'RESUMEN TOTAL'!AD752</f>
        <v>0</v>
      </c>
      <c r="R621" s="70">
        <f>'RESUMEN TOTAL'!AE752</f>
        <v>0</v>
      </c>
      <c r="S621" s="70">
        <f>'RESUMEN TOTAL'!AF752</f>
        <v>0</v>
      </c>
      <c r="T621" s="70">
        <f>'RESUMEN TOTAL'!AG752</f>
        <v>0</v>
      </c>
      <c r="U621" s="70">
        <f>'RESUMEN TOTAL'!AH752</f>
        <v>0</v>
      </c>
      <c r="V621" s="70">
        <f>'RESUMEN TOTAL'!AI752</f>
        <v>0</v>
      </c>
      <c r="W621" s="70">
        <f>'RESUMEN TOTAL'!AJ752</f>
        <v>0</v>
      </c>
      <c r="X621" s="70">
        <f>'RESUMEN TOTAL'!AK752</f>
        <v>0</v>
      </c>
      <c r="Y621" s="70">
        <f>'RESUMEN TOTAL'!AL752</f>
        <v>0</v>
      </c>
      <c r="Z621" s="70">
        <f>'RESUMEN TOTAL'!AM752</f>
        <v>0</v>
      </c>
      <c r="AA621" s="70">
        <f>'RESUMEN TOTAL'!AN752</f>
        <v>0</v>
      </c>
      <c r="AB621" s="70">
        <f>'RESUMEN TOTAL'!AO752</f>
        <v>0</v>
      </c>
      <c r="AC621" s="70">
        <f>'RESUMEN TOTAL'!AP752</f>
        <v>0</v>
      </c>
      <c r="AD621" s="70">
        <f>'RESUMEN TOTAL'!AQ752</f>
        <v>0</v>
      </c>
      <c r="AE621" s="70">
        <f>'RESUMEN TOTAL'!AR752</f>
        <v>0</v>
      </c>
      <c r="AF621" s="70">
        <f>'RESUMEN TOTAL'!AS752</f>
        <v>0</v>
      </c>
      <c r="AG621" s="70">
        <f>'RESUMEN TOTAL'!AT752</f>
        <v>0</v>
      </c>
      <c r="AH621" s="70">
        <f>'RESUMEN TOTAL'!AU752</f>
        <v>0</v>
      </c>
      <c r="AI621" s="70">
        <f>'RESUMEN TOTAL'!AV752</f>
        <v>0</v>
      </c>
      <c r="AJ621" s="70" t="e">
        <f>'RESUMEN TOTAL'!#REF!</f>
        <v>#REF!</v>
      </c>
    </row>
    <row r="622" spans="1:36" x14ac:dyDescent="0.25">
      <c r="A622">
        <f>'RESUMEN TOTAL'!F753</f>
        <v>0</v>
      </c>
      <c r="B622">
        <f>'RESUMEN TOTAL'!G753</f>
        <v>0</v>
      </c>
      <c r="C622">
        <f>'RESUMEN TOTAL'!I753</f>
        <v>0</v>
      </c>
      <c r="D622" s="30">
        <f>'RESUMEN TOTAL'!J753</f>
        <v>0</v>
      </c>
      <c r="E622" s="30">
        <f>'RESUMEN TOTAL'!K753</f>
        <v>0</v>
      </c>
      <c r="F622" s="70">
        <f>'RESUMEN TOTAL'!S753</f>
        <v>0</v>
      </c>
      <c r="G622" s="70">
        <f>'RESUMEN TOTAL'!T753</f>
        <v>0</v>
      </c>
      <c r="H622" s="70">
        <f>'RESUMEN TOTAL'!U753</f>
        <v>0</v>
      </c>
      <c r="I622" s="70">
        <f>'RESUMEN TOTAL'!V753</f>
        <v>0</v>
      </c>
      <c r="J622" s="70">
        <f>'RESUMEN TOTAL'!W753</f>
        <v>0</v>
      </c>
      <c r="K622" s="70">
        <f>'RESUMEN TOTAL'!X753</f>
        <v>0</v>
      </c>
      <c r="L622" s="70">
        <f>'RESUMEN TOTAL'!Y753</f>
        <v>0</v>
      </c>
      <c r="M622" s="70">
        <f>'RESUMEN TOTAL'!Z753</f>
        <v>0</v>
      </c>
      <c r="N622" s="70">
        <f>'RESUMEN TOTAL'!AA753</f>
        <v>0</v>
      </c>
      <c r="O622" s="70">
        <f>'RESUMEN TOTAL'!AB753</f>
        <v>0</v>
      </c>
      <c r="P622" s="70">
        <f>'RESUMEN TOTAL'!AC753</f>
        <v>0</v>
      </c>
      <c r="Q622" s="70">
        <f>'RESUMEN TOTAL'!AD753</f>
        <v>0</v>
      </c>
      <c r="R622" s="70">
        <f>'RESUMEN TOTAL'!AE753</f>
        <v>0</v>
      </c>
      <c r="S622" s="70">
        <f>'RESUMEN TOTAL'!AF753</f>
        <v>0</v>
      </c>
      <c r="T622" s="70">
        <f>'RESUMEN TOTAL'!AG753</f>
        <v>0</v>
      </c>
      <c r="U622" s="70">
        <f>'RESUMEN TOTAL'!AH753</f>
        <v>0</v>
      </c>
      <c r="V622" s="70">
        <f>'RESUMEN TOTAL'!AI753</f>
        <v>0</v>
      </c>
      <c r="W622" s="70">
        <f>'RESUMEN TOTAL'!AJ753</f>
        <v>0</v>
      </c>
      <c r="X622" s="70">
        <f>'RESUMEN TOTAL'!AK753</f>
        <v>0</v>
      </c>
      <c r="Y622" s="70">
        <f>'RESUMEN TOTAL'!AL753</f>
        <v>0</v>
      </c>
      <c r="Z622" s="70">
        <f>'RESUMEN TOTAL'!AM753</f>
        <v>0</v>
      </c>
      <c r="AA622" s="70">
        <f>'RESUMEN TOTAL'!AN753</f>
        <v>0</v>
      </c>
      <c r="AB622" s="70">
        <f>'RESUMEN TOTAL'!AO753</f>
        <v>0</v>
      </c>
      <c r="AC622" s="70">
        <f>'RESUMEN TOTAL'!AP753</f>
        <v>0</v>
      </c>
      <c r="AD622" s="70">
        <f>'RESUMEN TOTAL'!AQ753</f>
        <v>0</v>
      </c>
      <c r="AE622" s="70">
        <f>'RESUMEN TOTAL'!AR753</f>
        <v>0</v>
      </c>
      <c r="AF622" s="70">
        <f>'RESUMEN TOTAL'!AS753</f>
        <v>0</v>
      </c>
      <c r="AG622" s="70">
        <f>'RESUMEN TOTAL'!AT753</f>
        <v>0</v>
      </c>
      <c r="AH622" s="70">
        <f>'RESUMEN TOTAL'!AU753</f>
        <v>0</v>
      </c>
      <c r="AI622" s="70">
        <f>'RESUMEN TOTAL'!AV753</f>
        <v>0</v>
      </c>
      <c r="AJ622" s="70" t="e">
        <f>'RESUMEN TOTAL'!#REF!</f>
        <v>#REF!</v>
      </c>
    </row>
    <row r="623" spans="1:36" x14ac:dyDescent="0.25">
      <c r="A623">
        <f>'RESUMEN TOTAL'!F754</f>
        <v>0</v>
      </c>
      <c r="B623">
        <f>'RESUMEN TOTAL'!G754</f>
        <v>0</v>
      </c>
      <c r="C623">
        <f>'RESUMEN TOTAL'!I754</f>
        <v>0</v>
      </c>
      <c r="D623" s="30">
        <f>'RESUMEN TOTAL'!J754</f>
        <v>0</v>
      </c>
      <c r="E623" s="30">
        <f>'RESUMEN TOTAL'!K754</f>
        <v>0</v>
      </c>
      <c r="F623" s="70">
        <f>'RESUMEN TOTAL'!S754</f>
        <v>0</v>
      </c>
      <c r="G623" s="70">
        <f>'RESUMEN TOTAL'!T754</f>
        <v>0</v>
      </c>
      <c r="H623" s="70">
        <f>'RESUMEN TOTAL'!U754</f>
        <v>0</v>
      </c>
      <c r="I623" s="70">
        <f>'RESUMEN TOTAL'!V754</f>
        <v>0</v>
      </c>
      <c r="J623" s="70">
        <f>'RESUMEN TOTAL'!W754</f>
        <v>0</v>
      </c>
      <c r="K623" s="70">
        <f>'RESUMEN TOTAL'!X754</f>
        <v>0</v>
      </c>
      <c r="L623" s="70">
        <f>'RESUMEN TOTAL'!Y754</f>
        <v>0</v>
      </c>
      <c r="M623" s="70">
        <f>'RESUMEN TOTAL'!Z754</f>
        <v>0</v>
      </c>
      <c r="N623" s="70">
        <f>'RESUMEN TOTAL'!AA754</f>
        <v>0</v>
      </c>
      <c r="O623" s="70">
        <f>'RESUMEN TOTAL'!AB754</f>
        <v>0</v>
      </c>
      <c r="P623" s="70">
        <f>'RESUMEN TOTAL'!AC754</f>
        <v>0</v>
      </c>
      <c r="Q623" s="70">
        <f>'RESUMEN TOTAL'!AD754</f>
        <v>0</v>
      </c>
      <c r="R623" s="70">
        <f>'RESUMEN TOTAL'!AE754</f>
        <v>0</v>
      </c>
      <c r="S623" s="70">
        <f>'RESUMEN TOTAL'!AF754</f>
        <v>0</v>
      </c>
      <c r="T623" s="70">
        <f>'RESUMEN TOTAL'!AG754</f>
        <v>0</v>
      </c>
      <c r="U623" s="70">
        <f>'RESUMEN TOTAL'!AH754</f>
        <v>0</v>
      </c>
      <c r="V623" s="70">
        <f>'RESUMEN TOTAL'!AI754</f>
        <v>0</v>
      </c>
      <c r="W623" s="70">
        <f>'RESUMEN TOTAL'!AJ754</f>
        <v>0</v>
      </c>
      <c r="X623" s="70">
        <f>'RESUMEN TOTAL'!AK754</f>
        <v>0</v>
      </c>
      <c r="Y623" s="70">
        <f>'RESUMEN TOTAL'!AL754</f>
        <v>0</v>
      </c>
      <c r="Z623" s="70">
        <f>'RESUMEN TOTAL'!AM754</f>
        <v>0</v>
      </c>
      <c r="AA623" s="70">
        <f>'RESUMEN TOTAL'!AN754</f>
        <v>0</v>
      </c>
      <c r="AB623" s="70">
        <f>'RESUMEN TOTAL'!AO754</f>
        <v>0</v>
      </c>
      <c r="AC623" s="70">
        <f>'RESUMEN TOTAL'!AP754</f>
        <v>0</v>
      </c>
      <c r="AD623" s="70">
        <f>'RESUMEN TOTAL'!AQ754</f>
        <v>0</v>
      </c>
      <c r="AE623" s="70">
        <f>'RESUMEN TOTAL'!AR754</f>
        <v>0</v>
      </c>
      <c r="AF623" s="70">
        <f>'RESUMEN TOTAL'!AS754</f>
        <v>0</v>
      </c>
      <c r="AG623" s="70">
        <f>'RESUMEN TOTAL'!AT754</f>
        <v>0</v>
      </c>
      <c r="AH623" s="70">
        <f>'RESUMEN TOTAL'!AU754</f>
        <v>0</v>
      </c>
      <c r="AI623" s="70">
        <f>'RESUMEN TOTAL'!AV754</f>
        <v>0</v>
      </c>
      <c r="AJ623" s="70" t="e">
        <f>'RESUMEN TOTAL'!#REF!</f>
        <v>#REF!</v>
      </c>
    </row>
    <row r="624" spans="1:36" x14ac:dyDescent="0.25">
      <c r="A624">
        <f>'RESUMEN TOTAL'!F755</f>
        <v>0</v>
      </c>
      <c r="B624">
        <f>'RESUMEN TOTAL'!G755</f>
        <v>0</v>
      </c>
      <c r="C624">
        <f>'RESUMEN TOTAL'!I755</f>
        <v>0</v>
      </c>
      <c r="D624" s="30">
        <f>'RESUMEN TOTAL'!J755</f>
        <v>0</v>
      </c>
      <c r="E624" s="30">
        <f>'RESUMEN TOTAL'!K755</f>
        <v>0</v>
      </c>
      <c r="F624" s="70">
        <f>'RESUMEN TOTAL'!S755</f>
        <v>0</v>
      </c>
      <c r="G624" s="70">
        <f>'RESUMEN TOTAL'!T755</f>
        <v>0</v>
      </c>
      <c r="H624" s="70">
        <f>'RESUMEN TOTAL'!U755</f>
        <v>0</v>
      </c>
      <c r="I624" s="70">
        <f>'RESUMEN TOTAL'!V755</f>
        <v>0</v>
      </c>
      <c r="J624" s="70">
        <f>'RESUMEN TOTAL'!W755</f>
        <v>0</v>
      </c>
      <c r="K624" s="70">
        <f>'RESUMEN TOTAL'!X755</f>
        <v>0</v>
      </c>
      <c r="L624" s="70">
        <f>'RESUMEN TOTAL'!Y755</f>
        <v>0</v>
      </c>
      <c r="M624" s="70">
        <f>'RESUMEN TOTAL'!Z755</f>
        <v>0</v>
      </c>
      <c r="N624" s="70">
        <f>'RESUMEN TOTAL'!AA755</f>
        <v>0</v>
      </c>
      <c r="O624" s="70">
        <f>'RESUMEN TOTAL'!AB755</f>
        <v>0</v>
      </c>
      <c r="P624" s="70">
        <f>'RESUMEN TOTAL'!AC755</f>
        <v>0</v>
      </c>
      <c r="Q624" s="70">
        <f>'RESUMEN TOTAL'!AD755</f>
        <v>0</v>
      </c>
      <c r="R624" s="70">
        <f>'RESUMEN TOTAL'!AE755</f>
        <v>0</v>
      </c>
      <c r="S624" s="70">
        <f>'RESUMEN TOTAL'!AF755</f>
        <v>0</v>
      </c>
      <c r="T624" s="70">
        <f>'RESUMEN TOTAL'!AG755</f>
        <v>0</v>
      </c>
      <c r="U624" s="70">
        <f>'RESUMEN TOTAL'!AH755</f>
        <v>0</v>
      </c>
      <c r="V624" s="70">
        <f>'RESUMEN TOTAL'!AI755</f>
        <v>0</v>
      </c>
      <c r="W624" s="70">
        <f>'RESUMEN TOTAL'!AJ755</f>
        <v>0</v>
      </c>
      <c r="X624" s="70">
        <f>'RESUMEN TOTAL'!AK755</f>
        <v>0</v>
      </c>
      <c r="Y624" s="70">
        <f>'RESUMEN TOTAL'!AL755</f>
        <v>0</v>
      </c>
      <c r="Z624" s="70">
        <f>'RESUMEN TOTAL'!AM755</f>
        <v>0</v>
      </c>
      <c r="AA624" s="70">
        <f>'RESUMEN TOTAL'!AN755</f>
        <v>0</v>
      </c>
      <c r="AB624" s="70">
        <f>'RESUMEN TOTAL'!AO755</f>
        <v>0</v>
      </c>
      <c r="AC624" s="70">
        <f>'RESUMEN TOTAL'!AP755</f>
        <v>0</v>
      </c>
      <c r="AD624" s="70">
        <f>'RESUMEN TOTAL'!AQ755</f>
        <v>0</v>
      </c>
      <c r="AE624" s="70">
        <f>'RESUMEN TOTAL'!AR755</f>
        <v>0</v>
      </c>
      <c r="AF624" s="70">
        <f>'RESUMEN TOTAL'!AS755</f>
        <v>0</v>
      </c>
      <c r="AG624" s="70">
        <f>'RESUMEN TOTAL'!AT755</f>
        <v>0</v>
      </c>
      <c r="AH624" s="70">
        <f>'RESUMEN TOTAL'!AU755</f>
        <v>0</v>
      </c>
      <c r="AI624" s="70">
        <f>'RESUMEN TOTAL'!AV755</f>
        <v>0</v>
      </c>
      <c r="AJ624" s="70" t="e">
        <f>'RESUMEN TOTAL'!#REF!</f>
        <v>#REF!</v>
      </c>
    </row>
    <row r="625" spans="1:36" x14ac:dyDescent="0.25">
      <c r="A625">
        <f>'RESUMEN TOTAL'!F756</f>
        <v>0</v>
      </c>
      <c r="B625">
        <f>'RESUMEN TOTAL'!G756</f>
        <v>0</v>
      </c>
      <c r="C625">
        <f>'RESUMEN TOTAL'!I756</f>
        <v>0</v>
      </c>
      <c r="D625" s="30">
        <f>'RESUMEN TOTAL'!J756</f>
        <v>0</v>
      </c>
      <c r="E625" s="30">
        <f>'RESUMEN TOTAL'!K756</f>
        <v>0</v>
      </c>
      <c r="F625" s="70">
        <f>'RESUMEN TOTAL'!S756</f>
        <v>0</v>
      </c>
      <c r="G625" s="70">
        <f>'RESUMEN TOTAL'!T756</f>
        <v>0</v>
      </c>
      <c r="H625" s="70">
        <f>'RESUMEN TOTAL'!U756</f>
        <v>0</v>
      </c>
      <c r="I625" s="70">
        <f>'RESUMEN TOTAL'!V756</f>
        <v>0</v>
      </c>
      <c r="J625" s="70">
        <f>'RESUMEN TOTAL'!W756</f>
        <v>0</v>
      </c>
      <c r="K625" s="70">
        <f>'RESUMEN TOTAL'!X756</f>
        <v>0</v>
      </c>
      <c r="L625" s="70">
        <f>'RESUMEN TOTAL'!Y756</f>
        <v>0</v>
      </c>
      <c r="M625" s="70">
        <f>'RESUMEN TOTAL'!Z756</f>
        <v>0</v>
      </c>
      <c r="N625" s="70">
        <f>'RESUMEN TOTAL'!AA756</f>
        <v>0</v>
      </c>
      <c r="O625" s="70">
        <f>'RESUMEN TOTAL'!AB756</f>
        <v>0</v>
      </c>
      <c r="P625" s="70">
        <f>'RESUMEN TOTAL'!AC756</f>
        <v>0</v>
      </c>
      <c r="Q625" s="70">
        <f>'RESUMEN TOTAL'!AD756</f>
        <v>0</v>
      </c>
      <c r="R625" s="70">
        <f>'RESUMEN TOTAL'!AE756</f>
        <v>0</v>
      </c>
      <c r="S625" s="70">
        <f>'RESUMEN TOTAL'!AF756</f>
        <v>0</v>
      </c>
      <c r="T625" s="70">
        <f>'RESUMEN TOTAL'!AG756</f>
        <v>0</v>
      </c>
      <c r="U625" s="70">
        <f>'RESUMEN TOTAL'!AH756</f>
        <v>0</v>
      </c>
      <c r="V625" s="70">
        <f>'RESUMEN TOTAL'!AI756</f>
        <v>0</v>
      </c>
      <c r="W625" s="70">
        <f>'RESUMEN TOTAL'!AJ756</f>
        <v>0</v>
      </c>
      <c r="X625" s="70">
        <f>'RESUMEN TOTAL'!AK756</f>
        <v>0</v>
      </c>
      <c r="Y625" s="70">
        <f>'RESUMEN TOTAL'!AL756</f>
        <v>0</v>
      </c>
      <c r="Z625" s="70">
        <f>'RESUMEN TOTAL'!AM756</f>
        <v>0</v>
      </c>
      <c r="AA625" s="70">
        <f>'RESUMEN TOTAL'!AN756</f>
        <v>0</v>
      </c>
      <c r="AB625" s="70">
        <f>'RESUMEN TOTAL'!AO756</f>
        <v>0</v>
      </c>
      <c r="AC625" s="70">
        <f>'RESUMEN TOTAL'!AP756</f>
        <v>0</v>
      </c>
      <c r="AD625" s="70">
        <f>'RESUMEN TOTAL'!AQ756</f>
        <v>0</v>
      </c>
      <c r="AE625" s="70">
        <f>'RESUMEN TOTAL'!AR756</f>
        <v>0</v>
      </c>
      <c r="AF625" s="70">
        <f>'RESUMEN TOTAL'!AS756</f>
        <v>0</v>
      </c>
      <c r="AG625" s="70">
        <f>'RESUMEN TOTAL'!AT756</f>
        <v>0</v>
      </c>
      <c r="AH625" s="70">
        <f>'RESUMEN TOTAL'!AU756</f>
        <v>0</v>
      </c>
      <c r="AI625" s="70">
        <f>'RESUMEN TOTAL'!AV756</f>
        <v>0</v>
      </c>
      <c r="AJ625" s="70" t="e">
        <f>'RESUMEN TOTAL'!#REF!</f>
        <v>#REF!</v>
      </c>
    </row>
    <row r="626" spans="1:36" x14ac:dyDescent="0.25">
      <c r="A626">
        <f>'RESUMEN TOTAL'!F757</f>
        <v>0</v>
      </c>
      <c r="B626">
        <f>'RESUMEN TOTAL'!G757</f>
        <v>0</v>
      </c>
      <c r="C626">
        <f>'RESUMEN TOTAL'!I757</f>
        <v>0</v>
      </c>
      <c r="D626" s="30">
        <f>'RESUMEN TOTAL'!J757</f>
        <v>0</v>
      </c>
      <c r="E626" s="30">
        <f>'RESUMEN TOTAL'!K757</f>
        <v>0</v>
      </c>
      <c r="F626" s="70">
        <f>'RESUMEN TOTAL'!S757</f>
        <v>0</v>
      </c>
      <c r="G626" s="70">
        <f>'RESUMEN TOTAL'!T757</f>
        <v>0</v>
      </c>
      <c r="H626" s="70">
        <f>'RESUMEN TOTAL'!U757</f>
        <v>0</v>
      </c>
      <c r="I626" s="70">
        <f>'RESUMEN TOTAL'!V757</f>
        <v>0</v>
      </c>
      <c r="J626" s="70">
        <f>'RESUMEN TOTAL'!W757</f>
        <v>0</v>
      </c>
      <c r="K626" s="70">
        <f>'RESUMEN TOTAL'!X757</f>
        <v>0</v>
      </c>
      <c r="L626" s="70">
        <f>'RESUMEN TOTAL'!Y757</f>
        <v>0</v>
      </c>
      <c r="M626" s="70">
        <f>'RESUMEN TOTAL'!Z757</f>
        <v>0</v>
      </c>
      <c r="N626" s="70">
        <f>'RESUMEN TOTAL'!AA757</f>
        <v>0</v>
      </c>
      <c r="O626" s="70">
        <f>'RESUMEN TOTAL'!AB757</f>
        <v>0</v>
      </c>
      <c r="P626" s="70">
        <f>'RESUMEN TOTAL'!AC757</f>
        <v>0</v>
      </c>
      <c r="Q626" s="70">
        <f>'RESUMEN TOTAL'!AD757</f>
        <v>0</v>
      </c>
      <c r="R626" s="70">
        <f>'RESUMEN TOTAL'!AE757</f>
        <v>0</v>
      </c>
      <c r="S626" s="70">
        <f>'RESUMEN TOTAL'!AF757</f>
        <v>0</v>
      </c>
      <c r="T626" s="70">
        <f>'RESUMEN TOTAL'!AG757</f>
        <v>0</v>
      </c>
      <c r="U626" s="70">
        <f>'RESUMEN TOTAL'!AH757</f>
        <v>0</v>
      </c>
      <c r="V626" s="70">
        <f>'RESUMEN TOTAL'!AI757</f>
        <v>0</v>
      </c>
      <c r="W626" s="70">
        <f>'RESUMEN TOTAL'!AJ757</f>
        <v>0</v>
      </c>
      <c r="X626" s="70">
        <f>'RESUMEN TOTAL'!AK757</f>
        <v>0</v>
      </c>
      <c r="Y626" s="70">
        <f>'RESUMEN TOTAL'!AL757</f>
        <v>0</v>
      </c>
      <c r="Z626" s="70">
        <f>'RESUMEN TOTAL'!AM757</f>
        <v>0</v>
      </c>
      <c r="AA626" s="70">
        <f>'RESUMEN TOTAL'!AN757</f>
        <v>0</v>
      </c>
      <c r="AB626" s="70">
        <f>'RESUMEN TOTAL'!AO757</f>
        <v>0</v>
      </c>
      <c r="AC626" s="70">
        <f>'RESUMEN TOTAL'!AP757</f>
        <v>0</v>
      </c>
      <c r="AD626" s="70">
        <f>'RESUMEN TOTAL'!AQ757</f>
        <v>0</v>
      </c>
      <c r="AE626" s="70">
        <f>'RESUMEN TOTAL'!AR757</f>
        <v>0</v>
      </c>
      <c r="AF626" s="70">
        <f>'RESUMEN TOTAL'!AS757</f>
        <v>0</v>
      </c>
      <c r="AG626" s="70">
        <f>'RESUMEN TOTAL'!AT757</f>
        <v>0</v>
      </c>
      <c r="AH626" s="70">
        <f>'RESUMEN TOTAL'!AU757</f>
        <v>0</v>
      </c>
      <c r="AI626" s="70">
        <f>'RESUMEN TOTAL'!AV757</f>
        <v>0</v>
      </c>
      <c r="AJ626" s="70" t="e">
        <f>'RESUMEN TOTAL'!#REF!</f>
        <v>#REF!</v>
      </c>
    </row>
    <row r="627" spans="1:36" x14ac:dyDescent="0.25">
      <c r="A627">
        <f>'RESUMEN TOTAL'!F758</f>
        <v>0</v>
      </c>
      <c r="B627">
        <f>'RESUMEN TOTAL'!G758</f>
        <v>0</v>
      </c>
      <c r="C627">
        <f>'RESUMEN TOTAL'!I758</f>
        <v>0</v>
      </c>
      <c r="D627" s="30">
        <f>'RESUMEN TOTAL'!J758</f>
        <v>0</v>
      </c>
      <c r="E627" s="30">
        <f>'RESUMEN TOTAL'!K758</f>
        <v>0</v>
      </c>
      <c r="F627" s="70">
        <f>'RESUMEN TOTAL'!S758</f>
        <v>0</v>
      </c>
      <c r="G627" s="70">
        <f>'RESUMEN TOTAL'!T758</f>
        <v>0</v>
      </c>
      <c r="H627" s="70">
        <f>'RESUMEN TOTAL'!U758</f>
        <v>0</v>
      </c>
      <c r="I627" s="70">
        <f>'RESUMEN TOTAL'!V758</f>
        <v>0</v>
      </c>
      <c r="J627" s="70">
        <f>'RESUMEN TOTAL'!W758</f>
        <v>0</v>
      </c>
      <c r="K627" s="70">
        <f>'RESUMEN TOTAL'!X758</f>
        <v>0</v>
      </c>
      <c r="L627" s="70">
        <f>'RESUMEN TOTAL'!Y758</f>
        <v>0</v>
      </c>
      <c r="M627" s="70">
        <f>'RESUMEN TOTAL'!Z758</f>
        <v>0</v>
      </c>
      <c r="N627" s="70">
        <f>'RESUMEN TOTAL'!AA758</f>
        <v>0</v>
      </c>
      <c r="O627" s="70">
        <f>'RESUMEN TOTAL'!AB758</f>
        <v>0</v>
      </c>
      <c r="P627" s="70">
        <f>'RESUMEN TOTAL'!AC758</f>
        <v>0</v>
      </c>
      <c r="Q627" s="70">
        <f>'RESUMEN TOTAL'!AD758</f>
        <v>0</v>
      </c>
      <c r="R627" s="70">
        <f>'RESUMEN TOTAL'!AE758</f>
        <v>0</v>
      </c>
      <c r="S627" s="70">
        <f>'RESUMEN TOTAL'!AF758</f>
        <v>0</v>
      </c>
      <c r="T627" s="70">
        <f>'RESUMEN TOTAL'!AG758</f>
        <v>0</v>
      </c>
      <c r="U627" s="70">
        <f>'RESUMEN TOTAL'!AH758</f>
        <v>0</v>
      </c>
      <c r="V627" s="70">
        <f>'RESUMEN TOTAL'!AI758</f>
        <v>0</v>
      </c>
      <c r="W627" s="70">
        <f>'RESUMEN TOTAL'!AJ758</f>
        <v>0</v>
      </c>
      <c r="X627" s="70">
        <f>'RESUMEN TOTAL'!AK758</f>
        <v>0</v>
      </c>
      <c r="Y627" s="70">
        <f>'RESUMEN TOTAL'!AL758</f>
        <v>0</v>
      </c>
      <c r="Z627" s="70">
        <f>'RESUMEN TOTAL'!AM758</f>
        <v>0</v>
      </c>
      <c r="AA627" s="70">
        <f>'RESUMEN TOTAL'!AN758</f>
        <v>0</v>
      </c>
      <c r="AB627" s="70">
        <f>'RESUMEN TOTAL'!AO758</f>
        <v>0</v>
      </c>
      <c r="AC627" s="70">
        <f>'RESUMEN TOTAL'!AP758</f>
        <v>0</v>
      </c>
      <c r="AD627" s="70">
        <f>'RESUMEN TOTAL'!AQ758</f>
        <v>0</v>
      </c>
      <c r="AE627" s="70">
        <f>'RESUMEN TOTAL'!AR758</f>
        <v>0</v>
      </c>
      <c r="AF627" s="70">
        <f>'RESUMEN TOTAL'!AS758</f>
        <v>0</v>
      </c>
      <c r="AG627" s="70">
        <f>'RESUMEN TOTAL'!AT758</f>
        <v>0</v>
      </c>
      <c r="AH627" s="70">
        <f>'RESUMEN TOTAL'!AU758</f>
        <v>0</v>
      </c>
      <c r="AI627" s="70">
        <f>'RESUMEN TOTAL'!AV758</f>
        <v>0</v>
      </c>
      <c r="AJ627" s="70" t="e">
        <f>'RESUMEN TOTAL'!#REF!</f>
        <v>#REF!</v>
      </c>
    </row>
    <row r="628" spans="1:36" x14ac:dyDescent="0.25">
      <c r="A628">
        <f>'RESUMEN TOTAL'!F759</f>
        <v>0</v>
      </c>
      <c r="B628">
        <f>'RESUMEN TOTAL'!G759</f>
        <v>0</v>
      </c>
      <c r="C628">
        <f>'RESUMEN TOTAL'!I759</f>
        <v>0</v>
      </c>
      <c r="D628" s="30">
        <f>'RESUMEN TOTAL'!J759</f>
        <v>0</v>
      </c>
      <c r="E628" s="30">
        <f>'RESUMEN TOTAL'!K759</f>
        <v>0</v>
      </c>
      <c r="F628" s="70">
        <f>'RESUMEN TOTAL'!S759</f>
        <v>0</v>
      </c>
      <c r="G628" s="70">
        <f>'RESUMEN TOTAL'!T759</f>
        <v>0</v>
      </c>
      <c r="H628" s="70">
        <f>'RESUMEN TOTAL'!U759</f>
        <v>0</v>
      </c>
      <c r="I628" s="70">
        <f>'RESUMEN TOTAL'!V759</f>
        <v>0</v>
      </c>
      <c r="J628" s="70">
        <f>'RESUMEN TOTAL'!W759</f>
        <v>0</v>
      </c>
      <c r="K628" s="70">
        <f>'RESUMEN TOTAL'!X759</f>
        <v>0</v>
      </c>
      <c r="L628" s="70">
        <f>'RESUMEN TOTAL'!Y759</f>
        <v>0</v>
      </c>
      <c r="M628" s="70">
        <f>'RESUMEN TOTAL'!Z759</f>
        <v>0</v>
      </c>
      <c r="N628" s="70">
        <f>'RESUMEN TOTAL'!AA759</f>
        <v>0</v>
      </c>
      <c r="O628" s="70">
        <f>'RESUMEN TOTAL'!AB759</f>
        <v>0</v>
      </c>
      <c r="P628" s="70">
        <f>'RESUMEN TOTAL'!AC759</f>
        <v>0</v>
      </c>
      <c r="Q628" s="70">
        <f>'RESUMEN TOTAL'!AD759</f>
        <v>0</v>
      </c>
      <c r="R628" s="70">
        <f>'RESUMEN TOTAL'!AE759</f>
        <v>0</v>
      </c>
      <c r="S628" s="70">
        <f>'RESUMEN TOTAL'!AF759</f>
        <v>0</v>
      </c>
      <c r="T628" s="70">
        <f>'RESUMEN TOTAL'!AG759</f>
        <v>0</v>
      </c>
      <c r="U628" s="70">
        <f>'RESUMEN TOTAL'!AH759</f>
        <v>0</v>
      </c>
      <c r="V628" s="70">
        <f>'RESUMEN TOTAL'!AI759</f>
        <v>0</v>
      </c>
      <c r="W628" s="70">
        <f>'RESUMEN TOTAL'!AJ759</f>
        <v>0</v>
      </c>
      <c r="X628" s="70">
        <f>'RESUMEN TOTAL'!AK759</f>
        <v>0</v>
      </c>
      <c r="Y628" s="70">
        <f>'RESUMEN TOTAL'!AL759</f>
        <v>0</v>
      </c>
      <c r="Z628" s="70">
        <f>'RESUMEN TOTAL'!AM759</f>
        <v>0</v>
      </c>
      <c r="AA628" s="70">
        <f>'RESUMEN TOTAL'!AN759</f>
        <v>0</v>
      </c>
      <c r="AB628" s="70">
        <f>'RESUMEN TOTAL'!AO759</f>
        <v>0</v>
      </c>
      <c r="AC628" s="70">
        <f>'RESUMEN TOTAL'!AP759</f>
        <v>0</v>
      </c>
      <c r="AD628" s="70">
        <f>'RESUMEN TOTAL'!AQ759</f>
        <v>0</v>
      </c>
      <c r="AE628" s="70">
        <f>'RESUMEN TOTAL'!AR759</f>
        <v>0</v>
      </c>
      <c r="AF628" s="70">
        <f>'RESUMEN TOTAL'!AS759</f>
        <v>0</v>
      </c>
      <c r="AG628" s="70">
        <f>'RESUMEN TOTAL'!AT759</f>
        <v>0</v>
      </c>
      <c r="AH628" s="70">
        <f>'RESUMEN TOTAL'!AU759</f>
        <v>0</v>
      </c>
      <c r="AI628" s="70">
        <f>'RESUMEN TOTAL'!AV759</f>
        <v>0</v>
      </c>
      <c r="AJ628" s="70" t="e">
        <f>'RESUMEN TOTAL'!#REF!</f>
        <v>#REF!</v>
      </c>
    </row>
    <row r="629" spans="1:36" x14ac:dyDescent="0.25">
      <c r="A629">
        <f>'RESUMEN TOTAL'!F760</f>
        <v>0</v>
      </c>
      <c r="B629">
        <f>'RESUMEN TOTAL'!G760</f>
        <v>0</v>
      </c>
      <c r="C629">
        <f>'RESUMEN TOTAL'!I760</f>
        <v>0</v>
      </c>
      <c r="D629" s="30">
        <f>'RESUMEN TOTAL'!J760</f>
        <v>0</v>
      </c>
      <c r="E629" s="30">
        <f>'RESUMEN TOTAL'!K760</f>
        <v>0</v>
      </c>
      <c r="F629" s="70">
        <f>'RESUMEN TOTAL'!S760</f>
        <v>0</v>
      </c>
      <c r="G629" s="70">
        <f>'RESUMEN TOTAL'!T760</f>
        <v>0</v>
      </c>
      <c r="H629" s="70">
        <f>'RESUMEN TOTAL'!U760</f>
        <v>0</v>
      </c>
      <c r="I629" s="70">
        <f>'RESUMEN TOTAL'!V760</f>
        <v>0</v>
      </c>
      <c r="J629" s="70">
        <f>'RESUMEN TOTAL'!W760</f>
        <v>0</v>
      </c>
      <c r="K629" s="70">
        <f>'RESUMEN TOTAL'!X760</f>
        <v>0</v>
      </c>
      <c r="L629" s="70">
        <f>'RESUMEN TOTAL'!Y760</f>
        <v>0</v>
      </c>
      <c r="M629" s="70">
        <f>'RESUMEN TOTAL'!Z760</f>
        <v>0</v>
      </c>
      <c r="N629" s="70">
        <f>'RESUMEN TOTAL'!AA760</f>
        <v>0</v>
      </c>
      <c r="O629" s="70">
        <f>'RESUMEN TOTAL'!AB760</f>
        <v>0</v>
      </c>
      <c r="P629" s="70">
        <f>'RESUMEN TOTAL'!AC760</f>
        <v>0</v>
      </c>
      <c r="Q629" s="70">
        <f>'RESUMEN TOTAL'!AD760</f>
        <v>0</v>
      </c>
      <c r="R629" s="70">
        <f>'RESUMEN TOTAL'!AE760</f>
        <v>0</v>
      </c>
      <c r="S629" s="70">
        <f>'RESUMEN TOTAL'!AF760</f>
        <v>0</v>
      </c>
      <c r="T629" s="70">
        <f>'RESUMEN TOTAL'!AG760</f>
        <v>0</v>
      </c>
      <c r="U629" s="70">
        <f>'RESUMEN TOTAL'!AH760</f>
        <v>0</v>
      </c>
      <c r="V629" s="70">
        <f>'RESUMEN TOTAL'!AI760</f>
        <v>0</v>
      </c>
      <c r="W629" s="70">
        <f>'RESUMEN TOTAL'!AJ760</f>
        <v>0</v>
      </c>
      <c r="X629" s="70">
        <f>'RESUMEN TOTAL'!AK760</f>
        <v>0</v>
      </c>
      <c r="Y629" s="70">
        <f>'RESUMEN TOTAL'!AL760</f>
        <v>0</v>
      </c>
      <c r="Z629" s="70">
        <f>'RESUMEN TOTAL'!AM760</f>
        <v>0</v>
      </c>
      <c r="AA629" s="70">
        <f>'RESUMEN TOTAL'!AN760</f>
        <v>0</v>
      </c>
      <c r="AB629" s="70">
        <f>'RESUMEN TOTAL'!AO760</f>
        <v>0</v>
      </c>
      <c r="AC629" s="70">
        <f>'RESUMEN TOTAL'!AP760</f>
        <v>0</v>
      </c>
      <c r="AD629" s="70">
        <f>'RESUMEN TOTAL'!AQ760</f>
        <v>0</v>
      </c>
      <c r="AE629" s="70">
        <f>'RESUMEN TOTAL'!AR760</f>
        <v>0</v>
      </c>
      <c r="AF629" s="70">
        <f>'RESUMEN TOTAL'!AS760</f>
        <v>0</v>
      </c>
      <c r="AG629" s="70">
        <f>'RESUMEN TOTAL'!AT760</f>
        <v>0</v>
      </c>
      <c r="AH629" s="70">
        <f>'RESUMEN TOTAL'!AU760</f>
        <v>0</v>
      </c>
      <c r="AI629" s="70">
        <f>'RESUMEN TOTAL'!AV760</f>
        <v>0</v>
      </c>
      <c r="AJ629" s="70" t="e">
        <f>'RESUMEN TOTAL'!#REF!</f>
        <v>#REF!</v>
      </c>
    </row>
    <row r="630" spans="1:36" x14ac:dyDescent="0.25">
      <c r="A630">
        <f>'RESUMEN TOTAL'!F761</f>
        <v>0</v>
      </c>
      <c r="B630">
        <f>'RESUMEN TOTAL'!G761</f>
        <v>0</v>
      </c>
      <c r="C630">
        <f>'RESUMEN TOTAL'!I761</f>
        <v>0</v>
      </c>
      <c r="D630" s="30">
        <f>'RESUMEN TOTAL'!J761</f>
        <v>0</v>
      </c>
      <c r="E630" s="30">
        <f>'RESUMEN TOTAL'!K761</f>
        <v>0</v>
      </c>
      <c r="F630" s="70">
        <f>'RESUMEN TOTAL'!S761</f>
        <v>0</v>
      </c>
      <c r="G630" s="70">
        <f>'RESUMEN TOTAL'!T761</f>
        <v>0</v>
      </c>
      <c r="H630" s="70">
        <f>'RESUMEN TOTAL'!U761</f>
        <v>0</v>
      </c>
      <c r="I630" s="70">
        <f>'RESUMEN TOTAL'!V761</f>
        <v>0</v>
      </c>
      <c r="J630" s="70">
        <f>'RESUMEN TOTAL'!W761</f>
        <v>0</v>
      </c>
      <c r="K630" s="70">
        <f>'RESUMEN TOTAL'!X761</f>
        <v>0</v>
      </c>
      <c r="L630" s="70">
        <f>'RESUMEN TOTAL'!Y761</f>
        <v>0</v>
      </c>
      <c r="M630" s="70">
        <f>'RESUMEN TOTAL'!Z761</f>
        <v>0</v>
      </c>
      <c r="N630" s="70">
        <f>'RESUMEN TOTAL'!AA761</f>
        <v>0</v>
      </c>
      <c r="O630" s="70">
        <f>'RESUMEN TOTAL'!AB761</f>
        <v>0</v>
      </c>
      <c r="P630" s="70">
        <f>'RESUMEN TOTAL'!AC761</f>
        <v>0</v>
      </c>
      <c r="Q630" s="70">
        <f>'RESUMEN TOTAL'!AD761</f>
        <v>0</v>
      </c>
      <c r="R630" s="70">
        <f>'RESUMEN TOTAL'!AE761</f>
        <v>0</v>
      </c>
      <c r="S630" s="70">
        <f>'RESUMEN TOTAL'!AF761</f>
        <v>0</v>
      </c>
      <c r="T630" s="70">
        <f>'RESUMEN TOTAL'!AG761</f>
        <v>0</v>
      </c>
      <c r="U630" s="70">
        <f>'RESUMEN TOTAL'!AH761</f>
        <v>0</v>
      </c>
      <c r="V630" s="70">
        <f>'RESUMEN TOTAL'!AI761</f>
        <v>0</v>
      </c>
      <c r="W630" s="70">
        <f>'RESUMEN TOTAL'!AJ761</f>
        <v>0</v>
      </c>
      <c r="X630" s="70">
        <f>'RESUMEN TOTAL'!AK761</f>
        <v>0</v>
      </c>
      <c r="Y630" s="70">
        <f>'RESUMEN TOTAL'!AL761</f>
        <v>0</v>
      </c>
      <c r="Z630" s="70">
        <f>'RESUMEN TOTAL'!AM761</f>
        <v>0</v>
      </c>
      <c r="AA630" s="70">
        <f>'RESUMEN TOTAL'!AN761</f>
        <v>0</v>
      </c>
      <c r="AB630" s="70">
        <f>'RESUMEN TOTAL'!AO761</f>
        <v>0</v>
      </c>
      <c r="AC630" s="70">
        <f>'RESUMEN TOTAL'!AP761</f>
        <v>0</v>
      </c>
      <c r="AD630" s="70">
        <f>'RESUMEN TOTAL'!AQ761</f>
        <v>0</v>
      </c>
      <c r="AE630" s="70">
        <f>'RESUMEN TOTAL'!AR761</f>
        <v>0</v>
      </c>
      <c r="AF630" s="70">
        <f>'RESUMEN TOTAL'!AS761</f>
        <v>0</v>
      </c>
      <c r="AG630" s="70">
        <f>'RESUMEN TOTAL'!AT761</f>
        <v>0</v>
      </c>
      <c r="AH630" s="70">
        <f>'RESUMEN TOTAL'!AU761</f>
        <v>0</v>
      </c>
      <c r="AI630" s="70">
        <f>'RESUMEN TOTAL'!AV761</f>
        <v>0</v>
      </c>
      <c r="AJ630" s="70" t="e">
        <f>'RESUMEN TOTAL'!#REF!</f>
        <v>#REF!</v>
      </c>
    </row>
    <row r="631" spans="1:36" x14ac:dyDescent="0.25">
      <c r="A631">
        <f>'RESUMEN TOTAL'!F762</f>
        <v>0</v>
      </c>
      <c r="B631">
        <f>'RESUMEN TOTAL'!G762</f>
        <v>0</v>
      </c>
      <c r="C631">
        <f>'RESUMEN TOTAL'!I762</f>
        <v>0</v>
      </c>
      <c r="D631" s="30">
        <f>'RESUMEN TOTAL'!J762</f>
        <v>0</v>
      </c>
      <c r="E631" s="30">
        <f>'RESUMEN TOTAL'!K762</f>
        <v>0</v>
      </c>
      <c r="F631" s="70">
        <f>'RESUMEN TOTAL'!S762</f>
        <v>0</v>
      </c>
      <c r="G631" s="70">
        <f>'RESUMEN TOTAL'!T762</f>
        <v>0</v>
      </c>
      <c r="H631" s="70">
        <f>'RESUMEN TOTAL'!U762</f>
        <v>0</v>
      </c>
      <c r="I631" s="70">
        <f>'RESUMEN TOTAL'!V762</f>
        <v>0</v>
      </c>
      <c r="J631" s="70">
        <f>'RESUMEN TOTAL'!W762</f>
        <v>0</v>
      </c>
      <c r="K631" s="70">
        <f>'RESUMEN TOTAL'!X762</f>
        <v>0</v>
      </c>
      <c r="L631" s="70">
        <f>'RESUMEN TOTAL'!Y762</f>
        <v>0</v>
      </c>
      <c r="M631" s="70">
        <f>'RESUMEN TOTAL'!Z762</f>
        <v>0</v>
      </c>
      <c r="N631" s="70">
        <f>'RESUMEN TOTAL'!AA762</f>
        <v>0</v>
      </c>
      <c r="O631" s="70">
        <f>'RESUMEN TOTAL'!AB762</f>
        <v>0</v>
      </c>
      <c r="P631" s="70">
        <f>'RESUMEN TOTAL'!AC762</f>
        <v>0</v>
      </c>
      <c r="Q631" s="70">
        <f>'RESUMEN TOTAL'!AD762</f>
        <v>0</v>
      </c>
      <c r="R631" s="70">
        <f>'RESUMEN TOTAL'!AE762</f>
        <v>0</v>
      </c>
      <c r="S631" s="70">
        <f>'RESUMEN TOTAL'!AF762</f>
        <v>0</v>
      </c>
      <c r="T631" s="70">
        <f>'RESUMEN TOTAL'!AG762</f>
        <v>0</v>
      </c>
      <c r="U631" s="70">
        <f>'RESUMEN TOTAL'!AH762</f>
        <v>0</v>
      </c>
      <c r="V631" s="70">
        <f>'RESUMEN TOTAL'!AI762</f>
        <v>0</v>
      </c>
      <c r="W631" s="70">
        <f>'RESUMEN TOTAL'!AJ762</f>
        <v>0</v>
      </c>
      <c r="X631" s="70">
        <f>'RESUMEN TOTAL'!AK762</f>
        <v>0</v>
      </c>
      <c r="Y631" s="70">
        <f>'RESUMEN TOTAL'!AL762</f>
        <v>0</v>
      </c>
      <c r="Z631" s="70">
        <f>'RESUMEN TOTAL'!AM762</f>
        <v>0</v>
      </c>
      <c r="AA631" s="70">
        <f>'RESUMEN TOTAL'!AN762</f>
        <v>0</v>
      </c>
      <c r="AB631" s="70">
        <f>'RESUMEN TOTAL'!AO762</f>
        <v>0</v>
      </c>
      <c r="AC631" s="70">
        <f>'RESUMEN TOTAL'!AP762</f>
        <v>0</v>
      </c>
      <c r="AD631" s="70">
        <f>'RESUMEN TOTAL'!AQ762</f>
        <v>0</v>
      </c>
      <c r="AE631" s="70">
        <f>'RESUMEN TOTAL'!AR762</f>
        <v>0</v>
      </c>
      <c r="AF631" s="70">
        <f>'RESUMEN TOTAL'!AS762</f>
        <v>0</v>
      </c>
      <c r="AG631" s="70">
        <f>'RESUMEN TOTAL'!AT762</f>
        <v>0</v>
      </c>
      <c r="AH631" s="70">
        <f>'RESUMEN TOTAL'!AU762</f>
        <v>0</v>
      </c>
      <c r="AI631" s="70">
        <f>'RESUMEN TOTAL'!AV762</f>
        <v>0</v>
      </c>
      <c r="AJ631" s="70" t="e">
        <f>'RESUMEN TOTAL'!#REF!</f>
        <v>#REF!</v>
      </c>
    </row>
    <row r="632" spans="1:36" x14ac:dyDescent="0.25">
      <c r="A632">
        <f>'RESUMEN TOTAL'!F763</f>
        <v>0</v>
      </c>
      <c r="B632">
        <f>'RESUMEN TOTAL'!G763</f>
        <v>0</v>
      </c>
      <c r="C632">
        <f>'RESUMEN TOTAL'!I763</f>
        <v>0</v>
      </c>
      <c r="D632" s="30">
        <f>'RESUMEN TOTAL'!J763</f>
        <v>0</v>
      </c>
      <c r="E632" s="30">
        <f>'RESUMEN TOTAL'!K763</f>
        <v>0</v>
      </c>
      <c r="F632" s="70">
        <f>'RESUMEN TOTAL'!S763</f>
        <v>0</v>
      </c>
      <c r="G632" s="70">
        <f>'RESUMEN TOTAL'!T763</f>
        <v>0</v>
      </c>
      <c r="H632" s="70">
        <f>'RESUMEN TOTAL'!U763</f>
        <v>0</v>
      </c>
      <c r="I632" s="70">
        <f>'RESUMEN TOTAL'!V763</f>
        <v>0</v>
      </c>
      <c r="J632" s="70">
        <f>'RESUMEN TOTAL'!W763</f>
        <v>0</v>
      </c>
      <c r="K632" s="70">
        <f>'RESUMEN TOTAL'!X763</f>
        <v>0</v>
      </c>
      <c r="L632" s="70">
        <f>'RESUMEN TOTAL'!Y763</f>
        <v>0</v>
      </c>
      <c r="M632" s="70">
        <f>'RESUMEN TOTAL'!Z763</f>
        <v>0</v>
      </c>
      <c r="N632" s="70">
        <f>'RESUMEN TOTAL'!AA763</f>
        <v>0</v>
      </c>
      <c r="O632" s="70">
        <f>'RESUMEN TOTAL'!AB763</f>
        <v>0</v>
      </c>
      <c r="P632" s="70">
        <f>'RESUMEN TOTAL'!AC763</f>
        <v>0</v>
      </c>
      <c r="Q632" s="70">
        <f>'RESUMEN TOTAL'!AD763</f>
        <v>0</v>
      </c>
      <c r="R632" s="70">
        <f>'RESUMEN TOTAL'!AE763</f>
        <v>0</v>
      </c>
      <c r="S632" s="70">
        <f>'RESUMEN TOTAL'!AF763</f>
        <v>0</v>
      </c>
      <c r="T632" s="70">
        <f>'RESUMEN TOTAL'!AG763</f>
        <v>0</v>
      </c>
      <c r="U632" s="70">
        <f>'RESUMEN TOTAL'!AH763</f>
        <v>0</v>
      </c>
      <c r="V632" s="70">
        <f>'RESUMEN TOTAL'!AI763</f>
        <v>0</v>
      </c>
      <c r="W632" s="70">
        <f>'RESUMEN TOTAL'!AJ763</f>
        <v>0</v>
      </c>
      <c r="X632" s="70">
        <f>'RESUMEN TOTAL'!AK763</f>
        <v>0</v>
      </c>
      <c r="Y632" s="70">
        <f>'RESUMEN TOTAL'!AL763</f>
        <v>0</v>
      </c>
      <c r="Z632" s="70">
        <f>'RESUMEN TOTAL'!AM763</f>
        <v>0</v>
      </c>
      <c r="AA632" s="70">
        <f>'RESUMEN TOTAL'!AN763</f>
        <v>0</v>
      </c>
      <c r="AB632" s="70">
        <f>'RESUMEN TOTAL'!AO763</f>
        <v>0</v>
      </c>
      <c r="AC632" s="70">
        <f>'RESUMEN TOTAL'!AP763</f>
        <v>0</v>
      </c>
      <c r="AD632" s="70">
        <f>'RESUMEN TOTAL'!AQ763</f>
        <v>0</v>
      </c>
      <c r="AE632" s="70">
        <f>'RESUMEN TOTAL'!AR763</f>
        <v>0</v>
      </c>
      <c r="AF632" s="70">
        <f>'RESUMEN TOTAL'!AS763</f>
        <v>0</v>
      </c>
      <c r="AG632" s="70">
        <f>'RESUMEN TOTAL'!AT763</f>
        <v>0</v>
      </c>
      <c r="AH632" s="70">
        <f>'RESUMEN TOTAL'!AU763</f>
        <v>0</v>
      </c>
      <c r="AI632" s="70">
        <f>'RESUMEN TOTAL'!AV763</f>
        <v>0</v>
      </c>
      <c r="AJ632" s="70" t="e">
        <f>'RESUMEN TOTAL'!#REF!</f>
        <v>#REF!</v>
      </c>
    </row>
    <row r="633" spans="1:36" x14ac:dyDescent="0.25">
      <c r="A633">
        <f>'RESUMEN TOTAL'!F764</f>
        <v>0</v>
      </c>
      <c r="B633">
        <f>'RESUMEN TOTAL'!G764</f>
        <v>0</v>
      </c>
      <c r="C633">
        <f>'RESUMEN TOTAL'!I764</f>
        <v>0</v>
      </c>
      <c r="D633" s="30">
        <f>'RESUMEN TOTAL'!J764</f>
        <v>0</v>
      </c>
      <c r="E633" s="30">
        <f>'RESUMEN TOTAL'!K764</f>
        <v>0</v>
      </c>
      <c r="F633" s="70">
        <f>'RESUMEN TOTAL'!S764</f>
        <v>0</v>
      </c>
      <c r="G633" s="70">
        <f>'RESUMEN TOTAL'!T764</f>
        <v>0</v>
      </c>
      <c r="H633" s="70">
        <f>'RESUMEN TOTAL'!U764</f>
        <v>0</v>
      </c>
      <c r="I633" s="70">
        <f>'RESUMEN TOTAL'!V764</f>
        <v>0</v>
      </c>
      <c r="J633" s="70">
        <f>'RESUMEN TOTAL'!W764</f>
        <v>0</v>
      </c>
      <c r="K633" s="70">
        <f>'RESUMEN TOTAL'!X764</f>
        <v>0</v>
      </c>
      <c r="L633" s="70">
        <f>'RESUMEN TOTAL'!Y764</f>
        <v>0</v>
      </c>
      <c r="M633" s="70">
        <f>'RESUMEN TOTAL'!Z764</f>
        <v>0</v>
      </c>
      <c r="N633" s="70">
        <f>'RESUMEN TOTAL'!AA764</f>
        <v>0</v>
      </c>
      <c r="O633" s="70">
        <f>'RESUMEN TOTAL'!AB764</f>
        <v>0</v>
      </c>
      <c r="P633" s="70">
        <f>'RESUMEN TOTAL'!AC764</f>
        <v>0</v>
      </c>
      <c r="Q633" s="70">
        <f>'RESUMEN TOTAL'!AD764</f>
        <v>0</v>
      </c>
      <c r="R633" s="70">
        <f>'RESUMEN TOTAL'!AE764</f>
        <v>0</v>
      </c>
      <c r="S633" s="70">
        <f>'RESUMEN TOTAL'!AF764</f>
        <v>0</v>
      </c>
      <c r="T633" s="70">
        <f>'RESUMEN TOTAL'!AG764</f>
        <v>0</v>
      </c>
      <c r="U633" s="70">
        <f>'RESUMEN TOTAL'!AH764</f>
        <v>0</v>
      </c>
      <c r="V633" s="70">
        <f>'RESUMEN TOTAL'!AI764</f>
        <v>0</v>
      </c>
      <c r="W633" s="70">
        <f>'RESUMEN TOTAL'!AJ764</f>
        <v>0</v>
      </c>
      <c r="X633" s="70">
        <f>'RESUMEN TOTAL'!AK764</f>
        <v>0</v>
      </c>
      <c r="Y633" s="70">
        <f>'RESUMEN TOTAL'!AL764</f>
        <v>0</v>
      </c>
      <c r="Z633" s="70">
        <f>'RESUMEN TOTAL'!AM764</f>
        <v>0</v>
      </c>
      <c r="AA633" s="70">
        <f>'RESUMEN TOTAL'!AN764</f>
        <v>0</v>
      </c>
      <c r="AB633" s="70">
        <f>'RESUMEN TOTAL'!AO764</f>
        <v>0</v>
      </c>
      <c r="AC633" s="70">
        <f>'RESUMEN TOTAL'!AP764</f>
        <v>0</v>
      </c>
      <c r="AD633" s="70">
        <f>'RESUMEN TOTAL'!AQ764</f>
        <v>0</v>
      </c>
      <c r="AE633" s="70">
        <f>'RESUMEN TOTAL'!AR764</f>
        <v>0</v>
      </c>
      <c r="AF633" s="70">
        <f>'RESUMEN TOTAL'!AS764</f>
        <v>0</v>
      </c>
      <c r="AG633" s="70">
        <f>'RESUMEN TOTAL'!AT764</f>
        <v>0</v>
      </c>
      <c r="AH633" s="70">
        <f>'RESUMEN TOTAL'!AU764</f>
        <v>0</v>
      </c>
      <c r="AI633" s="70">
        <f>'RESUMEN TOTAL'!AV764</f>
        <v>0</v>
      </c>
      <c r="AJ633" s="70" t="e">
        <f>'RESUMEN TOTAL'!#REF!</f>
        <v>#REF!</v>
      </c>
    </row>
    <row r="634" spans="1:36" x14ac:dyDescent="0.25">
      <c r="A634">
        <f>'RESUMEN TOTAL'!F765</f>
        <v>0</v>
      </c>
      <c r="B634">
        <f>'RESUMEN TOTAL'!G765</f>
        <v>0</v>
      </c>
      <c r="C634">
        <f>'RESUMEN TOTAL'!I765</f>
        <v>0</v>
      </c>
      <c r="D634" s="30">
        <f>'RESUMEN TOTAL'!J765</f>
        <v>0</v>
      </c>
      <c r="E634" s="30">
        <f>'RESUMEN TOTAL'!K765</f>
        <v>0</v>
      </c>
      <c r="F634" s="70">
        <f>'RESUMEN TOTAL'!S765</f>
        <v>0</v>
      </c>
      <c r="G634" s="70">
        <f>'RESUMEN TOTAL'!T765</f>
        <v>0</v>
      </c>
      <c r="H634" s="70">
        <f>'RESUMEN TOTAL'!U765</f>
        <v>0</v>
      </c>
      <c r="I634" s="70">
        <f>'RESUMEN TOTAL'!V765</f>
        <v>0</v>
      </c>
      <c r="J634" s="70">
        <f>'RESUMEN TOTAL'!W765</f>
        <v>0</v>
      </c>
      <c r="K634" s="70">
        <f>'RESUMEN TOTAL'!X765</f>
        <v>0</v>
      </c>
      <c r="L634" s="70">
        <f>'RESUMEN TOTAL'!Y765</f>
        <v>0</v>
      </c>
      <c r="M634" s="70">
        <f>'RESUMEN TOTAL'!Z765</f>
        <v>0</v>
      </c>
      <c r="N634" s="70">
        <f>'RESUMEN TOTAL'!AA765</f>
        <v>0</v>
      </c>
      <c r="O634" s="70">
        <f>'RESUMEN TOTAL'!AB765</f>
        <v>0</v>
      </c>
      <c r="P634" s="70">
        <f>'RESUMEN TOTAL'!AC765</f>
        <v>0</v>
      </c>
      <c r="Q634" s="70">
        <f>'RESUMEN TOTAL'!AD765</f>
        <v>0</v>
      </c>
      <c r="R634" s="70">
        <f>'RESUMEN TOTAL'!AE765</f>
        <v>0</v>
      </c>
      <c r="S634" s="70">
        <f>'RESUMEN TOTAL'!AF765</f>
        <v>0</v>
      </c>
      <c r="T634" s="70">
        <f>'RESUMEN TOTAL'!AG765</f>
        <v>0</v>
      </c>
      <c r="U634" s="70">
        <f>'RESUMEN TOTAL'!AH765</f>
        <v>0</v>
      </c>
      <c r="V634" s="70">
        <f>'RESUMEN TOTAL'!AI765</f>
        <v>0</v>
      </c>
      <c r="W634" s="70">
        <f>'RESUMEN TOTAL'!AJ765</f>
        <v>0</v>
      </c>
      <c r="X634" s="70">
        <f>'RESUMEN TOTAL'!AK765</f>
        <v>0</v>
      </c>
      <c r="Y634" s="70">
        <f>'RESUMEN TOTAL'!AL765</f>
        <v>0</v>
      </c>
      <c r="Z634" s="70">
        <f>'RESUMEN TOTAL'!AM765</f>
        <v>0</v>
      </c>
      <c r="AA634" s="70">
        <f>'RESUMEN TOTAL'!AN765</f>
        <v>0</v>
      </c>
      <c r="AB634" s="70">
        <f>'RESUMEN TOTAL'!AO765</f>
        <v>0</v>
      </c>
      <c r="AC634" s="70">
        <f>'RESUMEN TOTAL'!AP765</f>
        <v>0</v>
      </c>
      <c r="AD634" s="70">
        <f>'RESUMEN TOTAL'!AQ765</f>
        <v>0</v>
      </c>
      <c r="AE634" s="70">
        <f>'RESUMEN TOTAL'!AR765</f>
        <v>0</v>
      </c>
      <c r="AF634" s="70">
        <f>'RESUMEN TOTAL'!AS765</f>
        <v>0</v>
      </c>
      <c r="AG634" s="70">
        <f>'RESUMEN TOTAL'!AT765</f>
        <v>0</v>
      </c>
      <c r="AH634" s="70">
        <f>'RESUMEN TOTAL'!AU765</f>
        <v>0</v>
      </c>
      <c r="AI634" s="70">
        <f>'RESUMEN TOTAL'!AV765</f>
        <v>0</v>
      </c>
      <c r="AJ634" s="70" t="e">
        <f>'RESUMEN TOTAL'!#REF!</f>
        <v>#REF!</v>
      </c>
    </row>
    <row r="635" spans="1:36" x14ac:dyDescent="0.25">
      <c r="A635">
        <f>'RESUMEN TOTAL'!F766</f>
        <v>0</v>
      </c>
      <c r="B635">
        <f>'RESUMEN TOTAL'!G766</f>
        <v>0</v>
      </c>
      <c r="C635">
        <f>'RESUMEN TOTAL'!I766</f>
        <v>0</v>
      </c>
      <c r="D635" s="30">
        <f>'RESUMEN TOTAL'!J766</f>
        <v>0</v>
      </c>
      <c r="E635" s="30">
        <f>'RESUMEN TOTAL'!K766</f>
        <v>0</v>
      </c>
      <c r="F635" s="70">
        <f>'RESUMEN TOTAL'!S766</f>
        <v>0</v>
      </c>
      <c r="G635" s="70">
        <f>'RESUMEN TOTAL'!T766</f>
        <v>0</v>
      </c>
      <c r="H635" s="70">
        <f>'RESUMEN TOTAL'!U766</f>
        <v>0</v>
      </c>
      <c r="I635" s="70">
        <f>'RESUMEN TOTAL'!V766</f>
        <v>0</v>
      </c>
      <c r="J635" s="70">
        <f>'RESUMEN TOTAL'!W766</f>
        <v>0</v>
      </c>
      <c r="K635" s="70">
        <f>'RESUMEN TOTAL'!X766</f>
        <v>0</v>
      </c>
      <c r="L635" s="70">
        <f>'RESUMEN TOTAL'!Y766</f>
        <v>0</v>
      </c>
      <c r="M635" s="70">
        <f>'RESUMEN TOTAL'!Z766</f>
        <v>0</v>
      </c>
      <c r="N635" s="70">
        <f>'RESUMEN TOTAL'!AA766</f>
        <v>0</v>
      </c>
      <c r="O635" s="70">
        <f>'RESUMEN TOTAL'!AB766</f>
        <v>0</v>
      </c>
      <c r="P635" s="70">
        <f>'RESUMEN TOTAL'!AC766</f>
        <v>0</v>
      </c>
      <c r="Q635" s="70">
        <f>'RESUMEN TOTAL'!AD766</f>
        <v>0</v>
      </c>
      <c r="R635" s="70">
        <f>'RESUMEN TOTAL'!AE766</f>
        <v>0</v>
      </c>
      <c r="S635" s="70">
        <f>'RESUMEN TOTAL'!AF766</f>
        <v>0</v>
      </c>
      <c r="T635" s="70">
        <f>'RESUMEN TOTAL'!AG766</f>
        <v>0</v>
      </c>
      <c r="U635" s="70">
        <f>'RESUMEN TOTAL'!AH766</f>
        <v>0</v>
      </c>
      <c r="V635" s="70">
        <f>'RESUMEN TOTAL'!AI766</f>
        <v>0</v>
      </c>
      <c r="W635" s="70">
        <f>'RESUMEN TOTAL'!AJ766</f>
        <v>0</v>
      </c>
      <c r="X635" s="70">
        <f>'RESUMEN TOTAL'!AK766</f>
        <v>0</v>
      </c>
      <c r="Y635" s="70">
        <f>'RESUMEN TOTAL'!AL766</f>
        <v>0</v>
      </c>
      <c r="Z635" s="70">
        <f>'RESUMEN TOTAL'!AM766</f>
        <v>0</v>
      </c>
      <c r="AA635" s="70">
        <f>'RESUMEN TOTAL'!AN766</f>
        <v>0</v>
      </c>
      <c r="AB635" s="70">
        <f>'RESUMEN TOTAL'!AO766</f>
        <v>0</v>
      </c>
      <c r="AC635" s="70">
        <f>'RESUMEN TOTAL'!AP766</f>
        <v>0</v>
      </c>
      <c r="AD635" s="70">
        <f>'RESUMEN TOTAL'!AQ766</f>
        <v>0</v>
      </c>
      <c r="AE635" s="70">
        <f>'RESUMEN TOTAL'!AR766</f>
        <v>0</v>
      </c>
      <c r="AF635" s="70">
        <f>'RESUMEN TOTAL'!AS766</f>
        <v>0</v>
      </c>
      <c r="AG635" s="70">
        <f>'RESUMEN TOTAL'!AT766</f>
        <v>0</v>
      </c>
      <c r="AH635" s="70">
        <f>'RESUMEN TOTAL'!AU766</f>
        <v>0</v>
      </c>
      <c r="AI635" s="70">
        <f>'RESUMEN TOTAL'!AV766</f>
        <v>0</v>
      </c>
      <c r="AJ635" s="70" t="e">
        <f>'RESUMEN TOTAL'!#REF!</f>
        <v>#REF!</v>
      </c>
    </row>
    <row r="636" spans="1:36" x14ac:dyDescent="0.25">
      <c r="A636">
        <f>'RESUMEN TOTAL'!F767</f>
        <v>0</v>
      </c>
      <c r="B636">
        <f>'RESUMEN TOTAL'!G767</f>
        <v>0</v>
      </c>
      <c r="C636">
        <f>'RESUMEN TOTAL'!I767</f>
        <v>0</v>
      </c>
      <c r="D636" s="30">
        <f>'RESUMEN TOTAL'!J767</f>
        <v>0</v>
      </c>
      <c r="E636" s="30">
        <f>'RESUMEN TOTAL'!K767</f>
        <v>0</v>
      </c>
      <c r="F636" s="70">
        <f>'RESUMEN TOTAL'!S767</f>
        <v>0</v>
      </c>
      <c r="G636" s="70">
        <f>'RESUMEN TOTAL'!T767</f>
        <v>0</v>
      </c>
      <c r="H636" s="70">
        <f>'RESUMEN TOTAL'!U767</f>
        <v>0</v>
      </c>
      <c r="I636" s="70">
        <f>'RESUMEN TOTAL'!V767</f>
        <v>0</v>
      </c>
      <c r="J636" s="70">
        <f>'RESUMEN TOTAL'!W767</f>
        <v>0</v>
      </c>
      <c r="K636" s="70">
        <f>'RESUMEN TOTAL'!X767</f>
        <v>0</v>
      </c>
      <c r="L636" s="70">
        <f>'RESUMEN TOTAL'!Y767</f>
        <v>0</v>
      </c>
      <c r="M636" s="70">
        <f>'RESUMEN TOTAL'!Z767</f>
        <v>0</v>
      </c>
      <c r="N636" s="70">
        <f>'RESUMEN TOTAL'!AA767</f>
        <v>0</v>
      </c>
      <c r="O636" s="70">
        <f>'RESUMEN TOTAL'!AB767</f>
        <v>0</v>
      </c>
      <c r="P636" s="70">
        <f>'RESUMEN TOTAL'!AC767</f>
        <v>0</v>
      </c>
      <c r="Q636" s="70">
        <f>'RESUMEN TOTAL'!AD767</f>
        <v>0</v>
      </c>
      <c r="R636" s="70">
        <f>'RESUMEN TOTAL'!AE767</f>
        <v>0</v>
      </c>
      <c r="S636" s="70">
        <f>'RESUMEN TOTAL'!AF767</f>
        <v>0</v>
      </c>
      <c r="T636" s="70">
        <f>'RESUMEN TOTAL'!AG767</f>
        <v>0</v>
      </c>
      <c r="U636" s="70">
        <f>'RESUMEN TOTAL'!AH767</f>
        <v>0</v>
      </c>
      <c r="V636" s="70">
        <f>'RESUMEN TOTAL'!AI767</f>
        <v>0</v>
      </c>
      <c r="W636" s="70">
        <f>'RESUMEN TOTAL'!AJ767</f>
        <v>0</v>
      </c>
      <c r="X636" s="70">
        <f>'RESUMEN TOTAL'!AK767</f>
        <v>0</v>
      </c>
      <c r="Y636" s="70">
        <f>'RESUMEN TOTAL'!AL767</f>
        <v>0</v>
      </c>
      <c r="Z636" s="70">
        <f>'RESUMEN TOTAL'!AM767</f>
        <v>0</v>
      </c>
      <c r="AA636" s="70">
        <f>'RESUMEN TOTAL'!AN767</f>
        <v>0</v>
      </c>
      <c r="AB636" s="70">
        <f>'RESUMEN TOTAL'!AO767</f>
        <v>0</v>
      </c>
      <c r="AC636" s="70">
        <f>'RESUMEN TOTAL'!AP767</f>
        <v>0</v>
      </c>
      <c r="AD636" s="70">
        <f>'RESUMEN TOTAL'!AQ767</f>
        <v>0</v>
      </c>
      <c r="AE636" s="70">
        <f>'RESUMEN TOTAL'!AR767</f>
        <v>0</v>
      </c>
      <c r="AF636" s="70">
        <f>'RESUMEN TOTAL'!AS767</f>
        <v>0</v>
      </c>
      <c r="AG636" s="70">
        <f>'RESUMEN TOTAL'!AT767</f>
        <v>0</v>
      </c>
      <c r="AH636" s="70">
        <f>'RESUMEN TOTAL'!AU767</f>
        <v>0</v>
      </c>
      <c r="AI636" s="70">
        <f>'RESUMEN TOTAL'!AV767</f>
        <v>0</v>
      </c>
      <c r="AJ636" s="70" t="e">
        <f>'RESUMEN TOTAL'!#REF!</f>
        <v>#REF!</v>
      </c>
    </row>
    <row r="637" spans="1:36" x14ac:dyDescent="0.25">
      <c r="A637">
        <f>'RESUMEN TOTAL'!F768</f>
        <v>0</v>
      </c>
      <c r="B637">
        <f>'RESUMEN TOTAL'!G768</f>
        <v>0</v>
      </c>
      <c r="C637">
        <f>'RESUMEN TOTAL'!I768</f>
        <v>0</v>
      </c>
      <c r="D637" s="30">
        <f>'RESUMEN TOTAL'!J768</f>
        <v>0</v>
      </c>
      <c r="E637" s="30">
        <f>'RESUMEN TOTAL'!K768</f>
        <v>0</v>
      </c>
      <c r="F637" s="70">
        <f>'RESUMEN TOTAL'!S768</f>
        <v>0</v>
      </c>
      <c r="G637" s="70">
        <f>'RESUMEN TOTAL'!T768</f>
        <v>0</v>
      </c>
      <c r="H637" s="70">
        <f>'RESUMEN TOTAL'!U768</f>
        <v>0</v>
      </c>
      <c r="I637" s="70">
        <f>'RESUMEN TOTAL'!V768</f>
        <v>0</v>
      </c>
      <c r="J637" s="70">
        <f>'RESUMEN TOTAL'!W768</f>
        <v>0</v>
      </c>
      <c r="K637" s="70">
        <f>'RESUMEN TOTAL'!X768</f>
        <v>0</v>
      </c>
      <c r="L637" s="70">
        <f>'RESUMEN TOTAL'!Y768</f>
        <v>0</v>
      </c>
      <c r="M637" s="70">
        <f>'RESUMEN TOTAL'!Z768</f>
        <v>0</v>
      </c>
      <c r="N637" s="70">
        <f>'RESUMEN TOTAL'!AA768</f>
        <v>0</v>
      </c>
      <c r="O637" s="70">
        <f>'RESUMEN TOTAL'!AB768</f>
        <v>0</v>
      </c>
      <c r="P637" s="70">
        <f>'RESUMEN TOTAL'!AC768</f>
        <v>0</v>
      </c>
      <c r="Q637" s="70">
        <f>'RESUMEN TOTAL'!AD768</f>
        <v>0</v>
      </c>
      <c r="R637" s="70">
        <f>'RESUMEN TOTAL'!AE768</f>
        <v>0</v>
      </c>
      <c r="S637" s="70">
        <f>'RESUMEN TOTAL'!AF768</f>
        <v>0</v>
      </c>
      <c r="T637" s="70">
        <f>'RESUMEN TOTAL'!AG768</f>
        <v>0</v>
      </c>
      <c r="U637" s="70">
        <f>'RESUMEN TOTAL'!AH768</f>
        <v>0</v>
      </c>
      <c r="V637" s="70">
        <f>'RESUMEN TOTAL'!AI768</f>
        <v>0</v>
      </c>
      <c r="W637" s="70">
        <f>'RESUMEN TOTAL'!AJ768</f>
        <v>0</v>
      </c>
      <c r="X637" s="70">
        <f>'RESUMEN TOTAL'!AK768</f>
        <v>0</v>
      </c>
      <c r="Y637" s="70">
        <f>'RESUMEN TOTAL'!AL768</f>
        <v>0</v>
      </c>
      <c r="Z637" s="70">
        <f>'RESUMEN TOTAL'!AM768</f>
        <v>0</v>
      </c>
      <c r="AA637" s="70">
        <f>'RESUMEN TOTAL'!AN768</f>
        <v>0</v>
      </c>
      <c r="AB637" s="70">
        <f>'RESUMEN TOTAL'!AO768</f>
        <v>0</v>
      </c>
      <c r="AC637" s="70">
        <f>'RESUMEN TOTAL'!AP768</f>
        <v>0</v>
      </c>
      <c r="AD637" s="70">
        <f>'RESUMEN TOTAL'!AQ768</f>
        <v>0</v>
      </c>
      <c r="AE637" s="70">
        <f>'RESUMEN TOTAL'!AR768</f>
        <v>0</v>
      </c>
      <c r="AF637" s="70">
        <f>'RESUMEN TOTAL'!AS768</f>
        <v>0</v>
      </c>
      <c r="AG637" s="70">
        <f>'RESUMEN TOTAL'!AT768</f>
        <v>0</v>
      </c>
      <c r="AH637" s="70">
        <f>'RESUMEN TOTAL'!AU768</f>
        <v>0</v>
      </c>
      <c r="AI637" s="70">
        <f>'RESUMEN TOTAL'!AV768</f>
        <v>0</v>
      </c>
      <c r="AJ637" s="70" t="e">
        <f>'RESUMEN TOTAL'!#REF!</f>
        <v>#REF!</v>
      </c>
    </row>
    <row r="638" spans="1:36" x14ac:dyDescent="0.25">
      <c r="A638">
        <f>'RESUMEN TOTAL'!F769</f>
        <v>0</v>
      </c>
      <c r="B638">
        <f>'RESUMEN TOTAL'!G769</f>
        <v>0</v>
      </c>
      <c r="C638">
        <f>'RESUMEN TOTAL'!I769</f>
        <v>0</v>
      </c>
      <c r="D638" s="30">
        <f>'RESUMEN TOTAL'!J769</f>
        <v>0</v>
      </c>
      <c r="E638" s="30">
        <f>'RESUMEN TOTAL'!K769</f>
        <v>0</v>
      </c>
      <c r="F638" s="70">
        <f>'RESUMEN TOTAL'!S769</f>
        <v>0</v>
      </c>
      <c r="G638" s="70">
        <f>'RESUMEN TOTAL'!T769</f>
        <v>0</v>
      </c>
      <c r="H638" s="70">
        <f>'RESUMEN TOTAL'!U769</f>
        <v>0</v>
      </c>
      <c r="I638" s="70">
        <f>'RESUMEN TOTAL'!V769</f>
        <v>0</v>
      </c>
      <c r="J638" s="70">
        <f>'RESUMEN TOTAL'!W769</f>
        <v>0</v>
      </c>
      <c r="K638" s="70">
        <f>'RESUMEN TOTAL'!X769</f>
        <v>0</v>
      </c>
      <c r="L638" s="70">
        <f>'RESUMEN TOTAL'!Y769</f>
        <v>0</v>
      </c>
      <c r="M638" s="70">
        <f>'RESUMEN TOTAL'!Z769</f>
        <v>0</v>
      </c>
      <c r="N638" s="70">
        <f>'RESUMEN TOTAL'!AA769</f>
        <v>0</v>
      </c>
      <c r="O638" s="70">
        <f>'RESUMEN TOTAL'!AB769</f>
        <v>0</v>
      </c>
      <c r="P638" s="70">
        <f>'RESUMEN TOTAL'!AC769</f>
        <v>0</v>
      </c>
      <c r="Q638" s="70">
        <f>'RESUMEN TOTAL'!AD769</f>
        <v>0</v>
      </c>
      <c r="R638" s="70">
        <f>'RESUMEN TOTAL'!AE769</f>
        <v>0</v>
      </c>
      <c r="S638" s="70">
        <f>'RESUMEN TOTAL'!AF769</f>
        <v>0</v>
      </c>
      <c r="T638" s="70">
        <f>'RESUMEN TOTAL'!AG769</f>
        <v>0</v>
      </c>
      <c r="U638" s="70">
        <f>'RESUMEN TOTAL'!AH769</f>
        <v>0</v>
      </c>
      <c r="V638" s="70">
        <f>'RESUMEN TOTAL'!AI769</f>
        <v>0</v>
      </c>
      <c r="W638" s="70">
        <f>'RESUMEN TOTAL'!AJ769</f>
        <v>0</v>
      </c>
      <c r="X638" s="70">
        <f>'RESUMEN TOTAL'!AK769</f>
        <v>0</v>
      </c>
      <c r="Y638" s="70">
        <f>'RESUMEN TOTAL'!AL769</f>
        <v>0</v>
      </c>
      <c r="Z638" s="70">
        <f>'RESUMEN TOTAL'!AM769</f>
        <v>0</v>
      </c>
      <c r="AA638" s="70">
        <f>'RESUMEN TOTAL'!AN769</f>
        <v>0</v>
      </c>
      <c r="AB638" s="70">
        <f>'RESUMEN TOTAL'!AO769</f>
        <v>0</v>
      </c>
      <c r="AC638" s="70">
        <f>'RESUMEN TOTAL'!AP769</f>
        <v>0</v>
      </c>
      <c r="AD638" s="70">
        <f>'RESUMEN TOTAL'!AQ769</f>
        <v>0</v>
      </c>
      <c r="AE638" s="70">
        <f>'RESUMEN TOTAL'!AR769</f>
        <v>0</v>
      </c>
      <c r="AF638" s="70">
        <f>'RESUMEN TOTAL'!AS769</f>
        <v>0</v>
      </c>
      <c r="AG638" s="70">
        <f>'RESUMEN TOTAL'!AT769</f>
        <v>0</v>
      </c>
      <c r="AH638" s="70">
        <f>'RESUMEN TOTAL'!AU769</f>
        <v>0</v>
      </c>
      <c r="AI638" s="70">
        <f>'RESUMEN TOTAL'!AV769</f>
        <v>0</v>
      </c>
      <c r="AJ638" s="70" t="e">
        <f>'RESUMEN TOTAL'!#REF!</f>
        <v>#REF!</v>
      </c>
    </row>
    <row r="639" spans="1:36" x14ac:dyDescent="0.25">
      <c r="A639">
        <f>'RESUMEN TOTAL'!F770</f>
        <v>0</v>
      </c>
      <c r="B639">
        <f>'RESUMEN TOTAL'!G770</f>
        <v>0</v>
      </c>
      <c r="C639">
        <f>'RESUMEN TOTAL'!I770</f>
        <v>0</v>
      </c>
      <c r="D639" s="30">
        <f>'RESUMEN TOTAL'!J770</f>
        <v>0</v>
      </c>
      <c r="E639" s="30">
        <f>'RESUMEN TOTAL'!K770</f>
        <v>0</v>
      </c>
      <c r="F639" s="70">
        <f>'RESUMEN TOTAL'!S770</f>
        <v>0</v>
      </c>
      <c r="G639" s="70">
        <f>'RESUMEN TOTAL'!T770</f>
        <v>0</v>
      </c>
      <c r="H639" s="70">
        <f>'RESUMEN TOTAL'!U770</f>
        <v>0</v>
      </c>
      <c r="I639" s="70">
        <f>'RESUMEN TOTAL'!V770</f>
        <v>0</v>
      </c>
      <c r="J639" s="70">
        <f>'RESUMEN TOTAL'!W770</f>
        <v>0</v>
      </c>
      <c r="K639" s="70">
        <f>'RESUMEN TOTAL'!X770</f>
        <v>0</v>
      </c>
      <c r="L639" s="70">
        <f>'RESUMEN TOTAL'!Y770</f>
        <v>0</v>
      </c>
      <c r="M639" s="70">
        <f>'RESUMEN TOTAL'!Z770</f>
        <v>0</v>
      </c>
      <c r="N639" s="70">
        <f>'RESUMEN TOTAL'!AA770</f>
        <v>0</v>
      </c>
      <c r="O639" s="70">
        <f>'RESUMEN TOTAL'!AB770</f>
        <v>0</v>
      </c>
      <c r="P639" s="70">
        <f>'RESUMEN TOTAL'!AC770</f>
        <v>0</v>
      </c>
      <c r="Q639" s="70">
        <f>'RESUMEN TOTAL'!AD770</f>
        <v>0</v>
      </c>
      <c r="R639" s="70">
        <f>'RESUMEN TOTAL'!AE770</f>
        <v>0</v>
      </c>
      <c r="S639" s="70">
        <f>'RESUMEN TOTAL'!AF770</f>
        <v>0</v>
      </c>
      <c r="T639" s="70">
        <f>'RESUMEN TOTAL'!AG770</f>
        <v>0</v>
      </c>
      <c r="U639" s="70">
        <f>'RESUMEN TOTAL'!AH770</f>
        <v>0</v>
      </c>
      <c r="V639" s="70">
        <f>'RESUMEN TOTAL'!AI770</f>
        <v>0</v>
      </c>
      <c r="W639" s="70">
        <f>'RESUMEN TOTAL'!AJ770</f>
        <v>0</v>
      </c>
      <c r="X639" s="70">
        <f>'RESUMEN TOTAL'!AK770</f>
        <v>0</v>
      </c>
      <c r="Y639" s="70">
        <f>'RESUMEN TOTAL'!AL770</f>
        <v>0</v>
      </c>
      <c r="Z639" s="70">
        <f>'RESUMEN TOTAL'!AM770</f>
        <v>0</v>
      </c>
      <c r="AA639" s="70">
        <f>'RESUMEN TOTAL'!AN770</f>
        <v>0</v>
      </c>
      <c r="AB639" s="70">
        <f>'RESUMEN TOTAL'!AO770</f>
        <v>0</v>
      </c>
      <c r="AC639" s="70">
        <f>'RESUMEN TOTAL'!AP770</f>
        <v>0</v>
      </c>
      <c r="AD639" s="70">
        <f>'RESUMEN TOTAL'!AQ770</f>
        <v>0</v>
      </c>
      <c r="AE639" s="70">
        <f>'RESUMEN TOTAL'!AR770</f>
        <v>0</v>
      </c>
      <c r="AF639" s="70">
        <f>'RESUMEN TOTAL'!AS770</f>
        <v>0</v>
      </c>
      <c r="AG639" s="70">
        <f>'RESUMEN TOTAL'!AT770</f>
        <v>0</v>
      </c>
      <c r="AH639" s="70">
        <f>'RESUMEN TOTAL'!AU770</f>
        <v>0</v>
      </c>
      <c r="AI639" s="70">
        <f>'RESUMEN TOTAL'!AV770</f>
        <v>0</v>
      </c>
      <c r="AJ639" s="70" t="e">
        <f>'RESUMEN TOTAL'!#REF!</f>
        <v>#REF!</v>
      </c>
    </row>
    <row r="640" spans="1:36" x14ac:dyDescent="0.25">
      <c r="A640">
        <f>'RESUMEN TOTAL'!F771</f>
        <v>0</v>
      </c>
      <c r="B640">
        <f>'RESUMEN TOTAL'!G771</f>
        <v>0</v>
      </c>
      <c r="C640">
        <f>'RESUMEN TOTAL'!I771</f>
        <v>0</v>
      </c>
      <c r="D640" s="30">
        <f>'RESUMEN TOTAL'!J771</f>
        <v>0</v>
      </c>
      <c r="E640" s="30">
        <f>'RESUMEN TOTAL'!K771</f>
        <v>0</v>
      </c>
      <c r="F640" s="70">
        <f>'RESUMEN TOTAL'!S771</f>
        <v>0</v>
      </c>
      <c r="G640" s="70">
        <f>'RESUMEN TOTAL'!T771</f>
        <v>0</v>
      </c>
      <c r="H640" s="70">
        <f>'RESUMEN TOTAL'!U771</f>
        <v>0</v>
      </c>
      <c r="I640" s="70">
        <f>'RESUMEN TOTAL'!V771</f>
        <v>0</v>
      </c>
      <c r="J640" s="70">
        <f>'RESUMEN TOTAL'!W771</f>
        <v>0</v>
      </c>
      <c r="K640" s="70">
        <f>'RESUMEN TOTAL'!X771</f>
        <v>0</v>
      </c>
      <c r="L640" s="70">
        <f>'RESUMEN TOTAL'!Y771</f>
        <v>0</v>
      </c>
      <c r="M640" s="70">
        <f>'RESUMEN TOTAL'!Z771</f>
        <v>0</v>
      </c>
      <c r="N640" s="70">
        <f>'RESUMEN TOTAL'!AA771</f>
        <v>0</v>
      </c>
      <c r="O640" s="70">
        <f>'RESUMEN TOTAL'!AB771</f>
        <v>0</v>
      </c>
      <c r="P640" s="70">
        <f>'RESUMEN TOTAL'!AC771</f>
        <v>0</v>
      </c>
      <c r="Q640" s="70">
        <f>'RESUMEN TOTAL'!AD771</f>
        <v>0</v>
      </c>
      <c r="R640" s="70">
        <f>'RESUMEN TOTAL'!AE771</f>
        <v>0</v>
      </c>
      <c r="S640" s="70">
        <f>'RESUMEN TOTAL'!AF771</f>
        <v>0</v>
      </c>
      <c r="T640" s="70">
        <f>'RESUMEN TOTAL'!AG771</f>
        <v>0</v>
      </c>
      <c r="U640" s="70">
        <f>'RESUMEN TOTAL'!AH771</f>
        <v>0</v>
      </c>
      <c r="V640" s="70">
        <f>'RESUMEN TOTAL'!AI771</f>
        <v>0</v>
      </c>
      <c r="W640" s="70">
        <f>'RESUMEN TOTAL'!AJ771</f>
        <v>0</v>
      </c>
      <c r="X640" s="70">
        <f>'RESUMEN TOTAL'!AK771</f>
        <v>0</v>
      </c>
      <c r="Y640" s="70">
        <f>'RESUMEN TOTAL'!AL771</f>
        <v>0</v>
      </c>
      <c r="Z640" s="70">
        <f>'RESUMEN TOTAL'!AM771</f>
        <v>0</v>
      </c>
      <c r="AA640" s="70">
        <f>'RESUMEN TOTAL'!AN771</f>
        <v>0</v>
      </c>
      <c r="AB640" s="70">
        <f>'RESUMEN TOTAL'!AO771</f>
        <v>0</v>
      </c>
      <c r="AC640" s="70">
        <f>'RESUMEN TOTAL'!AP771</f>
        <v>0</v>
      </c>
      <c r="AD640" s="70">
        <f>'RESUMEN TOTAL'!AQ771</f>
        <v>0</v>
      </c>
      <c r="AE640" s="70">
        <f>'RESUMEN TOTAL'!AR771</f>
        <v>0</v>
      </c>
      <c r="AF640" s="70">
        <f>'RESUMEN TOTAL'!AS771</f>
        <v>0</v>
      </c>
      <c r="AG640" s="70">
        <f>'RESUMEN TOTAL'!AT771</f>
        <v>0</v>
      </c>
      <c r="AH640" s="70">
        <f>'RESUMEN TOTAL'!AU771</f>
        <v>0</v>
      </c>
      <c r="AI640" s="70">
        <f>'RESUMEN TOTAL'!AV771</f>
        <v>0</v>
      </c>
      <c r="AJ640" s="70" t="e">
        <f>'RESUMEN TOTAL'!#REF!</f>
        <v>#REF!</v>
      </c>
    </row>
    <row r="641" spans="1:36" x14ac:dyDescent="0.25">
      <c r="A641">
        <f>'RESUMEN TOTAL'!F772</f>
        <v>0</v>
      </c>
      <c r="B641">
        <f>'RESUMEN TOTAL'!G772</f>
        <v>0</v>
      </c>
      <c r="C641">
        <f>'RESUMEN TOTAL'!I772</f>
        <v>0</v>
      </c>
      <c r="D641" s="30">
        <f>'RESUMEN TOTAL'!J772</f>
        <v>0</v>
      </c>
      <c r="E641" s="30">
        <f>'RESUMEN TOTAL'!K772</f>
        <v>0</v>
      </c>
      <c r="F641" s="70">
        <f>'RESUMEN TOTAL'!S772</f>
        <v>0</v>
      </c>
      <c r="G641" s="70">
        <f>'RESUMEN TOTAL'!T772</f>
        <v>0</v>
      </c>
      <c r="H641" s="70">
        <f>'RESUMEN TOTAL'!U772</f>
        <v>0</v>
      </c>
      <c r="I641" s="70">
        <f>'RESUMEN TOTAL'!V772</f>
        <v>0</v>
      </c>
      <c r="J641" s="70">
        <f>'RESUMEN TOTAL'!W772</f>
        <v>0</v>
      </c>
      <c r="K641" s="70">
        <f>'RESUMEN TOTAL'!X772</f>
        <v>0</v>
      </c>
      <c r="L641" s="70">
        <f>'RESUMEN TOTAL'!Y772</f>
        <v>0</v>
      </c>
      <c r="M641" s="70">
        <f>'RESUMEN TOTAL'!Z772</f>
        <v>0</v>
      </c>
      <c r="N641" s="70">
        <f>'RESUMEN TOTAL'!AA772</f>
        <v>0</v>
      </c>
      <c r="O641" s="70">
        <f>'RESUMEN TOTAL'!AB772</f>
        <v>0</v>
      </c>
      <c r="P641" s="70">
        <f>'RESUMEN TOTAL'!AC772</f>
        <v>0</v>
      </c>
      <c r="Q641" s="70">
        <f>'RESUMEN TOTAL'!AD772</f>
        <v>0</v>
      </c>
      <c r="R641" s="70">
        <f>'RESUMEN TOTAL'!AE772</f>
        <v>0</v>
      </c>
      <c r="S641" s="70">
        <f>'RESUMEN TOTAL'!AF772</f>
        <v>0</v>
      </c>
      <c r="T641" s="70">
        <f>'RESUMEN TOTAL'!AG772</f>
        <v>0</v>
      </c>
      <c r="U641" s="70">
        <f>'RESUMEN TOTAL'!AH772</f>
        <v>0</v>
      </c>
      <c r="V641" s="70">
        <f>'RESUMEN TOTAL'!AI772</f>
        <v>0</v>
      </c>
      <c r="W641" s="70">
        <f>'RESUMEN TOTAL'!AJ772</f>
        <v>0</v>
      </c>
      <c r="X641" s="70">
        <f>'RESUMEN TOTAL'!AK772</f>
        <v>0</v>
      </c>
      <c r="Y641" s="70">
        <f>'RESUMEN TOTAL'!AL772</f>
        <v>0</v>
      </c>
      <c r="Z641" s="70">
        <f>'RESUMEN TOTAL'!AM772</f>
        <v>0</v>
      </c>
      <c r="AA641" s="70">
        <f>'RESUMEN TOTAL'!AN772</f>
        <v>0</v>
      </c>
      <c r="AB641" s="70">
        <f>'RESUMEN TOTAL'!AO772</f>
        <v>0</v>
      </c>
      <c r="AC641" s="70">
        <f>'RESUMEN TOTAL'!AP772</f>
        <v>0</v>
      </c>
      <c r="AD641" s="70">
        <f>'RESUMEN TOTAL'!AQ772</f>
        <v>0</v>
      </c>
      <c r="AE641" s="70">
        <f>'RESUMEN TOTAL'!AR772</f>
        <v>0</v>
      </c>
      <c r="AF641" s="70">
        <f>'RESUMEN TOTAL'!AS772</f>
        <v>0</v>
      </c>
      <c r="AG641" s="70">
        <f>'RESUMEN TOTAL'!AT772</f>
        <v>0</v>
      </c>
      <c r="AH641" s="70">
        <f>'RESUMEN TOTAL'!AU772</f>
        <v>0</v>
      </c>
      <c r="AI641" s="70">
        <f>'RESUMEN TOTAL'!AV772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TOTAL'!S773</f>
        <v>0</v>
      </c>
      <c r="G642" s="70">
        <f>'RESUMEN TOTAL'!T773</f>
        <v>0</v>
      </c>
      <c r="H642" s="70">
        <f>'RESUMEN TOTAL'!U773</f>
        <v>0</v>
      </c>
      <c r="I642" s="70">
        <f>'RESUMEN TOTAL'!V773</f>
        <v>0</v>
      </c>
      <c r="J642" s="70">
        <f>'RESUMEN TOTAL'!W773</f>
        <v>0</v>
      </c>
      <c r="K642" s="70">
        <f>'RESUMEN TOTAL'!X773</f>
        <v>0</v>
      </c>
      <c r="L642" s="70">
        <f>'RESUMEN TOTAL'!Y773</f>
        <v>0</v>
      </c>
      <c r="M642" s="70">
        <f>'RESUMEN TOTAL'!Z773</f>
        <v>0</v>
      </c>
      <c r="N642" s="70">
        <f>'RESUMEN TOTAL'!AA773</f>
        <v>0</v>
      </c>
      <c r="O642" s="70">
        <f>'RESUMEN TOTAL'!AB773</f>
        <v>0</v>
      </c>
      <c r="P642" s="70">
        <f>'RESUMEN TOTAL'!AC773</f>
        <v>0</v>
      </c>
      <c r="Q642" s="70">
        <f>'RESUMEN TOTAL'!AD773</f>
        <v>0</v>
      </c>
      <c r="R642" s="70">
        <f>'RESUMEN TOTAL'!AE773</f>
        <v>0</v>
      </c>
      <c r="S642" s="70">
        <f>'RESUMEN TOTAL'!AF773</f>
        <v>0</v>
      </c>
      <c r="T642" s="70">
        <f>'RESUMEN TOTAL'!AG773</f>
        <v>0</v>
      </c>
      <c r="U642" s="70">
        <f>'RESUMEN TOTAL'!AH773</f>
        <v>0</v>
      </c>
      <c r="V642" s="70">
        <f>'RESUMEN TOTAL'!AI773</f>
        <v>0</v>
      </c>
      <c r="W642" s="70">
        <f>'RESUMEN TOTAL'!AJ773</f>
        <v>0</v>
      </c>
      <c r="X642" s="70">
        <f>'RESUMEN TOTAL'!AK773</f>
        <v>0</v>
      </c>
      <c r="Y642" s="70">
        <f>'RESUMEN TOTAL'!AL773</f>
        <v>0</v>
      </c>
      <c r="Z642" s="70">
        <f>'RESUMEN TOTAL'!AM773</f>
        <v>0</v>
      </c>
      <c r="AA642" s="70">
        <f>'RESUMEN TOTAL'!AN773</f>
        <v>0</v>
      </c>
      <c r="AB642" s="70">
        <f>'RESUMEN TOTAL'!AO773</f>
        <v>0</v>
      </c>
      <c r="AC642" s="70">
        <f>'RESUMEN TOTAL'!AP773</f>
        <v>0</v>
      </c>
      <c r="AD642" s="70">
        <f>'RESUMEN TOTAL'!AQ773</f>
        <v>0</v>
      </c>
      <c r="AE642" s="70">
        <f>'RESUMEN TOTAL'!AR773</f>
        <v>0</v>
      </c>
      <c r="AF642" s="70">
        <f>'RESUMEN TOTAL'!AS773</f>
        <v>0</v>
      </c>
      <c r="AG642" s="70">
        <f>'RESUMEN TOTAL'!AT773</f>
        <v>0</v>
      </c>
      <c r="AH642" s="70">
        <f>'RESUMEN TOTAL'!AU773</f>
        <v>0</v>
      </c>
      <c r="AI642" s="70">
        <f>'RESUMEN TOTAL'!AV773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TOTAL'!S774</f>
        <v>0</v>
      </c>
      <c r="G643" s="70">
        <f>'RESUMEN TOTAL'!T774</f>
        <v>0</v>
      </c>
      <c r="H643" s="70">
        <f>'RESUMEN TOTAL'!U774</f>
        <v>0</v>
      </c>
      <c r="I643" s="70">
        <f>'RESUMEN TOTAL'!V774</f>
        <v>0</v>
      </c>
      <c r="J643" s="70">
        <f>'RESUMEN TOTAL'!W774</f>
        <v>0</v>
      </c>
      <c r="K643" s="70">
        <f>'RESUMEN TOTAL'!X774</f>
        <v>0</v>
      </c>
      <c r="L643" s="70">
        <f>'RESUMEN TOTAL'!Y774</f>
        <v>0</v>
      </c>
      <c r="M643" s="70">
        <f>'RESUMEN TOTAL'!Z774</f>
        <v>0</v>
      </c>
      <c r="N643" s="70">
        <f>'RESUMEN TOTAL'!AA774</f>
        <v>0</v>
      </c>
      <c r="O643" s="70">
        <f>'RESUMEN TOTAL'!AB774</f>
        <v>0</v>
      </c>
      <c r="P643" s="70">
        <f>'RESUMEN TOTAL'!AC774</f>
        <v>0</v>
      </c>
      <c r="Q643" s="70">
        <f>'RESUMEN TOTAL'!AD774</f>
        <v>0</v>
      </c>
      <c r="R643" s="70">
        <f>'RESUMEN TOTAL'!AE774</f>
        <v>0</v>
      </c>
      <c r="S643" s="70">
        <f>'RESUMEN TOTAL'!AF774</f>
        <v>0</v>
      </c>
      <c r="T643" s="70">
        <f>'RESUMEN TOTAL'!AG774</f>
        <v>0</v>
      </c>
      <c r="U643" s="70">
        <f>'RESUMEN TOTAL'!AH774</f>
        <v>0</v>
      </c>
      <c r="V643" s="70">
        <f>'RESUMEN TOTAL'!AI774</f>
        <v>0</v>
      </c>
      <c r="W643" s="70">
        <f>'RESUMEN TOTAL'!AJ774</f>
        <v>0</v>
      </c>
      <c r="X643" s="70">
        <f>'RESUMEN TOTAL'!AK774</f>
        <v>0</v>
      </c>
      <c r="Y643" s="70">
        <f>'RESUMEN TOTAL'!AL774</f>
        <v>0</v>
      </c>
      <c r="Z643" s="70">
        <f>'RESUMEN TOTAL'!AM774</f>
        <v>0</v>
      </c>
      <c r="AA643" s="70">
        <f>'RESUMEN TOTAL'!AN774</f>
        <v>0</v>
      </c>
      <c r="AB643" s="70">
        <f>'RESUMEN TOTAL'!AO774</f>
        <v>0</v>
      </c>
      <c r="AC643" s="70">
        <f>'RESUMEN TOTAL'!AP774</f>
        <v>0</v>
      </c>
      <c r="AD643" s="70">
        <f>'RESUMEN TOTAL'!AQ774</f>
        <v>0</v>
      </c>
      <c r="AE643" s="70">
        <f>'RESUMEN TOTAL'!AR774</f>
        <v>0</v>
      </c>
      <c r="AF643" s="70">
        <f>'RESUMEN TOTAL'!AS774</f>
        <v>0</v>
      </c>
      <c r="AG643" s="70">
        <f>'RESUMEN TOTAL'!AT774</f>
        <v>0</v>
      </c>
      <c r="AH643" s="70">
        <f>'RESUMEN TOTAL'!AU774</f>
        <v>0</v>
      </c>
      <c r="AI643" s="70">
        <f>'RESUMEN TOTAL'!AV774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10" priority="97" operator="containsText" text="fija">
      <formula>NOT(ISERROR(SEARCH("fija",D4)))</formula>
    </cfRule>
    <cfRule type="containsText" dxfId="109" priority="98" operator="containsText" text="domo">
      <formula>NOT(ISERROR(SEARCH("domo",D4)))</formula>
    </cfRule>
    <cfRule type="cellIs" dxfId="108" priority="924" operator="equal">
      <formula>$D$7</formula>
    </cfRule>
  </conditionalFormatting>
  <conditionalFormatting sqref="D439">
    <cfRule type="containsText" dxfId="107" priority="69" operator="containsText" text="Radio">
      <formula>NOT(ISERROR(SEARCH("Radio",D439)))</formula>
    </cfRule>
    <cfRule type="containsText" dxfId="106" priority="68" operator="containsText" text="domo">
      <formula>NOT(ISERROR(SEARCH("domo",D439)))</formula>
    </cfRule>
    <cfRule type="containsText" dxfId="105" priority="67" operator="containsText" text="fija">
      <formula>NOT(ISERROR(SEARCH("fija",D439)))</formula>
    </cfRule>
  </conditionalFormatting>
  <conditionalFormatting sqref="D439:D440">
    <cfRule type="containsText" dxfId="104" priority="65" operator="containsText" text="domo">
      <formula>NOT(ISERROR(SEARCH("domo",D439)))</formula>
    </cfRule>
    <cfRule type="containsText" dxfId="103" priority="64" operator="containsText" text="fija">
      <formula>NOT(ISERROR(SEARCH("fija",D439)))</formula>
    </cfRule>
  </conditionalFormatting>
  <conditionalFormatting sqref="D440">
    <cfRule type="containsText" dxfId="102" priority="66" operator="containsText" text="Radio">
      <formula>NOT(ISERROR(SEARCH("Radio",D440)))</formula>
    </cfRule>
    <cfRule type="containsText" dxfId="101" priority="63" operator="containsText" text="domo">
      <formula>NOT(ISERROR(SEARCH("domo",D440)))</formula>
    </cfRule>
    <cfRule type="containsText" dxfId="100" priority="62" operator="containsText" text="fija">
      <formula>NOT(ISERROR(SEARCH("fija",D440)))</formula>
    </cfRule>
  </conditionalFormatting>
  <conditionalFormatting sqref="D443">
    <cfRule type="containsText" dxfId="99" priority="59" operator="containsText" text="fija">
      <formula>NOT(ISERROR(SEARCH("fija",D443)))</formula>
    </cfRule>
    <cfRule type="containsText" dxfId="98" priority="61" operator="containsText" text="Radio">
      <formula>NOT(ISERROR(SEARCH("Radio",D443)))</formula>
    </cfRule>
    <cfRule type="containsText" dxfId="97" priority="60" operator="containsText" text="domo">
      <formula>NOT(ISERROR(SEARCH("domo",D443)))</formula>
    </cfRule>
  </conditionalFormatting>
  <conditionalFormatting sqref="D443:D444">
    <cfRule type="containsText" dxfId="96" priority="56" operator="containsText" text="fija">
      <formula>NOT(ISERROR(SEARCH("fija",D443)))</formula>
    </cfRule>
    <cfRule type="containsText" dxfId="95" priority="57" operator="containsText" text="domo">
      <formula>NOT(ISERROR(SEARCH("domo",D443)))</formula>
    </cfRule>
  </conditionalFormatting>
  <conditionalFormatting sqref="D444:D445">
    <cfRule type="containsText" dxfId="94" priority="54" operator="containsText" text="domo">
      <formula>NOT(ISERROR(SEARCH("domo",D444)))</formula>
    </cfRule>
    <cfRule type="containsText" dxfId="93" priority="53" operator="containsText" text="fija">
      <formula>NOT(ISERROR(SEARCH("fija",D444)))</formula>
    </cfRule>
  </conditionalFormatting>
  <conditionalFormatting sqref="D445">
    <cfRule type="containsText" dxfId="92" priority="55" operator="containsText" text="Radio">
      <formula>NOT(ISERROR(SEARCH("Radio",D445)))</formula>
    </cfRule>
  </conditionalFormatting>
  <conditionalFormatting sqref="D445:D446">
    <cfRule type="containsText" dxfId="91" priority="50" operator="containsText" text="fija">
      <formula>NOT(ISERROR(SEARCH("fija",D445)))</formula>
    </cfRule>
    <cfRule type="containsText" dxfId="90" priority="51" operator="containsText" text="domo">
      <formula>NOT(ISERROR(SEARCH("domo",D445)))</formula>
    </cfRule>
  </conditionalFormatting>
  <conditionalFormatting sqref="D446">
    <cfRule type="containsText" dxfId="89" priority="48" operator="containsText" text="fija">
      <formula>NOT(ISERROR(SEARCH("fija",D446)))</formula>
    </cfRule>
    <cfRule type="containsText" dxfId="88" priority="49" operator="containsText" text="domo">
      <formula>NOT(ISERROR(SEARCH("domo",D446)))</formula>
    </cfRule>
    <cfRule type="containsText" dxfId="87" priority="52" operator="containsText" text="Radio">
      <formula>NOT(ISERROR(SEARCH("Radio",D446)))</formula>
    </cfRule>
  </conditionalFormatting>
  <conditionalFormatting sqref="D448">
    <cfRule type="containsText" dxfId="86" priority="171" operator="containsText" text="fija">
      <formula>NOT(ISERROR(SEARCH("fija",D448)))</formula>
    </cfRule>
    <cfRule type="containsText" dxfId="85" priority="172" operator="containsText" text="domo">
      <formula>NOT(ISERROR(SEARCH("domo",D448)))</formula>
    </cfRule>
  </conditionalFormatting>
  <conditionalFormatting sqref="D451:D453">
    <cfRule type="containsText" dxfId="84" priority="70" operator="containsText" text="fija">
      <formula>NOT(ISERROR(SEARCH("fija",D451)))</formula>
    </cfRule>
    <cfRule type="containsText" dxfId="83" priority="71" operator="containsText" text="domo">
      <formula>NOT(ISERROR(SEARCH("domo",D451)))</formula>
    </cfRule>
  </conditionalFormatting>
  <conditionalFormatting sqref="D642">
    <cfRule type="containsText" dxfId="82" priority="1" operator="containsText" text="Radio">
      <formula>NOT(ISERROR(SEARCH("Radio",D642)))</formula>
    </cfRule>
  </conditionalFormatting>
  <conditionalFormatting sqref="D4:E641">
    <cfRule type="containsText" dxfId="81" priority="58" operator="containsText" text="Radio">
      <formula>NOT(ISERROR(SEARCH("Radio",D4)))</formula>
    </cfRule>
  </conditionalFormatting>
  <conditionalFormatting sqref="D448:E448 D458:E641">
    <cfRule type="containsText" dxfId="80" priority="193" operator="containsText" text="Radio">
      <formula>NOT(ISERROR(SEARCH("Radio",D448)))</formula>
    </cfRule>
  </conditionalFormatting>
  <conditionalFormatting sqref="E4:E665">
    <cfRule type="cellIs" dxfId="79" priority="169" operator="equal">
      <formula>"PTP A FO"</formula>
    </cfRule>
    <cfRule type="cellIs" dxfId="78" priority="927" operator="equal">
      <formula>$E$10</formula>
    </cfRule>
    <cfRule type="cellIs" dxfId="77" priority="928" operator="equal">
      <formula>"PTP A FO"</formula>
    </cfRule>
  </conditionalFormatting>
  <conditionalFormatting sqref="E438">
    <cfRule type="cellIs" dxfId="76" priority="11" operator="equal">
      <formula>"PTP A FO"</formula>
    </cfRule>
    <cfRule type="containsText" dxfId="75" priority="10" operator="containsText" text="Radio">
      <formula>NOT(ISERROR(SEARCH("Radio",E438)))</formula>
    </cfRule>
  </conditionalFormatting>
  <conditionalFormatting sqref="E642:E665">
    <cfRule type="containsText" dxfId="74" priority="3" operator="containsText" text="Radio">
      <formula>NOT(ISERROR(SEARCH("Radio",E642)))</formula>
    </cfRule>
  </conditionalFormatting>
  <conditionalFormatting sqref="F5:AJ643">
    <cfRule type="notContainsText" dxfId="73" priority="13" operator="notContains" text="Caida">
      <formula>ISERROR(SEARCH("Caida",F5))</formula>
    </cfRule>
    <cfRule type="cellIs" dxfId="72" priority="8" operator="equal">
      <formula>"apagado"</formula>
    </cfRule>
    <cfRule type="cellIs" dxfId="71" priority="16" operator="greaterThan">
      <formula>0.8</formula>
    </cfRule>
    <cfRule type="cellIs" dxfId="70" priority="12" operator="equal">
      <formula>"APAGADO"</formula>
    </cfRule>
    <cfRule type="cellIs" dxfId="69" priority="15" operator="lessThan">
      <formula>0.8</formula>
    </cfRule>
    <cfRule type="containsText" dxfId="68" priority="14" operator="containsText" text="Caida">
      <formula>NOT(ISERROR(SEARCH("Caida",F5)))</formula>
    </cfRule>
  </conditionalFormatting>
  <conditionalFormatting sqref="H4">
    <cfRule type="cellIs" dxfId="67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TOTAL'!H8:H628,"=BONOMO")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TOTAL'!W8:W705,"=APAGADO",'RESUMEN TOTAL'!H8:H705,"=BONOMO")</f>
        <v>44</v>
      </c>
      <c r="K3" s="46">
        <f>COUNTIFS('RESUMEN TOTAL'!X8:X705,"=APAGADO",'RESUMEN TOTAL'!I8:I705,"=BONOMO")</f>
        <v>0</v>
      </c>
      <c r="L3" s="46">
        <f>COUNTIFS('RESUMEN TOTAL'!Y8:Y705,"=APAGADO",'RESUMEN TOTAL'!J8:J705,"=BONOMO")</f>
        <v>0</v>
      </c>
      <c r="M3" s="46">
        <f>COUNTIFS('RESUMEN TOTAL'!Z8:Z705,"=APAGADO",'RESUMEN TOTAL'!K8:K705,"=BONOMO")</f>
        <v>0</v>
      </c>
      <c r="N3" s="46">
        <f>COUNTIFS('RESUMEN TOTAL'!AA8:AA705,"=APAGADO",'RESUMEN TOTAL'!L8:L705,"=BONOMO")</f>
        <v>0</v>
      </c>
      <c r="O3" s="46">
        <f>COUNTIFS('RESUMEN TOTAL'!AB8:AB705,"=APAGADO",'RESUMEN TOTAL'!M8:M705,"=BONOMO")</f>
        <v>0</v>
      </c>
      <c r="P3" s="46">
        <f>COUNTIFS('RESUMEN TOTAL'!AC8:AC705,"=APAGADO",'RESUMEN TOTAL'!N8:N705,"=BONOMO")</f>
        <v>0</v>
      </c>
      <c r="Q3" s="46">
        <f>COUNTIFS('RESUMEN TOTAL'!AD8:AD705,"=APAGADO",'RESUMEN TOTAL'!O8:O705,"=BONOMO")</f>
        <v>0</v>
      </c>
      <c r="R3" s="46">
        <f>COUNTIFS('RESUMEN TOTAL'!AE8:AE705,"=APAGADO",'RESUMEN TOTAL'!P8:P705,"=BONOMO")</f>
        <v>0</v>
      </c>
      <c r="S3" s="46">
        <f>COUNTIFS('RESUMEN TOTAL'!AF8:AF705,"=APAGADO",'RESUMEN TOTAL'!Q8:Q705,"=BONOMO")</f>
        <v>0</v>
      </c>
      <c r="T3" s="46">
        <f>COUNTIFS('RESUMEN TOTAL'!AG8:AG705,"=APAGADO",'RESUMEN TOTAL'!R8:R705,"=BONOMO")</f>
        <v>0</v>
      </c>
      <c r="U3" s="46">
        <f>COUNTIFS('RESUMEN TOTAL'!AH8:AH705,"=APAGADO",'RESUMEN TOTAL'!S8:S705,"=BONOMO")</f>
        <v>0</v>
      </c>
      <c r="V3" s="46">
        <f>COUNTIFS('RESUMEN TOTAL'!AI8:AI705,"=APAGADO",'RESUMEN TOTAL'!T8:T705,"=BONOMO")</f>
        <v>0</v>
      </c>
      <c r="W3" s="46">
        <f>COUNTIFS('RESUMEN TOTAL'!AJ8:AJ705,"=APAGADO",'RESUMEN TOTAL'!U8:U705,"=BONOMO")</f>
        <v>0</v>
      </c>
      <c r="X3" s="46">
        <f>COUNTIFS('RESUMEN TOTAL'!AK8:AK705,"=APAGADO",'RESUMEN TOTAL'!V8:V705,"=BONOMO")</f>
        <v>0</v>
      </c>
      <c r="Y3" s="46">
        <f>COUNTIFS('RESUMEN TOTAL'!AL8:AL705,"=APAGADO",'RESUMEN TOTAL'!W8:W705,"=BONOMO")</f>
        <v>0</v>
      </c>
      <c r="Z3" s="46">
        <f>COUNTIFS('RESUMEN TOTAL'!AM8:AM705,"=APAGADO",'RESUMEN TOTAL'!X8:X705,"=BONOMO")</f>
        <v>0</v>
      </c>
      <c r="AA3" s="46">
        <f>COUNTIFS('RESUMEN TOTAL'!AN8:AN705,"=APAGADO",'RESUMEN TOTAL'!Y8:Y705,"=BONOMO")</f>
        <v>0</v>
      </c>
      <c r="AB3" s="46">
        <f>COUNTIFS('RESUMEN TOTAL'!AO8:AO705,"=APAGADO",'RESUMEN TOTAL'!Z8:Z705,"=BONOMO")</f>
        <v>0</v>
      </c>
      <c r="AC3" s="46">
        <f>COUNTIFS('RESUMEN TOTAL'!AP8:AP705,"=APAGADO",'RESUMEN TOTAL'!AA8:AA705,"=BONOMO")</f>
        <v>0</v>
      </c>
      <c r="AD3" s="46">
        <f>COUNTIFS('RESUMEN TOTAL'!AQ8:AQ705,"=APAGADO",'RESUMEN TOTAL'!AB8:AB705,"=BONOMO")</f>
        <v>0</v>
      </c>
      <c r="AE3" s="46">
        <f>COUNTIFS('RESUMEN TOTAL'!AR8:AR705,"=APAGADO",'RESUMEN TOTAL'!AC8:AC705,"=BONOMO")</f>
        <v>0</v>
      </c>
      <c r="AF3" s="46">
        <f>COUNTIFS('RESUMEN TOTAL'!AS8:AS705,"=APAGADO",'RESUMEN TOTAL'!AD8:AD705,"=BONOMO")</f>
        <v>0</v>
      </c>
      <c r="AG3" s="46">
        <f>COUNTIFS('RESUMEN TOTAL'!AT8:AT705,"=APAGADO",'RESUMEN TOTAL'!AE8:AE705,"=BONOMO")</f>
        <v>0</v>
      </c>
      <c r="AH3" s="46">
        <f>COUNTIFS('RESUMEN TOTAL'!AU8:AU705,"=APAGADO",'RESUMEN TOTAL'!AF8:AF705,"=BONOMO")</f>
        <v>0</v>
      </c>
      <c r="AI3" s="46">
        <f>COUNTIFS('RESUMEN TOTAL'!AV8:AV705,"=APAGADO",'RESUMEN TOTAL'!AG8:AG705,"=BONOMO")</f>
        <v>0</v>
      </c>
      <c r="AJ3" s="46">
        <f>COUNTIFS('RESUMEN TOTAL'!AW8:AW705,"=APAGADO",'RESUMEN TOTAL'!AH8:AH705,"=BONOMO")</f>
        <v>0</v>
      </c>
    </row>
    <row r="4" spans="1:36" ht="16.5" thickTop="1" thickBot="1" x14ac:dyDescent="0.3">
      <c r="A4" s="48" t="s">
        <v>1042</v>
      </c>
      <c r="B4" s="41">
        <f>COUNTIFS('RESUMEN TOTAL'!H8:H628,"=COSEIDI")</f>
        <v>282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TOTAL'!W10:W707,"=APAGADO",'RESUMEN TOTAL'!H10:H707,"=COSEIDI")</f>
        <v>67</v>
      </c>
      <c r="K5" s="46">
        <f>COUNTIFS('RESUMEN TOTAL'!X10:X707,"=APAGADO",'RESUMEN TOTAL'!I10:I707,"=COSEIDI")</f>
        <v>0</v>
      </c>
      <c r="L5" s="46">
        <f>COUNTIFS('RESUMEN TOTAL'!Y10:Y707,"=APAGADO",'RESUMEN TOTAL'!J10:J707,"=COSEIDI")</f>
        <v>0</v>
      </c>
      <c r="M5" s="46">
        <f>COUNTIFS('RESUMEN TOTAL'!Z10:Z707,"=APAGADO",'RESUMEN TOTAL'!K10:K707,"=COSEIDI")</f>
        <v>0</v>
      </c>
      <c r="N5" s="46">
        <f>COUNTIFS('RESUMEN TOTAL'!AA10:AA707,"=APAGADO",'RESUMEN TOTAL'!L10:L707,"=COSEIDI")</f>
        <v>0</v>
      </c>
      <c r="O5" s="46">
        <f>COUNTIFS('RESUMEN TOTAL'!AB10:AB707,"=APAGADO",'RESUMEN TOTAL'!M10:M707,"=COSEIDI")</f>
        <v>0</v>
      </c>
      <c r="P5" s="46">
        <f>COUNTIFS('RESUMEN TOTAL'!AC10:AC707,"=APAGADO",'RESUMEN TOTAL'!N10:N707,"=COSEIDI")</f>
        <v>0</v>
      </c>
      <c r="Q5" s="46">
        <f>COUNTIFS('RESUMEN TOTAL'!AD10:AD707,"=APAGADO",'RESUMEN TOTAL'!O10:O707,"=COSEIDI")</f>
        <v>0</v>
      </c>
      <c r="R5" s="46">
        <f>COUNTIFS('RESUMEN TOTAL'!AE10:AE707,"=APAGADO",'RESUMEN TOTAL'!P10:P707,"=COSEIDI")</f>
        <v>0</v>
      </c>
      <c r="S5" s="46">
        <f>COUNTIFS('RESUMEN TOTAL'!AF10:AF707,"=APAGADO",'RESUMEN TOTAL'!Q10:Q707,"=COSEIDI")</f>
        <v>0</v>
      </c>
      <c r="T5" s="46">
        <f>COUNTIFS('RESUMEN TOTAL'!AG10:AG707,"=APAGADO",'RESUMEN TOTAL'!R10:R707,"=COSEIDI")</f>
        <v>0</v>
      </c>
      <c r="U5" s="46">
        <f>COUNTIFS('RESUMEN TOTAL'!AH10:AH707,"=APAGADO",'RESUMEN TOTAL'!S10:S707,"=COSEIDI")</f>
        <v>0</v>
      </c>
      <c r="V5" s="46">
        <f>COUNTIFS('RESUMEN TOTAL'!AI10:AI707,"=APAGADO",'RESUMEN TOTAL'!T10:T707,"=COSEIDI")</f>
        <v>0</v>
      </c>
      <c r="W5" s="46">
        <f>COUNTIFS('RESUMEN TOTAL'!AJ10:AJ707,"=APAGADO",'RESUMEN TOTAL'!U10:U707,"=COSEIDI")</f>
        <v>0</v>
      </c>
      <c r="X5" s="46">
        <f>COUNTIFS('RESUMEN TOTAL'!AK10:AK707,"=APAGADO",'RESUMEN TOTAL'!V10:V707,"=COSEIDI")</f>
        <v>0</v>
      </c>
      <c r="Y5" s="46">
        <f>COUNTIFS('RESUMEN TOTAL'!AL10:AL707,"=APAGADO",'RESUMEN TOTAL'!W10:W707,"=COSEIDI")</f>
        <v>0</v>
      </c>
      <c r="Z5" s="46">
        <f>COUNTIFS('RESUMEN TOTAL'!AM10:AM707,"=APAGADO",'RESUMEN TOTAL'!X10:X707,"=COSEIDI")</f>
        <v>0</v>
      </c>
      <c r="AA5" s="46">
        <f>COUNTIFS('RESUMEN TOTAL'!AN10:AN707,"=APAGADO",'RESUMEN TOTAL'!Y10:Y707,"=COSEIDI")</f>
        <v>0</v>
      </c>
      <c r="AB5" s="46">
        <f>COUNTIFS('RESUMEN TOTAL'!AO10:AO707,"=APAGADO",'RESUMEN TOTAL'!Z10:Z707,"=COSEIDI")</f>
        <v>0</v>
      </c>
      <c r="AC5" s="46">
        <f>COUNTIFS('RESUMEN TOTAL'!AP10:AP707,"=APAGADO",'RESUMEN TOTAL'!AA10:AA707,"=COSEIDI")</f>
        <v>0</v>
      </c>
      <c r="AD5" s="46">
        <f>COUNTIFS('RESUMEN TOTAL'!AQ10:AQ707,"=APAGADO",'RESUMEN TOTAL'!AB10:AB707,"=COSEIDI")</f>
        <v>0</v>
      </c>
      <c r="AE5" s="46">
        <f>COUNTIFS('RESUMEN TOTAL'!AR10:AR707,"=APAGADO",'RESUMEN TOTAL'!AC10:AC707,"=COSEIDI")</f>
        <v>0</v>
      </c>
      <c r="AF5" s="46">
        <f>COUNTIFS('RESUMEN TOTAL'!AS10:AS707,"=APAGADO",'RESUMEN TOTAL'!AD10:AD707,"=COSEIDI")</f>
        <v>0</v>
      </c>
      <c r="AG5" s="46">
        <f>COUNTIFS('RESUMEN TOTAL'!AT10:AT707,"=APAGADO",'RESUMEN TOTAL'!AE10:AE707,"=COSEIDI")</f>
        <v>0</v>
      </c>
      <c r="AH5" s="46">
        <f>COUNTIFS('RESUMEN TOTAL'!AU10:AU707,"=APAGADO",'RESUMEN TOTAL'!AF10:AF707,"=COSEIDI")</f>
        <v>0</v>
      </c>
      <c r="AI5" s="46">
        <f>COUNTIFS('RESUMEN TOTAL'!AV10:AV707,"=APAGADO",'RESUMEN TOTAL'!AG10:AG707,"=COSEIDI")</f>
        <v>0</v>
      </c>
      <c r="AJ5" s="46">
        <f>COUNTIFS('RESUMEN TOTAL'!AW10:AW707,"=APAGADO",'RESUMEN TOTAL'!AH10:AH707,"=COSEIDI")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0.1453900709219858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66" priority="5" operator="greaterThan">
      <formula>0.1</formula>
    </cfRule>
    <cfRule type="cellIs" dxfId="65" priority="6" operator="greaterThan">
      <formula>10</formula>
    </cfRule>
  </conditionalFormatting>
  <conditionalFormatting sqref="C5 F6:AJ6">
    <cfRule type="cellIs" dxfId="64" priority="3" operator="greaterThan">
      <formula>0.1</formula>
    </cfRule>
    <cfRule type="cellIs" dxfId="63" priority="4" operator="greaterThan">
      <formula>0.11</formula>
    </cfRule>
  </conditionalFormatting>
  <conditionalFormatting sqref="F4:AJ4">
    <cfRule type="cellIs" dxfId="62" priority="9" operator="greaterThan">
      <formula>0.1</formula>
    </cfRule>
    <cfRule type="cellIs" dxfId="61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190" zoomScaleNormal="100" workbookViewId="0">
      <selection activeCell="D209" sqref="D20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590</v>
      </c>
      <c r="D2" s="98"/>
      <c r="E2" s="103"/>
      <c r="F2" s="156">
        <v>46113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0</v>
      </c>
      <c r="D3" s="54"/>
      <c r="E3" s="55">
        <f>C3/C2</f>
        <v>0</v>
      </c>
      <c r="F3" s="157"/>
    </row>
    <row r="4" spans="1:6" x14ac:dyDescent="0.25">
      <c r="A4" s="76"/>
      <c r="B4" s="53" t="s">
        <v>1220</v>
      </c>
      <c r="C4" s="67">
        <v>17</v>
      </c>
      <c r="D4" s="100">
        <f>C3-C4</f>
        <v>-17</v>
      </c>
      <c r="E4" s="55">
        <f>D4/C2</f>
        <v>-2.8813559322033899E-2</v>
      </c>
      <c r="F4" s="157"/>
    </row>
    <row r="5" spans="1:6" x14ac:dyDescent="0.25">
      <c r="A5" s="76"/>
      <c r="B5" s="53" t="s">
        <v>1221</v>
      </c>
      <c r="C5" s="67">
        <v>11</v>
      </c>
      <c r="D5" s="100">
        <f>D4-C5</f>
        <v>-28</v>
      </c>
      <c r="E5" s="55">
        <f>D5/C2</f>
        <v>-4.7457627118644069E-2</v>
      </c>
      <c r="F5" s="157"/>
    </row>
    <row r="6" spans="1:6" x14ac:dyDescent="0.25">
      <c r="A6" s="94" t="s">
        <v>1446</v>
      </c>
      <c r="B6" s="53" t="s">
        <v>15</v>
      </c>
      <c r="C6" s="91">
        <v>16</v>
      </c>
      <c r="D6" s="100">
        <f>D5-C6</f>
        <v>-44</v>
      </c>
      <c r="E6" s="55">
        <f>D6/C2</f>
        <v>-7.4576271186440682E-2</v>
      </c>
      <c r="F6" s="157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7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57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39</v>
      </c>
      <c r="E9" s="102">
        <f>D9/C9</f>
        <v>0.12703583061889251</v>
      </c>
      <c r="F9" s="157"/>
    </row>
    <row r="10" spans="1:6" ht="15.75" thickBot="1" x14ac:dyDescent="0.3">
      <c r="A10" t="s">
        <v>1448</v>
      </c>
      <c r="B10" s="109" t="s">
        <v>1042</v>
      </c>
      <c r="C10" s="110">
        <f>COSEIDIcam</f>
        <v>282</v>
      </c>
      <c r="D10" s="110">
        <v>68</v>
      </c>
      <c r="E10" s="111">
        <f>D10/C10</f>
        <v>0.24113475177304963</v>
      </c>
      <c r="F10" s="158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590</v>
      </c>
      <c r="D13" s="98"/>
      <c r="E13" s="103"/>
      <c r="F13" s="156">
        <v>46114</v>
      </c>
    </row>
    <row r="14" spans="1:6" x14ac:dyDescent="0.25">
      <c r="A14" t="s">
        <v>1447</v>
      </c>
      <c r="B14" s="53" t="s">
        <v>6</v>
      </c>
      <c r="C14" s="66">
        <v>87</v>
      </c>
      <c r="D14" s="54"/>
      <c r="E14" s="55">
        <f>C14/C13</f>
        <v>0.14745762711864407</v>
      </c>
      <c r="F14" s="157"/>
    </row>
    <row r="15" spans="1:6" x14ac:dyDescent="0.25">
      <c r="B15" s="53" t="s">
        <v>1220</v>
      </c>
      <c r="C15" s="67">
        <v>3</v>
      </c>
      <c r="D15" s="100">
        <v>84</v>
      </c>
      <c r="E15" s="55">
        <f>D15/C13</f>
        <v>0.14237288135593221</v>
      </c>
      <c r="F15" s="157"/>
    </row>
    <row r="16" spans="1:6" x14ac:dyDescent="0.25">
      <c r="B16" s="53" t="s">
        <v>1221</v>
      </c>
      <c r="C16" s="67">
        <v>7</v>
      </c>
      <c r="D16" s="100">
        <v>77</v>
      </c>
      <c r="E16" s="55">
        <f>D16/C13</f>
        <v>0.13050847457627118</v>
      </c>
      <c r="F16" s="157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0.12203389830508475</v>
      </c>
      <c r="F17" s="157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7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57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32</v>
      </c>
      <c r="E20" s="102">
        <f>D20/C20</f>
        <v>0.10423452768729642</v>
      </c>
      <c r="F20" s="157"/>
    </row>
    <row r="21" spans="1:6" ht="15.75" thickBot="1" x14ac:dyDescent="0.3">
      <c r="A21" t="s">
        <v>1449</v>
      </c>
      <c r="B21" s="109" t="s">
        <v>1042</v>
      </c>
      <c r="C21" s="110">
        <f>COSEIDIcam</f>
        <v>282</v>
      </c>
      <c r="D21" s="110">
        <v>55</v>
      </c>
      <c r="E21" s="111">
        <f>D21/C21</f>
        <v>0.19503546099290781</v>
      </c>
      <c r="F21" s="158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590</v>
      </c>
      <c r="D24" s="98"/>
      <c r="E24" s="103"/>
      <c r="F24" s="156">
        <v>46115</v>
      </c>
    </row>
    <row r="25" spans="1:6" x14ac:dyDescent="0.25">
      <c r="A25" t="s">
        <v>1440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7"/>
    </row>
    <row r="26" spans="1:6" x14ac:dyDescent="0.25">
      <c r="B26" s="53" t="s">
        <v>1220</v>
      </c>
      <c r="C26" s="67">
        <v>6</v>
      </c>
      <c r="D26" s="100">
        <f>C25-C26</f>
        <v>-6</v>
      </c>
      <c r="E26" s="55">
        <f>D26/C24</f>
        <v>-1.0169491525423728E-2</v>
      </c>
      <c r="F26" s="157"/>
    </row>
    <row r="27" spans="1:6" x14ac:dyDescent="0.25">
      <c r="B27" s="53" t="s">
        <v>1221</v>
      </c>
      <c r="C27" s="67">
        <v>7</v>
      </c>
      <c r="D27" s="100">
        <f>D26-C27</f>
        <v>-13</v>
      </c>
      <c r="E27" s="55">
        <f>D27/C24</f>
        <v>-2.2033898305084745E-2</v>
      </c>
      <c r="F27" s="157"/>
    </row>
    <row r="28" spans="1:6" x14ac:dyDescent="0.25">
      <c r="A28" t="s">
        <v>1440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-2.2033898305084745E-2</v>
      </c>
      <c r="F28" s="157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7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57"/>
    </row>
    <row r="31" spans="1:6" ht="16.5" thickTop="1" thickBot="1" x14ac:dyDescent="0.3">
      <c r="B31" s="95" t="s">
        <v>1041</v>
      </c>
      <c r="C31" s="96">
        <v>307</v>
      </c>
      <c r="D31" s="112">
        <v>31</v>
      </c>
      <c r="E31" s="102">
        <f>D31/C31</f>
        <v>0.10097719869706841</v>
      </c>
      <c r="F31" s="157"/>
    </row>
    <row r="32" spans="1:6" ht="15.75" thickBot="1" x14ac:dyDescent="0.3">
      <c r="B32" s="109" t="s">
        <v>1042</v>
      </c>
      <c r="C32" s="110">
        <f>COSEIDIcam</f>
        <v>282</v>
      </c>
      <c r="D32" s="110">
        <v>52</v>
      </c>
      <c r="E32" s="111">
        <f>D32/C32</f>
        <v>0.18439716312056736</v>
      </c>
      <c r="F32" s="158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590</v>
      </c>
      <c r="D35" s="98"/>
      <c r="E35" s="103"/>
      <c r="F35" s="156">
        <v>46146</v>
      </c>
    </row>
    <row r="36" spans="1:6" x14ac:dyDescent="0.25">
      <c r="A36" t="s">
        <v>1439</v>
      </c>
      <c r="B36" s="53" t="s">
        <v>6</v>
      </c>
      <c r="C36" s="66">
        <f>'RESUMEN TOTAL'!V3</f>
        <v>115</v>
      </c>
      <c r="D36" s="54"/>
      <c r="E36" s="55">
        <f>C36/C35</f>
        <v>0.19491525423728814</v>
      </c>
      <c r="F36" s="157"/>
    </row>
    <row r="37" spans="1:6" x14ac:dyDescent="0.25">
      <c r="B37" s="53" t="s">
        <v>1220</v>
      </c>
      <c r="C37" s="67">
        <v>6</v>
      </c>
      <c r="D37" s="100">
        <f>C36-C37</f>
        <v>109</v>
      </c>
      <c r="E37" s="55">
        <f>D37/C35</f>
        <v>0.18474576271186441</v>
      </c>
      <c r="F37" s="157"/>
    </row>
    <row r="38" spans="1:6" x14ac:dyDescent="0.25">
      <c r="B38" s="53" t="s">
        <v>1221</v>
      </c>
      <c r="C38" s="67">
        <v>12</v>
      </c>
      <c r="D38" s="100">
        <f>D37-C38</f>
        <v>97</v>
      </c>
      <c r="E38" s="55">
        <f>D38/C35</f>
        <v>0.16440677966101694</v>
      </c>
      <c r="F38" s="157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92</v>
      </c>
      <c r="E39" s="55">
        <f>D39/C35</f>
        <v>0.15593220338983052</v>
      </c>
      <c r="F39" s="157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7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57"/>
    </row>
    <row r="42" spans="1:6" ht="16.5" thickTop="1" thickBot="1" x14ac:dyDescent="0.3">
      <c r="B42" s="95" t="s">
        <v>1041</v>
      </c>
      <c r="C42" s="96">
        <v>307</v>
      </c>
      <c r="D42" s="112">
        <v>47</v>
      </c>
      <c r="E42" s="102">
        <f>D42/C42</f>
        <v>0.15309446254071662</v>
      </c>
      <c r="F42" s="157"/>
    </row>
    <row r="43" spans="1:6" ht="15.75" thickBot="1" x14ac:dyDescent="0.3">
      <c r="B43" s="109" t="s">
        <v>1042</v>
      </c>
      <c r="C43" s="110">
        <f>COSEIDIcam</f>
        <v>282</v>
      </c>
      <c r="D43" s="110">
        <v>68</v>
      </c>
      <c r="E43" s="111">
        <f>D43/C43</f>
        <v>0.24113475177304963</v>
      </c>
      <c r="F43" s="158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590</v>
      </c>
      <c r="D46" s="98"/>
      <c r="E46" s="103"/>
      <c r="F46" s="156">
        <v>46147</v>
      </c>
    </row>
    <row r="47" spans="1:6" x14ac:dyDescent="0.25">
      <c r="A47" t="s">
        <v>1441</v>
      </c>
      <c r="B47" s="53" t="s">
        <v>6</v>
      </c>
      <c r="C47" s="66">
        <f>'RESUMEN TOTAL'!W3</f>
        <v>111</v>
      </c>
      <c r="D47" s="54"/>
      <c r="E47" s="55">
        <f>C47/C46</f>
        <v>0.18813559322033899</v>
      </c>
      <c r="F47" s="157"/>
    </row>
    <row r="48" spans="1:6" x14ac:dyDescent="0.25">
      <c r="B48" s="53" t="s">
        <v>1220</v>
      </c>
      <c r="C48" s="67">
        <v>3</v>
      </c>
      <c r="D48" s="100">
        <f>C47-C48</f>
        <v>108</v>
      </c>
      <c r="E48" s="55">
        <f>D48/C46</f>
        <v>0.18305084745762712</v>
      </c>
      <c r="F48" s="157"/>
    </row>
    <row r="49" spans="1:6" x14ac:dyDescent="0.25">
      <c r="B49" s="53" t="s">
        <v>1221</v>
      </c>
      <c r="C49" s="67">
        <v>12</v>
      </c>
      <c r="D49" s="100">
        <f>D48-C49</f>
        <v>96</v>
      </c>
      <c r="E49" s="55">
        <f>D49/C46</f>
        <v>0.16271186440677965</v>
      </c>
      <c r="F49" s="157"/>
    </row>
    <row r="50" spans="1:6" x14ac:dyDescent="0.25">
      <c r="A50" t="s">
        <v>1441</v>
      </c>
      <c r="B50" s="53" t="s">
        <v>15</v>
      </c>
      <c r="C50" s="91">
        <f>'RESUMEN TOTAL'!W5</f>
        <v>5</v>
      </c>
      <c r="D50" s="100">
        <f>D49-C50</f>
        <v>91</v>
      </c>
      <c r="E50" s="55">
        <f>D50/C46</f>
        <v>0.15423728813559323</v>
      </c>
      <c r="F50" s="157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7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57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44</v>
      </c>
      <c r="E53" s="102">
        <f>D53/C53</f>
        <v>0.14285714285714285</v>
      </c>
      <c r="F53" s="157"/>
    </row>
    <row r="54" spans="1:6" ht="15.75" thickBot="1" x14ac:dyDescent="0.3">
      <c r="B54" s="109" t="s">
        <v>1042</v>
      </c>
      <c r="C54" s="110">
        <f>COSEIDIcam</f>
        <v>282</v>
      </c>
      <c r="D54" s="110">
        <f>Hoja1!J5</f>
        <v>67</v>
      </c>
      <c r="E54" s="111">
        <f>D54/C54</f>
        <v>0.23758865248226951</v>
      </c>
      <c r="F54" s="158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590</v>
      </c>
      <c r="D57" s="98"/>
      <c r="E57" s="103"/>
      <c r="F57" s="156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110</v>
      </c>
      <c r="D58" s="54"/>
      <c r="E58" s="55">
        <f>C58/C57</f>
        <v>0.1864406779661017</v>
      </c>
      <c r="F58" s="157"/>
    </row>
    <row r="59" spans="1:6" x14ac:dyDescent="0.25">
      <c r="B59" s="53" t="s">
        <v>1220</v>
      </c>
      <c r="C59" s="67">
        <v>8</v>
      </c>
      <c r="D59" s="100">
        <f>C58-C59</f>
        <v>102</v>
      </c>
      <c r="E59" s="55">
        <f>D59/C57</f>
        <v>0.17288135593220338</v>
      </c>
      <c r="F59" s="157"/>
    </row>
    <row r="60" spans="1:6" x14ac:dyDescent="0.25">
      <c r="B60" s="53" t="s">
        <v>1221</v>
      </c>
      <c r="C60" s="67">
        <v>12</v>
      </c>
      <c r="D60" s="100">
        <f>D59-C60</f>
        <v>90</v>
      </c>
      <c r="E60" s="55">
        <f>D60/C57</f>
        <v>0.15254237288135594</v>
      </c>
      <c r="F60" s="157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84</v>
      </c>
      <c r="E61" s="55">
        <f>D61/C57</f>
        <v>0.14237288135593221</v>
      </c>
      <c r="F61" s="157"/>
    </row>
    <row r="62" spans="1:6" ht="15.75" thickBot="1" x14ac:dyDescent="0.3">
      <c r="B62" s="56"/>
      <c r="C62" s="128"/>
      <c r="D62" s="101"/>
      <c r="E62" s="74">
        <f>D62/C57</f>
        <v>0</v>
      </c>
      <c r="F62" s="157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57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57"/>
    </row>
    <row r="65" spans="1:6" ht="15.75" thickBot="1" x14ac:dyDescent="0.3">
      <c r="B65" s="109" t="s">
        <v>1042</v>
      </c>
      <c r="C65" s="110">
        <f>COSEIDIcam</f>
        <v>282</v>
      </c>
      <c r="D65" s="110">
        <v>68</v>
      </c>
      <c r="E65" s="111">
        <f>D65/C65</f>
        <v>0.24113475177304963</v>
      </c>
      <c r="F65" s="158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590</v>
      </c>
      <c r="D68" s="98"/>
      <c r="E68" s="103"/>
      <c r="F68" s="156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116</v>
      </c>
      <c r="D69" s="54"/>
      <c r="E69" s="55">
        <f>C69/C68</f>
        <v>0.19661016949152543</v>
      </c>
      <c r="F69" s="157"/>
    </row>
    <row r="70" spans="1:6" x14ac:dyDescent="0.25">
      <c r="B70" s="53" t="s">
        <v>1220</v>
      </c>
      <c r="C70" s="67">
        <v>11</v>
      </c>
      <c r="D70" s="100">
        <f>C69-C70</f>
        <v>105</v>
      </c>
      <c r="E70" s="55">
        <f>D70/C68</f>
        <v>0.17796610169491525</v>
      </c>
      <c r="F70" s="157"/>
    </row>
    <row r="71" spans="1:6" x14ac:dyDescent="0.25">
      <c r="B71" s="53" t="s">
        <v>1221</v>
      </c>
      <c r="C71" s="67">
        <v>12</v>
      </c>
      <c r="D71" s="100">
        <f>D70-C71</f>
        <v>93</v>
      </c>
      <c r="E71" s="55">
        <f>D71/C68</f>
        <v>0.15762711864406781</v>
      </c>
      <c r="F71" s="157"/>
    </row>
    <row r="72" spans="1:6" x14ac:dyDescent="0.25">
      <c r="A72" t="s">
        <v>1443</v>
      </c>
      <c r="B72" s="53" t="s">
        <v>15</v>
      </c>
      <c r="C72" s="91">
        <f>'RESUMEN TOTAL'!Y5</f>
        <v>6</v>
      </c>
      <c r="D72" s="100">
        <f>D71-C72</f>
        <v>87</v>
      </c>
      <c r="E72" s="55">
        <f>D72/C68</f>
        <v>0.14745762711864407</v>
      </c>
      <c r="F72" s="157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7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57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57"/>
    </row>
    <row r="76" spans="1:6" ht="15.75" thickBot="1" x14ac:dyDescent="0.3">
      <c r="B76" s="109" t="s">
        <v>1042</v>
      </c>
      <c r="C76" s="110">
        <f>COSEIDIcam</f>
        <v>282</v>
      </c>
      <c r="D76" s="110">
        <v>78</v>
      </c>
      <c r="E76" s="111">
        <f>D76/C76</f>
        <v>0.27659574468085107</v>
      </c>
      <c r="F76" s="158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590</v>
      </c>
      <c r="D79" s="98"/>
      <c r="E79" s="103"/>
      <c r="F79" s="156">
        <v>46150</v>
      </c>
    </row>
    <row r="80" spans="1:6" x14ac:dyDescent="0.25">
      <c r="A80" t="s">
        <v>1438</v>
      </c>
      <c r="B80" s="53" t="s">
        <v>6</v>
      </c>
      <c r="C80" s="66">
        <f>'RESUMEN TOTAL'!Z3</f>
        <v>98</v>
      </c>
      <c r="D80" s="54"/>
      <c r="E80" s="55">
        <f>C80/C79</f>
        <v>0.16610169491525423</v>
      </c>
      <c r="F80" s="157"/>
    </row>
    <row r="81" spans="1:6" x14ac:dyDescent="0.25">
      <c r="B81" s="53" t="s">
        <v>1220</v>
      </c>
      <c r="C81" s="67">
        <v>6</v>
      </c>
      <c r="D81" s="100">
        <f>C80-C81</f>
        <v>92</v>
      </c>
      <c r="E81" s="55">
        <f>D81/C79</f>
        <v>0.15593220338983052</v>
      </c>
      <c r="F81" s="157"/>
    </row>
    <row r="82" spans="1:6" x14ac:dyDescent="0.25">
      <c r="B82" s="53" t="s">
        <v>1221</v>
      </c>
      <c r="C82" s="67">
        <v>12</v>
      </c>
      <c r="D82" s="100">
        <f>D81-C82</f>
        <v>80</v>
      </c>
      <c r="E82" s="55">
        <f>D82/C79</f>
        <v>0.13559322033898305</v>
      </c>
      <c r="F82" s="157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75</v>
      </c>
      <c r="E83" s="55">
        <f>D83/C79</f>
        <v>0.1271186440677966</v>
      </c>
      <c r="F83" s="157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7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57"/>
    </row>
    <row r="86" spans="1:6" ht="16.5" thickTop="1" thickBot="1" x14ac:dyDescent="0.3">
      <c r="B86" s="95" t="s">
        <v>1041</v>
      </c>
      <c r="C86" s="96">
        <v>307</v>
      </c>
      <c r="D86" s="112">
        <v>36</v>
      </c>
      <c r="E86" s="102">
        <f>D86/C86</f>
        <v>0.11726384364820847</v>
      </c>
      <c r="F86" s="157"/>
    </row>
    <row r="87" spans="1:6" ht="15.75" thickBot="1" x14ac:dyDescent="0.3">
      <c r="B87" s="109" t="s">
        <v>1042</v>
      </c>
      <c r="C87" s="110">
        <f>COSEIDIcam</f>
        <v>282</v>
      </c>
      <c r="D87" s="110">
        <v>62</v>
      </c>
      <c r="E87" s="111">
        <f>D87/C87</f>
        <v>0.21985815602836881</v>
      </c>
      <c r="F87" s="158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590</v>
      </c>
      <c r="D90" s="98"/>
      <c r="E90" s="103"/>
      <c r="F90" s="156">
        <v>46090</v>
      </c>
    </row>
    <row r="91" spans="1:6" x14ac:dyDescent="0.25">
      <c r="A91" t="s">
        <v>1444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7"/>
    </row>
    <row r="92" spans="1:6" x14ac:dyDescent="0.25">
      <c r="B92" s="53" t="s">
        <v>1220</v>
      </c>
      <c r="C92" s="67">
        <v>5</v>
      </c>
      <c r="D92" s="100">
        <f>C91-C92</f>
        <v>-5</v>
      </c>
      <c r="E92" s="55">
        <f>D92/C90</f>
        <v>-8.4745762711864406E-3</v>
      </c>
      <c r="F92" s="157"/>
    </row>
    <row r="93" spans="1:6" x14ac:dyDescent="0.25">
      <c r="B93" s="53" t="s">
        <v>1221</v>
      </c>
      <c r="C93" s="67">
        <v>6</v>
      </c>
      <c r="D93" s="100">
        <f>D92-C93</f>
        <v>-11</v>
      </c>
      <c r="E93" s="55">
        <f>D93/C90</f>
        <v>-1.864406779661017E-2</v>
      </c>
      <c r="F93" s="157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-16</v>
      </c>
      <c r="E94" s="55">
        <f>D94/C90</f>
        <v>-2.7118644067796609E-2</v>
      </c>
      <c r="F94" s="157"/>
    </row>
    <row r="95" spans="1:6" ht="15.75" thickBot="1" x14ac:dyDescent="0.3">
      <c r="B95" s="56"/>
      <c r="C95" s="128"/>
      <c r="D95" s="101"/>
      <c r="E95" s="74">
        <f>D95/C90</f>
        <v>0</v>
      </c>
      <c r="F95" s="157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57"/>
    </row>
    <row r="97" spans="1:6" ht="16.5" thickTop="1" thickBot="1" x14ac:dyDescent="0.3">
      <c r="B97" s="95" t="s">
        <v>1041</v>
      </c>
      <c r="C97" s="96">
        <v>307</v>
      </c>
      <c r="D97" s="112">
        <f>Hoja1!N3</f>
        <v>0</v>
      </c>
      <c r="E97" s="102">
        <f>D97/C97</f>
        <v>0</v>
      </c>
      <c r="F97" s="157"/>
    </row>
    <row r="98" spans="1:6" ht="15.75" thickBot="1" x14ac:dyDescent="0.3">
      <c r="B98" s="109" t="s">
        <v>1042</v>
      </c>
      <c r="C98" s="110">
        <f>COSEIDIcam</f>
        <v>282</v>
      </c>
      <c r="D98" s="110">
        <f>Hoja1!N5</f>
        <v>0</v>
      </c>
      <c r="E98" s="111">
        <f>D98/C98</f>
        <v>0</v>
      </c>
      <c r="F98" s="158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590</v>
      </c>
      <c r="D101" s="98"/>
      <c r="E101" s="103"/>
      <c r="F101" s="156">
        <v>46122</v>
      </c>
    </row>
    <row r="102" spans="1:6" x14ac:dyDescent="0.25">
      <c r="A102" t="s">
        <v>1445</v>
      </c>
      <c r="B102" s="53" t="s">
        <v>6</v>
      </c>
      <c r="C102" s="66">
        <v>141</v>
      </c>
      <c r="D102" s="54"/>
      <c r="E102" s="55">
        <f>C102/C101</f>
        <v>0.23898305084745763</v>
      </c>
      <c r="F102" s="157"/>
    </row>
    <row r="103" spans="1:6" x14ac:dyDescent="0.25">
      <c r="B103" s="53" t="s">
        <v>1220</v>
      </c>
      <c r="C103" s="67">
        <v>0</v>
      </c>
      <c r="D103" s="100">
        <f>C102-C103</f>
        <v>141</v>
      </c>
      <c r="E103" s="55">
        <f>D103/C101</f>
        <v>0.23898305084745763</v>
      </c>
      <c r="F103" s="157"/>
    </row>
    <row r="104" spans="1:6" x14ac:dyDescent="0.25">
      <c r="B104" s="53" t="s">
        <v>1221</v>
      </c>
      <c r="C104" s="67">
        <v>11</v>
      </c>
      <c r="D104" s="100">
        <f>D103-C104</f>
        <v>130</v>
      </c>
      <c r="E104" s="55">
        <f>D104/C101</f>
        <v>0.22033898305084745</v>
      </c>
      <c r="F104" s="157"/>
    </row>
    <row r="105" spans="1:6" x14ac:dyDescent="0.25">
      <c r="A105" t="s">
        <v>1445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0.1711864406779661</v>
      </c>
      <c r="F105" s="157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7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57"/>
    </row>
    <row r="108" spans="1:6" ht="16.5" thickTop="1" thickBot="1" x14ac:dyDescent="0.3">
      <c r="B108" s="95" t="s">
        <v>1041</v>
      </c>
      <c r="C108" s="96">
        <v>307</v>
      </c>
      <c r="D108" s="112">
        <v>69</v>
      </c>
      <c r="E108" s="102">
        <f>D108/C108</f>
        <v>0.22475570032573289</v>
      </c>
      <c r="F108" s="157"/>
    </row>
    <row r="109" spans="1:6" ht="15.75" thickBot="1" x14ac:dyDescent="0.3">
      <c r="B109" s="109" t="s">
        <v>1042</v>
      </c>
      <c r="C109" s="110">
        <f>COSEIDIcam</f>
        <v>282</v>
      </c>
      <c r="D109" s="110">
        <v>72</v>
      </c>
      <c r="E109" s="111">
        <f>D109/C109</f>
        <v>0.25531914893617019</v>
      </c>
      <c r="F109" s="158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590</v>
      </c>
      <c r="D112" s="98"/>
      <c r="E112" s="103"/>
      <c r="F112" s="156">
        <v>46153</v>
      </c>
    </row>
    <row r="113" spans="2:6" x14ac:dyDescent="0.25">
      <c r="B113" s="53" t="s">
        <v>6</v>
      </c>
      <c r="C113" s="66">
        <f>'RESUMEN TOTAL'!AC3</f>
        <v>104</v>
      </c>
      <c r="D113" s="54"/>
      <c r="E113" s="55">
        <f>C113/C112</f>
        <v>0.17627118644067796</v>
      </c>
      <c r="F113" s="157"/>
    </row>
    <row r="114" spans="2:6" x14ac:dyDescent="0.25">
      <c r="B114" s="53" t="s">
        <v>1220</v>
      </c>
      <c r="C114" s="67">
        <v>4</v>
      </c>
      <c r="D114" s="100">
        <f>C113-C114</f>
        <v>100</v>
      </c>
      <c r="E114" s="55">
        <f>D114/C112</f>
        <v>0.16949152542372881</v>
      </c>
      <c r="F114" s="157"/>
    </row>
    <row r="115" spans="2:6" x14ac:dyDescent="0.25">
      <c r="B115" s="53" t="s">
        <v>1221</v>
      </c>
      <c r="C115" s="67">
        <v>12</v>
      </c>
      <c r="D115" s="100">
        <f>D114-C115</f>
        <v>88</v>
      </c>
      <c r="E115" s="55">
        <f>D115/C112</f>
        <v>0.14915254237288136</v>
      </c>
      <c r="F115" s="157"/>
    </row>
    <row r="116" spans="2:6" x14ac:dyDescent="0.25">
      <c r="B116" s="53" t="s">
        <v>15</v>
      </c>
      <c r="C116" s="91">
        <v>6</v>
      </c>
      <c r="D116" s="100">
        <f>D115-C116</f>
        <v>82</v>
      </c>
      <c r="E116" s="55">
        <f>D116/C112</f>
        <v>0.13898305084745763</v>
      </c>
      <c r="F116" s="157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7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57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57"/>
    </row>
    <row r="120" spans="2:6" ht="15.75" thickBot="1" x14ac:dyDescent="0.3">
      <c r="B120" s="109" t="s">
        <v>1042</v>
      </c>
      <c r="C120" s="110">
        <f>COSEIDIcam</f>
        <v>282</v>
      </c>
      <c r="D120" s="110">
        <v>63</v>
      </c>
      <c r="E120" s="111">
        <f>D120/C120</f>
        <v>0.22340425531914893</v>
      </c>
      <c r="F120" s="158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590</v>
      </c>
      <c r="D123" s="98"/>
      <c r="E123" s="103"/>
      <c r="F123" s="156">
        <v>46154</v>
      </c>
    </row>
    <row r="124" spans="2:6" x14ac:dyDescent="0.25">
      <c r="B124" s="53" t="s">
        <v>6</v>
      </c>
      <c r="C124" s="66">
        <f>'RESUMEN TOTAL'!AD3</f>
        <v>107</v>
      </c>
      <c r="D124" s="54"/>
      <c r="E124" s="55">
        <f>C124/C123</f>
        <v>0.18135593220338983</v>
      </c>
      <c r="F124" s="157"/>
    </row>
    <row r="125" spans="2:6" x14ac:dyDescent="0.25">
      <c r="B125" s="53" t="s">
        <v>1220</v>
      </c>
      <c r="C125" s="67">
        <v>5</v>
      </c>
      <c r="D125" s="100">
        <f>C124-C125</f>
        <v>102</v>
      </c>
      <c r="E125" s="55">
        <f>D125/C123</f>
        <v>0.17288135593220338</v>
      </c>
      <c r="F125" s="157"/>
    </row>
    <row r="126" spans="2:6" x14ac:dyDescent="0.25">
      <c r="B126" s="53" t="s">
        <v>1221</v>
      </c>
      <c r="C126" s="67">
        <v>12</v>
      </c>
      <c r="D126" s="100">
        <f>D125-C126</f>
        <v>90</v>
      </c>
      <c r="E126" s="55">
        <f>D126/C123</f>
        <v>0.15254237288135594</v>
      </c>
      <c r="F126" s="157"/>
    </row>
    <row r="127" spans="2:6" x14ac:dyDescent="0.25">
      <c r="B127" s="53" t="s">
        <v>15</v>
      </c>
      <c r="C127" s="91">
        <v>5</v>
      </c>
      <c r="D127" s="100">
        <f>D126-C127</f>
        <v>85</v>
      </c>
      <c r="E127" s="55">
        <f>D127/C123</f>
        <v>0.1440677966101695</v>
      </c>
      <c r="F127" s="157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7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57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57"/>
    </row>
    <row r="131" spans="2:6" ht="15.75" thickBot="1" x14ac:dyDescent="0.3">
      <c r="B131" s="109" t="s">
        <v>1042</v>
      </c>
      <c r="C131" s="110">
        <f>COSEIDIcam</f>
        <v>282</v>
      </c>
      <c r="D131" s="110">
        <v>67</v>
      </c>
      <c r="E131" s="111">
        <f>D131/C131</f>
        <v>0.23758865248226951</v>
      </c>
      <c r="F131" s="158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590</v>
      </c>
      <c r="D134" s="98"/>
      <c r="E134" s="103"/>
      <c r="F134" s="156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0.19661016949152543</v>
      </c>
      <c r="F135" s="157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0.18135593220338983</v>
      </c>
      <c r="F136" s="157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0.16101694915254236</v>
      </c>
      <c r="F137" s="157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0.15084745762711865</v>
      </c>
      <c r="F138" s="157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7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57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57"/>
    </row>
    <row r="142" spans="2:6" ht="15.75" thickBot="1" x14ac:dyDescent="0.3">
      <c r="B142" s="109" t="s">
        <v>1042</v>
      </c>
      <c r="C142" s="110">
        <f>COSEIDIcam</f>
        <v>282</v>
      </c>
      <c r="D142" s="110">
        <v>72</v>
      </c>
      <c r="E142" s="111">
        <f>D142/C142</f>
        <v>0.25531914893617019</v>
      </c>
      <c r="F142" s="158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590</v>
      </c>
      <c r="D145" s="98"/>
      <c r="E145" s="103"/>
      <c r="F145" s="156">
        <v>46156</v>
      </c>
    </row>
    <row r="146" spans="2:6" x14ac:dyDescent="0.25">
      <c r="B146" s="53" t="s">
        <v>6</v>
      </c>
      <c r="C146" s="66">
        <f>'RESUMEN TOTAL'!AF3</f>
        <v>119</v>
      </c>
      <c r="D146" s="54"/>
      <c r="E146" s="55">
        <f>C146/C145</f>
        <v>0.2016949152542373</v>
      </c>
      <c r="F146" s="157"/>
    </row>
    <row r="147" spans="2:6" x14ac:dyDescent="0.25">
      <c r="B147" s="53" t="s">
        <v>1220</v>
      </c>
      <c r="C147" s="67">
        <v>7</v>
      </c>
      <c r="D147" s="100">
        <f>C146-C147</f>
        <v>112</v>
      </c>
      <c r="E147" s="55">
        <f>D147/C145</f>
        <v>0.18983050847457628</v>
      </c>
      <c r="F147" s="157"/>
    </row>
    <row r="148" spans="2:6" x14ac:dyDescent="0.25">
      <c r="B148" s="53" t="s">
        <v>1221</v>
      </c>
      <c r="C148" s="67">
        <v>12</v>
      </c>
      <c r="D148" s="100">
        <f>D147-C148</f>
        <v>100</v>
      </c>
      <c r="E148" s="55">
        <f>D148/C145</f>
        <v>0.16949152542372881</v>
      </c>
      <c r="F148" s="157"/>
    </row>
    <row r="149" spans="2:6" x14ac:dyDescent="0.25">
      <c r="B149" s="53" t="s">
        <v>15</v>
      </c>
      <c r="C149" s="91">
        <v>5</v>
      </c>
      <c r="D149" s="100">
        <f>D148-C149</f>
        <v>95</v>
      </c>
      <c r="E149" s="55">
        <f>D149/C145</f>
        <v>0.16101694915254236</v>
      </c>
      <c r="F149" s="157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7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57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57"/>
    </row>
    <row r="153" spans="2:6" ht="15.75" thickBot="1" x14ac:dyDescent="0.3">
      <c r="B153" s="109" t="s">
        <v>1042</v>
      </c>
      <c r="C153" s="110">
        <f>COSEIDIcam</f>
        <v>282</v>
      </c>
      <c r="D153" s="110">
        <v>72</v>
      </c>
      <c r="E153" s="111">
        <f>D153/C153</f>
        <v>0.25531914893617019</v>
      </c>
      <c r="F153" s="158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590</v>
      </c>
      <c r="D156" s="98"/>
      <c r="E156" s="103"/>
      <c r="F156" s="156">
        <v>46157</v>
      </c>
    </row>
    <row r="157" spans="2:6" x14ac:dyDescent="0.25">
      <c r="B157" s="53" t="s">
        <v>6</v>
      </c>
      <c r="C157" s="66">
        <f>'RESUMEN TOTAL'!AG3</f>
        <v>121</v>
      </c>
      <c r="D157" s="54"/>
      <c r="E157" s="55">
        <f>C157/C156</f>
        <v>0.20508474576271185</v>
      </c>
      <c r="F157" s="157"/>
    </row>
    <row r="158" spans="2:6" x14ac:dyDescent="0.25">
      <c r="B158" s="53" t="s">
        <v>1220</v>
      </c>
      <c r="C158" s="67">
        <v>15</v>
      </c>
      <c r="D158" s="100">
        <f>C157-C158</f>
        <v>106</v>
      </c>
      <c r="E158" s="55">
        <f>D158/C156</f>
        <v>0.17966101694915254</v>
      </c>
      <c r="F158" s="157"/>
    </row>
    <row r="159" spans="2:6" x14ac:dyDescent="0.25">
      <c r="B159" s="53" t="s">
        <v>1221</v>
      </c>
      <c r="C159" s="67">
        <v>12</v>
      </c>
      <c r="D159" s="100">
        <f>D158-C159</f>
        <v>94</v>
      </c>
      <c r="E159" s="55">
        <f>D159/C156</f>
        <v>0.15932203389830507</v>
      </c>
      <c r="F159" s="157"/>
    </row>
    <row r="160" spans="2:6" x14ac:dyDescent="0.25">
      <c r="B160" s="53" t="s">
        <v>15</v>
      </c>
      <c r="C160" s="91">
        <v>4</v>
      </c>
      <c r="D160" s="100">
        <f>D159-C160</f>
        <v>90</v>
      </c>
      <c r="E160" s="55">
        <f>D160/C156</f>
        <v>0.15254237288135594</v>
      </c>
      <c r="F160" s="157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7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57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57"/>
    </row>
    <row r="164" spans="2:6" ht="15.75" thickBot="1" x14ac:dyDescent="0.3">
      <c r="B164" s="109" t="s">
        <v>1042</v>
      </c>
      <c r="C164" s="110">
        <f>COSEIDIcam</f>
        <v>282</v>
      </c>
      <c r="D164" s="110">
        <v>77</v>
      </c>
      <c r="E164" s="111">
        <f>D164/C164</f>
        <v>0.27304964539007093</v>
      </c>
      <c r="F164" s="158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590</v>
      </c>
      <c r="D167" s="98"/>
      <c r="E167" s="103"/>
      <c r="F167" s="156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7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-3.3898305084745762E-3</v>
      </c>
      <c r="F169" s="157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-2.3728813559322035E-2</v>
      </c>
      <c r="F170" s="157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-3.2203389830508473E-2</v>
      </c>
      <c r="F171" s="157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-3.2203389830508473E-2</v>
      </c>
      <c r="F172" s="157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57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57"/>
    </row>
    <row r="175" spans="2:6" ht="15.75" thickBot="1" x14ac:dyDescent="0.3">
      <c r="B175" s="109" t="s">
        <v>1042</v>
      </c>
      <c r="C175" s="110">
        <f>COSEIDIcam</f>
        <v>282</v>
      </c>
      <c r="D175" s="110">
        <v>40</v>
      </c>
      <c r="E175" s="111">
        <f>D175/C175</f>
        <v>0.14184397163120568</v>
      </c>
      <c r="F175" s="158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590</v>
      </c>
      <c r="D178" s="98"/>
      <c r="E178" s="103"/>
      <c r="F178" s="156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7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-3.3898305084745763E-2</v>
      </c>
      <c r="F180" s="157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-5.4237288135593219E-2</v>
      </c>
      <c r="F181" s="157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-6.2711864406779658E-2</v>
      </c>
      <c r="F182" s="157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7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57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57"/>
    </row>
    <row r="186" spans="2:6" ht="15.75" thickBot="1" x14ac:dyDescent="0.3">
      <c r="B186" s="109" t="s">
        <v>1042</v>
      </c>
      <c r="C186" s="110">
        <f>COSEIDIcam</f>
        <v>282</v>
      </c>
      <c r="D186" s="110">
        <f>Hoja1!V5</f>
        <v>0</v>
      </c>
      <c r="E186" s="111">
        <f>D186/C186</f>
        <v>0</v>
      </c>
      <c r="F186" s="158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590</v>
      </c>
      <c r="D189" s="98"/>
      <c r="E189" s="103"/>
      <c r="F189" s="156">
        <v>46160</v>
      </c>
    </row>
    <row r="190" spans="2:6" x14ac:dyDescent="0.25">
      <c r="B190" s="53" t="s">
        <v>6</v>
      </c>
      <c r="C190" s="66">
        <f>'RESUMEN TOTAL'!AJ3</f>
        <v>110</v>
      </c>
      <c r="D190" s="54"/>
      <c r="E190" s="55">
        <f>C190/C189</f>
        <v>0.1864406779661017</v>
      </c>
      <c r="F190" s="157"/>
    </row>
    <row r="191" spans="2:6" x14ac:dyDescent="0.25">
      <c r="B191" s="53" t="s">
        <v>1220</v>
      </c>
      <c r="C191" s="67">
        <v>10</v>
      </c>
      <c r="D191" s="100">
        <f>C190-C191</f>
        <v>100</v>
      </c>
      <c r="E191" s="55">
        <f>D191/C189</f>
        <v>0.16949152542372881</v>
      </c>
      <c r="F191" s="157"/>
    </row>
    <row r="192" spans="2:6" x14ac:dyDescent="0.25">
      <c r="B192" s="53" t="s">
        <v>1221</v>
      </c>
      <c r="C192" s="67">
        <v>12</v>
      </c>
      <c r="D192" s="100">
        <f>D191-C192</f>
        <v>88</v>
      </c>
      <c r="E192" s="55">
        <f>D192/C189</f>
        <v>0.14915254237288136</v>
      </c>
      <c r="F192" s="157"/>
    </row>
    <row r="193" spans="2:6" x14ac:dyDescent="0.25">
      <c r="B193" s="53" t="s">
        <v>15</v>
      </c>
      <c r="C193" s="91">
        <v>6</v>
      </c>
      <c r="D193" s="100">
        <f>D192-C193</f>
        <v>82</v>
      </c>
      <c r="E193" s="55">
        <f>D193/C189</f>
        <v>0.13898305084745763</v>
      </c>
      <c r="F193" s="157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7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57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57"/>
    </row>
    <row r="197" spans="2:6" ht="15.75" thickBot="1" x14ac:dyDescent="0.3">
      <c r="B197" s="109" t="s">
        <v>1042</v>
      </c>
      <c r="C197" s="110">
        <f>COSEIDIcam</f>
        <v>282</v>
      </c>
      <c r="D197" s="110">
        <v>67</v>
      </c>
      <c r="E197" s="111">
        <f>D197/C197</f>
        <v>0.23758865248226951</v>
      </c>
      <c r="F197" s="158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590</v>
      </c>
      <c r="D200" s="98"/>
      <c r="E200" s="103"/>
      <c r="F200" s="156">
        <v>46100</v>
      </c>
    </row>
    <row r="201" spans="2:6" x14ac:dyDescent="0.25">
      <c r="B201" s="53" t="s">
        <v>6</v>
      </c>
      <c r="C201" s="66">
        <f>'RESUMEN TOTAL'!AK3</f>
        <v>108</v>
      </c>
      <c r="D201" s="54"/>
      <c r="E201" s="55">
        <f>C201/C200</f>
        <v>0.18305084745762712</v>
      </c>
      <c r="F201" s="157"/>
    </row>
    <row r="202" spans="2:6" x14ac:dyDescent="0.25">
      <c r="B202" s="53" t="s">
        <v>1220</v>
      </c>
      <c r="C202" s="67">
        <v>7</v>
      </c>
      <c r="D202" s="100">
        <f>C201-C202</f>
        <v>101</v>
      </c>
      <c r="E202" s="55">
        <f>D202/C200</f>
        <v>0.1711864406779661</v>
      </c>
      <c r="F202" s="157"/>
    </row>
    <row r="203" spans="2:6" x14ac:dyDescent="0.25">
      <c r="B203" s="53" t="s">
        <v>1221</v>
      </c>
      <c r="C203" s="67">
        <v>12</v>
      </c>
      <c r="D203" s="100">
        <f>D202-C203</f>
        <v>89</v>
      </c>
      <c r="E203" s="55">
        <f>D203/C200</f>
        <v>0.15084745762711865</v>
      </c>
      <c r="F203" s="157"/>
    </row>
    <row r="204" spans="2:6" x14ac:dyDescent="0.25">
      <c r="B204" s="53" t="s">
        <v>15</v>
      </c>
      <c r="C204" s="91">
        <v>6</v>
      </c>
      <c r="D204" s="100">
        <f>D203-C204</f>
        <v>83</v>
      </c>
      <c r="E204" s="55">
        <f>D204/C200</f>
        <v>0.14067796610169492</v>
      </c>
      <c r="F204" s="157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7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57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57"/>
    </row>
    <row r="208" spans="2:6" ht="15.75" thickBot="1" x14ac:dyDescent="0.3">
      <c r="B208" s="109" t="s">
        <v>1042</v>
      </c>
      <c r="C208" s="110">
        <f>COSEIDIcam</f>
        <v>282</v>
      </c>
      <c r="D208" s="110">
        <v>70</v>
      </c>
      <c r="E208" s="111">
        <f>D208/C208</f>
        <v>0.24822695035460993</v>
      </c>
      <c r="F208" s="158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590</v>
      </c>
      <c r="D211" s="98"/>
      <c r="E211" s="103"/>
      <c r="F211" s="156">
        <v>46132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7"/>
    </row>
    <row r="213" spans="2:6" x14ac:dyDescent="0.25">
      <c r="B213" s="53" t="s">
        <v>1220</v>
      </c>
      <c r="C213" s="67">
        <v>9</v>
      </c>
      <c r="D213" s="100">
        <f>C212-C213</f>
        <v>-9</v>
      </c>
      <c r="E213" s="55">
        <f>D213/C211</f>
        <v>-1.5254237288135594E-2</v>
      </c>
      <c r="F213" s="157"/>
    </row>
    <row r="214" spans="2:6" x14ac:dyDescent="0.25">
      <c r="B214" s="53" t="s">
        <v>1221</v>
      </c>
      <c r="C214" s="67">
        <v>12</v>
      </c>
      <c r="D214" s="100">
        <f>D213-C214</f>
        <v>-21</v>
      </c>
      <c r="E214" s="55">
        <f>D214/C211</f>
        <v>-3.5593220338983052E-2</v>
      </c>
      <c r="F214" s="157"/>
    </row>
    <row r="215" spans="2:6" x14ac:dyDescent="0.25">
      <c r="B215" s="53" t="s">
        <v>15</v>
      </c>
      <c r="C215" s="91">
        <v>5</v>
      </c>
      <c r="D215" s="100">
        <f>D214-C215</f>
        <v>-26</v>
      </c>
      <c r="E215" s="55">
        <f>D215/C211</f>
        <v>-4.4067796610169491E-2</v>
      </c>
      <c r="F215" s="157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7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57"/>
    </row>
    <row r="218" spans="2:6" ht="16.5" thickTop="1" thickBot="1" x14ac:dyDescent="0.3">
      <c r="B218" s="95" t="s">
        <v>1041</v>
      </c>
      <c r="C218" s="96">
        <v>307</v>
      </c>
      <c r="D218" s="112">
        <f>Hoja1!Y3</f>
        <v>0</v>
      </c>
      <c r="E218" s="102">
        <f>D218/C218</f>
        <v>0</v>
      </c>
      <c r="F218" s="157"/>
    </row>
    <row r="219" spans="2:6" ht="15.75" thickBot="1" x14ac:dyDescent="0.3">
      <c r="B219" s="109" t="s">
        <v>1042</v>
      </c>
      <c r="C219" s="110">
        <f>COSEIDIcam</f>
        <v>282</v>
      </c>
      <c r="D219" s="110">
        <f>Hoja1!Y5</f>
        <v>0</v>
      </c>
      <c r="E219" s="111">
        <f>D219/C219</f>
        <v>0</v>
      </c>
      <c r="F219" s="158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590</v>
      </c>
      <c r="D223" s="98"/>
      <c r="E223" s="103"/>
      <c r="F223" s="156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0.16779661016949152</v>
      </c>
      <c r="F224" s="157"/>
    </row>
    <row r="225" spans="2:6" x14ac:dyDescent="0.25">
      <c r="B225" s="53" t="s">
        <v>1220</v>
      </c>
      <c r="C225" s="67">
        <v>3</v>
      </c>
      <c r="D225" s="100">
        <f>C224-C225</f>
        <v>96</v>
      </c>
      <c r="E225" s="55">
        <f>D225/C223</f>
        <v>0.16271186440677965</v>
      </c>
      <c r="F225" s="157"/>
    </row>
    <row r="226" spans="2:6" x14ac:dyDescent="0.25">
      <c r="B226" s="53" t="s">
        <v>1221</v>
      </c>
      <c r="C226" s="67">
        <v>12</v>
      </c>
      <c r="D226" s="100">
        <f>D225-C226</f>
        <v>84</v>
      </c>
      <c r="E226" s="55">
        <f>D226/C223</f>
        <v>0.14237288135593221</v>
      </c>
      <c r="F226" s="157"/>
    </row>
    <row r="227" spans="2:6" x14ac:dyDescent="0.25">
      <c r="B227" s="53" t="s">
        <v>15</v>
      </c>
      <c r="C227" s="91">
        <v>5</v>
      </c>
      <c r="D227" s="100">
        <f>D226-C227</f>
        <v>79</v>
      </c>
      <c r="E227" s="55">
        <f>D227/C223</f>
        <v>0.13389830508474576</v>
      </c>
      <c r="F227" s="157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7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57"/>
    </row>
    <row r="230" spans="2:6" ht="16.5" thickTop="1" thickBot="1" x14ac:dyDescent="0.3">
      <c r="B230" s="95" t="s">
        <v>1041</v>
      </c>
      <c r="C230" s="96">
        <v>307</v>
      </c>
      <c r="D230" s="112">
        <v>58</v>
      </c>
      <c r="E230" s="102">
        <f>D230/C230</f>
        <v>0.18892508143322476</v>
      </c>
      <c r="F230" s="157"/>
    </row>
    <row r="231" spans="2:6" ht="15.75" thickBot="1" x14ac:dyDescent="0.3">
      <c r="B231" s="109" t="s">
        <v>1042</v>
      </c>
      <c r="C231" s="110">
        <f>COSEIDIcam</f>
        <v>282</v>
      </c>
      <c r="D231" s="110">
        <v>41</v>
      </c>
      <c r="E231" s="111">
        <f>D231/C231</f>
        <v>0.1453900709219858</v>
      </c>
      <c r="F231" s="158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590</v>
      </c>
      <c r="D235" s="98"/>
      <c r="E235" s="103"/>
      <c r="F235" s="156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0.16610169491525423</v>
      </c>
      <c r="F236" s="157"/>
    </row>
    <row r="237" spans="2:6" x14ac:dyDescent="0.25">
      <c r="B237" s="53" t="s">
        <v>1220</v>
      </c>
      <c r="C237" s="67">
        <v>14</v>
      </c>
      <c r="D237" s="100">
        <f>C236-C237</f>
        <v>84</v>
      </c>
      <c r="E237" s="55">
        <f>D237/C235</f>
        <v>0.14237288135593221</v>
      </c>
      <c r="F237" s="157"/>
    </row>
    <row r="238" spans="2:6" x14ac:dyDescent="0.25">
      <c r="B238" s="53" t="s">
        <v>1221</v>
      </c>
      <c r="C238" s="67">
        <v>12</v>
      </c>
      <c r="D238" s="100">
        <f>D237-C238</f>
        <v>72</v>
      </c>
      <c r="E238" s="55">
        <f>D238/C235</f>
        <v>0.12203389830508475</v>
      </c>
      <c r="F238" s="157"/>
    </row>
    <row r="239" spans="2:6" x14ac:dyDescent="0.25">
      <c r="B239" s="53" t="s">
        <v>15</v>
      </c>
      <c r="C239" s="91">
        <v>5</v>
      </c>
      <c r="D239" s="100">
        <f>D238-C239</f>
        <v>67</v>
      </c>
      <c r="E239" s="55">
        <f>D239/C235</f>
        <v>0.11355932203389831</v>
      </c>
      <c r="F239" s="157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7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57"/>
    </row>
    <row r="242" spans="2:6" ht="16.5" thickTop="1" thickBot="1" x14ac:dyDescent="0.3">
      <c r="B242" s="95" t="s">
        <v>1041</v>
      </c>
      <c r="C242" s="96">
        <v>307</v>
      </c>
      <c r="D242" s="112">
        <v>57</v>
      </c>
      <c r="E242" s="102">
        <f>D242/C242</f>
        <v>0.18566775244299674</v>
      </c>
      <c r="F242" s="157"/>
    </row>
    <row r="243" spans="2:6" ht="15.75" thickBot="1" x14ac:dyDescent="0.3">
      <c r="B243" s="109" t="s">
        <v>1042</v>
      </c>
      <c r="C243" s="110">
        <f>COSEIDIcam</f>
        <v>282</v>
      </c>
      <c r="D243" s="110">
        <v>41</v>
      </c>
      <c r="E243" s="111">
        <f>D243/C243</f>
        <v>0.1453900709219858</v>
      </c>
      <c r="F243" s="158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590</v>
      </c>
      <c r="D247" s="98"/>
      <c r="E247" s="103"/>
      <c r="F247" s="156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0.21016949152542372</v>
      </c>
      <c r="F248" s="157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0.19491525423728814</v>
      </c>
      <c r="F249" s="157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0.17457627118644067</v>
      </c>
      <c r="F250" s="157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0.16610169491525423</v>
      </c>
      <c r="F251" s="157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7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57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57"/>
    </row>
    <row r="255" spans="2:6" ht="15.75" thickBot="1" x14ac:dyDescent="0.3">
      <c r="B255" s="109" t="s">
        <v>1042</v>
      </c>
      <c r="C255" s="110">
        <f>COSEIDIcam</f>
        <v>282</v>
      </c>
      <c r="D255" s="110">
        <v>63</v>
      </c>
      <c r="E255" s="111">
        <f>D255/C255</f>
        <v>0.22340425531914893</v>
      </c>
      <c r="F255" s="158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590</v>
      </c>
      <c r="D259" s="98"/>
      <c r="E259" s="103"/>
      <c r="F259" s="156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0.19661016949152543</v>
      </c>
      <c r="F260" s="157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0.18474576271186441</v>
      </c>
      <c r="F261" s="157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0.16440677966101694</v>
      </c>
      <c r="F262" s="157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0.15593220338983052</v>
      </c>
      <c r="F263" s="157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7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57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57"/>
    </row>
    <row r="267" spans="2:6" ht="15.75" thickBot="1" x14ac:dyDescent="0.3">
      <c r="B267" s="109" t="s">
        <v>1042</v>
      </c>
      <c r="C267" s="110">
        <f>COSEIDIcam</f>
        <v>282</v>
      </c>
      <c r="D267" s="110">
        <v>59</v>
      </c>
      <c r="E267" s="111">
        <f>D267/C267</f>
        <v>0.20921985815602837</v>
      </c>
      <c r="F267" s="158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590</v>
      </c>
      <c r="D270" s="98"/>
      <c r="E270" s="103"/>
      <c r="F270" s="156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7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-1.0169491525423728E-2</v>
      </c>
      <c r="F272" s="157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-2.7118644067796609E-2</v>
      </c>
      <c r="F273" s="157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-3.7288135593220341E-2</v>
      </c>
      <c r="F274" s="157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7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57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57"/>
    </row>
    <row r="278" spans="2:6" ht="15.75" thickBot="1" x14ac:dyDescent="0.3">
      <c r="B278" s="109" t="s">
        <v>1042</v>
      </c>
      <c r="C278" s="110">
        <f>COSEIDIcam</f>
        <v>282</v>
      </c>
      <c r="D278" s="110">
        <f>Hoja1!AD5</f>
        <v>0</v>
      </c>
      <c r="E278" s="111">
        <f>D278/C278</f>
        <v>0</v>
      </c>
      <c r="F278" s="158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590</v>
      </c>
      <c r="D281" s="98"/>
      <c r="E281" s="103"/>
      <c r="F281" s="156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7"/>
    </row>
    <row r="283" spans="2:6" x14ac:dyDescent="0.25">
      <c r="B283" s="53" t="s">
        <v>1220</v>
      </c>
      <c r="C283" s="67">
        <v>0</v>
      </c>
      <c r="D283" s="100">
        <f>C282-C283</f>
        <v>0</v>
      </c>
      <c r="E283" s="55">
        <f>D283/C281</f>
        <v>0</v>
      </c>
      <c r="F283" s="157"/>
    </row>
    <row r="284" spans="2:6" x14ac:dyDescent="0.25">
      <c r="B284" s="53" t="s">
        <v>1221</v>
      </c>
      <c r="C284" s="67">
        <v>10</v>
      </c>
      <c r="D284" s="100">
        <f>D283-C284</f>
        <v>-10</v>
      </c>
      <c r="E284" s="55">
        <f>D284/C281</f>
        <v>-1.6949152542372881E-2</v>
      </c>
      <c r="F284" s="157"/>
    </row>
    <row r="285" spans="2:6" x14ac:dyDescent="0.25">
      <c r="B285" s="53" t="s">
        <v>15</v>
      </c>
      <c r="C285" s="91">
        <v>4</v>
      </c>
      <c r="D285" s="100">
        <f>D284-C285</f>
        <v>-14</v>
      </c>
      <c r="E285" s="55">
        <f>D285/C281</f>
        <v>-2.3728813559322035E-2</v>
      </c>
      <c r="F285" s="157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7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57"/>
    </row>
    <row r="288" spans="2:6" ht="16.5" thickTop="1" thickBot="1" x14ac:dyDescent="0.3">
      <c r="B288" s="95" t="s">
        <v>1041</v>
      </c>
      <c r="C288" s="96">
        <v>307</v>
      </c>
      <c r="D288" s="112">
        <f>Hoja1!AE3</f>
        <v>0</v>
      </c>
      <c r="E288" s="102">
        <f>D288/C288</f>
        <v>0</v>
      </c>
      <c r="F288" s="157"/>
    </row>
    <row r="289" spans="2:6" ht="15.75" thickBot="1" x14ac:dyDescent="0.3">
      <c r="B289" s="109" t="s">
        <v>1042</v>
      </c>
      <c r="C289" s="110">
        <f>COSEIDIcam</f>
        <v>282</v>
      </c>
      <c r="D289" s="110">
        <f>Hoja1!AE5</f>
        <v>0</v>
      </c>
      <c r="E289" s="111">
        <f>D289/C289</f>
        <v>0</v>
      </c>
      <c r="F289" s="158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590</v>
      </c>
      <c r="D292" s="98"/>
      <c r="E292" s="103"/>
      <c r="F292" s="156">
        <v>46139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7"/>
    </row>
    <row r="294" spans="2:6" x14ac:dyDescent="0.25">
      <c r="B294" s="53" t="s">
        <v>1220</v>
      </c>
      <c r="C294" s="67">
        <v>9</v>
      </c>
      <c r="D294" s="100">
        <f>C293-C294</f>
        <v>-9</v>
      </c>
      <c r="E294" s="55">
        <f>D294/C292</f>
        <v>-1.5254237288135594E-2</v>
      </c>
      <c r="F294" s="157"/>
    </row>
    <row r="295" spans="2:6" x14ac:dyDescent="0.25">
      <c r="B295" s="53" t="s">
        <v>1221</v>
      </c>
      <c r="C295" s="67">
        <v>12</v>
      </c>
      <c r="D295" s="100">
        <f>D294-C295</f>
        <v>-21</v>
      </c>
      <c r="E295" s="55">
        <f>D295/C292</f>
        <v>-3.5593220338983052E-2</v>
      </c>
      <c r="F295" s="157"/>
    </row>
    <row r="296" spans="2:6" x14ac:dyDescent="0.25">
      <c r="B296" s="53" t="s">
        <v>15</v>
      </c>
      <c r="C296" s="91">
        <v>6</v>
      </c>
      <c r="D296" s="100">
        <f>D295-C296</f>
        <v>-27</v>
      </c>
      <c r="E296" s="55">
        <f>D296/C292</f>
        <v>-4.576271186440678E-2</v>
      </c>
      <c r="F296" s="157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7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57"/>
    </row>
    <row r="299" spans="2:6" ht="16.5" thickTop="1" thickBot="1" x14ac:dyDescent="0.3">
      <c r="B299" s="95" t="s">
        <v>1041</v>
      </c>
      <c r="C299" s="96">
        <v>307</v>
      </c>
      <c r="D299" s="112">
        <f>Hoja1!AF3</f>
        <v>0</v>
      </c>
      <c r="E299" s="102">
        <f>D299/C299</f>
        <v>0</v>
      </c>
      <c r="F299" s="157"/>
    </row>
    <row r="300" spans="2:6" ht="15.75" thickBot="1" x14ac:dyDescent="0.3">
      <c r="B300" s="109" t="s">
        <v>1042</v>
      </c>
      <c r="C300" s="110">
        <f>COSEIDIcam</f>
        <v>282</v>
      </c>
      <c r="D300" s="110">
        <f>Hoja1!AF5</f>
        <v>0</v>
      </c>
      <c r="E300" s="111">
        <f>D300/C300</f>
        <v>0</v>
      </c>
      <c r="F300" s="158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590</v>
      </c>
      <c r="D303" s="98"/>
      <c r="E303" s="103"/>
      <c r="F303" s="156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0.20677966101694914</v>
      </c>
      <c r="F304" s="157"/>
    </row>
    <row r="305" spans="2:6" x14ac:dyDescent="0.25">
      <c r="B305" s="53" t="s">
        <v>1220</v>
      </c>
      <c r="C305" s="67">
        <v>9</v>
      </c>
      <c r="D305" s="100">
        <f>C304-C305</f>
        <v>113</v>
      </c>
      <c r="E305" s="55">
        <f>D305/C303</f>
        <v>0.19152542372881357</v>
      </c>
      <c r="F305" s="157"/>
    </row>
    <row r="306" spans="2:6" x14ac:dyDescent="0.25">
      <c r="B306" s="53" t="s">
        <v>1221</v>
      </c>
      <c r="C306" s="67">
        <v>12</v>
      </c>
      <c r="D306" s="100">
        <f>D305-C306</f>
        <v>101</v>
      </c>
      <c r="E306" s="55">
        <f>D306/C303</f>
        <v>0.1711864406779661</v>
      </c>
      <c r="F306" s="157"/>
    </row>
    <row r="307" spans="2:6" x14ac:dyDescent="0.25">
      <c r="B307" s="53" t="s">
        <v>15</v>
      </c>
      <c r="C307" s="91">
        <v>5</v>
      </c>
      <c r="D307" s="100">
        <f>D306-C307</f>
        <v>96</v>
      </c>
      <c r="E307" s="55">
        <f>D307/C303</f>
        <v>0.16271186440677965</v>
      </c>
      <c r="F307" s="157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7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57"/>
    </row>
    <row r="310" spans="2:6" ht="16.5" thickTop="1" thickBot="1" x14ac:dyDescent="0.3">
      <c r="B310" s="95" t="s">
        <v>1041</v>
      </c>
      <c r="C310" s="96">
        <v>307</v>
      </c>
      <c r="D310" s="112">
        <v>53</v>
      </c>
      <c r="E310" s="102">
        <f>D310/C310</f>
        <v>0.17263843648208468</v>
      </c>
      <c r="F310" s="157"/>
    </row>
    <row r="311" spans="2:6" ht="15.75" thickBot="1" x14ac:dyDescent="0.3">
      <c r="B311" s="109" t="s">
        <v>1042</v>
      </c>
      <c r="C311" s="110">
        <f>COSEIDIcam</f>
        <v>282</v>
      </c>
      <c r="D311" s="110">
        <v>69</v>
      </c>
      <c r="E311" s="111">
        <f>D311/C311</f>
        <v>0.24468085106382978</v>
      </c>
      <c r="F311" s="158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590</v>
      </c>
      <c r="D314" s="98"/>
      <c r="E314" s="103"/>
      <c r="F314" s="156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0.19661016949152543</v>
      </c>
      <c r="F315" s="157"/>
    </row>
    <row r="316" spans="2:6" x14ac:dyDescent="0.25">
      <c r="B316" s="53" t="s">
        <v>1220</v>
      </c>
      <c r="C316" s="67">
        <v>8</v>
      </c>
      <c r="D316" s="100">
        <f>C315-C316</f>
        <v>108</v>
      </c>
      <c r="E316" s="55">
        <f>D316/C314</f>
        <v>0.18305084745762712</v>
      </c>
      <c r="F316" s="157"/>
    </row>
    <row r="317" spans="2:6" x14ac:dyDescent="0.25">
      <c r="B317" s="53" t="s">
        <v>1221</v>
      </c>
      <c r="C317" s="67">
        <v>12</v>
      </c>
      <c r="D317" s="100">
        <f>D316-C318</f>
        <v>103</v>
      </c>
      <c r="E317" s="55">
        <f>D317/C314</f>
        <v>0.17457627118644067</v>
      </c>
      <c r="F317" s="157"/>
    </row>
    <row r="318" spans="2:6" x14ac:dyDescent="0.25">
      <c r="B318" s="53" t="s">
        <v>15</v>
      </c>
      <c r="C318" s="91">
        <v>5</v>
      </c>
      <c r="D318" s="100">
        <f>D317-C318</f>
        <v>98</v>
      </c>
      <c r="E318" s="55">
        <f>D318/C314</f>
        <v>0.16610169491525423</v>
      </c>
      <c r="F318" s="157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7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57"/>
    </row>
    <row r="321" spans="2:6" ht="16.5" thickTop="1" thickBot="1" x14ac:dyDescent="0.3">
      <c r="B321" s="95" t="s">
        <v>1041</v>
      </c>
      <c r="C321" s="96">
        <v>307</v>
      </c>
      <c r="D321" s="112">
        <v>49</v>
      </c>
      <c r="E321" s="102">
        <f>D321/C321</f>
        <v>0.15960912052117263</v>
      </c>
      <c r="F321" s="157"/>
    </row>
    <row r="322" spans="2:6" ht="15.75" thickBot="1" x14ac:dyDescent="0.3">
      <c r="B322" s="109" t="s">
        <v>1042</v>
      </c>
      <c r="C322" s="110">
        <f>COSEIDIcam</f>
        <v>282</v>
      </c>
      <c r="D322" s="110">
        <v>67</v>
      </c>
      <c r="E322" s="102">
        <f>D322/C322</f>
        <v>0.23758865248226951</v>
      </c>
      <c r="F322" s="158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590</v>
      </c>
      <c r="D325" s="98"/>
      <c r="E325" s="103"/>
      <c r="F325" s="156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7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-1.0169491525423728E-2</v>
      </c>
      <c r="F327" s="157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-3.0508474576271188E-2</v>
      </c>
      <c r="F328" s="157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-3.898305084745763E-2</v>
      </c>
      <c r="F329" s="157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7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57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57"/>
    </row>
    <row r="333" spans="2:6" ht="15.75" thickBot="1" x14ac:dyDescent="0.3">
      <c r="B333" s="109" t="s">
        <v>1042</v>
      </c>
      <c r="C333" s="110">
        <f>COSEIDIcam</f>
        <v>282</v>
      </c>
      <c r="D333" s="110">
        <v>66</v>
      </c>
      <c r="E333" s="111">
        <f>D333/C333</f>
        <v>0.23404255319148937</v>
      </c>
      <c r="F333" s="158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590</v>
      </c>
      <c r="D337" s="98"/>
      <c r="E337" s="103"/>
      <c r="F337" s="156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7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57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57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7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7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57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57"/>
    </row>
    <row r="345" spans="2:6" ht="15.75" thickBot="1" x14ac:dyDescent="0.3">
      <c r="B345" s="109" t="s">
        <v>1042</v>
      </c>
      <c r="C345" s="110">
        <f>COSEIDIcam</f>
        <v>282</v>
      </c>
      <c r="D345" s="110">
        <v>77</v>
      </c>
      <c r="E345" s="111">
        <f>D345/C345</f>
        <v>0.27304964539007093</v>
      </c>
      <c r="F345" s="158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2026-05-19T13:22:07Z</dcterms:modified>
</cp:coreProperties>
</file>