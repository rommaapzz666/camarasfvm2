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8_{D5FAB8BA-6CF3-4C9E-B2A9-E899139C3E2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<sst xmlns="http://schemas.openxmlformats.org/spreadsheetml/2006/main" count="5424" uniqueCount="2289">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</sst>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62</c:v>
                </c:pt>
                <c:pt idx="2">
                  <c:v>0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0.22962962962962963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0.22962962962962963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54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61</c:v>
                </c:pt>
                <c:pt idx="1">
                  <c:v>62</c:v>
                </c:pt>
                <c:pt idx="2">
                  <c:v>0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0.22962962962962963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0.22962962962962963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0</c:v>
                      </c:pt>
                      <c:pt idx="3">
                        <c:v>54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55" zoomScaleNormal="55" workbookViewId="0">
      <pane xSplit="12" ySplit="7" topLeftCell="O290" activePane="bottomRight" state="frozen"/>
      <selection pane="topRight" activeCell="M1" sqref="M1"/>
      <selection pane="bottomLeft" activeCell="A5" sqref="A5"/>
      <selection pane="bottomRight" activeCell="P317" sqref="P31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0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0</v>
      </c>
      <c r="R4" s="10">
        <f>COUNTIFS(R8:R689, "=APAGADO",F8:F689,"=Fibra Optica")</f>
        <v>0</v>
      </c>
      <c r="S4" s="10">
        <f>COUNTIFS(S8:S689, "=APAGADO",F8:F689,"=Fibra Optica")</f>
        <v>0</v>
      </c>
      <c r="T4" s="10">
        <f>COUNTIFS(T8:T689, "=APAGADO",F8:F689,"=Fibra Optica")</f>
        <v>0</v>
      </c>
      <c r="U4" s="10">
        <f>COUNTIFS(U8:U689, "=APAGADO",F8:F689,"=Fibra Optica")</f>
        <v>0</v>
      </c>
      <c r="V4" s="10">
        <f>COUNTIFS(V8:V689, "=APAGADO",F8:F689,"=Fibra Optica")</f>
        <v>0</v>
      </c>
      <c r="W4" s="10">
        <f>COUNTIFS(W8:W689, "=APAGADO",F8:F689,"=Fibra Optica")</f>
        <v>0</v>
      </c>
      <c r="X4" s="10">
        <f>COUNTIFS(X8:X689, "=APAGADO",F8:F689,"=Fibra Optica")</f>
        <v>0</v>
      </c>
      <c r="Y4" s="10">
        <f>COUNTIFS(Y8:Y689, "=APAGADO",F8:F689,"=Fibra Optica")</f>
        <v>0</v>
      </c>
      <c r="Z4" s="10">
        <f>COUNTIFS(Z8:Z689, "=APAGADO",F8:F689,"=Fibra Optica")</f>
        <v>0</v>
      </c>
      <c r="AA4" s="10">
        <f>COUNTIFS(AA8:AA689, "=APAGADO",F8:F689,"=Fibra Optica")</f>
        <v>0</v>
      </c>
      <c r="AB4" s="10">
        <f>COUNTIFS(AB8:AB689, "=APAGADO",F8:F689,"=Fibra Optica")</f>
        <v>0</v>
      </c>
      <c r="AC4" s="10">
        <f>COUNTIFS(AC8:AC689, "=APAGADO",F8:F689,"=Fibra Optica")</f>
        <v>0</v>
      </c>
      <c r="AD4" s="10">
        <f>COUNTIFS(AD8:AD689, "=APAGADO",F8:F689,"=Fibra Optica")</f>
        <v>0</v>
      </c>
      <c r="AE4" s="10">
        <f>COUNTIFS(AE8:AE689, "=APAGADO",F8:F689,"=Fibra Optica")</f>
        <v>0</v>
      </c>
      <c r="AF4" s="10">
        <f>COUNTIFS(AF8:AF689, "=APAGADO",F8:F689,"=Fibra Optica")</f>
        <v>0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0</v>
      </c>
      <c r="R5" s="130">
        <f>COUNTIFS(R8:R689, "=APAGADO",F8:F689,"=RADIO")</f>
        <v>0</v>
      </c>
      <c r="S5" s="130">
        <f>COUNTIFS(S8:S689, "=APAGADO",F8:F689,"=RADIO")</f>
        <v>0</v>
      </c>
      <c r="T5" s="130">
        <f>COUNTIFS(T8:T689, "=APAGADO",F8:F689,"=RADIO")</f>
        <v>0</v>
      </c>
      <c r="U5" s="130">
        <f>COUNTIFS(U8:U689, "=APAGADO",F8:F689,"=RADIO")</f>
        <v>0</v>
      </c>
      <c r="V5" s="130">
        <f>COUNTIFS(V8:V689, "=APAGADO",F8:F689,"=RADIO")</f>
        <v>0</v>
      </c>
      <c r="W5" s="130">
        <f>COUNTIFS(W8:W689, "=APAGADO",F8:F689,"=RADIO")</f>
        <v>0</v>
      </c>
      <c r="X5" s="130">
        <f>COUNTIFS(X8:X689, "=APAGADO",F8:F689,"=RADIO")</f>
        <v>0</v>
      </c>
      <c r="Y5" s="130">
        <f>COUNTIFS(Y8:Y689, "=APAGADO",F8:F689,"=RADIO")</f>
        <v>0</v>
      </c>
      <c r="Z5" s="130">
        <f>COUNTIFS(Z8:Z689, "=APAGADO",F8:F689,"=RADIO")</f>
        <v>0</v>
      </c>
      <c r="AA5" s="130">
        <f>COUNTIFS(AA8:AA689, "=APAGADO",F8:F689,"=RADIO")</f>
        <v>0</v>
      </c>
      <c r="AB5" s="130">
        <f>COUNTIFS(AB8:AB689, "=APAGADO",F8:F689,"=RADIO")</f>
        <v>0</v>
      </c>
      <c r="AC5" s="130">
        <f>COUNTIFS(AC8:AC689, "=APAGADO",F8:F689,"=RADIO")</f>
        <v>0</v>
      </c>
      <c r="AD5" s="130">
        <f>COUNTIFS(AD8:AD689, "=APAGADO",F8:F689,"=RADIO")</f>
        <v>0</v>
      </c>
      <c r="AE5" s="130">
        <f>COUNTIFS(AE8:AE689, "=APAGADO",F8:F689,"=RADIO")</f>
        <v>0</v>
      </c>
      <c r="AF5" s="130">
        <f>COUNTIFS(AF8:AF689, "=APAGADO",F8:F689,"=RADIO")</f>
        <v>0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0</v>
      </c>
      <c r="R6" s="10">
        <f>COUNTIFS(R8:R689, "=APAGADO",F8:F689,"=PTO A FO")</f>
        <v>0</v>
      </c>
      <c r="S6" s="10">
        <f>COUNTIFS(S8:S689, "=APAGADO",F8:F689,"=PTO A FO")</f>
        <v>0</v>
      </c>
      <c r="T6" s="10">
        <f>COUNTIFS(T8:T689, "=APAGADO",F8:F689,"=PTO A FO")</f>
        <v>0</v>
      </c>
      <c r="U6" s="10">
        <f>COUNTIFS(U8:U689, "=APAGADO",F8:F689,"=PTO A FO")</f>
        <v>0</v>
      </c>
      <c r="V6" s="10">
        <f>COUNTIFS(V8:V689, "=APAGADO",F8:F689,"=PTO A FO")</f>
        <v>0</v>
      </c>
      <c r="W6" s="10">
        <f>COUNTIFS(W8:W689, "=APAGADO",F8:F689,"=PTO A FO")</f>
        <v>0</v>
      </c>
      <c r="X6" s="10">
        <f>COUNTIFS(X8:X689, "=APAGADO",F8:F689,"=PTO A FO")</f>
        <v>0</v>
      </c>
      <c r="Y6" s="10">
        <f>COUNTIFS(Y8:Y689, "=APAGADO",F8:F689,"=PTO A FO")</f>
        <v>0</v>
      </c>
      <c r="Z6" s="10">
        <f>COUNTIFS(Z8:Z689, "=APAGADO",F8:F689,"=PTO A FO")</f>
        <v>0</v>
      </c>
      <c r="AA6" s="10">
        <f>COUNTIFS(AA8:AA689, "=APAGADO",F8:F689,"=PTO A FO")</f>
        <v>0</v>
      </c>
      <c r="AB6" s="10">
        <f>COUNTIFS(AB8:AB689, "=APAGADO",F8:F689,"=PTO A FO")</f>
        <v>0</v>
      </c>
      <c r="AC6" s="10">
        <f>COUNTIFS(AC8:AC689, "=APAGADO",F8:F689,"=PTO A FO")</f>
        <v>0</v>
      </c>
      <c r="AD6" s="10">
        <f>COUNTIFS(AD8:AD689, "=APAGADO",F8:F689,"=PTO A FO")</f>
        <v>0</v>
      </c>
      <c r="AE6" s="10">
        <f>COUNTIFS(AE8:AE689, "=APAGADO",F8:F689,"=PTO A FO")</f>
        <v>0</v>
      </c>
      <c r="AF6" s="10">
        <f>COUNTIFS(AF8:AF689, "=APAGADO",F8:F689,"=PTO A FO")</f>
        <v>0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24</v>
      </c>
      <c r="J8" s="147" t="s">
        <v>1667</v>
      </c>
      <c r="K8" s="31">
        <f t="shared" ref="K8:K85" si="6">COUNTIF(M8:AN8,"APAGADO")</f>
        <v>4</v>
      </c>
      <c r="L8" s="32">
        <f t="shared" ref="L8:L85" si="7">(I8)/(K8+I8)</f>
        <v>0.8571428571428571</v>
      </c>
      <c r="M8" s="70" t="s">
        <v>2288</v>
      </c>
      <c r="N8" s="70" t="s">
        <v>2288</v>
      </c>
      <c r="O8" s="70" t="s">
        <v>2288</v>
      </c>
      <c r="P8" s="70" t="s">
        <v>2288</v>
      </c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24</v>
      </c>
      <c r="J9" s="147" t="s">
        <v>1668</v>
      </c>
      <c r="K9" s="31">
        <f t="shared" si="6"/>
        <v>4</v>
      </c>
      <c r="L9" s="32">
        <f t="shared" si="7"/>
        <v>0.8571428571428571</v>
      </c>
      <c r="M9" s="70" t="s">
        <v>2288</v>
      </c>
      <c r="N9" s="70" t="s">
        <v>2288</v>
      </c>
      <c r="O9" s="70" t="s">
        <v>2288</v>
      </c>
      <c r="P9" s="70" t="s">
        <v>2288</v>
      </c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24</v>
      </c>
      <c r="J14" s="147" t="s">
        <v>1673</v>
      </c>
      <c r="K14" s="31">
        <f t="shared" si="6"/>
        <v>4</v>
      </c>
      <c r="L14" s="32">
        <f t="shared" si="7"/>
        <v>0.8571428571428571</v>
      </c>
      <c r="M14" s="70" t="s">
        <v>2288</v>
      </c>
      <c r="N14" s="70" t="s">
        <v>2288</v>
      </c>
      <c r="O14" s="70" t="s">
        <v>2288</v>
      </c>
      <c r="P14" s="70" t="s">
        <v>2288</v>
      </c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28</v>
      </c>
      <c r="J17" s="150" t="s">
        <v>1676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24</v>
      </c>
      <c r="J19" s="147" t="s">
        <v>1677</v>
      </c>
      <c r="K19" s="31">
        <f t="shared" si="6"/>
        <v>4</v>
      </c>
      <c r="L19" s="32">
        <f t="shared" si="7"/>
        <v>0.8571428571428571</v>
      </c>
      <c r="M19" s="70" t="s">
        <v>2288</v>
      </c>
      <c r="N19" s="70" t="s">
        <v>2288</v>
      </c>
      <c r="O19" s="70" t="s">
        <v>2288</v>
      </c>
      <c r="P19" s="70" t="s">
        <v>2288</v>
      </c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24</v>
      </c>
      <c r="J20" s="147" t="s">
        <v>1678</v>
      </c>
      <c r="K20" s="31">
        <f t="shared" si="6"/>
        <v>4</v>
      </c>
      <c r="L20" s="32">
        <f t="shared" si="7"/>
        <v>0.8571428571428571</v>
      </c>
      <c r="M20" s="70" t="s">
        <v>2288</v>
      </c>
      <c r="N20" s="70" t="s">
        <v>2288</v>
      </c>
      <c r="O20" s="70" t="s">
        <v>2288</v>
      </c>
      <c r="P20" s="70" t="s">
        <v>2288</v>
      </c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24</v>
      </c>
      <c r="J34" s="147" t="s">
        <v>1689</v>
      </c>
      <c r="K34" s="134">
        <f t="shared" si="6"/>
        <v>4</v>
      </c>
      <c r="L34" s="135">
        <f t="shared" si="7"/>
        <v>0.8571428571428571</v>
      </c>
      <c r="M34" s="136" t="s">
        <v>2288</v>
      </c>
      <c r="N34" s="136" t="s">
        <v>2288</v>
      </c>
      <c r="O34" s="136" t="s">
        <v>2288</v>
      </c>
      <c r="P34" s="136" t="s">
        <v>2288</v>
      </c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28</v>
      </c>
      <c r="J35" s="87" t="s">
        <v>2163</v>
      </c>
      <c r="K35" s="142">
        <f t="shared" si="6"/>
        <v>0</v>
      </c>
      <c r="L35" s="143">
        <f t="shared" si="7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24</v>
      </c>
      <c r="J36" s="87" t="s">
        <v>2157</v>
      </c>
      <c r="K36" s="142">
        <f t="shared" si="6"/>
        <v>4</v>
      </c>
      <c r="L36" s="143">
        <f t="shared" si="7"/>
        <v>0.8571428571428571</v>
      </c>
      <c r="M36" s="70" t="s">
        <v>2288</v>
      </c>
      <c r="N36" s="70" t="s">
        <v>2288</v>
      </c>
      <c r="O36" s="70" t="s">
        <v>2288</v>
      </c>
      <c r="P36" s="70" t="s">
        <v>2288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28</v>
      </c>
      <c r="J43" s="87" t="s">
        <v>2192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2245</v>
      </c>
      <c r="C44" t="s">
        <v>1063</v>
      </c>
      <c r="D44" t="s">
        <v>2250</v>
      </c>
      <c r="E44" s="30" t="s">
        <v>73</v>
      </c>
      <c r="F44" s="30" t="s">
        <v>28</v>
      </c>
      <c r="G44" s="30"/>
      <c r="H44" s="85" t="s">
        <v>2246</v>
      </c>
      <c r="I44" s="31">
        <f t="shared" si="5"/>
        <v>28</v>
      </c>
      <c r="J44" s="153" t="s">
        <v>2247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2248</v>
      </c>
      <c r="C45" t="s">
        <v>1063</v>
      </c>
      <c r="D45" t="s">
        <v>2249</v>
      </c>
      <c r="E45" s="30" t="s">
        <v>73</v>
      </c>
      <c r="F45" s="30" t="s">
        <v>28</v>
      </c>
      <c r="G45" s="30"/>
      <c r="H45" s="85" t="s">
        <v>2251</v>
      </c>
      <c r="I45" s="31">
        <f t="shared" si="5"/>
        <v>28</v>
      </c>
      <c r="J45" s="153" t="s">
        <v>2252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28</v>
      </c>
      <c r="J58" s="147" t="s">
        <v>1703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1732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24</v>
      </c>
      <c r="J89" s="147" t="s">
        <v>1733</v>
      </c>
      <c r="K89" s="31">
        <f t="shared" si="9"/>
        <v>4</v>
      </c>
      <c r="L89" s="32">
        <f t="shared" si="10"/>
        <v>0.8571428571428571</v>
      </c>
      <c r="M89" s="70" t="s">
        <v>2288</v>
      </c>
      <c r="N89" s="70" t="s">
        <v>2288</v>
      </c>
      <c r="O89" s="70" t="s">
        <v>2288</v>
      </c>
      <c r="P89" s="70" t="s">
        <v>2288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28</v>
      </c>
      <c r="J92" s="147" t="s">
        <v>1736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24</v>
      </c>
      <c r="J99" s="147" t="s">
        <v>1743</v>
      </c>
      <c r="K99" s="142">
        <f t="shared" si="9"/>
        <v>4</v>
      </c>
      <c r="L99" s="143">
        <f t="shared" si="10"/>
        <v>0.8571428571428571</v>
      </c>
      <c r="M99" s="70" t="s">
        <v>2288</v>
      </c>
      <c r="N99" s="70" t="s">
        <v>2288</v>
      </c>
      <c r="O99" s="70" t="s">
        <v>2288</v>
      </c>
      <c r="P99" s="70" t="s">
        <v>2288</v>
      </c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28</v>
      </c>
      <c r="J106" s="147" t="s">
        <v>1750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24</v>
      </c>
      <c r="J112" s="147" t="s">
        <v>1756</v>
      </c>
      <c r="K112" s="142">
        <f t="shared" si="9"/>
        <v>4</v>
      </c>
      <c r="L112" s="143">
        <f t="shared" si="10"/>
        <v>0.8571428571428571</v>
      </c>
      <c r="M112" s="70" t="s">
        <v>2288</v>
      </c>
      <c r="N112" s="70" t="s">
        <v>2288</v>
      </c>
      <c r="O112" s="70" t="s">
        <v>2288</v>
      </c>
      <c r="P112" s="70" t="s">
        <v>2288</v>
      </c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24</v>
      </c>
      <c r="J113" s="147" t="s">
        <v>1755</v>
      </c>
      <c r="K113" s="142">
        <f t="shared" si="9"/>
        <v>4</v>
      </c>
      <c r="L113" s="143">
        <f t="shared" si="10"/>
        <v>0.8571428571428571</v>
      </c>
      <c r="M113" s="70" t="s">
        <v>2288</v>
      </c>
      <c r="N113" s="70" t="s">
        <v>2288</v>
      </c>
      <c r="O113" s="70" t="s">
        <v>2288</v>
      </c>
      <c r="P113" s="70" t="s">
        <v>2288</v>
      </c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1761</v>
      </c>
      <c r="K118" s="31">
        <f t="shared" si="9"/>
        <v>2</v>
      </c>
      <c r="L118" s="32">
        <f t="shared" si="10"/>
        <v>0.9285714285714286</v>
      </c>
      <c r="M118" s="70" t="s">
        <v>2288</v>
      </c>
      <c r="N118" s="70" t="s">
        <v>2288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24</v>
      </c>
      <c r="J120" s="147" t="s">
        <v>1763</v>
      </c>
      <c r="K120" s="142">
        <f t="shared" si="9"/>
        <v>4</v>
      </c>
      <c r="L120" s="143">
        <f t="shared" si="10"/>
        <v>0.8571428571428571</v>
      </c>
      <c r="M120" s="70" t="s">
        <v>2288</v>
      </c>
      <c r="N120" s="70" t="s">
        <v>2288</v>
      </c>
      <c r="O120" s="70" t="s">
        <v>2288</v>
      </c>
      <c r="P120" s="70" t="s">
        <v>2288</v>
      </c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27</v>
      </c>
      <c r="J127" s="148" t="s">
        <v>1770</v>
      </c>
      <c r="K127" s="142">
        <f t="shared" si="9"/>
        <v>1</v>
      </c>
      <c r="L127" s="143">
        <f t="shared" si="10"/>
        <v>0.9642857142857143</v>
      </c>
      <c r="M127" s="70"/>
      <c r="N127" s="70" t="s">
        <v>2288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28</v>
      </c>
      <c r="J128" s="147" t="s">
        <v>1771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26</v>
      </c>
      <c r="J130" s="147" t="s">
        <v>1773</v>
      </c>
      <c r="K130" s="31">
        <f t="shared" si="9"/>
        <v>2</v>
      </c>
      <c r="L130" s="32">
        <f t="shared" si="10"/>
        <v>0.9285714285714286</v>
      </c>
      <c r="M130" s="70" t="s">
        <v>2288</v>
      </c>
      <c r="N130" s="70" t="s">
        <v>2288</v>
      </c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27</v>
      </c>
      <c r="J131" s="147" t="s">
        <v>1774</v>
      </c>
      <c r="K131" s="31">
        <f t="shared" si="9"/>
        <v>1</v>
      </c>
      <c r="L131" s="32">
        <f t="shared" si="10"/>
        <v>0.9642857142857143</v>
      </c>
      <c r="M131" s="70" t="s">
        <v>2288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28</v>
      </c>
      <c r="J132" s="147" t="s">
        <v>1775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2222</v>
      </c>
      <c r="C143" s="85" t="s">
        <v>1062</v>
      </c>
      <c r="D143" s="73" t="s">
        <v>2223</v>
      </c>
      <c r="E143" s="85" t="s">
        <v>19</v>
      </c>
      <c r="F143" s="85" t="s">
        <v>1301</v>
      </c>
      <c r="G143" s="85"/>
      <c r="H143" s="85" t="s">
        <v>2224</v>
      </c>
      <c r="I143" s="142">
        <f t="shared" si="8"/>
        <v>28</v>
      </c>
      <c r="J143" s="147" t="s">
        <v>2225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2260</v>
      </c>
      <c r="C144" s="85" t="s">
        <v>1062</v>
      </c>
      <c r="D144" s="73" t="s">
        <v>2261</v>
      </c>
      <c r="E144" s="85" t="s">
        <v>19</v>
      </c>
      <c r="F144" s="30" t="s">
        <v>28</v>
      </c>
      <c r="G144" s="85"/>
      <c r="H144" s="85" t="s">
        <v>2262</v>
      </c>
      <c r="I144" s="142">
        <f t="shared" si="8"/>
        <v>28</v>
      </c>
      <c r="J144" s="147" t="s">
        <v>2263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24</v>
      </c>
      <c r="J145" s="147" t="s">
        <v>1784</v>
      </c>
      <c r="K145" s="31">
        <f t="shared" si="9"/>
        <v>4</v>
      </c>
      <c r="L145" s="32">
        <f t="shared" si="10"/>
        <v>0.8571428571428571</v>
      </c>
      <c r="M145" s="70" t="s">
        <v>2288</v>
      </c>
      <c r="N145" s="70" t="s">
        <v>2288</v>
      </c>
      <c r="O145" s="70" t="s">
        <v>2288</v>
      </c>
      <c r="P145" s="70" t="s">
        <v>2288</v>
      </c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28</v>
      </c>
      <c r="J151" s="87"/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25</v>
      </c>
      <c r="J156" s="87"/>
      <c r="K156" s="31">
        <f t="shared" si="9"/>
        <v>3</v>
      </c>
      <c r="L156" s="32">
        <f t="shared" si="10"/>
        <v>0.8928571428571429</v>
      </c>
      <c r="M156" s="70" t="s">
        <v>2288</v>
      </c>
      <c r="N156" s="70" t="s">
        <v>2288</v>
      </c>
      <c r="O156" s="70" t="s">
        <v>2288</v>
      </c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25</v>
      </c>
      <c r="J157" s="87"/>
      <c r="K157" s="31">
        <f t="shared" si="9"/>
        <v>3</v>
      </c>
      <c r="L157" s="32">
        <f t="shared" si="10"/>
        <v>0.8928571428571429</v>
      </c>
      <c r="M157" s="70" t="s">
        <v>2288</v>
      </c>
      <c r="N157" s="70" t="s">
        <v>2288</v>
      </c>
      <c r="O157" s="70" t="s">
        <v>2288</v>
      </c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28</v>
      </c>
      <c r="J162" s="147" t="s">
        <v>1795</v>
      </c>
      <c r="K162" s="142">
        <f t="shared" si="9"/>
        <v>0</v>
      </c>
      <c r="L162" s="143">
        <f t="shared" si="10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24</v>
      </c>
      <c r="J164" s="147" t="s">
        <v>1797</v>
      </c>
      <c r="K164" s="31">
        <f t="shared" si="12"/>
        <v>4</v>
      </c>
      <c r="L164" s="32">
        <f t="shared" si="13"/>
        <v>0.8571428571428571</v>
      </c>
      <c r="M164" s="70" t="s">
        <v>2288</v>
      </c>
      <c r="N164" s="70" t="s">
        <v>2288</v>
      </c>
      <c r="O164" s="70" t="s">
        <v>2288</v>
      </c>
      <c r="P164" s="70" t="s">
        <v>2288</v>
      </c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26</v>
      </c>
      <c r="J165" s="147" t="s">
        <v>1798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 t="s">
        <v>2288</v>
      </c>
      <c r="P165" s="70" t="s">
        <v>2288</v>
      </c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26</v>
      </c>
      <c r="J167" s="147" t="s">
        <v>1800</v>
      </c>
      <c r="K167" s="31">
        <f t="shared" si="12"/>
        <v>2</v>
      </c>
      <c r="L167" s="32">
        <f t="shared" si="13"/>
        <v>0.9285714285714286</v>
      </c>
      <c r="M167" s="70" t="s">
        <v>2288</v>
      </c>
      <c r="N167" s="70" t="s">
        <v>2288</v>
      </c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26</v>
      </c>
      <c r="J168" s="147" t="s">
        <v>1801</v>
      </c>
      <c r="K168" s="31">
        <f t="shared" si="12"/>
        <v>2</v>
      </c>
      <c r="L168" s="32">
        <f t="shared" si="13"/>
        <v>0.9285714285714286</v>
      </c>
      <c r="M168" s="70" t="s">
        <v>2288</v>
      </c>
      <c r="N168" s="70" t="s">
        <v>2288</v>
      </c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24</v>
      </c>
      <c r="J169" s="147" t="s">
        <v>1802</v>
      </c>
      <c r="K169" s="31">
        <f t="shared" si="12"/>
        <v>4</v>
      </c>
      <c r="L169" s="32">
        <f t="shared" si="13"/>
        <v>0.8571428571428571</v>
      </c>
      <c r="M169" s="70" t="s">
        <v>2288</v>
      </c>
      <c r="N169" s="70" t="s">
        <v>2288</v>
      </c>
      <c r="O169" s="70" t="s">
        <v>2288</v>
      </c>
      <c r="P169" s="70" t="s">
        <v>2288</v>
      </c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24</v>
      </c>
      <c r="J180" s="147" t="s">
        <v>1812</v>
      </c>
      <c r="K180" s="31">
        <f t="shared" si="12"/>
        <v>4</v>
      </c>
      <c r="L180" s="32">
        <f t="shared" si="13"/>
        <v>0.8571428571428571</v>
      </c>
      <c r="M180" s="70" t="s">
        <v>2288</v>
      </c>
      <c r="N180" s="70" t="s">
        <v>2288</v>
      </c>
      <c r="O180" s="70" t="s">
        <v>2288</v>
      </c>
      <c r="P180" s="70" t="s">
        <v>2288</v>
      </c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24</v>
      </c>
      <c r="J181" s="147" t="s">
        <v>1813</v>
      </c>
      <c r="K181" s="31">
        <f t="shared" si="12"/>
        <v>4</v>
      </c>
      <c r="L181" s="32">
        <f t="shared" si="13"/>
        <v>0.8571428571428571</v>
      </c>
      <c r="M181" s="70" t="s">
        <v>2288</v>
      </c>
      <c r="N181" s="70" t="s">
        <v>2288</v>
      </c>
      <c r="O181" s="70" t="s">
        <v>2288</v>
      </c>
      <c r="P181" s="70" t="s">
        <v>2288</v>
      </c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24</v>
      </c>
      <c r="J182" s="147" t="s">
        <v>1814</v>
      </c>
      <c r="K182" s="31">
        <f t="shared" si="12"/>
        <v>4</v>
      </c>
      <c r="L182" s="32">
        <f t="shared" si="13"/>
        <v>0.8571428571428571</v>
      </c>
      <c r="M182" s="70" t="s">
        <v>2288</v>
      </c>
      <c r="N182" s="70" t="s">
        <v>2288</v>
      </c>
      <c r="O182" s="70" t="s">
        <v>2288</v>
      </c>
      <c r="P182" s="70" t="s">
        <v>2288</v>
      </c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24</v>
      </c>
      <c r="J183" s="147" t="s">
        <v>1815</v>
      </c>
      <c r="K183" s="31">
        <f t="shared" si="12"/>
        <v>4</v>
      </c>
      <c r="L183" s="32">
        <f t="shared" si="13"/>
        <v>0.8571428571428571</v>
      </c>
      <c r="M183" s="70" t="s">
        <v>2288</v>
      </c>
      <c r="N183" s="70" t="s">
        <v>2288</v>
      </c>
      <c r="O183" s="70" t="s">
        <v>2288</v>
      </c>
      <c r="P183" s="70" t="s">
        <v>2288</v>
      </c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24</v>
      </c>
      <c r="J187" s="147" t="s">
        <v>1818</v>
      </c>
      <c r="K187" s="31">
        <f t="shared" si="12"/>
        <v>4</v>
      </c>
      <c r="L187" s="32">
        <f t="shared" si="13"/>
        <v>0.8571428571428571</v>
      </c>
      <c r="M187" s="70" t="s">
        <v>2288</v>
      </c>
      <c r="N187" s="70" t="s">
        <v>2288</v>
      </c>
      <c r="O187" s="70" t="s">
        <v>2288</v>
      </c>
      <c r="P187" s="70" t="s">
        <v>2288</v>
      </c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2236</v>
      </c>
      <c r="C189" s="85" t="s">
        <v>1063</v>
      </c>
      <c r="D189" s="73" t="s">
        <v>2237</v>
      </c>
      <c r="E189" s="85" t="s">
        <v>19</v>
      </c>
      <c r="F189" s="85" t="s">
        <v>1301</v>
      </c>
      <c r="G189" s="85"/>
      <c r="H189" s="85" t="s">
        <v>2238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24</v>
      </c>
      <c r="J193" s="87"/>
      <c r="K193" s="138">
        <f t="shared" si="12"/>
        <v>4</v>
      </c>
      <c r="L193" s="139">
        <f t="shared" si="13"/>
        <v>0.8571428571428571</v>
      </c>
      <c r="M193" s="140" t="s">
        <v>2288</v>
      </c>
      <c r="N193" s="140" t="s">
        <v>2288</v>
      </c>
      <c r="O193" s="140" t="s">
        <v>2288</v>
      </c>
      <c r="P193" s="140" t="s">
        <v>2288</v>
      </c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24</v>
      </c>
      <c r="J194" s="147" t="s">
        <v>1822</v>
      </c>
      <c r="K194" s="142">
        <f t="shared" si="12"/>
        <v>4</v>
      </c>
      <c r="L194" s="143">
        <f t="shared" si="13"/>
        <v>0.8571428571428571</v>
      </c>
      <c r="M194" s="70" t="s">
        <v>2288</v>
      </c>
      <c r="N194" s="70" t="s">
        <v>2288</v>
      </c>
      <c r="O194" s="70" t="s">
        <v>2288</v>
      </c>
      <c r="P194" s="70" t="s">
        <v>2288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24</v>
      </c>
      <c r="J195" s="147" t="s">
        <v>1823</v>
      </c>
      <c r="K195" s="142">
        <f t="shared" si="12"/>
        <v>4</v>
      </c>
      <c r="L195" s="143">
        <f t="shared" si="13"/>
        <v>0.8571428571428571</v>
      </c>
      <c r="M195" s="70" t="s">
        <v>2288</v>
      </c>
      <c r="N195" s="70" t="s">
        <v>2288</v>
      </c>
      <c r="O195" s="70" t="s">
        <v>2288</v>
      </c>
      <c r="P195" s="70" t="s">
        <v>2288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28</v>
      </c>
      <c r="J197" s="147" t="s">
        <v>1825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28</v>
      </c>
      <c r="J198" s="147" t="s">
        <v>1826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24</v>
      </c>
      <c r="J200" s="147" t="s">
        <v>1827</v>
      </c>
      <c r="K200" s="142">
        <f t="shared" si="12"/>
        <v>4</v>
      </c>
      <c r="L200" s="143">
        <f t="shared" si="13"/>
        <v>0.8571428571428571</v>
      </c>
      <c r="M200" s="70" t="s">
        <v>2288</v>
      </c>
      <c r="N200" s="70" t="s">
        <v>2288</v>
      </c>
      <c r="O200" s="70" t="s">
        <v>2288</v>
      </c>
      <c r="P200" s="70" t="s">
        <v>2288</v>
      </c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24</v>
      </c>
      <c r="J201" s="147" t="s">
        <v>1828</v>
      </c>
      <c r="K201" s="31">
        <f t="shared" si="12"/>
        <v>4</v>
      </c>
      <c r="L201" s="32">
        <f t="shared" si="13"/>
        <v>0.8571428571428571</v>
      </c>
      <c r="M201" s="70" t="s">
        <v>2288</v>
      </c>
      <c r="N201" s="70" t="s">
        <v>2288</v>
      </c>
      <c r="O201" s="70" t="s">
        <v>2288</v>
      </c>
      <c r="P201" s="70" t="s">
        <v>2288</v>
      </c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28</v>
      </c>
      <c r="J205" s="147" t="s">
        <v>1832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28</v>
      </c>
      <c r="J206" s="147" t="s">
        <v>1833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24</v>
      </c>
      <c r="J211" s="147" t="s">
        <v>1837</v>
      </c>
      <c r="K211" s="142">
        <f t="shared" si="12"/>
        <v>4</v>
      </c>
      <c r="L211" s="143">
        <f t="shared" si="13"/>
        <v>0.8571428571428571</v>
      </c>
      <c r="M211" s="70" t="s">
        <v>2288</v>
      </c>
      <c r="N211" s="70" t="s">
        <v>2288</v>
      </c>
      <c r="O211" s="70" t="s">
        <v>2288</v>
      </c>
      <c r="P211" s="70" t="s">
        <v>2288</v>
      </c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28</v>
      </c>
      <c r="J217" s="147" t="s">
        <v>1842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2273</v>
      </c>
      <c r="C218" t="s">
        <v>1062</v>
      </c>
      <c r="D218" t="s">
        <v>2274</v>
      </c>
      <c r="E218" s="30" t="s">
        <v>15</v>
      </c>
      <c r="F218" s="85" t="s">
        <v>1301</v>
      </c>
      <c r="G218" s="30"/>
      <c r="H218" s="30" t="s">
        <v>2275</v>
      </c>
      <c r="I218" s="142">
        <f t="shared" si="11"/>
        <v>24</v>
      </c>
      <c r="J218" s="151" t="s">
        <v>2276</v>
      </c>
      <c r="K218" s="142">
        <f t="shared" si="12"/>
        <v>4</v>
      </c>
      <c r="L218" s="143">
        <f t="shared" si="13"/>
        <v>0.8571428571428571</v>
      </c>
      <c r="M218" s="70" t="s">
        <v>2288</v>
      </c>
      <c r="N218" s="70" t="s">
        <v>2288</v>
      </c>
      <c r="O218" s="70" t="s">
        <v>2288</v>
      </c>
      <c r="P218" s="70" t="s">
        <v>2288</v>
      </c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24</v>
      </c>
      <c r="J219" s="87"/>
      <c r="K219" s="31">
        <f t="shared" si="12"/>
        <v>4</v>
      </c>
      <c r="L219" s="32">
        <f t="shared" si="13"/>
        <v>0.8571428571428571</v>
      </c>
      <c r="M219" s="70" t="s">
        <v>2288</v>
      </c>
      <c r="N219" s="70" t="s">
        <v>2288</v>
      </c>
      <c r="O219" s="70" t="s">
        <v>2288</v>
      </c>
      <c r="P219" s="70" t="s">
        <v>2288</v>
      </c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24</v>
      </c>
      <c r="J220" s="87"/>
      <c r="K220" s="31">
        <f t="shared" si="12"/>
        <v>4</v>
      </c>
      <c r="L220" s="32">
        <f t="shared" si="13"/>
        <v>0.8571428571428571</v>
      </c>
      <c r="M220" s="70" t="s">
        <v>2288</v>
      </c>
      <c r="N220" s="70" t="s">
        <v>2288</v>
      </c>
      <c r="O220" s="70" t="s">
        <v>2288</v>
      </c>
      <c r="P220" s="70" t="s">
        <v>2288</v>
      </c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2283</v>
      </c>
      <c r="C231" s="73" t="s">
        <v>1063</v>
      </c>
      <c r="D231" s="73" t="s">
        <v>2284</v>
      </c>
      <c r="E231" s="85" t="s">
        <v>15</v>
      </c>
      <c r="F231" s="85" t="s">
        <v>1301</v>
      </c>
      <c r="G231" s="85"/>
      <c r="H231" s="85" t="s">
        <v>2285</v>
      </c>
      <c r="I231" s="142">
        <f t="shared" si="11"/>
        <v>28</v>
      </c>
      <c r="J231" s="147" t="s">
        <v>2286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24</v>
      </c>
      <c r="J232" s="147" t="s">
        <v>1852</v>
      </c>
      <c r="K232" s="31">
        <f t="shared" si="12"/>
        <v>4</v>
      </c>
      <c r="L232" s="32">
        <f t="shared" si="13"/>
        <v>0.8571428571428571</v>
      </c>
      <c r="M232" s="70" t="s">
        <v>2288</v>
      </c>
      <c r="N232" s="70" t="s">
        <v>2288</v>
      </c>
      <c r="O232" s="70" t="s">
        <v>2288</v>
      </c>
      <c r="P232" s="70" t="s">
        <v>2288</v>
      </c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28</v>
      </c>
      <c r="J233" s="147" t="s">
        <v>1853</v>
      </c>
      <c r="K233" s="31">
        <f t="shared" si="12"/>
        <v>0</v>
      </c>
      <c r="L233" s="32">
        <f t="shared" si="13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24</v>
      </c>
      <c r="J234" s="147" t="s">
        <v>1854</v>
      </c>
      <c r="K234" s="31">
        <f t="shared" si="12"/>
        <v>4</v>
      </c>
      <c r="L234" s="32">
        <f t="shared" si="13"/>
        <v>0.8571428571428571</v>
      </c>
      <c r="M234" s="70" t="s">
        <v>2288</v>
      </c>
      <c r="N234" s="70" t="s">
        <v>2288</v>
      </c>
      <c r="O234" s="70" t="s">
        <v>2288</v>
      </c>
      <c r="P234" s="70" t="s">
        <v>2288</v>
      </c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28</v>
      </c>
      <c r="J235" s="147" t="s">
        <v>1855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28</v>
      </c>
      <c r="J236" s="147" t="s">
        <v>1856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28</v>
      </c>
      <c r="J237" s="147" t="s">
        <v>1857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28</v>
      </c>
      <c r="J239" s="147" t="s">
        <v>1859</v>
      </c>
      <c r="K239" s="31">
        <f t="shared" si="12"/>
        <v>0</v>
      </c>
      <c r="L239" s="32">
        <f t="shared" si="13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28</v>
      </c>
      <c r="J240" s="147" t="s">
        <v>1860</v>
      </c>
      <c r="K240" s="31">
        <f t="shared" ref="K240:K309" si="15">COUNTIF(M240:AN240,"APAGADO")</f>
        <v>0</v>
      </c>
      <c r="L240" s="32">
        <f t="shared" ref="L240:L309" si="16">(I240)/(K240+I240)</f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25</v>
      </c>
      <c r="J241" s="147" t="s">
        <v>1861</v>
      </c>
      <c r="K241" s="31">
        <f t="shared" si="15"/>
        <v>3</v>
      </c>
      <c r="L241" s="32">
        <f t="shared" si="16"/>
        <v>0.8928571428571429</v>
      </c>
      <c r="M241" s="70"/>
      <c r="N241" s="70" t="s">
        <v>2288</v>
      </c>
      <c r="O241" s="70" t="s">
        <v>2288</v>
      </c>
      <c r="P241" s="70" t="s">
        <v>2288</v>
      </c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28</v>
      </c>
      <c r="J242" s="147" t="s">
        <v>1862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28</v>
      </c>
      <c r="J243" s="147" t="s">
        <v>1863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28</v>
      </c>
      <c r="J244" s="147" t="s">
        <v>1864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28</v>
      </c>
      <c r="J245" s="147" t="s">
        <v>1865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26</v>
      </c>
      <c r="J246" s="147" t="s">
        <v>1866</v>
      </c>
      <c r="K246" s="31">
        <f t="shared" si="15"/>
        <v>2</v>
      </c>
      <c r="L246" s="32">
        <f t="shared" si="16"/>
        <v>0.9285714285714286</v>
      </c>
      <c r="M246" s="70"/>
      <c r="N246" s="70"/>
      <c r="O246" s="70" t="s">
        <v>2288</v>
      </c>
      <c r="P246" s="70" t="s">
        <v>2288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2259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28</v>
      </c>
      <c r="J248" s="147" t="s">
        <v>1822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28</v>
      </c>
      <c r="J257" s="147" t="s">
        <v>1873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28</v>
      </c>
      <c r="J258" s="147" t="s">
        <v>1874</v>
      </c>
      <c r="K258" s="31">
        <f t="shared" si="15"/>
        <v>0</v>
      </c>
      <c r="L258" s="32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28</v>
      </c>
      <c r="J260" s="147" t="s">
        <v>1876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28</v>
      </c>
      <c r="J262" s="147" t="s">
        <v>1864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27</v>
      </c>
      <c r="J263" s="147" t="s">
        <v>1878</v>
      </c>
      <c r="K263" s="31">
        <f t="shared" si="15"/>
        <v>1</v>
      </c>
      <c r="L263" s="32">
        <f t="shared" si="16"/>
        <v>0.9642857142857143</v>
      </c>
      <c r="M263" s="70"/>
      <c r="N263" s="70" t="s">
        <v>2288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24</v>
      </c>
      <c r="J264" s="147" t="s">
        <v>1879</v>
      </c>
      <c r="K264" s="31">
        <f t="shared" si="15"/>
        <v>4</v>
      </c>
      <c r="L264" s="32">
        <f t="shared" si="16"/>
        <v>0.8571428571428571</v>
      </c>
      <c r="M264" s="70" t="s">
        <v>2288</v>
      </c>
      <c r="N264" s="70" t="s">
        <v>2288</v>
      </c>
      <c r="O264" s="70" t="s">
        <v>2288</v>
      </c>
      <c r="P264" s="70" t="s">
        <v>2288</v>
      </c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28</v>
      </c>
      <c r="J266" s="147" t="s">
        <v>1881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2213</v>
      </c>
      <c r="B273" t="s">
        <v>2214</v>
      </c>
      <c r="C273" t="s">
        <v>1063</v>
      </c>
      <c r="D273" t="s">
        <v>2215</v>
      </c>
      <c r="E273" s="30" t="s">
        <v>19</v>
      </c>
      <c r="F273" s="85" t="s">
        <v>1301</v>
      </c>
      <c r="G273" s="30"/>
      <c r="H273" s="30" t="s">
        <v>2216</v>
      </c>
      <c r="I273" s="142">
        <f t="shared" si="14"/>
        <v>28</v>
      </c>
      <c r="J273" s="147" t="s">
        <v>2217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2213</v>
      </c>
      <c r="B274" t="s">
        <v>2218</v>
      </c>
      <c r="C274" t="s">
        <v>1063</v>
      </c>
      <c r="D274" t="s">
        <v>2220</v>
      </c>
      <c r="E274" s="30" t="s">
        <v>19</v>
      </c>
      <c r="F274" s="85" t="s">
        <v>1301</v>
      </c>
      <c r="G274" s="30"/>
      <c r="H274" s="30" t="s">
        <v>2219</v>
      </c>
      <c r="I274" s="142">
        <f t="shared" si="14"/>
        <v>28</v>
      </c>
      <c r="J274" s="147" t="s">
        <v>2221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24</v>
      </c>
      <c r="J281" s="147" t="s">
        <v>1893</v>
      </c>
      <c r="K281" s="31">
        <f t="shared" si="15"/>
        <v>4</v>
      </c>
      <c r="L281" s="32">
        <f t="shared" si="16"/>
        <v>0.8571428571428571</v>
      </c>
      <c r="M281" s="70" t="s">
        <v>2288</v>
      </c>
      <c r="N281" s="70" t="s">
        <v>2288</v>
      </c>
      <c r="O281" s="70" t="s">
        <v>2288</v>
      </c>
      <c r="P281" s="70" t="s">
        <v>2288</v>
      </c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28</v>
      </c>
      <c r="J283" s="147" t="s">
        <v>1895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28</v>
      </c>
      <c r="J290" s="147" t="s">
        <v>1901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28</v>
      </c>
      <c r="J291" s="147" t="s">
        <v>1902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24</v>
      </c>
      <c r="J296" s="147" t="s">
        <v>1907</v>
      </c>
      <c r="K296" s="31">
        <f t="shared" si="15"/>
        <v>4</v>
      </c>
      <c r="L296" s="32">
        <f t="shared" si="16"/>
        <v>0.8571428571428571</v>
      </c>
      <c r="M296" s="70" t="s">
        <v>2288</v>
      </c>
      <c r="N296" s="70" t="s">
        <v>2288</v>
      </c>
      <c r="O296" s="70" t="s">
        <v>2288</v>
      </c>
      <c r="P296" s="70" t="s">
        <v>2288</v>
      </c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28</v>
      </c>
      <c r="J297" s="147" t="s">
        <v>1908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28</v>
      </c>
      <c r="J298" s="147" t="s">
        <v>1909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24</v>
      </c>
      <c r="J308" s="147" t="s">
        <v>1918</v>
      </c>
      <c r="K308" s="142">
        <f t="shared" si="15"/>
        <v>4</v>
      </c>
      <c r="L308" s="143">
        <f t="shared" si="16"/>
        <v>0.8571428571428571</v>
      </c>
      <c r="M308" s="70" t="s">
        <v>2288</v>
      </c>
      <c r="N308" s="70" t="s">
        <v>2288</v>
      </c>
      <c r="O308" s="70" t="s">
        <v>2288</v>
      </c>
      <c r="P308" s="70" t="s">
        <v>2288</v>
      </c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24</v>
      </c>
      <c r="J310" s="147" t="s">
        <v>1919</v>
      </c>
      <c r="K310" s="31">
        <f t="shared" ref="K310:K380" si="18">COUNTIF(M310:AN310,"APAGADO")</f>
        <v>4</v>
      </c>
      <c r="L310" s="32">
        <f t="shared" ref="L310:L380" si="19">(I310)/(K310+I310)</f>
        <v>0.8571428571428571</v>
      </c>
      <c r="M310" s="70" t="s">
        <v>2288</v>
      </c>
      <c r="N310" s="70" t="s">
        <v>2288</v>
      </c>
      <c r="O310" s="70" t="s">
        <v>2288</v>
      </c>
      <c r="P310" s="70" t="s">
        <v>2288</v>
      </c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25</v>
      </c>
      <c r="J311" s="147" t="s">
        <v>1920</v>
      </c>
      <c r="K311" s="142">
        <f t="shared" si="18"/>
        <v>3</v>
      </c>
      <c r="L311" s="143">
        <f t="shared" si="19"/>
        <v>0.8928571428571429</v>
      </c>
      <c r="M311" s="70"/>
      <c r="N311" s="70" t="s">
        <v>2288</v>
      </c>
      <c r="O311" s="70" t="s">
        <v>2288</v>
      </c>
      <c r="P311" s="70" t="s">
        <v>2288</v>
      </c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25</v>
      </c>
      <c r="J312" s="87" t="s">
        <v>2197</v>
      </c>
      <c r="K312" s="142">
        <f t="shared" si="18"/>
        <v>3</v>
      </c>
      <c r="L312" s="143">
        <f t="shared" si="19"/>
        <v>0.8928571428571429</v>
      </c>
      <c r="M312" s="70"/>
      <c r="N312" s="70" t="s">
        <v>2288</v>
      </c>
      <c r="O312" s="70" t="s">
        <v>2288</v>
      </c>
      <c r="P312" s="70" t="s">
        <v>2288</v>
      </c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25</v>
      </c>
      <c r="J313" s="147" t="s">
        <v>1921</v>
      </c>
      <c r="K313" s="142">
        <f t="shared" si="18"/>
        <v>3</v>
      </c>
      <c r="L313" s="143">
        <f t="shared" si="19"/>
        <v>0.8928571428571429</v>
      </c>
      <c r="M313" s="70"/>
      <c r="N313" s="70" t="s">
        <v>2288</v>
      </c>
      <c r="O313" s="70" t="s">
        <v>2288</v>
      </c>
      <c r="P313" s="70" t="s">
        <v>2288</v>
      </c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24</v>
      </c>
      <c r="J314" s="147" t="s">
        <v>1922</v>
      </c>
      <c r="K314" s="31">
        <f t="shared" si="18"/>
        <v>4</v>
      </c>
      <c r="L314" s="32">
        <f t="shared" si="19"/>
        <v>0.8571428571428571</v>
      </c>
      <c r="M314" s="70" t="s">
        <v>2288</v>
      </c>
      <c r="N314" s="70" t="s">
        <v>2288</v>
      </c>
      <c r="O314" s="70" t="s">
        <v>2288</v>
      </c>
      <c r="P314" s="70" t="s">
        <v>2288</v>
      </c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24</v>
      </c>
      <c r="J315" s="147" t="s">
        <v>1923</v>
      </c>
      <c r="K315" s="31">
        <f t="shared" si="18"/>
        <v>4</v>
      </c>
      <c r="L315" s="32">
        <f t="shared" si="19"/>
        <v>0.8571428571428571</v>
      </c>
      <c r="M315" s="70" t="s">
        <v>2288</v>
      </c>
      <c r="N315" s="70" t="s">
        <v>2288</v>
      </c>
      <c r="O315" s="70" t="s">
        <v>2288</v>
      </c>
      <c r="P315" s="70" t="s">
        <v>2288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24</v>
      </c>
      <c r="J316" s="147" t="s">
        <v>1924</v>
      </c>
      <c r="K316" s="31">
        <f t="shared" si="18"/>
        <v>4</v>
      </c>
      <c r="L316" s="32">
        <f t="shared" si="19"/>
        <v>0.8571428571428571</v>
      </c>
      <c r="M316" s="70" t="s">
        <v>2288</v>
      </c>
      <c r="N316" s="70" t="s">
        <v>2288</v>
      </c>
      <c r="O316" s="70" t="s">
        <v>2288</v>
      </c>
      <c r="P316" s="70" t="s">
        <v>2288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28</v>
      </c>
      <c r="J317" s="147" t="s">
        <v>1925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28</v>
      </c>
      <c r="J318" s="147" t="s">
        <v>1926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28</v>
      </c>
      <c r="J319" s="147" t="s">
        <v>1927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28</v>
      </c>
      <c r="J326" s="147" t="s">
        <v>1934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28</v>
      </c>
      <c r="J327" s="147" t="s">
        <v>1935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28</v>
      </c>
      <c r="J328" s="147" t="s">
        <v>1936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28</v>
      </c>
      <c r="J329" s="147" t="s">
        <v>1937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2257</v>
      </c>
      <c r="C330" t="s">
        <v>1063</v>
      </c>
      <c r="D330" s="68" t="s">
        <v>2239</v>
      </c>
      <c r="E330" s="85" t="s">
        <v>15</v>
      </c>
      <c r="F330" s="30" t="s">
        <v>28</v>
      </c>
      <c r="G330" s="30"/>
      <c r="H330" s="30" t="s">
        <v>2258</v>
      </c>
      <c r="I330" s="31">
        <f t="shared" si="17"/>
        <v>28</v>
      </c>
      <c r="J330" s="153" t="s">
        <v>2240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2241</v>
      </c>
      <c r="C331" t="s">
        <v>1063</v>
      </c>
      <c r="D331" s="68" t="s">
        <v>2242</v>
      </c>
      <c r="E331" s="85" t="s">
        <v>15</v>
      </c>
      <c r="F331" s="30" t="s">
        <v>28</v>
      </c>
      <c r="G331" s="30"/>
      <c r="H331" s="30" t="s">
        <v>2243</v>
      </c>
      <c r="I331" s="31">
        <f t="shared" si="17"/>
        <v>28</v>
      </c>
      <c r="J331" s="147" t="s">
        <v>2244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28</v>
      </c>
      <c r="J333" s="147" t="s">
        <v>1939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28</v>
      </c>
      <c r="J337" s="147" t="s">
        <v>1943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28</v>
      </c>
      <c r="J348" s="87"/>
      <c r="K348" s="142">
        <f t="shared" si="18"/>
        <v>0</v>
      </c>
      <c r="L348" s="143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28</v>
      </c>
      <c r="J349" s="87"/>
      <c r="K349" s="142">
        <f t="shared" si="18"/>
        <v>0</v>
      </c>
      <c r="L349" s="143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28</v>
      </c>
      <c r="J350" s="147" t="s">
        <v>1952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28</v>
      </c>
      <c r="J351" s="147" t="s">
        <v>1953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28</v>
      </c>
      <c r="J352" s="147" t="s">
        <v>1954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2234</v>
      </c>
      <c r="I353" s="31">
        <f t="shared" si="17"/>
        <v>28</v>
      </c>
      <c r="J353" s="147" t="s">
        <v>1955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2235</v>
      </c>
      <c r="I354" s="31">
        <f t="shared" si="17"/>
        <v>28</v>
      </c>
      <c r="J354" s="147" t="s">
        <v>1956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28</v>
      </c>
      <c r="J355" s="147" t="s">
        <v>1957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28</v>
      </c>
      <c r="J356" s="147" t="s">
        <v>1958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28</v>
      </c>
      <c r="J357" s="147" t="s">
        <v>1959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28</v>
      </c>
      <c r="J358" s="147" t="s">
        <v>1960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28</v>
      </c>
      <c r="J368" s="153" t="s">
        <v>2180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28</v>
      </c>
      <c r="J369" s="147" t="s">
        <v>1968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28</v>
      </c>
      <c r="J371" s="147" t="s">
        <v>1969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28</v>
      </c>
      <c r="J372" s="147" t="s">
        <v>1970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28</v>
      </c>
      <c r="J373" s="147" t="s">
        <v>1971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28</v>
      </c>
      <c r="J374" s="147" t="s">
        <v>1972</v>
      </c>
      <c r="K374" s="31">
        <f t="shared" si="18"/>
        <v>0</v>
      </c>
      <c r="L374" s="32">
        <f t="shared" si="19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24</v>
      </c>
      <c r="J375" s="73"/>
      <c r="K375" s="31">
        <f t="shared" si="18"/>
        <v>4</v>
      </c>
      <c r="L375" s="32">
        <f t="shared" si="19"/>
        <v>0.8571428571428571</v>
      </c>
      <c r="M375" s="70" t="s">
        <v>2288</v>
      </c>
      <c r="N375" s="70" t="s">
        <v>2288</v>
      </c>
      <c r="O375" s="70" t="s">
        <v>2288</v>
      </c>
      <c r="P375" s="70" t="s">
        <v>2288</v>
      </c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93"/>
      <c r="AF375" s="93"/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28</v>
      </c>
      <c r="J376" s="147" t="s">
        <v>1973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26</v>
      </c>
      <c r="J378" s="147" t="s">
        <v>1975</v>
      </c>
      <c r="K378" s="31">
        <f t="shared" si="18"/>
        <v>2</v>
      </c>
      <c r="L378" s="32">
        <f t="shared" si="19"/>
        <v>0.9285714285714286</v>
      </c>
      <c r="M378" s="70" t="s">
        <v>2288</v>
      </c>
      <c r="N378" s="70" t="s">
        <v>2288</v>
      </c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26</v>
      </c>
      <c r="J379" s="147" t="s">
        <v>1976</v>
      </c>
      <c r="K379" s="31">
        <f t="shared" si="18"/>
        <v>2</v>
      </c>
      <c r="L379" s="32">
        <f t="shared" si="19"/>
        <v>0.9285714285714286</v>
      </c>
      <c r="M379" s="70" t="s">
        <v>2288</v>
      </c>
      <c r="N379" s="70" t="s">
        <v>2288</v>
      </c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26</v>
      </c>
      <c r="J380" s="147" t="s">
        <v>1977</v>
      </c>
      <c r="K380" s="31">
        <f t="shared" si="18"/>
        <v>2</v>
      </c>
      <c r="L380" s="32">
        <f t="shared" si="19"/>
        <v>0.9285714285714286</v>
      </c>
      <c r="M380" s="70" t="s">
        <v>2288</v>
      </c>
      <c r="N380" s="70" t="s">
        <v>2288</v>
      </c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26</v>
      </c>
      <c r="J381" s="147" t="s">
        <v>1978</v>
      </c>
      <c r="K381" s="31">
        <f t="shared" ref="K381:K462" si="21">COUNTIF(M381:AN381,"APAGADO")</f>
        <v>2</v>
      </c>
      <c r="L381" s="32">
        <f t="shared" ref="L381:L462" si="22">(I381)/(K381+I381)</f>
        <v>0.9285714285714286</v>
      </c>
      <c r="M381" s="70" t="s">
        <v>2288</v>
      </c>
      <c r="N381" s="70" t="s">
        <v>2288</v>
      </c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26</v>
      </c>
      <c r="J382" s="147" t="s">
        <v>1979</v>
      </c>
      <c r="K382" s="31">
        <f t="shared" si="21"/>
        <v>2</v>
      </c>
      <c r="L382" s="32">
        <f t="shared" si="22"/>
        <v>0.9285714285714286</v>
      </c>
      <c r="M382" s="70" t="s">
        <v>2288</v>
      </c>
      <c r="N382" s="70" t="s">
        <v>2288</v>
      </c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26</v>
      </c>
      <c r="J383" s="147" t="s">
        <v>1980</v>
      </c>
      <c r="K383" s="31">
        <f t="shared" si="21"/>
        <v>2</v>
      </c>
      <c r="L383" s="32">
        <f t="shared" si="22"/>
        <v>0.9285714285714286</v>
      </c>
      <c r="M383" s="70" t="s">
        <v>2288</v>
      </c>
      <c r="N383" s="70" t="s">
        <v>2288</v>
      </c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26</v>
      </c>
      <c r="J384" s="147" t="s">
        <v>1981</v>
      </c>
      <c r="K384" s="31">
        <f t="shared" si="21"/>
        <v>2</v>
      </c>
      <c r="L384" s="32">
        <f t="shared" si="22"/>
        <v>0.9285714285714286</v>
      </c>
      <c r="M384" s="70" t="s">
        <v>2288</v>
      </c>
      <c r="N384" s="70" t="s">
        <v>2288</v>
      </c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26</v>
      </c>
      <c r="J385" s="147" t="s">
        <v>1982</v>
      </c>
      <c r="K385" s="31">
        <f t="shared" si="21"/>
        <v>2</v>
      </c>
      <c r="L385" s="32">
        <f t="shared" si="22"/>
        <v>0.9285714285714286</v>
      </c>
      <c r="M385" s="70" t="s">
        <v>2288</v>
      </c>
      <c r="N385" s="70" t="s">
        <v>2288</v>
      </c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26</v>
      </c>
      <c r="J386" s="147" t="s">
        <v>1983</v>
      </c>
      <c r="K386" s="31">
        <f t="shared" si="21"/>
        <v>2</v>
      </c>
      <c r="L386" s="32">
        <f t="shared" si="22"/>
        <v>0.9285714285714286</v>
      </c>
      <c r="M386" s="70" t="s">
        <v>2288</v>
      </c>
      <c r="N386" s="70" t="s">
        <v>2288</v>
      </c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26</v>
      </c>
      <c r="J387" s="147" t="s">
        <v>1984</v>
      </c>
      <c r="K387" s="31">
        <f t="shared" si="21"/>
        <v>2</v>
      </c>
      <c r="L387" s="32">
        <f t="shared" si="22"/>
        <v>0.9285714285714286</v>
      </c>
      <c r="M387" s="70" t="s">
        <v>2288</v>
      </c>
      <c r="N387" s="70" t="s">
        <v>2288</v>
      </c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24</v>
      </c>
      <c r="J388" s="147" t="s">
        <v>1985</v>
      </c>
      <c r="K388" s="31">
        <f t="shared" si="21"/>
        <v>4</v>
      </c>
      <c r="L388" s="32">
        <f t="shared" si="22"/>
        <v>0.8571428571428571</v>
      </c>
      <c r="M388" s="70" t="s">
        <v>2288</v>
      </c>
      <c r="N388" s="70" t="s">
        <v>2288</v>
      </c>
      <c r="O388" s="70" t="s">
        <v>2288</v>
      </c>
      <c r="P388" s="70" t="s">
        <v>2288</v>
      </c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24</v>
      </c>
      <c r="J389" s="147" t="s">
        <v>1986</v>
      </c>
      <c r="K389" s="31">
        <f t="shared" si="21"/>
        <v>4</v>
      </c>
      <c r="L389" s="32">
        <f t="shared" si="22"/>
        <v>0.8571428571428571</v>
      </c>
      <c r="M389" s="70" t="s">
        <v>2288</v>
      </c>
      <c r="N389" s="70" t="s">
        <v>2288</v>
      </c>
      <c r="O389" s="70" t="s">
        <v>2288</v>
      </c>
      <c r="P389" s="70" t="s">
        <v>2288</v>
      </c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25</v>
      </c>
      <c r="J393" s="87"/>
      <c r="K393" s="31">
        <f t="shared" si="21"/>
        <v>3</v>
      </c>
      <c r="L393" s="32">
        <f t="shared" si="22"/>
        <v>0.8928571428571429</v>
      </c>
      <c r="M393" s="70"/>
      <c r="N393" s="70" t="s">
        <v>2288</v>
      </c>
      <c r="O393" s="70" t="s">
        <v>2288</v>
      </c>
      <c r="P393" s="84" t="s">
        <v>2288</v>
      </c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2280</v>
      </c>
      <c r="C394" t="s">
        <v>1062</v>
      </c>
      <c r="D394" t="s">
        <v>2281</v>
      </c>
      <c r="E394" s="30" t="s">
        <v>19</v>
      </c>
      <c r="F394" s="85" t="s">
        <v>1301</v>
      </c>
      <c r="G394" s="30"/>
      <c r="H394" s="85" t="s">
        <v>2282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26</v>
      </c>
      <c r="J395" s="87"/>
      <c r="K395" s="31">
        <f t="shared" si="21"/>
        <v>2</v>
      </c>
      <c r="L395" s="32">
        <f t="shared" si="22"/>
        <v>0.9285714285714286</v>
      </c>
      <c r="M395" s="70" t="s">
        <v>2288</v>
      </c>
      <c r="N395" s="70" t="s">
        <v>2288</v>
      </c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28</v>
      </c>
      <c r="J397" s="87"/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24</v>
      </c>
      <c r="J399" s="147" t="s">
        <v>1991</v>
      </c>
      <c r="K399" s="87">
        <f t="shared" si="21"/>
        <v>4</v>
      </c>
      <c r="L399" s="88">
        <f t="shared" si="22"/>
        <v>0.8571428571428571</v>
      </c>
      <c r="M399" s="89" t="s">
        <v>2288</v>
      </c>
      <c r="N399" s="89" t="s">
        <v>2288</v>
      </c>
      <c r="O399" s="89" t="s">
        <v>2288</v>
      </c>
      <c r="P399" s="89" t="s">
        <v>2288</v>
      </c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27</v>
      </c>
      <c r="J400" s="87"/>
      <c r="K400" s="31">
        <f t="shared" si="21"/>
        <v>1</v>
      </c>
      <c r="L400" s="32">
        <f t="shared" si="22"/>
        <v>0.9642857142857143</v>
      </c>
      <c r="M400" s="70"/>
      <c r="N400" s="70"/>
      <c r="O400" s="70" t="s">
        <v>2288</v>
      </c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24</v>
      </c>
      <c r="J401" s="147" t="s">
        <v>1992</v>
      </c>
      <c r="K401" s="31">
        <f t="shared" si="21"/>
        <v>4</v>
      </c>
      <c r="L401" s="32">
        <f t="shared" si="22"/>
        <v>0.8571428571428571</v>
      </c>
      <c r="M401" s="70" t="s">
        <v>2288</v>
      </c>
      <c r="N401" s="70" t="s">
        <v>2288</v>
      </c>
      <c r="O401" s="70" t="s">
        <v>2288</v>
      </c>
      <c r="P401" s="70" t="s">
        <v>2288</v>
      </c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24</v>
      </c>
      <c r="J402" s="147" t="s">
        <v>1993</v>
      </c>
      <c r="K402" s="31">
        <f t="shared" si="21"/>
        <v>4</v>
      </c>
      <c r="L402" s="32">
        <f t="shared" si="22"/>
        <v>0.8571428571428571</v>
      </c>
      <c r="M402" s="70" t="s">
        <v>2288</v>
      </c>
      <c r="N402" s="70" t="s">
        <v>2288</v>
      </c>
      <c r="O402" s="70" t="s">
        <v>2288</v>
      </c>
      <c r="P402" s="70" t="s">
        <v>2288</v>
      </c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24</v>
      </c>
      <c r="J405" s="87"/>
      <c r="K405" s="142">
        <f t="shared" si="21"/>
        <v>4</v>
      </c>
      <c r="L405" s="143">
        <f t="shared" si="22"/>
        <v>0.8571428571428571</v>
      </c>
      <c r="M405" s="70" t="s">
        <v>2288</v>
      </c>
      <c r="N405" s="70" t="s">
        <v>2288</v>
      </c>
      <c r="O405" s="70" t="s">
        <v>2288</v>
      </c>
      <c r="P405" s="70" t="s">
        <v>2288</v>
      </c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24</v>
      </c>
      <c r="J406" s="87"/>
      <c r="K406" s="142">
        <f t="shared" si="21"/>
        <v>4</v>
      </c>
      <c r="L406" s="143">
        <f t="shared" si="22"/>
        <v>0.8571428571428571</v>
      </c>
      <c r="M406" s="70" t="s">
        <v>2288</v>
      </c>
      <c r="N406" s="70" t="s">
        <v>2288</v>
      </c>
      <c r="O406" s="70" t="s">
        <v>2288</v>
      </c>
      <c r="P406" s="70" t="s">
        <v>2288</v>
      </c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28</v>
      </c>
      <c r="J407" s="87" t="s">
        <v>2152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2272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2272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2272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2272</v>
      </c>
      <c r="B412" s="73" t="s">
        <v>2268</v>
      </c>
      <c r="C412" s="73" t="s">
        <v>1063</v>
      </c>
      <c r="D412" s="73" t="s">
        <v>2269</v>
      </c>
      <c r="E412" s="92" t="s">
        <v>19</v>
      </c>
      <c r="F412" s="85" t="s">
        <v>1301</v>
      </c>
      <c r="G412" s="85"/>
      <c r="H412" s="85" t="s">
        <v>2270</v>
      </c>
      <c r="I412" s="142">
        <f t="shared" si="20"/>
        <v>28</v>
      </c>
      <c r="J412" s="147" t="s">
        <v>2271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24</v>
      </c>
      <c r="J413" s="147" t="s">
        <v>1998</v>
      </c>
      <c r="K413" s="142">
        <f t="shared" si="21"/>
        <v>4</v>
      </c>
      <c r="L413" s="143">
        <f t="shared" si="22"/>
        <v>0.8571428571428571</v>
      </c>
      <c r="M413" s="70" t="s">
        <v>2288</v>
      </c>
      <c r="N413" s="70" t="s">
        <v>2288</v>
      </c>
      <c r="O413" s="70" t="s">
        <v>2288</v>
      </c>
      <c r="P413" s="70" t="s">
        <v>2288</v>
      </c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28</v>
      </c>
      <c r="J414" s="147" t="s">
        <v>1999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24</v>
      </c>
      <c r="J415" s="87"/>
      <c r="K415" s="31">
        <f t="shared" si="21"/>
        <v>4</v>
      </c>
      <c r="L415" s="32">
        <f t="shared" si="22"/>
        <v>0.8571428571428571</v>
      </c>
      <c r="M415" s="70" t="s">
        <v>2288</v>
      </c>
      <c r="N415" s="70" t="s">
        <v>2288</v>
      </c>
      <c r="O415" s="70" t="s">
        <v>2288</v>
      </c>
      <c r="P415" s="70" t="s">
        <v>2288</v>
      </c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93"/>
      <c r="AF415" s="93"/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24</v>
      </c>
      <c r="J416" s="147" t="s">
        <v>2000</v>
      </c>
      <c r="K416" s="142">
        <f t="shared" si="21"/>
        <v>4</v>
      </c>
      <c r="L416" s="143">
        <f t="shared" si="22"/>
        <v>0.8571428571428571</v>
      </c>
      <c r="M416" s="70" t="s">
        <v>2288</v>
      </c>
      <c r="N416" s="70" t="s">
        <v>2288</v>
      </c>
      <c r="O416" s="70" t="s">
        <v>2288</v>
      </c>
      <c r="P416" s="70" t="s">
        <v>2288</v>
      </c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28</v>
      </c>
      <c r="J419" s="73" t="s">
        <v>2002</v>
      </c>
      <c r="K419" s="142">
        <f t="shared" si="21"/>
        <v>0</v>
      </c>
      <c r="L419" s="143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24</v>
      </c>
      <c r="J420" s="147" t="s">
        <v>2003</v>
      </c>
      <c r="K420" s="31">
        <f t="shared" si="21"/>
        <v>4</v>
      </c>
      <c r="L420" s="32">
        <f t="shared" si="22"/>
        <v>0.8571428571428571</v>
      </c>
      <c r="M420" s="70" t="s">
        <v>2288</v>
      </c>
      <c r="N420" s="70" t="s">
        <v>2288</v>
      </c>
      <c r="O420" s="70" t="s">
        <v>2288</v>
      </c>
      <c r="P420" s="70" t="s">
        <v>2288</v>
      </c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24</v>
      </c>
      <c r="J421" s="147" t="s">
        <v>2004</v>
      </c>
      <c r="K421" s="31">
        <f t="shared" si="21"/>
        <v>4</v>
      </c>
      <c r="L421" s="32">
        <f t="shared" si="22"/>
        <v>0.8571428571428571</v>
      </c>
      <c r="M421" s="70" t="s">
        <v>2288</v>
      </c>
      <c r="N421" s="70" t="s">
        <v>2288</v>
      </c>
      <c r="O421" s="70" t="s">
        <v>2288</v>
      </c>
      <c r="P421" s="70" t="s">
        <v>2288</v>
      </c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28</v>
      </c>
      <c r="J422" s="147" t="s">
        <v>2005</v>
      </c>
      <c r="K422" s="31">
        <f t="shared" si="21"/>
        <v>0</v>
      </c>
      <c r="L422" s="32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28</v>
      </c>
      <c r="J423" s="147" t="s">
        <v>2006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2253</v>
      </c>
      <c r="C424" s="73" t="s">
        <v>1063</v>
      </c>
      <c r="D424" s="73" t="s">
        <v>2254</v>
      </c>
      <c r="E424" s="85" t="s">
        <v>1114</v>
      </c>
      <c r="F424" s="85"/>
      <c r="G424" s="85"/>
      <c r="H424" s="85" t="s">
        <v>2255</v>
      </c>
      <c r="I424" s="31">
        <f t="shared" si="20"/>
        <v>28</v>
      </c>
      <c r="J424" s="14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28</v>
      </c>
      <c r="J427" s="147" t="s">
        <v>2009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28</v>
      </c>
      <c r="J428" s="147" t="s">
        <v>2010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24</v>
      </c>
      <c r="J429" s="147" t="s">
        <v>2011</v>
      </c>
      <c r="K429" s="31">
        <f t="shared" si="21"/>
        <v>4</v>
      </c>
      <c r="L429" s="32">
        <f t="shared" si="22"/>
        <v>0.8571428571428571</v>
      </c>
      <c r="M429" s="70" t="s">
        <v>2288</v>
      </c>
      <c r="N429" s="70" t="s">
        <v>2288</v>
      </c>
      <c r="O429" s="70" t="s">
        <v>2288</v>
      </c>
      <c r="P429" s="70" t="s">
        <v>2288</v>
      </c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24</v>
      </c>
      <c r="J430" s="147" t="s">
        <v>2012</v>
      </c>
      <c r="K430" s="31">
        <f t="shared" si="21"/>
        <v>4</v>
      </c>
      <c r="L430" s="32">
        <f t="shared" si="22"/>
        <v>0.8571428571428571</v>
      </c>
      <c r="M430" s="70" t="s">
        <v>2288</v>
      </c>
      <c r="N430" s="70" t="s">
        <v>2288</v>
      </c>
      <c r="O430" s="70" t="s">
        <v>2288</v>
      </c>
      <c r="P430" s="70" t="s">
        <v>2288</v>
      </c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24</v>
      </c>
      <c r="J434" s="147" t="s">
        <v>2015</v>
      </c>
      <c r="K434" s="31">
        <f t="shared" si="21"/>
        <v>4</v>
      </c>
      <c r="L434" s="32">
        <f t="shared" si="22"/>
        <v>0.8571428571428571</v>
      </c>
      <c r="M434" s="70" t="s">
        <v>2288</v>
      </c>
      <c r="N434" s="70" t="s">
        <v>2288</v>
      </c>
      <c r="O434" s="70" t="s">
        <v>2288</v>
      </c>
      <c r="P434" s="70" t="s">
        <v>2288</v>
      </c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24</v>
      </c>
      <c r="J436" s="147" t="s">
        <v>2017</v>
      </c>
      <c r="K436" s="31">
        <f t="shared" si="21"/>
        <v>4</v>
      </c>
      <c r="L436" s="32">
        <f t="shared" si="22"/>
        <v>0.8571428571428571</v>
      </c>
      <c r="M436" s="70" t="s">
        <v>2288</v>
      </c>
      <c r="N436" s="70" t="s">
        <v>2288</v>
      </c>
      <c r="O436" s="70" t="s">
        <v>2288</v>
      </c>
      <c r="P436" s="70" t="s">
        <v>2288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24</v>
      </c>
      <c r="J441" s="147" t="s">
        <v>2018</v>
      </c>
      <c r="K441" s="31">
        <f t="shared" si="21"/>
        <v>4</v>
      </c>
      <c r="L441" s="32">
        <f t="shared" si="22"/>
        <v>0.8571428571428571</v>
      </c>
      <c r="M441" s="70" t="s">
        <v>2288</v>
      </c>
      <c r="N441" s="70" t="s">
        <v>2288</v>
      </c>
      <c r="O441" s="70" t="s">
        <v>2288</v>
      </c>
      <c r="P441" s="70" t="s">
        <v>2288</v>
      </c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24</v>
      </c>
      <c r="J442" s="147" t="s">
        <v>2019</v>
      </c>
      <c r="K442" s="31">
        <f t="shared" si="21"/>
        <v>4</v>
      </c>
      <c r="L442" s="32">
        <f t="shared" si="22"/>
        <v>0.8571428571428571</v>
      </c>
      <c r="M442" s="70" t="s">
        <v>2288</v>
      </c>
      <c r="N442" s="70" t="s">
        <v>2288</v>
      </c>
      <c r="O442" s="70" t="s">
        <v>2288</v>
      </c>
      <c r="P442" s="70" t="s">
        <v>2288</v>
      </c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27</v>
      </c>
      <c r="J443" s="147" t="s">
        <v>2020</v>
      </c>
      <c r="K443" s="142">
        <f t="shared" si="21"/>
        <v>1</v>
      </c>
      <c r="L443" s="143">
        <f t="shared" si="22"/>
        <v>0.9642857142857143</v>
      </c>
      <c r="M443" s="70" t="s">
        <v>2288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24</v>
      </c>
      <c r="J446" s="147" t="s">
        <v>2023</v>
      </c>
      <c r="K446" s="31">
        <f t="shared" si="21"/>
        <v>4</v>
      </c>
      <c r="L446" s="32">
        <f t="shared" si="22"/>
        <v>0.8571428571428571</v>
      </c>
      <c r="M446" s="70" t="s">
        <v>2288</v>
      </c>
      <c r="N446" s="70" t="s">
        <v>2288</v>
      </c>
      <c r="O446" s="70" t="s">
        <v>2288</v>
      </c>
      <c r="P446" s="70" t="s">
        <v>2288</v>
      </c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24</v>
      </c>
      <c r="J447" s="147" t="s">
        <v>2024</v>
      </c>
      <c r="K447" s="31">
        <f t="shared" si="21"/>
        <v>4</v>
      </c>
      <c r="L447" s="32">
        <f t="shared" si="22"/>
        <v>0.8571428571428571</v>
      </c>
      <c r="M447" s="70" t="s">
        <v>2288</v>
      </c>
      <c r="N447" s="70" t="s">
        <v>2288</v>
      </c>
      <c r="O447" s="70" t="s">
        <v>2288</v>
      </c>
      <c r="P447" s="70" t="s">
        <v>2288</v>
      </c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24</v>
      </c>
      <c r="J448" s="147" t="s">
        <v>2025</v>
      </c>
      <c r="K448" s="31">
        <f t="shared" si="21"/>
        <v>4</v>
      </c>
      <c r="L448" s="32">
        <f t="shared" si="22"/>
        <v>0.8571428571428571</v>
      </c>
      <c r="M448" s="70" t="s">
        <v>2288</v>
      </c>
      <c r="N448" s="70" t="s">
        <v>2288</v>
      </c>
      <c r="O448" s="70" t="s">
        <v>2288</v>
      </c>
      <c r="P448" s="70" t="s">
        <v>2288</v>
      </c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28</v>
      </c>
      <c r="J449" s="147" t="s">
        <v>2026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24</v>
      </c>
      <c r="J456" s="147" t="s">
        <v>2027</v>
      </c>
      <c r="K456" s="142">
        <f t="shared" si="21"/>
        <v>4</v>
      </c>
      <c r="L456" s="143">
        <f t="shared" si="22"/>
        <v>0.8571428571428571</v>
      </c>
      <c r="M456" s="70" t="s">
        <v>2288</v>
      </c>
      <c r="N456" s="70" t="s">
        <v>2288</v>
      </c>
      <c r="O456" s="70" t="s">
        <v>2288</v>
      </c>
      <c r="P456" s="70" t="s">
        <v>2288</v>
      </c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24</v>
      </c>
      <c r="J457" s="147" t="s">
        <v>2028</v>
      </c>
      <c r="K457" s="142">
        <f t="shared" si="21"/>
        <v>4</v>
      </c>
      <c r="L457" s="143">
        <f t="shared" si="22"/>
        <v>0.8571428571428571</v>
      </c>
      <c r="M457" s="70" t="s">
        <v>2288</v>
      </c>
      <c r="N457" s="70" t="s">
        <v>2288</v>
      </c>
      <c r="O457" s="70" t="s">
        <v>2288</v>
      </c>
      <c r="P457" s="70" t="s">
        <v>2288</v>
      </c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24</v>
      </c>
      <c r="J458" s="87"/>
      <c r="K458" s="142">
        <f t="shared" si="21"/>
        <v>4</v>
      </c>
      <c r="L458" s="143">
        <f t="shared" si="22"/>
        <v>0.8571428571428571</v>
      </c>
      <c r="M458" s="70" t="s">
        <v>2288</v>
      </c>
      <c r="N458" s="70" t="s">
        <v>2288</v>
      </c>
      <c r="O458" s="70" t="s">
        <v>2288</v>
      </c>
      <c r="P458" s="70" t="s">
        <v>2288</v>
      </c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24</v>
      </c>
      <c r="J459" s="153" t="s">
        <v>2146</v>
      </c>
      <c r="K459" s="142">
        <f t="shared" si="21"/>
        <v>4</v>
      </c>
      <c r="L459" s="143">
        <f t="shared" si="22"/>
        <v>0.8571428571428571</v>
      </c>
      <c r="M459" s="70" t="s">
        <v>2288</v>
      </c>
      <c r="N459" s="70" t="s">
        <v>2288</v>
      </c>
      <c r="O459" s="70" t="s">
        <v>2288</v>
      </c>
      <c r="P459" s="70" t="s">
        <v>2288</v>
      </c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2287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24</v>
      </c>
      <c r="J460" s="153"/>
      <c r="K460" s="142">
        <f t="shared" si="21"/>
        <v>4</v>
      </c>
      <c r="L460" s="143">
        <f t="shared" si="22"/>
        <v>0.8571428571428571</v>
      </c>
      <c r="M460" s="70" t="s">
        <v>2288</v>
      </c>
      <c r="N460" s="70" t="s">
        <v>2288</v>
      </c>
      <c r="O460" s="70" t="s">
        <v>2288</v>
      </c>
      <c r="P460" s="70" t="s">
        <v>2288</v>
      </c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28</v>
      </c>
      <c r="J461" s="147" t="s">
        <v>2029</v>
      </c>
      <c r="K461" s="31">
        <f t="shared" si="21"/>
        <v>0</v>
      </c>
      <c r="L461" s="32">
        <f t="shared" si="22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28</v>
      </c>
      <c r="J462" s="147" t="s">
        <v>2030</v>
      </c>
      <c r="K462" s="31">
        <f t="shared" si="21"/>
        <v>0</v>
      </c>
      <c r="L462" s="32">
        <f t="shared" si="22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28</v>
      </c>
      <c r="J481" s="87"/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28</v>
      </c>
      <c r="J482" s="87"/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28</v>
      </c>
      <c r="J483" s="87"/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28</v>
      </c>
      <c r="J484" s="87"/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28</v>
      </c>
      <c r="J485" s="87"/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28</v>
      </c>
      <c r="J486" s="147" t="s">
        <v>2045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28</v>
      </c>
      <c r="J491" s="147" t="s">
        <v>2050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28</v>
      </c>
      <c r="J493" s="147" t="s">
        <v>2052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2256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28</v>
      </c>
      <c r="J494" s="147" t="s">
        <v>2053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26</v>
      </c>
      <c r="J496" s="147" t="s">
        <v>2055</v>
      </c>
      <c r="K496" s="31">
        <f t="shared" si="24"/>
        <v>2</v>
      </c>
      <c r="L496" s="32">
        <f t="shared" si="25"/>
        <v>0.9285714285714286</v>
      </c>
      <c r="M496" s="70" t="s">
        <v>2288</v>
      </c>
      <c r="N496" s="70" t="s">
        <v>2288</v>
      </c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26</v>
      </c>
      <c r="J503" s="147" t="s">
        <v>2062</v>
      </c>
      <c r="K503" s="31">
        <f t="shared" si="24"/>
        <v>2</v>
      </c>
      <c r="L503" s="32">
        <f t="shared" si="25"/>
        <v>0.9285714285714286</v>
      </c>
      <c r="M503" s="70" t="s">
        <v>2288</v>
      </c>
      <c r="N503" s="70" t="s">
        <v>2288</v>
      </c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28</v>
      </c>
      <c r="J505" s="147" t="s">
        <v>2064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28</v>
      </c>
      <c r="J506" s="147" t="s">
        <v>2065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26</v>
      </c>
      <c r="J508" s="147" t="s">
        <v>2067</v>
      </c>
      <c r="K508" s="31">
        <f t="shared" si="24"/>
        <v>2</v>
      </c>
      <c r="L508" s="32">
        <f t="shared" si="25"/>
        <v>0.9285714285714286</v>
      </c>
      <c r="M508" s="70" t="s">
        <v>2288</v>
      </c>
      <c r="N508" s="70" t="s">
        <v>2288</v>
      </c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24</v>
      </c>
      <c r="J510" s="147" t="s">
        <v>2069</v>
      </c>
      <c r="K510" s="31">
        <f t="shared" si="24"/>
        <v>4</v>
      </c>
      <c r="L510" s="32">
        <f t="shared" si="25"/>
        <v>0.8571428571428571</v>
      </c>
      <c r="M510" s="70" t="s">
        <v>2288</v>
      </c>
      <c r="N510" s="70" t="s">
        <v>2288</v>
      </c>
      <c r="O510" s="70" t="s">
        <v>2288</v>
      </c>
      <c r="P510" s="70" t="s">
        <v>2288</v>
      </c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26</v>
      </c>
      <c r="J511" s="147" t="s">
        <v>2070</v>
      </c>
      <c r="K511" s="31">
        <f t="shared" si="24"/>
        <v>2</v>
      </c>
      <c r="L511" s="32">
        <f t="shared" si="25"/>
        <v>0.9285714285714286</v>
      </c>
      <c r="M511" s="70" t="s">
        <v>2288</v>
      </c>
      <c r="N511" s="70" t="s">
        <v>2288</v>
      </c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26</v>
      </c>
      <c r="J514" s="147" t="s">
        <v>2072</v>
      </c>
      <c r="K514" s="31">
        <f t="shared" si="24"/>
        <v>2</v>
      </c>
      <c r="L514" s="32">
        <f t="shared" si="25"/>
        <v>0.9285714285714286</v>
      </c>
      <c r="M514" s="70" t="s">
        <v>2288</v>
      </c>
      <c r="N514" s="70" t="s">
        <v>2288</v>
      </c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26</v>
      </c>
      <c r="J515" s="147" t="s">
        <v>2073</v>
      </c>
      <c r="K515" s="31">
        <f t="shared" si="24"/>
        <v>2</v>
      </c>
      <c r="L515" s="32">
        <f t="shared" si="25"/>
        <v>0.9285714285714286</v>
      </c>
      <c r="M515" s="70" t="s">
        <v>2288</v>
      </c>
      <c r="N515" s="70" t="s">
        <v>2288</v>
      </c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28</v>
      </c>
      <c r="J518" s="147" t="s">
        <v>2076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28</v>
      </c>
      <c r="J519" s="147" t="s">
        <v>2077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24</v>
      </c>
      <c r="J520" s="147" t="s">
        <v>2078</v>
      </c>
      <c r="K520" s="142">
        <f t="shared" si="24"/>
        <v>4</v>
      </c>
      <c r="L520" s="143">
        <f t="shared" si="25"/>
        <v>0.8571428571428571</v>
      </c>
      <c r="M520" s="70" t="s">
        <v>2288</v>
      </c>
      <c r="N520" s="70" t="s">
        <v>2288</v>
      </c>
      <c r="O520" s="70" t="s">
        <v>2288</v>
      </c>
      <c r="P520" s="70" t="s">
        <v>2288</v>
      </c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28</v>
      </c>
      <c r="J521" s="147" t="s">
        <v>2079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24</v>
      </c>
      <c r="J523" s="147" t="s">
        <v>2081</v>
      </c>
      <c r="K523" s="142">
        <f t="shared" si="24"/>
        <v>4</v>
      </c>
      <c r="L523" s="143">
        <f t="shared" si="25"/>
        <v>0.8571428571428571</v>
      </c>
      <c r="M523" s="70" t="s">
        <v>2288</v>
      </c>
      <c r="N523" s="70" t="s">
        <v>2288</v>
      </c>
      <c r="O523" s="70" t="s">
        <v>2288</v>
      </c>
      <c r="P523" s="70" t="s">
        <v>2288</v>
      </c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2226</v>
      </c>
      <c r="C524" s="85" t="s">
        <v>1063</v>
      </c>
      <c r="D524" s="73" t="s">
        <v>2227</v>
      </c>
      <c r="E524" s="30" t="s">
        <v>73</v>
      </c>
      <c r="F524" s="85" t="s">
        <v>1301</v>
      </c>
      <c r="G524" s="85"/>
      <c r="H524" s="85" t="s">
        <v>2228</v>
      </c>
      <c r="I524" s="142">
        <f t="shared" si="23"/>
        <v>28</v>
      </c>
      <c r="J524" s="147" t="s">
        <v>2229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2230</v>
      </c>
      <c r="C525" s="85" t="s">
        <v>1063</v>
      </c>
      <c r="D525" s="73" t="s">
        <v>2231</v>
      </c>
      <c r="E525" s="85" t="s">
        <v>15</v>
      </c>
      <c r="F525" s="85" t="s">
        <v>1301</v>
      </c>
      <c r="G525" s="85"/>
      <c r="H525" s="85" t="s">
        <v>2232</v>
      </c>
      <c r="I525" s="142">
        <f t="shared" si="23"/>
        <v>28</v>
      </c>
      <c r="J525" s="147" t="s">
        <v>2233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28</v>
      </c>
      <c r="J526" s="147" t="s">
        <v>2082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28</v>
      </c>
      <c r="J527" s="147" t="s">
        <v>2083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26</v>
      </c>
      <c r="J530" s="147" t="s">
        <v>2086</v>
      </c>
      <c r="K530" s="31">
        <f t="shared" si="24"/>
        <v>2</v>
      </c>
      <c r="L530" s="32">
        <f t="shared" si="25"/>
        <v>0.9285714285714286</v>
      </c>
      <c r="M530" s="70" t="s">
        <v>2288</v>
      </c>
      <c r="N530" s="70" t="s">
        <v>2288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26</v>
      </c>
      <c r="J531" s="147" t="s">
        <v>2087</v>
      </c>
      <c r="K531" s="31">
        <f t="shared" si="24"/>
        <v>2</v>
      </c>
      <c r="L531" s="32">
        <f t="shared" si="25"/>
        <v>0.9285714285714286</v>
      </c>
      <c r="M531" s="70" t="s">
        <v>2288</v>
      </c>
      <c r="N531" s="70" t="s">
        <v>2288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2288</v>
      </c>
      <c r="N532" s="70" t="s">
        <v>2288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26</v>
      </c>
      <c r="J533" s="147" t="s">
        <v>2088</v>
      </c>
      <c r="K533" s="31">
        <f t="shared" si="24"/>
        <v>2</v>
      </c>
      <c r="L533" s="32">
        <f t="shared" si="25"/>
        <v>0.9285714285714286</v>
      </c>
      <c r="M533" s="70" t="s">
        <v>2288</v>
      </c>
      <c r="N533" s="70" t="s">
        <v>2288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28</v>
      </c>
      <c r="J539" s="147" t="s">
        <v>2094</v>
      </c>
      <c r="K539" s="142">
        <f t="shared" si="27"/>
        <v>0</v>
      </c>
      <c r="L539" s="143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24</v>
      </c>
      <c r="J540" s="147" t="s">
        <v>2200</v>
      </c>
      <c r="K540" s="31">
        <f t="shared" si="27"/>
        <v>4</v>
      </c>
      <c r="L540" s="32">
        <f t="shared" si="28"/>
        <v>0.8571428571428571</v>
      </c>
      <c r="M540" s="70" t="s">
        <v>2288</v>
      </c>
      <c r="N540" s="70" t="s">
        <v>2288</v>
      </c>
      <c r="O540" s="70" t="s">
        <v>2288</v>
      </c>
      <c r="P540" s="70" t="s">
        <v>2288</v>
      </c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28</v>
      </c>
      <c r="J542" s="147" t="s">
        <v>2095</v>
      </c>
      <c r="K542" s="142">
        <f t="shared" si="27"/>
        <v>0</v>
      </c>
      <c r="L542" s="143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28</v>
      </c>
      <c r="J543" s="147" t="s">
        <v>2096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28</v>
      </c>
      <c r="J544" s="147" t="s">
        <v>2097</v>
      </c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28</v>
      </c>
      <c r="J545" s="147" t="s">
        <v>2098</v>
      </c>
      <c r="K545" s="142">
        <f t="shared" si="27"/>
        <v>0</v>
      </c>
      <c r="L545" s="143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24</v>
      </c>
      <c r="J547" s="87"/>
      <c r="K547" s="142">
        <f t="shared" si="27"/>
        <v>4</v>
      </c>
      <c r="L547" s="143">
        <f t="shared" si="28"/>
        <v>0.8571428571428571</v>
      </c>
      <c r="M547" s="70" t="s">
        <v>2288</v>
      </c>
      <c r="N547" s="70" t="s">
        <v>2288</v>
      </c>
      <c r="O547" s="70" t="s">
        <v>2288</v>
      </c>
      <c r="P547" s="70" t="s">
        <v>2288</v>
      </c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24</v>
      </c>
      <c r="J548" s="87" t="s">
        <v>2189</v>
      </c>
      <c r="K548" s="142">
        <f t="shared" si="27"/>
        <v>4</v>
      </c>
      <c r="L548" s="143">
        <f t="shared" si="28"/>
        <v>0.8571428571428571</v>
      </c>
      <c r="M548" s="70" t="s">
        <v>2288</v>
      </c>
      <c r="N548" s="70" t="s">
        <v>2288</v>
      </c>
      <c r="O548" s="70" t="s">
        <v>2288</v>
      </c>
      <c r="P548" s="70" t="s">
        <v>2288</v>
      </c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24</v>
      </c>
      <c r="J549" s="87" t="s">
        <v>2185</v>
      </c>
      <c r="K549" s="31">
        <f t="shared" si="27"/>
        <v>4</v>
      </c>
      <c r="L549" s="32">
        <f t="shared" si="28"/>
        <v>0.8571428571428571</v>
      </c>
      <c r="M549" s="70" t="s">
        <v>2288</v>
      </c>
      <c r="N549" s="70" t="s">
        <v>2288</v>
      </c>
      <c r="O549" s="70" t="s">
        <v>2288</v>
      </c>
      <c r="P549" s="70" t="s">
        <v>2288</v>
      </c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24</v>
      </c>
      <c r="J550" s="147" t="s">
        <v>2099</v>
      </c>
      <c r="K550" s="31">
        <f t="shared" si="27"/>
        <v>4</v>
      </c>
      <c r="L550" s="32">
        <f t="shared" si="28"/>
        <v>0.8571428571428571</v>
      </c>
      <c r="M550" s="70" t="s">
        <v>2288</v>
      </c>
      <c r="N550" s="70" t="s">
        <v>2288</v>
      </c>
      <c r="O550" s="70" t="s">
        <v>2288</v>
      </c>
      <c r="P550" s="70" t="s">
        <v>2288</v>
      </c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24</v>
      </c>
      <c r="J551" s="87" t="s">
        <v>2186</v>
      </c>
      <c r="K551" s="31">
        <f t="shared" si="27"/>
        <v>4</v>
      </c>
      <c r="L551" s="32">
        <f t="shared" si="28"/>
        <v>0.8571428571428571</v>
      </c>
      <c r="M551" s="70" t="s">
        <v>2288</v>
      </c>
      <c r="N551" s="70" t="s">
        <v>2288</v>
      </c>
      <c r="O551" s="70" t="s">
        <v>2288</v>
      </c>
      <c r="P551" s="70" t="s">
        <v>2288</v>
      </c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24</v>
      </c>
      <c r="J552" s="147" t="s">
        <v>2100</v>
      </c>
      <c r="K552" s="31">
        <f t="shared" si="27"/>
        <v>4</v>
      </c>
      <c r="L552" s="32">
        <f t="shared" si="28"/>
        <v>0.8571428571428571</v>
      </c>
      <c r="M552" s="70" t="s">
        <v>2288</v>
      </c>
      <c r="N552" s="70" t="s">
        <v>2288</v>
      </c>
      <c r="O552" s="70" t="s">
        <v>2288</v>
      </c>
      <c r="P552" s="70" t="s">
        <v>2288</v>
      </c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27</v>
      </c>
      <c r="J553" s="147" t="s">
        <v>2101</v>
      </c>
      <c r="K553" s="142">
        <f t="shared" si="27"/>
        <v>1</v>
      </c>
      <c r="L553" s="143">
        <f t="shared" si="28"/>
        <v>0.9642857142857143</v>
      </c>
      <c r="M553" s="70" t="s">
        <v>2288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28</v>
      </c>
      <c r="J555" s="87" t="s">
        <v>2187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24</v>
      </c>
      <c r="J559" s="147" t="s">
        <v>2105</v>
      </c>
      <c r="K559" s="31">
        <f t="shared" si="27"/>
        <v>4</v>
      </c>
      <c r="L559" s="32">
        <f t="shared" si="28"/>
        <v>0.8571428571428571</v>
      </c>
      <c r="M559" s="70" t="s">
        <v>2288</v>
      </c>
      <c r="N559" s="70" t="s">
        <v>2288</v>
      </c>
      <c r="O559" s="70" t="s">
        <v>2288</v>
      </c>
      <c r="P559" s="70" t="s">
        <v>2288</v>
      </c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28</v>
      </c>
      <c r="J562" s="147" t="s">
        <v>2108</v>
      </c>
      <c r="K562" s="31">
        <f t="shared" si="27"/>
        <v>0</v>
      </c>
      <c r="L562" s="32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28</v>
      </c>
      <c r="J563" s="147" t="s">
        <v>2109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28</v>
      </c>
      <c r="J564" s="87" t="s">
        <v>2203</v>
      </c>
      <c r="K564" s="142">
        <f t="shared" si="27"/>
        <v>0</v>
      </c>
      <c r="L564" s="143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2264</v>
      </c>
      <c r="C565" s="73" t="s">
        <v>1063</v>
      </c>
      <c r="D565" s="73" t="s">
        <v>2265</v>
      </c>
      <c r="E565" s="85" t="s">
        <v>15</v>
      </c>
      <c r="F565" s="85" t="s">
        <v>1301</v>
      </c>
      <c r="G565" s="85"/>
      <c r="H565" s="85" t="s">
        <v>2266</v>
      </c>
      <c r="I565" s="142">
        <f t="shared" si="26"/>
        <v>28</v>
      </c>
      <c r="J565" s="87" t="s">
        <v>2267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2277</v>
      </c>
      <c r="C566" s="73" t="s">
        <v>1063</v>
      </c>
      <c r="D566" s="73" t="s">
        <v>2278</v>
      </c>
      <c r="E566" s="85" t="s">
        <v>15</v>
      </c>
      <c r="F566" s="85"/>
      <c r="G566" s="85"/>
      <c r="H566" s="85" t="s">
        <v>2279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24</v>
      </c>
      <c r="J577" s="147" t="s">
        <v>2116</v>
      </c>
      <c r="K577" s="142">
        <f t="shared" si="27"/>
        <v>4</v>
      </c>
      <c r="L577" s="143">
        <f t="shared" si="28"/>
        <v>0.8571428571428571</v>
      </c>
      <c r="M577" s="70" t="s">
        <v>2288</v>
      </c>
      <c r="N577" s="70" t="s">
        <v>2288</v>
      </c>
      <c r="O577" s="70" t="s">
        <v>2288</v>
      </c>
      <c r="P577" s="70" t="s">
        <v>2288</v>
      </c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zoomScale="84" zoomScaleNormal="84" workbookViewId="0">
      <selection activeCell="B12" sqref="B1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v>304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61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46024</v>
      </c>
    </row>
    <row r="14" spans="1:6" x14ac:dyDescent="0.25">
      <c r="A14" t="s">
        <v>1477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25">
      <c r="B15" s="53" t="s">
        <v>1243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62</v>
      </c>
      <c r="E21" s="114">
        <f>D21/C21</f>
        <v>0.22962962962962963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46025</v>
      </c>
    </row>
    <row r="25" spans="1:6" x14ac:dyDescent="0.25">
      <c r="A25" t="s">
        <v>1470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25">
      <c r="B27" s="53" t="s">
        <v>1244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.75" thickBot="1" x14ac:dyDescent="0.3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v>304</v>
      </c>
      <c r="D31" s="115">
        <v>0</v>
      </c>
      <c r="E31" s="105">
        <f>D31/C31</f>
        <v>0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46026</v>
      </c>
    </row>
    <row r="36" spans="1:6" x14ac:dyDescent="0.25">
      <c r="A36" t="s">
        <v>1469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25">
      <c r="B37" s="53" t="s">
        <v>1243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1244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1469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v>304</v>
      </c>
      <c r="D42" s="115">
        <v>0</v>
      </c>
      <c r="E42" s="105">
        <f>D42/C42</f>
        <v>0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54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46027</v>
      </c>
    </row>
    <row r="47" spans="1:6" x14ac:dyDescent="0.25">
      <c r="A47" t="s">
        <v>1471</v>
      </c>
      <c r="B47" s="53" t="s">
        <v>6</v>
      </c>
      <c r="C47" s="66">
        <f>'RESUMEN TOTAL'!Q3</f>
        <v>0</v>
      </c>
      <c r="D47" s="54"/>
      <c r="E47" s="55">
        <f>C47/C46</f>
        <v>0</v>
      </c>
      <c r="F47" s="155"/>
    </row>
    <row r="48" spans="1:6" x14ac:dyDescent="0.25">
      <c r="B48" s="53" t="s">
        <v>1243</v>
      </c>
      <c r="C48" s="67">
        <v>0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1244</v>
      </c>
      <c r="C49" s="67">
        <v>0</v>
      </c>
      <c r="D49" s="103">
        <v>0</v>
      </c>
      <c r="E49" s="55">
        <f>D49/C46</f>
        <v>0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0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v>304</v>
      </c>
      <c r="D53" s="115">
        <f>Hoja1!J3</f>
        <v>0</v>
      </c>
      <c r="E53" s="105">
        <v>0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0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46028</v>
      </c>
    </row>
    <row r="58" spans="1:6" x14ac:dyDescent="0.25">
      <c r="A58" t="s">
        <v>1472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1243</v>
      </c>
      <c r="C59" s="67">
        <v>0</v>
      </c>
      <c r="D59" s="103">
        <v>0</v>
      </c>
      <c r="E59" s="55">
        <f>D59/C57</f>
        <v>0</v>
      </c>
      <c r="F59" s="155"/>
    </row>
    <row r="60" spans="1:6" x14ac:dyDescent="0.25">
      <c r="B60" s="53" t="s">
        <v>1244</v>
      </c>
      <c r="C60" s="67">
        <v>0</v>
      </c>
      <c r="D60" s="103">
        <v>0</v>
      </c>
      <c r="E60" s="55">
        <f>D60/C57</f>
        <v>0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0</v>
      </c>
      <c r="D61" s="103">
        <v>0</v>
      </c>
      <c r="E61" s="55">
        <f>D61/C57</f>
        <v>0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v>304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46029</v>
      </c>
    </row>
    <row r="69" spans="1:6" x14ac:dyDescent="0.25">
      <c r="A69" t="s">
        <v>1473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1243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1244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/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v>304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46030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v>304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46031</v>
      </c>
    </row>
    <row r="91" spans="1:6" x14ac:dyDescent="0.25">
      <c r="A91" t="s">
        <v>1474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25">
      <c r="B92" s="53" t="s">
        <v>1243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1244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25">
      <c r="A94" t="s">
        <v>1474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v>304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25">
      <c r="A102" t="s">
        <v>1475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1243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1244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1243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1244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1244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/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v>304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0</v>
      </c>
      <c r="E131" s="114">
        <v>0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0</v>
      </c>
      <c r="D136" s="103">
        <v>0</v>
      </c>
      <c r="E136" s="55">
        <f>D136/C134</f>
        <v>0</v>
      </c>
      <c r="F136" s="155"/>
    </row>
    <row r="137" spans="2:6" x14ac:dyDescent="0.25">
      <c r="B137" s="53" t="s">
        <v>1244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v>304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1244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v>304</v>
      </c>
      <c r="D152" s="115">
        <v>0</v>
      </c>
      <c r="E152" s="105">
        <v>0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0</v>
      </c>
      <c r="E153" s="114"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v>304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12" x14ac:dyDescent="0.25">
      <c r="B181" s="53" t="s">
        <v>1244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12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v>304</v>
      </c>
      <c r="D185" s="115">
        <f>Hoja1!V3</f>
        <v>0</v>
      </c>
      <c r="E185" s="105">
        <v>0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0</v>
      </c>
      <c r="E186" s="114">
        <v>0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25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25">
      <c r="B191" s="53" t="s">
        <v>1243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25">
      <c r="B192" s="53" t="s">
        <v>1244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/>
      <c r="J195" s="96"/>
      <c r="K195" s="102"/>
      <c r="L195" s="155"/>
    </row>
    <row r="196" spans="2:12" ht="16.5" thickTop="1" thickBot="1" x14ac:dyDescent="0.3">
      <c r="B196" s="98" t="s">
        <v>1062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12" x14ac:dyDescent="0.25">
      <c r="B202" s="53" t="s">
        <v>1243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12" x14ac:dyDescent="0.25">
      <c r="B203" s="53" t="s">
        <v>1244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12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304</v>
      </c>
      <c r="D207" s="115">
        <v>0</v>
      </c>
      <c r="E207" s="105">
        <f>D207/C207</f>
        <v>0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1243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1244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v>304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v>304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v>304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v>304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v>304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v>304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v>340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>
        <f>'RESUMEN TOTAL'!R89</f>
        <v>0</v>
      </c>
      <c r="L68" s="70">
        <f>'RESUMEN TOTAL'!S89</f>
        <v>0</v>
      </c>
      <c r="M68" s="70">
        <f>'RESUMEN TOTAL'!T89</f>
        <v>0</v>
      </c>
      <c r="N68" s="70">
        <f>'RESUMEN TOTAL'!U89</f>
        <v>0</v>
      </c>
      <c r="O68" s="70">
        <f>'RESUMEN TOTAL'!V89</f>
        <v>0</v>
      </c>
      <c r="P68" s="70">
        <f>'RESUMEN TOTAL'!W89</f>
        <v>0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>
        <f>'RESUMEN TOTAL'!Q99</f>
        <v>0</v>
      </c>
      <c r="K78" s="70">
        <f>'RESUMEN TOTAL'!R99</f>
        <v>0</v>
      </c>
      <c r="L78" s="70">
        <f>'RESUMEN TOTAL'!S99</f>
        <v>0</v>
      </c>
      <c r="M78" s="70">
        <f>'RESUMEN TOTAL'!T99</f>
        <v>0</v>
      </c>
      <c r="N78" s="70">
        <f>'RESUMEN TOTAL'!U99</f>
        <v>0</v>
      </c>
      <c r="O78" s="70">
        <f>'RESUMEN TOTAL'!V99</f>
        <v>0</v>
      </c>
      <c r="P78" s="70">
        <f>'RESUMEN TOTAL'!W99</f>
        <v>0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>
        <f>'RESUMEN TOTAL'!R127</f>
        <v>0</v>
      </c>
      <c r="L106" s="70">
        <f>'RESUMEN TOTAL'!S127</f>
        <v>0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>
        <f>'RESUMEN TOTAL'!Q130</f>
        <v>0</v>
      </c>
      <c r="K109" s="70">
        <f>'RESUMEN TOTAL'!R130</f>
        <v>0</v>
      </c>
      <c r="L109" s="70">
        <f>'RESUMEN TOTAL'!S130</f>
        <v>0</v>
      </c>
      <c r="M109" s="70">
        <f>'RESUMEN TOTAL'!T130</f>
        <v>0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>
        <f>'RESUMEN TOTAL'!Q151</f>
        <v>0</v>
      </c>
      <c r="K117" s="70">
        <f>'RESUMEN TOTAL'!R151</f>
        <v>0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>
        <f>'RESUMEN TOTAL'!Q193</f>
        <v>0</v>
      </c>
      <c r="K148" s="70">
        <f>'RESUMEN TOTAL'!R193</f>
        <v>0</v>
      </c>
      <c r="L148" s="70">
        <f>'RESUMEN TOTAL'!S193</f>
        <v>0</v>
      </c>
      <c r="M148" s="70">
        <f>'RESUMEN TOTAL'!T193</f>
        <v>0</v>
      </c>
      <c r="N148" s="70">
        <f>'RESUMEN TOTAL'!U193</f>
        <v>0</v>
      </c>
      <c r="O148" s="70">
        <f>'RESUMEN TOTAL'!V193</f>
        <v>0</v>
      </c>
      <c r="P148" s="70">
        <f>'RESUMEN TOTAL'!W193</f>
        <v>0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>
        <f>'RESUMEN TOTAL'!W194</f>
        <v>0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>
        <f>'RESUMEN TOTAL'!Q195</f>
        <v>0</v>
      </c>
      <c r="K150" s="70">
        <f>'RESUMEN TOTAL'!R195</f>
        <v>0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>
        <f>'RESUMEN TOTAL'!U200</f>
        <v>0</v>
      </c>
      <c r="O155" s="70">
        <f>'RESUMEN TOTAL'!V200</f>
        <v>0</v>
      </c>
      <c r="P155" s="70">
        <f>'RESUMEN TOTAL'!W200</f>
        <v>0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>
        <f>'RESUMEN TOTAL'!Q201</f>
        <v>0</v>
      </c>
      <c r="K156" s="70">
        <f>'RESUMEN TOTAL'!R201</f>
        <v>0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>
        <f>'RESUMEN TOTAL'!W211</f>
        <v>0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>
        <f>'RESUMEN TOTAL'!Q219</f>
        <v>0</v>
      </c>
      <c r="K170" s="70">
        <f>'RESUMEN TOTAL'!R219</f>
        <v>0</v>
      </c>
      <c r="L170" s="70">
        <f>'RESUMEN TOTAL'!S219</f>
        <v>0</v>
      </c>
      <c r="M170" s="70">
        <f>'RESUMEN TOTAL'!T219</f>
        <v>0</v>
      </c>
      <c r="N170" s="70">
        <f>'RESUMEN TOTAL'!U219</f>
        <v>0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>
        <f>'RESUMEN TOTAL'!Q220</f>
        <v>0</v>
      </c>
      <c r="K171" s="70">
        <f>'RESUMEN TOTAL'!R220</f>
        <v>0</v>
      </c>
      <c r="L171" s="70">
        <f>'RESUMEN TOTAL'!S220</f>
        <v>0</v>
      </c>
      <c r="M171" s="70">
        <f>'RESUMEN TOTAL'!T220</f>
        <v>0</v>
      </c>
      <c r="N171" s="70">
        <f>'RESUMEN TOTAL'!U220</f>
        <v>0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>
        <f>'RESUMEN TOTAL'!Q232</f>
        <v>0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>
        <f>'RESUMEN TOTAL'!AC232</f>
        <v>0</v>
      </c>
      <c r="W179" s="70">
        <f>'RESUMEN TOTAL'!AD232</f>
        <v>0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>
        <f>'RESUMEN TOTAL'!AC233</f>
        <v>0</v>
      </c>
      <c r="W180" s="70">
        <f>'RESUMEN TOTAL'!AD233</f>
        <v>0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>
        <f>'RESUMEN TOTAL'!Q234</f>
        <v>0</v>
      </c>
      <c r="K181" s="70">
        <f>'RESUMEN TOTAL'!R234</f>
        <v>0</v>
      </c>
      <c r="L181" s="70">
        <f>'RESUMEN TOTAL'!S234</f>
        <v>0</v>
      </c>
      <c r="M181" s="70">
        <f>'RESUMEN TOTAL'!T234</f>
        <v>0</v>
      </c>
      <c r="N181" s="70">
        <f>'RESUMEN TOTAL'!U234</f>
        <v>0</v>
      </c>
      <c r="O181" s="70">
        <f>'RESUMEN TOTAL'!V234</f>
        <v>0</v>
      </c>
      <c r="P181" s="70">
        <f>'RESUMEN TOTAL'!W234</f>
        <v>0</v>
      </c>
      <c r="Q181" s="70">
        <f>'RESUMEN TOTAL'!X234</f>
        <v>0</v>
      </c>
      <c r="R181" s="70">
        <f>'RESUMEN TOTAL'!Y234</f>
        <v>0</v>
      </c>
      <c r="S181" s="70">
        <f>'RESUMEN TOTAL'!Z234</f>
        <v>0</v>
      </c>
      <c r="T181" s="70">
        <f>'RESUMEN TOTAL'!AA234</f>
        <v>0</v>
      </c>
      <c r="U181" s="70">
        <f>'RESUMEN TOTAL'!AB234</f>
        <v>0</v>
      </c>
      <c r="V181" s="70">
        <f>'RESUMEN TOTAL'!AC234</f>
        <v>0</v>
      </c>
      <c r="W181" s="70">
        <f>'RESUMEN TOTAL'!AD234</f>
        <v>0</v>
      </c>
      <c r="X181" s="70">
        <f>'RESUMEN TOTAL'!AE234</f>
        <v>0</v>
      </c>
      <c r="Y181" s="70">
        <f>'RESUMEN TOTAL'!AF234</f>
        <v>0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>
        <f>'RESUMEN TOTAL'!AC235</f>
        <v>0</v>
      </c>
      <c r="W182" s="70">
        <f>'RESUMEN TOTAL'!AD235</f>
        <v>0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>
        <f>'RESUMEN TOTAL'!AC236</f>
        <v>0</v>
      </c>
      <c r="W183" s="70">
        <f>'RESUMEN TOTAL'!AD236</f>
        <v>0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>
        <f>'RESUMEN TOTAL'!AC237</f>
        <v>0</v>
      </c>
      <c r="W184" s="70">
        <f>'RESUMEN TOTAL'!AD237</f>
        <v>0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>
        <f>'RESUMEN TOTAL'!AC239</f>
        <v>0</v>
      </c>
      <c r="W186" s="70">
        <f>'RESUMEN TOTAL'!AD239</f>
        <v>0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>
        <f>'RESUMEN TOTAL'!AC240</f>
        <v>0</v>
      </c>
      <c r="W187" s="70">
        <f>'RESUMEN TOTAL'!AD240</f>
        <v>0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>
        <f>'RESUMEN TOTAL'!AC241</f>
        <v>0</v>
      </c>
      <c r="W188" s="70">
        <f>'RESUMEN TOTAL'!AD241</f>
        <v>0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>
        <f>'RESUMEN TOTAL'!AC242</f>
        <v>0</v>
      </c>
      <c r="W189" s="70">
        <f>'RESUMEN TOTAL'!AD242</f>
        <v>0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>
        <f>'RESUMEN TOTAL'!AC243</f>
        <v>0</v>
      </c>
      <c r="W190" s="70">
        <f>'RESUMEN TOTAL'!AD243</f>
        <v>0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>
        <f>'RESUMEN TOTAL'!AC244</f>
        <v>0</v>
      </c>
      <c r="W191" s="70">
        <f>'RESUMEN TOTAL'!AD244</f>
        <v>0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>
        <f>'RESUMEN TOTAL'!AC245</f>
        <v>0</v>
      </c>
      <c r="W192" s="70">
        <f>'RESUMEN TOTAL'!AD245</f>
        <v>0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>
        <f>'RESUMEN TOTAL'!AC246</f>
        <v>0</v>
      </c>
      <c r="W193" s="70">
        <f>'RESUMEN TOTAL'!AD246</f>
        <v>0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>
        <f>'RESUMEN TOTAL'!S257</f>
        <v>0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>
        <f>'RESUMEN TOTAL'!AC260</f>
        <v>0</v>
      </c>
      <c r="W207" s="70">
        <f>'RESUMEN TOTAL'!AD260</f>
        <v>0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>
        <f>'RESUMEN TOTAL'!AC262</f>
        <v>0</v>
      </c>
      <c r="W209" s="70">
        <f>'RESUMEN TOTAL'!AD262</f>
        <v>0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>
        <f>'RESUMEN TOTAL'!AC266</f>
        <v>0</v>
      </c>
      <c r="W213" s="70">
        <f>'RESUMEN TOTAL'!AD266</f>
        <v>0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>
        <f>'RESUMEN TOTAL'!Q281</f>
        <v>0</v>
      </c>
      <c r="K224" s="70">
        <f>'RESUMEN TOTAL'!R281</f>
        <v>0</v>
      </c>
      <c r="L224" s="70">
        <f>'RESUMEN TOTAL'!S281</f>
        <v>0</v>
      </c>
      <c r="M224" s="70">
        <f>'RESUMEN TOTAL'!T281</f>
        <v>0</v>
      </c>
      <c r="N224" s="70">
        <f>'RESUMEN TOTAL'!U281</f>
        <v>0</v>
      </c>
      <c r="O224" s="70">
        <f>'RESUMEN TOTAL'!V281</f>
        <v>0</v>
      </c>
      <c r="P224" s="70">
        <f>'RESUMEN TOTAL'!W281</f>
        <v>0</v>
      </c>
      <c r="Q224" s="70">
        <f>'RESUMEN TOTAL'!X281</f>
        <v>0</v>
      </c>
      <c r="R224" s="70">
        <f>'RESUMEN TOTAL'!Y281</f>
        <v>0</v>
      </c>
      <c r="S224" s="70">
        <f>'RESUMEN TOTAL'!Z281</f>
        <v>0</v>
      </c>
      <c r="T224" s="70">
        <f>'RESUMEN TOTAL'!AA281</f>
        <v>0</v>
      </c>
      <c r="U224" s="70">
        <f>'RESUMEN TOTAL'!AB281</f>
        <v>0</v>
      </c>
      <c r="V224" s="70">
        <f>'RESUMEN TOTAL'!AC281</f>
        <v>0</v>
      </c>
      <c r="W224" s="70">
        <f>'RESUMEN TOTAL'!AD281</f>
        <v>0</v>
      </c>
      <c r="X224" s="70">
        <f>'RESUMEN TOTAL'!AE281</f>
        <v>0</v>
      </c>
      <c r="Y224" s="70">
        <f>'RESUMEN TOTAL'!AF281</f>
        <v>0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>
        <f>'RESUMEN TOTAL'!Q296</f>
        <v>0</v>
      </c>
      <c r="K236" s="70">
        <f>'RESUMEN TOTAL'!R296</f>
        <v>0</v>
      </c>
      <c r="L236" s="70">
        <f>'RESUMEN TOTAL'!S296</f>
        <v>0</v>
      </c>
      <c r="M236" s="70">
        <f>'RESUMEN TOTAL'!T296</f>
        <v>0</v>
      </c>
      <c r="N236" s="70">
        <f>'RESUMEN TOTAL'!U296</f>
        <v>0</v>
      </c>
      <c r="O236" s="70">
        <f>'RESUMEN TOTAL'!V296</f>
        <v>0</v>
      </c>
      <c r="P236" s="70">
        <f>'RESUMEN TOTAL'!W296</f>
        <v>0</v>
      </c>
      <c r="Q236" s="70">
        <f>'RESUMEN TOTAL'!X296</f>
        <v>0</v>
      </c>
      <c r="R236" s="70">
        <f>'RESUMEN TOTAL'!Y296</f>
        <v>0</v>
      </c>
      <c r="S236" s="70">
        <f>'RESUMEN TOTAL'!Z296</f>
        <v>0</v>
      </c>
      <c r="T236" s="70">
        <f>'RESUMEN TOTAL'!AA296</f>
        <v>0</v>
      </c>
      <c r="U236" s="70">
        <f>'RESUMEN TOTAL'!AB296</f>
        <v>0</v>
      </c>
      <c r="V236" s="70">
        <f>'RESUMEN TOTAL'!AC296</f>
        <v>0</v>
      </c>
      <c r="W236" s="70">
        <f>'RESUMEN TOTAL'!AD296</f>
        <v>0</v>
      </c>
      <c r="X236" s="70">
        <f>'RESUMEN TOTAL'!AE296</f>
        <v>0</v>
      </c>
      <c r="Y236" s="70">
        <f>'RESUMEN TOTAL'!AF296</f>
        <v>0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>
        <f>'RESUMEN TOTAL'!Q308</f>
        <v>0</v>
      </c>
      <c r="K248" s="70">
        <f>'RESUMEN TOTAL'!R308</f>
        <v>0</v>
      </c>
      <c r="L248" s="70">
        <f>'RESUMEN TOTAL'!S308</f>
        <v>0</v>
      </c>
      <c r="M248" s="70">
        <f>'RESUMEN TOTAL'!T308</f>
        <v>0</v>
      </c>
      <c r="N248" s="70">
        <f>'RESUMEN TOTAL'!U308</f>
        <v>0</v>
      </c>
      <c r="O248" s="70">
        <f>'RESUMEN TOTAL'!V308</f>
        <v>0</v>
      </c>
      <c r="P248" s="70">
        <f>'RESUMEN TOTAL'!W308</f>
        <v>0</v>
      </c>
      <c r="Q248" s="70">
        <f>'RESUMEN TOTAL'!X308</f>
        <v>0</v>
      </c>
      <c r="R248" s="70">
        <f>'RESUMEN TOTAL'!Y308</f>
        <v>0</v>
      </c>
      <c r="S248" s="70">
        <f>'RESUMEN TOTAL'!Z308</f>
        <v>0</v>
      </c>
      <c r="T248" s="70">
        <f>'RESUMEN TOTAL'!AA308</f>
        <v>0</v>
      </c>
      <c r="U248" s="70">
        <f>'RESUMEN TOTAL'!AB308</f>
        <v>0</v>
      </c>
      <c r="V248" s="70">
        <f>'RESUMEN TOTAL'!AC308</f>
        <v>0</v>
      </c>
      <c r="W248" s="70">
        <f>'RESUMEN TOTAL'!AD308</f>
        <v>0</v>
      </c>
      <c r="X248" s="70">
        <f>'RESUMEN TOTAL'!AE308</f>
        <v>0</v>
      </c>
      <c r="Y248" s="70">
        <f>'RESUMEN TOTAL'!AF308</f>
        <v>0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>
        <f>'RESUMEN TOTAL'!Q310</f>
        <v>0</v>
      </c>
      <c r="K250" s="70">
        <f>'RESUMEN TOTAL'!R310</f>
        <v>0</v>
      </c>
      <c r="L250" s="70">
        <f>'RESUMEN TOTAL'!S310</f>
        <v>0</v>
      </c>
      <c r="M250" s="70">
        <f>'RESUMEN TOTAL'!T310</f>
        <v>0</v>
      </c>
      <c r="N250" s="70">
        <f>'RESUMEN TOTAL'!U310</f>
        <v>0</v>
      </c>
      <c r="O250" s="70">
        <f>'RESUMEN TOTAL'!V310</f>
        <v>0</v>
      </c>
      <c r="P250" s="70">
        <f>'RESUMEN TOTAL'!W310</f>
        <v>0</v>
      </c>
      <c r="Q250" s="70">
        <f>'RESUMEN TOTAL'!X310</f>
        <v>0</v>
      </c>
      <c r="R250" s="70">
        <f>'RESUMEN TOTAL'!Y310</f>
        <v>0</v>
      </c>
      <c r="S250" s="70">
        <f>'RESUMEN TOTAL'!Z310</f>
        <v>0</v>
      </c>
      <c r="T250" s="70">
        <f>'RESUMEN TOTAL'!AA310</f>
        <v>0</v>
      </c>
      <c r="U250" s="70">
        <f>'RESUMEN TOTAL'!AB310</f>
        <v>0</v>
      </c>
      <c r="V250" s="70">
        <f>'RESUMEN TOTAL'!AC310</f>
        <v>0</v>
      </c>
      <c r="W250" s="70">
        <f>'RESUMEN TOTAL'!AD310</f>
        <v>0</v>
      </c>
      <c r="X250" s="70">
        <f>'RESUMEN TOTAL'!AE310</f>
        <v>0</v>
      </c>
      <c r="Y250" s="70">
        <f>'RESUMEN TOTAL'!AF310</f>
        <v>0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>
        <f>'RESUMEN TOTAL'!Q311</f>
        <v>0</v>
      </c>
      <c r="K251" s="70">
        <f>'RESUMEN TOTAL'!R311</f>
        <v>0</v>
      </c>
      <c r="L251" s="70">
        <f>'RESUMEN TOTAL'!S311</f>
        <v>0</v>
      </c>
      <c r="M251" s="70">
        <f>'RESUMEN TOTAL'!T311</f>
        <v>0</v>
      </c>
      <c r="N251" s="70">
        <f>'RESUMEN TOTAL'!U311</f>
        <v>0</v>
      </c>
      <c r="O251" s="70">
        <f>'RESUMEN TOTAL'!V311</f>
        <v>0</v>
      </c>
      <c r="P251" s="70">
        <f>'RESUMEN TOTAL'!W311</f>
        <v>0</v>
      </c>
      <c r="Q251" s="70">
        <f>'RESUMEN TOTAL'!X311</f>
        <v>0</v>
      </c>
      <c r="R251" s="70">
        <f>'RESUMEN TOTAL'!Y311</f>
        <v>0</v>
      </c>
      <c r="S251" s="70">
        <f>'RESUMEN TOTAL'!Z311</f>
        <v>0</v>
      </c>
      <c r="T251" s="70">
        <f>'RESUMEN TOTAL'!AA311</f>
        <v>0</v>
      </c>
      <c r="U251" s="70">
        <f>'RESUMEN TOTAL'!AB311</f>
        <v>0</v>
      </c>
      <c r="V251" s="70">
        <f>'RESUMEN TOTAL'!AC311</f>
        <v>0</v>
      </c>
      <c r="W251" s="70">
        <f>'RESUMEN TOTAL'!AD311</f>
        <v>0</v>
      </c>
      <c r="X251" s="70">
        <f>'RESUMEN TOTAL'!AE311</f>
        <v>0</v>
      </c>
      <c r="Y251" s="70">
        <f>'RESUMEN TOTAL'!AF311</f>
        <v>0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>
        <f>'RESUMEN TOTAL'!Q312</f>
        <v>0</v>
      </c>
      <c r="K252" s="70">
        <f>'RESUMEN TOTAL'!R312</f>
        <v>0</v>
      </c>
      <c r="L252" s="70">
        <f>'RESUMEN TOTAL'!S312</f>
        <v>0</v>
      </c>
      <c r="M252" s="70">
        <f>'RESUMEN TOTAL'!T312</f>
        <v>0</v>
      </c>
      <c r="N252" s="70">
        <f>'RESUMEN TOTAL'!U312</f>
        <v>0</v>
      </c>
      <c r="O252" s="70">
        <f>'RESUMEN TOTAL'!V312</f>
        <v>0</v>
      </c>
      <c r="P252" s="70">
        <f>'RESUMEN TOTAL'!W312</f>
        <v>0</v>
      </c>
      <c r="Q252" s="70">
        <f>'RESUMEN TOTAL'!X312</f>
        <v>0</v>
      </c>
      <c r="R252" s="70">
        <f>'RESUMEN TOTAL'!Y312</f>
        <v>0</v>
      </c>
      <c r="S252" s="70">
        <f>'RESUMEN TOTAL'!Z312</f>
        <v>0</v>
      </c>
      <c r="T252" s="70">
        <f>'RESUMEN TOTAL'!AA312</f>
        <v>0</v>
      </c>
      <c r="U252" s="70">
        <f>'RESUMEN TOTAL'!AB312</f>
        <v>0</v>
      </c>
      <c r="V252" s="70">
        <f>'RESUMEN TOTAL'!AC312</f>
        <v>0</v>
      </c>
      <c r="W252" s="70">
        <f>'RESUMEN TOTAL'!AD312</f>
        <v>0</v>
      </c>
      <c r="X252" s="70">
        <f>'RESUMEN TOTAL'!AE312</f>
        <v>0</v>
      </c>
      <c r="Y252" s="70">
        <f>'RESUMEN TOTAL'!AF312</f>
        <v>0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>
        <f>'RESUMEN TOTAL'!Q313</f>
        <v>0</v>
      </c>
      <c r="K253" s="70">
        <f>'RESUMEN TOTAL'!R313</f>
        <v>0</v>
      </c>
      <c r="L253" s="70">
        <f>'RESUMEN TOTAL'!S313</f>
        <v>0</v>
      </c>
      <c r="M253" s="70">
        <f>'RESUMEN TOTAL'!T313</f>
        <v>0</v>
      </c>
      <c r="N253" s="70">
        <f>'RESUMEN TOTAL'!U313</f>
        <v>0</v>
      </c>
      <c r="O253" s="70">
        <f>'RESUMEN TOTAL'!V313</f>
        <v>0</v>
      </c>
      <c r="P253" s="70">
        <f>'RESUMEN TOTAL'!W313</f>
        <v>0</v>
      </c>
      <c r="Q253" s="70">
        <f>'RESUMEN TOTAL'!X313</f>
        <v>0</v>
      </c>
      <c r="R253" s="70">
        <f>'RESUMEN TOTAL'!Y313</f>
        <v>0</v>
      </c>
      <c r="S253" s="70">
        <f>'RESUMEN TOTAL'!Z313</f>
        <v>0</v>
      </c>
      <c r="T253" s="70">
        <f>'RESUMEN TOTAL'!AA313</f>
        <v>0</v>
      </c>
      <c r="U253" s="70">
        <f>'RESUMEN TOTAL'!AB313</f>
        <v>0</v>
      </c>
      <c r="V253" s="70">
        <f>'RESUMEN TOTAL'!AC313</f>
        <v>0</v>
      </c>
      <c r="W253" s="70">
        <f>'RESUMEN TOTAL'!AD313</f>
        <v>0</v>
      </c>
      <c r="X253" s="70">
        <f>'RESUMEN TOTAL'!AE313</f>
        <v>0</v>
      </c>
      <c r="Y253" s="70">
        <f>'RESUMEN TOTAL'!AF313</f>
        <v>0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>
        <f>'RESUMEN TOTAL'!Q314</f>
        <v>0</v>
      </c>
      <c r="K254" s="70">
        <f>'RESUMEN TOTAL'!R314</f>
        <v>0</v>
      </c>
      <c r="L254" s="70">
        <f>'RESUMEN TOTAL'!S314</f>
        <v>0</v>
      </c>
      <c r="M254" s="70">
        <f>'RESUMEN TOTAL'!T314</f>
        <v>0</v>
      </c>
      <c r="N254" s="70">
        <f>'RESUMEN TOTAL'!U314</f>
        <v>0</v>
      </c>
      <c r="O254" s="70">
        <f>'RESUMEN TOTAL'!V314</f>
        <v>0</v>
      </c>
      <c r="P254" s="70">
        <f>'RESUMEN TOTAL'!W314</f>
        <v>0</v>
      </c>
      <c r="Q254" s="70">
        <f>'RESUMEN TOTAL'!X314</f>
        <v>0</v>
      </c>
      <c r="R254" s="70">
        <f>'RESUMEN TOTAL'!Y314</f>
        <v>0</v>
      </c>
      <c r="S254" s="70">
        <f>'RESUMEN TOTAL'!Z314</f>
        <v>0</v>
      </c>
      <c r="T254" s="70">
        <f>'RESUMEN TOTAL'!AA314</f>
        <v>0</v>
      </c>
      <c r="U254" s="70">
        <f>'RESUMEN TOTAL'!AB314</f>
        <v>0</v>
      </c>
      <c r="V254" s="70">
        <f>'RESUMEN TOTAL'!AC314</f>
        <v>0</v>
      </c>
      <c r="W254" s="70">
        <f>'RESUMEN TOTAL'!AD314</f>
        <v>0</v>
      </c>
      <c r="X254" s="70">
        <f>'RESUMEN TOTAL'!AE314</f>
        <v>0</v>
      </c>
      <c r="Y254" s="70">
        <f>'RESUMEN TOTAL'!AF314</f>
        <v>0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>
        <f>'RESUMEN TOTAL'!Q315</f>
        <v>0</v>
      </c>
      <c r="K255" s="70">
        <f>'RESUMEN TOTAL'!R315</f>
        <v>0</v>
      </c>
      <c r="L255" s="70">
        <f>'RESUMEN TOTAL'!S315</f>
        <v>0</v>
      </c>
      <c r="M255" s="70">
        <f>'RESUMEN TOTAL'!T315</f>
        <v>0</v>
      </c>
      <c r="N255" s="70">
        <f>'RESUMEN TOTAL'!U315</f>
        <v>0</v>
      </c>
      <c r="O255" s="70">
        <f>'RESUMEN TOTAL'!V315</f>
        <v>0</v>
      </c>
      <c r="P255" s="70">
        <f>'RESUMEN TOTAL'!W315</f>
        <v>0</v>
      </c>
      <c r="Q255" s="70">
        <f>'RESUMEN TOTAL'!X315</f>
        <v>0</v>
      </c>
      <c r="R255" s="70">
        <f>'RESUMEN TOTAL'!Y315</f>
        <v>0</v>
      </c>
      <c r="S255" s="70">
        <f>'RESUMEN TOTAL'!Z315</f>
        <v>0</v>
      </c>
      <c r="T255" s="70">
        <f>'RESUMEN TOTAL'!AA315</f>
        <v>0</v>
      </c>
      <c r="U255" s="70">
        <f>'RESUMEN TOTAL'!AB315</f>
        <v>0</v>
      </c>
      <c r="V255" s="70">
        <f>'RESUMEN TOTAL'!AC315</f>
        <v>0</v>
      </c>
      <c r="W255" s="70">
        <f>'RESUMEN TOTAL'!AD315</f>
        <v>0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>
        <f>'RESUMEN TOTAL'!AB316</f>
        <v>0</v>
      </c>
      <c r="V256" s="70">
        <f>'RESUMEN TOTAL'!AC316</f>
        <v>0</v>
      </c>
      <c r="W256" s="70">
        <f>'RESUMEN TOTAL'!AD316</f>
        <v>0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>
        <f>'RESUMEN TOTAL'!X348</f>
        <v>0</v>
      </c>
      <c r="R279" s="70">
        <f>'RESUMEN TOTAL'!Y348</f>
        <v>0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>
        <f>'RESUMEN TOTAL'!X349</f>
        <v>0</v>
      </c>
      <c r="R280" s="70">
        <f>'RESUMEN TOTAL'!Y349</f>
        <v>0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>
        <f>'RESUMEN TOTAL'!AC350</f>
        <v>0</v>
      </c>
      <c r="W281" s="70">
        <f>'RESUMEN TOTAL'!AD350</f>
        <v>0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>
        <f>'RESUMEN TOTAL'!AC353</f>
        <v>0</v>
      </c>
      <c r="W284" s="70">
        <f>'RESUMEN TOTAL'!AD353</f>
        <v>0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>
        <f>'RESUMEN TOTAL'!AC354</f>
        <v>0</v>
      </c>
      <c r="W285" s="70">
        <f>'RESUMEN TOTAL'!AD354</f>
        <v>0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>
        <f>'RESUMEN TOTAL'!AC355</f>
        <v>0</v>
      </c>
      <c r="W286" s="70">
        <f>'RESUMEN TOTAL'!AD355</f>
        <v>0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>
        <f>'RESUMEN TOTAL'!AC356</f>
        <v>0</v>
      </c>
      <c r="W287" s="70">
        <f>'RESUMEN TOTAL'!AD356</f>
        <v>0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>
        <f>'RESUMEN TOTAL'!AC357</f>
        <v>0</v>
      </c>
      <c r="W288" s="70">
        <f>'RESUMEN TOTAL'!AD357</f>
        <v>0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>
        <f>'RESUMEN TOTAL'!AC358</f>
        <v>0</v>
      </c>
      <c r="W289" s="70">
        <f>'RESUMEN TOTAL'!AD358</f>
        <v>0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>
        <f>'RESUMEN TOTAL'!Q375</f>
        <v>0</v>
      </c>
      <c r="K301" s="70">
        <f>'RESUMEN TOTAL'!R375</f>
        <v>0</v>
      </c>
      <c r="L301" s="70">
        <f>'RESUMEN TOTAL'!S375</f>
        <v>0</v>
      </c>
      <c r="M301" s="70">
        <f>'RESUMEN TOTAL'!T375</f>
        <v>0</v>
      </c>
      <c r="N301" s="70">
        <f>'RESUMEN TOTAL'!U375</f>
        <v>0</v>
      </c>
      <c r="O301" s="70">
        <f>'RESUMEN TOTAL'!V375</f>
        <v>0</v>
      </c>
      <c r="P301" s="70">
        <f>'RESUMEN TOTAL'!W375</f>
        <v>0</v>
      </c>
      <c r="Q301" s="70">
        <f>'RESUMEN TOTAL'!X375</f>
        <v>0</v>
      </c>
      <c r="R301" s="70">
        <f>'RESUMEN TOTAL'!Y375</f>
        <v>0</v>
      </c>
      <c r="S301" s="70">
        <f>'RESUMEN TOTAL'!Z375</f>
        <v>0</v>
      </c>
      <c r="T301" s="70">
        <f>'RESUMEN TOTAL'!AA375</f>
        <v>0</v>
      </c>
      <c r="U301" s="70">
        <f>'RESUMEN TOTAL'!AB375</f>
        <v>0</v>
      </c>
      <c r="V301" s="70">
        <f>'RESUMEN TOTAL'!AC375</f>
        <v>0</v>
      </c>
      <c r="W301" s="70">
        <f>'RESUMEN TOTAL'!AD375</f>
        <v>0</v>
      </c>
      <c r="X301" s="70">
        <f>'RESUMEN TOTAL'!AE375</f>
        <v>0</v>
      </c>
      <c r="Y301" s="70">
        <f>'RESUMEN TOTAL'!AF375</f>
        <v>0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>
        <f>'RESUMEN TOTAL'!R383</f>
        <v>0</v>
      </c>
      <c r="L309" s="70">
        <f>'RESUMEN TOTAL'!S383</f>
        <v>0</v>
      </c>
      <c r="M309" s="70">
        <f>'RESUMEN TOTAL'!T383</f>
        <v>0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>
        <f>'RESUMEN TOTAL'!R384</f>
        <v>0</v>
      </c>
      <c r="L310" s="70">
        <f>'RESUMEN TOTAL'!S384</f>
        <v>0</v>
      </c>
      <c r="M310" s="70">
        <f>'RESUMEN TOTAL'!T384</f>
        <v>0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>
        <f>'RESUMEN TOTAL'!Q388</f>
        <v>0</v>
      </c>
      <c r="K314" s="70">
        <f>'RESUMEN TOTAL'!R388</f>
        <v>0</v>
      </c>
      <c r="L314" s="70">
        <f>'RESUMEN TOTAL'!S388</f>
        <v>0</v>
      </c>
      <c r="M314" s="70">
        <f>'RESUMEN TOTAL'!T388</f>
        <v>0</v>
      </c>
      <c r="N314" s="70">
        <f>'RESUMEN TOTAL'!U388</f>
        <v>0</v>
      </c>
      <c r="O314" s="70">
        <f>'RESUMEN TOTAL'!V388</f>
        <v>0</v>
      </c>
      <c r="P314" s="70">
        <f>'RESUMEN TOTAL'!W388</f>
        <v>0</v>
      </c>
      <c r="Q314" s="70">
        <f>'RESUMEN TOTAL'!X388</f>
        <v>0</v>
      </c>
      <c r="R314" s="70">
        <f>'RESUMEN TOTAL'!Y388</f>
        <v>0</v>
      </c>
      <c r="S314" s="70">
        <f>'RESUMEN TOTAL'!Z388</f>
        <v>0</v>
      </c>
      <c r="T314" s="70">
        <f>'RESUMEN TOTAL'!AA388</f>
        <v>0</v>
      </c>
      <c r="U314" s="70">
        <f>'RESUMEN TOTAL'!AB388</f>
        <v>0</v>
      </c>
      <c r="V314" s="70">
        <f>'RESUMEN TOTAL'!AC388</f>
        <v>0</v>
      </c>
      <c r="W314" s="70">
        <f>'RESUMEN TOTAL'!AD388</f>
        <v>0</v>
      </c>
      <c r="X314" s="70">
        <f>'RESUMEN TOTAL'!AE388</f>
        <v>0</v>
      </c>
      <c r="Y314" s="70">
        <f>'RESUMEN TOTAL'!AF388</f>
        <v>0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>
        <f>'RESUMEN TOTAL'!Q389</f>
        <v>0</v>
      </c>
      <c r="K315" s="70">
        <f>'RESUMEN TOTAL'!R389</f>
        <v>0</v>
      </c>
      <c r="L315" s="70">
        <f>'RESUMEN TOTAL'!S389</f>
        <v>0</v>
      </c>
      <c r="M315" s="70">
        <f>'RESUMEN TOTAL'!T389</f>
        <v>0</v>
      </c>
      <c r="N315" s="70">
        <f>'RESUMEN TOTAL'!U389</f>
        <v>0</v>
      </c>
      <c r="O315" s="70">
        <f>'RESUMEN TOTAL'!V389</f>
        <v>0</v>
      </c>
      <c r="P315" s="70">
        <f>'RESUMEN TOTAL'!W389</f>
        <v>0</v>
      </c>
      <c r="Q315" s="70">
        <f>'RESUMEN TOTAL'!X389</f>
        <v>0</v>
      </c>
      <c r="R315" s="70">
        <f>'RESUMEN TOTAL'!Y389</f>
        <v>0</v>
      </c>
      <c r="S315" s="70">
        <f>'RESUMEN TOTAL'!Z389</f>
        <v>0</v>
      </c>
      <c r="T315" s="70">
        <f>'RESUMEN TOTAL'!AA389</f>
        <v>0</v>
      </c>
      <c r="U315" s="70">
        <f>'RESUMEN TOTAL'!AB389</f>
        <v>0</v>
      </c>
      <c r="V315" s="70">
        <f>'RESUMEN TOTAL'!AC389</f>
        <v>0</v>
      </c>
      <c r="W315" s="70">
        <f>'RESUMEN TOTAL'!AD389</f>
        <v>0</v>
      </c>
      <c r="X315" s="70">
        <f>'RESUMEN TOTAL'!AE389</f>
        <v>0</v>
      </c>
      <c r="Y315" s="70">
        <f>'RESUMEN TOTAL'!AF389</f>
        <v>0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>
        <f>'RESUMEN TOTAL'!Q395</f>
        <v>0</v>
      </c>
      <c r="K316" s="70">
        <f>'RESUMEN TOTAL'!R395</f>
        <v>0</v>
      </c>
      <c r="L316" s="70">
        <f>'RESUMEN TOTAL'!S395</f>
        <v>0</v>
      </c>
      <c r="M316" s="70">
        <f>'RESUMEN TOTAL'!T395</f>
        <v>0</v>
      </c>
      <c r="N316" s="70">
        <f>'RESUMEN TOTAL'!U395</f>
        <v>0</v>
      </c>
      <c r="O316" s="70">
        <f>'RESUMEN TOTAL'!V395</f>
        <v>0</v>
      </c>
      <c r="P316" s="70">
        <f>'RESUMEN TOTAL'!W395</f>
        <v>0</v>
      </c>
      <c r="Q316" s="70">
        <f>'RESUMEN TOTAL'!X395</f>
        <v>0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>
        <f>'RESUMEN TOTAL'!R397</f>
        <v>0</v>
      </c>
      <c r="L318" s="70">
        <f>'RESUMEN TOTAL'!S397</f>
        <v>0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>
        <f>'RESUMEN TOTAL'!R398</f>
        <v>0</v>
      </c>
      <c r="L319" s="70">
        <f>'RESUMEN TOTAL'!S398</f>
        <v>0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>
        <f>'RESUMEN TOTAL'!Q399</f>
        <v>0</v>
      </c>
      <c r="K320" s="70">
        <f>'RESUMEN TOTAL'!R399</f>
        <v>0</v>
      </c>
      <c r="L320" s="70">
        <f>'RESUMEN TOTAL'!S399</f>
        <v>0</v>
      </c>
      <c r="M320" s="70">
        <f>'RESUMEN TOTAL'!T399</f>
        <v>0</v>
      </c>
      <c r="N320" s="70">
        <f>'RESUMEN TOTAL'!U399</f>
        <v>0</v>
      </c>
      <c r="O320" s="70">
        <f>'RESUMEN TOTAL'!V399</f>
        <v>0</v>
      </c>
      <c r="P320" s="70">
        <f>'RESUMEN TOTAL'!W399</f>
        <v>0</v>
      </c>
      <c r="Q320" s="70">
        <f>'RESUMEN TOTAL'!X399</f>
        <v>0</v>
      </c>
      <c r="R320" s="70">
        <f>'RESUMEN TOTAL'!Y399</f>
        <v>0</v>
      </c>
      <c r="S320" s="70">
        <f>'RESUMEN TOTAL'!Z399</f>
        <v>0</v>
      </c>
      <c r="T320" s="70">
        <f>'RESUMEN TOTAL'!AA399</f>
        <v>0</v>
      </c>
      <c r="U320" s="70">
        <f>'RESUMEN TOTAL'!AB399</f>
        <v>0</v>
      </c>
      <c r="V320" s="70">
        <f>'RESUMEN TOTAL'!AC399</f>
        <v>0</v>
      </c>
      <c r="W320" s="70">
        <f>'RESUMEN TOTAL'!AD399</f>
        <v>0</v>
      </c>
      <c r="X320" s="70">
        <f>'RESUMEN TOTAL'!AE399</f>
        <v>0</v>
      </c>
      <c r="Y320" s="70">
        <f>'RESUMEN TOTAL'!AF399</f>
        <v>0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>
        <f>'RESUMEN TOTAL'!R400</f>
        <v>0</v>
      </c>
      <c r="L321" s="70">
        <f>'RESUMEN TOTAL'!S400</f>
        <v>0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>
        <f>'RESUMEN TOTAL'!Q401</f>
        <v>0</v>
      </c>
      <c r="K322" s="70">
        <f>'RESUMEN TOTAL'!R401</f>
        <v>0</v>
      </c>
      <c r="L322" s="70">
        <f>'RESUMEN TOTAL'!S401</f>
        <v>0</v>
      </c>
      <c r="M322" s="70">
        <f>'RESUMEN TOTAL'!T401</f>
        <v>0</v>
      </c>
      <c r="N322" s="70">
        <f>'RESUMEN TOTAL'!U401</f>
        <v>0</v>
      </c>
      <c r="O322" s="70">
        <f>'RESUMEN TOTAL'!V401</f>
        <v>0</v>
      </c>
      <c r="P322" s="70">
        <f>'RESUMEN TOTAL'!W401</f>
        <v>0</v>
      </c>
      <c r="Q322" s="70">
        <f>'RESUMEN TOTAL'!X401</f>
        <v>0</v>
      </c>
      <c r="R322" s="70">
        <f>'RESUMEN TOTAL'!Y401</f>
        <v>0</v>
      </c>
      <c r="S322" s="70">
        <f>'RESUMEN TOTAL'!Z401</f>
        <v>0</v>
      </c>
      <c r="T322" s="70">
        <f>'RESUMEN TOTAL'!AA401</f>
        <v>0</v>
      </c>
      <c r="U322" s="70">
        <f>'RESUMEN TOTAL'!AB401</f>
        <v>0</v>
      </c>
      <c r="V322" s="70">
        <f>'RESUMEN TOTAL'!AC401</f>
        <v>0</v>
      </c>
      <c r="W322" s="70">
        <f>'RESUMEN TOTAL'!AD401</f>
        <v>0</v>
      </c>
      <c r="X322" s="70">
        <f>'RESUMEN TOTAL'!AE401</f>
        <v>0</v>
      </c>
      <c r="Y322" s="70">
        <f>'RESUMEN TOTAL'!AF401</f>
        <v>0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>
        <f>'RESUMEN TOTAL'!Q402</f>
        <v>0</v>
      </c>
      <c r="K323" s="70">
        <f>'RESUMEN TOTAL'!R402</f>
        <v>0</v>
      </c>
      <c r="L323" s="70">
        <f>'RESUMEN TOTAL'!S402</f>
        <v>0</v>
      </c>
      <c r="M323" s="70">
        <f>'RESUMEN TOTAL'!T402</f>
        <v>0</v>
      </c>
      <c r="N323" s="70">
        <f>'RESUMEN TOTAL'!U402</f>
        <v>0</v>
      </c>
      <c r="O323" s="70">
        <f>'RESUMEN TOTAL'!V402</f>
        <v>0</v>
      </c>
      <c r="P323" s="70">
        <f>'RESUMEN TOTAL'!W402</f>
        <v>0</v>
      </c>
      <c r="Q323" s="70">
        <f>'RESUMEN TOTAL'!X402</f>
        <v>0</v>
      </c>
      <c r="R323" s="70">
        <f>'RESUMEN TOTAL'!Y402</f>
        <v>0</v>
      </c>
      <c r="S323" s="70">
        <f>'RESUMEN TOTAL'!Z402</f>
        <v>0</v>
      </c>
      <c r="T323" s="70">
        <f>'RESUMEN TOTAL'!AA402</f>
        <v>0</v>
      </c>
      <c r="U323" s="70">
        <f>'RESUMEN TOTAL'!AB402</f>
        <v>0</v>
      </c>
      <c r="V323" s="70">
        <f>'RESUMEN TOTAL'!AC402</f>
        <v>0</v>
      </c>
      <c r="W323" s="70">
        <f>'RESUMEN TOTAL'!AD402</f>
        <v>0</v>
      </c>
      <c r="X323" s="70">
        <f>'RESUMEN TOTAL'!AE402</f>
        <v>0</v>
      </c>
      <c r="Y323" s="70">
        <f>'RESUMEN TOTAL'!AF402</f>
        <v>0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>
        <f>'RESUMEN TOTAL'!Q413</f>
        <v>0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>
        <f>'RESUMEN TOTAL'!Q415</f>
        <v>0</v>
      </c>
      <c r="K329" s="70">
        <f>'RESUMEN TOTAL'!R415</f>
        <v>0</v>
      </c>
      <c r="L329" s="70">
        <f>'RESUMEN TOTAL'!S415</f>
        <v>0</v>
      </c>
      <c r="M329" s="70">
        <f>'RESUMEN TOTAL'!T415</f>
        <v>0</v>
      </c>
      <c r="N329" s="70">
        <f>'RESUMEN TOTAL'!U415</f>
        <v>0</v>
      </c>
      <c r="O329" s="70">
        <f>'RESUMEN TOTAL'!V415</f>
        <v>0</v>
      </c>
      <c r="P329" s="70">
        <f>'RESUMEN TOTAL'!W415</f>
        <v>0</v>
      </c>
      <c r="Q329" s="70">
        <f>'RESUMEN TOTAL'!X415</f>
        <v>0</v>
      </c>
      <c r="R329" s="70">
        <f>'RESUMEN TOTAL'!Y415</f>
        <v>0</v>
      </c>
      <c r="S329" s="70">
        <f>'RESUMEN TOTAL'!Z415</f>
        <v>0</v>
      </c>
      <c r="T329" s="70">
        <f>'RESUMEN TOTAL'!AA415</f>
        <v>0</v>
      </c>
      <c r="U329" s="70">
        <f>'RESUMEN TOTAL'!AB415</f>
        <v>0</v>
      </c>
      <c r="V329" s="70">
        <f>'RESUMEN TOTAL'!AC415</f>
        <v>0</v>
      </c>
      <c r="W329" s="70">
        <f>'RESUMEN TOTAL'!AD415</f>
        <v>0</v>
      </c>
      <c r="X329" s="70">
        <f>'RESUMEN TOTAL'!AE415</f>
        <v>0</v>
      </c>
      <c r="Y329" s="70">
        <f>'RESUMEN TOTAL'!AF415</f>
        <v>0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>
        <f>'RESUMEN TOTAL'!Q416</f>
        <v>0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>
        <f>'RESUMEN TOTAL'!X419</f>
        <v>0</v>
      </c>
      <c r="R333" s="70">
        <f>'RESUMEN TOTAL'!Y419</f>
        <v>0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>
        <f>'RESUMEN TOTAL'!Q420</f>
        <v>0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>
        <f>'RESUMEN TOTAL'!Q421</f>
        <v>0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>
        <f>'RESUMEN TOTAL'!AB421</f>
        <v>0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>
        <f>'RESUMEN TOTAL'!X429</f>
        <v>0</v>
      </c>
      <c r="R340" s="70">
        <f>'RESUMEN TOTAL'!Y429</f>
        <v>0</v>
      </c>
      <c r="S340" s="70">
        <f>'RESUMEN TOTAL'!Z429</f>
        <v>0</v>
      </c>
      <c r="T340" s="70">
        <f>'RESUMEN TOTAL'!AA429</f>
        <v>0</v>
      </c>
      <c r="U340" s="70">
        <f>'RESUMEN TOTAL'!AB429</f>
        <v>0</v>
      </c>
      <c r="V340" s="70">
        <f>'RESUMEN TOTAL'!AC429</f>
        <v>0</v>
      </c>
      <c r="W340" s="70">
        <f>'RESUMEN TOTAL'!AD429</f>
        <v>0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>
        <f>'RESUMEN TOTAL'!Q430</f>
        <v>0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>
        <f>'RESUMEN TOTAL'!X430</f>
        <v>0</v>
      </c>
      <c r="R341" s="70">
        <f>'RESUMEN TOTAL'!Y430</f>
        <v>0</v>
      </c>
      <c r="S341" s="70">
        <f>'RESUMEN TOTAL'!Z430</f>
        <v>0</v>
      </c>
      <c r="T341" s="70">
        <f>'RESUMEN TOTAL'!AA430</f>
        <v>0</v>
      </c>
      <c r="U341" s="70">
        <f>'RESUMEN TOTAL'!AB430</f>
        <v>0</v>
      </c>
      <c r="V341" s="70">
        <f>'RESUMEN TOTAL'!AC430</f>
        <v>0</v>
      </c>
      <c r="W341" s="70">
        <f>'RESUMEN TOTAL'!AD430</f>
        <v>0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>
        <f>'RESUMEN TOTAL'!Q434</f>
        <v>0</v>
      </c>
      <c r="K345" s="70">
        <f>'RESUMEN TOTAL'!R434</f>
        <v>0</v>
      </c>
      <c r="L345" s="70">
        <f>'RESUMEN TOTAL'!S434</f>
        <v>0</v>
      </c>
      <c r="M345" s="70">
        <f>'RESUMEN TOTAL'!T434</f>
        <v>0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>
        <f>'RESUMEN TOTAL'!Q436</f>
        <v>0</v>
      </c>
      <c r="K347" s="70">
        <f>'RESUMEN TOTAL'!R436</f>
        <v>0</v>
      </c>
      <c r="L347" s="70">
        <f>'RESUMEN TOTAL'!S436</f>
        <v>0</v>
      </c>
      <c r="M347" s="70">
        <f>'RESUMEN TOTAL'!T436</f>
        <v>0</v>
      </c>
      <c r="N347" s="70">
        <f>'RESUMEN TOTAL'!U436</f>
        <v>0</v>
      </c>
      <c r="O347" s="70">
        <f>'RESUMEN TOTAL'!V436</f>
        <v>0</v>
      </c>
      <c r="P347" s="70">
        <f>'RESUMEN TOTAL'!W436</f>
        <v>0</v>
      </c>
      <c r="Q347" s="70">
        <f>'RESUMEN TOTAL'!X436</f>
        <v>0</v>
      </c>
      <c r="R347" s="70">
        <f>'RESUMEN TOTAL'!Y436</f>
        <v>0</v>
      </c>
      <c r="S347" s="70">
        <f>'RESUMEN TOTAL'!Z436</f>
        <v>0</v>
      </c>
      <c r="T347" s="70">
        <f>'RESUMEN TOTAL'!AA436</f>
        <v>0</v>
      </c>
      <c r="U347" s="70">
        <f>'RESUMEN TOTAL'!AB436</f>
        <v>0</v>
      </c>
      <c r="V347" s="70">
        <f>'RESUMEN TOTAL'!AC436</f>
        <v>0</v>
      </c>
      <c r="W347" s="70">
        <f>'RESUMEN TOTAL'!AD436</f>
        <v>0</v>
      </c>
      <c r="X347" s="70">
        <f>'RESUMEN TOTAL'!AE436</f>
        <v>0</v>
      </c>
      <c r="Y347" s="70">
        <f>'RESUMEN TOTAL'!AF436</f>
        <v>0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>
        <f>'RESUMEN TOTAL'!Q441</f>
        <v>0</v>
      </c>
      <c r="K352" s="70">
        <f>'RESUMEN TOTAL'!R441</f>
        <v>0</v>
      </c>
      <c r="L352" s="70">
        <f>'RESUMEN TOTAL'!S441</f>
        <v>0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>
        <f>'RESUMEN TOTAL'!X441</f>
        <v>0</v>
      </c>
      <c r="R352" s="70">
        <f>'RESUMEN TOTAL'!Y441</f>
        <v>0</v>
      </c>
      <c r="S352" s="70">
        <f>'RESUMEN TOTAL'!Z441</f>
        <v>0</v>
      </c>
      <c r="T352" s="70">
        <f>'RESUMEN TOTAL'!AA441</f>
        <v>0</v>
      </c>
      <c r="U352" s="70">
        <f>'RESUMEN TOTAL'!AB441</f>
        <v>0</v>
      </c>
      <c r="V352" s="70">
        <f>'RESUMEN TOTAL'!AC441</f>
        <v>0</v>
      </c>
      <c r="W352" s="70">
        <f>'RESUMEN TOTAL'!AD441</f>
        <v>0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>
        <f>'RESUMEN TOTAL'!Q442</f>
        <v>0</v>
      </c>
      <c r="K353" s="70">
        <f>'RESUMEN TOTAL'!R442</f>
        <v>0</v>
      </c>
      <c r="L353" s="70">
        <f>'RESUMEN TOTAL'!S442</f>
        <v>0</v>
      </c>
      <c r="M353" s="70">
        <f>'RESUMEN TOTAL'!T442</f>
        <v>0</v>
      </c>
      <c r="N353" s="70">
        <f>'RESUMEN TOTAL'!U442</f>
        <v>0</v>
      </c>
      <c r="O353" s="70">
        <f>'RESUMEN TOTAL'!V442</f>
        <v>0</v>
      </c>
      <c r="P353" s="70">
        <f>'RESUMEN TOTAL'!W442</f>
        <v>0</v>
      </c>
      <c r="Q353" s="70">
        <f>'RESUMEN TOTAL'!X442</f>
        <v>0</v>
      </c>
      <c r="R353" s="70">
        <f>'RESUMEN TOTAL'!Y442</f>
        <v>0</v>
      </c>
      <c r="S353" s="70">
        <f>'RESUMEN TOTAL'!Z442</f>
        <v>0</v>
      </c>
      <c r="T353" s="70">
        <f>'RESUMEN TOTAL'!AA442</f>
        <v>0</v>
      </c>
      <c r="U353" s="70">
        <f>'RESUMEN TOTAL'!AB442</f>
        <v>0</v>
      </c>
      <c r="V353" s="70">
        <f>'RESUMEN TOTAL'!AC442</f>
        <v>0</v>
      </c>
      <c r="W353" s="70">
        <f>'RESUMEN TOTAL'!AD442</f>
        <v>0</v>
      </c>
      <c r="X353" s="70">
        <f>'RESUMEN TOTAL'!AE442</f>
        <v>0</v>
      </c>
      <c r="Y353" s="70">
        <f>'RESUMEN TOTAL'!AF442</f>
        <v>0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>
        <f>'RESUMEN TOTAL'!X446</f>
        <v>0</v>
      </c>
      <c r="R357" s="70">
        <f>'RESUMEN TOTAL'!Y446</f>
        <v>0</v>
      </c>
      <c r="S357" s="70">
        <f>'RESUMEN TOTAL'!Z446</f>
        <v>0</v>
      </c>
      <c r="T357" s="70">
        <f>'RESUMEN TOTAL'!AA446</f>
        <v>0</v>
      </c>
      <c r="U357" s="70">
        <f>'RESUMEN TOTAL'!AB446</f>
        <v>0</v>
      </c>
      <c r="V357" s="70">
        <f>'RESUMEN TOTAL'!AC446</f>
        <v>0</v>
      </c>
      <c r="W357" s="70">
        <f>'RESUMEN TOTAL'!AD446</f>
        <v>0</v>
      </c>
      <c r="X357" s="70">
        <f>'RESUMEN TOTAL'!AE446</f>
        <v>0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>
        <f>'RESUMEN TOTAL'!X447</f>
        <v>0</v>
      </c>
      <c r="R358" s="70">
        <f>'RESUMEN TOTAL'!Y447</f>
        <v>0</v>
      </c>
      <c r="S358" s="70">
        <f>'RESUMEN TOTAL'!Z447</f>
        <v>0</v>
      </c>
      <c r="T358" s="70">
        <f>'RESUMEN TOTAL'!AA447</f>
        <v>0</v>
      </c>
      <c r="U358" s="70">
        <f>'RESUMEN TOTAL'!AB447</f>
        <v>0</v>
      </c>
      <c r="V358" s="70">
        <f>'RESUMEN TOTAL'!AC447</f>
        <v>0</v>
      </c>
      <c r="W358" s="70">
        <f>'RESUMEN TOTAL'!AD447</f>
        <v>0</v>
      </c>
      <c r="X358" s="70">
        <f>'RESUMEN TOTAL'!AE447</f>
        <v>0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>
        <f>'RESUMEN TOTAL'!Q448</f>
        <v>0</v>
      </c>
      <c r="K359" s="70">
        <f>'RESUMEN TOTAL'!R448</f>
        <v>0</v>
      </c>
      <c r="L359" s="70">
        <f>'RESUMEN TOTAL'!S448</f>
        <v>0</v>
      </c>
      <c r="M359" s="70">
        <f>'RESUMEN TOTAL'!T448</f>
        <v>0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>
        <f>'RESUMEN TOTAL'!Q456</f>
        <v>0</v>
      </c>
      <c r="K361" s="70">
        <f>'RESUMEN TOTAL'!R456</f>
        <v>0</v>
      </c>
      <c r="L361" s="70">
        <f>'RESUMEN TOTAL'!S456</f>
        <v>0</v>
      </c>
      <c r="M361" s="70">
        <f>'RESUMEN TOTAL'!T456</f>
        <v>0</v>
      </c>
      <c r="N361" s="70">
        <f>'RESUMEN TOTAL'!U456</f>
        <v>0</v>
      </c>
      <c r="O361" s="70">
        <f>'RESUMEN TOTAL'!V456</f>
        <v>0</v>
      </c>
      <c r="P361" s="70">
        <f>'RESUMEN TOTAL'!W456</f>
        <v>0</v>
      </c>
      <c r="Q361" s="70">
        <f>'RESUMEN TOTAL'!X456</f>
        <v>0</v>
      </c>
      <c r="R361" s="70">
        <f>'RESUMEN TOTAL'!Y456</f>
        <v>0</v>
      </c>
      <c r="S361" s="70">
        <f>'RESUMEN TOTAL'!Z456</f>
        <v>0</v>
      </c>
      <c r="T361" s="70">
        <f>'RESUMEN TOTAL'!AA456</f>
        <v>0</v>
      </c>
      <c r="U361" s="70">
        <f>'RESUMEN TOTAL'!AB456</f>
        <v>0</v>
      </c>
      <c r="V361" s="70">
        <f>'RESUMEN TOTAL'!AC456</f>
        <v>0</v>
      </c>
      <c r="W361" s="70">
        <f>'RESUMEN TOTAL'!AD456</f>
        <v>0</v>
      </c>
      <c r="X361" s="70">
        <f>'RESUMEN TOTAL'!AE456</f>
        <v>0</v>
      </c>
      <c r="Y361" s="70">
        <f>'RESUMEN TOTAL'!AF456</f>
        <v>0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>
        <f>'RESUMEN TOTAL'!Q457</f>
        <v>0</v>
      </c>
      <c r="K362" s="70">
        <f>'RESUMEN TOTAL'!R457</f>
        <v>0</v>
      </c>
      <c r="L362" s="70">
        <f>'RESUMEN TOTAL'!S457</f>
        <v>0</v>
      </c>
      <c r="M362" s="70">
        <f>'RESUMEN TOTAL'!T457</f>
        <v>0</v>
      </c>
      <c r="N362" s="70">
        <f>'RESUMEN TOTAL'!U457</f>
        <v>0</v>
      </c>
      <c r="O362" s="70">
        <f>'RESUMEN TOTAL'!V457</f>
        <v>0</v>
      </c>
      <c r="P362" s="70">
        <f>'RESUMEN TOTAL'!W457</f>
        <v>0</v>
      </c>
      <c r="Q362" s="70">
        <f>'RESUMEN TOTAL'!X457</f>
        <v>0</v>
      </c>
      <c r="R362" s="70">
        <f>'RESUMEN TOTAL'!Y457</f>
        <v>0</v>
      </c>
      <c r="S362" s="70">
        <f>'RESUMEN TOTAL'!Z457</f>
        <v>0</v>
      </c>
      <c r="T362" s="70">
        <f>'RESUMEN TOTAL'!AA457</f>
        <v>0</v>
      </c>
      <c r="U362" s="70">
        <f>'RESUMEN TOTAL'!AB457</f>
        <v>0</v>
      </c>
      <c r="V362" s="70">
        <f>'RESUMEN TOTAL'!AC457</f>
        <v>0</v>
      </c>
      <c r="W362" s="70">
        <f>'RESUMEN TOTAL'!AD457</f>
        <v>0</v>
      </c>
      <c r="X362" s="70">
        <f>'RESUMEN TOTAL'!AE457</f>
        <v>0</v>
      </c>
      <c r="Y362" s="70">
        <f>'RESUMEN TOTAL'!AF457</f>
        <v>0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>
        <f>'RESUMEN TOTAL'!Q458</f>
        <v>0</v>
      </c>
      <c r="K363" s="70">
        <f>'RESUMEN TOTAL'!R458</f>
        <v>0</v>
      </c>
      <c r="L363" s="70">
        <f>'RESUMEN TOTAL'!S458</f>
        <v>0</v>
      </c>
      <c r="M363" s="70">
        <f>'RESUMEN TOTAL'!T458</f>
        <v>0</v>
      </c>
      <c r="N363" s="70">
        <f>'RESUMEN TOTAL'!U458</f>
        <v>0</v>
      </c>
      <c r="O363" s="70">
        <f>'RESUMEN TOTAL'!V458</f>
        <v>0</v>
      </c>
      <c r="P363" s="70">
        <f>'RESUMEN TOTAL'!W458</f>
        <v>0</v>
      </c>
      <c r="Q363" s="70">
        <f>'RESUMEN TOTAL'!X458</f>
        <v>0</v>
      </c>
      <c r="R363" s="70">
        <f>'RESUMEN TOTAL'!Y458</f>
        <v>0</v>
      </c>
      <c r="S363" s="70">
        <f>'RESUMEN TOTAL'!Z458</f>
        <v>0</v>
      </c>
      <c r="T363" s="70">
        <f>'RESUMEN TOTAL'!AA458</f>
        <v>0</v>
      </c>
      <c r="U363" s="70">
        <f>'RESUMEN TOTAL'!AB458</f>
        <v>0</v>
      </c>
      <c r="V363" s="70">
        <f>'RESUMEN TOTAL'!AC458</f>
        <v>0</v>
      </c>
      <c r="W363" s="70">
        <f>'RESUMEN TOTAL'!AD458</f>
        <v>0</v>
      </c>
      <c r="X363" s="70">
        <f>'RESUMEN TOTAL'!AE458</f>
        <v>0</v>
      </c>
      <c r="Y363" s="70">
        <f>'RESUMEN TOTAL'!AF458</f>
        <v>0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>
        <f>'RESUMEN TOTAL'!AC461</f>
        <v>0</v>
      </c>
      <c r="W364" s="70">
        <f>'RESUMEN TOTAL'!AD461</f>
        <v>0</v>
      </c>
      <c r="X364" s="70">
        <f>'RESUMEN TOTAL'!AE461</f>
        <v>0</v>
      </c>
      <c r="Y364" s="70">
        <f>'RESUMEN TOTAL'!AF461</f>
        <v>0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>
        <f>'RESUMEN TOTAL'!AD462</f>
        <v>0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>
        <f>'RESUMEN TOTAL'!R481</f>
        <v>0</v>
      </c>
      <c r="L378" s="70">
        <f>'RESUMEN TOTAL'!S481</f>
        <v>0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>
        <f>'RESUMEN TOTAL'!R482</f>
        <v>0</v>
      </c>
      <c r="L379" s="70">
        <f>'RESUMEN TOTAL'!S482</f>
        <v>0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>
        <f>'RESUMEN TOTAL'!R483</f>
        <v>0</v>
      </c>
      <c r="L380" s="70">
        <f>'RESUMEN TOTAL'!S483</f>
        <v>0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>
        <f>'RESUMEN TOTAL'!R484</f>
        <v>0</v>
      </c>
      <c r="L381" s="70">
        <f>'RESUMEN TOTAL'!S484</f>
        <v>0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>
        <f>'RESUMEN TOTAL'!R485</f>
        <v>0</v>
      </c>
      <c r="L382" s="70">
        <f>'RESUMEN TOTAL'!S485</f>
        <v>0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>
        <f>'RESUMEN TOTAL'!AE506</f>
        <v>0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>
        <f>'RESUMEN TOTAL'!Q510</f>
        <v>0</v>
      </c>
      <c r="K407" s="70">
        <f>'RESUMEN TOTAL'!R510</f>
        <v>0</v>
      </c>
      <c r="L407" s="70">
        <f>'RESUMEN TOTAL'!S510</f>
        <v>0</v>
      </c>
      <c r="M407" s="70">
        <f>'RESUMEN TOTAL'!T510</f>
        <v>0</v>
      </c>
      <c r="N407" s="70">
        <f>'RESUMEN TOTAL'!U510</f>
        <v>0</v>
      </c>
      <c r="O407" s="70">
        <f>'RESUMEN TOTAL'!V510</f>
        <v>0</v>
      </c>
      <c r="P407" s="70">
        <f>'RESUMEN TOTAL'!W510</f>
        <v>0</v>
      </c>
      <c r="Q407" s="70">
        <f>'RESUMEN TOTAL'!X510</f>
        <v>0</v>
      </c>
      <c r="R407" s="70">
        <f>'RESUMEN TOTAL'!Y510</f>
        <v>0</v>
      </c>
      <c r="S407" s="70">
        <f>'RESUMEN TOTAL'!Z510</f>
        <v>0</v>
      </c>
      <c r="T407" s="70">
        <f>'RESUMEN TOTAL'!AA510</f>
        <v>0</v>
      </c>
      <c r="U407" s="70">
        <f>'RESUMEN TOTAL'!AB510</f>
        <v>0</v>
      </c>
      <c r="V407" s="70">
        <f>'RESUMEN TOTAL'!AC510</f>
        <v>0</v>
      </c>
      <c r="W407" s="70">
        <f>'RESUMEN TOTAL'!AD510</f>
        <v>0</v>
      </c>
      <c r="X407" s="70">
        <f>'RESUMEN TOTAL'!AE510</f>
        <v>0</v>
      </c>
      <c r="Y407" s="70">
        <f>'RESUMEN TOTAL'!AF510</f>
        <v>0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>
        <f>'RESUMEN TOTAL'!Q520</f>
        <v>0</v>
      </c>
      <c r="K417" s="70">
        <f>'RESUMEN TOTAL'!R520</f>
        <v>0</v>
      </c>
      <c r="L417" s="70">
        <f>'RESUMEN TOTAL'!S520</f>
        <v>0</v>
      </c>
      <c r="M417" s="70">
        <f>'RESUMEN TOTAL'!T520</f>
        <v>0</v>
      </c>
      <c r="N417" s="70">
        <f>'RESUMEN TOTAL'!U520</f>
        <v>0</v>
      </c>
      <c r="O417" s="70">
        <f>'RESUMEN TOTAL'!V520</f>
        <v>0</v>
      </c>
      <c r="P417" s="70">
        <f>'RESUMEN TOTAL'!W520</f>
        <v>0</v>
      </c>
      <c r="Q417" s="70">
        <f>'RESUMEN TOTAL'!X520</f>
        <v>0</v>
      </c>
      <c r="R417" s="70">
        <f>'RESUMEN TOTAL'!Y520</f>
        <v>0</v>
      </c>
      <c r="S417" s="70">
        <f>'RESUMEN TOTAL'!Z520</f>
        <v>0</v>
      </c>
      <c r="T417" s="70">
        <f>'RESUMEN TOTAL'!AA520</f>
        <v>0</v>
      </c>
      <c r="U417" s="70">
        <f>'RESUMEN TOTAL'!AB520</f>
        <v>0</v>
      </c>
      <c r="V417" s="70">
        <f>'RESUMEN TOTAL'!AC520</f>
        <v>0</v>
      </c>
      <c r="W417" s="70">
        <f>'RESUMEN TOTAL'!AD520</f>
        <v>0</v>
      </c>
      <c r="X417" s="70">
        <f>'RESUMEN TOTAL'!AE520</f>
        <v>0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>
        <f>'RESUMEN TOTAL'!X539</f>
        <v>0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>
        <f>'RESUMEN TOTAL'!X542</f>
        <v>0</v>
      </c>
      <c r="R432" s="70">
        <f>'RESUMEN TOTAL'!Y542</f>
        <v>0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>
        <f>'RESUMEN TOTAL'!X543</f>
        <v>0</v>
      </c>
      <c r="R433" s="70">
        <f>'RESUMEN TOTAL'!Y543</f>
        <v>0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>
        <f>'RESUMEN TOTAL'!X544</f>
        <v>0</v>
      </c>
      <c r="R434" s="70">
        <f>'RESUMEN TOTAL'!Y544</f>
        <v>0</v>
      </c>
      <c r="S434" s="70">
        <f>'RESUMEN TOTAL'!Z544</f>
        <v>0</v>
      </c>
      <c r="T434" s="70">
        <f>'RESUMEN TOTAL'!AA544</f>
        <v>0</v>
      </c>
      <c r="U434" s="70">
        <f>'RESUMEN TOTAL'!AB544</f>
        <v>0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>
        <f>'RESUMEN TOTAL'!X545</f>
        <v>0</v>
      </c>
      <c r="R435" s="70">
        <f>'RESUMEN TOTAL'!Y545</f>
        <v>0</v>
      </c>
      <c r="S435" s="70">
        <f>'RESUMEN TOTAL'!Z545</f>
        <v>0</v>
      </c>
      <c r="T435" s="70">
        <f>'RESUMEN TOTAL'!AA545</f>
        <v>0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>
        <f>'RESUMEN TOTAL'!Q549</f>
        <v>0</v>
      </c>
      <c r="K436" s="70">
        <f>'RESUMEN TOTAL'!R549</f>
        <v>0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>
        <f>'RESUMEN TOTAL'!X549</f>
        <v>0</v>
      </c>
      <c r="R436" s="70">
        <f>'RESUMEN TOTAL'!Y549</f>
        <v>0</v>
      </c>
      <c r="S436" s="70">
        <f>'RESUMEN TOTAL'!Z549</f>
        <v>0</v>
      </c>
      <c r="T436" s="70">
        <f>'RESUMEN TOTAL'!AA549</f>
        <v>0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>
        <f>'RESUMEN TOTAL'!Q550</f>
        <v>0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>
        <f>'RESUMEN TOTAL'!Q551</f>
        <v>0</v>
      </c>
      <c r="K438" s="70">
        <f>'RESUMEN TOTAL'!R551</f>
        <v>0</v>
      </c>
      <c r="L438" s="70">
        <f>'RESUMEN TOTAL'!S551</f>
        <v>0</v>
      </c>
      <c r="M438" s="70">
        <f>'RESUMEN TOTAL'!T551</f>
        <v>0</v>
      </c>
      <c r="N438" s="70">
        <f>'RESUMEN TOTAL'!U551</f>
        <v>0</v>
      </c>
      <c r="O438" s="70">
        <f>'RESUMEN TOTAL'!V551</f>
        <v>0</v>
      </c>
      <c r="P438" s="70">
        <f>'RESUMEN TOTAL'!W551</f>
        <v>0</v>
      </c>
      <c r="Q438" s="70">
        <f>'RESUMEN TOTAL'!X551</f>
        <v>0</v>
      </c>
      <c r="R438" s="70">
        <f>'RESUMEN TOTAL'!Y551</f>
        <v>0</v>
      </c>
      <c r="S438" s="70">
        <f>'RESUMEN TOTAL'!Z551</f>
        <v>0</v>
      </c>
      <c r="T438" s="70">
        <f>'RESUMEN TOTAL'!AA551</f>
        <v>0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>
        <f>'RESUMEN TOTAL'!Q552</f>
        <v>0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>
        <f>'RESUMEN TOTAL'!Q559</f>
        <v>0</v>
      </c>
      <c r="K445" s="70">
        <f>'RESUMEN TOTAL'!R559</f>
        <v>0</v>
      </c>
      <c r="L445" s="70">
        <f>'RESUMEN TOTAL'!S559</f>
        <v>0</v>
      </c>
      <c r="M445" s="70">
        <f>'RESUMEN TOTAL'!T559</f>
        <v>0</v>
      </c>
      <c r="N445" s="70">
        <f>'RESUMEN TOTAL'!U559</f>
        <v>0</v>
      </c>
      <c r="O445" s="70">
        <f>'RESUMEN TOTAL'!V559</f>
        <v>0</v>
      </c>
      <c r="P445" s="70">
        <f>'RESUMEN TOTAL'!W559</f>
        <v>0</v>
      </c>
      <c r="Q445" s="70">
        <f>'RESUMEN TOTAL'!X559</f>
        <v>0</v>
      </c>
      <c r="R445" s="70">
        <f>'RESUMEN TOTAL'!Y559</f>
        <v>0</v>
      </c>
      <c r="S445" s="70">
        <f>'RESUMEN TOTAL'!Z559</f>
        <v>0</v>
      </c>
      <c r="T445" s="70">
        <f>'RESUMEN TOTAL'!AA559</f>
        <v>0</v>
      </c>
      <c r="U445" s="70">
        <f>'RESUMEN TOTAL'!AB559</f>
        <v>0</v>
      </c>
      <c r="V445" s="70">
        <f>'RESUMEN TOTAL'!AC559</f>
        <v>0</v>
      </c>
      <c r="W445" s="70">
        <f>'RESUMEN TOTAL'!AD559</f>
        <v>0</v>
      </c>
      <c r="X445" s="70">
        <f>'RESUMEN TOTAL'!AE559</f>
        <v>0</v>
      </c>
      <c r="Y445" s="70">
        <f>'RESUMEN TOTAL'!AF559</f>
        <v>0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>
        <f>'RESUMEN TOTAL'!X564</f>
        <v>0</v>
      </c>
      <c r="R450" s="70">
        <f>'RESUMEN TOTAL'!Y564</f>
        <v>0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>
        <f>'RESUMEN TOTAL'!Q577</f>
        <v>0</v>
      </c>
      <c r="K460" s="70">
        <f>'RESUMEN TOTAL'!R577</f>
        <v>0</v>
      </c>
      <c r="L460" s="70">
        <f>'RESUMEN TOTAL'!S577</f>
        <v>0</v>
      </c>
      <c r="M460" s="70">
        <f>'RESUMEN TOTAL'!T577</f>
        <v>0</v>
      </c>
      <c r="N460" s="70">
        <f>'RESUMEN TOTAL'!U577</f>
        <v>0</v>
      </c>
      <c r="O460" s="70">
        <f>'RESUMEN TOTAL'!V577</f>
        <v>0</v>
      </c>
      <c r="P460" s="70">
        <f>'RESUMEN TOTAL'!W577</f>
        <v>0</v>
      </c>
      <c r="Q460" s="70">
        <f>'RESUMEN TOTAL'!X577</f>
        <v>0</v>
      </c>
      <c r="R460" s="70">
        <f>'RESUMEN TOTAL'!Y577</f>
        <v>0</v>
      </c>
      <c r="S460" s="70">
        <f>'RESUMEN TOTAL'!Z577</f>
        <v>0</v>
      </c>
      <c r="T460" s="70">
        <f>'RESUMEN TOTAL'!AA577</f>
        <v>0</v>
      </c>
      <c r="U460" s="70">
        <f>'RESUMEN TOTAL'!AB577</f>
        <v>0</v>
      </c>
      <c r="V460" s="70">
        <f>'RESUMEN TOTAL'!AC577</f>
        <v>0</v>
      </c>
      <c r="W460" s="70">
        <f>'RESUMEN TOTAL'!AD577</f>
        <v>0</v>
      </c>
      <c r="X460" s="70">
        <f>'RESUMEN TOTAL'!AE577</f>
        <v>0</v>
      </c>
      <c r="Y460" s="70">
        <f>'RESUMEN TOTAL'!AF577</f>
        <v>0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AF7" sqref="AF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50</v>
      </c>
      <c r="H3" s="46">
        <v>0</v>
      </c>
      <c r="I3" s="46">
        <v>0</v>
      </c>
      <c r="J3" s="46">
        <f>COUNTIFS('RESUMEN TOTAL'!Q8:Q689,"=APAGADO",'RESUMEN TOTAL'!C8:C689,"=BONOMO")</f>
        <v>0</v>
      </c>
      <c r="K3" s="46">
        <f>COUNTIFS('RESUMEN TOTAL'!R8:R689,"=APAGADO",'RESUMEN TOTAL'!C8:C689,"=BONOMO")</f>
        <v>0</v>
      </c>
      <c r="L3" s="46">
        <v>0</v>
      </c>
      <c r="M3" s="46">
        <v>0</v>
      </c>
      <c r="N3" s="46">
        <f>COUNTIFS('RESUMEN TOTAL'!U8:U689,"=APAGADO",'RESUMEN TOTAL'!C8:C689,"=BONOMO")</f>
        <v>0</v>
      </c>
      <c r="O3" s="46">
        <f>COUNTIFS('RESUMEN TOTAL'!V8:V689,"=APAGADO",'RESUMEN TOTAL'!C8:C689,"=BONOMO")</f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0</v>
      </c>
      <c r="R3" s="46">
        <f>COUNTIFS('RESUMEN TOTAL'!Y8:Y689,"=APAGADO",'RESUMEN TOTAL'!C8:C689,"=BONOMO")</f>
        <v>0</v>
      </c>
      <c r="S3" s="46">
        <f>COUNTIFS('RESUMEN TOTAL'!Z8:Z689,"=APAGADO",'RESUMEN TOTAL'!C8:C689,"=BONOMO")</f>
        <v>0</v>
      </c>
      <c r="T3" s="46">
        <f>COUNTIFS('RESUMEN TOTAL'!AA8:AA689,"=APAGADO",'RESUMEN TOTAL'!C8:C689,"=BONOMO")</f>
        <v>0</v>
      </c>
      <c r="U3" s="46">
        <f>COUNTIFS('RESUMEN TOTAL'!AB8:AB689,"=APAGADO",'RESUMEN TOTAL'!C8:C689,"=BONOMO")</f>
        <v>0</v>
      </c>
      <c r="V3" s="46">
        <f>COUNTIFS('RESUMEN TOTAL'!AC8:AC689,"=APAGADO",'RESUMEN TOTAL'!C8:C689,"=BONOMO")</f>
        <v>0</v>
      </c>
      <c r="W3" s="46">
        <v>0</v>
      </c>
      <c r="X3" s="46">
        <f>COUNTIFS('RESUMEN TOTAL'!AE8:AE689,"=APAGADO",'RESUMEN TOTAL'!C8:C689,"=BONOMO")</f>
        <v>0</v>
      </c>
      <c r="Y3" s="46">
        <f>COUNTIFS('RESUMEN TOTAL'!AF8:AF689,"=APAGADO",'RESUMEN TOTAL'!C8:C689,"=BONOMO")</f>
        <v>0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f t="shared" si="0"/>
        <v>0</v>
      </c>
      <c r="J4" s="50">
        <v>0</v>
      </c>
      <c r="K4" s="50">
        <f t="shared" si="0"/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61</v>
      </c>
      <c r="G5" s="46">
        <f>COUNTIFS('RESUMEN TOTAL'!N8:N689,"=APAGADO",'RESUMEN TOTAL'!C8:C689,"=COSEIDI")</f>
        <v>62</v>
      </c>
      <c r="H5" s="46">
        <v>0</v>
      </c>
      <c r="I5" s="46">
        <f>COUNTIFS('RESUMEN TOTAL'!P10:P691,"=APAGADO",'RESUMEN TOTAL'!C10:C691,"=COSEIDI")</f>
        <v>54</v>
      </c>
      <c r="J5" s="46">
        <f>COUNTIFS('RESUMEN TOTAL'!Q10:Q691,"=APAGADO",'RESUMEN TOTAL'!C10:C691,"=COSEIDI")</f>
        <v>0</v>
      </c>
      <c r="K5" s="46">
        <f>COUNTIFS('RESUMEN TOTAL'!R10:R691,"=APAGADO",'RESUMEN TOTAL'!C10:C691,"=COSEIDI")</f>
        <v>0</v>
      </c>
      <c r="L5" s="46">
        <f>COUNTIFS('RESUMEN TOTAL'!S10:S691,"=APAGADO",'RESUMEN TOTAL'!C10:C691,"=COSEIDI")</f>
        <v>0</v>
      </c>
      <c r="M5" s="46">
        <v>0</v>
      </c>
      <c r="N5" s="46">
        <f>COUNTIFS('RESUMEN TOTAL'!U10:U691,"=APAGADO",'RESUMEN TOTAL'!C10:C691,"=COSEIDI")</f>
        <v>0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0</v>
      </c>
      <c r="R5" s="46">
        <f>COUNTIFS('RESUMEN TOTAL'!Y10:Y691,"=APAGADO",'RESUMEN TOTAL'!C10:C691,"=COSEIDI")</f>
        <v>0</v>
      </c>
      <c r="S5" s="46">
        <f>COUNTIFS('RESUMEN TOTAL'!Z10:Z691,"=APAGADO",'RESUMEN TOTAL'!C10:C691,"=COSEIDI")</f>
        <v>0</v>
      </c>
      <c r="T5" s="46">
        <v>0</v>
      </c>
      <c r="U5" s="46">
        <v>0</v>
      </c>
      <c r="V5" s="46">
        <f>COUNTIFS('RESUMEN TOTAL'!AC10:AC691,"=APAGADO",'RESUMEN TOTAL'!C10:C691,"=COSEIDI")</f>
        <v>0</v>
      </c>
      <c r="W5" s="46">
        <f>COUNTIFS('RESUMEN TOTAL'!AD10:AD691,"=APAGADO",'RESUMEN TOTAL'!C10:C691,"=COSEIDI")</f>
        <v>0</v>
      </c>
      <c r="X5" s="46">
        <f>COUNTIFS('RESUMEN TOTAL'!AE10:AE691,"=APAGADO",'RESUMEN TOTAL'!C10:C691,"=COSEIDI")</f>
        <v>0</v>
      </c>
      <c r="Y5" s="46">
        <f>COUNTIFS('RESUMEN TOTAL'!AF10:AF691,"=APAGADO",'RESUMEN TOTAL'!C10:C691,"=COSEIDI")</f>
        <v>0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0.22962962962962963</v>
      </c>
      <c r="H6" s="50">
        <v>0</v>
      </c>
      <c r="I6" s="50">
        <v>0</v>
      </c>
      <c r="J6" s="50">
        <v>0</v>
      </c>
      <c r="K6" s="50">
        <f t="shared" ref="K6:AH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2026-01-05T10:39:57Z</dcterms:modified>
</cp:coreProperties>
</file>