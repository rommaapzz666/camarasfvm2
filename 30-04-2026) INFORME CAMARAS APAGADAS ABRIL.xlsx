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C4238EBB-5BFA-46B6-BDB2-5446268D07D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1" i="24" l="1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O148" i="2"/>
  <c r="Q148" i="2"/>
  <c r="E86" i="24"/>
  <c r="L3" i="25"/>
  <c r="E75" i="24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148" i="2" l="1"/>
  <c r="D327" i="24"/>
  <c r="D328" i="24" s="1"/>
  <c r="D340" i="24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522" i="2"/>
  <c r="O522" i="2"/>
  <c r="B4" i="25"/>
  <c r="C219" i="24" s="1"/>
  <c r="B2" i="25"/>
  <c r="AI4" i="25" s="1"/>
  <c r="Q425" i="2"/>
  <c r="O425" i="2"/>
  <c r="Q440" i="2"/>
  <c r="O440" i="2"/>
  <c r="Q576" i="2"/>
  <c r="O576" i="2"/>
  <c r="Q347" i="2"/>
  <c r="O347" i="2"/>
  <c r="Q348" i="2"/>
  <c r="O348" i="2"/>
  <c r="O344" i="2"/>
  <c r="Q344" i="2"/>
  <c r="Q349" i="2"/>
  <c r="O349" i="2"/>
  <c r="Q111" i="2"/>
  <c r="O111" i="2"/>
  <c r="Q11" i="2"/>
  <c r="O11" i="2"/>
  <c r="Q372" i="2"/>
  <c r="O372" i="2"/>
  <c r="Q131" i="2"/>
  <c r="O131" i="2"/>
  <c r="Q368" i="2"/>
  <c r="O368" i="2"/>
  <c r="Q205" i="2"/>
  <c r="O205" i="2"/>
  <c r="Q23" i="2"/>
  <c r="O23" i="2"/>
  <c r="Q382" i="2"/>
  <c r="O382" i="2"/>
  <c r="Q180" i="2"/>
  <c r="O180" i="2"/>
  <c r="Q24" i="2"/>
  <c r="O24" i="2"/>
  <c r="Q461" i="2"/>
  <c r="O461" i="2"/>
  <c r="Q261" i="2"/>
  <c r="O261" i="2"/>
  <c r="Q167" i="2"/>
  <c r="O167" i="2"/>
  <c r="Q561" i="2"/>
  <c r="O561" i="2"/>
  <c r="Q562" i="2"/>
  <c r="O562" i="2"/>
  <c r="Q260" i="2"/>
  <c r="O260" i="2"/>
  <c r="Q412" i="2"/>
  <c r="O412" i="2"/>
  <c r="Q65" i="2"/>
  <c r="O65" i="2"/>
  <c r="Q66" i="2"/>
  <c r="O66" i="2"/>
  <c r="Q462" i="2"/>
  <c r="O462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522" i="2"/>
  <c r="R440" i="2"/>
  <c r="R425" i="2"/>
  <c r="R344" i="2"/>
  <c r="R349" i="2"/>
  <c r="R576" i="2"/>
  <c r="R348" i="2"/>
  <c r="R347" i="2"/>
  <c r="R372" i="2"/>
  <c r="R111" i="2"/>
  <c r="R11" i="2"/>
  <c r="R131" i="2"/>
  <c r="R23" i="2"/>
  <c r="R205" i="2"/>
  <c r="R368" i="2"/>
  <c r="R180" i="2"/>
  <c r="R382" i="2"/>
  <c r="R24" i="2"/>
  <c r="R461" i="2"/>
  <c r="R261" i="2"/>
  <c r="R167" i="2"/>
  <c r="R561" i="2"/>
  <c r="R562" i="2"/>
  <c r="R260" i="2"/>
  <c r="R412" i="2"/>
  <c r="R66" i="2"/>
  <c r="R65" i="2"/>
  <c r="R462" i="2"/>
  <c r="D116" i="24" l="1"/>
  <c r="Q345" i="2"/>
  <c r="O345" i="2"/>
  <c r="Q346" i="2"/>
  <c r="O346" i="2"/>
  <c r="Q387" i="2"/>
  <c r="O387" i="2"/>
  <c r="R345" i="2" l="1"/>
  <c r="R346" i="2"/>
  <c r="R387" i="2"/>
  <c r="Q56" i="2"/>
  <c r="O56" i="2"/>
  <c r="Q223" i="2"/>
  <c r="O223" i="2"/>
  <c r="Q136" i="2"/>
  <c r="O136" i="2"/>
  <c r="Q413" i="2"/>
  <c r="O413" i="2"/>
  <c r="R223" i="2" l="1"/>
  <c r="R56" i="2"/>
  <c r="R136" i="2"/>
  <c r="R413" i="2"/>
  <c r="Q305" i="2" l="1"/>
  <c r="O305" i="2"/>
  <c r="Q185" i="2"/>
  <c r="Q184" i="2"/>
  <c r="O185" i="2"/>
  <c r="O184" i="2"/>
  <c r="Q132" i="2"/>
  <c r="O132" i="2"/>
  <c r="Q47" i="2"/>
  <c r="O47" i="2"/>
  <c r="Q48" i="2"/>
  <c r="O48" i="2"/>
  <c r="Q463" i="2"/>
  <c r="O463" i="2"/>
  <c r="Q41" i="2"/>
  <c r="O41" i="2"/>
  <c r="Q448" i="2"/>
  <c r="O448" i="2"/>
  <c r="Q42" i="2"/>
  <c r="Q40" i="2"/>
  <c r="O42" i="2"/>
  <c r="O40" i="2"/>
  <c r="Q85" i="2"/>
  <c r="Q84" i="2"/>
  <c r="Q67" i="2"/>
  <c r="O85" i="2"/>
  <c r="O84" i="2"/>
  <c r="O67" i="2"/>
  <c r="Q115" i="2"/>
  <c r="Q114" i="2"/>
  <c r="Q113" i="2"/>
  <c r="Q112" i="2"/>
  <c r="O115" i="2"/>
  <c r="O114" i="2"/>
  <c r="O113" i="2"/>
  <c r="O112" i="2"/>
  <c r="Q141" i="2"/>
  <c r="Q140" i="2"/>
  <c r="Q139" i="2"/>
  <c r="Q138" i="2"/>
  <c r="Q137" i="2"/>
  <c r="O141" i="2"/>
  <c r="O140" i="2"/>
  <c r="O139" i="2"/>
  <c r="O138" i="2"/>
  <c r="O137" i="2"/>
  <c r="Q169" i="2"/>
  <c r="Q168" i="2"/>
  <c r="O169" i="2"/>
  <c r="O168" i="2"/>
  <c r="Q231" i="2"/>
  <c r="Q230" i="2"/>
  <c r="Q229" i="2"/>
  <c r="Q228" i="2"/>
  <c r="O231" i="2"/>
  <c r="O230" i="2"/>
  <c r="O229" i="2"/>
  <c r="O228" i="2"/>
  <c r="Q309" i="2"/>
  <c r="Q308" i="2"/>
  <c r="O309" i="2"/>
  <c r="O308" i="2"/>
  <c r="Q321" i="2"/>
  <c r="Q320" i="2"/>
  <c r="O321" i="2"/>
  <c r="O320" i="2"/>
  <c r="Q373" i="2"/>
  <c r="O373" i="2"/>
  <c r="Q383" i="2"/>
  <c r="O383" i="2"/>
  <c r="Q388" i="2"/>
  <c r="O388" i="2"/>
  <c r="Q426" i="2"/>
  <c r="Q411" i="2"/>
  <c r="O426" i="2"/>
  <c r="O411" i="2"/>
  <c r="Q427" i="2"/>
  <c r="O427" i="2"/>
  <c r="O451" i="2"/>
  <c r="Q451" i="2"/>
  <c r="Q584" i="2"/>
  <c r="Q583" i="2"/>
  <c r="O584" i="2"/>
  <c r="O583" i="2"/>
  <c r="Q566" i="2"/>
  <c r="Q565" i="2"/>
  <c r="Q564" i="2"/>
  <c r="Q563" i="2"/>
  <c r="O566" i="2"/>
  <c r="O565" i="2"/>
  <c r="O564" i="2"/>
  <c r="O563" i="2"/>
  <c r="Q579" i="2"/>
  <c r="Q578" i="2"/>
  <c r="Q577" i="2"/>
  <c r="O577" i="2"/>
  <c r="O578" i="2"/>
  <c r="O579" i="2"/>
  <c r="Q471" i="2"/>
  <c r="Q470" i="2"/>
  <c r="Q469" i="2"/>
  <c r="Q468" i="2"/>
  <c r="Q467" i="2"/>
  <c r="Q466" i="2"/>
  <c r="Q465" i="2"/>
  <c r="Q464" i="2"/>
  <c r="Q449" i="2"/>
  <c r="O449" i="2"/>
  <c r="O470" i="2"/>
  <c r="O469" i="2"/>
  <c r="O468" i="2"/>
  <c r="O467" i="2"/>
  <c r="O466" i="2"/>
  <c r="O465" i="2"/>
  <c r="O464" i="2"/>
  <c r="O471" i="2"/>
  <c r="Q206" i="2"/>
  <c r="O206" i="2"/>
  <c r="Q12" i="2"/>
  <c r="O12" i="2"/>
  <c r="O582" i="2"/>
  <c r="Q433" i="2"/>
  <c r="Q434" i="2"/>
  <c r="O433" i="2"/>
  <c r="O434" i="2"/>
  <c r="Q186" i="2"/>
  <c r="O186" i="2"/>
  <c r="Q187" i="2"/>
  <c r="O187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590" i="2"/>
  <c r="O590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231" i="2"/>
  <c r="R228" i="2"/>
  <c r="R114" i="2"/>
  <c r="R565" i="2"/>
  <c r="R230" i="2"/>
  <c r="R305" i="2"/>
  <c r="R184" i="2"/>
  <c r="R185" i="2"/>
  <c r="R113" i="2"/>
  <c r="R132" i="2"/>
  <c r="R112" i="2"/>
  <c r="R563" i="2"/>
  <c r="R115" i="2"/>
  <c r="R141" i="2"/>
  <c r="R463" i="2"/>
  <c r="R47" i="2"/>
  <c r="R48" i="2"/>
  <c r="R466" i="2"/>
  <c r="R470" i="2"/>
  <c r="R138" i="2"/>
  <c r="R321" i="2"/>
  <c r="R309" i="2"/>
  <c r="R169" i="2"/>
  <c r="R467" i="2"/>
  <c r="R577" i="2"/>
  <c r="R84" i="2"/>
  <c r="R578" i="2"/>
  <c r="R383" i="2"/>
  <c r="R411" i="2"/>
  <c r="R139" i="2"/>
  <c r="R137" i="2"/>
  <c r="R426" i="2"/>
  <c r="R373" i="2"/>
  <c r="R41" i="2"/>
  <c r="R566" i="2"/>
  <c r="R465" i="2"/>
  <c r="R469" i="2"/>
  <c r="R579" i="2"/>
  <c r="R140" i="2"/>
  <c r="R85" i="2"/>
  <c r="R471" i="2"/>
  <c r="R564" i="2"/>
  <c r="R229" i="2"/>
  <c r="R40" i="2"/>
  <c r="R206" i="2"/>
  <c r="R449" i="2"/>
  <c r="R583" i="2"/>
  <c r="R427" i="2"/>
  <c r="R320" i="2"/>
  <c r="R308" i="2"/>
  <c r="R168" i="2"/>
  <c r="R67" i="2"/>
  <c r="R42" i="2"/>
  <c r="R448" i="2"/>
  <c r="R584" i="2"/>
  <c r="R464" i="2"/>
  <c r="R468" i="2"/>
  <c r="R388" i="2"/>
  <c r="R451" i="2"/>
  <c r="G6" i="25"/>
  <c r="AB6" i="25"/>
  <c r="W6" i="25"/>
  <c r="R12" i="2"/>
  <c r="R434" i="2"/>
  <c r="R433" i="2"/>
  <c r="R187" i="2"/>
  <c r="R186" i="2"/>
  <c r="R590" i="2"/>
  <c r="Q15" i="2"/>
  <c r="Q14" i="2"/>
  <c r="Q13" i="2"/>
  <c r="O15" i="2"/>
  <c r="O14" i="2"/>
  <c r="O13" i="2"/>
  <c r="Q181" i="2"/>
  <c r="O181" i="2"/>
  <c r="Q374" i="2"/>
  <c r="O374" i="2"/>
  <c r="Q472" i="2"/>
  <c r="O472" i="2"/>
  <c r="Q567" i="2"/>
  <c r="Q568" i="2"/>
  <c r="O567" i="2"/>
  <c r="O568" i="2"/>
  <c r="Q306" i="2"/>
  <c r="O306" i="2"/>
  <c r="Q208" i="2"/>
  <c r="Q209" i="2"/>
  <c r="Q207" i="2"/>
  <c r="O209" i="2"/>
  <c r="O208" i="2"/>
  <c r="O207" i="2"/>
  <c r="Q250" i="2"/>
  <c r="Q249" i="2"/>
  <c r="Q248" i="2"/>
  <c r="O250" i="2"/>
  <c r="O249" i="2"/>
  <c r="O24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568" i="2"/>
  <c r="R181" i="2"/>
  <c r="R15" i="2"/>
  <c r="R14" i="2"/>
  <c r="R13" i="2"/>
  <c r="R472" i="2"/>
  <c r="R374" i="2"/>
  <c r="R567" i="2"/>
  <c r="R207" i="2"/>
  <c r="R208" i="2"/>
  <c r="R250" i="2"/>
  <c r="R209" i="2"/>
  <c r="R306" i="2"/>
  <c r="R248" i="2"/>
  <c r="R249" i="2"/>
  <c r="Q264" i="2"/>
  <c r="Q263" i="2"/>
  <c r="Q262" i="2"/>
  <c r="O262" i="2"/>
  <c r="O263" i="2"/>
  <c r="O264" i="2"/>
  <c r="Y3" i="2"/>
  <c r="C69" i="24" s="1"/>
  <c r="D70" i="24" s="1"/>
  <c r="D71" i="24" s="1"/>
  <c r="D72" i="24" s="1"/>
  <c r="X3" i="2"/>
  <c r="C58" i="24" s="1"/>
  <c r="Q182" i="2"/>
  <c r="O182" i="2"/>
  <c r="Q116" i="2"/>
  <c r="O116" i="2"/>
  <c r="Q307" i="2"/>
  <c r="O307" i="2"/>
  <c r="Q580" i="2"/>
  <c r="O58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263" i="2"/>
  <c r="R262" i="2"/>
  <c r="R264" i="2"/>
  <c r="R182" i="2"/>
  <c r="R116" i="2"/>
  <c r="R307" i="2"/>
  <c r="R580" i="2"/>
  <c r="Q55" i="2"/>
  <c r="O55" i="2"/>
  <c r="Q310" i="2"/>
  <c r="O310" i="2"/>
  <c r="Q117" i="2"/>
  <c r="O117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265" i="2"/>
  <c r="O265" i="2"/>
  <c r="O247" i="2"/>
  <c r="Q247" i="2"/>
  <c r="Q441" i="2"/>
  <c r="O441" i="2"/>
  <c r="D60" i="24" l="1"/>
  <c r="D172" i="24"/>
  <c r="R55" i="2"/>
  <c r="R310" i="2"/>
  <c r="R117" i="2"/>
  <c r="R265" i="2"/>
  <c r="R247" i="2"/>
  <c r="R441" i="2"/>
  <c r="D279" i="26"/>
  <c r="A461" i="26"/>
  <c r="O375" i="2"/>
  <c r="Q375" i="2"/>
  <c r="Q473" i="2"/>
  <c r="O473" i="2"/>
  <c r="D61" i="24" l="1"/>
  <c r="R473" i="2"/>
  <c r="R375" i="2"/>
  <c r="Q439" i="2"/>
  <c r="O439" i="2"/>
  <c r="Q334" i="2"/>
  <c r="O33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170" i="2"/>
  <c r="Q170" i="2"/>
  <c r="O49" i="2"/>
  <c r="Q49" i="2"/>
  <c r="AH3" i="26" l="1"/>
  <c r="AH2" i="26"/>
  <c r="AI3" i="26"/>
  <c r="R439" i="2"/>
  <c r="R334" i="2"/>
  <c r="R170" i="2"/>
  <c r="R49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532" i="2"/>
  <c r="O532" i="2"/>
  <c r="Q251" i="2"/>
  <c r="O251" i="2"/>
  <c r="O102" i="2"/>
  <c r="Q273" i="2"/>
  <c r="O273" i="2"/>
  <c r="O272" i="2"/>
  <c r="Q272" i="2"/>
  <c r="O142" i="2"/>
  <c r="Q142" i="2"/>
  <c r="O143" i="2"/>
  <c r="Q143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532" i="2"/>
  <c r="O1" i="26"/>
  <c r="K1" i="26"/>
  <c r="R251" i="2"/>
  <c r="R273" i="2"/>
  <c r="R272" i="2"/>
  <c r="R143" i="2"/>
  <c r="R142" i="2"/>
  <c r="Q329" i="2" l="1"/>
  <c r="O329" i="2"/>
  <c r="Q581" i="2"/>
  <c r="O581" i="2"/>
  <c r="Q218" i="2"/>
  <c r="O218" i="2"/>
  <c r="O330" i="2"/>
  <c r="Q330" i="2"/>
  <c r="O460" i="2"/>
  <c r="Q460" i="2"/>
  <c r="O446" i="2"/>
  <c r="Q446" i="2"/>
  <c r="O445" i="2"/>
  <c r="Q445" i="2"/>
  <c r="O444" i="2"/>
  <c r="Q444" i="2"/>
  <c r="O443" i="2"/>
  <c r="Q443" i="2"/>
  <c r="O447" i="2"/>
  <c r="Q447" i="2"/>
  <c r="O450" i="2"/>
  <c r="Q450" i="2"/>
  <c r="O395" i="2"/>
  <c r="Q395" i="2"/>
  <c r="O391" i="2"/>
  <c r="Q391" i="2"/>
  <c r="O390" i="2"/>
  <c r="Q390" i="2"/>
  <c r="O406" i="2"/>
  <c r="Q406" i="2"/>
  <c r="O389" i="2"/>
  <c r="Q389" i="2"/>
  <c r="O405" i="2"/>
  <c r="Q405" i="2"/>
  <c r="O404" i="2"/>
  <c r="Q404" i="2"/>
  <c r="O403" i="2"/>
  <c r="Q403" i="2"/>
  <c r="O402" i="2"/>
  <c r="Q402" i="2"/>
  <c r="O401" i="2"/>
  <c r="Q401" i="2"/>
  <c r="O400" i="2"/>
  <c r="Q400" i="2"/>
  <c r="O399" i="2"/>
  <c r="Q399" i="2"/>
  <c r="O319" i="2"/>
  <c r="Q319" i="2"/>
  <c r="O311" i="2"/>
  <c r="Q311" i="2"/>
  <c r="O282" i="2"/>
  <c r="Q282" i="2"/>
  <c r="O224" i="2"/>
  <c r="Q224" i="2"/>
  <c r="O204" i="2"/>
  <c r="Q204" i="2"/>
  <c r="O128" i="2"/>
  <c r="Q128" i="2"/>
  <c r="O51" i="2"/>
  <c r="Q51" i="2"/>
  <c r="O50" i="2"/>
  <c r="Q50" i="2"/>
  <c r="R329" i="2" l="1"/>
  <c r="R581" i="2"/>
  <c r="R218" i="2"/>
  <c r="R330" i="2"/>
  <c r="R406" i="2"/>
  <c r="R450" i="2"/>
  <c r="R445" i="2"/>
  <c r="R389" i="2"/>
  <c r="R282" i="2"/>
  <c r="R204" i="2"/>
  <c r="R319" i="2"/>
  <c r="R401" i="2"/>
  <c r="R405" i="2"/>
  <c r="R128" i="2"/>
  <c r="R224" i="2"/>
  <c r="R390" i="2"/>
  <c r="R395" i="2"/>
  <c r="R447" i="2"/>
  <c r="R444" i="2"/>
  <c r="R402" i="2"/>
  <c r="R391" i="2"/>
  <c r="R446" i="2"/>
  <c r="R400" i="2"/>
  <c r="R51" i="2"/>
  <c r="R311" i="2"/>
  <c r="R399" i="2"/>
  <c r="R404" i="2"/>
  <c r="R443" i="2"/>
  <c r="R50" i="2"/>
  <c r="R403" i="2"/>
  <c r="R460" i="2"/>
  <c r="O119" i="2" l="1"/>
  <c r="O118" i="2"/>
  <c r="Q119" i="2"/>
  <c r="Q118" i="2"/>
  <c r="O233" i="2"/>
  <c r="O232" i="2"/>
  <c r="Q233" i="2"/>
  <c r="Q232" i="2"/>
  <c r="O335" i="2"/>
  <c r="Q335" i="2"/>
  <c r="Q453" i="2"/>
  <c r="O453" i="2"/>
  <c r="Q534" i="2"/>
  <c r="Q533" i="2"/>
  <c r="O534" i="2"/>
  <c r="O533" i="2"/>
  <c r="R119" i="2" l="1"/>
  <c r="R453" i="2"/>
  <c r="R118" i="2"/>
  <c r="R232" i="2"/>
  <c r="R233" i="2"/>
  <c r="R335" i="2"/>
  <c r="R533" i="2"/>
  <c r="R534" i="2"/>
  <c r="U1" i="2" l="1"/>
  <c r="AT1" i="2"/>
  <c r="O86" i="2"/>
  <c r="Q86" i="2"/>
  <c r="O353" i="2"/>
  <c r="Q353" i="2"/>
  <c r="O18" i="2"/>
  <c r="Q18" i="2"/>
  <c r="O535" i="2"/>
  <c r="Q535" i="2"/>
  <c r="O474" i="2"/>
  <c r="Q474" i="2"/>
  <c r="O592" i="2"/>
  <c r="O585" i="2"/>
  <c r="O574" i="2"/>
  <c r="O573" i="2"/>
  <c r="O572" i="2"/>
  <c r="O571" i="2"/>
  <c r="O570" i="2"/>
  <c r="O569" i="2"/>
  <c r="O531" i="2"/>
  <c r="O530" i="2"/>
  <c r="O529" i="2"/>
  <c r="O528" i="2"/>
  <c r="O560" i="2"/>
  <c r="O527" i="2"/>
  <c r="O526" i="2"/>
  <c r="O525" i="2"/>
  <c r="O524" i="2"/>
  <c r="O523" i="2"/>
  <c r="O521" i="2"/>
  <c r="O559" i="2"/>
  <c r="O558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557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556" i="2"/>
  <c r="O555" i="2"/>
  <c r="O485" i="2"/>
  <c r="O554" i="2"/>
  <c r="O553" i="2"/>
  <c r="O552" i="2"/>
  <c r="O551" i="2"/>
  <c r="O550" i="2"/>
  <c r="O549" i="2"/>
  <c r="O484" i="2"/>
  <c r="O548" i="2"/>
  <c r="O547" i="2"/>
  <c r="O483" i="2"/>
  <c r="O482" i="2"/>
  <c r="O481" i="2"/>
  <c r="O546" i="2"/>
  <c r="O480" i="2"/>
  <c r="O479" i="2"/>
  <c r="O478" i="2"/>
  <c r="O477" i="2"/>
  <c r="O545" i="2"/>
  <c r="O544" i="2"/>
  <c r="O543" i="2"/>
  <c r="O476" i="2"/>
  <c r="O475" i="2"/>
  <c r="O542" i="2"/>
  <c r="O541" i="2"/>
  <c r="O540" i="2"/>
  <c r="O539" i="2"/>
  <c r="O538" i="2"/>
  <c r="O537" i="2"/>
  <c r="O536" i="2"/>
  <c r="O459" i="2"/>
  <c r="O458" i="2"/>
  <c r="O457" i="2"/>
  <c r="O454" i="2"/>
  <c r="O456" i="2"/>
  <c r="O455" i="2"/>
  <c r="O442" i="2"/>
  <c r="O438" i="2"/>
  <c r="O437" i="2"/>
  <c r="O436" i="2"/>
  <c r="O435" i="2"/>
  <c r="O424" i="2"/>
  <c r="O423" i="2"/>
  <c r="O422" i="2"/>
  <c r="O421" i="2"/>
  <c r="O420" i="2"/>
  <c r="O419" i="2"/>
  <c r="O418" i="2"/>
  <c r="O432" i="2"/>
  <c r="O417" i="2"/>
  <c r="O416" i="2"/>
  <c r="O415" i="2"/>
  <c r="O414" i="2"/>
  <c r="O431" i="2"/>
  <c r="O430" i="2"/>
  <c r="O429" i="2"/>
  <c r="O428" i="2"/>
  <c r="O410" i="2"/>
  <c r="O409" i="2"/>
  <c r="O408" i="2"/>
  <c r="O397" i="2"/>
  <c r="O396" i="2"/>
  <c r="O394" i="2"/>
  <c r="O393" i="2"/>
  <c r="O392" i="2"/>
  <c r="O407" i="2"/>
  <c r="O386" i="2"/>
  <c r="O385" i="2"/>
  <c r="O384" i="2"/>
  <c r="O381" i="2"/>
  <c r="O380" i="2"/>
  <c r="O379" i="2"/>
  <c r="O378" i="2"/>
  <c r="O377" i="2"/>
  <c r="O376" i="2"/>
  <c r="O371" i="2"/>
  <c r="O370" i="2"/>
  <c r="O369" i="2"/>
  <c r="O367" i="2"/>
  <c r="O366" i="2"/>
  <c r="O365" i="2"/>
  <c r="O364" i="2"/>
  <c r="O363" i="2"/>
  <c r="O362" i="2"/>
  <c r="O360" i="2"/>
  <c r="O359" i="2"/>
  <c r="O358" i="2"/>
  <c r="O357" i="2"/>
  <c r="O356" i="2"/>
  <c r="O355" i="2"/>
  <c r="O354" i="2"/>
  <c r="O352" i="2"/>
  <c r="O351" i="2"/>
  <c r="O350" i="2"/>
  <c r="O343" i="2"/>
  <c r="O342" i="2"/>
  <c r="O339" i="2"/>
  <c r="O338" i="2"/>
  <c r="O337" i="2"/>
  <c r="O336" i="2"/>
  <c r="O333" i="2"/>
  <c r="O328" i="2"/>
  <c r="O332" i="2"/>
  <c r="O327" i="2"/>
  <c r="O331" i="2"/>
  <c r="O326" i="2"/>
  <c r="O325" i="2"/>
  <c r="O324" i="2"/>
  <c r="O323" i="2"/>
  <c r="O322" i="2"/>
  <c r="O317" i="2"/>
  <c r="O316" i="2"/>
  <c r="O315" i="2"/>
  <c r="O314" i="2"/>
  <c r="O313" i="2"/>
  <c r="O312" i="2"/>
  <c r="O318" i="2"/>
  <c r="O304" i="2"/>
  <c r="O303" i="2"/>
  <c r="O302" i="2"/>
  <c r="O301" i="2"/>
  <c r="O300" i="2"/>
  <c r="O299" i="2"/>
  <c r="O298" i="2"/>
  <c r="O297" i="2"/>
  <c r="O296" i="2"/>
  <c r="O293" i="2"/>
  <c r="O292" i="2"/>
  <c r="O291" i="2"/>
  <c r="O290" i="2"/>
  <c r="O289" i="2"/>
  <c r="O288" i="2"/>
  <c r="O287" i="2"/>
  <c r="O286" i="2"/>
  <c r="O277" i="2"/>
  <c r="O285" i="2"/>
  <c r="O284" i="2"/>
  <c r="O283" i="2"/>
  <c r="O295" i="2"/>
  <c r="O294" i="2"/>
  <c r="O281" i="2"/>
  <c r="O280" i="2"/>
  <c r="O279" i="2"/>
  <c r="O278" i="2"/>
  <c r="O276" i="2"/>
  <c r="O275" i="2"/>
  <c r="O274" i="2"/>
  <c r="O271" i="2"/>
  <c r="O270" i="2"/>
  <c r="O269" i="2"/>
  <c r="O268" i="2"/>
  <c r="O267" i="2"/>
  <c r="O246" i="2"/>
  <c r="O245" i="2"/>
  <c r="O244" i="2"/>
  <c r="O259" i="2"/>
  <c r="O258" i="2"/>
  <c r="O257" i="2"/>
  <c r="O256" i="2"/>
  <c r="O255" i="2"/>
  <c r="O254" i="2"/>
  <c r="O253" i="2"/>
  <c r="O252" i="2"/>
  <c r="O243" i="2"/>
  <c r="O242" i="2"/>
  <c r="O227" i="2"/>
  <c r="O241" i="2"/>
  <c r="O240" i="2"/>
  <c r="O239" i="2"/>
  <c r="O238" i="2"/>
  <c r="O237" i="2"/>
  <c r="O236" i="2"/>
  <c r="O235" i="2"/>
  <c r="O234" i="2"/>
  <c r="O226" i="2"/>
  <c r="O225" i="2"/>
  <c r="O221" i="2"/>
  <c r="O222" i="2"/>
  <c r="O220" i="2"/>
  <c r="O219" i="2"/>
  <c r="O217" i="2"/>
  <c r="O216" i="2"/>
  <c r="O215" i="2"/>
  <c r="O214" i="2"/>
  <c r="O213" i="2"/>
  <c r="O203" i="2"/>
  <c r="O202" i="2"/>
  <c r="O201" i="2"/>
  <c r="O200" i="2"/>
  <c r="O199" i="2"/>
  <c r="O198" i="2"/>
  <c r="O212" i="2"/>
  <c r="O211" i="2"/>
  <c r="O210" i="2"/>
  <c r="O196" i="2"/>
  <c r="O195" i="2"/>
  <c r="O194" i="2"/>
  <c r="O193" i="2"/>
  <c r="O192" i="2"/>
  <c r="O190" i="2"/>
  <c r="O189" i="2"/>
  <c r="O188" i="2"/>
  <c r="O183" i="2"/>
  <c r="O173" i="2"/>
  <c r="O172" i="2"/>
  <c r="O179" i="2"/>
  <c r="O178" i="2"/>
  <c r="O171" i="2"/>
  <c r="O177" i="2"/>
  <c r="O176" i="2"/>
  <c r="O175" i="2"/>
  <c r="O174" i="2"/>
  <c r="O164" i="2"/>
  <c r="O163" i="2"/>
  <c r="O166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7" i="2"/>
  <c r="O146" i="2"/>
  <c r="O145" i="2"/>
  <c r="O144" i="2"/>
  <c r="O135" i="2"/>
  <c r="O134" i="2"/>
  <c r="O133" i="2"/>
  <c r="O130" i="2"/>
  <c r="O129" i="2"/>
  <c r="O127" i="2"/>
  <c r="O126" i="2"/>
  <c r="O125" i="2"/>
  <c r="O124" i="2"/>
  <c r="O123" i="2"/>
  <c r="O122" i="2"/>
  <c r="O121" i="2"/>
  <c r="O120" i="2"/>
  <c r="O110" i="2"/>
  <c r="O109" i="2"/>
  <c r="O106" i="2"/>
  <c r="O105" i="2"/>
  <c r="O104" i="2"/>
  <c r="O103" i="2"/>
  <c r="O108" i="2"/>
  <c r="O107" i="2"/>
  <c r="O101" i="2"/>
  <c r="O100" i="2"/>
  <c r="O99" i="2"/>
  <c r="O98" i="2"/>
  <c r="O97" i="2"/>
  <c r="O83" i="2"/>
  <c r="O82" i="2"/>
  <c r="O81" i="2"/>
  <c r="O80" i="2"/>
  <c r="O79" i="2"/>
  <c r="O78" i="2"/>
  <c r="O77" i="2"/>
  <c r="O76" i="2"/>
  <c r="O75" i="2"/>
  <c r="O96" i="2"/>
  <c r="O74" i="2"/>
  <c r="O73" i="2"/>
  <c r="O72" i="2"/>
  <c r="O95" i="2"/>
  <c r="O94" i="2"/>
  <c r="O93" i="2"/>
  <c r="O92" i="2"/>
  <c r="O71" i="2"/>
  <c r="O70" i="2"/>
  <c r="O91" i="2"/>
  <c r="O90" i="2"/>
  <c r="O89" i="2"/>
  <c r="O69" i="2"/>
  <c r="O68" i="2"/>
  <c r="O88" i="2"/>
  <c r="O87" i="2"/>
  <c r="O64" i="2"/>
  <c r="O63" i="2"/>
  <c r="O61" i="2"/>
  <c r="O60" i="2"/>
  <c r="O59" i="2"/>
  <c r="O58" i="2"/>
  <c r="O62" i="2"/>
  <c r="O57" i="2"/>
  <c r="O54" i="2"/>
  <c r="O53" i="2"/>
  <c r="O52" i="2"/>
  <c r="O46" i="2"/>
  <c r="O45" i="2"/>
  <c r="O44" i="2"/>
  <c r="O43" i="2"/>
  <c r="O39" i="2"/>
  <c r="O38" i="2"/>
  <c r="O37" i="2"/>
  <c r="O36" i="2"/>
  <c r="O35" i="2"/>
  <c r="O34" i="2"/>
  <c r="O33" i="2"/>
  <c r="O32" i="2"/>
  <c r="O31" i="2"/>
  <c r="O30" i="2"/>
  <c r="O27" i="2"/>
  <c r="O29" i="2"/>
  <c r="O28" i="2"/>
  <c r="O26" i="2"/>
  <c r="O25" i="2"/>
  <c r="O17" i="2"/>
  <c r="O22" i="2"/>
  <c r="O21" i="2"/>
  <c r="O20" i="2"/>
  <c r="O19" i="2"/>
  <c r="O10" i="2"/>
  <c r="O9" i="2"/>
  <c r="O8" i="2"/>
  <c r="O16" i="2"/>
  <c r="O588" i="2"/>
  <c r="O596" i="2"/>
  <c r="O595" i="2"/>
  <c r="O587" i="2"/>
  <c r="O594" i="2"/>
  <c r="O586" i="2"/>
  <c r="O593" i="2"/>
  <c r="O589" i="2"/>
  <c r="Q16" i="2"/>
  <c r="Q8" i="2"/>
  <c r="Q9" i="2"/>
  <c r="Q10" i="2"/>
  <c r="Q19" i="2"/>
  <c r="Q20" i="2"/>
  <c r="Q21" i="2"/>
  <c r="Q22" i="2"/>
  <c r="Q17" i="2"/>
  <c r="Q25" i="2"/>
  <c r="Q26" i="2"/>
  <c r="Q28" i="2"/>
  <c r="Q29" i="2"/>
  <c r="Q27" i="2"/>
  <c r="Q30" i="2"/>
  <c r="Q31" i="2"/>
  <c r="Q32" i="2"/>
  <c r="Q33" i="2"/>
  <c r="Q34" i="2"/>
  <c r="Q35" i="2"/>
  <c r="Q36" i="2"/>
  <c r="Q37" i="2"/>
  <c r="Q38" i="2"/>
  <c r="Q39" i="2"/>
  <c r="Q43" i="2"/>
  <c r="Q44" i="2"/>
  <c r="Q45" i="2"/>
  <c r="Q46" i="2"/>
  <c r="Q52" i="2"/>
  <c r="Q53" i="2"/>
  <c r="Q54" i="2"/>
  <c r="Q57" i="2"/>
  <c r="Q62" i="2"/>
  <c r="Q58" i="2"/>
  <c r="Q59" i="2"/>
  <c r="Q60" i="2"/>
  <c r="Q61" i="2"/>
  <c r="Q63" i="2"/>
  <c r="Q64" i="2"/>
  <c r="Q87" i="2"/>
  <c r="Q88" i="2"/>
  <c r="Q68" i="2"/>
  <c r="Q69" i="2"/>
  <c r="Q89" i="2"/>
  <c r="Q90" i="2"/>
  <c r="Q91" i="2"/>
  <c r="Q71" i="2"/>
  <c r="Q92" i="2"/>
  <c r="Q93" i="2"/>
  <c r="Q94" i="2"/>
  <c r="Q95" i="2"/>
  <c r="Q72" i="2"/>
  <c r="Q73" i="2"/>
  <c r="Q74" i="2"/>
  <c r="Q96" i="2"/>
  <c r="Q75" i="2"/>
  <c r="Q76" i="2"/>
  <c r="Q77" i="2"/>
  <c r="Q78" i="2"/>
  <c r="Q79" i="2"/>
  <c r="Q80" i="2"/>
  <c r="Q81" i="2"/>
  <c r="Q82" i="2"/>
  <c r="Q83" i="2"/>
  <c r="Q97" i="2"/>
  <c r="Q98" i="2"/>
  <c r="Q99" i="2"/>
  <c r="Q100" i="2"/>
  <c r="Q101" i="2"/>
  <c r="Q107" i="2"/>
  <c r="Q108" i="2"/>
  <c r="Q102" i="2"/>
  <c r="Q103" i="2"/>
  <c r="Q104" i="2"/>
  <c r="Q105" i="2"/>
  <c r="Q106" i="2"/>
  <c r="Q109" i="2"/>
  <c r="Q110" i="2"/>
  <c r="Q120" i="2"/>
  <c r="Q121" i="2"/>
  <c r="Q122" i="2"/>
  <c r="Q123" i="2"/>
  <c r="Q124" i="2"/>
  <c r="Q125" i="2"/>
  <c r="Q126" i="2"/>
  <c r="Q127" i="2"/>
  <c r="Q129" i="2"/>
  <c r="Q130" i="2"/>
  <c r="Q133" i="2"/>
  <c r="Q134" i="2"/>
  <c r="Q135" i="2"/>
  <c r="Q144" i="2"/>
  <c r="Q145" i="2"/>
  <c r="Q146" i="2"/>
  <c r="Q147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6" i="2"/>
  <c r="Q163" i="2"/>
  <c r="Q164" i="2"/>
  <c r="Q174" i="2"/>
  <c r="Q175" i="2"/>
  <c r="Q176" i="2"/>
  <c r="Q177" i="2"/>
  <c r="Q171" i="2"/>
  <c r="Q178" i="2"/>
  <c r="Q179" i="2"/>
  <c r="Q172" i="2"/>
  <c r="Q173" i="2"/>
  <c r="Q183" i="2"/>
  <c r="Q188" i="2"/>
  <c r="Q189" i="2"/>
  <c r="Q190" i="2"/>
  <c r="Q192" i="2"/>
  <c r="Q193" i="2"/>
  <c r="Q194" i="2"/>
  <c r="Q195" i="2"/>
  <c r="Q196" i="2"/>
  <c r="Q210" i="2"/>
  <c r="Q211" i="2"/>
  <c r="Q212" i="2"/>
  <c r="Q198" i="2"/>
  <c r="Q199" i="2"/>
  <c r="Q200" i="2"/>
  <c r="Q201" i="2"/>
  <c r="Q202" i="2"/>
  <c r="Q203" i="2"/>
  <c r="Q213" i="2"/>
  <c r="Q214" i="2"/>
  <c r="Q215" i="2"/>
  <c r="Q216" i="2"/>
  <c r="Q217" i="2"/>
  <c r="Q219" i="2"/>
  <c r="Q220" i="2"/>
  <c r="Q222" i="2"/>
  <c r="Q221" i="2"/>
  <c r="Q225" i="2"/>
  <c r="Q226" i="2"/>
  <c r="Q234" i="2"/>
  <c r="Q235" i="2"/>
  <c r="Q236" i="2"/>
  <c r="Q237" i="2"/>
  <c r="Q238" i="2"/>
  <c r="Q239" i="2"/>
  <c r="Q240" i="2"/>
  <c r="Q241" i="2"/>
  <c r="Q227" i="2"/>
  <c r="Q242" i="2"/>
  <c r="Q243" i="2"/>
  <c r="Q253" i="2"/>
  <c r="Q254" i="2"/>
  <c r="Q255" i="2"/>
  <c r="Q256" i="2"/>
  <c r="Q257" i="2"/>
  <c r="Q258" i="2"/>
  <c r="Q259" i="2"/>
  <c r="Q244" i="2"/>
  <c r="Q245" i="2"/>
  <c r="Q246" i="2"/>
  <c r="Q267" i="2"/>
  <c r="Q268" i="2"/>
  <c r="Q269" i="2"/>
  <c r="Q270" i="2"/>
  <c r="Q271" i="2"/>
  <c r="Q274" i="2"/>
  <c r="Q275" i="2"/>
  <c r="Q276" i="2"/>
  <c r="Q278" i="2"/>
  <c r="Q279" i="2"/>
  <c r="Q280" i="2"/>
  <c r="Q281" i="2"/>
  <c r="Q294" i="2"/>
  <c r="Q295" i="2"/>
  <c r="Q283" i="2"/>
  <c r="Q284" i="2"/>
  <c r="Q285" i="2"/>
  <c r="Q277" i="2"/>
  <c r="Q286" i="2"/>
  <c r="Q287" i="2"/>
  <c r="Q288" i="2"/>
  <c r="Q289" i="2"/>
  <c r="Q290" i="2"/>
  <c r="Q291" i="2"/>
  <c r="Q292" i="2"/>
  <c r="Q293" i="2"/>
  <c r="Q296" i="2"/>
  <c r="Q297" i="2"/>
  <c r="Q298" i="2"/>
  <c r="Q299" i="2"/>
  <c r="Q300" i="2"/>
  <c r="Q301" i="2"/>
  <c r="Q302" i="2"/>
  <c r="Q303" i="2"/>
  <c r="Q304" i="2"/>
  <c r="Q318" i="2"/>
  <c r="Q312" i="2"/>
  <c r="Q313" i="2"/>
  <c r="Q314" i="2"/>
  <c r="Q315" i="2"/>
  <c r="Q316" i="2"/>
  <c r="Q317" i="2"/>
  <c r="Q322" i="2"/>
  <c r="Q323" i="2"/>
  <c r="Q324" i="2"/>
  <c r="Q325" i="2"/>
  <c r="Q326" i="2"/>
  <c r="Q331" i="2"/>
  <c r="Q327" i="2"/>
  <c r="Q332" i="2"/>
  <c r="Q328" i="2"/>
  <c r="Q333" i="2"/>
  <c r="Q336" i="2"/>
  <c r="Q337" i="2"/>
  <c r="Q338" i="2"/>
  <c r="Q339" i="2"/>
  <c r="Q342" i="2"/>
  <c r="Q343" i="2"/>
  <c r="Q350" i="2"/>
  <c r="Q351" i="2"/>
  <c r="Q352" i="2"/>
  <c r="Q354" i="2"/>
  <c r="Q355" i="2"/>
  <c r="Q356" i="2"/>
  <c r="Q357" i="2"/>
  <c r="Q358" i="2"/>
  <c r="Q359" i="2"/>
  <c r="Q360" i="2"/>
  <c r="Q362" i="2"/>
  <c r="Q363" i="2"/>
  <c r="Q364" i="2"/>
  <c r="Q365" i="2"/>
  <c r="Q366" i="2"/>
  <c r="Q367" i="2"/>
  <c r="Q369" i="2"/>
  <c r="Q370" i="2"/>
  <c r="Q371" i="2"/>
  <c r="Q376" i="2"/>
  <c r="Q377" i="2"/>
  <c r="Q378" i="2"/>
  <c r="Q379" i="2"/>
  <c r="Q380" i="2"/>
  <c r="Q381" i="2"/>
  <c r="Q384" i="2"/>
  <c r="Q385" i="2"/>
  <c r="Q386" i="2"/>
  <c r="Q392" i="2"/>
  <c r="Q393" i="2"/>
  <c r="Q394" i="2"/>
  <c r="Q396" i="2"/>
  <c r="Q397" i="2"/>
  <c r="Q407" i="2"/>
  <c r="Q408" i="2"/>
  <c r="Q409" i="2"/>
  <c r="Q410" i="2"/>
  <c r="Q428" i="2"/>
  <c r="Q429" i="2"/>
  <c r="Q430" i="2"/>
  <c r="Q431" i="2"/>
  <c r="Q414" i="2"/>
  <c r="Q415" i="2"/>
  <c r="Q416" i="2"/>
  <c r="Q417" i="2"/>
  <c r="Q418" i="2"/>
  <c r="Q419" i="2"/>
  <c r="Q420" i="2"/>
  <c r="Q421" i="2"/>
  <c r="Q422" i="2"/>
  <c r="Q423" i="2"/>
  <c r="Q424" i="2"/>
  <c r="Q432" i="2"/>
  <c r="Q435" i="2"/>
  <c r="Q436" i="2"/>
  <c r="Q437" i="2"/>
  <c r="Q438" i="2"/>
  <c r="Q442" i="2"/>
  <c r="Q455" i="2"/>
  <c r="Q456" i="2"/>
  <c r="Q454" i="2"/>
  <c r="Q457" i="2"/>
  <c r="Q458" i="2"/>
  <c r="Q459" i="2"/>
  <c r="Q536" i="2"/>
  <c r="Q537" i="2"/>
  <c r="Q538" i="2"/>
  <c r="Q539" i="2"/>
  <c r="Q540" i="2"/>
  <c r="Q541" i="2"/>
  <c r="Q542" i="2"/>
  <c r="Q475" i="2"/>
  <c r="Q476" i="2"/>
  <c r="Q543" i="2"/>
  <c r="Q544" i="2"/>
  <c r="Q545" i="2"/>
  <c r="Q477" i="2"/>
  <c r="Q478" i="2"/>
  <c r="Q479" i="2"/>
  <c r="Q480" i="2"/>
  <c r="Q546" i="2"/>
  <c r="Q481" i="2"/>
  <c r="Q482" i="2"/>
  <c r="Q483" i="2"/>
  <c r="Q547" i="2"/>
  <c r="Q548" i="2"/>
  <c r="Q484" i="2"/>
  <c r="Q549" i="2"/>
  <c r="Q550" i="2"/>
  <c r="Q551" i="2"/>
  <c r="Q552" i="2"/>
  <c r="Q553" i="2"/>
  <c r="Q554" i="2"/>
  <c r="Q485" i="2"/>
  <c r="Q555" i="2"/>
  <c r="Q556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55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58" i="2"/>
  <c r="Q559" i="2"/>
  <c r="Q521" i="2"/>
  <c r="Q523" i="2"/>
  <c r="Q524" i="2"/>
  <c r="Q525" i="2"/>
  <c r="Q526" i="2"/>
  <c r="Q527" i="2"/>
  <c r="Q560" i="2"/>
  <c r="Q528" i="2"/>
  <c r="Q529" i="2"/>
  <c r="Q530" i="2"/>
  <c r="Q531" i="2"/>
  <c r="Q252" i="2"/>
  <c r="Q570" i="2"/>
  <c r="Q571" i="2"/>
  <c r="Q572" i="2"/>
  <c r="Q573" i="2"/>
  <c r="Q574" i="2"/>
  <c r="Q582" i="2"/>
  <c r="Q585" i="2"/>
  <c r="Q592" i="2"/>
  <c r="Q593" i="2"/>
  <c r="Q586" i="2"/>
  <c r="Q594" i="2"/>
  <c r="Q587" i="2"/>
  <c r="Q595" i="2"/>
  <c r="Q596" i="2"/>
  <c r="Q588" i="2"/>
  <c r="Q589" i="2"/>
  <c r="R129" i="2" l="1"/>
  <c r="R18" i="2"/>
  <c r="R86" i="2"/>
  <c r="R353" i="2"/>
  <c r="R535" i="2"/>
  <c r="R474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44" i="2"/>
  <c r="R25" i="2"/>
  <c r="R431" i="2"/>
  <c r="R363" i="2"/>
  <c r="R339" i="2"/>
  <c r="R103" i="2"/>
  <c r="R501" i="2"/>
  <c r="R554" i="2"/>
  <c r="R547" i="2"/>
  <c r="R546" i="2"/>
  <c r="R477" i="2"/>
  <c r="R476" i="2"/>
  <c r="R536" i="2"/>
  <c r="R457" i="2"/>
  <c r="R420" i="2"/>
  <c r="R416" i="2"/>
  <c r="R338" i="2"/>
  <c r="R326" i="2"/>
  <c r="R322" i="2"/>
  <c r="R292" i="2"/>
  <c r="R121" i="2"/>
  <c r="R100" i="2"/>
  <c r="R88" i="2"/>
  <c r="R34" i="2"/>
  <c r="R526" i="2"/>
  <c r="R521" i="2"/>
  <c r="R435" i="2"/>
  <c r="R422" i="2"/>
  <c r="R393" i="2"/>
  <c r="R32" i="2"/>
  <c r="R29" i="2"/>
  <c r="R91" i="2"/>
  <c r="R68" i="2"/>
  <c r="R39" i="2"/>
  <c r="R28" i="2"/>
  <c r="R286" i="2"/>
  <c r="R281" i="2"/>
  <c r="R236" i="2"/>
  <c r="R151" i="2"/>
  <c r="R289" i="2"/>
  <c r="R239" i="2"/>
  <c r="R219" i="2"/>
  <c r="R163" i="2"/>
  <c r="R287" i="2"/>
  <c r="R294" i="2"/>
  <c r="R237" i="2"/>
  <c r="R156" i="2"/>
  <c r="R130" i="2"/>
  <c r="R74" i="2"/>
  <c r="R64" i="2"/>
  <c r="R22" i="2"/>
  <c r="R10" i="2"/>
  <c r="R481" i="2"/>
  <c r="R478" i="2"/>
  <c r="R234" i="2"/>
  <c r="R201" i="2"/>
  <c r="R196" i="2"/>
  <c r="R161" i="2"/>
  <c r="R153" i="2"/>
  <c r="R127" i="2"/>
  <c r="R26" i="2"/>
  <c r="R558" i="2"/>
  <c r="R517" i="2"/>
  <c r="R226" i="2"/>
  <c r="R222" i="2"/>
  <c r="R217" i="2"/>
  <c r="R213" i="2"/>
  <c r="R200" i="2"/>
  <c r="R211" i="2"/>
  <c r="R183" i="2"/>
  <c r="R178" i="2"/>
  <c r="R312" i="2"/>
  <c r="R299" i="2"/>
  <c r="R589" i="2"/>
  <c r="R570" i="2"/>
  <c r="R504" i="2"/>
  <c r="R553" i="2"/>
  <c r="R549" i="2"/>
  <c r="R475" i="2"/>
  <c r="R302" i="2"/>
  <c r="R220" i="2"/>
  <c r="R216" i="2"/>
  <c r="R203" i="2"/>
  <c r="R199" i="2"/>
  <c r="R210" i="2"/>
  <c r="R194" i="2"/>
  <c r="R171" i="2"/>
  <c r="R159" i="2"/>
  <c r="R43" i="2"/>
  <c r="R106" i="2"/>
  <c r="R101" i="2"/>
  <c r="R93" i="2"/>
  <c r="R58" i="2"/>
  <c r="R496" i="2"/>
  <c r="R492" i="2"/>
  <c r="R484" i="2"/>
  <c r="R482" i="2"/>
  <c r="R479" i="2"/>
  <c r="R419" i="2"/>
  <c r="R430" i="2"/>
  <c r="R409" i="2"/>
  <c r="R385" i="2"/>
  <c r="R371" i="2"/>
  <c r="R366" i="2"/>
  <c r="R358" i="2"/>
  <c r="R214" i="2"/>
  <c r="R188" i="2"/>
  <c r="R595" i="2"/>
  <c r="R593" i="2"/>
  <c r="R571" i="2"/>
  <c r="R531" i="2"/>
  <c r="R510" i="2"/>
  <c r="R506" i="2"/>
  <c r="R429" i="2"/>
  <c r="R408" i="2"/>
  <c r="R365" i="2"/>
  <c r="R357" i="2"/>
  <c r="R328" i="2"/>
  <c r="R80" i="2"/>
  <c r="R73" i="2"/>
  <c r="R9" i="2"/>
  <c r="R455" i="2"/>
  <c r="R438" i="2"/>
  <c r="R421" i="2"/>
  <c r="R75" i="2"/>
  <c r="R72" i="2"/>
  <c r="R190" i="2"/>
  <c r="R92" i="2"/>
  <c r="R63" i="2"/>
  <c r="R490" i="2"/>
  <c r="R489" i="2"/>
  <c r="R437" i="2"/>
  <c r="R336" i="2"/>
  <c r="R152" i="2"/>
  <c r="R126" i="2"/>
  <c r="R53" i="2"/>
  <c r="R35" i="2"/>
  <c r="R17" i="2"/>
  <c r="R19" i="2"/>
  <c r="R511" i="2"/>
  <c r="R392" i="2"/>
  <c r="R386" i="2"/>
  <c r="R285" i="2"/>
  <c r="R274" i="2"/>
  <c r="R177" i="2"/>
  <c r="R62" i="2"/>
  <c r="R297" i="2"/>
  <c r="R83" i="2"/>
  <c r="R79" i="2"/>
  <c r="R69" i="2"/>
  <c r="R87" i="2"/>
  <c r="R21" i="2"/>
  <c r="R550" i="2"/>
  <c r="R359" i="2"/>
  <c r="R350" i="2"/>
  <c r="R324" i="2"/>
  <c r="R195" i="2"/>
  <c r="R179" i="2"/>
  <c r="R162" i="2"/>
  <c r="R155" i="2"/>
  <c r="R144" i="2"/>
  <c r="R110" i="2"/>
  <c r="R99" i="2"/>
  <c r="R38" i="2"/>
  <c r="R525" i="2"/>
  <c r="R559" i="2"/>
  <c r="R432" i="2"/>
  <c r="R379" i="2"/>
  <c r="R59" i="2"/>
  <c r="R57" i="2"/>
  <c r="R560" i="2"/>
  <c r="R524" i="2"/>
  <c r="R555" i="2"/>
  <c r="R545" i="2"/>
  <c r="R540" i="2"/>
  <c r="R384" i="2"/>
  <c r="R370" i="2"/>
  <c r="R354" i="2"/>
  <c r="R323" i="2"/>
  <c r="R316" i="2"/>
  <c r="R293" i="2"/>
  <c r="R268" i="2"/>
  <c r="R258" i="2"/>
  <c r="R221" i="2"/>
  <c r="R202" i="2"/>
  <c r="R176" i="2"/>
  <c r="R107" i="2"/>
  <c r="R90" i="2"/>
  <c r="R31" i="2"/>
  <c r="R8" i="2"/>
  <c r="R585" i="2"/>
  <c r="R150" i="2"/>
  <c r="R94" i="2"/>
  <c r="R71" i="2"/>
  <c r="R572" i="2"/>
  <c r="R573" i="2"/>
  <c r="R530" i="2"/>
  <c r="R513" i="2"/>
  <c r="R509" i="2"/>
  <c r="R495" i="2"/>
  <c r="R491" i="2"/>
  <c r="R454" i="2"/>
  <c r="R337" i="2"/>
  <c r="R315" i="2"/>
  <c r="R318" i="2"/>
  <c r="R298" i="2"/>
  <c r="R291" i="2"/>
  <c r="R284" i="2"/>
  <c r="R278" i="2"/>
  <c r="R257" i="2"/>
  <c r="R241" i="2"/>
  <c r="R212" i="2"/>
  <c r="R175" i="2"/>
  <c r="R166" i="2"/>
  <c r="R97" i="2"/>
  <c r="R36" i="2"/>
  <c r="R33" i="2"/>
  <c r="R520" i="2"/>
  <c r="R557" i="2"/>
  <c r="R494" i="2"/>
  <c r="R290" i="2"/>
  <c r="R283" i="2"/>
  <c r="R276" i="2"/>
  <c r="R243" i="2"/>
  <c r="R240" i="2"/>
  <c r="R192" i="2"/>
  <c r="R189" i="2"/>
  <c r="R174" i="2"/>
  <c r="R120" i="2"/>
  <c r="R61" i="2"/>
  <c r="R342" i="2"/>
  <c r="R271" i="2"/>
  <c r="R256" i="2"/>
  <c r="R255" i="2"/>
  <c r="R245" i="2"/>
  <c r="R135" i="2"/>
  <c r="R253" i="2"/>
  <c r="R244" i="2"/>
  <c r="R246" i="2"/>
  <c r="R270" i="2"/>
  <c r="R269" i="2"/>
  <c r="R45" i="2"/>
  <c r="R46" i="2"/>
  <c r="R54" i="2"/>
  <c r="R122" i="2"/>
  <c r="R331" i="2"/>
  <c r="R376" i="2"/>
  <c r="R537" i="2"/>
  <c r="R505" i="2"/>
  <c r="R30" i="2"/>
  <c r="R102" i="2"/>
  <c r="R123" i="2"/>
  <c r="R125" i="2"/>
  <c r="R355" i="2"/>
  <c r="R360" i="2"/>
  <c r="R377" i="2"/>
  <c r="R424" i="2"/>
  <c r="R538" i="2"/>
  <c r="R556" i="2"/>
  <c r="R500" i="2"/>
  <c r="R507" i="2"/>
  <c r="R516" i="2"/>
  <c r="R582" i="2"/>
  <c r="R587" i="2"/>
  <c r="R594" i="2"/>
  <c r="R574" i="2"/>
  <c r="R529" i="2"/>
  <c r="R523" i="2"/>
  <c r="R515" i="2"/>
  <c r="R508" i="2"/>
  <c r="R499" i="2"/>
  <c r="R493" i="2"/>
  <c r="R480" i="2"/>
  <c r="R458" i="2"/>
  <c r="R367" i="2"/>
  <c r="R351" i="2"/>
  <c r="R596" i="2"/>
  <c r="R252" i="2"/>
  <c r="R518" i="2"/>
  <c r="R502" i="2"/>
  <c r="R487" i="2"/>
  <c r="R485" i="2"/>
  <c r="R543" i="2"/>
  <c r="R325" i="2"/>
  <c r="R300" i="2"/>
  <c r="R279" i="2"/>
  <c r="R588" i="2"/>
  <c r="R586" i="2"/>
  <c r="R592" i="2"/>
  <c r="R528" i="2"/>
  <c r="R527" i="2"/>
  <c r="R519" i="2"/>
  <c r="R514" i="2"/>
  <c r="R512" i="2"/>
  <c r="R503" i="2"/>
  <c r="R498" i="2"/>
  <c r="R497" i="2"/>
  <c r="R488" i="2"/>
  <c r="R486" i="2"/>
  <c r="R551" i="2"/>
  <c r="R442" i="2"/>
  <c r="R414" i="2"/>
  <c r="R410" i="2"/>
  <c r="R396" i="2"/>
  <c r="R362" i="2"/>
  <c r="R327" i="2"/>
  <c r="R303" i="2"/>
  <c r="R259" i="2"/>
  <c r="R225" i="2"/>
  <c r="R173" i="2"/>
  <c r="R147" i="2"/>
  <c r="R76" i="2"/>
  <c r="R52" i="2"/>
  <c r="R552" i="2"/>
  <c r="R548" i="2"/>
  <c r="R483" i="2"/>
  <c r="R544" i="2"/>
  <c r="R541" i="2"/>
  <c r="R539" i="2"/>
  <c r="R459" i="2"/>
  <c r="R436" i="2"/>
  <c r="R417" i="2"/>
  <c r="R415" i="2"/>
  <c r="R428" i="2"/>
  <c r="R397" i="2"/>
  <c r="R394" i="2"/>
  <c r="R380" i="2"/>
  <c r="R378" i="2"/>
  <c r="R369" i="2"/>
  <c r="R356" i="2"/>
  <c r="R352" i="2"/>
  <c r="R333" i="2"/>
  <c r="R332" i="2"/>
  <c r="R313" i="2"/>
  <c r="R304" i="2"/>
  <c r="R301" i="2"/>
  <c r="R296" i="2"/>
  <c r="R288" i="2"/>
  <c r="R277" i="2"/>
  <c r="R295" i="2"/>
  <c r="R280" i="2"/>
  <c r="R267" i="2"/>
  <c r="R227" i="2"/>
  <c r="R238" i="2"/>
  <c r="R235" i="2"/>
  <c r="R160" i="2"/>
  <c r="R158" i="2"/>
  <c r="R145" i="2"/>
  <c r="R133" i="2"/>
  <c r="R109" i="2"/>
  <c r="R105" i="2"/>
  <c r="R81" i="2"/>
  <c r="R77" i="2"/>
  <c r="R96" i="2"/>
  <c r="R542" i="2"/>
  <c r="R456" i="2"/>
  <c r="R423" i="2"/>
  <c r="R418" i="2"/>
  <c r="R407" i="2"/>
  <c r="R381" i="2"/>
  <c r="R364" i="2"/>
  <c r="R343" i="2"/>
  <c r="R317" i="2"/>
  <c r="R314" i="2"/>
  <c r="R275" i="2"/>
  <c r="R254" i="2"/>
  <c r="R242" i="2"/>
  <c r="R215" i="2"/>
  <c r="R198" i="2"/>
  <c r="R193" i="2"/>
  <c r="R172" i="2"/>
  <c r="R164" i="2"/>
  <c r="R149" i="2"/>
  <c r="R146" i="2"/>
  <c r="R124" i="2"/>
  <c r="R98" i="2"/>
  <c r="R82" i="2"/>
  <c r="R95" i="2"/>
  <c r="R89" i="2"/>
  <c r="R60" i="2"/>
  <c r="R37" i="2"/>
  <c r="R27" i="2"/>
  <c r="R20" i="2"/>
  <c r="R16" i="2"/>
  <c r="R157" i="2"/>
  <c r="R154" i="2"/>
  <c r="R134" i="2"/>
  <c r="R104" i="2"/>
  <c r="R108" i="2"/>
  <c r="R78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569" i="2"/>
  <c r="D5" i="24" l="1"/>
  <c r="E4" i="24"/>
  <c r="R569" i="2"/>
  <c r="AO1" i="2"/>
  <c r="Q70" i="2"/>
  <c r="D6" i="24" l="1"/>
  <c r="E6" i="24" s="1"/>
  <c r="E5" i="24"/>
  <c r="R70" i="2"/>
  <c r="Q266" i="2" l="1"/>
  <c r="O266" i="2"/>
  <c r="R266" i="2" l="1"/>
  <c r="O361" i="2" l="1"/>
  <c r="Q361" i="2"/>
  <c r="R361" i="2" l="1"/>
  <c r="Q165" i="2"/>
  <c r="O165" i="2"/>
  <c r="R165" i="2" l="1"/>
  <c r="AG1" i="2"/>
  <c r="AJ1" i="2" l="1"/>
  <c r="O191" i="2"/>
  <c r="Q191" i="2"/>
  <c r="R191" i="2" l="1"/>
  <c r="AK1" i="2"/>
  <c r="O591" i="2"/>
  <c r="Q591" i="2"/>
  <c r="R591" i="2" l="1"/>
  <c r="T3" i="2" l="1"/>
  <c r="O197" i="2"/>
  <c r="G316" i="26"/>
  <c r="Q197" i="2"/>
  <c r="F316" i="26"/>
  <c r="G2" i="26" l="1"/>
  <c r="AJ2" i="26"/>
  <c r="AJ3" i="26"/>
  <c r="F2" i="26"/>
  <c r="AI2" i="26"/>
  <c r="S1" i="2"/>
  <c r="T1" i="2"/>
  <c r="F3" i="26"/>
  <c r="G3" i="26"/>
  <c r="R1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<sst xmlns="http://schemas.openxmlformats.org/spreadsheetml/2006/main" count="7450" uniqueCount="2383">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</sst>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6" borderId="3" xfId="0" applyFill="1" applyBorder="1" applyAlignment="1">
      <alignment horizontal="right"/>
    </xf>
    <xf numFmtId="0" fontId="0" fillId="11" borderId="0" xfId="0" applyFill="1" applyBorder="1" applyAlignment="1">
      <alignment horizontal="right"/>
    </xf>
    <xf numFmtId="0" fontId="0" fillId="3" borderId="4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006"/>
  <sheetViews>
    <sheetView tabSelected="1" topLeftCell="A52" zoomScaleNormal="100" zoomScaleSheetLayoutView="100" workbookViewId="0">
      <selection activeCell="R1" sqref="O1:R1048576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7.7109375" style="8" customWidth="1"/>
    <col min="5" max="5" width="15.5703125" style="8" hidden="1" customWidth="1"/>
    <col min="6" max="6" width="28.85546875" hidden="1" customWidth="1"/>
    <col min="7" max="7" width="21.7109375" style="30" customWidth="1"/>
    <col min="8" max="8" width="10.85546875" style="30" customWidth="1"/>
    <col min="9" max="9" width="22.28515625" customWidth="1"/>
    <col min="10" max="10" width="7.7109375" style="61" customWidth="1"/>
    <col min="11" max="11" width="7.28515625" style="65" customWidth="1"/>
    <col min="12" max="12" width="24.5703125" style="65" hidden="1" customWidth="1"/>
    <col min="13" max="13" width="14.85546875" style="65" customWidth="1"/>
    <col min="14" max="14" width="9.140625" style="65" hidden="1" customWidth="1"/>
    <col min="15" max="15" width="21.140625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1.425781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E1" s="4" t="s">
        <v>2367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0.15373563218390804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0.15373563218390804</v>
      </c>
      <c r="Y1" s="3">
        <f t="shared" si="0"/>
        <v>0.1463768115942029</v>
      </c>
      <c r="Z1" s="3">
        <f t="shared" si="0"/>
        <v>0.15007215007215008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0.15251798561151078</v>
      </c>
      <c r="AF1" s="3"/>
      <c r="AG1" s="3">
        <f t="shared" ref="AG1:AT1" si="1">(AG3)/(AG2+AG3)</f>
        <v>0.16925246826516219</v>
      </c>
      <c r="AH1" s="3">
        <f t="shared" si="1"/>
        <v>0.15007215007215008</v>
      </c>
      <c r="AI1" s="3">
        <f t="shared" si="1"/>
        <v>0.17507002801120447</v>
      </c>
      <c r="AJ1" s="3">
        <f t="shared" si="1"/>
        <v>0</v>
      </c>
      <c r="AK1" s="3">
        <f t="shared" si="1"/>
        <v>0</v>
      </c>
      <c r="AL1" s="3">
        <f t="shared" si="1"/>
        <v>0.15977175463623394</v>
      </c>
      <c r="AM1" s="3">
        <f t="shared" si="1"/>
        <v>0.14389534883720931</v>
      </c>
      <c r="AN1" s="3">
        <f t="shared" si="1"/>
        <v>0.14264919941775836</v>
      </c>
      <c r="AO1" s="3">
        <f t="shared" si="1"/>
        <v>0.18533886583679116</v>
      </c>
      <c r="AP1" s="3">
        <f t="shared" si="1"/>
        <v>0.17391304347826086</v>
      </c>
      <c r="AQ1" s="3">
        <f t="shared" si="1"/>
        <v>0</v>
      </c>
      <c r="AR1" s="3">
        <f t="shared" si="1"/>
        <v>0</v>
      </c>
      <c r="AS1" s="3">
        <f t="shared" si="1"/>
        <v>0.17158931082981715</v>
      </c>
      <c r="AT1" s="3">
        <f t="shared" si="1"/>
        <v>0.17158931082981715</v>
      </c>
      <c r="AU1" s="3">
        <f>(AU3)/(AU2+AU3)</f>
        <v>0.16453900709219857</v>
      </c>
      <c r="AV1" s="3">
        <f>(AV3)/(AV2+AV3)</f>
        <v>0.16096866096866097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8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107</v>
      </c>
      <c r="T3" s="123">
        <f t="shared" si="3"/>
        <v>0</v>
      </c>
      <c r="U3" s="123">
        <f t="shared" si="3"/>
        <v>0</v>
      </c>
      <c r="V3" s="123">
        <f t="shared" si="3"/>
        <v>0</v>
      </c>
      <c r="W3" s="123">
        <f t="shared" si="3"/>
        <v>0</v>
      </c>
      <c r="X3" s="123">
        <f t="shared" si="3"/>
        <v>107</v>
      </c>
      <c r="Y3" s="123">
        <f t="shared" si="3"/>
        <v>101</v>
      </c>
      <c r="Z3" s="123">
        <f t="shared" si="3"/>
        <v>104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106</v>
      </c>
      <c r="AF3" s="123">
        <f t="shared" si="3"/>
        <v>131</v>
      </c>
      <c r="AG3" s="123">
        <f t="shared" si="3"/>
        <v>120</v>
      </c>
      <c r="AH3" s="123">
        <f t="shared" si="3"/>
        <v>104</v>
      </c>
      <c r="AI3" s="123">
        <f t="shared" si="3"/>
        <v>125</v>
      </c>
      <c r="AJ3" s="123">
        <f t="shared" si="3"/>
        <v>0</v>
      </c>
      <c r="AK3" s="123">
        <f t="shared" si="3"/>
        <v>0</v>
      </c>
      <c r="AL3" s="123">
        <f t="shared" si="3"/>
        <v>112</v>
      </c>
      <c r="AM3" s="123">
        <f t="shared" si="3"/>
        <v>99</v>
      </c>
      <c r="AN3" s="123">
        <f t="shared" si="3"/>
        <v>98</v>
      </c>
      <c r="AO3" s="123">
        <f t="shared" si="3"/>
        <v>134</v>
      </c>
      <c r="AP3" s="123">
        <f t="shared" si="3"/>
        <v>124</v>
      </c>
      <c r="AQ3" s="123">
        <f t="shared" si="3"/>
        <v>0</v>
      </c>
      <c r="AR3" s="123">
        <f t="shared" si="3"/>
        <v>0</v>
      </c>
      <c r="AS3" s="123">
        <f t="shared" si="3"/>
        <v>122</v>
      </c>
      <c r="AT3" s="123">
        <f t="shared" si="3"/>
        <v>122</v>
      </c>
      <c r="AU3" s="123">
        <f t="shared" si="3"/>
        <v>116</v>
      </c>
      <c r="AV3" s="123">
        <f t="shared" si="3"/>
        <v>113</v>
      </c>
    </row>
    <row r="4" spans="1:48" s="8" customFormat="1" ht="15.75" thickTop="1" x14ac:dyDescent="0.25">
      <c r="F4" s="113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48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0</v>
      </c>
      <c r="W4" s="10">
        <f>COUNTIFS(W8:W704, "=APAGADO",K8:K704,"=Fibra Optica")</f>
        <v>0</v>
      </c>
      <c r="X4" s="10">
        <f>COUNTIFS(X8:X704, "=APAGADO",K8:K704,"=Fibra Optica")</f>
        <v>46</v>
      </c>
      <c r="Y4" s="10">
        <f>COUNTIFS(Y8:Y704, "=APAGADO",K8:K704,"=Fibra Optica")</f>
        <v>41</v>
      </c>
      <c r="Z4" s="10">
        <f>COUNTIFS(Z8:Z704, "=APAGADO",K8:K704,"=Fibra Optica")</f>
        <v>43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48</v>
      </c>
      <c r="AF4" s="10">
        <f>COUNTIFS(AF8:AF704, "=APAGADO",K8:K704,"=Fibra Optica")</f>
        <v>69</v>
      </c>
      <c r="AG4" s="10">
        <f>COUNTIFS(AG8:AG704, "=APAGADO",K8:K704,"=Fibra Optica")</f>
        <v>62</v>
      </c>
      <c r="AH4" s="10">
        <f>COUNTIFS(AH8:AH704, "=APAGADO",K8:K704,"=Fibra Optica")</f>
        <v>51</v>
      </c>
      <c r="AI4" s="10">
        <f>COUNTIFS(AI8:AI704, "=APAGADO",K8:K704,"=Fibra Optica")</f>
        <v>72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59</v>
      </c>
      <c r="AM4" s="10">
        <f>COUNTIFS(AM8:AM704, "=APAGADO",K8:K704,"=Fibra Optica")</f>
        <v>51</v>
      </c>
      <c r="AN4" s="10">
        <f>COUNTIFS(AN8:AN704, "=APAGADO",K8:K704,"=Fibra Optica")</f>
        <v>47</v>
      </c>
      <c r="AO4" s="10">
        <f>COUNTIFS(AO8:AO704, "=APAGADO",K8:K704,"=Fibra Optica")</f>
        <v>77</v>
      </c>
      <c r="AP4" s="10">
        <f>COUNTIFS(AP8:AP704, "=APAGADO",K8:K704,"=Fibra Optica")</f>
        <v>73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59</v>
      </c>
      <c r="AT4" s="10">
        <f>COUNTIFS(AT8:AT704, "=APAGADO",K8:K704,"=Fibra Optica")</f>
        <v>62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8" s="8" customFormat="1" x14ac:dyDescent="0.25">
      <c r="F5" s="113"/>
      <c r="G5" s="58"/>
      <c r="H5" s="58"/>
      <c r="I5" s="124" t="s">
        <v>1449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16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0</v>
      </c>
      <c r="W5" s="127">
        <f>COUNTIFS(W8:W704, "=APAGADO",K8:K704,"=RADIO")</f>
        <v>0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0</v>
      </c>
      <c r="AD5" s="127">
        <f>COUNTIFS(AD8:AD704, "=APAGADO",K8:K704,"=RADIO")</f>
        <v>0</v>
      </c>
      <c r="AE5" s="127">
        <f>COUNTIFS(AE8:AE704, "=APAGADO",K8:K704,"=RADIO")</f>
        <v>5</v>
      </c>
      <c r="AF5" s="127">
        <f>COUNTIFS(AF8:AF704, "=APAGADO",K8:K704,"=RADIO")</f>
        <v>5</v>
      </c>
      <c r="AG5" s="127">
        <f>COUNTIFS(AG8:AG704, "=APAGADO",K8:K704,"=RADIO")</f>
        <v>5</v>
      </c>
      <c r="AH5" s="127">
        <f>COUNTIFS(AH8:AH704, "=APAGADO",K8:K704,"=RADIO")</f>
        <v>5</v>
      </c>
      <c r="AI5" s="127">
        <f>COUNTIFS(AI8:AI704, "=APAGADO",K8:K704,"=RADIO")</f>
        <v>5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5</v>
      </c>
      <c r="AM5" s="127">
        <f>COUNTIFS(AM8:AM704, "=APAGADO",K8:K704,"=RADIO")</f>
        <v>5</v>
      </c>
      <c r="AN5" s="127">
        <f>COUNTIFS(AN8:AN704, "=APAGADO",K8:K704,"=RADIO")</f>
        <v>5</v>
      </c>
      <c r="AO5" s="127">
        <f>COUNTIFS(AO8:AO704, "=APAGADO",K8:K704,"=RADIO")</f>
        <v>5</v>
      </c>
      <c r="AP5" s="127">
        <f>COUNTIFS(AP8:AP704, "=APAGADO",K8:K704,"=RADIO")</f>
        <v>6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6</v>
      </c>
      <c r="AT5" s="127">
        <f>COUNTIFS(AT8:AT704, "=APAGADO",K8:K704,"=RADIO")</f>
        <v>5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8" s="8" customFormat="1" ht="17.25" customHeight="1" thickBot="1" x14ac:dyDescent="0.3">
      <c r="F6" s="113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8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0</v>
      </c>
      <c r="W6" s="10">
        <f>COUNTIFS(W8:W704, "=APAGADO",K8:K704,"=PTO A FO")</f>
        <v>0</v>
      </c>
      <c r="X6" s="10">
        <f>COUNTIFS(X8:X704, "=APAGADO",K8:K704,"=PTO A FO")</f>
        <v>14</v>
      </c>
      <c r="Y6" s="10">
        <f>COUNTIFS(Y8:Y704, "=APAGADO",K8:K704,"=PTO A FO")</f>
        <v>11</v>
      </c>
      <c r="Z6" s="10">
        <f>COUNTIFS(Z8:Z704, "=APAGADO",K8:K704,"=PTO A FO")</f>
        <v>13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13</v>
      </c>
      <c r="AF6" s="10">
        <f>COUNTIFS(AF8:AF704, "=APAGADO",K8:K704,"=PTO A FO")</f>
        <v>12</v>
      </c>
      <c r="AG6" s="10">
        <f>COUNTIFS(AG8:AG704, "=APAGADO",K8:K704,"=PTO A FO")</f>
        <v>12</v>
      </c>
      <c r="AH6" s="10">
        <f>COUNTIFS(AH8:AH704, "=APAGADO",K8:K704,"=PTO A FO")</f>
        <v>8</v>
      </c>
      <c r="AI6" s="10">
        <f>COUNTIFS(AI8:AI704, "=APAGADO",K8:K704,"=PTO A FO")</f>
        <v>8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7</v>
      </c>
      <c r="AM6" s="10">
        <f>COUNTIFS(AM8:AM704, "=APAGADO",K8:K704,"=PTO A FO")</f>
        <v>6</v>
      </c>
      <c r="AN6" s="10">
        <f>COUNTIFS(AN8:AN704, "=APAGADO",K8:K704,"=PTO A FO")</f>
        <v>5</v>
      </c>
      <c r="AO6" s="10">
        <f>COUNTIFS(AO8:AO704, "=APAGADO",K8:K704,"=PTO A FO")</f>
        <v>11</v>
      </c>
      <c r="AP6" s="10">
        <f>COUNTIFS(AP8:AP704, "=APAGADO",K8:K704,"=PTO A FO")</f>
        <v>8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12</v>
      </c>
      <c r="AT6" s="10">
        <f>COUNTIFS(AT8:AT704, "=APAGADO",K8:K704,"=PTO A FO")</f>
        <v>13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8" s="117" customFormat="1" ht="19.5" customHeight="1" thickTop="1" thickBot="1" x14ac:dyDescent="0.35">
      <c r="A7" s="144" t="s">
        <v>2342</v>
      </c>
      <c r="B7" s="144" t="s">
        <v>2343</v>
      </c>
      <c r="C7" s="144" t="s">
        <v>2344</v>
      </c>
      <c r="D7" s="144" t="s">
        <v>2345</v>
      </c>
      <c r="E7" s="144" t="s">
        <v>2347</v>
      </c>
      <c r="F7" s="35" t="s">
        <v>7</v>
      </c>
      <c r="G7" s="114" t="s">
        <v>2287</v>
      </c>
      <c r="H7" s="35" t="s">
        <v>1051</v>
      </c>
      <c r="I7" s="35" t="s">
        <v>8</v>
      </c>
      <c r="J7" s="114" t="s">
        <v>9</v>
      </c>
      <c r="K7" s="114" t="s">
        <v>10</v>
      </c>
      <c r="L7" s="114" t="s">
        <v>1238</v>
      </c>
      <c r="M7" s="114" t="s">
        <v>2341</v>
      </c>
      <c r="N7" s="114" t="s">
        <v>2283</v>
      </c>
      <c r="O7" s="19" t="s">
        <v>2</v>
      </c>
      <c r="P7" s="19" t="s">
        <v>1644</v>
      </c>
      <c r="Q7" s="19" t="s">
        <v>3</v>
      </c>
      <c r="R7" s="115" t="s">
        <v>4</v>
      </c>
      <c r="S7" s="116">
        <v>46113</v>
      </c>
      <c r="T7" s="116">
        <v>46114</v>
      </c>
      <c r="U7" s="116">
        <v>46115</v>
      </c>
      <c r="V7" s="116">
        <v>46116</v>
      </c>
      <c r="W7" s="116">
        <v>46117</v>
      </c>
      <c r="X7" s="116">
        <v>46118</v>
      </c>
      <c r="Y7" s="116">
        <v>46119</v>
      </c>
      <c r="Z7" s="116">
        <v>46120</v>
      </c>
      <c r="AA7" s="116">
        <v>46121</v>
      </c>
      <c r="AB7" s="116">
        <v>46122</v>
      </c>
      <c r="AC7" s="116">
        <v>46123</v>
      </c>
      <c r="AD7" s="116">
        <v>46124</v>
      </c>
      <c r="AE7" s="116">
        <v>46125</v>
      </c>
      <c r="AF7" s="116">
        <v>46126</v>
      </c>
      <c r="AG7" s="116">
        <v>46127</v>
      </c>
      <c r="AH7" s="116">
        <v>46128</v>
      </c>
      <c r="AI7" s="116">
        <v>46129</v>
      </c>
      <c r="AJ7" s="116">
        <v>46130</v>
      </c>
      <c r="AK7" s="116">
        <v>46131</v>
      </c>
      <c r="AL7" s="116">
        <v>46132</v>
      </c>
      <c r="AM7" s="116">
        <v>46133</v>
      </c>
      <c r="AN7" s="116">
        <v>46134</v>
      </c>
      <c r="AO7" s="116">
        <v>46135</v>
      </c>
      <c r="AP7" s="116">
        <v>46136</v>
      </c>
      <c r="AQ7" s="116">
        <v>46137</v>
      </c>
      <c r="AR7" s="116">
        <v>46138</v>
      </c>
      <c r="AS7" s="116">
        <v>46139</v>
      </c>
      <c r="AT7" s="116">
        <v>46140</v>
      </c>
      <c r="AU7" s="116">
        <v>46141</v>
      </c>
      <c r="AV7" s="116">
        <v>46142</v>
      </c>
    </row>
    <row r="8" spans="1:48" ht="12.75" customHeight="1" thickBot="1" x14ac:dyDescent="0.3">
      <c r="A8"/>
      <c r="B8"/>
      <c r="C8"/>
      <c r="D8"/>
      <c r="E8"/>
      <c r="F8" s="73" t="s">
        <v>599</v>
      </c>
      <c r="G8" s="73" t="s">
        <v>604</v>
      </c>
      <c r="H8" s="73" t="s">
        <v>1052</v>
      </c>
      <c r="I8" s="73" t="s">
        <v>605</v>
      </c>
      <c r="J8" s="84" t="s">
        <v>14</v>
      </c>
      <c r="K8" s="84" t="s">
        <v>1291</v>
      </c>
      <c r="L8" s="84"/>
      <c r="M8" s="84" t="s">
        <v>1490</v>
      </c>
      <c r="N8" s="84"/>
      <c r="O8" s="131">
        <f>COUNTIF(S8:AT8,"")</f>
        <v>28</v>
      </c>
      <c r="P8" s="136" t="s">
        <v>2090</v>
      </c>
      <c r="Q8" s="131">
        <f>COUNTIF(S8:AT8,"APAGADO")</f>
        <v>0</v>
      </c>
      <c r="R8" s="132">
        <f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customHeight="1" thickBot="1" x14ac:dyDescent="0.3">
      <c r="A9"/>
      <c r="B9"/>
      <c r="C9"/>
      <c r="D9"/>
      <c r="E9"/>
      <c r="F9" s="73" t="s">
        <v>307</v>
      </c>
      <c r="G9" s="73" t="s">
        <v>602</v>
      </c>
      <c r="H9" s="73" t="s">
        <v>1053</v>
      </c>
      <c r="I9" s="73" t="s">
        <v>603</v>
      </c>
      <c r="J9" s="84" t="s">
        <v>18</v>
      </c>
      <c r="K9" s="84" t="s">
        <v>1291</v>
      </c>
      <c r="L9" s="84"/>
      <c r="M9" s="84" t="s">
        <v>1356</v>
      </c>
      <c r="N9" s="84"/>
      <c r="O9" s="131">
        <f>COUNTIF(S9:AT9,"")</f>
        <v>28</v>
      </c>
      <c r="P9" s="136" t="s">
        <v>2089</v>
      </c>
      <c r="Q9" s="131">
        <f>COUNTIF(S9:AT9,"APAGADO")</f>
        <v>0</v>
      </c>
      <c r="R9" s="132">
        <f>(O9)/(Q9+O9)</f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customHeight="1" thickBot="1" x14ac:dyDescent="0.3">
      <c r="A10"/>
      <c r="B10"/>
      <c r="C10"/>
      <c r="D10"/>
      <c r="E10"/>
      <c r="F10" s="73" t="s">
        <v>599</v>
      </c>
      <c r="G10" s="73" t="s">
        <v>600</v>
      </c>
      <c r="H10" s="73" t="s">
        <v>1053</v>
      </c>
      <c r="I10" s="73" t="s">
        <v>601</v>
      </c>
      <c r="J10" s="84" t="s">
        <v>18</v>
      </c>
      <c r="K10" s="84" t="s">
        <v>1291</v>
      </c>
      <c r="L10" s="84"/>
      <c r="M10" s="84" t="s">
        <v>1359</v>
      </c>
      <c r="N10" s="84"/>
      <c r="O10" s="131">
        <f>COUNTIF(S10:AT10,"")</f>
        <v>28</v>
      </c>
      <c r="P10" s="136" t="s">
        <v>2088</v>
      </c>
      <c r="Q10" s="131">
        <f>COUNTIF(S10:AT10,"APAGADO")</f>
        <v>0</v>
      </c>
      <c r="R10" s="132">
        <f>(O10)/(Q10+O10)</f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customHeight="1" thickBot="1" x14ac:dyDescent="0.3">
      <c r="A11"/>
      <c r="B11"/>
      <c r="C11"/>
      <c r="D11"/>
      <c r="E11"/>
      <c r="F11" s="73" t="s">
        <v>599</v>
      </c>
      <c r="G11" s="73" t="s">
        <v>2245</v>
      </c>
      <c r="H11" s="73" t="s">
        <v>1052</v>
      </c>
      <c r="I11" s="73" t="s">
        <v>2246</v>
      </c>
      <c r="J11" s="84" t="s">
        <v>14</v>
      </c>
      <c r="K11" s="84" t="s">
        <v>1291</v>
      </c>
      <c r="L11" s="84"/>
      <c r="M11" s="84" t="s">
        <v>2247</v>
      </c>
      <c r="N11" s="84"/>
      <c r="O11" s="131">
        <f>COUNTIF(S11:AT11,"")</f>
        <v>28</v>
      </c>
      <c r="P11" s="136" t="s">
        <v>2248</v>
      </c>
      <c r="Q11" s="131">
        <f>COUNTIF(S11:AT11,"APAGADO")</f>
        <v>0</v>
      </c>
      <c r="R11" s="132">
        <f>(O11)/(Q11+O11)</f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customHeight="1" thickBot="1" x14ac:dyDescent="0.3">
      <c r="A12"/>
      <c r="B12"/>
      <c r="C12"/>
      <c r="D12"/>
      <c r="E12"/>
      <c r="F12" s="73" t="s">
        <v>599</v>
      </c>
      <c r="G12" s="73" t="s">
        <v>2095</v>
      </c>
      <c r="H12" s="73" t="s">
        <v>1052</v>
      </c>
      <c r="I12" s="73" t="s">
        <v>2096</v>
      </c>
      <c r="J12" s="84" t="s">
        <v>14</v>
      </c>
      <c r="K12" s="84" t="s">
        <v>1291</v>
      </c>
      <c r="L12" s="84"/>
      <c r="M12" s="84" t="s">
        <v>2317</v>
      </c>
      <c r="N12" s="84"/>
      <c r="O12" s="131">
        <f>COUNTIF(S12:AT12,"")</f>
        <v>28</v>
      </c>
      <c r="P12" s="136" t="s">
        <v>2097</v>
      </c>
      <c r="Q12" s="131">
        <f>COUNTIF(S12:AT12,"APAGADO")</f>
        <v>0</v>
      </c>
      <c r="R12" s="132">
        <f>(O12)/(Q12+O12)</f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customHeight="1" thickBot="1" x14ac:dyDescent="0.3">
      <c r="A13"/>
      <c r="B13"/>
      <c r="C13"/>
      <c r="D13"/>
      <c r="E13"/>
      <c r="F13" s="73" t="s">
        <v>599</v>
      </c>
      <c r="G13" s="73" t="s">
        <v>1434</v>
      </c>
      <c r="H13" s="73" t="s">
        <v>1052</v>
      </c>
      <c r="I13" s="73" t="s">
        <v>1435</v>
      </c>
      <c r="J13" s="84" t="s">
        <v>72</v>
      </c>
      <c r="K13" s="84" t="s">
        <v>1291</v>
      </c>
      <c r="L13" s="84"/>
      <c r="M13" s="84" t="s">
        <v>1438</v>
      </c>
      <c r="N13" s="84"/>
      <c r="O13" s="131">
        <f>COUNTIF(S13:AT13,"")</f>
        <v>28</v>
      </c>
      <c r="P13" s="136" t="s">
        <v>2094</v>
      </c>
      <c r="Q13" s="131">
        <f>COUNTIF(S13:AT13,"APAGADO")</f>
        <v>0</v>
      </c>
      <c r="R13" s="132">
        <f>(O13)/(Q13+O13)</f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customHeight="1" thickBot="1" x14ac:dyDescent="0.3">
      <c r="A14"/>
      <c r="B14"/>
      <c r="C14"/>
      <c r="D14"/>
      <c r="E14"/>
      <c r="F14" s="73" t="s">
        <v>599</v>
      </c>
      <c r="G14" s="73" t="s">
        <v>1433</v>
      </c>
      <c r="H14" s="73" t="s">
        <v>1052</v>
      </c>
      <c r="I14" s="73" t="s">
        <v>1432</v>
      </c>
      <c r="J14" s="84" t="s">
        <v>72</v>
      </c>
      <c r="K14" s="84" t="s">
        <v>1291</v>
      </c>
      <c r="L14" s="84"/>
      <c r="M14" s="84" t="s">
        <v>1437</v>
      </c>
      <c r="N14" s="84"/>
      <c r="O14" s="131">
        <f>COUNTIF(S14:AT14,"")</f>
        <v>28</v>
      </c>
      <c r="P14" s="136" t="s">
        <v>2093</v>
      </c>
      <c r="Q14" s="131">
        <f>COUNTIF(S14:AT14,"APAGADO")</f>
        <v>0</v>
      </c>
      <c r="R14" s="132">
        <f>(O14)/(Q14+O14)</f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thickBot="1" x14ac:dyDescent="0.3">
      <c r="A15"/>
      <c r="B15"/>
      <c r="C15"/>
      <c r="D15"/>
      <c r="E15"/>
      <c r="F15" s="73" t="s">
        <v>599</v>
      </c>
      <c r="G15" s="73" t="s">
        <v>1430</v>
      </c>
      <c r="H15" s="73" t="s">
        <v>1052</v>
      </c>
      <c r="I15" s="73" t="s">
        <v>1431</v>
      </c>
      <c r="J15" s="84" t="s">
        <v>45</v>
      </c>
      <c r="K15" s="84" t="s">
        <v>1291</v>
      </c>
      <c r="L15" s="84"/>
      <c r="M15" s="84" t="s">
        <v>1436</v>
      </c>
      <c r="N15" s="84"/>
      <c r="O15" s="131">
        <f>COUNTIF(S15:AT15,"")</f>
        <v>28</v>
      </c>
      <c r="P15" s="136" t="s">
        <v>2092</v>
      </c>
      <c r="Q15" s="131">
        <f>COUNTIF(S15:AT15,"APAGADO")</f>
        <v>0</v>
      </c>
      <c r="R15" s="132">
        <f>(O15)/(Q15+O15)</f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</row>
    <row r="16" spans="1:48" ht="15.75" thickBot="1" x14ac:dyDescent="0.3">
      <c r="A16"/>
      <c r="B16"/>
      <c r="C16"/>
      <c r="D16"/>
      <c r="E16"/>
      <c r="F16" s="73" t="s">
        <v>599</v>
      </c>
      <c r="G16" s="73" t="s">
        <v>597</v>
      </c>
      <c r="H16" s="73" t="s">
        <v>1052</v>
      </c>
      <c r="I16" s="73" t="s">
        <v>598</v>
      </c>
      <c r="J16" s="84" t="s">
        <v>18</v>
      </c>
      <c r="K16" s="84" t="s">
        <v>1291</v>
      </c>
      <c r="L16" s="84"/>
      <c r="M16" s="84" t="s">
        <v>1417</v>
      </c>
      <c r="N16" s="84"/>
      <c r="O16" s="131">
        <f>COUNTIF(S16:AT16,"")</f>
        <v>14</v>
      </c>
      <c r="P16" s="136" t="s">
        <v>2091</v>
      </c>
      <c r="Q16" s="131">
        <f>COUNTIF(S16:AT16,"APAGADO")</f>
        <v>14</v>
      </c>
      <c r="R16" s="132">
        <f>(O16)/(Q16+O16)</f>
        <v>0.5</v>
      </c>
      <c r="S16" s="70" t="s">
        <v>2240</v>
      </c>
      <c r="T16" s="70"/>
      <c r="U16" s="70"/>
      <c r="V16" s="70"/>
      <c r="W16" s="70"/>
      <c r="X16" s="70" t="s">
        <v>2240</v>
      </c>
      <c r="Y16" s="70" t="s">
        <v>2240</v>
      </c>
      <c r="Z16" s="70" t="s">
        <v>2240</v>
      </c>
      <c r="AA16" s="70"/>
      <c r="AB16" s="70"/>
      <c r="AC16" s="70"/>
      <c r="AD16" s="70"/>
      <c r="AE16" s="70" t="s">
        <v>2240</v>
      </c>
      <c r="AF16" s="70" t="s">
        <v>2240</v>
      </c>
      <c r="AG16" s="142" t="s">
        <v>2240</v>
      </c>
      <c r="AH16" s="70" t="s">
        <v>2240</v>
      </c>
      <c r="AI16" s="70"/>
      <c r="AJ16" s="70"/>
      <c r="AK16" s="70"/>
      <c r="AL16" s="70" t="s">
        <v>2240</v>
      </c>
      <c r="AM16" s="70" t="s">
        <v>2240</v>
      </c>
      <c r="AN16" s="70" t="s">
        <v>2240</v>
      </c>
      <c r="AO16" s="70" t="s">
        <v>2240</v>
      </c>
      <c r="AP16" s="70" t="s">
        <v>2240</v>
      </c>
      <c r="AQ16" s="70"/>
      <c r="AR16" s="70"/>
      <c r="AS16" s="70" t="s">
        <v>2240</v>
      </c>
      <c r="AT16" s="70"/>
      <c r="AU16" s="70"/>
      <c r="AV16" s="70"/>
    </row>
    <row r="17" spans="1:48" s="73" customFormat="1" ht="15.75" thickBot="1" x14ac:dyDescent="0.3">
      <c r="A17"/>
      <c r="B17"/>
      <c r="C17"/>
      <c r="D17"/>
      <c r="E17"/>
      <c r="F17" t="s">
        <v>591</v>
      </c>
      <c r="G17" t="s">
        <v>1045</v>
      </c>
      <c r="H17" t="s">
        <v>1053</v>
      </c>
      <c r="I17" t="s">
        <v>592</v>
      </c>
      <c r="J17" s="30" t="s">
        <v>14</v>
      </c>
      <c r="K17" s="30" t="s">
        <v>19</v>
      </c>
      <c r="L17" s="30"/>
      <c r="M17" s="30" t="s">
        <v>886</v>
      </c>
      <c r="N17" s="30"/>
      <c r="O17" s="31">
        <f>COUNTIF(S17:AT17,"")</f>
        <v>28</v>
      </c>
      <c r="P17" s="136" t="s">
        <v>2171</v>
      </c>
      <c r="Q17" s="31">
        <f>COUNTIF(S17:AT17,"APAGADO")</f>
        <v>0</v>
      </c>
      <c r="R17" s="32">
        <f>(O17)/(Q17+O17)</f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thickBot="1" x14ac:dyDescent="0.3">
      <c r="A18">
        <v>4</v>
      </c>
      <c r="B18">
        <v>12</v>
      </c>
      <c r="C18"/>
      <c r="D18"/>
      <c r="E18" t="s">
        <v>2351</v>
      </c>
      <c r="F18" t="s">
        <v>591</v>
      </c>
      <c r="G18" s="30" t="s">
        <v>1191</v>
      </c>
      <c r="H18" s="30" t="s">
        <v>1053</v>
      </c>
      <c r="I18" t="s">
        <v>1192</v>
      </c>
      <c r="J18" s="30" t="s">
        <v>14</v>
      </c>
      <c r="K18" s="30" t="s">
        <v>27</v>
      </c>
      <c r="L18" s="30"/>
      <c r="M18" s="30" t="s">
        <v>1193</v>
      </c>
      <c r="N18" s="30"/>
      <c r="O18" s="31">
        <f>COUNTIF(S18:AT18,"")</f>
        <v>28</v>
      </c>
      <c r="P18" s="136" t="s">
        <v>2087</v>
      </c>
      <c r="Q18" s="31">
        <f>COUNTIF(S18:AT18,"APAGADO")</f>
        <v>0</v>
      </c>
      <c r="R18" s="32">
        <f>(O18)/(Q18+O18)</f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thickBot="1" x14ac:dyDescent="0.3">
      <c r="A19">
        <v>4</v>
      </c>
      <c r="B19">
        <v>12</v>
      </c>
      <c r="C19"/>
      <c r="D19"/>
      <c r="E19" t="s">
        <v>2351</v>
      </c>
      <c r="F19" t="s">
        <v>591</v>
      </c>
      <c r="G19" s="30" t="s">
        <v>1106</v>
      </c>
      <c r="H19" s="30" t="s">
        <v>1053</v>
      </c>
      <c r="I19" t="s">
        <v>1107</v>
      </c>
      <c r="J19" s="30" t="s">
        <v>1104</v>
      </c>
      <c r="K19" s="30" t="s">
        <v>27</v>
      </c>
      <c r="L19" s="30"/>
      <c r="M19" s="30" t="s">
        <v>1113</v>
      </c>
      <c r="N19" s="30"/>
      <c r="O19" s="31">
        <f>COUNTIF(S19:AT19,"")</f>
        <v>27</v>
      </c>
      <c r="P19" s="136" t="s">
        <v>2085</v>
      </c>
      <c r="Q19" s="31">
        <f>COUNTIF(S19:AT19,"APAGADO")</f>
        <v>1</v>
      </c>
      <c r="R19" s="32">
        <f>(O19)/(Q19+O19)</f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 t="s">
        <v>2240</v>
      </c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thickBot="1" x14ac:dyDescent="0.3">
      <c r="A20">
        <v>4</v>
      </c>
      <c r="B20">
        <v>12</v>
      </c>
      <c r="C20"/>
      <c r="D20"/>
      <c r="E20" t="s">
        <v>2351</v>
      </c>
      <c r="F20" t="s">
        <v>591</v>
      </c>
      <c r="G20" s="30" t="s">
        <v>1105</v>
      </c>
      <c r="H20" s="30" t="s">
        <v>1053</v>
      </c>
      <c r="I20" t="s">
        <v>1107</v>
      </c>
      <c r="J20" s="30" t="s">
        <v>1104</v>
      </c>
      <c r="K20" s="30" t="s">
        <v>27</v>
      </c>
      <c r="L20" s="30"/>
      <c r="M20" s="30" t="s">
        <v>1112</v>
      </c>
      <c r="N20" s="30"/>
      <c r="O20" s="31">
        <f>COUNTIF(S20:AT20,"")</f>
        <v>28</v>
      </c>
      <c r="P20" s="136" t="s">
        <v>2086</v>
      </c>
      <c r="Q20" s="31">
        <f>COUNTIF(S20:AT20,"APAGADO")</f>
        <v>0</v>
      </c>
      <c r="R20" s="32">
        <f>(O20)/(Q20+O20)</f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thickBot="1" x14ac:dyDescent="0.3">
      <c r="A21"/>
      <c r="B21"/>
      <c r="C21"/>
      <c r="D21"/>
      <c r="E21"/>
      <c r="F21" t="s">
        <v>591</v>
      </c>
      <c r="G21" t="s">
        <v>595</v>
      </c>
      <c r="H21" t="s">
        <v>1053</v>
      </c>
      <c r="I21" t="s">
        <v>596</v>
      </c>
      <c r="J21" s="30" t="s">
        <v>14</v>
      </c>
      <c r="K21" s="30" t="s">
        <v>19</v>
      </c>
      <c r="L21" s="30"/>
      <c r="M21" s="30" t="s">
        <v>888</v>
      </c>
      <c r="N21" s="30"/>
      <c r="O21" s="31">
        <f>COUNTIF(S21:AT21,"")</f>
        <v>28</v>
      </c>
      <c r="P21" s="136" t="s">
        <v>2173</v>
      </c>
      <c r="Q21" s="31">
        <f>COUNTIF(S21:AT21,"APAGADO")</f>
        <v>0</v>
      </c>
      <c r="R21" s="32">
        <f>(O21)/(Q21+O21)</f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thickBot="1" x14ac:dyDescent="0.3">
      <c r="A22"/>
      <c r="B22"/>
      <c r="C22"/>
      <c r="D22"/>
      <c r="E22"/>
      <c r="F22" t="s">
        <v>591</v>
      </c>
      <c r="G22" t="s">
        <v>593</v>
      </c>
      <c r="H22" t="s">
        <v>1053</v>
      </c>
      <c r="I22" t="s">
        <v>594</v>
      </c>
      <c r="J22" s="30" t="s">
        <v>14</v>
      </c>
      <c r="K22" s="30" t="s">
        <v>19</v>
      </c>
      <c r="L22" s="30"/>
      <c r="M22" s="30" t="s">
        <v>887</v>
      </c>
      <c r="N22" s="30"/>
      <c r="O22" s="31">
        <f>COUNTIF(S22:AT22,"")</f>
        <v>25</v>
      </c>
      <c r="P22" s="136" t="s">
        <v>2172</v>
      </c>
      <c r="Q22" s="31">
        <f>COUNTIF(S22:AT22,"APAGADO")</f>
        <v>3</v>
      </c>
      <c r="R22" s="32">
        <f>(O22)/(Q22+O22)</f>
        <v>0.8928571428571429</v>
      </c>
      <c r="S22" s="70" t="s">
        <v>2240</v>
      </c>
      <c r="T22" s="70"/>
      <c r="U22" s="70"/>
      <c r="V22" s="70"/>
      <c r="W22" s="70"/>
      <c r="X22" s="70" t="s">
        <v>2240</v>
      </c>
      <c r="Y22" s="70" t="s">
        <v>2240</v>
      </c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thickBot="1" x14ac:dyDescent="0.3">
      <c r="A23"/>
      <c r="B23"/>
      <c r="C23"/>
      <c r="D23"/>
      <c r="E23"/>
      <c r="F23" s="73" t="s">
        <v>588</v>
      </c>
      <c r="G23" s="73" t="s">
        <v>2232</v>
      </c>
      <c r="H23" s="73" t="s">
        <v>1053</v>
      </c>
      <c r="I23" s="73" t="s">
        <v>2233</v>
      </c>
      <c r="J23" s="84" t="s">
        <v>14</v>
      </c>
      <c r="K23" s="84" t="s">
        <v>1291</v>
      </c>
      <c r="L23" s="84"/>
      <c r="M23" s="84" t="s">
        <v>2316</v>
      </c>
      <c r="N23" s="84"/>
      <c r="O23" s="131">
        <f>COUNTIF(S23:AT23,"")</f>
        <v>28</v>
      </c>
      <c r="P23" s="136"/>
      <c r="Q23" s="131">
        <f>COUNTIF(S23:AT23,"APAGADO")</f>
        <v>0</v>
      </c>
      <c r="R23" s="132">
        <f>(O23)/(Q23+O23)</f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thickBot="1" x14ac:dyDescent="0.3">
      <c r="A24"/>
      <c r="B24"/>
      <c r="C24"/>
      <c r="D24"/>
      <c r="E24"/>
      <c r="F24" s="73" t="s">
        <v>588</v>
      </c>
      <c r="G24" s="73" t="s">
        <v>2219</v>
      </c>
      <c r="H24" s="73" t="s">
        <v>1053</v>
      </c>
      <c r="I24" s="73" t="s">
        <v>2220</v>
      </c>
      <c r="J24" s="84" t="s">
        <v>14</v>
      </c>
      <c r="K24" s="84" t="s">
        <v>1291</v>
      </c>
      <c r="L24" s="84"/>
      <c r="M24" s="84" t="s">
        <v>2221</v>
      </c>
      <c r="N24" s="84"/>
      <c r="O24" s="131">
        <f>COUNTIF(S24:AT24,"")</f>
        <v>28</v>
      </c>
      <c r="P24" s="136" t="s">
        <v>2222</v>
      </c>
      <c r="Q24" s="131">
        <f>COUNTIF(S24:AT24,"APAGADO")</f>
        <v>0</v>
      </c>
      <c r="R24" s="132">
        <f>(O24)/(Q24+O24)</f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thickBot="1" x14ac:dyDescent="0.3">
      <c r="A25"/>
      <c r="B25"/>
      <c r="C25"/>
      <c r="D25"/>
      <c r="E25"/>
      <c r="F25" s="73" t="s">
        <v>588</v>
      </c>
      <c r="G25" s="73" t="s">
        <v>589</v>
      </c>
      <c r="H25" s="73" t="s">
        <v>1053</v>
      </c>
      <c r="I25" s="73" t="s">
        <v>590</v>
      </c>
      <c r="J25" s="84" t="s">
        <v>14</v>
      </c>
      <c r="K25" s="84" t="s">
        <v>1291</v>
      </c>
      <c r="L25" s="84"/>
      <c r="M25" s="84" t="s">
        <v>885</v>
      </c>
      <c r="N25" s="84"/>
      <c r="O25" s="131">
        <f>COUNTIF(S25:AT25,"")</f>
        <v>28</v>
      </c>
      <c r="P25" s="136" t="s">
        <v>2170</v>
      </c>
      <c r="Q25" s="131">
        <f>COUNTIF(S25:AT25,"APAGADO")</f>
        <v>0</v>
      </c>
      <c r="R25" s="132">
        <f>(O25)/(Q25+O25)</f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thickBot="1" x14ac:dyDescent="0.3">
      <c r="A26">
        <v>6</v>
      </c>
      <c r="B26">
        <v>12</v>
      </c>
      <c r="C26"/>
      <c r="D26"/>
      <c r="E26" t="s">
        <v>2353</v>
      </c>
      <c r="F26" t="s">
        <v>583</v>
      </c>
      <c r="G26" t="s">
        <v>587</v>
      </c>
      <c r="H26" t="s">
        <v>1053</v>
      </c>
      <c r="I26" t="s">
        <v>586</v>
      </c>
      <c r="J26" s="30" t="s">
        <v>72</v>
      </c>
      <c r="K26" s="30" t="s">
        <v>27</v>
      </c>
      <c r="L26" s="30"/>
      <c r="M26" s="30" t="s">
        <v>884</v>
      </c>
      <c r="N26" s="30"/>
      <c r="O26" s="31">
        <f>COUNTIF(S26:AT26,"")</f>
        <v>22</v>
      </c>
      <c r="P26" s="136" t="s">
        <v>2084</v>
      </c>
      <c r="Q26" s="31">
        <f>COUNTIF(S26:AT26,"APAGADO")</f>
        <v>6</v>
      </c>
      <c r="R26" s="32">
        <f>(O26)/(Q26+O26)</f>
        <v>0.7857142857142857</v>
      </c>
      <c r="S26" s="70" t="s">
        <v>2240</v>
      </c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 t="s">
        <v>2240</v>
      </c>
      <c r="AJ26" s="70"/>
      <c r="AK26" s="70"/>
      <c r="AL26" s="70"/>
      <c r="AM26" s="70"/>
      <c r="AN26" s="70"/>
      <c r="AO26" s="70" t="s">
        <v>2240</v>
      </c>
      <c r="AP26" s="70" t="s">
        <v>2240</v>
      </c>
      <c r="AQ26" s="70"/>
      <c r="AR26" s="70"/>
      <c r="AS26" s="70" t="s">
        <v>2240</v>
      </c>
      <c r="AT26" s="70" t="s">
        <v>2240</v>
      </c>
      <c r="AU26" s="70" t="s">
        <v>2240</v>
      </c>
      <c r="AV26" s="70" t="s">
        <v>2240</v>
      </c>
    </row>
    <row r="27" spans="1:48" ht="15.75" thickBot="1" x14ac:dyDescent="0.3">
      <c r="A27">
        <v>6</v>
      </c>
      <c r="B27">
        <v>12</v>
      </c>
      <c r="C27"/>
      <c r="D27"/>
      <c r="E27" t="s">
        <v>2353</v>
      </c>
      <c r="F27" t="s">
        <v>583</v>
      </c>
      <c r="G27" t="s">
        <v>584</v>
      </c>
      <c r="H27" t="s">
        <v>1053</v>
      </c>
      <c r="I27" t="s">
        <v>585</v>
      </c>
      <c r="J27" s="30" t="s">
        <v>72</v>
      </c>
      <c r="K27" s="30" t="s">
        <v>27</v>
      </c>
      <c r="L27" s="30"/>
      <c r="M27" s="30" t="s">
        <v>881</v>
      </c>
      <c r="N27" s="30"/>
      <c r="O27" s="31">
        <f>COUNTIF(S27:AT27,"")</f>
        <v>23</v>
      </c>
      <c r="P27" s="136" t="s">
        <v>2081</v>
      </c>
      <c r="Q27" s="31">
        <f>COUNTIF(S27:AT27,"APAGADO")</f>
        <v>5</v>
      </c>
      <c r="R27" s="32">
        <f>(O27)/(Q27+O27)</f>
        <v>0.8214285714285714</v>
      </c>
      <c r="S27" s="70" t="s">
        <v>2240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 t="s">
        <v>2240</v>
      </c>
      <c r="AJ27" s="70"/>
      <c r="AK27" s="70"/>
      <c r="AL27" s="70"/>
      <c r="AM27" s="70"/>
      <c r="AN27" s="70"/>
      <c r="AO27" s="70" t="s">
        <v>2240</v>
      </c>
      <c r="AP27" s="70" t="s">
        <v>2240</v>
      </c>
      <c r="AQ27" s="70"/>
      <c r="AR27" s="70"/>
      <c r="AS27" s="70"/>
      <c r="AT27" s="70" t="s">
        <v>2240</v>
      </c>
      <c r="AU27" s="70" t="s">
        <v>2240</v>
      </c>
      <c r="AV27" s="70" t="s">
        <v>2240</v>
      </c>
    </row>
    <row r="28" spans="1:48" ht="15.75" thickBot="1" x14ac:dyDescent="0.3">
      <c r="A28">
        <v>6</v>
      </c>
      <c r="B28">
        <v>12</v>
      </c>
      <c r="C28"/>
      <c r="D28"/>
      <c r="E28" t="s">
        <v>2353</v>
      </c>
      <c r="F28" t="s">
        <v>583</v>
      </c>
      <c r="G28" t="s">
        <v>1044</v>
      </c>
      <c r="H28" t="s">
        <v>1053</v>
      </c>
      <c r="I28" t="s">
        <v>586</v>
      </c>
      <c r="J28" s="30" t="s">
        <v>72</v>
      </c>
      <c r="K28" s="30" t="s">
        <v>27</v>
      </c>
      <c r="L28" s="30"/>
      <c r="M28" s="30" t="s">
        <v>883</v>
      </c>
      <c r="N28" s="30"/>
      <c r="O28" s="31">
        <f>COUNTIF(S28:AT28,"")</f>
        <v>23</v>
      </c>
      <c r="P28" s="136" t="s">
        <v>2083</v>
      </c>
      <c r="Q28" s="31">
        <f>COUNTIF(S28:AT28,"APAGADO")</f>
        <v>5</v>
      </c>
      <c r="R28" s="32">
        <f>(O28)/(Q28+O28)</f>
        <v>0.8214285714285714</v>
      </c>
      <c r="S28" s="70" t="s">
        <v>2240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 t="s">
        <v>2240</v>
      </c>
      <c r="AJ28" s="70"/>
      <c r="AK28" s="70"/>
      <c r="AL28" s="70"/>
      <c r="AM28" s="70"/>
      <c r="AN28" s="70"/>
      <c r="AO28" s="70" t="s">
        <v>2240</v>
      </c>
      <c r="AP28" s="70" t="s">
        <v>2240</v>
      </c>
      <c r="AQ28" s="70"/>
      <c r="AR28" s="70"/>
      <c r="AS28" s="70"/>
      <c r="AT28" s="70" t="s">
        <v>2240</v>
      </c>
      <c r="AU28" s="70" t="s">
        <v>2240</v>
      </c>
      <c r="AV28" s="70" t="s">
        <v>2240</v>
      </c>
    </row>
    <row r="29" spans="1:48" ht="15.75" thickBot="1" x14ac:dyDescent="0.3">
      <c r="A29">
        <v>6</v>
      </c>
      <c r="B29">
        <v>12</v>
      </c>
      <c r="C29"/>
      <c r="D29"/>
      <c r="E29" t="s">
        <v>2353</v>
      </c>
      <c r="F29" t="s">
        <v>583</v>
      </c>
      <c r="G29" t="s">
        <v>1043</v>
      </c>
      <c r="H29" t="s">
        <v>1053</v>
      </c>
      <c r="I29" t="s">
        <v>585</v>
      </c>
      <c r="J29" s="30" t="s">
        <v>72</v>
      </c>
      <c r="K29" s="30" t="s">
        <v>27</v>
      </c>
      <c r="L29" s="30"/>
      <c r="M29" s="30" t="s">
        <v>882</v>
      </c>
      <c r="N29" s="30"/>
      <c r="O29" s="31">
        <f>COUNTIF(S29:AT29,"")</f>
        <v>23</v>
      </c>
      <c r="P29" s="136" t="s">
        <v>2082</v>
      </c>
      <c r="Q29" s="31">
        <f>COUNTIF(S29:AT29,"APAGADO")</f>
        <v>5</v>
      </c>
      <c r="R29" s="32">
        <f>(O29)/(Q29+O29)</f>
        <v>0.8214285714285714</v>
      </c>
      <c r="S29" s="70" t="s">
        <v>2240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 t="s">
        <v>2240</v>
      </c>
      <c r="AJ29" s="70"/>
      <c r="AK29" s="70"/>
      <c r="AL29" s="70"/>
      <c r="AM29" s="70"/>
      <c r="AN29" s="70"/>
      <c r="AO29" s="70" t="s">
        <v>2240</v>
      </c>
      <c r="AP29" s="70" t="s">
        <v>2240</v>
      </c>
      <c r="AQ29" s="70"/>
      <c r="AR29" s="70"/>
      <c r="AS29" s="70"/>
      <c r="AT29" s="70" t="s">
        <v>2240</v>
      </c>
      <c r="AU29" s="70" t="s">
        <v>2240</v>
      </c>
      <c r="AV29" s="70" t="s">
        <v>2240</v>
      </c>
    </row>
    <row r="30" spans="1:48" s="73" customFormat="1" ht="15.75" thickBot="1" x14ac:dyDescent="0.3">
      <c r="A30"/>
      <c r="B30"/>
      <c r="C30"/>
      <c r="D30"/>
      <c r="E30"/>
      <c r="F30" t="s">
        <v>174</v>
      </c>
      <c r="G30" t="s">
        <v>582</v>
      </c>
      <c r="H30" t="s">
        <v>1053</v>
      </c>
      <c r="I30" t="s">
        <v>1084</v>
      </c>
      <c r="J30" s="30" t="s">
        <v>14</v>
      </c>
      <c r="K30" s="30" t="s">
        <v>27</v>
      </c>
      <c r="L30" s="30"/>
      <c r="M30" s="30" t="s">
        <v>1210</v>
      </c>
      <c r="N30" s="30"/>
      <c r="O30" s="31">
        <f>COUNTIF(S30:AT30,"")</f>
        <v>13</v>
      </c>
      <c r="P30" s="136" t="s">
        <v>2080</v>
      </c>
      <c r="Q30" s="31">
        <f>COUNTIF(S30:AT30,"APAGADO")</f>
        <v>15</v>
      </c>
      <c r="R30" s="32">
        <f>(O30)/(Q30+O30)</f>
        <v>0.4642857142857143</v>
      </c>
      <c r="S30" s="70"/>
      <c r="T30" s="70"/>
      <c r="U30" s="70"/>
      <c r="V30" s="70"/>
      <c r="W30" s="70"/>
      <c r="X30" s="70" t="s">
        <v>2240</v>
      </c>
      <c r="Y30" s="70" t="s">
        <v>2240</v>
      </c>
      <c r="Z30" s="70" t="s">
        <v>2240</v>
      </c>
      <c r="AA30" s="70"/>
      <c r="AB30" s="70"/>
      <c r="AC30" s="70"/>
      <c r="AD30" s="70"/>
      <c r="AE30" s="70" t="s">
        <v>2240</v>
      </c>
      <c r="AF30" s="70" t="s">
        <v>2240</v>
      </c>
      <c r="AG30" s="142" t="s">
        <v>2240</v>
      </c>
      <c r="AH30" s="70" t="s">
        <v>2240</v>
      </c>
      <c r="AI30" s="70" t="s">
        <v>2240</v>
      </c>
      <c r="AJ30" s="70"/>
      <c r="AK30" s="70"/>
      <c r="AL30" s="70" t="s">
        <v>2240</v>
      </c>
      <c r="AM30" s="70" t="s">
        <v>2240</v>
      </c>
      <c r="AN30" s="70" t="s">
        <v>2240</v>
      </c>
      <c r="AO30" s="70" t="s">
        <v>2240</v>
      </c>
      <c r="AP30" s="70" t="s">
        <v>2240</v>
      </c>
      <c r="AQ30" s="70"/>
      <c r="AR30" s="70"/>
      <c r="AS30" s="70" t="s">
        <v>2240</v>
      </c>
      <c r="AT30" s="70" t="s">
        <v>2240</v>
      </c>
      <c r="AU30" s="70" t="s">
        <v>2240</v>
      </c>
      <c r="AV30" s="70" t="s">
        <v>2240</v>
      </c>
    </row>
    <row r="31" spans="1:48" s="73" customFormat="1" ht="15.75" thickBot="1" x14ac:dyDescent="0.3">
      <c r="A31">
        <v>6</v>
      </c>
      <c r="B31">
        <v>12</v>
      </c>
      <c r="C31"/>
      <c r="D31"/>
      <c r="E31" t="s">
        <v>2353</v>
      </c>
      <c r="F31" t="s">
        <v>174</v>
      </c>
      <c r="G31" t="s">
        <v>1042</v>
      </c>
      <c r="H31" t="s">
        <v>1053</v>
      </c>
      <c r="I31" t="s">
        <v>1097</v>
      </c>
      <c r="J31" s="30" t="s">
        <v>14</v>
      </c>
      <c r="K31" s="30" t="s">
        <v>27</v>
      </c>
      <c r="L31" s="30"/>
      <c r="M31" s="30" t="s">
        <v>880</v>
      </c>
      <c r="N31" s="30"/>
      <c r="O31" s="31">
        <f>COUNTIF(S31:AT31,"")</f>
        <v>22</v>
      </c>
      <c r="P31" s="136" t="s">
        <v>2079</v>
      </c>
      <c r="Q31" s="31">
        <f>COUNTIF(S31:AT31,"APAGADO")</f>
        <v>6</v>
      </c>
      <c r="R31" s="32">
        <f>(O31)/(Q31+O31)</f>
        <v>0.7857142857142857</v>
      </c>
      <c r="S31" s="70" t="s">
        <v>2240</v>
      </c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 t="s">
        <v>2240</v>
      </c>
      <c r="AJ31" s="70"/>
      <c r="AK31" s="70"/>
      <c r="AL31" s="70"/>
      <c r="AM31" s="70"/>
      <c r="AN31" s="70"/>
      <c r="AO31" s="70" t="s">
        <v>2240</v>
      </c>
      <c r="AP31" s="70" t="s">
        <v>2240</v>
      </c>
      <c r="AQ31" s="70"/>
      <c r="AR31" s="70"/>
      <c r="AS31" s="70" t="s">
        <v>2240</v>
      </c>
      <c r="AT31" s="70" t="s">
        <v>2240</v>
      </c>
      <c r="AU31" s="70" t="s">
        <v>2240</v>
      </c>
      <c r="AV31" s="70" t="s">
        <v>2240</v>
      </c>
    </row>
    <row r="32" spans="1:48" s="73" customFormat="1" ht="15.75" thickBot="1" x14ac:dyDescent="0.3">
      <c r="A32">
        <v>6</v>
      </c>
      <c r="B32">
        <v>12</v>
      </c>
      <c r="C32"/>
      <c r="D32"/>
      <c r="E32" t="s">
        <v>2353</v>
      </c>
      <c r="F32" t="s">
        <v>174</v>
      </c>
      <c r="G32" t="s">
        <v>1041</v>
      </c>
      <c r="H32" t="s">
        <v>1053</v>
      </c>
      <c r="I32" t="s">
        <v>1083</v>
      </c>
      <c r="J32" s="30" t="s">
        <v>72</v>
      </c>
      <c r="K32" s="30" t="s">
        <v>27</v>
      </c>
      <c r="L32" s="30"/>
      <c r="M32" s="30" t="s">
        <v>879</v>
      </c>
      <c r="N32" s="30"/>
      <c r="O32" s="31">
        <f>COUNTIF(S32:AT32,"")</f>
        <v>22</v>
      </c>
      <c r="P32" s="136" t="s">
        <v>2078</v>
      </c>
      <c r="Q32" s="31">
        <f>COUNTIF(S32:AT32,"APAGADO")</f>
        <v>6</v>
      </c>
      <c r="R32" s="32">
        <f>(O32)/(Q32+O32)</f>
        <v>0.7857142857142857</v>
      </c>
      <c r="S32" s="70" t="s">
        <v>2240</v>
      </c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 t="s">
        <v>2240</v>
      </c>
      <c r="AJ32" s="70"/>
      <c r="AK32" s="70"/>
      <c r="AL32" s="70"/>
      <c r="AM32" s="70"/>
      <c r="AN32" s="70"/>
      <c r="AO32" s="70" t="s">
        <v>2240</v>
      </c>
      <c r="AP32" s="70" t="s">
        <v>2240</v>
      </c>
      <c r="AQ32" s="70"/>
      <c r="AR32" s="70"/>
      <c r="AS32" s="70" t="s">
        <v>2240</v>
      </c>
      <c r="AT32" s="70" t="s">
        <v>2240</v>
      </c>
      <c r="AU32" s="70" t="s">
        <v>2240</v>
      </c>
      <c r="AV32" s="70" t="s">
        <v>2240</v>
      </c>
    </row>
    <row r="33" spans="1:48" s="73" customFormat="1" ht="15.75" thickBot="1" x14ac:dyDescent="0.3">
      <c r="A33">
        <v>6</v>
      </c>
      <c r="B33">
        <v>12</v>
      </c>
      <c r="C33"/>
      <c r="D33"/>
      <c r="E33" t="s">
        <v>2353</v>
      </c>
      <c r="F33" t="s">
        <v>174</v>
      </c>
      <c r="G33" t="s">
        <v>1040</v>
      </c>
      <c r="H33" t="s">
        <v>1053</v>
      </c>
      <c r="I33" t="s">
        <v>1083</v>
      </c>
      <c r="J33" s="30" t="s">
        <v>72</v>
      </c>
      <c r="K33" s="30" t="s">
        <v>27</v>
      </c>
      <c r="L33" s="30"/>
      <c r="M33" s="30" t="s">
        <v>878</v>
      </c>
      <c r="N33" s="30"/>
      <c r="O33" s="31">
        <f>COUNTIF(S33:AT33,"")</f>
        <v>22</v>
      </c>
      <c r="P33" s="136" t="s">
        <v>2077</v>
      </c>
      <c r="Q33" s="31">
        <f>COUNTIF(S33:AT33,"APAGADO")</f>
        <v>6</v>
      </c>
      <c r="R33" s="32">
        <f>(O33)/(Q33+O33)</f>
        <v>0.7857142857142857</v>
      </c>
      <c r="S33" s="70" t="s">
        <v>2240</v>
      </c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 t="s">
        <v>2240</v>
      </c>
      <c r="AJ33" s="70"/>
      <c r="AK33" s="70"/>
      <c r="AL33" s="70"/>
      <c r="AM33" s="70"/>
      <c r="AN33" s="70"/>
      <c r="AO33" s="70" t="s">
        <v>2240</v>
      </c>
      <c r="AP33" s="70" t="s">
        <v>2240</v>
      </c>
      <c r="AQ33" s="70"/>
      <c r="AR33" s="70"/>
      <c r="AS33" s="70" t="s">
        <v>2240</v>
      </c>
      <c r="AT33" s="70" t="s">
        <v>2240</v>
      </c>
      <c r="AU33" s="70" t="s">
        <v>2240</v>
      </c>
      <c r="AV33" s="70" t="s">
        <v>2240</v>
      </c>
    </row>
    <row r="34" spans="1:48" s="73" customFormat="1" ht="15.75" thickBot="1" x14ac:dyDescent="0.3">
      <c r="A34"/>
      <c r="B34"/>
      <c r="C34"/>
      <c r="D34"/>
      <c r="E34"/>
      <c r="F34" t="s">
        <v>174</v>
      </c>
      <c r="G34" t="s">
        <v>581</v>
      </c>
      <c r="H34" t="s">
        <v>1053</v>
      </c>
      <c r="I34" t="s">
        <v>1082</v>
      </c>
      <c r="J34" s="30" t="s">
        <v>18</v>
      </c>
      <c r="K34" s="30" t="s">
        <v>19</v>
      </c>
      <c r="L34" s="30"/>
      <c r="M34" s="30" t="s">
        <v>1386</v>
      </c>
      <c r="N34" s="30"/>
      <c r="O34" s="31">
        <f>COUNTIF(S34:AT34,"")</f>
        <v>27</v>
      </c>
      <c r="P34" s="136" t="s">
        <v>2155</v>
      </c>
      <c r="Q34" s="31">
        <f>COUNTIF(S34:AT34,"APAGADO")</f>
        <v>1</v>
      </c>
      <c r="R34" s="32">
        <f>(O34)/(Q34+O34)</f>
        <v>0.9642857142857143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 t="s">
        <v>2240</v>
      </c>
      <c r="AT34" s="70"/>
      <c r="AU34" s="70"/>
      <c r="AV34" s="70"/>
    </row>
    <row r="35" spans="1:48" s="73" customFormat="1" ht="15.75" thickBot="1" x14ac:dyDescent="0.3">
      <c r="A35"/>
      <c r="B35"/>
      <c r="C35"/>
      <c r="D35"/>
      <c r="E35"/>
      <c r="F35" s="73" t="s">
        <v>572</v>
      </c>
      <c r="G35" s="73" t="s">
        <v>579</v>
      </c>
      <c r="H35" s="73" t="s">
        <v>1053</v>
      </c>
      <c r="I35" s="73" t="s">
        <v>580</v>
      </c>
      <c r="J35" s="84" t="s">
        <v>14</v>
      </c>
      <c r="K35" s="84" t="s">
        <v>1291</v>
      </c>
      <c r="L35" s="84"/>
      <c r="M35" s="84" t="s">
        <v>877</v>
      </c>
      <c r="N35" s="84"/>
      <c r="O35" s="131">
        <f>COUNTIF(S35:AT35,"")</f>
        <v>28</v>
      </c>
      <c r="P35" s="136" t="s">
        <v>2076</v>
      </c>
      <c r="Q35" s="131">
        <f>COUNTIF(S35:AT35,"APAGADO")</f>
        <v>0</v>
      </c>
      <c r="R35" s="132">
        <f>(O35)/(Q35+O35)</f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5.75" thickBot="1" x14ac:dyDescent="0.3">
      <c r="A36"/>
      <c r="B36"/>
      <c r="C36"/>
      <c r="D36"/>
      <c r="E36"/>
      <c r="F36" t="s">
        <v>572</v>
      </c>
      <c r="G36" t="s">
        <v>577</v>
      </c>
      <c r="H36" t="s">
        <v>1053</v>
      </c>
      <c r="I36" t="s">
        <v>578</v>
      </c>
      <c r="J36" s="30" t="s">
        <v>14</v>
      </c>
      <c r="K36" s="30" t="s">
        <v>27</v>
      </c>
      <c r="L36" s="30"/>
      <c r="M36" s="30" t="s">
        <v>876</v>
      </c>
      <c r="N36" s="30"/>
      <c r="O36" s="31">
        <f>COUNTIF(S36:AT36,"")</f>
        <v>28</v>
      </c>
      <c r="P36" s="136" t="s">
        <v>2075</v>
      </c>
      <c r="Q36" s="31">
        <f>COUNTIF(S36:AT36,"APAGADO")</f>
        <v>0</v>
      </c>
      <c r="R36" s="32">
        <f>(O36)/(Q36+O36)</f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</row>
    <row r="37" spans="1:48" s="73" customFormat="1" ht="15.75" thickBot="1" x14ac:dyDescent="0.3">
      <c r="A37"/>
      <c r="B37"/>
      <c r="C37"/>
      <c r="D37"/>
      <c r="E37"/>
      <c r="F37" t="s">
        <v>572</v>
      </c>
      <c r="G37" t="s">
        <v>575</v>
      </c>
      <c r="H37" t="s">
        <v>1053</v>
      </c>
      <c r="I37" t="s">
        <v>576</v>
      </c>
      <c r="J37" s="30" t="s">
        <v>72</v>
      </c>
      <c r="K37" s="84" t="s">
        <v>1291</v>
      </c>
      <c r="L37" s="30"/>
      <c r="M37" s="30" t="s">
        <v>875</v>
      </c>
      <c r="N37" s="30"/>
      <c r="O37" s="31">
        <f>COUNTIF(S37:AT37,"")</f>
        <v>12</v>
      </c>
      <c r="P37" s="136" t="s">
        <v>2154</v>
      </c>
      <c r="Q37" s="31">
        <f>COUNTIF(S37:AT37,"APAGADO")</f>
        <v>16</v>
      </c>
      <c r="R37" s="32">
        <f>(O37)/(Q37+O37)</f>
        <v>0.42857142857142855</v>
      </c>
      <c r="S37" s="70" t="s">
        <v>2240</v>
      </c>
      <c r="T37" s="70"/>
      <c r="U37" s="70"/>
      <c r="V37" s="70"/>
      <c r="W37" s="70"/>
      <c r="X37" s="70" t="s">
        <v>2240</v>
      </c>
      <c r="Y37" s="70" t="s">
        <v>2240</v>
      </c>
      <c r="Z37" s="70" t="s">
        <v>2240</v>
      </c>
      <c r="AA37" s="70"/>
      <c r="AB37" s="70"/>
      <c r="AC37" s="70"/>
      <c r="AD37" s="70"/>
      <c r="AE37" s="70" t="s">
        <v>2240</v>
      </c>
      <c r="AF37" s="70" t="s">
        <v>2240</v>
      </c>
      <c r="AG37" s="142" t="s">
        <v>2240</v>
      </c>
      <c r="AH37" s="70" t="s">
        <v>2240</v>
      </c>
      <c r="AI37" s="70" t="s">
        <v>2240</v>
      </c>
      <c r="AJ37" s="70"/>
      <c r="AK37" s="151"/>
      <c r="AL37" s="70" t="s">
        <v>2240</v>
      </c>
      <c r="AM37" s="70" t="s">
        <v>2240</v>
      </c>
      <c r="AN37" s="70" t="s">
        <v>2240</v>
      </c>
      <c r="AO37" s="70" t="s">
        <v>2240</v>
      </c>
      <c r="AP37" s="70" t="s">
        <v>2240</v>
      </c>
      <c r="AQ37" s="70"/>
      <c r="AR37" s="70"/>
      <c r="AS37" s="70" t="s">
        <v>2240</v>
      </c>
      <c r="AT37" s="70" t="s">
        <v>2240</v>
      </c>
      <c r="AU37" s="70" t="s">
        <v>2240</v>
      </c>
      <c r="AV37" s="70" t="s">
        <v>2240</v>
      </c>
    </row>
    <row r="38" spans="1:48" s="73" customFormat="1" ht="15.75" thickBot="1" x14ac:dyDescent="0.3">
      <c r="A38"/>
      <c r="B38"/>
      <c r="C38"/>
      <c r="D38"/>
      <c r="E38"/>
      <c r="F38" t="s">
        <v>572</v>
      </c>
      <c r="G38" t="s">
        <v>1039</v>
      </c>
      <c r="H38" t="s">
        <v>1053</v>
      </c>
      <c r="I38" t="s">
        <v>574</v>
      </c>
      <c r="J38" s="30" t="s">
        <v>14</v>
      </c>
      <c r="K38" s="30" t="s">
        <v>27</v>
      </c>
      <c r="L38" s="30"/>
      <c r="M38" s="30" t="s">
        <v>874</v>
      </c>
      <c r="N38" s="30"/>
      <c r="O38" s="31">
        <f>COUNTIF(S38:AT38,"")</f>
        <v>28</v>
      </c>
      <c r="P38" s="136" t="s">
        <v>2074</v>
      </c>
      <c r="Q38" s="31">
        <f>COUNTIF(S38:AT38,"APAGADO")</f>
        <v>0</v>
      </c>
      <c r="R38" s="32">
        <f>(O38)/(Q38+O38)</f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s="73" customFormat="1" ht="15.75" thickBot="1" x14ac:dyDescent="0.3">
      <c r="A39"/>
      <c r="B39"/>
      <c r="C39"/>
      <c r="D39"/>
      <c r="E39"/>
      <c r="F39" t="s">
        <v>572</v>
      </c>
      <c r="G39" t="s">
        <v>1038</v>
      </c>
      <c r="H39" t="s">
        <v>1053</v>
      </c>
      <c r="I39" t="s">
        <v>573</v>
      </c>
      <c r="J39" s="30" t="s">
        <v>72</v>
      </c>
      <c r="K39" s="84" t="s">
        <v>1291</v>
      </c>
      <c r="L39" s="30"/>
      <c r="M39" s="30" t="s">
        <v>873</v>
      </c>
      <c r="N39" s="30"/>
      <c r="O39" s="31">
        <f>COUNTIF(S39:AT39,"")</f>
        <v>12</v>
      </c>
      <c r="P39" s="136" t="s">
        <v>2153</v>
      </c>
      <c r="Q39" s="31">
        <f>COUNTIF(S39:AT39,"APAGADO")</f>
        <v>16</v>
      </c>
      <c r="R39" s="32">
        <f>(O39)/(Q39+O39)</f>
        <v>0.42857142857142855</v>
      </c>
      <c r="S39" s="70" t="s">
        <v>2240</v>
      </c>
      <c r="T39" s="70"/>
      <c r="U39" s="70"/>
      <c r="V39" s="70"/>
      <c r="W39" s="70"/>
      <c r="X39" s="70" t="s">
        <v>2240</v>
      </c>
      <c r="Y39" s="70" t="s">
        <v>2240</v>
      </c>
      <c r="Z39" s="70" t="s">
        <v>2240</v>
      </c>
      <c r="AA39" s="70"/>
      <c r="AB39" s="70"/>
      <c r="AC39" s="70"/>
      <c r="AD39" s="70"/>
      <c r="AE39" s="70" t="s">
        <v>2240</v>
      </c>
      <c r="AF39" s="70" t="s">
        <v>2240</v>
      </c>
      <c r="AG39" s="142" t="s">
        <v>2240</v>
      </c>
      <c r="AH39" s="70" t="s">
        <v>2240</v>
      </c>
      <c r="AI39" s="70" t="s">
        <v>2240</v>
      </c>
      <c r="AJ39" s="70"/>
      <c r="AK39" s="70"/>
      <c r="AL39" s="70" t="s">
        <v>2240</v>
      </c>
      <c r="AM39" s="70" t="s">
        <v>2240</v>
      </c>
      <c r="AN39" s="70" t="s">
        <v>2240</v>
      </c>
      <c r="AO39" s="70" t="s">
        <v>2240</v>
      </c>
      <c r="AP39" s="70" t="s">
        <v>2240</v>
      </c>
      <c r="AQ39" s="70"/>
      <c r="AR39" s="70"/>
      <c r="AS39" s="70" t="s">
        <v>2240</v>
      </c>
      <c r="AT39" s="70" t="s">
        <v>2240</v>
      </c>
      <c r="AU39" s="70" t="s">
        <v>2240</v>
      </c>
      <c r="AV39" s="70" t="s">
        <v>2240</v>
      </c>
    </row>
    <row r="40" spans="1:48" ht="15.75" thickBot="1" x14ac:dyDescent="0.3">
      <c r="A40"/>
      <c r="B40"/>
      <c r="C40"/>
      <c r="D40"/>
      <c r="E40"/>
      <c r="F40" s="73" t="s">
        <v>567</v>
      </c>
      <c r="G40" s="73" t="s">
        <v>1635</v>
      </c>
      <c r="H40" s="73" t="s">
        <v>1053</v>
      </c>
      <c r="I40" s="73" t="s">
        <v>1636</v>
      </c>
      <c r="J40" s="84" t="s">
        <v>14</v>
      </c>
      <c r="K40" s="84" t="s">
        <v>1291</v>
      </c>
      <c r="L40" s="84"/>
      <c r="M40" s="84" t="s">
        <v>1637</v>
      </c>
      <c r="N40" s="84"/>
      <c r="O40" s="131">
        <f>COUNTIF(S40:AT40,"")</f>
        <v>28</v>
      </c>
      <c r="P40" s="136" t="s">
        <v>2157</v>
      </c>
      <c r="Q40" s="131">
        <f>COUNTIF(S40:AT40,"APAGADO")</f>
        <v>0</v>
      </c>
      <c r="R40" s="132">
        <f>(O40)/(Q40+O40)</f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thickBot="1" x14ac:dyDescent="0.3">
      <c r="A41"/>
      <c r="B41"/>
      <c r="C41"/>
      <c r="D41"/>
      <c r="E41"/>
      <c r="F41" s="73" t="s">
        <v>567</v>
      </c>
      <c r="G41" s="73" t="s">
        <v>2102</v>
      </c>
      <c r="H41" s="73" t="s">
        <v>1053</v>
      </c>
      <c r="I41" s="73" t="s">
        <v>2103</v>
      </c>
      <c r="J41" s="30" t="s">
        <v>14</v>
      </c>
      <c r="K41" s="84" t="s">
        <v>1291</v>
      </c>
      <c r="L41" s="84"/>
      <c r="M41" s="84" t="s">
        <v>2105</v>
      </c>
      <c r="N41" s="84"/>
      <c r="O41" s="131">
        <f>COUNTIF(S41:AT41,"")</f>
        <v>18</v>
      </c>
      <c r="P41" s="136"/>
      <c r="Q41" s="131">
        <f>COUNTIF(S41:AT41,"APAGADO")</f>
        <v>10</v>
      </c>
      <c r="R41" s="132">
        <f>(O41)/(Q41+O41)</f>
        <v>0.6428571428571429</v>
      </c>
      <c r="S41" s="70"/>
      <c r="T41" s="70"/>
      <c r="U41" s="70"/>
      <c r="V41" s="70"/>
      <c r="W41" s="70"/>
      <c r="X41" s="70" t="s">
        <v>2240</v>
      </c>
      <c r="Y41" s="70" t="s">
        <v>2240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 t="s">
        <v>2240</v>
      </c>
      <c r="AJ41" s="70"/>
      <c r="AK41" s="70"/>
      <c r="AL41" s="70" t="s">
        <v>2240</v>
      </c>
      <c r="AM41" s="70" t="s">
        <v>2240</v>
      </c>
      <c r="AN41" s="70" t="s">
        <v>2240</v>
      </c>
      <c r="AO41" s="70" t="s">
        <v>2240</v>
      </c>
      <c r="AP41" s="70" t="s">
        <v>2240</v>
      </c>
      <c r="AQ41" s="70"/>
      <c r="AR41" s="70"/>
      <c r="AS41" s="70" t="s">
        <v>2240</v>
      </c>
      <c r="AT41" s="70" t="s">
        <v>2240</v>
      </c>
      <c r="AU41" s="70" t="s">
        <v>2240</v>
      </c>
      <c r="AV41" s="70" t="s">
        <v>2240</v>
      </c>
    </row>
    <row r="42" spans="1:48" ht="15.75" thickBot="1" x14ac:dyDescent="0.3">
      <c r="A42"/>
      <c r="B42"/>
      <c r="C42"/>
      <c r="D42"/>
      <c r="E42"/>
      <c r="F42" s="73" t="s">
        <v>567</v>
      </c>
      <c r="G42" s="73" t="s">
        <v>1622</v>
      </c>
      <c r="H42" s="73" t="s">
        <v>1053</v>
      </c>
      <c r="I42" s="73" t="s">
        <v>1629</v>
      </c>
      <c r="J42" s="84" t="s">
        <v>1104</v>
      </c>
      <c r="K42" s="84" t="s">
        <v>27</v>
      </c>
      <c r="L42" s="84"/>
      <c r="M42" s="84" t="s">
        <v>1624</v>
      </c>
      <c r="N42" s="84"/>
      <c r="O42" s="131">
        <f>COUNTIF(S42:AT42,"")</f>
        <v>28</v>
      </c>
      <c r="P42" s="136" t="s">
        <v>2156</v>
      </c>
      <c r="Q42" s="131">
        <f>COUNTIF(S42:AT42,"APAGADO")</f>
        <v>0</v>
      </c>
      <c r="R42" s="132">
        <f>(O42)/(Q42+O42)</f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thickBot="1" x14ac:dyDescent="0.3">
      <c r="A43"/>
      <c r="B43"/>
      <c r="C43"/>
      <c r="D43"/>
      <c r="E43"/>
      <c r="F43" s="73" t="s">
        <v>567</v>
      </c>
      <c r="G43" s="73" t="s">
        <v>1037</v>
      </c>
      <c r="H43" s="73" t="s">
        <v>1053</v>
      </c>
      <c r="I43" s="73" t="s">
        <v>571</v>
      </c>
      <c r="J43" s="84" t="s">
        <v>72</v>
      </c>
      <c r="K43" s="84" t="s">
        <v>1291</v>
      </c>
      <c r="L43" s="84"/>
      <c r="M43" s="84" t="s">
        <v>872</v>
      </c>
      <c r="N43" s="84"/>
      <c r="O43" s="131">
        <f>COUNTIF(S43:AT43,"")</f>
        <v>24</v>
      </c>
      <c r="P43" s="136" t="s">
        <v>2073</v>
      </c>
      <c r="Q43" s="131">
        <f>COUNTIF(S43:AT43,"APAGADO")</f>
        <v>4</v>
      </c>
      <c r="R43" s="132">
        <f>(O43)/(Q43+O43)</f>
        <v>0.8571428571428571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 t="s">
        <v>2240</v>
      </c>
      <c r="AG43" s="142" t="s">
        <v>2240</v>
      </c>
      <c r="AH43" s="70" t="s">
        <v>2240</v>
      </c>
      <c r="AI43" s="70" t="s">
        <v>2240</v>
      </c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thickBot="1" x14ac:dyDescent="0.3">
      <c r="A44"/>
      <c r="B44"/>
      <c r="C44"/>
      <c r="D44"/>
      <c r="E44"/>
      <c r="F44" s="73" t="s">
        <v>567</v>
      </c>
      <c r="G44" s="73" t="s">
        <v>1036</v>
      </c>
      <c r="H44" s="73" t="s">
        <v>1053</v>
      </c>
      <c r="I44" s="73" t="s">
        <v>571</v>
      </c>
      <c r="J44" s="84" t="s">
        <v>72</v>
      </c>
      <c r="K44" s="84" t="s">
        <v>1291</v>
      </c>
      <c r="L44" s="84"/>
      <c r="M44" s="84" t="s">
        <v>871</v>
      </c>
      <c r="N44" s="84"/>
      <c r="O44" s="131">
        <f>COUNTIF(S44:AT44,"")</f>
        <v>24</v>
      </c>
      <c r="P44" s="136" t="s">
        <v>2072</v>
      </c>
      <c r="Q44" s="131">
        <f>COUNTIF(S44:AT44,"APAGADO")</f>
        <v>4</v>
      </c>
      <c r="R44" s="132">
        <f>(O44)/(Q44+O44)</f>
        <v>0.8571428571428571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 t="s">
        <v>2240</v>
      </c>
      <c r="AG44" s="142" t="s">
        <v>2240</v>
      </c>
      <c r="AH44" s="70" t="s">
        <v>2240</v>
      </c>
      <c r="AI44" s="70" t="s">
        <v>2240</v>
      </c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thickBot="1" x14ac:dyDescent="0.3">
      <c r="A45"/>
      <c r="B45"/>
      <c r="C45"/>
      <c r="D45"/>
      <c r="E45"/>
      <c r="F45" s="73" t="s">
        <v>567</v>
      </c>
      <c r="G45" s="73" t="s">
        <v>1446</v>
      </c>
      <c r="H45" s="73" t="s">
        <v>1053</v>
      </c>
      <c r="I45" s="73" t="s">
        <v>570</v>
      </c>
      <c r="J45" s="84" t="s">
        <v>14</v>
      </c>
      <c r="K45" s="84" t="s">
        <v>1291</v>
      </c>
      <c r="L45" s="84"/>
      <c r="M45" s="84" t="s">
        <v>870</v>
      </c>
      <c r="N45" s="84"/>
      <c r="O45" s="131">
        <f>COUNTIF(S45:AT45,"")</f>
        <v>28</v>
      </c>
      <c r="P45" s="136" t="s">
        <v>2071</v>
      </c>
      <c r="Q45" s="131">
        <f>COUNTIF(S45:AT45,"APAGADO")</f>
        <v>0</v>
      </c>
      <c r="R45" s="132">
        <f>(O45)/(Q45+O45)</f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thickBot="1" x14ac:dyDescent="0.3">
      <c r="A46"/>
      <c r="B46"/>
      <c r="C46"/>
      <c r="D46"/>
      <c r="E46"/>
      <c r="F46" s="73" t="s">
        <v>567</v>
      </c>
      <c r="G46" s="73" t="s">
        <v>568</v>
      </c>
      <c r="H46" s="73" t="s">
        <v>1053</v>
      </c>
      <c r="I46" s="73" t="s">
        <v>569</v>
      </c>
      <c r="J46" s="84" t="s">
        <v>14</v>
      </c>
      <c r="K46" s="84" t="s">
        <v>1291</v>
      </c>
      <c r="L46" s="84"/>
      <c r="M46" s="84" t="s">
        <v>869</v>
      </c>
      <c r="N46" s="84"/>
      <c r="O46" s="131">
        <f>COUNTIF(S46:AT46,"")</f>
        <v>28</v>
      </c>
      <c r="P46" s="136" t="s">
        <v>2070</v>
      </c>
      <c r="Q46" s="131">
        <f>COUNTIF(S46:AT46,"APAGADO")</f>
        <v>0</v>
      </c>
      <c r="R46" s="132">
        <f>(O46)/(Q46+O46)</f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thickBot="1" x14ac:dyDescent="0.3">
      <c r="A47"/>
      <c r="B47"/>
      <c r="C47"/>
      <c r="D47"/>
      <c r="E47"/>
      <c r="F47" s="73" t="s">
        <v>2113</v>
      </c>
      <c r="G47" s="73" t="s">
        <v>2111</v>
      </c>
      <c r="H47" t="s">
        <v>1052</v>
      </c>
      <c r="I47" s="73" t="s">
        <v>2112</v>
      </c>
      <c r="J47" s="84" t="s">
        <v>14</v>
      </c>
      <c r="K47" s="84" t="s">
        <v>1291</v>
      </c>
      <c r="L47" s="84"/>
      <c r="M47" s="84" t="s">
        <v>2315</v>
      </c>
      <c r="N47" s="84"/>
      <c r="O47" s="131">
        <f>COUNTIF(S47:AT47,"")</f>
        <v>28</v>
      </c>
      <c r="P47" s="136" t="s">
        <v>2114</v>
      </c>
      <c r="Q47" s="131">
        <f>COUNTIF(S47:AT47,"APAGADO")</f>
        <v>0</v>
      </c>
      <c r="R47" s="132">
        <f>(O47)/(Q47+O47)</f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thickBot="1" x14ac:dyDescent="0.3">
      <c r="A48"/>
      <c r="B48"/>
      <c r="C48"/>
      <c r="D48"/>
      <c r="E48"/>
      <c r="F48" t="s">
        <v>480</v>
      </c>
      <c r="G48" t="s">
        <v>2108</v>
      </c>
      <c r="H48" t="s">
        <v>1052</v>
      </c>
      <c r="I48" s="73" t="s">
        <v>2109</v>
      </c>
      <c r="J48" s="84" t="s">
        <v>14</v>
      </c>
      <c r="K48" s="84" t="s">
        <v>1291</v>
      </c>
      <c r="L48" s="30"/>
      <c r="M48" s="30" t="s">
        <v>2314</v>
      </c>
      <c r="N48" s="30"/>
      <c r="O48" s="31">
        <f>COUNTIF(S48:AT48,"")</f>
        <v>28</v>
      </c>
      <c r="P48" s="136" t="s">
        <v>2110</v>
      </c>
      <c r="Q48" s="31">
        <f>COUNTIF(S48:AT48,"APAGADO")</f>
        <v>0</v>
      </c>
      <c r="R48" s="32">
        <f>(O48)/(Q48+O48)</f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thickBot="1" x14ac:dyDescent="0.3">
      <c r="A49"/>
      <c r="B49"/>
      <c r="C49"/>
      <c r="D49"/>
      <c r="E49"/>
      <c r="F49" t="s">
        <v>476</v>
      </c>
      <c r="G49" t="s">
        <v>1302</v>
      </c>
      <c r="H49" t="s">
        <v>1052</v>
      </c>
      <c r="I49" t="s">
        <v>2166</v>
      </c>
      <c r="J49" s="84" t="s">
        <v>14</v>
      </c>
      <c r="K49" s="84" t="s">
        <v>1291</v>
      </c>
      <c r="L49" s="30"/>
      <c r="M49" s="30" t="s">
        <v>2313</v>
      </c>
      <c r="N49" s="30"/>
      <c r="O49" s="31">
        <f>COUNTIF(S49:AT49,"")</f>
        <v>16</v>
      </c>
      <c r="P49" s="136" t="s">
        <v>2167</v>
      </c>
      <c r="Q49" s="31">
        <f>COUNTIF(S49:AT49,"APAGADO")</f>
        <v>12</v>
      </c>
      <c r="R49" s="32">
        <f>(O49)/(Q49+O49)</f>
        <v>0.5714285714285714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 t="s">
        <v>2240</v>
      </c>
      <c r="AF49" s="70" t="s">
        <v>2240</v>
      </c>
      <c r="AG49" s="142" t="s">
        <v>2240</v>
      </c>
      <c r="AH49" s="70" t="s">
        <v>2240</v>
      </c>
      <c r="AI49" s="70" t="s">
        <v>2240</v>
      </c>
      <c r="AJ49" s="70"/>
      <c r="AK49" s="70"/>
      <c r="AL49" s="70" t="s">
        <v>2240</v>
      </c>
      <c r="AM49" s="70" t="s">
        <v>2240</v>
      </c>
      <c r="AN49" s="70" t="s">
        <v>2240</v>
      </c>
      <c r="AO49" s="70" t="s">
        <v>2240</v>
      </c>
      <c r="AP49" s="70" t="s">
        <v>2240</v>
      </c>
      <c r="AQ49" s="70"/>
      <c r="AR49" s="70"/>
      <c r="AS49" s="70" t="s">
        <v>2240</v>
      </c>
      <c r="AT49" s="70" t="s">
        <v>2240</v>
      </c>
      <c r="AU49" s="70" t="s">
        <v>2240</v>
      </c>
      <c r="AV49" s="70" t="s">
        <v>2240</v>
      </c>
    </row>
    <row r="50" spans="1:48" ht="15.75" thickBot="1" x14ac:dyDescent="0.3">
      <c r="A50"/>
      <c r="B50"/>
      <c r="C50"/>
      <c r="D50"/>
      <c r="E50"/>
      <c r="F50" s="73" t="s">
        <v>476</v>
      </c>
      <c r="G50" s="73" t="s">
        <v>565</v>
      </c>
      <c r="H50" s="73" t="s">
        <v>1052</v>
      </c>
      <c r="I50" s="73" t="s">
        <v>566</v>
      </c>
      <c r="J50" s="84" t="s">
        <v>18</v>
      </c>
      <c r="K50" s="84" t="s">
        <v>1291</v>
      </c>
      <c r="L50" s="84"/>
      <c r="M50" s="84" t="s">
        <v>1488</v>
      </c>
      <c r="N50" s="84"/>
      <c r="O50" s="131">
        <f>COUNTIF(S50:AT50,"")</f>
        <v>28</v>
      </c>
      <c r="P50" s="136" t="s">
        <v>2069</v>
      </c>
      <c r="Q50" s="131">
        <f>COUNTIF(S50:AT50,"APAGADO")</f>
        <v>0</v>
      </c>
      <c r="R50" s="132">
        <f>(O50)/(Q50+O50)</f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thickBot="1" x14ac:dyDescent="0.3">
      <c r="A51">
        <v>6</v>
      </c>
      <c r="B51">
        <v>13</v>
      </c>
      <c r="C51"/>
      <c r="D51"/>
      <c r="E51" t="s">
        <v>2355</v>
      </c>
      <c r="F51" t="s">
        <v>480</v>
      </c>
      <c r="G51" t="s">
        <v>563</v>
      </c>
      <c r="H51" t="s">
        <v>1052</v>
      </c>
      <c r="I51" t="s">
        <v>564</v>
      </c>
      <c r="J51" s="30" t="s">
        <v>18</v>
      </c>
      <c r="K51" s="30" t="s">
        <v>1046</v>
      </c>
      <c r="L51" s="30" t="s">
        <v>1253</v>
      </c>
      <c r="M51" s="30" t="s">
        <v>868</v>
      </c>
      <c r="N51" s="30"/>
      <c r="O51" s="31">
        <f>COUNTIF(S51:AT51,"")</f>
        <v>25</v>
      </c>
      <c r="P51" s="136" t="s">
        <v>2068</v>
      </c>
      <c r="Q51" s="31">
        <f>COUNTIF(S51:AT51,"APAGADO")</f>
        <v>3</v>
      </c>
      <c r="R51" s="32">
        <f>(O51)/(Q51+O51)</f>
        <v>0.8928571428571429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142" t="s">
        <v>2240</v>
      </c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 t="s">
        <v>2240</v>
      </c>
      <c r="AT51" s="70" t="s">
        <v>2240</v>
      </c>
      <c r="AU51" s="70" t="s">
        <v>2240</v>
      </c>
      <c r="AV51" s="70" t="s">
        <v>2240</v>
      </c>
    </row>
    <row r="52" spans="1:48" ht="15.75" thickBot="1" x14ac:dyDescent="0.3">
      <c r="A52"/>
      <c r="B52"/>
      <c r="C52"/>
      <c r="D52"/>
      <c r="E52"/>
      <c r="F52" s="73" t="s">
        <v>480</v>
      </c>
      <c r="G52" s="73" t="s">
        <v>561</v>
      </c>
      <c r="H52" s="73" t="s">
        <v>1052</v>
      </c>
      <c r="I52" s="73" t="s">
        <v>562</v>
      </c>
      <c r="J52" s="84" t="s">
        <v>18</v>
      </c>
      <c r="K52" s="84" t="s">
        <v>1291</v>
      </c>
      <c r="L52" s="84"/>
      <c r="M52" s="84" t="s">
        <v>1416</v>
      </c>
      <c r="N52" s="84"/>
      <c r="O52" s="131">
        <f>COUNTIF(S52:AT52,"")</f>
        <v>12</v>
      </c>
      <c r="P52" s="136" t="s">
        <v>2067</v>
      </c>
      <c r="Q52" s="131">
        <f>COUNTIF(S52:AT52,"APAGADO")</f>
        <v>16</v>
      </c>
      <c r="R52" s="132">
        <f>(O52)/(Q52+O52)</f>
        <v>0.42857142857142855</v>
      </c>
      <c r="S52" s="70" t="s">
        <v>2240</v>
      </c>
      <c r="T52" s="70"/>
      <c r="U52" s="70"/>
      <c r="V52" s="70"/>
      <c r="W52" s="70"/>
      <c r="X52" s="70" t="s">
        <v>2240</v>
      </c>
      <c r="Y52" s="70" t="s">
        <v>2240</v>
      </c>
      <c r="Z52" s="70" t="s">
        <v>2240</v>
      </c>
      <c r="AA52" s="70"/>
      <c r="AB52" s="70"/>
      <c r="AC52" s="70"/>
      <c r="AD52" s="70"/>
      <c r="AE52" s="70" t="s">
        <v>2240</v>
      </c>
      <c r="AF52" s="70" t="s">
        <v>2240</v>
      </c>
      <c r="AG52" s="142" t="s">
        <v>2240</v>
      </c>
      <c r="AH52" s="70" t="s">
        <v>2240</v>
      </c>
      <c r="AI52" s="70" t="s">
        <v>2240</v>
      </c>
      <c r="AJ52" s="70"/>
      <c r="AK52" s="70"/>
      <c r="AL52" s="70" t="s">
        <v>2240</v>
      </c>
      <c r="AM52" s="70" t="s">
        <v>2240</v>
      </c>
      <c r="AN52" s="70" t="s">
        <v>2240</v>
      </c>
      <c r="AO52" s="70" t="s">
        <v>2240</v>
      </c>
      <c r="AP52" s="70" t="s">
        <v>2240</v>
      </c>
      <c r="AQ52" s="70"/>
      <c r="AR52" s="70"/>
      <c r="AS52" s="70" t="s">
        <v>2240</v>
      </c>
      <c r="AT52" s="70" t="s">
        <v>2240</v>
      </c>
      <c r="AU52" s="70" t="s">
        <v>2240</v>
      </c>
      <c r="AV52" s="70"/>
    </row>
    <row r="53" spans="1:48" ht="15.75" thickBot="1" x14ac:dyDescent="0.3">
      <c r="A53"/>
      <c r="B53"/>
      <c r="C53"/>
      <c r="D53"/>
      <c r="E53"/>
      <c r="F53" s="73" t="s">
        <v>480</v>
      </c>
      <c r="G53" s="73" t="s">
        <v>559</v>
      </c>
      <c r="H53" s="73" t="s">
        <v>1052</v>
      </c>
      <c r="I53" s="73" t="s">
        <v>560</v>
      </c>
      <c r="J53" s="84" t="s">
        <v>18</v>
      </c>
      <c r="K53" s="84" t="s">
        <v>1291</v>
      </c>
      <c r="L53" s="84"/>
      <c r="M53" s="84" t="s">
        <v>1358</v>
      </c>
      <c r="N53" s="84"/>
      <c r="O53" s="131">
        <f>COUNTIF(S53:AT53,"")</f>
        <v>27</v>
      </c>
      <c r="P53" s="136" t="s">
        <v>2066</v>
      </c>
      <c r="Q53" s="131">
        <f>COUNTIF(S53:AT53,"APAGADO")</f>
        <v>1</v>
      </c>
      <c r="R53" s="132">
        <f>(O53)/(Q53+O53)</f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142" t="s">
        <v>2240</v>
      </c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thickBot="1" x14ac:dyDescent="0.3">
      <c r="A54"/>
      <c r="B54"/>
      <c r="C54"/>
      <c r="D54"/>
      <c r="E54"/>
      <c r="F54" t="s">
        <v>480</v>
      </c>
      <c r="G54" t="s">
        <v>557</v>
      </c>
      <c r="H54" t="s">
        <v>1052</v>
      </c>
      <c r="I54" t="s">
        <v>558</v>
      </c>
      <c r="J54" s="30" t="s">
        <v>18</v>
      </c>
      <c r="K54" s="30" t="s">
        <v>27</v>
      </c>
      <c r="L54" s="30"/>
      <c r="M54" s="30" t="s">
        <v>867</v>
      </c>
      <c r="N54" s="30"/>
      <c r="O54" s="31">
        <f>COUNTIF(S54:AT54,"")</f>
        <v>28</v>
      </c>
      <c r="P54" s="136" t="s">
        <v>2065</v>
      </c>
      <c r="Q54" s="31">
        <f>COUNTIF(S54:AT54,"APAGADO")</f>
        <v>0</v>
      </c>
      <c r="R54" s="32">
        <f>(O54)/(Q54+O54)</f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thickBot="1" x14ac:dyDescent="0.3">
      <c r="A55"/>
      <c r="B55"/>
      <c r="C55"/>
      <c r="D55"/>
      <c r="E55"/>
      <c r="F55" s="73" t="s">
        <v>480</v>
      </c>
      <c r="G55" s="73" t="s">
        <v>1334</v>
      </c>
      <c r="H55" s="84" t="s">
        <v>1052</v>
      </c>
      <c r="I55" s="73" t="s">
        <v>1335</v>
      </c>
      <c r="J55" s="89" t="s">
        <v>14</v>
      </c>
      <c r="K55" s="84" t="s">
        <v>1291</v>
      </c>
      <c r="L55" s="84"/>
      <c r="M55" s="84" t="s">
        <v>1340</v>
      </c>
      <c r="N55" s="84"/>
      <c r="O55" s="131">
        <f>COUNTIF(S55:AT55,"")</f>
        <v>12</v>
      </c>
      <c r="P55" s="136" t="s">
        <v>2064</v>
      </c>
      <c r="Q55" s="131">
        <f>COUNTIF(S55:AT55,"APAGADO")</f>
        <v>16</v>
      </c>
      <c r="R55" s="132">
        <f>(O55)/(Q55+O55)</f>
        <v>0.42857142857142855</v>
      </c>
      <c r="S55" s="70" t="s">
        <v>2240</v>
      </c>
      <c r="T55" s="70"/>
      <c r="U55" s="70"/>
      <c r="V55" s="70"/>
      <c r="W55" s="70"/>
      <c r="X55" s="70" t="s">
        <v>2240</v>
      </c>
      <c r="Y55" s="70" t="s">
        <v>2240</v>
      </c>
      <c r="Z55" s="70" t="s">
        <v>2240</v>
      </c>
      <c r="AA55" s="70"/>
      <c r="AB55" s="70"/>
      <c r="AC55" s="70"/>
      <c r="AD55" s="70"/>
      <c r="AE55" s="70" t="s">
        <v>2240</v>
      </c>
      <c r="AF55" s="70" t="s">
        <v>2240</v>
      </c>
      <c r="AG55" s="142" t="s">
        <v>2240</v>
      </c>
      <c r="AH55" s="70" t="s">
        <v>2240</v>
      </c>
      <c r="AI55" s="70" t="s">
        <v>2240</v>
      </c>
      <c r="AJ55" s="70"/>
      <c r="AK55" s="70"/>
      <c r="AL55" s="70" t="s">
        <v>2240</v>
      </c>
      <c r="AM55" s="70" t="s">
        <v>2240</v>
      </c>
      <c r="AN55" s="70" t="s">
        <v>2240</v>
      </c>
      <c r="AO55" s="70" t="s">
        <v>2240</v>
      </c>
      <c r="AP55" s="70" t="s">
        <v>2240</v>
      </c>
      <c r="AQ55" s="70"/>
      <c r="AR55" s="70"/>
      <c r="AS55" s="70" t="s">
        <v>2240</v>
      </c>
      <c r="AT55" s="70" t="s">
        <v>2240</v>
      </c>
      <c r="AU55" s="70" t="s">
        <v>2240</v>
      </c>
      <c r="AV55" s="70"/>
    </row>
    <row r="56" spans="1:48" ht="15.75" thickBot="1" x14ac:dyDescent="0.3">
      <c r="A56"/>
      <c r="B56"/>
      <c r="C56"/>
      <c r="D56"/>
      <c r="E56"/>
      <c r="F56" t="s">
        <v>386</v>
      </c>
      <c r="G56" s="30" t="s">
        <v>2149</v>
      </c>
      <c r="H56" s="73" t="s">
        <v>1052</v>
      </c>
      <c r="I56" t="s">
        <v>2150</v>
      </c>
      <c r="J56" s="84" t="s">
        <v>45</v>
      </c>
      <c r="K56" s="30" t="s">
        <v>27</v>
      </c>
      <c r="L56" s="30"/>
      <c r="M56" s="30" t="s">
        <v>2151</v>
      </c>
      <c r="N56" s="30" t="s">
        <v>2284</v>
      </c>
      <c r="O56" s="31">
        <f>COUNTIF(S56:AT56,"")</f>
        <v>25</v>
      </c>
      <c r="P56" s="136" t="s">
        <v>2152</v>
      </c>
      <c r="Q56" s="31">
        <f>COUNTIF(S56:AT56,"APAGADO")</f>
        <v>3</v>
      </c>
      <c r="R56" s="32">
        <f>(O56)/(Q56+O56)</f>
        <v>0.8928571428571429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 t="s">
        <v>2240</v>
      </c>
      <c r="AQ56" s="70"/>
      <c r="AR56" s="70"/>
      <c r="AS56" s="70" t="s">
        <v>2240</v>
      </c>
      <c r="AT56" s="70" t="s">
        <v>2240</v>
      </c>
      <c r="AU56" s="70" t="s">
        <v>2240</v>
      </c>
      <c r="AV56" s="70" t="s">
        <v>2240</v>
      </c>
    </row>
    <row r="57" spans="1:48" ht="15.75" thickBot="1" x14ac:dyDescent="0.3">
      <c r="A57" s="88">
        <v>1</v>
      </c>
      <c r="B57" s="88">
        <v>18</v>
      </c>
      <c r="C57" s="88"/>
      <c r="D57" s="88"/>
      <c r="E57" s="88" t="s">
        <v>2379</v>
      </c>
      <c r="F57" s="73" t="s">
        <v>406</v>
      </c>
      <c r="G57" s="73" t="s">
        <v>555</v>
      </c>
      <c r="H57" s="88" t="s">
        <v>1052</v>
      </c>
      <c r="I57" s="73" t="s">
        <v>556</v>
      </c>
      <c r="J57" s="89" t="s">
        <v>14</v>
      </c>
      <c r="K57" s="84" t="s">
        <v>27</v>
      </c>
      <c r="L57" s="84"/>
      <c r="M57" s="84" t="s">
        <v>1489</v>
      </c>
      <c r="N57" s="84" t="s">
        <v>2284</v>
      </c>
      <c r="O57" s="31">
        <f>COUNTIF(S57:AT57,"")</f>
        <v>25</v>
      </c>
      <c r="P57" s="136" t="s">
        <v>2063</v>
      </c>
      <c r="Q57" s="31">
        <f>COUNTIF(S57:AT57,"APAGADO")</f>
        <v>3</v>
      </c>
      <c r="R57" s="32">
        <f>(O57)/(Q57+O57)</f>
        <v>0.8928571428571429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 t="s">
        <v>2240</v>
      </c>
      <c r="AG57" s="70"/>
      <c r="AH57" s="70"/>
      <c r="AI57" s="70"/>
      <c r="AJ57" s="70"/>
      <c r="AK57" s="70"/>
      <c r="AL57" s="70"/>
      <c r="AM57" s="70"/>
      <c r="AN57" s="70"/>
      <c r="AO57" s="70" t="s">
        <v>2240</v>
      </c>
      <c r="AP57" s="70" t="s">
        <v>2240</v>
      </c>
      <c r="AQ57" s="70"/>
      <c r="AR57" s="70"/>
      <c r="AS57" s="70"/>
      <c r="AT57" s="70"/>
      <c r="AU57" s="70"/>
      <c r="AV57" s="70"/>
    </row>
    <row r="58" spans="1:48" ht="15.75" thickBot="1" x14ac:dyDescent="0.3">
      <c r="A58">
        <v>1</v>
      </c>
      <c r="B58">
        <v>18</v>
      </c>
      <c r="C58"/>
      <c r="D58"/>
      <c r="E58" t="s">
        <v>2379</v>
      </c>
      <c r="F58" t="s">
        <v>406</v>
      </c>
      <c r="G58" t="s">
        <v>554</v>
      </c>
      <c r="H58" t="s">
        <v>1052</v>
      </c>
      <c r="I58" t="s">
        <v>553</v>
      </c>
      <c r="J58" s="30" t="s">
        <v>72</v>
      </c>
      <c r="K58" s="30" t="s">
        <v>27</v>
      </c>
      <c r="L58" s="30"/>
      <c r="M58" s="30" t="s">
        <v>865</v>
      </c>
      <c r="N58" s="30" t="s">
        <v>2284</v>
      </c>
      <c r="O58" s="31">
        <f>COUNTIF(S58:AT58,"")</f>
        <v>22</v>
      </c>
      <c r="P58" s="136" t="s">
        <v>2062</v>
      </c>
      <c r="Q58" s="31">
        <f>COUNTIF(S58:AT58,"APAGADO")</f>
        <v>6</v>
      </c>
      <c r="R58" s="32">
        <f>(O58)/(Q58+O58)</f>
        <v>0.7857142857142857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 t="s">
        <v>2240</v>
      </c>
      <c r="AG58" s="70"/>
      <c r="AH58" s="70"/>
      <c r="AI58" s="70"/>
      <c r="AJ58" s="70"/>
      <c r="AK58" s="70"/>
      <c r="AL58" s="70" t="s">
        <v>2240</v>
      </c>
      <c r="AM58" s="70" t="s">
        <v>2240</v>
      </c>
      <c r="AN58" s="70" t="s">
        <v>2240</v>
      </c>
      <c r="AO58" s="70" t="s">
        <v>2240</v>
      </c>
      <c r="AP58" s="70" t="s">
        <v>2240</v>
      </c>
      <c r="AQ58" s="70"/>
      <c r="AR58" s="70"/>
      <c r="AS58" s="70"/>
      <c r="AT58" s="70"/>
      <c r="AU58" s="70"/>
      <c r="AV58" s="70"/>
    </row>
    <row r="59" spans="1:48" ht="15.75" thickBot="1" x14ac:dyDescent="0.3">
      <c r="A59">
        <v>1</v>
      </c>
      <c r="B59">
        <v>18</v>
      </c>
      <c r="C59"/>
      <c r="D59"/>
      <c r="E59" t="s">
        <v>2379</v>
      </c>
      <c r="F59" t="s">
        <v>406</v>
      </c>
      <c r="G59" t="s">
        <v>552</v>
      </c>
      <c r="H59" t="s">
        <v>1052</v>
      </c>
      <c r="I59" t="s">
        <v>553</v>
      </c>
      <c r="J59" s="30" t="s">
        <v>72</v>
      </c>
      <c r="K59" s="30" t="s">
        <v>27</v>
      </c>
      <c r="L59" s="30"/>
      <c r="M59" s="30" t="s">
        <v>864</v>
      </c>
      <c r="N59" s="30" t="s">
        <v>2284</v>
      </c>
      <c r="O59" s="31">
        <f>COUNTIF(S59:AT59,"")</f>
        <v>22</v>
      </c>
      <c r="P59" s="136" t="s">
        <v>2061</v>
      </c>
      <c r="Q59" s="31">
        <f>COUNTIF(S59:AT59,"APAGADO")</f>
        <v>6</v>
      </c>
      <c r="R59" s="32">
        <f>(O59)/(Q59+O59)</f>
        <v>0.7857142857142857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 t="s">
        <v>2240</v>
      </c>
      <c r="AG59" s="70"/>
      <c r="AH59" s="70"/>
      <c r="AI59" s="70"/>
      <c r="AJ59" s="70"/>
      <c r="AK59" s="70"/>
      <c r="AL59" s="70" t="s">
        <v>2240</v>
      </c>
      <c r="AM59" s="70" t="s">
        <v>2240</v>
      </c>
      <c r="AN59" s="70" t="s">
        <v>2240</v>
      </c>
      <c r="AO59" s="70" t="s">
        <v>2240</v>
      </c>
      <c r="AP59" s="70" t="s">
        <v>2240</v>
      </c>
      <c r="AQ59" s="70"/>
      <c r="AR59" s="70"/>
      <c r="AS59" s="70"/>
      <c r="AT59" s="70"/>
      <c r="AU59" s="70"/>
      <c r="AV59" s="70"/>
    </row>
    <row r="60" spans="1:48" s="73" customFormat="1" ht="15.75" thickBot="1" x14ac:dyDescent="0.3">
      <c r="A60">
        <v>1</v>
      </c>
      <c r="B60">
        <v>18</v>
      </c>
      <c r="C60"/>
      <c r="D60"/>
      <c r="E60" t="s">
        <v>2379</v>
      </c>
      <c r="F60" t="s">
        <v>406</v>
      </c>
      <c r="G60" t="s">
        <v>551</v>
      </c>
      <c r="H60" t="s">
        <v>1052</v>
      </c>
      <c r="I60" t="s">
        <v>550</v>
      </c>
      <c r="J60" s="30" t="s">
        <v>72</v>
      </c>
      <c r="K60" s="30" t="s">
        <v>27</v>
      </c>
      <c r="L60" s="30"/>
      <c r="M60" s="30" t="s">
        <v>861</v>
      </c>
      <c r="N60" s="30" t="s">
        <v>2284</v>
      </c>
      <c r="O60" s="31">
        <f>COUNTIF(S60:AT60,"")</f>
        <v>25</v>
      </c>
      <c r="P60" s="136" t="s">
        <v>2060</v>
      </c>
      <c r="Q60" s="31">
        <f>COUNTIF(S60:AT60,"APAGADO")</f>
        <v>3</v>
      </c>
      <c r="R60" s="32">
        <f>(O60)/(Q60+O60)</f>
        <v>0.8928571428571429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 t="s">
        <v>2240</v>
      </c>
      <c r="AG60" s="70"/>
      <c r="AH60" s="70"/>
      <c r="AI60" s="70"/>
      <c r="AJ60" s="70"/>
      <c r="AK60" s="70"/>
      <c r="AL60" s="70"/>
      <c r="AM60" s="70"/>
      <c r="AN60" s="70"/>
      <c r="AO60" s="70" t="s">
        <v>2240</v>
      </c>
      <c r="AP60" s="70" t="s">
        <v>2240</v>
      </c>
      <c r="AQ60" s="70"/>
      <c r="AR60" s="70"/>
      <c r="AS60" s="70"/>
      <c r="AT60" s="70"/>
      <c r="AU60" s="70"/>
      <c r="AV60" s="70"/>
    </row>
    <row r="61" spans="1:48" ht="15.75" thickBot="1" x14ac:dyDescent="0.3">
      <c r="A61">
        <v>1</v>
      </c>
      <c r="B61">
        <v>18</v>
      </c>
      <c r="C61"/>
      <c r="D61"/>
      <c r="E61" t="s">
        <v>2379</v>
      </c>
      <c r="F61" t="s">
        <v>406</v>
      </c>
      <c r="G61" t="s">
        <v>549</v>
      </c>
      <c r="H61" t="s">
        <v>1052</v>
      </c>
      <c r="I61" t="s">
        <v>550</v>
      </c>
      <c r="J61" s="30" t="s">
        <v>72</v>
      </c>
      <c r="K61" s="30" t="s">
        <v>27</v>
      </c>
      <c r="L61" s="30"/>
      <c r="M61" s="30" t="s">
        <v>860</v>
      </c>
      <c r="N61" s="30" t="s">
        <v>2284</v>
      </c>
      <c r="O61" s="31">
        <f>COUNTIF(S61:AT61,"")</f>
        <v>25</v>
      </c>
      <c r="P61" s="136" t="s">
        <v>2059</v>
      </c>
      <c r="Q61" s="31">
        <f>COUNTIF(S61:AT61,"APAGADO")</f>
        <v>3</v>
      </c>
      <c r="R61" s="32">
        <f>(O61)/(Q61+O61)</f>
        <v>0.8928571428571429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 t="s">
        <v>2240</v>
      </c>
      <c r="AG61" s="70"/>
      <c r="AH61" s="70"/>
      <c r="AI61" s="70"/>
      <c r="AJ61" s="70"/>
      <c r="AK61" s="70"/>
      <c r="AL61" s="70"/>
      <c r="AM61" s="70"/>
      <c r="AN61" s="70"/>
      <c r="AO61" s="70" t="s">
        <v>2240</v>
      </c>
      <c r="AP61" s="70" t="s">
        <v>2240</v>
      </c>
      <c r="AQ61" s="70"/>
      <c r="AR61" s="70"/>
      <c r="AS61" s="70"/>
      <c r="AT61" s="70"/>
      <c r="AU61" s="70"/>
      <c r="AV61" s="70"/>
    </row>
    <row r="62" spans="1:48" s="73" customFormat="1" ht="15.75" thickBot="1" x14ac:dyDescent="0.3">
      <c r="A62" s="88">
        <v>1</v>
      </c>
      <c r="B62" s="88">
        <v>18</v>
      </c>
      <c r="C62" s="88"/>
      <c r="D62" s="88"/>
      <c r="E62" s="88" t="s">
        <v>2379</v>
      </c>
      <c r="F62" s="73" t="s">
        <v>406</v>
      </c>
      <c r="G62" s="73" t="s">
        <v>545</v>
      </c>
      <c r="H62" s="88" t="s">
        <v>1052</v>
      </c>
      <c r="I62" s="73" t="s">
        <v>546</v>
      </c>
      <c r="J62" s="89" t="s">
        <v>18</v>
      </c>
      <c r="K62" s="84" t="s">
        <v>27</v>
      </c>
      <c r="L62" s="84"/>
      <c r="M62" s="84" t="s">
        <v>866</v>
      </c>
      <c r="N62" s="84" t="s">
        <v>2284</v>
      </c>
      <c r="O62" s="31">
        <f>COUNTIF(S62:AT62,"")</f>
        <v>12</v>
      </c>
      <c r="P62" s="136"/>
      <c r="Q62" s="31">
        <f>COUNTIF(S62:AT62,"APAGADO")</f>
        <v>16</v>
      </c>
      <c r="R62" s="32">
        <f>(O62)/(Q62+O62)</f>
        <v>0.42857142857142855</v>
      </c>
      <c r="S62" s="70" t="s">
        <v>2240</v>
      </c>
      <c r="T62" s="70"/>
      <c r="U62" s="70"/>
      <c r="V62" s="70"/>
      <c r="W62" s="70"/>
      <c r="X62" s="70" t="s">
        <v>2240</v>
      </c>
      <c r="Y62" s="70" t="s">
        <v>2240</v>
      </c>
      <c r="Z62" s="70" t="s">
        <v>2240</v>
      </c>
      <c r="AA62" s="70"/>
      <c r="AB62" s="70"/>
      <c r="AC62" s="70"/>
      <c r="AD62" s="70"/>
      <c r="AE62" s="70" t="s">
        <v>2240</v>
      </c>
      <c r="AF62" s="70" t="s">
        <v>2240</v>
      </c>
      <c r="AG62" s="142" t="s">
        <v>2240</v>
      </c>
      <c r="AH62" s="70" t="s">
        <v>2240</v>
      </c>
      <c r="AI62" s="70" t="s">
        <v>2240</v>
      </c>
      <c r="AJ62" s="70"/>
      <c r="AK62" s="70"/>
      <c r="AL62" s="70" t="s">
        <v>2240</v>
      </c>
      <c r="AM62" s="70" t="s">
        <v>2240</v>
      </c>
      <c r="AN62" s="70" t="s">
        <v>2240</v>
      </c>
      <c r="AO62" s="70" t="s">
        <v>2240</v>
      </c>
      <c r="AP62" s="70" t="s">
        <v>2240</v>
      </c>
      <c r="AQ62" s="70"/>
      <c r="AR62" s="70"/>
      <c r="AS62" s="70" t="s">
        <v>2240</v>
      </c>
      <c r="AT62" s="70" t="s">
        <v>2240</v>
      </c>
      <c r="AU62" s="70" t="s">
        <v>2240</v>
      </c>
      <c r="AV62" s="70" t="s">
        <v>2240</v>
      </c>
    </row>
    <row r="63" spans="1:48" ht="15.75" thickBot="1" x14ac:dyDescent="0.3">
      <c r="A63">
        <v>1</v>
      </c>
      <c r="B63">
        <v>18</v>
      </c>
      <c r="C63"/>
      <c r="D63"/>
      <c r="E63" t="s">
        <v>2379</v>
      </c>
      <c r="F63" t="s">
        <v>291</v>
      </c>
      <c r="G63" t="s">
        <v>1035</v>
      </c>
      <c r="H63" t="s">
        <v>1052</v>
      </c>
      <c r="I63" t="s">
        <v>548</v>
      </c>
      <c r="J63" s="30" t="s">
        <v>18</v>
      </c>
      <c r="K63" s="30" t="s">
        <v>27</v>
      </c>
      <c r="L63" s="30"/>
      <c r="M63" s="30" t="s">
        <v>863</v>
      </c>
      <c r="N63" s="30" t="s">
        <v>2284</v>
      </c>
      <c r="O63" s="31">
        <f>COUNTIF(S63:AT63,"")</f>
        <v>25</v>
      </c>
      <c r="P63" s="136" t="s">
        <v>2058</v>
      </c>
      <c r="Q63" s="31">
        <f>COUNTIF(S63:AT63,"APAGADO")</f>
        <v>3</v>
      </c>
      <c r="R63" s="32">
        <f>(O63)/(Q63+O63)</f>
        <v>0.8928571428571429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 t="s">
        <v>2240</v>
      </c>
      <c r="AG63" s="70"/>
      <c r="AH63" s="70"/>
      <c r="AI63" s="70"/>
      <c r="AJ63" s="70"/>
      <c r="AK63" s="70"/>
      <c r="AL63" s="70"/>
      <c r="AM63" s="70"/>
      <c r="AN63" s="70"/>
      <c r="AO63" s="70" t="s">
        <v>2240</v>
      </c>
      <c r="AP63" s="70" t="s">
        <v>2240</v>
      </c>
      <c r="AQ63" s="70"/>
      <c r="AR63" s="70"/>
      <c r="AS63" s="70"/>
      <c r="AT63" s="70"/>
      <c r="AU63" s="70"/>
      <c r="AV63" s="70"/>
    </row>
    <row r="64" spans="1:48" ht="15.75" thickBot="1" x14ac:dyDescent="0.3">
      <c r="A64">
        <v>1</v>
      </c>
      <c r="B64">
        <v>18</v>
      </c>
      <c r="C64"/>
      <c r="D64"/>
      <c r="E64" t="s">
        <v>2379</v>
      </c>
      <c r="F64" t="s">
        <v>406</v>
      </c>
      <c r="G64" t="s">
        <v>1034</v>
      </c>
      <c r="H64" t="s">
        <v>1052</v>
      </c>
      <c r="I64" t="s">
        <v>547</v>
      </c>
      <c r="J64" s="30" t="s">
        <v>18</v>
      </c>
      <c r="K64" s="30" t="s">
        <v>27</v>
      </c>
      <c r="L64" s="30"/>
      <c r="M64" s="30" t="s">
        <v>862</v>
      </c>
      <c r="N64" s="30" t="s">
        <v>2284</v>
      </c>
      <c r="O64" s="31">
        <f>COUNTIF(S64:AT64,"")</f>
        <v>25</v>
      </c>
      <c r="P64" s="136" t="s">
        <v>2057</v>
      </c>
      <c r="Q64" s="31">
        <f>COUNTIF(S64:AT64,"APAGADO")</f>
        <v>3</v>
      </c>
      <c r="R64" s="32">
        <f>(O64)/(Q64+O64)</f>
        <v>0.8928571428571429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 t="s">
        <v>2240</v>
      </c>
      <c r="AG64" s="70"/>
      <c r="AH64" s="70"/>
      <c r="AI64" s="70"/>
      <c r="AJ64" s="70"/>
      <c r="AK64" s="70"/>
      <c r="AL64" s="70"/>
      <c r="AM64" s="70"/>
      <c r="AN64" s="70"/>
      <c r="AO64" s="70" t="s">
        <v>2240</v>
      </c>
      <c r="AP64" s="70" t="s">
        <v>2240</v>
      </c>
      <c r="AQ64" s="70"/>
      <c r="AR64" s="70"/>
      <c r="AS64" s="70"/>
      <c r="AT64" s="70"/>
      <c r="AU64" s="70"/>
      <c r="AV64" s="70"/>
    </row>
    <row r="65" spans="1:48" ht="15.75" thickBot="1" x14ac:dyDescent="0.3">
      <c r="A65"/>
      <c r="B65"/>
      <c r="C65"/>
      <c r="D65"/>
      <c r="E65"/>
      <c r="F65" s="73" t="s">
        <v>515</v>
      </c>
      <c r="G65" s="84" t="s">
        <v>2192</v>
      </c>
      <c r="H65" s="84" t="s">
        <v>1053</v>
      </c>
      <c r="I65" s="73" t="s">
        <v>2193</v>
      </c>
      <c r="J65" s="84" t="s">
        <v>14</v>
      </c>
      <c r="K65" s="84" t="s">
        <v>1291</v>
      </c>
      <c r="L65" s="84"/>
      <c r="M65" s="84" t="s">
        <v>2312</v>
      </c>
      <c r="N65" s="84"/>
      <c r="O65" s="131">
        <f>COUNTIF(S65:AT65,"")</f>
        <v>28</v>
      </c>
      <c r="P65" s="136" t="s">
        <v>2194</v>
      </c>
      <c r="Q65" s="131">
        <f>COUNTIF(S65:AT65,"APAGADO")</f>
        <v>0</v>
      </c>
      <c r="R65" s="132">
        <f>(O65)/(Q65+O65)</f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ht="15.75" thickBot="1" x14ac:dyDescent="0.3">
      <c r="A66"/>
      <c r="B66"/>
      <c r="C66"/>
      <c r="D66"/>
      <c r="E66"/>
      <c r="F66" s="73" t="s">
        <v>515</v>
      </c>
      <c r="G66" s="84" t="s">
        <v>2189</v>
      </c>
      <c r="H66" s="84" t="s">
        <v>1053</v>
      </c>
      <c r="I66" s="73" t="s">
        <v>2190</v>
      </c>
      <c r="J66" s="30" t="s">
        <v>72</v>
      </c>
      <c r="K66" s="84" t="s">
        <v>1291</v>
      </c>
      <c r="L66" s="84"/>
      <c r="M66" s="84" t="s">
        <v>2311</v>
      </c>
      <c r="N66" s="84"/>
      <c r="O66" s="131">
        <f>COUNTIF(S66:AT66,"")</f>
        <v>28</v>
      </c>
      <c r="P66" s="136" t="s">
        <v>2191</v>
      </c>
      <c r="Q66" s="131">
        <f>COUNTIF(S66:AT66,"APAGADO")</f>
        <v>0</v>
      </c>
      <c r="R66" s="132">
        <f>(O66)/(Q66+O66)</f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73" customFormat="1" ht="15.75" thickBot="1" x14ac:dyDescent="0.3">
      <c r="A67"/>
      <c r="B67"/>
      <c r="C67"/>
      <c r="D67"/>
      <c r="E67"/>
      <c r="F67" s="73" t="s">
        <v>515</v>
      </c>
      <c r="G67" s="84" t="s">
        <v>1569</v>
      </c>
      <c r="H67" s="84" t="s">
        <v>1053</v>
      </c>
      <c r="I67" s="73" t="s">
        <v>1570</v>
      </c>
      <c r="J67" s="84" t="s">
        <v>14</v>
      </c>
      <c r="K67" s="84" t="s">
        <v>1291</v>
      </c>
      <c r="L67" s="84"/>
      <c r="M67" s="84" t="s">
        <v>1571</v>
      </c>
      <c r="N67" s="84"/>
      <c r="O67" s="131">
        <f>COUNTIF(S67:AT67,"")</f>
        <v>28</v>
      </c>
      <c r="P67" s="136" t="s">
        <v>2056</v>
      </c>
      <c r="Q67" s="131">
        <f>COUNTIF(S67:AT67,"APAGADO")</f>
        <v>0</v>
      </c>
      <c r="R67" s="132">
        <f>(O67)/(Q67+O67)</f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8" s="88" customFormat="1" ht="15.75" thickBot="1" x14ac:dyDescent="0.3">
      <c r="A68"/>
      <c r="B68"/>
      <c r="C68"/>
      <c r="D68"/>
      <c r="E68"/>
      <c r="F68" t="s">
        <v>511</v>
      </c>
      <c r="G68" t="s">
        <v>544</v>
      </c>
      <c r="H68" t="s">
        <v>1052</v>
      </c>
      <c r="I68" t="s">
        <v>543</v>
      </c>
      <c r="J68" s="30" t="s">
        <v>72</v>
      </c>
      <c r="K68" s="30" t="s">
        <v>27</v>
      </c>
      <c r="L68" s="30"/>
      <c r="M68" s="30" t="s">
        <v>859</v>
      </c>
      <c r="N68" s="30"/>
      <c r="O68" s="31">
        <f>COUNTIF(S68:AT68,"")</f>
        <v>28</v>
      </c>
      <c r="P68" s="136" t="s">
        <v>2050</v>
      </c>
      <c r="Q68" s="31">
        <f>COUNTIF(S68:AT68,"APAGADO")</f>
        <v>0</v>
      </c>
      <c r="R68" s="32">
        <f>(O68)/(Q68+O68)</f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</row>
    <row r="69" spans="1:48" s="73" customFormat="1" ht="15.75" thickBot="1" x14ac:dyDescent="0.3">
      <c r="A69"/>
      <c r="B69"/>
      <c r="C69"/>
      <c r="D69"/>
      <c r="E69"/>
      <c r="F69" t="s">
        <v>511</v>
      </c>
      <c r="G69" t="s">
        <v>542</v>
      </c>
      <c r="H69" t="s">
        <v>1052</v>
      </c>
      <c r="I69" t="s">
        <v>543</v>
      </c>
      <c r="J69" s="30" t="s">
        <v>72</v>
      </c>
      <c r="K69" s="30" t="s">
        <v>27</v>
      </c>
      <c r="L69" s="30"/>
      <c r="M69" s="30" t="s">
        <v>667</v>
      </c>
      <c r="N69" s="30"/>
      <c r="O69" s="31">
        <f>COUNTIF(S69:AT69,"")</f>
        <v>28</v>
      </c>
      <c r="P69" s="136" t="s">
        <v>2049</v>
      </c>
      <c r="Q69" s="31">
        <f>COUNTIF(S69:AT69,"APAGADO")</f>
        <v>0</v>
      </c>
      <c r="R69" s="32">
        <f>(O69)/(Q69+O69)</f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thickBot="1" x14ac:dyDescent="0.3">
      <c r="A70"/>
      <c r="B70"/>
      <c r="C70"/>
      <c r="D70"/>
      <c r="E70"/>
      <c r="F70" t="s">
        <v>511</v>
      </c>
      <c r="G70" t="s">
        <v>1033</v>
      </c>
      <c r="H70" t="s">
        <v>1053</v>
      </c>
      <c r="I70" t="s">
        <v>520</v>
      </c>
      <c r="J70" s="30" t="s">
        <v>14</v>
      </c>
      <c r="K70" s="30" t="s">
        <v>19</v>
      </c>
      <c r="L70" s="30"/>
      <c r="M70" s="30" t="s">
        <v>856</v>
      </c>
      <c r="N70" s="30"/>
      <c r="O70" s="31">
        <f>COUNTIF(S70:AT70,"")</f>
        <v>28</v>
      </c>
      <c r="P70" s="136"/>
      <c r="Q70" s="31">
        <f>COUNTIF(S70:AT70,"APAGADO")</f>
        <v>0</v>
      </c>
      <c r="R70" s="32">
        <f>(O70)/(Q70+O70)</f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thickBot="1" x14ac:dyDescent="0.3">
      <c r="A71">
        <v>4</v>
      </c>
      <c r="B71">
        <v>12</v>
      </c>
      <c r="C71"/>
      <c r="D71"/>
      <c r="E71" t="s">
        <v>2351</v>
      </c>
      <c r="F71" t="s">
        <v>511</v>
      </c>
      <c r="G71" t="s">
        <v>1032</v>
      </c>
      <c r="H71" t="s">
        <v>1053</v>
      </c>
      <c r="I71" t="s">
        <v>519</v>
      </c>
      <c r="J71" s="30" t="s">
        <v>14</v>
      </c>
      <c r="K71" s="30" t="s">
        <v>1046</v>
      </c>
      <c r="L71" s="30" t="s">
        <v>1252</v>
      </c>
      <c r="M71" s="30" t="s">
        <v>855</v>
      </c>
      <c r="N71" s="30"/>
      <c r="O71" s="31">
        <f>COUNTIF(S71:AT71,"")</f>
        <v>28</v>
      </c>
      <c r="P71" s="136" t="s">
        <v>2045</v>
      </c>
      <c r="Q71" s="31">
        <f>COUNTIF(S71:AT71,"APAGADO")</f>
        <v>0</v>
      </c>
      <c r="R71" s="32">
        <f>(O71)/(Q71+O71)</f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thickBot="1" x14ac:dyDescent="0.3">
      <c r="A72"/>
      <c r="B72"/>
      <c r="C72"/>
      <c r="D72"/>
      <c r="E72"/>
      <c r="F72" t="s">
        <v>511</v>
      </c>
      <c r="G72" t="s">
        <v>1031</v>
      </c>
      <c r="H72" t="s">
        <v>1053</v>
      </c>
      <c r="I72" t="s">
        <v>512</v>
      </c>
      <c r="J72" s="30" t="s">
        <v>18</v>
      </c>
      <c r="K72" s="30" t="s">
        <v>27</v>
      </c>
      <c r="L72" s="30"/>
      <c r="M72" s="30" t="s">
        <v>850</v>
      </c>
      <c r="N72" s="30"/>
      <c r="O72" s="31">
        <f>COUNTIF(S72:AT72,"")</f>
        <v>28</v>
      </c>
      <c r="P72" s="136" t="s">
        <v>2040</v>
      </c>
      <c r="Q72" s="31">
        <f>COUNTIF(S72:AT72,"APAGADO")</f>
        <v>0</v>
      </c>
      <c r="R72" s="32">
        <f>(O72)/(Q72+O72)</f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thickBot="1" x14ac:dyDescent="0.3">
      <c r="A73"/>
      <c r="B73"/>
      <c r="C73"/>
      <c r="D73"/>
      <c r="E73"/>
      <c r="F73" t="s">
        <v>515</v>
      </c>
      <c r="G73" t="s">
        <v>1030</v>
      </c>
      <c r="H73" t="s">
        <v>1053</v>
      </c>
      <c r="I73" t="s">
        <v>510</v>
      </c>
      <c r="J73" s="30" t="s">
        <v>14</v>
      </c>
      <c r="K73" s="30" t="s">
        <v>1046</v>
      </c>
      <c r="L73" s="30" t="s">
        <v>1249</v>
      </c>
      <c r="M73" s="30" t="s">
        <v>849</v>
      </c>
      <c r="N73" s="30"/>
      <c r="O73" s="31">
        <f>COUNTIF(S73:AT73,"")</f>
        <v>26</v>
      </c>
      <c r="P73" s="136" t="s">
        <v>2039</v>
      </c>
      <c r="Q73" s="31">
        <f>COUNTIF(S73:AT73,"APAGADO")</f>
        <v>2</v>
      </c>
      <c r="R73" s="32">
        <f>(O73)/(Q73+O73)</f>
        <v>0.9285714285714286</v>
      </c>
      <c r="S73" s="70"/>
      <c r="T73" s="70"/>
      <c r="U73" s="70"/>
      <c r="V73" s="70"/>
      <c r="W73" s="70"/>
      <c r="X73" s="70" t="s">
        <v>2240</v>
      </c>
      <c r="Y73" s="70" t="s">
        <v>2240</v>
      </c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8" ht="15.75" thickBot="1" x14ac:dyDescent="0.3">
      <c r="A74"/>
      <c r="B74"/>
      <c r="C74"/>
      <c r="D74"/>
      <c r="E74"/>
      <c r="F74" t="s">
        <v>515</v>
      </c>
      <c r="G74" t="s">
        <v>538</v>
      </c>
      <c r="H74" t="s">
        <v>1053</v>
      </c>
      <c r="I74" t="s">
        <v>539</v>
      </c>
      <c r="J74" s="30" t="s">
        <v>18</v>
      </c>
      <c r="K74" s="84" t="s">
        <v>1291</v>
      </c>
      <c r="L74" s="30"/>
      <c r="M74" s="30" t="s">
        <v>848</v>
      </c>
      <c r="N74" s="30"/>
      <c r="O74" s="31">
        <f>COUNTIF(S74:AT74,"")</f>
        <v>26</v>
      </c>
      <c r="P74" s="136" t="s">
        <v>2038</v>
      </c>
      <c r="Q74" s="31">
        <f>COUNTIF(S74:AT74,"APAGADO")</f>
        <v>2</v>
      </c>
      <c r="R74" s="32">
        <f>(O74)/(Q74+O74)</f>
        <v>0.9285714285714286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 t="s">
        <v>2240</v>
      </c>
      <c r="AT74" s="70" t="s">
        <v>2240</v>
      </c>
      <c r="AU74" s="70" t="s">
        <v>2240</v>
      </c>
      <c r="AV74" s="70" t="s">
        <v>2240</v>
      </c>
    </row>
    <row r="75" spans="1:48" ht="15.75" thickBot="1" x14ac:dyDescent="0.3">
      <c r="A75">
        <v>5</v>
      </c>
      <c r="B75">
        <v>3</v>
      </c>
      <c r="C75"/>
      <c r="D75"/>
      <c r="E75" t="s">
        <v>1246</v>
      </c>
      <c r="F75" t="s">
        <v>515</v>
      </c>
      <c r="G75" t="s">
        <v>535</v>
      </c>
      <c r="H75" t="s">
        <v>1053</v>
      </c>
      <c r="I75" t="s">
        <v>536</v>
      </c>
      <c r="J75" s="30" t="s">
        <v>18</v>
      </c>
      <c r="K75" s="30" t="s">
        <v>27</v>
      </c>
      <c r="L75" s="30"/>
      <c r="M75" s="30" t="s">
        <v>846</v>
      </c>
      <c r="N75" s="30"/>
      <c r="O75" s="31">
        <f>COUNTIF(S75:AT75,"")</f>
        <v>24</v>
      </c>
      <c r="P75" s="136" t="s">
        <v>2036</v>
      </c>
      <c r="Q75" s="31">
        <f>COUNTIF(S75:AT75,"APAGADO")</f>
        <v>4</v>
      </c>
      <c r="R75" s="32">
        <f>(O75)/(Q75+O75)</f>
        <v>0.8571428571428571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 t="s">
        <v>2240</v>
      </c>
      <c r="AF75" s="70" t="s">
        <v>2240</v>
      </c>
      <c r="AG75" s="142" t="s">
        <v>2240</v>
      </c>
      <c r="AH75" s="70"/>
      <c r="AI75" s="70"/>
      <c r="AJ75" s="70"/>
      <c r="AK75" s="70"/>
      <c r="AL75" s="70"/>
      <c r="AM75" s="70"/>
      <c r="AN75" s="70"/>
      <c r="AO75" s="70" t="s">
        <v>2240</v>
      </c>
      <c r="AP75" s="70"/>
      <c r="AQ75" s="70"/>
      <c r="AR75" s="70"/>
      <c r="AS75" s="70"/>
      <c r="AT75" s="70"/>
      <c r="AU75" s="70"/>
      <c r="AV75" s="70"/>
    </row>
    <row r="76" spans="1:48" ht="15.75" thickBot="1" x14ac:dyDescent="0.3">
      <c r="A76"/>
      <c r="B76"/>
      <c r="C76"/>
      <c r="D76"/>
      <c r="E76"/>
      <c r="F76" s="73" t="s">
        <v>515</v>
      </c>
      <c r="G76" s="73" t="s">
        <v>533</v>
      </c>
      <c r="H76" s="73" t="s">
        <v>1053</v>
      </c>
      <c r="I76" s="73" t="s">
        <v>534</v>
      </c>
      <c r="J76" s="84" t="s">
        <v>18</v>
      </c>
      <c r="K76" s="84" t="s">
        <v>1291</v>
      </c>
      <c r="L76" s="84"/>
      <c r="M76" s="84" t="s">
        <v>845</v>
      </c>
      <c r="N76" s="84"/>
      <c r="O76" s="131">
        <f>COUNTIF(S76:AT76,"")</f>
        <v>28</v>
      </c>
      <c r="P76" s="136" t="s">
        <v>2035</v>
      </c>
      <c r="Q76" s="131">
        <f>COUNTIF(S76:AT76,"APAGADO")</f>
        <v>0</v>
      </c>
      <c r="R76" s="132">
        <f>(O76)/(Q76+O76)</f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thickBot="1" x14ac:dyDescent="0.3">
      <c r="A77"/>
      <c r="B77"/>
      <c r="C77"/>
      <c r="D77"/>
      <c r="E77"/>
      <c r="F77" t="s">
        <v>511</v>
      </c>
      <c r="G77" t="s">
        <v>532</v>
      </c>
      <c r="H77" t="s">
        <v>1052</v>
      </c>
      <c r="I77" t="s">
        <v>1058</v>
      </c>
      <c r="J77" s="30" t="s">
        <v>18</v>
      </c>
      <c r="K77" s="30" t="s">
        <v>27</v>
      </c>
      <c r="L77" s="30"/>
      <c r="M77" s="30" t="s">
        <v>844</v>
      </c>
      <c r="N77" s="30"/>
      <c r="O77" s="31">
        <f>COUNTIF(S77:AT77,"")</f>
        <v>28</v>
      </c>
      <c r="P77" s="136" t="s">
        <v>2034</v>
      </c>
      <c r="Q77" s="31">
        <f>COUNTIF(S77:AT77,"APAGADO")</f>
        <v>0</v>
      </c>
      <c r="R77" s="32">
        <f>(O77)/(Q77+O77)</f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thickBot="1" x14ac:dyDescent="0.3">
      <c r="A78"/>
      <c r="B78"/>
      <c r="C78"/>
      <c r="D78"/>
      <c r="E78"/>
      <c r="F78" t="s">
        <v>511</v>
      </c>
      <c r="G78" t="s">
        <v>531</v>
      </c>
      <c r="H78" t="s">
        <v>1053</v>
      </c>
      <c r="I78" t="s">
        <v>1059</v>
      </c>
      <c r="J78" s="30" t="s">
        <v>18</v>
      </c>
      <c r="K78" s="30" t="s">
        <v>27</v>
      </c>
      <c r="L78" s="30"/>
      <c r="M78" s="30" t="s">
        <v>843</v>
      </c>
      <c r="N78" s="30"/>
      <c r="O78" s="31">
        <f>COUNTIF(S78:AT78,"")</f>
        <v>14</v>
      </c>
      <c r="P78" s="136" t="s">
        <v>2033</v>
      </c>
      <c r="Q78" s="31">
        <f>COUNTIF(S78:AT78,"APAGADO")</f>
        <v>14</v>
      </c>
      <c r="R78" s="32">
        <f>(O78)/(Q78+O78)</f>
        <v>0.5</v>
      </c>
      <c r="S78" s="70"/>
      <c r="T78" s="70"/>
      <c r="U78" s="70"/>
      <c r="V78" s="70"/>
      <c r="W78" s="70"/>
      <c r="X78" s="70" t="s">
        <v>2240</v>
      </c>
      <c r="Y78" s="70" t="s">
        <v>2240</v>
      </c>
      <c r="Z78" s="70" t="s">
        <v>2240</v>
      </c>
      <c r="AA78" s="70"/>
      <c r="AB78" s="70"/>
      <c r="AC78" s="70"/>
      <c r="AD78" s="70"/>
      <c r="AE78" s="70" t="s">
        <v>2240</v>
      </c>
      <c r="AF78" s="70" t="s">
        <v>2240</v>
      </c>
      <c r="AG78" s="142" t="s">
        <v>2240</v>
      </c>
      <c r="AH78" s="70" t="s">
        <v>2240</v>
      </c>
      <c r="AI78" s="70" t="s">
        <v>2240</v>
      </c>
      <c r="AJ78" s="70"/>
      <c r="AK78" s="70"/>
      <c r="AL78" s="70" t="s">
        <v>2240</v>
      </c>
      <c r="AM78" s="70" t="s">
        <v>2240</v>
      </c>
      <c r="AN78" s="70" t="s">
        <v>2240</v>
      </c>
      <c r="AO78" s="70" t="s">
        <v>2240</v>
      </c>
      <c r="AP78" s="70" t="s">
        <v>2240</v>
      </c>
      <c r="AQ78" s="70"/>
      <c r="AR78" s="70"/>
      <c r="AS78" s="70"/>
      <c r="AT78" s="70" t="s">
        <v>2240</v>
      </c>
      <c r="AU78" s="70" t="s">
        <v>2240</v>
      </c>
      <c r="AV78" s="70" t="s">
        <v>2240</v>
      </c>
    </row>
    <row r="79" spans="1:48" ht="15.75" thickBot="1" x14ac:dyDescent="0.3">
      <c r="A79"/>
      <c r="B79"/>
      <c r="C79"/>
      <c r="D79"/>
      <c r="E79"/>
      <c r="F79" s="73" t="s">
        <v>511</v>
      </c>
      <c r="G79" s="73" t="s">
        <v>529</v>
      </c>
      <c r="H79" s="73" t="s">
        <v>1053</v>
      </c>
      <c r="I79" s="73" t="s">
        <v>530</v>
      </c>
      <c r="J79" s="84" t="s">
        <v>18</v>
      </c>
      <c r="K79" s="84" t="s">
        <v>1291</v>
      </c>
      <c r="L79" s="84"/>
      <c r="M79" s="84" t="s">
        <v>1487</v>
      </c>
      <c r="N79" s="84"/>
      <c r="O79" s="131">
        <f>COUNTIF(S79:AT79,"")</f>
        <v>28</v>
      </c>
      <c r="P79" s="136" t="s">
        <v>2032</v>
      </c>
      <c r="Q79" s="131">
        <f>COUNTIF(S79:AT79,"APAGADO")</f>
        <v>0</v>
      </c>
      <c r="R79" s="132">
        <f>(O79)/(Q79+O79)</f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thickBot="1" x14ac:dyDescent="0.3">
      <c r="A80">
        <v>4</v>
      </c>
      <c r="B80">
        <v>12</v>
      </c>
      <c r="C80"/>
      <c r="D80"/>
      <c r="E80" t="s">
        <v>2351</v>
      </c>
      <c r="F80" s="73" t="s">
        <v>511</v>
      </c>
      <c r="G80" s="73" t="s">
        <v>527</v>
      </c>
      <c r="H80" s="73" t="s">
        <v>1053</v>
      </c>
      <c r="I80" s="73" t="s">
        <v>528</v>
      </c>
      <c r="J80" s="84" t="s">
        <v>18</v>
      </c>
      <c r="K80" s="84" t="s">
        <v>27</v>
      </c>
      <c r="L80" s="84"/>
      <c r="M80" s="84" t="s">
        <v>842</v>
      </c>
      <c r="N80" s="84"/>
      <c r="O80" s="31">
        <f>COUNTIF(S80:AT80,"")</f>
        <v>28</v>
      </c>
      <c r="P80" s="136" t="s">
        <v>2031</v>
      </c>
      <c r="Q80" s="31">
        <f>COUNTIF(S80:AT80,"APAGADO")</f>
        <v>0</v>
      </c>
      <c r="R80" s="32">
        <f>(O80)/(Q80+O80)</f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thickBot="1" x14ac:dyDescent="0.3">
      <c r="A81">
        <v>4</v>
      </c>
      <c r="B81">
        <v>12</v>
      </c>
      <c r="C81"/>
      <c r="D81"/>
      <c r="E81" t="s">
        <v>2351</v>
      </c>
      <c r="F81" t="s">
        <v>511</v>
      </c>
      <c r="G81" t="s">
        <v>525</v>
      </c>
      <c r="H81" t="s">
        <v>1053</v>
      </c>
      <c r="I81" t="s">
        <v>526</v>
      </c>
      <c r="J81" s="30" t="s">
        <v>18</v>
      </c>
      <c r="K81" s="30" t="s">
        <v>27</v>
      </c>
      <c r="L81" s="30"/>
      <c r="M81" s="30" t="s">
        <v>841</v>
      </c>
      <c r="N81" s="30"/>
      <c r="O81" s="31">
        <f>COUNTIF(S81:AT81,"")</f>
        <v>28</v>
      </c>
      <c r="P81" s="136" t="s">
        <v>2030</v>
      </c>
      <c r="Q81" s="31">
        <f>COUNTIF(S81:AT81,"APAGADO")</f>
        <v>0</v>
      </c>
      <c r="R81" s="32">
        <f>(O81)/(Q81+O81)</f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thickBot="1" x14ac:dyDescent="0.3">
      <c r="A82"/>
      <c r="B82"/>
      <c r="C82"/>
      <c r="D82"/>
      <c r="E82"/>
      <c r="F82" t="s">
        <v>511</v>
      </c>
      <c r="G82" t="s">
        <v>524</v>
      </c>
      <c r="H82" t="s">
        <v>1053</v>
      </c>
      <c r="I82" t="s">
        <v>1081</v>
      </c>
      <c r="J82" s="30" t="s">
        <v>18</v>
      </c>
      <c r="K82" s="30" t="s">
        <v>27</v>
      </c>
      <c r="L82" s="30"/>
      <c r="M82" s="30" t="s">
        <v>840</v>
      </c>
      <c r="N82" s="30"/>
      <c r="O82" s="31">
        <f>COUNTIF(S82:AT82,"")</f>
        <v>26</v>
      </c>
      <c r="P82" s="136" t="s">
        <v>2029</v>
      </c>
      <c r="Q82" s="31">
        <f>COUNTIF(S82:AT82,"APAGADO")</f>
        <v>2</v>
      </c>
      <c r="R82" s="32">
        <f>(O82)/(Q82+O82)</f>
        <v>0.9285714285714286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 t="s">
        <v>2240</v>
      </c>
      <c r="AT82" s="70" t="s">
        <v>2240</v>
      </c>
      <c r="AU82" s="70" t="s">
        <v>2240</v>
      </c>
      <c r="AV82" s="70" t="s">
        <v>2240</v>
      </c>
    </row>
    <row r="83" spans="1:48" ht="15.75" thickBot="1" x14ac:dyDescent="0.3">
      <c r="A83"/>
      <c r="B83"/>
      <c r="C83"/>
      <c r="D83"/>
      <c r="E83"/>
      <c r="F83" t="s">
        <v>515</v>
      </c>
      <c r="G83" t="s">
        <v>523</v>
      </c>
      <c r="H83" t="s">
        <v>1053</v>
      </c>
      <c r="I83" t="s">
        <v>2211</v>
      </c>
      <c r="J83" s="30" t="s">
        <v>18</v>
      </c>
      <c r="K83" s="30" t="s">
        <v>27</v>
      </c>
      <c r="L83" s="30"/>
      <c r="M83" s="30" t="s">
        <v>839</v>
      </c>
      <c r="N83" s="30"/>
      <c r="O83" s="31">
        <f>COUNTIF(S83:AT83,"")</f>
        <v>26</v>
      </c>
      <c r="P83" s="136" t="s">
        <v>2028</v>
      </c>
      <c r="Q83" s="31">
        <f>COUNTIF(S83:AT83,"APAGADO")</f>
        <v>2</v>
      </c>
      <c r="R83" s="32">
        <f>(O83)/(Q83+O83)</f>
        <v>0.9285714285714286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 t="s">
        <v>2240</v>
      </c>
      <c r="AT83" s="70" t="s">
        <v>2240</v>
      </c>
      <c r="AU83" s="70" t="s">
        <v>2240</v>
      </c>
      <c r="AV83" s="70" t="s">
        <v>2240</v>
      </c>
    </row>
    <row r="84" spans="1:48" ht="15.75" thickBot="1" x14ac:dyDescent="0.3">
      <c r="A84"/>
      <c r="B84"/>
      <c r="C84"/>
      <c r="D84"/>
      <c r="E84"/>
      <c r="F84" s="73" t="s">
        <v>515</v>
      </c>
      <c r="G84" s="84" t="s">
        <v>1566</v>
      </c>
      <c r="H84" s="84" t="s">
        <v>1053</v>
      </c>
      <c r="I84" s="73" t="s">
        <v>1567</v>
      </c>
      <c r="J84" s="84" t="s">
        <v>14</v>
      </c>
      <c r="K84" s="84" t="s">
        <v>1291</v>
      </c>
      <c r="L84" s="84"/>
      <c r="M84" s="84" t="s">
        <v>1568</v>
      </c>
      <c r="N84" s="84"/>
      <c r="O84" s="131">
        <f>COUNTIF(S84:AT84,"")</f>
        <v>28</v>
      </c>
      <c r="P84" s="136" t="s">
        <v>2055</v>
      </c>
      <c r="Q84" s="131">
        <f>COUNTIF(S84:AT84,"APAGADO")</f>
        <v>0</v>
      </c>
      <c r="R84" s="132">
        <f>(O84)/(Q84+O84)</f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thickBot="1" x14ac:dyDescent="0.3">
      <c r="A85"/>
      <c r="B85"/>
      <c r="C85"/>
      <c r="D85"/>
      <c r="E85"/>
      <c r="F85" t="s">
        <v>515</v>
      </c>
      <c r="G85" s="30" t="s">
        <v>1515</v>
      </c>
      <c r="H85" s="30" t="s">
        <v>1053</v>
      </c>
      <c r="I85" t="s">
        <v>1516</v>
      </c>
      <c r="J85" s="30" t="s">
        <v>1104</v>
      </c>
      <c r="K85" s="30" t="s">
        <v>27</v>
      </c>
      <c r="L85" s="30"/>
      <c r="M85" s="30" t="s">
        <v>1517</v>
      </c>
      <c r="N85" s="30"/>
      <c r="O85" s="131">
        <f>COUNTIF(S85:AT85,"")</f>
        <v>26</v>
      </c>
      <c r="P85" s="136" t="s">
        <v>2054</v>
      </c>
      <c r="Q85" s="131">
        <f>COUNTIF(S85:AT85,"APAGADO")</f>
        <v>2</v>
      </c>
      <c r="R85" s="132">
        <f>(O85)/(Q85+O85)</f>
        <v>0.9285714285714286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 t="s">
        <v>2240</v>
      </c>
      <c r="AT85" s="70" t="s">
        <v>2240</v>
      </c>
      <c r="AU85" s="70" t="s">
        <v>2240</v>
      </c>
      <c r="AV85" s="70" t="s">
        <v>2240</v>
      </c>
    </row>
    <row r="86" spans="1:48" ht="15.75" thickBot="1" x14ac:dyDescent="0.3">
      <c r="A86"/>
      <c r="B86"/>
      <c r="C86"/>
      <c r="D86"/>
      <c r="E86"/>
      <c r="F86" s="73" t="s">
        <v>515</v>
      </c>
      <c r="G86" s="84" t="s">
        <v>1198</v>
      </c>
      <c r="H86" s="84" t="s">
        <v>1053</v>
      </c>
      <c r="I86" s="73" t="s">
        <v>1194</v>
      </c>
      <c r="J86" s="84" t="s">
        <v>14</v>
      </c>
      <c r="K86" s="84" t="s">
        <v>1291</v>
      </c>
      <c r="L86" s="84"/>
      <c r="M86" s="84" t="s">
        <v>1195</v>
      </c>
      <c r="N86" s="84"/>
      <c r="O86" s="131">
        <f>COUNTIF(S86:AT86,"")</f>
        <v>28</v>
      </c>
      <c r="P86" s="136" t="s">
        <v>2053</v>
      </c>
      <c r="Q86" s="131">
        <f>COUNTIF(S86:AT86,"APAGADO")</f>
        <v>0</v>
      </c>
      <c r="R86" s="132">
        <f>(O86)/(Q86+O86)</f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thickBot="1" x14ac:dyDescent="0.3">
      <c r="A87"/>
      <c r="B87"/>
      <c r="C87"/>
      <c r="D87"/>
      <c r="E87"/>
      <c r="F87" t="s">
        <v>511</v>
      </c>
      <c r="G87" t="s">
        <v>1136</v>
      </c>
      <c r="H87" t="s">
        <v>1053</v>
      </c>
      <c r="I87" t="s">
        <v>1137</v>
      </c>
      <c r="J87" s="30" t="s">
        <v>1104</v>
      </c>
      <c r="K87" s="30" t="s">
        <v>27</v>
      </c>
      <c r="L87" s="30"/>
      <c r="M87" s="30" t="s">
        <v>1139</v>
      </c>
      <c r="N87" s="30"/>
      <c r="O87" s="31">
        <f>COUNTIF(S87:AT87,"")</f>
        <v>26</v>
      </c>
      <c r="P87" s="136" t="s">
        <v>2052</v>
      </c>
      <c r="Q87" s="31">
        <f>COUNTIF(S87:AT87,"APAGADO")</f>
        <v>2</v>
      </c>
      <c r="R87" s="32">
        <f>(O87)/(Q87+O87)</f>
        <v>0.9285714285714286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 t="s">
        <v>2240</v>
      </c>
      <c r="AT87" s="70" t="s">
        <v>2240</v>
      </c>
      <c r="AU87" s="70" t="s">
        <v>2240</v>
      </c>
      <c r="AV87" s="70" t="s">
        <v>2240</v>
      </c>
    </row>
    <row r="88" spans="1:48" ht="15.75" thickBot="1" x14ac:dyDescent="0.3">
      <c r="A88"/>
      <c r="B88"/>
      <c r="C88"/>
      <c r="D88"/>
      <c r="E88"/>
      <c r="F88" t="s">
        <v>511</v>
      </c>
      <c r="G88" t="s">
        <v>1135</v>
      </c>
      <c r="H88" t="s">
        <v>1053</v>
      </c>
      <c r="I88" t="s">
        <v>1137</v>
      </c>
      <c r="J88" s="30" t="s">
        <v>72</v>
      </c>
      <c r="K88" s="30" t="s">
        <v>27</v>
      </c>
      <c r="L88" s="30"/>
      <c r="M88" s="30" t="s">
        <v>1138</v>
      </c>
      <c r="N88" s="30"/>
      <c r="O88" s="31">
        <f>COUNTIF(S88:AT88,"")</f>
        <v>26</v>
      </c>
      <c r="P88" s="136" t="s">
        <v>2051</v>
      </c>
      <c r="Q88" s="31">
        <f>COUNTIF(S88:AT88,"APAGADO")</f>
        <v>2</v>
      </c>
      <c r="R88" s="32">
        <f>(O88)/(Q88+O88)</f>
        <v>0.9285714285714286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 t="s">
        <v>2240</v>
      </c>
      <c r="AT88" s="70" t="s">
        <v>2240</v>
      </c>
      <c r="AU88" s="70" t="s">
        <v>2240</v>
      </c>
      <c r="AV88" s="70" t="s">
        <v>2240</v>
      </c>
    </row>
    <row r="89" spans="1:48" s="73" customFormat="1" ht="15.75" thickBot="1" x14ac:dyDescent="0.3">
      <c r="A89">
        <v>4</v>
      </c>
      <c r="B89">
        <v>12</v>
      </c>
      <c r="C89"/>
      <c r="D89"/>
      <c r="E89" t="s">
        <v>2351</v>
      </c>
      <c r="F89" t="s">
        <v>511</v>
      </c>
      <c r="G89" t="s">
        <v>1029</v>
      </c>
      <c r="H89" t="s">
        <v>1053</v>
      </c>
      <c r="I89" t="s">
        <v>541</v>
      </c>
      <c r="J89" s="30" t="s">
        <v>72</v>
      </c>
      <c r="K89" s="30" t="s">
        <v>27</v>
      </c>
      <c r="L89" s="30"/>
      <c r="M89" s="30" t="s">
        <v>858</v>
      </c>
      <c r="N89" s="30"/>
      <c r="O89" s="31">
        <f>COUNTIF(S89:AT89,"")</f>
        <v>28</v>
      </c>
      <c r="P89" s="136" t="s">
        <v>2048</v>
      </c>
      <c r="Q89" s="31">
        <f>COUNTIF(S89:AT89,"APAGADO")</f>
        <v>0</v>
      </c>
      <c r="R89" s="32">
        <f>(O89)/(Q89+O89)</f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thickBot="1" x14ac:dyDescent="0.3">
      <c r="A90">
        <v>4</v>
      </c>
      <c r="B90">
        <v>12</v>
      </c>
      <c r="C90"/>
      <c r="D90"/>
      <c r="E90" t="s">
        <v>2351</v>
      </c>
      <c r="F90" t="s">
        <v>511</v>
      </c>
      <c r="G90" t="s">
        <v>1028</v>
      </c>
      <c r="H90" t="s">
        <v>1053</v>
      </c>
      <c r="I90" t="s">
        <v>541</v>
      </c>
      <c r="J90" s="30" t="s">
        <v>72</v>
      </c>
      <c r="K90" s="30" t="s">
        <v>27</v>
      </c>
      <c r="L90" s="30"/>
      <c r="M90" s="30" t="s">
        <v>857</v>
      </c>
      <c r="N90" s="30"/>
      <c r="O90" s="31">
        <f>COUNTIF(S90:AT90,"")</f>
        <v>28</v>
      </c>
      <c r="P90" s="136" t="s">
        <v>2047</v>
      </c>
      <c r="Q90" s="31">
        <f>COUNTIF(S90:AT90,"APAGADO")</f>
        <v>0</v>
      </c>
      <c r="R90" s="32">
        <f>(O90)/(Q90+O90)</f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thickBot="1" x14ac:dyDescent="0.3">
      <c r="A91"/>
      <c r="B91"/>
      <c r="C91"/>
      <c r="D91"/>
      <c r="E91"/>
      <c r="F91" s="73" t="s">
        <v>515</v>
      </c>
      <c r="G91" s="73" t="s">
        <v>521</v>
      </c>
      <c r="H91" s="73" t="s">
        <v>1053</v>
      </c>
      <c r="I91" s="73" t="s">
        <v>522</v>
      </c>
      <c r="J91" s="84" t="s">
        <v>45</v>
      </c>
      <c r="K91" s="84" t="s">
        <v>1291</v>
      </c>
      <c r="L91" s="84"/>
      <c r="M91" s="84" t="s">
        <v>1355</v>
      </c>
      <c r="N91" s="84"/>
      <c r="O91" s="131">
        <f>COUNTIF(S91:AT91,"")</f>
        <v>28</v>
      </c>
      <c r="P91" s="136" t="s">
        <v>2046</v>
      </c>
      <c r="Q91" s="131">
        <f>COUNTIF(S91:AT91,"APAGADO")</f>
        <v>0</v>
      </c>
      <c r="R91" s="132">
        <f>(O91)/(Q91+O91)</f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thickBot="1" x14ac:dyDescent="0.3">
      <c r="A92"/>
      <c r="B92"/>
      <c r="C92"/>
      <c r="D92"/>
      <c r="E92"/>
      <c r="F92" t="s">
        <v>515</v>
      </c>
      <c r="G92" t="s">
        <v>518</v>
      </c>
      <c r="H92" t="s">
        <v>1053</v>
      </c>
      <c r="I92" t="s">
        <v>1080</v>
      </c>
      <c r="J92" s="30" t="s">
        <v>14</v>
      </c>
      <c r="K92" s="30" t="s">
        <v>1046</v>
      </c>
      <c r="L92" s="30" t="s">
        <v>1251</v>
      </c>
      <c r="M92" s="30" t="s">
        <v>854</v>
      </c>
      <c r="N92" s="30"/>
      <c r="O92" s="31">
        <f>COUNTIF(S92:AT92,"")</f>
        <v>17</v>
      </c>
      <c r="P92" s="136" t="s">
        <v>2044</v>
      </c>
      <c r="Q92" s="31">
        <f>COUNTIF(S92:AT92,"APAGADO")</f>
        <v>11</v>
      </c>
      <c r="R92" s="32">
        <f>(O92)/(Q92+O92)</f>
        <v>0.6071428571428571</v>
      </c>
      <c r="S92" s="70" t="s">
        <v>2240</v>
      </c>
      <c r="T92" s="70"/>
      <c r="U92" s="70"/>
      <c r="V92" s="70"/>
      <c r="W92" s="70"/>
      <c r="X92" s="70" t="s">
        <v>2240</v>
      </c>
      <c r="Y92" s="70" t="s">
        <v>2240</v>
      </c>
      <c r="Z92" s="70" t="s">
        <v>2240</v>
      </c>
      <c r="AA92" s="70"/>
      <c r="AB92" s="70"/>
      <c r="AC92" s="70"/>
      <c r="AD92" s="70"/>
      <c r="AE92" s="70" t="s">
        <v>2240</v>
      </c>
      <c r="AF92" s="70" t="s">
        <v>2240</v>
      </c>
      <c r="AG92" s="142" t="s">
        <v>2240</v>
      </c>
      <c r="AH92" s="70" t="s">
        <v>2240</v>
      </c>
      <c r="AI92" s="70" t="s">
        <v>2240</v>
      </c>
      <c r="AJ92" s="70"/>
      <c r="AK92" s="70"/>
      <c r="AL92" s="70"/>
      <c r="AM92" s="70"/>
      <c r="AN92" s="70"/>
      <c r="AO92" s="70"/>
      <c r="AP92" s="70"/>
      <c r="AQ92" s="70"/>
      <c r="AR92" s="70"/>
      <c r="AS92" s="70" t="s">
        <v>2240</v>
      </c>
      <c r="AT92" s="70" t="s">
        <v>2240</v>
      </c>
      <c r="AU92" s="70" t="s">
        <v>2240</v>
      </c>
      <c r="AV92" s="70" t="s">
        <v>2240</v>
      </c>
    </row>
    <row r="93" spans="1:48" ht="15.75" thickBot="1" x14ac:dyDescent="0.3">
      <c r="A93">
        <v>5</v>
      </c>
      <c r="B93">
        <v>3</v>
      </c>
      <c r="C93"/>
      <c r="D93"/>
      <c r="E93" t="s">
        <v>1246</v>
      </c>
      <c r="F93" t="s">
        <v>515</v>
      </c>
      <c r="G93" t="s">
        <v>516</v>
      </c>
      <c r="H93" t="s">
        <v>1053</v>
      </c>
      <c r="I93" t="s">
        <v>517</v>
      </c>
      <c r="J93" s="30" t="s">
        <v>14</v>
      </c>
      <c r="K93" s="30" t="s">
        <v>1046</v>
      </c>
      <c r="L93" s="30" t="s">
        <v>1246</v>
      </c>
      <c r="M93" s="30" t="s">
        <v>853</v>
      </c>
      <c r="N93" s="30"/>
      <c r="O93" s="31">
        <f>COUNTIF(S93:AT93,"")</f>
        <v>24</v>
      </c>
      <c r="P93" s="136" t="s">
        <v>2043</v>
      </c>
      <c r="Q93" s="31">
        <f>COUNTIF(S93:AT93,"APAGADO")</f>
        <v>4</v>
      </c>
      <c r="R93" s="32">
        <f>(O93)/(Q93+O93)</f>
        <v>0.8571428571428571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 t="s">
        <v>2240</v>
      </c>
      <c r="AF93" s="70" t="s">
        <v>2240</v>
      </c>
      <c r="AG93" s="142" t="s">
        <v>2240</v>
      </c>
      <c r="AH93" s="70"/>
      <c r="AI93" s="70"/>
      <c r="AJ93" s="70"/>
      <c r="AK93" s="70"/>
      <c r="AL93" s="70"/>
      <c r="AM93" s="70"/>
      <c r="AN93" s="70"/>
      <c r="AO93" s="70" t="s">
        <v>2240</v>
      </c>
      <c r="AP93" s="70"/>
      <c r="AQ93" s="70"/>
      <c r="AR93" s="70"/>
      <c r="AS93" s="70"/>
      <c r="AT93" s="70"/>
      <c r="AU93" s="70"/>
      <c r="AV93" s="70"/>
    </row>
    <row r="94" spans="1:48" ht="15.75" thickBot="1" x14ac:dyDescent="0.3">
      <c r="A94">
        <v>4</v>
      </c>
      <c r="B94">
        <v>12</v>
      </c>
      <c r="C94"/>
      <c r="D94"/>
      <c r="E94" t="s">
        <v>2351</v>
      </c>
      <c r="F94" t="s">
        <v>515</v>
      </c>
      <c r="G94" t="s">
        <v>513</v>
      </c>
      <c r="H94" t="s">
        <v>1053</v>
      </c>
      <c r="I94" t="s">
        <v>514</v>
      </c>
      <c r="J94" s="30" t="s">
        <v>14</v>
      </c>
      <c r="K94" s="30" t="s">
        <v>1046</v>
      </c>
      <c r="L94" s="30" t="s">
        <v>1250</v>
      </c>
      <c r="M94" s="30" t="s">
        <v>852</v>
      </c>
      <c r="N94" s="30"/>
      <c r="O94" s="31">
        <f>COUNTIF(S94:AT94,"")</f>
        <v>28</v>
      </c>
      <c r="P94" s="136" t="s">
        <v>2042</v>
      </c>
      <c r="Q94" s="31">
        <f>COUNTIF(S94:AT94,"APAGADO")</f>
        <v>0</v>
      </c>
      <c r="R94" s="32">
        <f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73" customFormat="1" ht="15.75" thickBot="1" x14ac:dyDescent="0.3">
      <c r="A95"/>
      <c r="B95"/>
      <c r="C95"/>
      <c r="D95"/>
      <c r="E95"/>
      <c r="F95" t="s">
        <v>515</v>
      </c>
      <c r="G95" t="s">
        <v>1027</v>
      </c>
      <c r="H95" t="s">
        <v>1053</v>
      </c>
      <c r="I95" t="s">
        <v>540</v>
      </c>
      <c r="J95" s="30" t="s">
        <v>14</v>
      </c>
      <c r="K95" s="30" t="s">
        <v>27</v>
      </c>
      <c r="L95" s="30"/>
      <c r="M95" s="30" t="s">
        <v>851</v>
      </c>
      <c r="N95" s="30"/>
      <c r="O95" s="31">
        <f>COUNTIF(S95:AT95,"")</f>
        <v>20</v>
      </c>
      <c r="P95" s="136" t="s">
        <v>2041</v>
      </c>
      <c r="Q95" s="31">
        <f>COUNTIF(S95:AT95,"APAGADO")</f>
        <v>8</v>
      </c>
      <c r="R95" s="32">
        <f>(O95)/(Q95+O95)</f>
        <v>0.7142857142857143</v>
      </c>
      <c r="S95" s="70" t="s">
        <v>2240</v>
      </c>
      <c r="T95" s="70"/>
      <c r="U95" s="70"/>
      <c r="V95" s="70"/>
      <c r="W95" s="70"/>
      <c r="X95" s="70" t="s">
        <v>2240</v>
      </c>
      <c r="Y95" s="70" t="s">
        <v>2240</v>
      </c>
      <c r="Z95" s="70" t="s">
        <v>2240</v>
      </c>
      <c r="AA95" s="70"/>
      <c r="AB95" s="70"/>
      <c r="AC95" s="70"/>
      <c r="AD95" s="70"/>
      <c r="AE95" s="70" t="s">
        <v>2240</v>
      </c>
      <c r="AF95" s="70" t="s">
        <v>2240</v>
      </c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 t="s">
        <v>2240</v>
      </c>
      <c r="AT95" s="70" t="s">
        <v>2240</v>
      </c>
      <c r="AU95" s="70" t="s">
        <v>2240</v>
      </c>
      <c r="AV95" s="70" t="s">
        <v>2240</v>
      </c>
    </row>
    <row r="96" spans="1:48" ht="15.75" thickBot="1" x14ac:dyDescent="0.3">
      <c r="A96">
        <v>4</v>
      </c>
      <c r="B96">
        <v>12</v>
      </c>
      <c r="C96"/>
      <c r="D96"/>
      <c r="E96" t="s">
        <v>2351</v>
      </c>
      <c r="F96" t="s">
        <v>511</v>
      </c>
      <c r="G96" t="s">
        <v>1026</v>
      </c>
      <c r="H96" t="s">
        <v>1053</v>
      </c>
      <c r="I96" t="s">
        <v>537</v>
      </c>
      <c r="J96" s="30" t="s">
        <v>18</v>
      </c>
      <c r="K96" s="30" t="s">
        <v>27</v>
      </c>
      <c r="L96" s="30"/>
      <c r="M96" s="30" t="s">
        <v>847</v>
      </c>
      <c r="N96" s="30"/>
      <c r="O96" s="31">
        <f>COUNTIF(S96:AT96,"")</f>
        <v>28</v>
      </c>
      <c r="P96" s="136" t="s">
        <v>2037</v>
      </c>
      <c r="Q96" s="31">
        <f>COUNTIF(S96:AT96,"APAGADO")</f>
        <v>0</v>
      </c>
      <c r="R96" s="32">
        <f>(O96)/(Q96+O96)</f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8" s="73" customFormat="1" ht="15.75" thickBot="1" x14ac:dyDescent="0.3">
      <c r="A97"/>
      <c r="B97"/>
      <c r="C97"/>
      <c r="D97"/>
      <c r="E97"/>
      <c r="F97" t="s">
        <v>226</v>
      </c>
      <c r="G97" s="30" t="s">
        <v>1091</v>
      </c>
      <c r="H97" s="30" t="s">
        <v>1053</v>
      </c>
      <c r="I97" t="s">
        <v>1092</v>
      </c>
      <c r="J97" s="30" t="s">
        <v>18</v>
      </c>
      <c r="K97" s="30" t="s">
        <v>27</v>
      </c>
      <c r="L97" s="30"/>
      <c r="M97" s="30" t="s">
        <v>1093</v>
      </c>
      <c r="N97" s="30"/>
      <c r="O97" s="31">
        <f>COUNTIF(S97:AT97,"")</f>
        <v>26</v>
      </c>
      <c r="P97" s="136" t="s">
        <v>2027</v>
      </c>
      <c r="Q97" s="31">
        <f>COUNTIF(S97:AT97,"APAGADO")</f>
        <v>2</v>
      </c>
      <c r="R97" s="32">
        <f>(O97)/(Q97+O97)</f>
        <v>0.9285714285714286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 t="s">
        <v>2240</v>
      </c>
      <c r="AP97" s="70" t="s">
        <v>2240</v>
      </c>
      <c r="AQ97" s="70"/>
      <c r="AR97" s="70"/>
      <c r="AS97" s="70"/>
      <c r="AT97" s="70"/>
      <c r="AU97" s="70"/>
      <c r="AV97" s="70"/>
    </row>
    <row r="98" spans="1:48" s="73" customFormat="1" ht="15.75" thickBot="1" x14ac:dyDescent="0.3">
      <c r="A98">
        <v>6</v>
      </c>
      <c r="B98">
        <v>12</v>
      </c>
      <c r="C98"/>
      <c r="D98"/>
      <c r="E98" t="s">
        <v>2353</v>
      </c>
      <c r="F98" t="s">
        <v>226</v>
      </c>
      <c r="G98" s="30" t="s">
        <v>1090</v>
      </c>
      <c r="H98" s="30" t="s">
        <v>1053</v>
      </c>
      <c r="I98" t="s">
        <v>1088</v>
      </c>
      <c r="J98" s="30" t="s">
        <v>18</v>
      </c>
      <c r="K98" s="30" t="s">
        <v>27</v>
      </c>
      <c r="L98" s="30"/>
      <c r="M98" s="30" t="s">
        <v>1089</v>
      </c>
      <c r="N98" s="30"/>
      <c r="O98" s="31">
        <f>COUNTIF(S98:AT98,"")</f>
        <v>28</v>
      </c>
      <c r="P98" s="136" t="s">
        <v>2026</v>
      </c>
      <c r="Q98" s="31">
        <f>COUNTIF(S98:AT98,"APAGADO")</f>
        <v>0</v>
      </c>
      <c r="R98" s="32">
        <f>(O98)/(Q98+O98)</f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thickBot="1" x14ac:dyDescent="0.3">
      <c r="A99">
        <v>6</v>
      </c>
      <c r="B99">
        <v>12</v>
      </c>
      <c r="C99"/>
      <c r="D99"/>
      <c r="E99" t="s">
        <v>2353</v>
      </c>
      <c r="F99" t="s">
        <v>226</v>
      </c>
      <c r="G99" s="30" t="s">
        <v>1085</v>
      </c>
      <c r="H99" s="30" t="s">
        <v>1053</v>
      </c>
      <c r="I99" t="s">
        <v>1086</v>
      </c>
      <c r="J99" s="30" t="s">
        <v>18</v>
      </c>
      <c r="K99" s="30" t="s">
        <v>27</v>
      </c>
      <c r="L99" s="30"/>
      <c r="M99" s="30" t="s">
        <v>1087</v>
      </c>
      <c r="N99" s="30"/>
      <c r="O99" s="31">
        <f>COUNTIF(S99:AT99,"")</f>
        <v>27</v>
      </c>
      <c r="P99" s="136" t="s">
        <v>2025</v>
      </c>
      <c r="Q99" s="31">
        <f>COUNTIF(S99:AT99,"APAGADO")</f>
        <v>1</v>
      </c>
      <c r="R99" s="32">
        <f>(O99)/(Q99+O99)</f>
        <v>0.9642857142857143</v>
      </c>
      <c r="S99" s="70"/>
      <c r="T99" s="70"/>
      <c r="U99" s="70"/>
      <c r="V99" s="70"/>
      <c r="W99" s="70"/>
      <c r="X99" s="70"/>
      <c r="Y99" s="70"/>
      <c r="Z99" s="70" t="s">
        <v>2240</v>
      </c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thickBot="1" x14ac:dyDescent="0.3">
      <c r="A100">
        <v>6</v>
      </c>
      <c r="B100">
        <v>12</v>
      </c>
      <c r="C100"/>
      <c r="D100"/>
      <c r="E100" t="s">
        <v>2353</v>
      </c>
      <c r="F100" t="s">
        <v>226</v>
      </c>
      <c r="G100" t="s">
        <v>509</v>
      </c>
      <c r="H100" t="s">
        <v>1053</v>
      </c>
      <c r="I100" t="s">
        <v>508</v>
      </c>
      <c r="J100" s="30" t="s">
        <v>72</v>
      </c>
      <c r="K100" s="30" t="s">
        <v>27</v>
      </c>
      <c r="L100" s="30"/>
      <c r="M100" s="30" t="s">
        <v>838</v>
      </c>
      <c r="N100" s="30"/>
      <c r="O100" s="31">
        <f>COUNTIF(S100:AT100,"")</f>
        <v>28</v>
      </c>
      <c r="P100" s="136" t="s">
        <v>2024</v>
      </c>
      <c r="Q100" s="31">
        <f>COUNTIF(S100:AT100,"APAGADO")</f>
        <v>0</v>
      </c>
      <c r="R100" s="32">
        <f>(O100)/(Q100+O100)</f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</row>
    <row r="101" spans="1:48" s="73" customFormat="1" ht="15.75" thickBot="1" x14ac:dyDescent="0.3">
      <c r="A101">
        <v>6</v>
      </c>
      <c r="B101">
        <v>12</v>
      </c>
      <c r="C101"/>
      <c r="D101"/>
      <c r="E101" t="s">
        <v>2353</v>
      </c>
      <c r="F101" t="s">
        <v>226</v>
      </c>
      <c r="G101" t="s">
        <v>507</v>
      </c>
      <c r="H101" t="s">
        <v>1053</v>
      </c>
      <c r="I101" t="s">
        <v>508</v>
      </c>
      <c r="J101" s="30" t="s">
        <v>72</v>
      </c>
      <c r="K101" s="30" t="s">
        <v>27</v>
      </c>
      <c r="L101" s="30"/>
      <c r="M101" s="30" t="s">
        <v>837</v>
      </c>
      <c r="N101" s="30"/>
      <c r="O101" s="31">
        <f>COUNTIF(S101:AT101,"")</f>
        <v>28</v>
      </c>
      <c r="P101" s="136" t="s">
        <v>2023</v>
      </c>
      <c r="Q101" s="31">
        <f>COUNTIF(S101:AT101,"APAGADO")</f>
        <v>0</v>
      </c>
      <c r="R101" s="32">
        <f>(O101)/(Q101+O101)</f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thickBot="1" x14ac:dyDescent="0.3">
      <c r="A102"/>
      <c r="B102"/>
      <c r="C102"/>
      <c r="D102"/>
      <c r="E102"/>
      <c r="F102" t="s">
        <v>226</v>
      </c>
      <c r="G102" t="s">
        <v>504</v>
      </c>
      <c r="H102" t="s">
        <v>1053</v>
      </c>
      <c r="I102" t="s">
        <v>505</v>
      </c>
      <c r="J102" s="30" t="s">
        <v>14</v>
      </c>
      <c r="K102" s="30" t="s">
        <v>27</v>
      </c>
      <c r="L102" s="30"/>
      <c r="M102" s="30" t="s">
        <v>834</v>
      </c>
      <c r="N102" s="30"/>
      <c r="O102" s="31">
        <f>COUNTIF(S102:AT102,"")</f>
        <v>26</v>
      </c>
      <c r="P102" s="136" t="s">
        <v>2020</v>
      </c>
      <c r="Q102" s="31">
        <f>COUNTIF(S102:AT102,"APAGADO")</f>
        <v>2</v>
      </c>
      <c r="R102" s="32">
        <f>(O102)/(Q102+O102)</f>
        <v>0.9285714285714286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 t="s">
        <v>2240</v>
      </c>
      <c r="AP102" s="70" t="s">
        <v>2240</v>
      </c>
      <c r="AQ102" s="70"/>
      <c r="AR102" s="70"/>
      <c r="AS102" s="70"/>
      <c r="AT102" s="70"/>
      <c r="AU102" s="70"/>
      <c r="AV102" s="70" t="s">
        <v>2240</v>
      </c>
    </row>
    <row r="103" spans="1:48" s="73" customFormat="1" ht="15.75" thickBot="1" x14ac:dyDescent="0.3">
      <c r="A103"/>
      <c r="B103"/>
      <c r="C103"/>
      <c r="D103"/>
      <c r="E103"/>
      <c r="F103" t="s">
        <v>226</v>
      </c>
      <c r="G103" t="s">
        <v>503</v>
      </c>
      <c r="H103" t="s">
        <v>1053</v>
      </c>
      <c r="I103" t="s">
        <v>502</v>
      </c>
      <c r="J103" s="30" t="s">
        <v>72</v>
      </c>
      <c r="K103" s="30" t="s">
        <v>19</v>
      </c>
      <c r="L103" s="30"/>
      <c r="M103" s="30" t="s">
        <v>833</v>
      </c>
      <c r="N103" s="30"/>
      <c r="O103" s="31">
        <f>COUNTIF(S103:AT103,"")</f>
        <v>27</v>
      </c>
      <c r="P103" s="136"/>
      <c r="Q103" s="31">
        <f>COUNTIF(S103:AT103,"APAGADO")</f>
        <v>1</v>
      </c>
      <c r="R103" s="32">
        <f>(O103)/(Q103+O103)</f>
        <v>0.9642857142857143</v>
      </c>
      <c r="S103" s="70" t="s">
        <v>2240</v>
      </c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s="73" customFormat="1" ht="15.75" thickBot="1" x14ac:dyDescent="0.3">
      <c r="A104"/>
      <c r="B104"/>
      <c r="C104"/>
      <c r="D104"/>
      <c r="E104"/>
      <c r="F104" t="s">
        <v>226</v>
      </c>
      <c r="G104" t="s">
        <v>501</v>
      </c>
      <c r="H104" t="s">
        <v>1053</v>
      </c>
      <c r="I104" t="s">
        <v>502</v>
      </c>
      <c r="J104" s="30" t="s">
        <v>72</v>
      </c>
      <c r="K104" s="30" t="s">
        <v>19</v>
      </c>
      <c r="L104" s="30"/>
      <c r="M104" s="30" t="s">
        <v>832</v>
      </c>
      <c r="N104" s="30"/>
      <c r="O104" s="31">
        <f>COUNTIF(S104:AT104,"")</f>
        <v>27</v>
      </c>
      <c r="P104" s="136"/>
      <c r="Q104" s="31">
        <f>COUNTIF(S104:AT104,"APAGADO")</f>
        <v>1</v>
      </c>
      <c r="R104" s="32">
        <f>(O104)/(Q104+O104)</f>
        <v>0.9642857142857143</v>
      </c>
      <c r="S104" s="70" t="s">
        <v>2240</v>
      </c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ht="15.75" thickBot="1" x14ac:dyDescent="0.3">
      <c r="A105"/>
      <c r="B105"/>
      <c r="C105"/>
      <c r="D105"/>
      <c r="E105"/>
      <c r="F105" t="s">
        <v>226</v>
      </c>
      <c r="G105" t="s">
        <v>500</v>
      </c>
      <c r="H105" t="s">
        <v>1053</v>
      </c>
      <c r="I105" t="s">
        <v>499</v>
      </c>
      <c r="J105" s="30" t="s">
        <v>72</v>
      </c>
      <c r="K105" s="30" t="s">
        <v>19</v>
      </c>
      <c r="L105" s="30"/>
      <c r="M105" s="30" t="s">
        <v>831</v>
      </c>
      <c r="N105" s="30"/>
      <c r="O105" s="31">
        <f>COUNTIF(S105:AT105,"")</f>
        <v>27</v>
      </c>
      <c r="P105" s="136"/>
      <c r="Q105" s="31">
        <f>COUNTIF(S105:AT105,"APAGADO")</f>
        <v>1</v>
      </c>
      <c r="R105" s="32">
        <f>(O105)/(Q105+O105)</f>
        <v>0.9642857142857143</v>
      </c>
      <c r="S105" s="70" t="s">
        <v>2240</v>
      </c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s="73" customFormat="1" ht="15.75" thickBot="1" x14ac:dyDescent="0.3">
      <c r="A106"/>
      <c r="B106"/>
      <c r="C106"/>
      <c r="D106"/>
      <c r="E106"/>
      <c r="F106" t="s">
        <v>226</v>
      </c>
      <c r="G106" t="s">
        <v>498</v>
      </c>
      <c r="H106" t="s">
        <v>1053</v>
      </c>
      <c r="I106" t="s">
        <v>499</v>
      </c>
      <c r="J106" s="30" t="s">
        <v>72</v>
      </c>
      <c r="K106" s="30" t="s">
        <v>19</v>
      </c>
      <c r="L106" s="30"/>
      <c r="M106" s="30" t="s">
        <v>830</v>
      </c>
      <c r="N106" s="30"/>
      <c r="O106" s="31">
        <f>COUNTIF(S106:AT106,"")</f>
        <v>27</v>
      </c>
      <c r="P106" s="136"/>
      <c r="Q106" s="31">
        <f>COUNTIF(S106:AT106,"APAGADO")</f>
        <v>1</v>
      </c>
      <c r="R106" s="32">
        <f>(O106)/(Q106+O106)</f>
        <v>0.9642857142857143</v>
      </c>
      <c r="S106" s="70" t="s">
        <v>2240</v>
      </c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ht="15.75" thickBot="1" x14ac:dyDescent="0.3">
      <c r="A107">
        <v>6</v>
      </c>
      <c r="B107">
        <v>12</v>
      </c>
      <c r="C107"/>
      <c r="D107"/>
      <c r="E107" t="s">
        <v>2353</v>
      </c>
      <c r="F107" t="s">
        <v>226</v>
      </c>
      <c r="G107" t="s">
        <v>1025</v>
      </c>
      <c r="H107" t="s">
        <v>1053</v>
      </c>
      <c r="I107" t="s">
        <v>506</v>
      </c>
      <c r="J107" s="30" t="s">
        <v>72</v>
      </c>
      <c r="K107" s="30" t="s">
        <v>27</v>
      </c>
      <c r="L107" s="30"/>
      <c r="M107" s="30" t="s">
        <v>836</v>
      </c>
      <c r="N107" s="30"/>
      <c r="O107" s="31">
        <f>COUNTIF(S107:AT107,"")</f>
        <v>28</v>
      </c>
      <c r="P107" s="136" t="s">
        <v>2022</v>
      </c>
      <c r="Q107" s="31">
        <f>COUNTIF(S107:AT107,"APAGADO")</f>
        <v>0</v>
      </c>
      <c r="R107" s="32">
        <f>(O107)/(Q107+O107)</f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s="73" customFormat="1" ht="15.75" thickBot="1" x14ac:dyDescent="0.3">
      <c r="A108">
        <v>6</v>
      </c>
      <c r="B108">
        <v>12</v>
      </c>
      <c r="C108"/>
      <c r="D108"/>
      <c r="E108" t="s">
        <v>2353</v>
      </c>
      <c r="F108" t="s">
        <v>226</v>
      </c>
      <c r="G108" t="s">
        <v>1024</v>
      </c>
      <c r="H108" t="s">
        <v>1053</v>
      </c>
      <c r="I108" t="s">
        <v>506</v>
      </c>
      <c r="J108" s="30" t="s">
        <v>72</v>
      </c>
      <c r="K108" s="30" t="s">
        <v>27</v>
      </c>
      <c r="L108" s="30"/>
      <c r="M108" s="30" t="s">
        <v>835</v>
      </c>
      <c r="N108" s="30"/>
      <c r="O108" s="31">
        <f>COUNTIF(S108:AT108,"")</f>
        <v>28</v>
      </c>
      <c r="P108" s="136" t="s">
        <v>2021</v>
      </c>
      <c r="Q108" s="31">
        <f>COUNTIF(S108:AT108,"APAGADO")</f>
        <v>0</v>
      </c>
      <c r="R108" s="32">
        <f>(O108)/(Q108+O108)</f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thickBot="1" x14ac:dyDescent="0.3">
      <c r="A109"/>
      <c r="B109"/>
      <c r="C109"/>
      <c r="D109"/>
      <c r="E109"/>
      <c r="F109" t="s">
        <v>226</v>
      </c>
      <c r="G109" t="s">
        <v>496</v>
      </c>
      <c r="H109" t="s">
        <v>1053</v>
      </c>
      <c r="I109" t="s">
        <v>497</v>
      </c>
      <c r="J109" s="30" t="s">
        <v>14</v>
      </c>
      <c r="K109" s="30" t="s">
        <v>19</v>
      </c>
      <c r="L109" s="30"/>
      <c r="M109" s="30" t="s">
        <v>829</v>
      </c>
      <c r="N109" s="30"/>
      <c r="O109" s="31">
        <f>COUNTIF(S109:AT109,"")</f>
        <v>27</v>
      </c>
      <c r="P109" s="136"/>
      <c r="Q109" s="31">
        <f>COUNTIF(S109:AT109,"APAGADO")</f>
        <v>1</v>
      </c>
      <c r="R109" s="32">
        <f>(O109)/(Q109+O109)</f>
        <v>0.9642857142857143</v>
      </c>
      <c r="S109" s="70" t="s">
        <v>2240</v>
      </c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thickBot="1" x14ac:dyDescent="0.3">
      <c r="A110"/>
      <c r="B110"/>
      <c r="C110"/>
      <c r="D110"/>
      <c r="E110"/>
      <c r="F110" s="73" t="s">
        <v>226</v>
      </c>
      <c r="G110" s="73" t="s">
        <v>494</v>
      </c>
      <c r="H110" s="73" t="s">
        <v>1053</v>
      </c>
      <c r="I110" s="73" t="s">
        <v>495</v>
      </c>
      <c r="J110" s="84" t="s">
        <v>18</v>
      </c>
      <c r="K110" s="84" t="s">
        <v>1291</v>
      </c>
      <c r="L110" s="84"/>
      <c r="M110" s="84" t="s">
        <v>828</v>
      </c>
      <c r="N110" s="84"/>
      <c r="O110" s="131">
        <f>COUNTIF(S110:AT110,"")</f>
        <v>28</v>
      </c>
      <c r="P110" s="136" t="s">
        <v>2019</v>
      </c>
      <c r="Q110" s="131">
        <f>COUNTIF(S110:AT110,"APAGADO")</f>
        <v>0</v>
      </c>
      <c r="R110" s="132">
        <f>(O110)/(Q110+O110)</f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ht="15.75" thickBot="1" x14ac:dyDescent="0.3">
      <c r="A111"/>
      <c r="B111"/>
      <c r="C111"/>
      <c r="D111"/>
      <c r="E111"/>
      <c r="F111" s="73" t="s">
        <v>476</v>
      </c>
      <c r="G111" s="73" t="s">
        <v>2249</v>
      </c>
      <c r="H111" s="73" t="s">
        <v>1052</v>
      </c>
      <c r="I111" s="135" t="s">
        <v>2250</v>
      </c>
      <c r="J111" s="30" t="s">
        <v>14</v>
      </c>
      <c r="K111" s="73" t="s">
        <v>1291</v>
      </c>
      <c r="L111" s="73"/>
      <c r="M111" s="84" t="s">
        <v>2272</v>
      </c>
      <c r="N111" s="84"/>
      <c r="O111" s="85">
        <f>COUNTIF(S111:AT111,"")</f>
        <v>28</v>
      </c>
      <c r="P111" s="136" t="s">
        <v>2273</v>
      </c>
      <c r="Q111" s="85">
        <f>COUNTIF(S111:AT111,"APAGADO")</f>
        <v>0</v>
      </c>
      <c r="R111" s="86">
        <f>(O111)/(Q111+O111)</f>
        <v>1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70"/>
      <c r="AS111" s="70"/>
      <c r="AT111" s="70"/>
      <c r="AU111" s="70"/>
      <c r="AV111" s="70"/>
    </row>
    <row r="112" spans="1:48" s="73" customFormat="1" ht="15.75" thickBot="1" x14ac:dyDescent="0.3">
      <c r="A112"/>
      <c r="B112"/>
      <c r="C112"/>
      <c r="D112"/>
      <c r="E112"/>
      <c r="F112" s="73" t="s">
        <v>476</v>
      </c>
      <c r="G112" s="73" t="s">
        <v>1602</v>
      </c>
      <c r="H112" s="73" t="s">
        <v>1052</v>
      </c>
      <c r="I112" s="135" t="s">
        <v>1603</v>
      </c>
      <c r="J112" s="73" t="s">
        <v>1104</v>
      </c>
      <c r="K112" s="73" t="s">
        <v>1291</v>
      </c>
      <c r="M112" s="84" t="s">
        <v>1604</v>
      </c>
      <c r="N112" s="84"/>
      <c r="O112" s="85">
        <f>COUNTIF(S112:AT112,"")</f>
        <v>27</v>
      </c>
      <c r="P112" s="136" t="s">
        <v>2138</v>
      </c>
      <c r="Q112" s="85">
        <f>COUNTIF(S112:AT112,"APAGADO")</f>
        <v>1</v>
      </c>
      <c r="R112" s="86">
        <f>(O112)/(Q112+O112)</f>
        <v>0.9642857142857143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70" t="s">
        <v>2240</v>
      </c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70"/>
      <c r="AS112" s="70"/>
      <c r="AT112" s="70"/>
      <c r="AU112" s="70"/>
      <c r="AV112" s="70"/>
    </row>
    <row r="113" spans="1:48" s="73" customFormat="1" ht="15.75" thickBot="1" x14ac:dyDescent="0.3">
      <c r="A113"/>
      <c r="B113"/>
      <c r="C113"/>
      <c r="D113"/>
      <c r="E113"/>
      <c r="F113" s="73" t="s">
        <v>476</v>
      </c>
      <c r="G113" s="73" t="s">
        <v>1601</v>
      </c>
      <c r="H113" s="73" t="s">
        <v>1052</v>
      </c>
      <c r="I113" s="135" t="s">
        <v>1600</v>
      </c>
      <c r="J113" s="73" t="s">
        <v>1104</v>
      </c>
      <c r="K113" s="73" t="s">
        <v>1291</v>
      </c>
      <c r="M113" s="84" t="s">
        <v>1605</v>
      </c>
      <c r="N113" s="84"/>
      <c r="O113" s="85">
        <f>COUNTIF(S113:AT113,"")</f>
        <v>27</v>
      </c>
      <c r="P113" s="136" t="s">
        <v>2137</v>
      </c>
      <c r="Q113" s="85">
        <f>COUNTIF(S113:AT113,"APAGADO")</f>
        <v>1</v>
      </c>
      <c r="R113" s="86">
        <f>(O113)/(Q113+O113)</f>
        <v>0.9642857142857143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70" t="s">
        <v>2240</v>
      </c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70"/>
      <c r="AS113" s="70"/>
      <c r="AT113" s="70"/>
      <c r="AU113" s="70"/>
      <c r="AV113" s="70"/>
    </row>
    <row r="114" spans="1:48" s="73" customFormat="1" ht="15.75" thickBot="1" x14ac:dyDescent="0.3">
      <c r="A114"/>
      <c r="B114"/>
      <c r="C114"/>
      <c r="D114"/>
      <c r="E114"/>
      <c r="F114" s="73" t="s">
        <v>476</v>
      </c>
      <c r="G114" s="73" t="s">
        <v>1606</v>
      </c>
      <c r="H114" s="73" t="s">
        <v>1052</v>
      </c>
      <c r="I114" s="135" t="s">
        <v>1599</v>
      </c>
      <c r="J114" s="73" t="s">
        <v>18</v>
      </c>
      <c r="K114" s="73" t="s">
        <v>1291</v>
      </c>
      <c r="M114" s="84" t="s">
        <v>1607</v>
      </c>
      <c r="N114" s="84"/>
      <c r="O114" s="85">
        <f>COUNTIF(S114:AT114,"")</f>
        <v>24</v>
      </c>
      <c r="P114" s="136" t="s">
        <v>2136</v>
      </c>
      <c r="Q114" s="85">
        <f>COUNTIF(S114:AT114,"APAGADO")</f>
        <v>4</v>
      </c>
      <c r="R114" s="86">
        <f>(O114)/(Q114+O114)</f>
        <v>0.8571428571428571</v>
      </c>
      <c r="S114" s="70" t="s">
        <v>2240</v>
      </c>
      <c r="T114" s="87"/>
      <c r="U114" s="87"/>
      <c r="V114" s="87"/>
      <c r="W114" s="87"/>
      <c r="X114" s="70" t="s">
        <v>2240</v>
      </c>
      <c r="Y114" s="70" t="s">
        <v>2240</v>
      </c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70"/>
      <c r="AS114" s="70" t="s">
        <v>2240</v>
      </c>
      <c r="AT114" s="70"/>
      <c r="AU114" s="70" t="s">
        <v>2240</v>
      </c>
      <c r="AV114" s="70"/>
    </row>
    <row r="115" spans="1:48" s="73" customFormat="1" ht="15.75" thickBot="1" x14ac:dyDescent="0.3">
      <c r="A115"/>
      <c r="B115"/>
      <c r="C115"/>
      <c r="D115"/>
      <c r="E115"/>
      <c r="F115" s="73" t="s">
        <v>476</v>
      </c>
      <c r="G115" s="73" t="s">
        <v>1588</v>
      </c>
      <c r="H115" s="73" t="s">
        <v>1052</v>
      </c>
      <c r="I115" s="135" t="s">
        <v>1593</v>
      </c>
      <c r="J115" s="73" t="s">
        <v>14</v>
      </c>
      <c r="K115" s="73" t="s">
        <v>1291</v>
      </c>
      <c r="M115" s="84" t="s">
        <v>1595</v>
      </c>
      <c r="N115" s="84"/>
      <c r="O115" s="85">
        <f>COUNTIF(S115:AT115,"")</f>
        <v>27</v>
      </c>
      <c r="P115" s="136" t="s">
        <v>2135</v>
      </c>
      <c r="Q115" s="85">
        <f>COUNTIF(S115:AT115,"APAGADO")</f>
        <v>1</v>
      </c>
      <c r="R115" s="86">
        <f>(O115)/(Q115+O115)</f>
        <v>0.9642857142857143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70" t="s">
        <v>2240</v>
      </c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70"/>
      <c r="AS115" s="70"/>
      <c r="AT115" s="70"/>
      <c r="AU115" s="70"/>
      <c r="AV115" s="70"/>
    </row>
    <row r="116" spans="1:48" ht="15.75" thickBot="1" x14ac:dyDescent="0.3">
      <c r="A116"/>
      <c r="B116"/>
      <c r="C116"/>
      <c r="D116"/>
      <c r="E116"/>
      <c r="F116" s="73" t="s">
        <v>476</v>
      </c>
      <c r="G116" s="73" t="s">
        <v>1341</v>
      </c>
      <c r="H116" s="73" t="s">
        <v>1052</v>
      </c>
      <c r="I116" s="135" t="s">
        <v>1348</v>
      </c>
      <c r="J116" s="73" t="s">
        <v>14</v>
      </c>
      <c r="K116" s="73" t="s">
        <v>1291</v>
      </c>
      <c r="L116" s="73"/>
      <c r="M116" s="84" t="s">
        <v>1410</v>
      </c>
      <c r="N116" s="84"/>
      <c r="O116" s="85">
        <f>COUNTIF(S116:AT116,"")</f>
        <v>27</v>
      </c>
      <c r="P116" s="136" t="s">
        <v>2018</v>
      </c>
      <c r="Q116" s="85">
        <f>COUNTIF(S116:AT116,"APAGADO")</f>
        <v>1</v>
      </c>
      <c r="R116" s="86">
        <f>(O116)/(Q116+O116)</f>
        <v>0.9642857142857143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70" t="s">
        <v>2240</v>
      </c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70"/>
      <c r="AS116" s="70"/>
      <c r="AT116" s="70"/>
      <c r="AU116" s="70"/>
      <c r="AV116" s="70"/>
    </row>
    <row r="117" spans="1:48" ht="15.75" thickBot="1" x14ac:dyDescent="0.3">
      <c r="A117">
        <v>6</v>
      </c>
      <c r="B117">
        <v>14</v>
      </c>
      <c r="C117"/>
      <c r="D117"/>
      <c r="E117" t="s">
        <v>2356</v>
      </c>
      <c r="F117" t="s">
        <v>476</v>
      </c>
      <c r="G117" t="s">
        <v>1330</v>
      </c>
      <c r="H117" t="s">
        <v>1052</v>
      </c>
      <c r="I117" s="68" t="s">
        <v>1331</v>
      </c>
      <c r="J117" t="s">
        <v>72</v>
      </c>
      <c r="K117" t="s">
        <v>27</v>
      </c>
      <c r="L117"/>
      <c r="M117" s="30" t="s">
        <v>1320</v>
      </c>
      <c r="N117" s="30"/>
      <c r="O117" s="31">
        <f>COUNTIF(S117:AT117,"")</f>
        <v>28</v>
      </c>
      <c r="P117" s="136" t="s">
        <v>2017</v>
      </c>
      <c r="Q117" s="31">
        <f>COUNTIF(S117:AT117,"APAGADO")</f>
        <v>0</v>
      </c>
      <c r="R117" s="32">
        <f>(O117)/(Q117+O117)</f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s="73" customFormat="1" ht="15.75" thickBot="1" x14ac:dyDescent="0.3">
      <c r="A118">
        <v>7</v>
      </c>
      <c r="B118">
        <v>6</v>
      </c>
      <c r="C118"/>
      <c r="D118"/>
      <c r="E118" t="s">
        <v>2357</v>
      </c>
      <c r="F118" t="s">
        <v>476</v>
      </c>
      <c r="G118" t="s">
        <v>1212</v>
      </c>
      <c r="H118" t="s">
        <v>1052</v>
      </c>
      <c r="I118" t="s">
        <v>1227</v>
      </c>
      <c r="J118" t="s">
        <v>72</v>
      </c>
      <c r="K118" t="s">
        <v>27</v>
      </c>
      <c r="L118"/>
      <c r="M118" s="30" t="s">
        <v>1273</v>
      </c>
      <c r="N118" s="30"/>
      <c r="O118" s="31">
        <f>COUNTIF(S118:AT118,"")</f>
        <v>28</v>
      </c>
      <c r="P118" s="136" t="s">
        <v>2016</v>
      </c>
      <c r="Q118" s="31">
        <f>COUNTIF(S118:AT118,"APAGADO")</f>
        <v>0</v>
      </c>
      <c r="R118" s="32">
        <f>(O118)/(Q118+O118)</f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3.9" customHeight="1" thickBot="1" x14ac:dyDescent="0.3">
      <c r="A119">
        <v>7</v>
      </c>
      <c r="B119">
        <v>6</v>
      </c>
      <c r="C119"/>
      <c r="D119"/>
      <c r="E119" t="s">
        <v>2357</v>
      </c>
      <c r="F119" t="s">
        <v>476</v>
      </c>
      <c r="G119" t="s">
        <v>1211</v>
      </c>
      <c r="H119" t="s">
        <v>1052</v>
      </c>
      <c r="I119" t="s">
        <v>1227</v>
      </c>
      <c r="J119" t="s">
        <v>72</v>
      </c>
      <c r="K119" t="s">
        <v>27</v>
      </c>
      <c r="L119"/>
      <c r="M119" s="30" t="s">
        <v>1272</v>
      </c>
      <c r="N119" s="30"/>
      <c r="O119" s="31">
        <f>COUNTIF(S119:AT119,"")</f>
        <v>28</v>
      </c>
      <c r="P119" s="136" t="s">
        <v>2015</v>
      </c>
      <c r="Q119" s="31">
        <f>COUNTIF(S119:AT119,"APAGADO")</f>
        <v>0</v>
      </c>
      <c r="R119" s="32">
        <f>(O119)/(Q119+O119)</f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thickBot="1" x14ac:dyDescent="0.3">
      <c r="A120"/>
      <c r="B120"/>
      <c r="C120"/>
      <c r="D120"/>
      <c r="E120"/>
      <c r="F120" s="73" t="s">
        <v>476</v>
      </c>
      <c r="G120" s="73" t="s">
        <v>1181</v>
      </c>
      <c r="H120" s="73" t="s">
        <v>1052</v>
      </c>
      <c r="I120" s="73" t="s">
        <v>1179</v>
      </c>
      <c r="J120" s="84" t="s">
        <v>1104</v>
      </c>
      <c r="K120" s="84" t="s">
        <v>27</v>
      </c>
      <c r="L120" s="84"/>
      <c r="M120" s="84" t="s">
        <v>1182</v>
      </c>
      <c r="N120" s="84"/>
      <c r="O120" s="85">
        <f>COUNTIF(S120:AT120,"")</f>
        <v>27</v>
      </c>
      <c r="P120" s="136" t="s">
        <v>2014</v>
      </c>
      <c r="Q120" s="85">
        <f>COUNTIF(S120:AT120,"APAGADO")</f>
        <v>1</v>
      </c>
      <c r="R120" s="86">
        <f>(O120)/(Q120+O120)</f>
        <v>0.9642857142857143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70" t="s">
        <v>2240</v>
      </c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70"/>
      <c r="AS120" s="70"/>
      <c r="AT120" s="70"/>
      <c r="AU120" s="70"/>
      <c r="AV120" s="70"/>
    </row>
    <row r="121" spans="1:48" ht="15.75" thickBot="1" x14ac:dyDescent="0.3">
      <c r="A121"/>
      <c r="B121"/>
      <c r="C121"/>
      <c r="D121"/>
      <c r="E121"/>
      <c r="F121" s="73" t="s">
        <v>476</v>
      </c>
      <c r="G121" s="73" t="s">
        <v>1178</v>
      </c>
      <c r="H121" s="73" t="s">
        <v>1052</v>
      </c>
      <c r="I121" s="73" t="s">
        <v>1179</v>
      </c>
      <c r="J121" s="84" t="s">
        <v>1104</v>
      </c>
      <c r="K121" s="84" t="s">
        <v>1291</v>
      </c>
      <c r="L121" s="84"/>
      <c r="M121" s="84" t="s">
        <v>1180</v>
      </c>
      <c r="N121" s="84"/>
      <c r="O121" s="131">
        <f>COUNTIF(S121:AT121,"")</f>
        <v>27</v>
      </c>
      <c r="P121" s="136" t="s">
        <v>2013</v>
      </c>
      <c r="Q121" s="131">
        <f>COUNTIF(S121:AT121,"APAGADO")</f>
        <v>1</v>
      </c>
      <c r="R121" s="132">
        <f>(O121)/(Q121+O121)</f>
        <v>0.9642857142857143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 t="s">
        <v>2240</v>
      </c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s="73" customFormat="1" ht="15.75" thickBot="1" x14ac:dyDescent="0.3">
      <c r="A122"/>
      <c r="B122"/>
      <c r="C122"/>
      <c r="D122"/>
      <c r="E122"/>
      <c r="F122" t="s">
        <v>476</v>
      </c>
      <c r="G122" t="s">
        <v>491</v>
      </c>
      <c r="H122" t="s">
        <v>1052</v>
      </c>
      <c r="I122" t="s">
        <v>492</v>
      </c>
      <c r="J122" s="30" t="s">
        <v>18</v>
      </c>
      <c r="K122" s="30" t="s">
        <v>1046</v>
      </c>
      <c r="L122" s="30" t="s">
        <v>1248</v>
      </c>
      <c r="M122" s="30" t="s">
        <v>826</v>
      </c>
      <c r="N122" s="30"/>
      <c r="O122" s="31">
        <f>COUNTIF(S122:AT122,"")</f>
        <v>13</v>
      </c>
      <c r="P122" s="136" t="s">
        <v>2012</v>
      </c>
      <c r="Q122" s="31">
        <f>COUNTIF(S122:AT122,"APAGADO")</f>
        <v>15</v>
      </c>
      <c r="R122" s="32">
        <f>(O122)/(Q122+O122)</f>
        <v>0.4642857142857143</v>
      </c>
      <c r="S122" s="70" t="s">
        <v>2240</v>
      </c>
      <c r="T122" s="70"/>
      <c r="U122" s="70"/>
      <c r="V122" s="70"/>
      <c r="W122" s="70"/>
      <c r="X122" s="70" t="s">
        <v>2240</v>
      </c>
      <c r="Y122" s="70" t="s">
        <v>2240</v>
      </c>
      <c r="Z122" s="70" t="s">
        <v>2240</v>
      </c>
      <c r="AA122" s="70"/>
      <c r="AB122" s="70"/>
      <c r="AC122" s="70"/>
      <c r="AD122" s="70"/>
      <c r="AE122" s="70" t="s">
        <v>2240</v>
      </c>
      <c r="AF122" s="70" t="s">
        <v>2240</v>
      </c>
      <c r="AG122" s="142" t="s">
        <v>2240</v>
      </c>
      <c r="AH122" s="70" t="s">
        <v>2240</v>
      </c>
      <c r="AI122" s="70" t="s">
        <v>2240</v>
      </c>
      <c r="AJ122" s="70"/>
      <c r="AK122" s="70"/>
      <c r="AL122" s="70" t="s">
        <v>2240</v>
      </c>
      <c r="AM122" s="70" t="s">
        <v>2240</v>
      </c>
      <c r="AN122" s="70" t="s">
        <v>2240</v>
      </c>
      <c r="AO122" s="70" t="s">
        <v>2240</v>
      </c>
      <c r="AP122" s="70" t="s">
        <v>2240</v>
      </c>
      <c r="AQ122" s="70"/>
      <c r="AR122" s="70"/>
      <c r="AS122" s="70"/>
      <c r="AT122" s="70" t="s">
        <v>2240</v>
      </c>
      <c r="AU122" s="70" t="s">
        <v>2240</v>
      </c>
      <c r="AV122" s="70" t="s">
        <v>2240</v>
      </c>
    </row>
    <row r="123" spans="1:48" ht="15.75" thickBot="1" x14ac:dyDescent="0.3">
      <c r="A123">
        <v>6</v>
      </c>
      <c r="B123">
        <v>14</v>
      </c>
      <c r="C123"/>
      <c r="D123"/>
      <c r="E123" t="s">
        <v>2356</v>
      </c>
      <c r="F123" s="73" t="s">
        <v>476</v>
      </c>
      <c r="G123" s="73" t="s">
        <v>489</v>
      </c>
      <c r="H123" s="73" t="s">
        <v>1052</v>
      </c>
      <c r="I123" s="73" t="s">
        <v>490</v>
      </c>
      <c r="J123" s="84" t="s">
        <v>18</v>
      </c>
      <c r="K123" s="84" t="s">
        <v>1291</v>
      </c>
      <c r="L123" s="84"/>
      <c r="M123" s="84" t="s">
        <v>825</v>
      </c>
      <c r="N123" s="84"/>
      <c r="O123" s="31">
        <f>COUNTIF(S123:AT123,"")</f>
        <v>28</v>
      </c>
      <c r="P123" s="136" t="s">
        <v>2011</v>
      </c>
      <c r="Q123" s="31">
        <f>COUNTIF(S123:AT123,"APAGADO")</f>
        <v>0</v>
      </c>
      <c r="R123" s="32">
        <f>(O123)/(Q123+O123)</f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thickBot="1" x14ac:dyDescent="0.3">
      <c r="A124"/>
      <c r="B124"/>
      <c r="C124"/>
      <c r="D124"/>
      <c r="E124"/>
      <c r="F124" s="73" t="s">
        <v>476</v>
      </c>
      <c r="G124" s="73" t="s">
        <v>487</v>
      </c>
      <c r="H124" s="73" t="s">
        <v>1052</v>
      </c>
      <c r="I124" s="73" t="s">
        <v>488</v>
      </c>
      <c r="J124" s="84" t="s">
        <v>14</v>
      </c>
      <c r="K124" s="84" t="s">
        <v>1291</v>
      </c>
      <c r="L124" s="84"/>
      <c r="M124" s="84" t="s">
        <v>824</v>
      </c>
      <c r="N124" s="84"/>
      <c r="O124" s="131">
        <f>COUNTIF(S124:AT124,"")</f>
        <v>28</v>
      </c>
      <c r="P124" s="136" t="s">
        <v>2010</v>
      </c>
      <c r="Q124" s="131">
        <f>COUNTIF(S124:AT124,"APAGADO")</f>
        <v>0</v>
      </c>
      <c r="R124" s="132">
        <f>(O124)/(Q124+O124)</f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thickBot="1" x14ac:dyDescent="0.3">
      <c r="A125"/>
      <c r="B125"/>
      <c r="C125"/>
      <c r="D125"/>
      <c r="E125"/>
      <c r="F125" t="s">
        <v>476</v>
      </c>
      <c r="G125" t="s">
        <v>485</v>
      </c>
      <c r="H125" t="s">
        <v>1052</v>
      </c>
      <c r="I125" t="s">
        <v>486</v>
      </c>
      <c r="J125" s="30" t="s">
        <v>18</v>
      </c>
      <c r="K125" s="30" t="s">
        <v>27</v>
      </c>
      <c r="L125" s="30"/>
      <c r="M125" s="30" t="s">
        <v>823</v>
      </c>
      <c r="N125" s="30"/>
      <c r="O125" s="31">
        <f>COUNTIF(S125:AT125,"")</f>
        <v>28</v>
      </c>
      <c r="P125" s="136" t="s">
        <v>2009</v>
      </c>
      <c r="Q125" s="31">
        <f>COUNTIF(S125:AT125,"APAGADO")</f>
        <v>0</v>
      </c>
      <c r="R125" s="32">
        <f>(O125)/(Q125+O125)</f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thickBot="1" x14ac:dyDescent="0.3">
      <c r="A126">
        <v>6</v>
      </c>
      <c r="B126">
        <v>14</v>
      </c>
      <c r="C126"/>
      <c r="D126"/>
      <c r="E126" t="s">
        <v>2356</v>
      </c>
      <c r="F126" t="s">
        <v>476</v>
      </c>
      <c r="G126" t="s">
        <v>483</v>
      </c>
      <c r="H126" t="s">
        <v>1052</v>
      </c>
      <c r="I126" t="s">
        <v>484</v>
      </c>
      <c r="J126" s="30" t="s">
        <v>14</v>
      </c>
      <c r="K126" s="30" t="s">
        <v>27</v>
      </c>
      <c r="L126" s="30"/>
      <c r="M126" s="30" t="s">
        <v>822</v>
      </c>
      <c r="N126" s="30"/>
      <c r="O126" s="31">
        <f>COUNTIF(S126:AT126,"")</f>
        <v>28</v>
      </c>
      <c r="P126" s="136" t="s">
        <v>2008</v>
      </c>
      <c r="Q126" s="31">
        <f>COUNTIF(S126:AT126,"APAGADO")</f>
        <v>0</v>
      </c>
      <c r="R126" s="32">
        <f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thickBot="1" x14ac:dyDescent="0.3">
      <c r="A127">
        <v>6</v>
      </c>
      <c r="B127">
        <v>13</v>
      </c>
      <c r="C127"/>
      <c r="D127"/>
      <c r="E127" t="s">
        <v>2355</v>
      </c>
      <c r="F127" t="s">
        <v>480</v>
      </c>
      <c r="G127" t="s">
        <v>481</v>
      </c>
      <c r="H127" t="s">
        <v>1052</v>
      </c>
      <c r="I127" t="s">
        <v>482</v>
      </c>
      <c r="J127" s="30" t="s">
        <v>18</v>
      </c>
      <c r="K127" s="30" t="s">
        <v>27</v>
      </c>
      <c r="L127" s="30"/>
      <c r="M127" s="30" t="s">
        <v>821</v>
      </c>
      <c r="N127" s="30"/>
      <c r="O127" s="31">
        <f>COUNTIF(S127:AT127,"")</f>
        <v>28</v>
      </c>
      <c r="P127" s="136" t="s">
        <v>2007</v>
      </c>
      <c r="Q127" s="31">
        <f>COUNTIF(S127:AT127,"APAGADO")</f>
        <v>0</v>
      </c>
      <c r="R127" s="32">
        <f>(O127)/(Q127+O127)</f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ht="15.75" thickBot="1" x14ac:dyDescent="0.3">
      <c r="A128">
        <v>6</v>
      </c>
      <c r="B128">
        <v>13</v>
      </c>
      <c r="C128"/>
      <c r="D128"/>
      <c r="E128" t="s">
        <v>2355</v>
      </c>
      <c r="F128" t="s">
        <v>476</v>
      </c>
      <c r="G128" t="s">
        <v>478</v>
      </c>
      <c r="H128" t="s">
        <v>1052</v>
      </c>
      <c r="I128" t="s">
        <v>479</v>
      </c>
      <c r="J128" s="30" t="s">
        <v>18</v>
      </c>
      <c r="K128" s="30" t="s">
        <v>27</v>
      </c>
      <c r="L128" s="30"/>
      <c r="M128" s="30" t="s">
        <v>820</v>
      </c>
      <c r="N128" s="30"/>
      <c r="O128" s="31">
        <f>COUNTIF(S128:AT128,"")</f>
        <v>27</v>
      </c>
      <c r="P128" s="136" t="s">
        <v>2006</v>
      </c>
      <c r="Q128" s="31">
        <f>COUNTIF(S128:AT128,"APAGADO")</f>
        <v>1</v>
      </c>
      <c r="R128" s="32">
        <f>(O128)/(Q128+O128)</f>
        <v>0.9642857142857143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142" t="s">
        <v>2240</v>
      </c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8" s="73" customFormat="1" ht="15.75" thickBot="1" x14ac:dyDescent="0.3">
      <c r="A129">
        <v>1</v>
      </c>
      <c r="B129">
        <v>19</v>
      </c>
      <c r="C129"/>
      <c r="D129"/>
      <c r="E129" t="s">
        <v>2346</v>
      </c>
      <c r="F129" t="s">
        <v>476</v>
      </c>
      <c r="G129" t="s">
        <v>477</v>
      </c>
      <c r="H129" t="s">
        <v>1052</v>
      </c>
      <c r="I129" t="s">
        <v>1594</v>
      </c>
      <c r="J129" s="30" t="s">
        <v>18</v>
      </c>
      <c r="K129" s="30" t="s">
        <v>1046</v>
      </c>
      <c r="L129" s="30" t="s">
        <v>1247</v>
      </c>
      <c r="M129" s="30" t="s">
        <v>819</v>
      </c>
      <c r="N129" s="30"/>
      <c r="O129" s="31">
        <f>COUNTIF(S129:AT129,"")</f>
        <v>27</v>
      </c>
      <c r="P129" s="136" t="s">
        <v>2005</v>
      </c>
      <c r="Q129" s="31">
        <f>COUNTIF(S129:AT129,"APAGADO")</f>
        <v>1</v>
      </c>
      <c r="R129" s="32">
        <f>(O129)/(Q129+O129)</f>
        <v>0.9642857142857143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 t="s">
        <v>2240</v>
      </c>
      <c r="AU129" s="70" t="s">
        <v>2240</v>
      </c>
      <c r="AV129" s="70" t="s">
        <v>2240</v>
      </c>
    </row>
    <row r="130" spans="1:48" s="73" customFormat="1" ht="15.75" thickBot="1" x14ac:dyDescent="0.3">
      <c r="A130"/>
      <c r="B130"/>
      <c r="C130"/>
      <c r="D130"/>
      <c r="E130"/>
      <c r="F130" t="s">
        <v>261</v>
      </c>
      <c r="G130" t="s">
        <v>1023</v>
      </c>
      <c r="H130" t="s">
        <v>1052</v>
      </c>
      <c r="I130" t="s">
        <v>493</v>
      </c>
      <c r="J130" s="30" t="s">
        <v>18</v>
      </c>
      <c r="K130" s="30" t="s">
        <v>1046</v>
      </c>
      <c r="L130" s="30" t="s">
        <v>1247</v>
      </c>
      <c r="M130" s="30" t="s">
        <v>827</v>
      </c>
      <c r="N130" s="30"/>
      <c r="O130" s="31">
        <f>COUNTIF(S130:AT130,"")</f>
        <v>26</v>
      </c>
      <c r="P130" s="136" t="s">
        <v>2004</v>
      </c>
      <c r="Q130" s="31">
        <f>COUNTIF(S130:AT130,"APAGADO")</f>
        <v>2</v>
      </c>
      <c r="R130" s="32">
        <f>(O130)/(Q130+O130)</f>
        <v>0.9285714285714286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 t="s">
        <v>2240</v>
      </c>
      <c r="AT130" s="70" t="s">
        <v>2240</v>
      </c>
      <c r="AU130" s="70" t="s">
        <v>2240</v>
      </c>
      <c r="AV130" s="70" t="s">
        <v>2240</v>
      </c>
    </row>
    <row r="131" spans="1:48" s="73" customFormat="1" ht="15.75" thickBot="1" x14ac:dyDescent="0.3">
      <c r="A131"/>
      <c r="B131"/>
      <c r="C131"/>
      <c r="D131"/>
      <c r="E131"/>
      <c r="G131" s="84" t="s">
        <v>2239</v>
      </c>
      <c r="H131" t="s">
        <v>1052</v>
      </c>
      <c r="I131" s="73" t="s">
        <v>2258</v>
      </c>
      <c r="J131" s="84" t="s">
        <v>72</v>
      </c>
      <c r="K131" s="84" t="s">
        <v>1291</v>
      </c>
      <c r="L131" s="84"/>
      <c r="M131" s="84" t="s">
        <v>2318</v>
      </c>
      <c r="N131" s="84"/>
      <c r="O131" s="131">
        <f>COUNTIF(S131:AT131,"")</f>
        <v>13</v>
      </c>
      <c r="P131" s="136"/>
      <c r="Q131" s="131">
        <f>COUNTIF(S131:AT131,"APAGADO")</f>
        <v>15</v>
      </c>
      <c r="R131" s="132">
        <f>(O131)/(Q131+O131)</f>
        <v>0.4642857142857143</v>
      </c>
      <c r="S131" s="70" t="s">
        <v>2240</v>
      </c>
      <c r="T131" s="70"/>
      <c r="U131" s="70"/>
      <c r="V131" s="70"/>
      <c r="W131" s="70"/>
      <c r="X131" s="70" t="s">
        <v>2240</v>
      </c>
      <c r="Y131" s="70" t="s">
        <v>2240</v>
      </c>
      <c r="Z131" s="70" t="s">
        <v>2240</v>
      </c>
      <c r="AA131" s="70"/>
      <c r="AB131" s="70"/>
      <c r="AC131" s="70"/>
      <c r="AD131" s="70"/>
      <c r="AE131" s="70" t="s">
        <v>2240</v>
      </c>
      <c r="AF131" s="70" t="s">
        <v>2240</v>
      </c>
      <c r="AG131" s="142" t="s">
        <v>2240</v>
      </c>
      <c r="AH131" s="70" t="s">
        <v>2240</v>
      </c>
      <c r="AI131" s="70" t="s">
        <v>2240</v>
      </c>
      <c r="AJ131" s="70"/>
      <c r="AK131" s="70"/>
      <c r="AL131" s="70"/>
      <c r="AM131" s="70" t="s">
        <v>2240</v>
      </c>
      <c r="AN131" s="70" t="s">
        <v>2240</v>
      </c>
      <c r="AO131" s="70" t="s">
        <v>2240</v>
      </c>
      <c r="AP131" s="70" t="s">
        <v>2240</v>
      </c>
      <c r="AQ131" s="70"/>
      <c r="AR131" s="70"/>
      <c r="AS131" s="70" t="s">
        <v>2240</v>
      </c>
      <c r="AT131" s="70" t="s">
        <v>2240</v>
      </c>
      <c r="AU131" s="70" t="s">
        <v>2240</v>
      </c>
      <c r="AV131" s="70" t="s">
        <v>2240</v>
      </c>
    </row>
    <row r="132" spans="1:48" ht="15.75" thickBot="1" x14ac:dyDescent="0.3">
      <c r="A132"/>
      <c r="B132"/>
      <c r="C132"/>
      <c r="D132"/>
      <c r="E132"/>
      <c r="F132" s="73" t="s">
        <v>430</v>
      </c>
      <c r="G132" s="84" t="s">
        <v>2115</v>
      </c>
      <c r="H132" t="s">
        <v>1052</v>
      </c>
      <c r="I132" s="73" t="s">
        <v>2116</v>
      </c>
      <c r="J132" s="84" t="s">
        <v>14</v>
      </c>
      <c r="K132" s="84" t="s">
        <v>1291</v>
      </c>
      <c r="L132" s="84"/>
      <c r="M132" s="84" t="s">
        <v>2310</v>
      </c>
      <c r="N132" s="84"/>
      <c r="O132" s="131">
        <f>COUNTIF(S132:AT132,"")</f>
        <v>12</v>
      </c>
      <c r="P132" s="136" t="s">
        <v>2117</v>
      </c>
      <c r="Q132" s="131">
        <f>COUNTIF(S132:AT132,"APAGADO")</f>
        <v>16</v>
      </c>
      <c r="R132" s="132">
        <f>(O132)/(Q132+O132)</f>
        <v>0.42857142857142855</v>
      </c>
      <c r="S132" s="70" t="s">
        <v>2240</v>
      </c>
      <c r="T132" s="70"/>
      <c r="U132" s="70"/>
      <c r="V132" s="70"/>
      <c r="W132" s="70"/>
      <c r="X132" s="70" t="s">
        <v>2240</v>
      </c>
      <c r="Y132" s="70" t="s">
        <v>2240</v>
      </c>
      <c r="Z132" s="70" t="s">
        <v>2240</v>
      </c>
      <c r="AA132" s="70"/>
      <c r="AB132" s="70"/>
      <c r="AC132" s="70"/>
      <c r="AD132" s="70"/>
      <c r="AE132" s="70" t="s">
        <v>2240</v>
      </c>
      <c r="AF132" s="70" t="s">
        <v>2240</v>
      </c>
      <c r="AG132" s="142" t="s">
        <v>2240</v>
      </c>
      <c r="AH132" s="70" t="s">
        <v>2240</v>
      </c>
      <c r="AI132" s="70" t="s">
        <v>2240</v>
      </c>
      <c r="AJ132" s="70"/>
      <c r="AK132" s="70"/>
      <c r="AL132" s="70" t="s">
        <v>2240</v>
      </c>
      <c r="AM132" s="70" t="s">
        <v>2240</v>
      </c>
      <c r="AN132" s="70" t="s">
        <v>2240</v>
      </c>
      <c r="AO132" s="70" t="s">
        <v>2240</v>
      </c>
      <c r="AP132" s="70" t="s">
        <v>2240</v>
      </c>
      <c r="AQ132" s="70"/>
      <c r="AR132" s="70"/>
      <c r="AS132" s="70" t="s">
        <v>2240</v>
      </c>
      <c r="AT132" s="70" t="s">
        <v>2240</v>
      </c>
      <c r="AU132" s="70" t="s">
        <v>2240</v>
      </c>
      <c r="AV132" s="70"/>
    </row>
    <row r="133" spans="1:48" ht="15.75" thickBot="1" x14ac:dyDescent="0.3">
      <c r="A133"/>
      <c r="B133"/>
      <c r="C133"/>
      <c r="D133"/>
      <c r="E133"/>
      <c r="F133" s="73" t="s">
        <v>356</v>
      </c>
      <c r="G133" s="84" t="s">
        <v>1095</v>
      </c>
      <c r="H133" s="84" t="s">
        <v>1053</v>
      </c>
      <c r="I133" s="73" t="s">
        <v>1094</v>
      </c>
      <c r="J133" s="84" t="s">
        <v>14</v>
      </c>
      <c r="K133" s="84" t="s">
        <v>1291</v>
      </c>
      <c r="L133" s="84"/>
      <c r="M133" s="84" t="s">
        <v>1096</v>
      </c>
      <c r="N133" s="84"/>
      <c r="O133" s="131">
        <f>COUNTIF(S133:AT133,"")</f>
        <v>12</v>
      </c>
      <c r="P133" s="136"/>
      <c r="Q133" s="131">
        <f>COUNTIF(S133:AT133,"APAGADO")</f>
        <v>16</v>
      </c>
      <c r="R133" s="132">
        <f>(O133)/(Q133+O133)</f>
        <v>0.42857142857142855</v>
      </c>
      <c r="S133" s="70" t="s">
        <v>2240</v>
      </c>
      <c r="T133" s="70"/>
      <c r="U133" s="70"/>
      <c r="V133" s="70"/>
      <c r="W133" s="70"/>
      <c r="X133" s="70" t="s">
        <v>2240</v>
      </c>
      <c r="Y133" s="70" t="s">
        <v>2240</v>
      </c>
      <c r="Z133" s="70" t="s">
        <v>2240</v>
      </c>
      <c r="AA133" s="70"/>
      <c r="AB133" s="70"/>
      <c r="AC133" s="70"/>
      <c r="AD133" s="70"/>
      <c r="AE133" s="70" t="s">
        <v>2240</v>
      </c>
      <c r="AF133" s="70" t="s">
        <v>2240</v>
      </c>
      <c r="AG133" s="142" t="s">
        <v>2240</v>
      </c>
      <c r="AH133" s="70" t="s">
        <v>2240</v>
      </c>
      <c r="AI133" s="70" t="s">
        <v>2240</v>
      </c>
      <c r="AJ133" s="70"/>
      <c r="AK133" s="70"/>
      <c r="AL133" s="70" t="s">
        <v>2240</v>
      </c>
      <c r="AM133" s="70" t="s">
        <v>2240</v>
      </c>
      <c r="AN133" s="70" t="s">
        <v>2240</v>
      </c>
      <c r="AO133" s="70" t="s">
        <v>2240</v>
      </c>
      <c r="AP133" s="70" t="s">
        <v>2240</v>
      </c>
      <c r="AQ133" s="70"/>
      <c r="AR133" s="70"/>
      <c r="AS133" s="70" t="s">
        <v>2240</v>
      </c>
      <c r="AT133" s="70" t="s">
        <v>2240</v>
      </c>
      <c r="AU133" s="70" t="s">
        <v>2240</v>
      </c>
      <c r="AV133" s="70" t="s">
        <v>2240</v>
      </c>
    </row>
    <row r="134" spans="1:48" s="73" customFormat="1" ht="15.75" thickBot="1" x14ac:dyDescent="0.3">
      <c r="A134"/>
      <c r="B134"/>
      <c r="C134"/>
      <c r="D134"/>
      <c r="E134"/>
      <c r="F134" s="73" t="s">
        <v>356</v>
      </c>
      <c r="G134" s="73" t="s">
        <v>475</v>
      </c>
      <c r="H134" s="73" t="s">
        <v>1053</v>
      </c>
      <c r="I134" s="73" t="s">
        <v>474</v>
      </c>
      <c r="J134" s="84" t="s">
        <v>72</v>
      </c>
      <c r="K134" s="84" t="s">
        <v>1291</v>
      </c>
      <c r="L134" s="84"/>
      <c r="M134" s="84" t="s">
        <v>818</v>
      </c>
      <c r="N134" s="84"/>
      <c r="O134" s="131">
        <f>COUNTIF(S134:AT134,"")</f>
        <v>12</v>
      </c>
      <c r="P134" s="136" t="s">
        <v>2003</v>
      </c>
      <c r="Q134" s="131">
        <f>COUNTIF(S134:AT134,"APAGADO")</f>
        <v>16</v>
      </c>
      <c r="R134" s="132">
        <f>(O134)/(Q134+O134)</f>
        <v>0.42857142857142855</v>
      </c>
      <c r="S134" s="70" t="s">
        <v>2240</v>
      </c>
      <c r="T134" s="70"/>
      <c r="U134" s="70"/>
      <c r="V134" s="70"/>
      <c r="W134" s="70"/>
      <c r="X134" s="70" t="s">
        <v>2240</v>
      </c>
      <c r="Y134" s="70" t="s">
        <v>2240</v>
      </c>
      <c r="Z134" s="70" t="s">
        <v>2240</v>
      </c>
      <c r="AA134" s="70"/>
      <c r="AB134" s="70"/>
      <c r="AC134" s="70"/>
      <c r="AD134" s="70"/>
      <c r="AE134" s="70" t="s">
        <v>2240</v>
      </c>
      <c r="AF134" s="70" t="s">
        <v>2240</v>
      </c>
      <c r="AG134" s="142" t="s">
        <v>2240</v>
      </c>
      <c r="AH134" s="70" t="s">
        <v>2240</v>
      </c>
      <c r="AI134" s="70" t="s">
        <v>2240</v>
      </c>
      <c r="AJ134" s="70"/>
      <c r="AK134" s="70"/>
      <c r="AL134" s="70" t="s">
        <v>2240</v>
      </c>
      <c r="AM134" s="70" t="s">
        <v>2240</v>
      </c>
      <c r="AN134" s="70" t="s">
        <v>2240</v>
      </c>
      <c r="AO134" s="70" t="s">
        <v>2240</v>
      </c>
      <c r="AP134" s="70" t="s">
        <v>2240</v>
      </c>
      <c r="AQ134" s="70"/>
      <c r="AR134" s="70"/>
      <c r="AS134" s="70" t="s">
        <v>2240</v>
      </c>
      <c r="AT134" s="70" t="s">
        <v>2240</v>
      </c>
      <c r="AU134" s="70" t="s">
        <v>2240</v>
      </c>
      <c r="AV134" s="70" t="s">
        <v>2240</v>
      </c>
    </row>
    <row r="135" spans="1:48" s="73" customFormat="1" ht="15.75" thickBot="1" x14ac:dyDescent="0.3">
      <c r="A135"/>
      <c r="B135"/>
      <c r="C135"/>
      <c r="D135"/>
      <c r="E135"/>
      <c r="F135" s="73" t="s">
        <v>356</v>
      </c>
      <c r="G135" s="73" t="s">
        <v>473</v>
      </c>
      <c r="H135" s="73" t="s">
        <v>1053</v>
      </c>
      <c r="I135" s="73" t="s">
        <v>474</v>
      </c>
      <c r="J135" s="84" t="s">
        <v>72</v>
      </c>
      <c r="K135" s="84" t="s">
        <v>1291</v>
      </c>
      <c r="L135" s="84"/>
      <c r="M135" s="84" t="s">
        <v>817</v>
      </c>
      <c r="N135" s="84"/>
      <c r="O135" s="131">
        <f>COUNTIF(S135:AT135,"")</f>
        <v>12</v>
      </c>
      <c r="P135" s="136" t="s">
        <v>2002</v>
      </c>
      <c r="Q135" s="131">
        <f>COUNTIF(S135:AT135,"APAGADO")</f>
        <v>16</v>
      </c>
      <c r="R135" s="132">
        <f>(O135)/(Q135+O135)</f>
        <v>0.42857142857142855</v>
      </c>
      <c r="S135" s="70" t="s">
        <v>2240</v>
      </c>
      <c r="T135" s="70"/>
      <c r="U135" s="70"/>
      <c r="V135" s="70"/>
      <c r="W135" s="70"/>
      <c r="X135" s="70" t="s">
        <v>2240</v>
      </c>
      <c r="Y135" s="70" t="s">
        <v>2240</v>
      </c>
      <c r="Z135" s="70" t="s">
        <v>2240</v>
      </c>
      <c r="AA135" s="70"/>
      <c r="AB135" s="70"/>
      <c r="AC135" s="70"/>
      <c r="AD135" s="70"/>
      <c r="AE135" s="70" t="s">
        <v>2240</v>
      </c>
      <c r="AF135" s="70" t="s">
        <v>2240</v>
      </c>
      <c r="AG135" s="142" t="s">
        <v>2240</v>
      </c>
      <c r="AH135" s="70" t="s">
        <v>2240</v>
      </c>
      <c r="AI135" s="70" t="s">
        <v>2240</v>
      </c>
      <c r="AJ135" s="70"/>
      <c r="AK135" s="70"/>
      <c r="AL135" s="70" t="s">
        <v>2240</v>
      </c>
      <c r="AM135" s="70" t="s">
        <v>2240</v>
      </c>
      <c r="AN135" s="70" t="s">
        <v>2240</v>
      </c>
      <c r="AO135" s="70" t="s">
        <v>2240</v>
      </c>
      <c r="AP135" s="70" t="s">
        <v>2240</v>
      </c>
      <c r="AQ135" s="70"/>
      <c r="AR135" s="70"/>
      <c r="AS135" s="70" t="s">
        <v>2240</v>
      </c>
      <c r="AT135" s="70" t="s">
        <v>2240</v>
      </c>
      <c r="AU135" s="70" t="s">
        <v>2240</v>
      </c>
      <c r="AV135" s="70" t="s">
        <v>2240</v>
      </c>
    </row>
    <row r="136" spans="1:48" s="73" customFormat="1" ht="18.75" customHeight="1" thickBot="1" x14ac:dyDescent="0.3">
      <c r="A136"/>
      <c r="B136"/>
      <c r="C136"/>
      <c r="D136"/>
      <c r="E136"/>
      <c r="F136" s="73" t="s">
        <v>1584</v>
      </c>
      <c r="G136" s="73" t="s">
        <v>2143</v>
      </c>
      <c r="H136" s="73" t="s">
        <v>1053</v>
      </c>
      <c r="I136" s="135" t="s">
        <v>2144</v>
      </c>
      <c r="J136" s="84"/>
      <c r="K136" s="84" t="s">
        <v>1291</v>
      </c>
      <c r="L136" s="84"/>
      <c r="M136" s="84" t="s">
        <v>2309</v>
      </c>
      <c r="N136" s="84"/>
      <c r="O136" s="31">
        <f>COUNTIF(S136:AT136,"")</f>
        <v>28</v>
      </c>
      <c r="P136" s="136"/>
      <c r="Q136" s="31">
        <f>COUNTIF(S136:AT136,"APAGADO")</f>
        <v>0</v>
      </c>
      <c r="R136" s="32">
        <f>(O136)/(Q136+O136)</f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thickBot="1" x14ac:dyDescent="0.3">
      <c r="A137"/>
      <c r="B137"/>
      <c r="C137"/>
      <c r="D137"/>
      <c r="E137"/>
      <c r="F137" s="73" t="s">
        <v>1584</v>
      </c>
      <c r="G137" s="73" t="s">
        <v>1641</v>
      </c>
      <c r="H137" s="73" t="s">
        <v>1053</v>
      </c>
      <c r="I137" s="135" t="s">
        <v>1639</v>
      </c>
      <c r="J137" s="84" t="s">
        <v>72</v>
      </c>
      <c r="K137" s="84" t="s">
        <v>1291</v>
      </c>
      <c r="L137" s="84"/>
      <c r="M137" s="84" t="s">
        <v>1643</v>
      </c>
      <c r="N137" s="84"/>
      <c r="O137" s="31">
        <f>COUNTIF(S137:AT137,"")</f>
        <v>28</v>
      </c>
      <c r="P137" s="136"/>
      <c r="Q137" s="31">
        <f>COUNTIF(S137:AT137,"APAGADO")</f>
        <v>0</v>
      </c>
      <c r="R137" s="32">
        <f>(O137)/(Q137+O137)</f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ht="15.75" thickBot="1" x14ac:dyDescent="0.3">
      <c r="A138"/>
      <c r="B138"/>
      <c r="C138"/>
      <c r="D138"/>
      <c r="E138"/>
      <c r="F138" s="73" t="s">
        <v>1584</v>
      </c>
      <c r="G138" s="73" t="s">
        <v>1640</v>
      </c>
      <c r="H138" s="73" t="s">
        <v>1053</v>
      </c>
      <c r="I138" s="135" t="s">
        <v>1638</v>
      </c>
      <c r="J138" s="84" t="s">
        <v>72</v>
      </c>
      <c r="K138" s="84" t="s">
        <v>1291</v>
      </c>
      <c r="L138" s="84"/>
      <c r="M138" s="84" t="s">
        <v>1642</v>
      </c>
      <c r="N138" s="84"/>
      <c r="O138" s="31">
        <f>COUNTIF(S138:AT138,"")</f>
        <v>28</v>
      </c>
      <c r="P138" s="136"/>
      <c r="Q138" s="31">
        <f>COUNTIF(S138:AT138,"APAGADO")</f>
        <v>0</v>
      </c>
      <c r="R138" s="32">
        <f>(O138)/(Q138+O138)</f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s="73" customFormat="1" ht="15.75" thickBot="1" x14ac:dyDescent="0.3">
      <c r="A139"/>
      <c r="B139"/>
      <c r="C139"/>
      <c r="D139"/>
      <c r="E139"/>
      <c r="F139" s="73" t="s">
        <v>1590</v>
      </c>
      <c r="G139" s="73" t="s">
        <v>1589</v>
      </c>
      <c r="H139" s="73" t="s">
        <v>1053</v>
      </c>
      <c r="I139" s="135" t="s">
        <v>1591</v>
      </c>
      <c r="J139" s="84" t="s">
        <v>72</v>
      </c>
      <c r="K139" s="84" t="s">
        <v>1291</v>
      </c>
      <c r="L139" s="84"/>
      <c r="M139" s="84" t="s">
        <v>1592</v>
      </c>
      <c r="N139" s="84"/>
      <c r="O139" s="31">
        <f>COUNTIF(S139:AT139,"")</f>
        <v>28</v>
      </c>
      <c r="P139" s="136"/>
      <c r="Q139" s="31">
        <f>COUNTIF(S139:AT139,"APAGADO")</f>
        <v>0</v>
      </c>
      <c r="R139" s="32">
        <f>(O139)/(Q139+O139)</f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thickBot="1" x14ac:dyDescent="0.3">
      <c r="A140"/>
      <c r="B140"/>
      <c r="C140"/>
      <c r="D140"/>
      <c r="E140"/>
      <c r="F140" s="73" t="s">
        <v>1584</v>
      </c>
      <c r="G140" s="73" t="s">
        <v>1596</v>
      </c>
      <c r="H140" s="73" t="s">
        <v>1053</v>
      </c>
      <c r="I140" s="135" t="s">
        <v>1597</v>
      </c>
      <c r="J140" s="84" t="s">
        <v>18</v>
      </c>
      <c r="K140" s="84" t="s">
        <v>1291</v>
      </c>
      <c r="L140" s="84"/>
      <c r="M140" s="84" t="s">
        <v>1598</v>
      </c>
      <c r="N140" s="84"/>
      <c r="O140" s="31">
        <f>COUNTIF(S140:AT140,"")</f>
        <v>28</v>
      </c>
      <c r="P140" s="136"/>
      <c r="Q140" s="31">
        <f>COUNTIF(S140:AT140,"APAGADO")</f>
        <v>0</v>
      </c>
      <c r="R140" s="32">
        <f>(O140)/(Q140+O140)</f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ht="15.75" thickBot="1" x14ac:dyDescent="0.3">
      <c r="A141"/>
      <c r="B141"/>
      <c r="C141"/>
      <c r="D141"/>
      <c r="E141"/>
      <c r="F141" s="73" t="s">
        <v>1584</v>
      </c>
      <c r="G141" s="73" t="s">
        <v>1585</v>
      </c>
      <c r="H141" s="73" t="s">
        <v>1053</v>
      </c>
      <c r="I141" s="135" t="s">
        <v>1586</v>
      </c>
      <c r="J141" s="84" t="s">
        <v>14</v>
      </c>
      <c r="K141" s="84" t="s">
        <v>1291</v>
      </c>
      <c r="L141" s="84"/>
      <c r="M141" s="84" t="s">
        <v>1587</v>
      </c>
      <c r="N141" s="84"/>
      <c r="O141" s="31">
        <f>COUNTIF(S141:AT141,"")</f>
        <v>28</v>
      </c>
      <c r="P141" s="136"/>
      <c r="Q141" s="31">
        <f>COUNTIF(S141:AT141,"APAGADO")</f>
        <v>0</v>
      </c>
      <c r="R141" s="32">
        <f>(O141)/(Q141+O141)</f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thickBot="1" x14ac:dyDescent="0.3">
      <c r="A142"/>
      <c r="B142"/>
      <c r="C142"/>
      <c r="D142"/>
      <c r="E142"/>
      <c r="F142" t="s">
        <v>452</v>
      </c>
      <c r="G142" t="s">
        <v>1276</v>
      </c>
      <c r="H142" t="s">
        <v>1053</v>
      </c>
      <c r="I142" s="68" t="s">
        <v>1277</v>
      </c>
      <c r="J142" s="30" t="s">
        <v>72</v>
      </c>
      <c r="K142" s="30" t="s">
        <v>27</v>
      </c>
      <c r="L142" s="30"/>
      <c r="M142" s="30" t="s">
        <v>1280</v>
      </c>
      <c r="N142" s="30"/>
      <c r="O142" s="31">
        <f>COUNTIF(S142:AT142,"")</f>
        <v>28</v>
      </c>
      <c r="P142" s="136" t="s">
        <v>2001</v>
      </c>
      <c r="Q142" s="31">
        <f>COUNTIF(S142:AT142,"APAGADO")</f>
        <v>0</v>
      </c>
      <c r="R142" s="32">
        <f>(O142)/(Q142+O142)</f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thickBot="1" x14ac:dyDescent="0.3">
      <c r="A143"/>
      <c r="B143"/>
      <c r="C143"/>
      <c r="D143"/>
      <c r="E143"/>
      <c r="F143" t="s">
        <v>452</v>
      </c>
      <c r="G143" s="30" t="s">
        <v>1278</v>
      </c>
      <c r="H143" t="s">
        <v>1053</v>
      </c>
      <c r="I143" s="68" t="s">
        <v>1277</v>
      </c>
      <c r="J143" s="30" t="s">
        <v>72</v>
      </c>
      <c r="K143" s="30" t="s">
        <v>27</v>
      </c>
      <c r="L143" s="30"/>
      <c r="M143" s="30" t="s">
        <v>1279</v>
      </c>
      <c r="N143" s="30"/>
      <c r="O143" s="31">
        <f>COUNTIF(S143:AT143,"")</f>
        <v>28</v>
      </c>
      <c r="P143" s="136" t="s">
        <v>2000</v>
      </c>
      <c r="Q143" s="31">
        <f>COUNTIF(S143:AT143,"APAGADO")</f>
        <v>0</v>
      </c>
      <c r="R143" s="32">
        <f>(O143)/(Q143+O143)</f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thickBot="1" x14ac:dyDescent="0.3">
      <c r="A144"/>
      <c r="B144"/>
      <c r="C144"/>
      <c r="D144"/>
      <c r="E144"/>
      <c r="F144" s="73" t="s">
        <v>452</v>
      </c>
      <c r="G144" s="73" t="s">
        <v>1022</v>
      </c>
      <c r="H144" s="73" t="s">
        <v>1053</v>
      </c>
      <c r="I144" s="73" t="s">
        <v>460</v>
      </c>
      <c r="J144" s="84" t="s">
        <v>72</v>
      </c>
      <c r="K144" s="84" t="s">
        <v>1291</v>
      </c>
      <c r="L144" s="84"/>
      <c r="M144" s="84" t="s">
        <v>814</v>
      </c>
      <c r="N144" s="84"/>
      <c r="O144" s="131">
        <f>COUNTIF(S144:AT144,"")</f>
        <v>28</v>
      </c>
      <c r="P144" s="136" t="s">
        <v>1997</v>
      </c>
      <c r="Q144" s="131">
        <f>COUNTIF(S144:AT144,"APAGADO")</f>
        <v>0</v>
      </c>
      <c r="R144" s="132">
        <f>(O144)/(Q144+O144)</f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thickBot="1" x14ac:dyDescent="0.3">
      <c r="A145"/>
      <c r="B145"/>
      <c r="C145"/>
      <c r="D145"/>
      <c r="E145"/>
      <c r="F145" s="73" t="s">
        <v>452</v>
      </c>
      <c r="G145" s="73" t="s">
        <v>1021</v>
      </c>
      <c r="H145" s="73" t="s">
        <v>1053</v>
      </c>
      <c r="I145" s="73" t="s">
        <v>460</v>
      </c>
      <c r="J145" s="84" t="s">
        <v>72</v>
      </c>
      <c r="K145" s="84" t="s">
        <v>1291</v>
      </c>
      <c r="L145" s="84"/>
      <c r="M145" s="84" t="s">
        <v>813</v>
      </c>
      <c r="N145" s="84"/>
      <c r="O145" s="131">
        <f>COUNTIF(S145:AT145,"")</f>
        <v>28</v>
      </c>
      <c r="P145" s="136" t="s">
        <v>1996</v>
      </c>
      <c r="Q145" s="131">
        <f>COUNTIF(S145:AT145,"APAGADO")</f>
        <v>0</v>
      </c>
      <c r="R145" s="132">
        <f>(O145)/(Q145+O145)</f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</row>
    <row r="146" spans="1:48" s="73" customFormat="1" ht="15.75" thickBot="1" x14ac:dyDescent="0.3">
      <c r="A146"/>
      <c r="B146"/>
      <c r="C146"/>
      <c r="D146"/>
      <c r="E146"/>
      <c r="F146" s="73" t="s">
        <v>452</v>
      </c>
      <c r="G146" s="73" t="s">
        <v>470</v>
      </c>
      <c r="H146" s="73" t="s">
        <v>1053</v>
      </c>
      <c r="I146" s="73" t="s">
        <v>471</v>
      </c>
      <c r="J146" s="84" t="s">
        <v>14</v>
      </c>
      <c r="K146" s="84" t="s">
        <v>1291</v>
      </c>
      <c r="L146" s="84"/>
      <c r="M146" s="84" t="s">
        <v>812</v>
      </c>
      <c r="N146" s="84"/>
      <c r="O146" s="131">
        <f>COUNTIF(S146:AT146,"")</f>
        <v>21</v>
      </c>
      <c r="P146" s="136" t="s">
        <v>1995</v>
      </c>
      <c r="Q146" s="131">
        <f>COUNTIF(S146:AT146,"APAGADO")</f>
        <v>7</v>
      </c>
      <c r="R146" s="132">
        <f>(O146)/(Q146+O146)</f>
        <v>0.75</v>
      </c>
      <c r="S146" s="70"/>
      <c r="T146" s="70"/>
      <c r="U146" s="70"/>
      <c r="V146" s="70"/>
      <c r="W146" s="70"/>
      <c r="X146" s="70"/>
      <c r="Y146" s="70"/>
      <c r="Z146" s="70" t="s">
        <v>2240</v>
      </c>
      <c r="AA146" s="70"/>
      <c r="AB146" s="70"/>
      <c r="AC146" s="70"/>
      <c r="AD146" s="70"/>
      <c r="AE146" s="70" t="s">
        <v>2240</v>
      </c>
      <c r="AF146" s="70" t="s">
        <v>2240</v>
      </c>
      <c r="AG146" s="142" t="s">
        <v>2240</v>
      </c>
      <c r="AH146" s="70" t="s">
        <v>2240</v>
      </c>
      <c r="AI146" s="70" t="s">
        <v>2240</v>
      </c>
      <c r="AJ146" s="70"/>
      <c r="AK146" s="70"/>
      <c r="AL146" s="70" t="s">
        <v>2240</v>
      </c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8" s="73" customFormat="1" ht="15.75" thickBot="1" x14ac:dyDescent="0.3">
      <c r="A147"/>
      <c r="B147"/>
      <c r="C147"/>
      <c r="D147"/>
      <c r="E147"/>
      <c r="F147" t="s">
        <v>452</v>
      </c>
      <c r="G147" t="s">
        <v>467</v>
      </c>
      <c r="H147" t="s">
        <v>1053</v>
      </c>
      <c r="I147" t="s">
        <v>468</v>
      </c>
      <c r="J147" s="30" t="s">
        <v>14</v>
      </c>
      <c r="K147" s="30" t="s">
        <v>19</v>
      </c>
      <c r="L147" s="30"/>
      <c r="M147" s="30" t="s">
        <v>806</v>
      </c>
      <c r="N147" s="30"/>
      <c r="O147" s="31">
        <f>COUNTIF(S147:AT147,"")</f>
        <v>28</v>
      </c>
      <c r="P147" s="136"/>
      <c r="Q147" s="31">
        <f>COUNTIF(S147:AT147,"APAGADO")</f>
        <v>0</v>
      </c>
      <c r="R147" s="32">
        <f>(O147)/(Q147+O147)</f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thickBot="1" x14ac:dyDescent="0.3">
      <c r="A148" s="69"/>
      <c r="B148" s="69"/>
      <c r="C148" s="69"/>
      <c r="D148" s="69"/>
      <c r="E148" s="69"/>
      <c r="F148" s="69" t="s">
        <v>452</v>
      </c>
      <c r="G148" s="69" t="s">
        <v>1020</v>
      </c>
      <c r="H148" s="69" t="s">
        <v>1053</v>
      </c>
      <c r="I148" s="69" t="s">
        <v>459</v>
      </c>
      <c r="J148" s="137" t="s">
        <v>14</v>
      </c>
      <c r="K148" s="137" t="s">
        <v>19</v>
      </c>
      <c r="L148" s="137"/>
      <c r="M148" s="137" t="s">
        <v>811</v>
      </c>
      <c r="N148" s="137"/>
      <c r="O148" s="139">
        <f>COUNTIF(S148:AT148,"")</f>
        <v>12</v>
      </c>
      <c r="P148" s="140"/>
      <c r="Q148" s="139">
        <f>COUNTIF(S148:AT148,"APAGADO")</f>
        <v>16</v>
      </c>
      <c r="R148" s="141">
        <f>(O148)/(Q148+O148)</f>
        <v>0.42857142857142855</v>
      </c>
      <c r="S148" s="142" t="s">
        <v>2240</v>
      </c>
      <c r="T148" s="142"/>
      <c r="U148" s="142"/>
      <c r="V148" s="142"/>
      <c r="W148" s="142"/>
      <c r="X148" s="142" t="s">
        <v>2240</v>
      </c>
      <c r="Y148" s="142" t="s">
        <v>2240</v>
      </c>
      <c r="Z148" s="142" t="s">
        <v>2240</v>
      </c>
      <c r="AA148" s="142"/>
      <c r="AB148" s="142"/>
      <c r="AC148" s="142"/>
      <c r="AD148" s="142"/>
      <c r="AE148" s="70" t="s">
        <v>2240</v>
      </c>
      <c r="AF148" s="70" t="s">
        <v>2240</v>
      </c>
      <c r="AG148" s="142" t="s">
        <v>2240</v>
      </c>
      <c r="AH148" s="70" t="s">
        <v>2240</v>
      </c>
      <c r="AI148" s="70" t="s">
        <v>2240</v>
      </c>
      <c r="AJ148" s="142"/>
      <c r="AK148" s="142"/>
      <c r="AL148" s="70" t="s">
        <v>2240</v>
      </c>
      <c r="AM148" s="70" t="s">
        <v>2240</v>
      </c>
      <c r="AN148" s="70" t="s">
        <v>2240</v>
      </c>
      <c r="AO148" s="70" t="s">
        <v>2240</v>
      </c>
      <c r="AP148" s="70" t="s">
        <v>2240</v>
      </c>
      <c r="AQ148" s="142"/>
      <c r="AR148" s="142"/>
      <c r="AS148" s="70" t="s">
        <v>2240</v>
      </c>
      <c r="AT148" s="70" t="s">
        <v>2240</v>
      </c>
      <c r="AU148" s="70" t="s">
        <v>2240</v>
      </c>
      <c r="AV148" s="70" t="s">
        <v>2240</v>
      </c>
    </row>
    <row r="149" spans="1:48" ht="15.75" thickBot="1" x14ac:dyDescent="0.3">
      <c r="A149"/>
      <c r="B149"/>
      <c r="C149"/>
      <c r="D149"/>
      <c r="E149"/>
      <c r="F149" t="s">
        <v>452</v>
      </c>
      <c r="G149" t="s">
        <v>1019</v>
      </c>
      <c r="H149" t="s">
        <v>1053</v>
      </c>
      <c r="I149" t="s">
        <v>458</v>
      </c>
      <c r="J149" s="30" t="s">
        <v>14</v>
      </c>
      <c r="K149" s="30" t="s">
        <v>19</v>
      </c>
      <c r="L149" s="30"/>
      <c r="M149" s="30" t="s">
        <v>792</v>
      </c>
      <c r="N149" s="30"/>
      <c r="O149" s="31">
        <f>COUNTIF(S149:AT149,"")</f>
        <v>28</v>
      </c>
      <c r="P149" s="136"/>
      <c r="Q149" s="31">
        <f>COUNTIF(S149:AT149,"APAGADO")</f>
        <v>0</v>
      </c>
      <c r="R149" s="32">
        <f>(O149)/(Q149+O149)</f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thickBot="1" x14ac:dyDescent="0.3">
      <c r="A150"/>
      <c r="B150"/>
      <c r="C150"/>
      <c r="D150"/>
      <c r="E150"/>
      <c r="F150" t="s">
        <v>452</v>
      </c>
      <c r="G150" t="s">
        <v>1018</v>
      </c>
      <c r="H150" t="s">
        <v>1053</v>
      </c>
      <c r="I150" t="s">
        <v>455</v>
      </c>
      <c r="J150" s="30" t="s">
        <v>18</v>
      </c>
      <c r="K150" s="30" t="s">
        <v>27</v>
      </c>
      <c r="L150" s="30"/>
      <c r="M150" s="30" t="s">
        <v>809</v>
      </c>
      <c r="N150" s="30"/>
      <c r="O150" s="31">
        <f>COUNTIF(S150:AT150,"")</f>
        <v>28</v>
      </c>
      <c r="P150" s="136" t="s">
        <v>1991</v>
      </c>
      <c r="Q150" s="31">
        <f>COUNTIF(S150:AT150,"APAGADO")</f>
        <v>0</v>
      </c>
      <c r="R150" s="32">
        <f>(O150)/(Q150+O150)</f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8" ht="15.75" thickBot="1" x14ac:dyDescent="0.3">
      <c r="A151"/>
      <c r="B151"/>
      <c r="C151"/>
      <c r="D151"/>
      <c r="E151"/>
      <c r="F151" t="s">
        <v>452</v>
      </c>
      <c r="G151" t="s">
        <v>1017</v>
      </c>
      <c r="H151" t="s">
        <v>1053</v>
      </c>
      <c r="I151" t="s">
        <v>454</v>
      </c>
      <c r="J151" s="30" t="s">
        <v>18</v>
      </c>
      <c r="K151" s="30" t="s">
        <v>27</v>
      </c>
      <c r="L151" s="30"/>
      <c r="M151" s="30" t="s">
        <v>808</v>
      </c>
      <c r="N151" s="30"/>
      <c r="O151" s="31">
        <f>COUNTIF(S151:AT151,"")</f>
        <v>28</v>
      </c>
      <c r="P151" s="136" t="s">
        <v>1990</v>
      </c>
      <c r="Q151" s="31">
        <f>COUNTIF(S151:AT151,"APAGADO")</f>
        <v>0</v>
      </c>
      <c r="R151" s="32">
        <f>(O151)/(Q151+O151)</f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8" ht="15.75" thickBot="1" x14ac:dyDescent="0.3">
      <c r="A152"/>
      <c r="B152"/>
      <c r="C152"/>
      <c r="D152"/>
      <c r="E152"/>
      <c r="F152" t="s">
        <v>452</v>
      </c>
      <c r="G152" t="s">
        <v>1016</v>
      </c>
      <c r="H152" t="s">
        <v>1053</v>
      </c>
      <c r="I152" t="s">
        <v>453</v>
      </c>
      <c r="J152" s="30" t="s">
        <v>14</v>
      </c>
      <c r="K152" s="30" t="s">
        <v>19</v>
      </c>
      <c r="L152" s="30"/>
      <c r="M152" s="30" t="s">
        <v>807</v>
      </c>
      <c r="N152" s="30"/>
      <c r="O152" s="31">
        <f>COUNTIF(S152:AT152,"")</f>
        <v>28</v>
      </c>
      <c r="P152" s="136"/>
      <c r="Q152" s="31">
        <f>COUNTIF(S152:AT152,"APAGADO")</f>
        <v>0</v>
      </c>
      <c r="R152" s="32">
        <f>(O152)/(Q152+O152)</f>
        <v>1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</row>
    <row r="153" spans="1:48" ht="15.75" thickBot="1" x14ac:dyDescent="0.3">
      <c r="A153"/>
      <c r="B153"/>
      <c r="C153"/>
      <c r="D153"/>
      <c r="E153"/>
      <c r="F153" s="73" t="s">
        <v>452</v>
      </c>
      <c r="G153" s="73" t="s">
        <v>463</v>
      </c>
      <c r="H153" s="73" t="s">
        <v>1053</v>
      </c>
      <c r="I153" s="73" t="s">
        <v>464</v>
      </c>
      <c r="J153" s="84" t="s">
        <v>18</v>
      </c>
      <c r="K153" s="84" t="s">
        <v>1291</v>
      </c>
      <c r="L153" s="84"/>
      <c r="M153" s="84" t="s">
        <v>1411</v>
      </c>
      <c r="N153" s="84"/>
      <c r="O153" s="131">
        <f>COUNTIF(S153:AT153,"")</f>
        <v>27</v>
      </c>
      <c r="P153" s="136" t="s">
        <v>1988</v>
      </c>
      <c r="Q153" s="131">
        <f>COUNTIF(S153:AT153,"APAGADO")</f>
        <v>1</v>
      </c>
      <c r="R153" s="132">
        <f>(O153)/(Q153+O153)</f>
        <v>0.9642857142857143</v>
      </c>
      <c r="S153" s="70"/>
      <c r="T153" s="70"/>
      <c r="U153" s="70"/>
      <c r="V153" s="70"/>
      <c r="W153" s="70"/>
      <c r="X153" s="70"/>
      <c r="Y153" s="70"/>
      <c r="Z153" s="70" t="s">
        <v>2240</v>
      </c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</row>
    <row r="154" spans="1:48" ht="15.75" thickBot="1" x14ac:dyDescent="0.3">
      <c r="A154"/>
      <c r="B154"/>
      <c r="C154"/>
      <c r="D154"/>
      <c r="E154"/>
      <c r="F154" t="s">
        <v>347</v>
      </c>
      <c r="G154" t="s">
        <v>462</v>
      </c>
      <c r="H154" t="s">
        <v>1053</v>
      </c>
      <c r="I154" t="s">
        <v>1311</v>
      </c>
      <c r="J154" s="30" t="s">
        <v>18</v>
      </c>
      <c r="K154" s="30" t="s">
        <v>1046</v>
      </c>
      <c r="L154" s="30"/>
      <c r="M154" s="30" t="s">
        <v>1400</v>
      </c>
      <c r="N154" s="30"/>
      <c r="O154" s="31">
        <f>COUNTIF(S154:AT154,"")</f>
        <v>24</v>
      </c>
      <c r="P154" s="136" t="s">
        <v>1987</v>
      </c>
      <c r="Q154" s="31">
        <f>COUNTIF(S154:AT154,"APAGADO")</f>
        <v>4</v>
      </c>
      <c r="R154" s="32">
        <f>(O154)/(Q154+O154)</f>
        <v>0.8571428571428571</v>
      </c>
      <c r="S154" s="70" t="s">
        <v>2240</v>
      </c>
      <c r="T154" s="70"/>
      <c r="U154" s="70"/>
      <c r="V154" s="70"/>
      <c r="W154" s="70"/>
      <c r="X154" s="70" t="s">
        <v>2240</v>
      </c>
      <c r="Y154" s="70" t="s">
        <v>2240</v>
      </c>
      <c r="Z154" s="70" t="s">
        <v>2240</v>
      </c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8" ht="15.75" thickBot="1" x14ac:dyDescent="0.3">
      <c r="A155"/>
      <c r="B155"/>
      <c r="C155"/>
      <c r="D155"/>
      <c r="E155"/>
      <c r="F155" t="s">
        <v>452</v>
      </c>
      <c r="G155" t="s">
        <v>461</v>
      </c>
      <c r="H155" t="s">
        <v>1053</v>
      </c>
      <c r="I155" t="s">
        <v>1015</v>
      </c>
      <c r="J155" s="30" t="s">
        <v>18</v>
      </c>
      <c r="K155" s="30" t="s">
        <v>1046</v>
      </c>
      <c r="L155" s="30"/>
      <c r="M155" s="30" t="s">
        <v>1399</v>
      </c>
      <c r="N155" s="30"/>
      <c r="O155" s="31">
        <f>COUNTIF(S155:AT155,"")</f>
        <v>24</v>
      </c>
      <c r="P155" s="136" t="s">
        <v>1986</v>
      </c>
      <c r="Q155" s="31">
        <f>COUNTIF(S155:AT155,"APAGADO")</f>
        <v>4</v>
      </c>
      <c r="R155" s="32">
        <f>(O155)/(Q155+O155)</f>
        <v>0.8571428571428571</v>
      </c>
      <c r="S155" s="70" t="s">
        <v>2240</v>
      </c>
      <c r="T155" s="70"/>
      <c r="U155" s="70"/>
      <c r="V155" s="70"/>
      <c r="W155" s="70"/>
      <c r="X155" s="70" t="s">
        <v>2240</v>
      </c>
      <c r="Y155" s="70" t="s">
        <v>2240</v>
      </c>
      <c r="Z155" s="70" t="s">
        <v>2240</v>
      </c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8" ht="15.75" thickBot="1" x14ac:dyDescent="0.3">
      <c r="A156"/>
      <c r="B156"/>
      <c r="C156"/>
      <c r="D156"/>
      <c r="E156"/>
      <c r="F156" t="s">
        <v>452</v>
      </c>
      <c r="G156" t="s">
        <v>1014</v>
      </c>
      <c r="H156" t="s">
        <v>1053</v>
      </c>
      <c r="I156" t="s">
        <v>472</v>
      </c>
      <c r="J156" s="30" t="s">
        <v>72</v>
      </c>
      <c r="K156" s="30" t="s">
        <v>27</v>
      </c>
      <c r="L156" s="30"/>
      <c r="M156" s="30" t="s">
        <v>816</v>
      </c>
      <c r="N156" s="30"/>
      <c r="O156" s="31">
        <f>COUNTIF(S156:AT156,"")</f>
        <v>28</v>
      </c>
      <c r="P156" s="136" t="s">
        <v>1999</v>
      </c>
      <c r="Q156" s="31">
        <f>COUNTIF(S156:AT156,"APAGADO")</f>
        <v>0</v>
      </c>
      <c r="R156" s="32">
        <f>(O156)/(Q156+O156)</f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8" s="88" customFormat="1" ht="15.75" thickBot="1" x14ac:dyDescent="0.3">
      <c r="A157"/>
      <c r="B157"/>
      <c r="C157"/>
      <c r="D157"/>
      <c r="E157"/>
      <c r="F157" t="s">
        <v>452</v>
      </c>
      <c r="G157" t="s">
        <v>1013</v>
      </c>
      <c r="H157" t="s">
        <v>1053</v>
      </c>
      <c r="I157" t="s">
        <v>472</v>
      </c>
      <c r="J157" s="30" t="s">
        <v>72</v>
      </c>
      <c r="K157" s="30" t="s">
        <v>27</v>
      </c>
      <c r="L157" s="30"/>
      <c r="M157" s="30" t="s">
        <v>815</v>
      </c>
      <c r="N157" s="30"/>
      <c r="O157" s="31">
        <f>COUNTIF(S157:AT157,"")</f>
        <v>28</v>
      </c>
      <c r="P157" s="136" t="s">
        <v>1998</v>
      </c>
      <c r="Q157" s="31">
        <f>COUNTIF(S157:AT157,"APAGADO")</f>
        <v>0</v>
      </c>
      <c r="R157" s="32">
        <f>(O157)/(Q157+O157)</f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</row>
    <row r="158" spans="1:48" ht="15.75" thickBot="1" x14ac:dyDescent="0.3">
      <c r="A158"/>
      <c r="B158"/>
      <c r="C158"/>
      <c r="D158"/>
      <c r="E158"/>
      <c r="F158" t="s">
        <v>347</v>
      </c>
      <c r="G158" t="s">
        <v>1012</v>
      </c>
      <c r="H158" t="s">
        <v>1053</v>
      </c>
      <c r="I158" t="s">
        <v>469</v>
      </c>
      <c r="J158" s="30" t="s">
        <v>72</v>
      </c>
      <c r="K158" s="30" t="s">
        <v>1046</v>
      </c>
      <c r="L158" s="30"/>
      <c r="M158" s="30" t="s">
        <v>1402</v>
      </c>
      <c r="N158" s="30"/>
      <c r="O158" s="31">
        <f>COUNTIF(S158:AT158,"")</f>
        <v>18</v>
      </c>
      <c r="P158" s="136" t="s">
        <v>1994</v>
      </c>
      <c r="Q158" s="31">
        <f>COUNTIF(S158:AT158,"APAGADO")</f>
        <v>10</v>
      </c>
      <c r="R158" s="32">
        <f>(O158)/(Q158+O158)</f>
        <v>0.6428571428571429</v>
      </c>
      <c r="S158" s="70" t="s">
        <v>2240</v>
      </c>
      <c r="T158" s="70"/>
      <c r="U158" s="70"/>
      <c r="V158" s="70"/>
      <c r="W158" s="70"/>
      <c r="X158" s="70" t="s">
        <v>2240</v>
      </c>
      <c r="Y158" s="70" t="s">
        <v>2240</v>
      </c>
      <c r="Z158" s="70" t="s">
        <v>2240</v>
      </c>
      <c r="AA158" s="70"/>
      <c r="AB158" s="70"/>
      <c r="AC158" s="70"/>
      <c r="AD158" s="70"/>
      <c r="AE158" s="70" t="s">
        <v>2240</v>
      </c>
      <c r="AF158" s="70" t="s">
        <v>2240</v>
      </c>
      <c r="AG158" s="142" t="s">
        <v>2240</v>
      </c>
      <c r="AH158" s="70" t="s">
        <v>2240</v>
      </c>
      <c r="AI158" s="70" t="s">
        <v>2240</v>
      </c>
      <c r="AJ158" s="70"/>
      <c r="AK158" s="70"/>
      <c r="AL158" s="70" t="s">
        <v>2240</v>
      </c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ht="15.75" thickBot="1" x14ac:dyDescent="0.3">
      <c r="A159"/>
      <c r="B159"/>
      <c r="C159"/>
      <c r="D159"/>
      <c r="E159"/>
      <c r="F159" t="s">
        <v>347</v>
      </c>
      <c r="G159" t="s">
        <v>1011</v>
      </c>
      <c r="H159" t="s">
        <v>1053</v>
      </c>
      <c r="I159" t="s">
        <v>469</v>
      </c>
      <c r="J159" s="30" t="s">
        <v>72</v>
      </c>
      <c r="K159" s="30" t="s">
        <v>1046</v>
      </c>
      <c r="L159" s="30"/>
      <c r="M159" s="30" t="s">
        <v>1401</v>
      </c>
      <c r="N159" s="30"/>
      <c r="O159" s="31">
        <f>COUNTIF(S159:AT159,"")</f>
        <v>24</v>
      </c>
      <c r="P159" s="136" t="s">
        <v>1993</v>
      </c>
      <c r="Q159" s="31">
        <f>COUNTIF(S159:AT159,"APAGADO")</f>
        <v>4</v>
      </c>
      <c r="R159" s="32">
        <f>(O159)/(Q159+O159)</f>
        <v>0.8571428571428571</v>
      </c>
      <c r="S159" s="70" t="s">
        <v>2240</v>
      </c>
      <c r="T159" s="70"/>
      <c r="U159" s="70"/>
      <c r="V159" s="70"/>
      <c r="W159" s="70"/>
      <c r="X159" s="70" t="s">
        <v>2240</v>
      </c>
      <c r="Y159" s="70" t="s">
        <v>2240</v>
      </c>
      <c r="Z159" s="70" t="s">
        <v>2240</v>
      </c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129"/>
    </row>
    <row r="160" spans="1:48" s="88" customFormat="1" ht="15.75" thickBot="1" x14ac:dyDescent="0.3">
      <c r="A160" s="69"/>
      <c r="B160" s="69"/>
      <c r="C160" s="69"/>
      <c r="D160" s="69"/>
      <c r="E160" s="69"/>
      <c r="F160" s="69" t="s">
        <v>452</v>
      </c>
      <c r="G160" s="69" t="s">
        <v>1010</v>
      </c>
      <c r="H160" s="69" t="s">
        <v>1053</v>
      </c>
      <c r="I160" s="69" t="s">
        <v>466</v>
      </c>
      <c r="J160" s="137" t="s">
        <v>14</v>
      </c>
      <c r="K160" s="137" t="s">
        <v>19</v>
      </c>
      <c r="L160" s="137"/>
      <c r="M160" s="137" t="s">
        <v>805</v>
      </c>
      <c r="N160" s="137"/>
      <c r="O160" s="139">
        <f>COUNTIF(S160:AT160,"")</f>
        <v>12</v>
      </c>
      <c r="P160" s="140"/>
      <c r="Q160" s="139">
        <f>COUNTIF(S160:AT160,"APAGADO")</f>
        <v>16</v>
      </c>
      <c r="R160" s="141">
        <f>(O160)/(Q160+O160)</f>
        <v>0.42857142857142855</v>
      </c>
      <c r="S160" s="142" t="s">
        <v>2240</v>
      </c>
      <c r="T160" s="142"/>
      <c r="U160" s="142"/>
      <c r="V160" s="142"/>
      <c r="W160" s="142"/>
      <c r="X160" s="142" t="s">
        <v>2240</v>
      </c>
      <c r="Y160" s="142" t="s">
        <v>2240</v>
      </c>
      <c r="Z160" s="142" t="s">
        <v>2240</v>
      </c>
      <c r="AA160" s="142"/>
      <c r="AB160" s="142"/>
      <c r="AC160" s="142"/>
      <c r="AD160" s="142"/>
      <c r="AE160" s="70" t="s">
        <v>2240</v>
      </c>
      <c r="AF160" s="70" t="s">
        <v>2240</v>
      </c>
      <c r="AG160" s="142" t="s">
        <v>2240</v>
      </c>
      <c r="AH160" s="70" t="s">
        <v>2240</v>
      </c>
      <c r="AI160" s="70" t="s">
        <v>2240</v>
      </c>
      <c r="AJ160" s="142"/>
      <c r="AK160" s="142"/>
      <c r="AL160" s="70" t="s">
        <v>2240</v>
      </c>
      <c r="AM160" s="70" t="s">
        <v>2240</v>
      </c>
      <c r="AN160" s="70" t="s">
        <v>2240</v>
      </c>
      <c r="AO160" s="70" t="s">
        <v>2240</v>
      </c>
      <c r="AP160" s="70" t="s">
        <v>2240</v>
      </c>
      <c r="AQ160" s="142"/>
      <c r="AR160" s="142"/>
      <c r="AS160" s="70" t="s">
        <v>2240</v>
      </c>
      <c r="AT160" s="70" t="s">
        <v>2240</v>
      </c>
      <c r="AU160" s="70" t="s">
        <v>2240</v>
      </c>
      <c r="AV160" s="70" t="s">
        <v>2240</v>
      </c>
    </row>
    <row r="161" spans="1:48" s="88" customFormat="1" ht="16.149999999999999" customHeight="1" thickBot="1" x14ac:dyDescent="0.3">
      <c r="A161"/>
      <c r="B161"/>
      <c r="C161"/>
      <c r="D161"/>
      <c r="E161"/>
      <c r="F161" t="s">
        <v>452</v>
      </c>
      <c r="G161" t="s">
        <v>456</v>
      </c>
      <c r="H161" t="s">
        <v>1053</v>
      </c>
      <c r="I161" t="s">
        <v>457</v>
      </c>
      <c r="J161" s="30" t="s">
        <v>18</v>
      </c>
      <c r="K161" s="30" t="s">
        <v>27</v>
      </c>
      <c r="L161" s="30"/>
      <c r="M161" s="30" t="s">
        <v>810</v>
      </c>
      <c r="N161" s="30"/>
      <c r="O161" s="31">
        <f>COUNTIF(S161:AT161,"")</f>
        <v>28</v>
      </c>
      <c r="P161" s="136" t="s">
        <v>1992</v>
      </c>
      <c r="Q161" s="31">
        <f>COUNTIF(S161:AT161,"APAGADO")</f>
        <v>0</v>
      </c>
      <c r="R161" s="32">
        <f>(O161)/(Q161+O161)</f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</row>
    <row r="162" spans="1:48" ht="15.75" thickBot="1" x14ac:dyDescent="0.3">
      <c r="A162"/>
      <c r="B162"/>
      <c r="C162"/>
      <c r="D162"/>
      <c r="E162"/>
      <c r="F162" s="73" t="s">
        <v>452</v>
      </c>
      <c r="G162" s="73" t="s">
        <v>1009</v>
      </c>
      <c r="H162" s="73" t="s">
        <v>1053</v>
      </c>
      <c r="I162" s="73" t="s">
        <v>465</v>
      </c>
      <c r="J162" s="84" t="s">
        <v>18</v>
      </c>
      <c r="K162" s="84" t="s">
        <v>1291</v>
      </c>
      <c r="L162" s="84"/>
      <c r="M162" s="84" t="s">
        <v>1318</v>
      </c>
      <c r="N162" s="84"/>
      <c r="O162" s="131">
        <f>COUNTIF(S162:AT162,"")</f>
        <v>13</v>
      </c>
      <c r="P162" s="136" t="s">
        <v>1989</v>
      </c>
      <c r="Q162" s="131">
        <f>COUNTIF(S162:AT162,"APAGADO")</f>
        <v>15</v>
      </c>
      <c r="R162" s="132">
        <f>(O162)/(Q162+O162)</f>
        <v>0.4642857142857143</v>
      </c>
      <c r="S162" s="70" t="s">
        <v>2240</v>
      </c>
      <c r="T162" s="70"/>
      <c r="U162" s="70"/>
      <c r="V162" s="70"/>
      <c r="W162" s="70"/>
      <c r="X162" s="70" t="s">
        <v>2240</v>
      </c>
      <c r="Y162" s="70" t="s">
        <v>2240</v>
      </c>
      <c r="Z162" s="70" t="s">
        <v>2240</v>
      </c>
      <c r="AA162" s="70"/>
      <c r="AB162" s="70"/>
      <c r="AC162" s="70"/>
      <c r="AD162" s="70"/>
      <c r="AE162" s="70" t="s">
        <v>2240</v>
      </c>
      <c r="AF162" s="70"/>
      <c r="AG162" s="142" t="s">
        <v>2240</v>
      </c>
      <c r="AH162" s="70" t="s">
        <v>2240</v>
      </c>
      <c r="AI162" s="70" t="s">
        <v>2240</v>
      </c>
      <c r="AJ162" s="70"/>
      <c r="AK162" s="70"/>
      <c r="AL162" s="70" t="s">
        <v>2240</v>
      </c>
      <c r="AM162" s="70" t="s">
        <v>2240</v>
      </c>
      <c r="AN162" s="70" t="s">
        <v>2240</v>
      </c>
      <c r="AO162" s="70" t="s">
        <v>2240</v>
      </c>
      <c r="AP162" s="70" t="s">
        <v>2240</v>
      </c>
      <c r="AQ162" s="70"/>
      <c r="AR162" s="70"/>
      <c r="AS162" s="70" t="s">
        <v>2240</v>
      </c>
      <c r="AT162" s="70" t="s">
        <v>2240</v>
      </c>
      <c r="AU162" s="70" t="s">
        <v>2240</v>
      </c>
      <c r="AV162" s="70" t="s">
        <v>2240</v>
      </c>
    </row>
    <row r="163" spans="1:48" ht="15.75" thickBot="1" x14ac:dyDescent="0.3">
      <c r="A163">
        <v>9</v>
      </c>
      <c r="B163">
        <v>2</v>
      </c>
      <c r="C163"/>
      <c r="D163"/>
      <c r="E163" t="s">
        <v>44</v>
      </c>
      <c r="F163" t="s">
        <v>164</v>
      </c>
      <c r="G163" t="s">
        <v>450</v>
      </c>
      <c r="H163" t="s">
        <v>1052</v>
      </c>
      <c r="I163" t="s">
        <v>449</v>
      </c>
      <c r="J163" s="30" t="s">
        <v>72</v>
      </c>
      <c r="K163" s="30" t="s">
        <v>27</v>
      </c>
      <c r="L163" s="30"/>
      <c r="M163" s="30" t="s">
        <v>802</v>
      </c>
      <c r="N163" s="30"/>
      <c r="O163" s="31">
        <f>COUNTIF(S163:AT163,"")</f>
        <v>20</v>
      </c>
      <c r="P163" s="136" t="s">
        <v>1983</v>
      </c>
      <c r="Q163" s="31">
        <f>COUNTIF(S163:AT163,"APAGADO")</f>
        <v>8</v>
      </c>
      <c r="R163" s="32">
        <f>(O163)/(Q163+O163)</f>
        <v>0.7142857142857143</v>
      </c>
      <c r="S163" s="70"/>
      <c r="T163" s="70"/>
      <c r="U163" s="70"/>
      <c r="V163" s="70"/>
      <c r="W163" s="70"/>
      <c r="X163" s="70"/>
      <c r="Y163" s="70"/>
      <c r="Z163" s="70" t="s">
        <v>2240</v>
      </c>
      <c r="AA163" s="70"/>
      <c r="AB163" s="70"/>
      <c r="AC163" s="70"/>
      <c r="AD163" s="70"/>
      <c r="AE163" s="70"/>
      <c r="AF163" s="70" t="s">
        <v>2240</v>
      </c>
      <c r="AG163" s="142" t="s">
        <v>2240</v>
      </c>
      <c r="AH163" s="70" t="s">
        <v>2240</v>
      </c>
      <c r="AI163" s="70" t="s">
        <v>2240</v>
      </c>
      <c r="AJ163" s="70"/>
      <c r="AK163" s="70"/>
      <c r="AL163" s="70" t="s">
        <v>2240</v>
      </c>
      <c r="AM163" s="70" t="s">
        <v>2240</v>
      </c>
      <c r="AN163" s="70" t="s">
        <v>2240</v>
      </c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thickBot="1" x14ac:dyDescent="0.3">
      <c r="A164">
        <v>9</v>
      </c>
      <c r="B164">
        <v>2</v>
      </c>
      <c r="C164"/>
      <c r="D164"/>
      <c r="E164" t="s">
        <v>44</v>
      </c>
      <c r="F164" t="s">
        <v>164</v>
      </c>
      <c r="G164" t="s">
        <v>448</v>
      </c>
      <c r="H164" t="s">
        <v>1052</v>
      </c>
      <c r="I164" t="s">
        <v>449</v>
      </c>
      <c r="J164" s="30" t="s">
        <v>72</v>
      </c>
      <c r="K164" s="30" t="s">
        <v>27</v>
      </c>
      <c r="L164" s="30"/>
      <c r="M164" s="30" t="s">
        <v>801</v>
      </c>
      <c r="N164" s="30"/>
      <c r="O164" s="31">
        <f>COUNTIF(S164:AT164,"")</f>
        <v>20</v>
      </c>
      <c r="P164" s="136" t="s">
        <v>1982</v>
      </c>
      <c r="Q164" s="31">
        <f>COUNTIF(S164:AT164,"APAGADO")</f>
        <v>8</v>
      </c>
      <c r="R164" s="32">
        <f>(O164)/(Q164+O164)</f>
        <v>0.7142857142857143</v>
      </c>
      <c r="S164" s="70"/>
      <c r="T164" s="70"/>
      <c r="U164" s="70"/>
      <c r="V164" s="70"/>
      <c r="W164" s="70"/>
      <c r="X164" s="70"/>
      <c r="Y164" s="70"/>
      <c r="Z164" s="70" t="s">
        <v>2240</v>
      </c>
      <c r="AA164" s="70"/>
      <c r="AB164" s="70"/>
      <c r="AC164" s="70"/>
      <c r="AD164" s="70"/>
      <c r="AE164" s="70"/>
      <c r="AF164" s="70" t="s">
        <v>2240</v>
      </c>
      <c r="AG164" s="142" t="s">
        <v>2240</v>
      </c>
      <c r="AH164" s="70" t="s">
        <v>2240</v>
      </c>
      <c r="AI164" s="70" t="s">
        <v>2240</v>
      </c>
      <c r="AJ164" s="70"/>
      <c r="AK164" s="70"/>
      <c r="AL164" s="70" t="s">
        <v>2240</v>
      </c>
      <c r="AM164" s="70" t="s">
        <v>2240</v>
      </c>
      <c r="AN164" s="70" t="s">
        <v>2240</v>
      </c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thickBot="1" x14ac:dyDescent="0.3">
      <c r="A165">
        <v>9</v>
      </c>
      <c r="B165">
        <v>2</v>
      </c>
      <c r="C165"/>
      <c r="D165"/>
      <c r="E165" t="s">
        <v>44</v>
      </c>
      <c r="F165" t="s">
        <v>164</v>
      </c>
      <c r="G165" t="s">
        <v>1008</v>
      </c>
      <c r="H165" t="s">
        <v>1052</v>
      </c>
      <c r="I165" t="s">
        <v>451</v>
      </c>
      <c r="J165" s="30" t="s">
        <v>72</v>
      </c>
      <c r="K165" s="30" t="s">
        <v>27</v>
      </c>
      <c r="L165" s="30"/>
      <c r="M165" s="30" t="s">
        <v>804</v>
      </c>
      <c r="N165" s="30"/>
      <c r="O165" s="31">
        <f>COUNTIF(S165:AT165,"")</f>
        <v>20</v>
      </c>
      <c r="P165" s="136" t="s">
        <v>1985</v>
      </c>
      <c r="Q165" s="31">
        <f>COUNTIF(S165:AT165,"APAGADO")</f>
        <v>8</v>
      </c>
      <c r="R165" s="32">
        <f>(O165)/(Q165+O165)</f>
        <v>0.7142857142857143</v>
      </c>
      <c r="S165" s="70"/>
      <c r="T165" s="70"/>
      <c r="U165" s="70"/>
      <c r="V165" s="70"/>
      <c r="W165" s="70"/>
      <c r="X165" s="70"/>
      <c r="Y165" s="70"/>
      <c r="Z165" s="70" t="s">
        <v>2240</v>
      </c>
      <c r="AA165" s="70"/>
      <c r="AB165" s="70"/>
      <c r="AC165" s="70"/>
      <c r="AD165" s="70"/>
      <c r="AE165" s="70"/>
      <c r="AF165" s="70" t="s">
        <v>2240</v>
      </c>
      <c r="AG165" s="142" t="s">
        <v>2240</v>
      </c>
      <c r="AH165" s="70" t="s">
        <v>2240</v>
      </c>
      <c r="AI165" s="70" t="s">
        <v>2240</v>
      </c>
      <c r="AJ165" s="70"/>
      <c r="AK165" s="70"/>
      <c r="AL165" s="70" t="s">
        <v>2240</v>
      </c>
      <c r="AM165" s="70" t="s">
        <v>2240</v>
      </c>
      <c r="AN165" s="70" t="s">
        <v>2240</v>
      </c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thickBot="1" x14ac:dyDescent="0.3">
      <c r="A166">
        <v>9</v>
      </c>
      <c r="B166">
        <v>2</v>
      </c>
      <c r="C166"/>
      <c r="D166"/>
      <c r="E166" t="s">
        <v>44</v>
      </c>
      <c r="F166" t="s">
        <v>164</v>
      </c>
      <c r="G166" t="s">
        <v>1007</v>
      </c>
      <c r="H166" t="s">
        <v>1052</v>
      </c>
      <c r="I166" t="s">
        <v>451</v>
      </c>
      <c r="J166" s="30" t="s">
        <v>72</v>
      </c>
      <c r="K166" s="30" t="s">
        <v>27</v>
      </c>
      <c r="L166" s="30"/>
      <c r="M166" s="30" t="s">
        <v>803</v>
      </c>
      <c r="N166" s="30"/>
      <c r="O166" s="31">
        <f>COUNTIF(S166:AT166,"")</f>
        <v>20</v>
      </c>
      <c r="P166" s="136" t="s">
        <v>1984</v>
      </c>
      <c r="Q166" s="31">
        <f>COUNTIF(S166:AT166,"APAGADO")</f>
        <v>8</v>
      </c>
      <c r="R166" s="32">
        <f>(O166)/(Q166+O166)</f>
        <v>0.7142857142857143</v>
      </c>
      <c r="S166" s="70"/>
      <c r="T166" s="70"/>
      <c r="U166" s="70"/>
      <c r="V166" s="70"/>
      <c r="W166" s="70"/>
      <c r="X166" s="70"/>
      <c r="Y166" s="70"/>
      <c r="Z166" s="70" t="s">
        <v>2240</v>
      </c>
      <c r="AA166" s="70"/>
      <c r="AB166" s="70"/>
      <c r="AC166" s="70"/>
      <c r="AD166" s="70"/>
      <c r="AE166" s="70"/>
      <c r="AF166" s="70" t="s">
        <v>2240</v>
      </c>
      <c r="AG166" s="142" t="s">
        <v>2240</v>
      </c>
      <c r="AH166" s="70" t="s">
        <v>2240</v>
      </c>
      <c r="AI166" s="70" t="s">
        <v>2240</v>
      </c>
      <c r="AJ166" s="70"/>
      <c r="AK166" s="70"/>
      <c r="AL166" s="70" t="s">
        <v>2240</v>
      </c>
      <c r="AM166" s="70" t="s">
        <v>2240</v>
      </c>
      <c r="AN166" s="70" t="s">
        <v>2240</v>
      </c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thickBot="1" x14ac:dyDescent="0.3">
      <c r="A167"/>
      <c r="B167"/>
      <c r="C167"/>
      <c r="D167"/>
      <c r="E167"/>
      <c r="F167" t="s">
        <v>1114</v>
      </c>
      <c r="G167" s="73" t="s">
        <v>2209</v>
      </c>
      <c r="H167" s="73" t="s">
        <v>1053</v>
      </c>
      <c r="I167" s="73" t="s">
        <v>2210</v>
      </c>
      <c r="J167" s="84" t="s">
        <v>1104</v>
      </c>
      <c r="K167" s="84"/>
      <c r="L167" s="84"/>
      <c r="M167" s="84" t="s">
        <v>2308</v>
      </c>
      <c r="N167" s="84"/>
      <c r="O167" s="31">
        <f>COUNTIF(S167:AT167,"")</f>
        <v>28</v>
      </c>
      <c r="P167" s="136"/>
      <c r="Q167" s="31">
        <f>COUNTIF(S167:AT167,"APAGADO")</f>
        <v>0</v>
      </c>
      <c r="R167" s="32">
        <f>(O167)/(Q167+O167)</f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s="73" customFormat="1" ht="15.75" thickBot="1" x14ac:dyDescent="0.3">
      <c r="A168"/>
      <c r="B168"/>
      <c r="C168"/>
      <c r="D168"/>
      <c r="E168"/>
      <c r="F168" t="s">
        <v>1114</v>
      </c>
      <c r="G168" s="73" t="s">
        <v>1542</v>
      </c>
      <c r="H168" s="73" t="s">
        <v>1053</v>
      </c>
      <c r="I168" s="73" t="s">
        <v>1545</v>
      </c>
      <c r="J168" s="84" t="s">
        <v>1104</v>
      </c>
      <c r="K168" s="84" t="s">
        <v>1291</v>
      </c>
      <c r="L168" s="84"/>
      <c r="M168" s="84" t="s">
        <v>1547</v>
      </c>
      <c r="N168" s="84"/>
      <c r="O168" s="31">
        <f>COUNTIF(S168:AT168,"")</f>
        <v>28</v>
      </c>
      <c r="P168" s="136" t="s">
        <v>1981</v>
      </c>
      <c r="Q168" s="31">
        <f>COUNTIF(S168:AT168,"APAGADO")</f>
        <v>0</v>
      </c>
      <c r="R168" s="32">
        <f>(O168)/(Q168+O168)</f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8" ht="15.75" thickBot="1" x14ac:dyDescent="0.3">
      <c r="A169"/>
      <c r="B169"/>
      <c r="C169"/>
      <c r="D169"/>
      <c r="E169"/>
      <c r="F169" t="s">
        <v>1114</v>
      </c>
      <c r="G169" s="73" t="s">
        <v>1543</v>
      </c>
      <c r="H169" s="73" t="s">
        <v>1053</v>
      </c>
      <c r="I169" s="73" t="s">
        <v>1544</v>
      </c>
      <c r="J169" s="84" t="s">
        <v>1104</v>
      </c>
      <c r="K169" s="84" t="s">
        <v>1291</v>
      </c>
      <c r="L169" s="84"/>
      <c r="M169" s="84" t="s">
        <v>1546</v>
      </c>
      <c r="N169" s="84"/>
      <c r="O169" s="31">
        <f>COUNTIF(S169:AT169,"")</f>
        <v>28</v>
      </c>
      <c r="P169" s="136" t="s">
        <v>1980</v>
      </c>
      <c r="Q169" s="31">
        <f>COUNTIF(S169:AT169,"APAGADO")</f>
        <v>0</v>
      </c>
      <c r="R169" s="32">
        <f>(O169)/(Q169+O169)</f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thickBot="1" x14ac:dyDescent="0.3">
      <c r="A170"/>
      <c r="B170"/>
      <c r="C170"/>
      <c r="D170"/>
      <c r="E170"/>
      <c r="F170" s="73" t="s">
        <v>291</v>
      </c>
      <c r="G170" s="73" t="s">
        <v>1303</v>
      </c>
      <c r="H170" s="73" t="s">
        <v>1053</v>
      </c>
      <c r="I170" s="73" t="s">
        <v>1304</v>
      </c>
      <c r="J170" s="84" t="s">
        <v>14</v>
      </c>
      <c r="K170" s="84" t="s">
        <v>1291</v>
      </c>
      <c r="L170" s="84"/>
      <c r="M170" s="84" t="s">
        <v>1305</v>
      </c>
      <c r="N170" s="84"/>
      <c r="O170" s="31">
        <f>COUNTIF(S170:AT170,"")</f>
        <v>22</v>
      </c>
      <c r="P170" s="136" t="s">
        <v>1948</v>
      </c>
      <c r="Q170" s="31">
        <f>COUNTIF(S170:AT170,"APAGADO")</f>
        <v>6</v>
      </c>
      <c r="R170" s="32">
        <f>(O170)/(Q170+O170)</f>
        <v>0.7857142857142857</v>
      </c>
      <c r="S170" s="70"/>
      <c r="T170" s="70"/>
      <c r="U170" s="70"/>
      <c r="V170" s="70"/>
      <c r="W170" s="70"/>
      <c r="X170" s="70"/>
      <c r="Y170" s="70"/>
      <c r="Z170" s="70" t="s">
        <v>2240</v>
      </c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2240</v>
      </c>
      <c r="AM170" s="70" t="s">
        <v>2240</v>
      </c>
      <c r="AN170" s="70" t="s">
        <v>2240</v>
      </c>
      <c r="AO170" s="70" t="s">
        <v>2240</v>
      </c>
      <c r="AP170" s="70" t="s">
        <v>2240</v>
      </c>
      <c r="AQ170" s="70"/>
      <c r="AR170" s="70"/>
      <c r="AS170" s="70"/>
      <c r="AT170" s="70"/>
      <c r="AU170" s="70"/>
      <c r="AV170" s="70"/>
    </row>
    <row r="171" spans="1:48" ht="15.75" thickBot="1" x14ac:dyDescent="0.3">
      <c r="A171">
        <v>5</v>
      </c>
      <c r="B171">
        <v>3</v>
      </c>
      <c r="C171"/>
      <c r="D171"/>
      <c r="E171" t="s">
        <v>1246</v>
      </c>
      <c r="F171" t="s">
        <v>435</v>
      </c>
      <c r="G171" t="s">
        <v>446</v>
      </c>
      <c r="H171" t="s">
        <v>1053</v>
      </c>
      <c r="I171" t="s">
        <v>447</v>
      </c>
      <c r="J171" s="30" t="s">
        <v>14</v>
      </c>
      <c r="K171" s="30" t="s">
        <v>1046</v>
      </c>
      <c r="L171" s="30" t="s">
        <v>1246</v>
      </c>
      <c r="M171" s="30" t="s">
        <v>798</v>
      </c>
      <c r="N171" s="30"/>
      <c r="O171" s="31">
        <f>COUNTIF(S171:AT171,"")</f>
        <v>25</v>
      </c>
      <c r="P171" s="136" t="s">
        <v>1976</v>
      </c>
      <c r="Q171" s="31">
        <f>COUNTIF(S171:AT171,"APAGADO")</f>
        <v>3</v>
      </c>
      <c r="R171" s="32">
        <f>(O171)/(Q171+O171)</f>
        <v>0.8928571428571429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2240</v>
      </c>
      <c r="AF171" s="70" t="s">
        <v>2240</v>
      </c>
      <c r="AG171" s="70"/>
      <c r="AH171" s="70"/>
      <c r="AI171" s="70"/>
      <c r="AJ171" s="70"/>
      <c r="AK171" s="70"/>
      <c r="AL171" s="70"/>
      <c r="AM171" s="70"/>
      <c r="AN171" s="70"/>
      <c r="AO171" s="70" t="s">
        <v>2240</v>
      </c>
      <c r="AP171" s="70"/>
      <c r="AQ171" s="70"/>
      <c r="AR171" s="70"/>
      <c r="AS171" s="70"/>
      <c r="AT171" s="70"/>
      <c r="AU171" s="70"/>
      <c r="AV171" s="70"/>
    </row>
    <row r="172" spans="1:48" ht="15.75" thickBot="1" x14ac:dyDescent="0.3">
      <c r="A172"/>
      <c r="B172"/>
      <c r="C172"/>
      <c r="D172"/>
      <c r="E172"/>
      <c r="F172" s="73" t="s">
        <v>435</v>
      </c>
      <c r="G172" s="73" t="s">
        <v>444</v>
      </c>
      <c r="H172" s="73" t="s">
        <v>1053</v>
      </c>
      <c r="I172" s="73" t="s">
        <v>445</v>
      </c>
      <c r="J172" s="84" t="s">
        <v>18</v>
      </c>
      <c r="K172" s="84" t="s">
        <v>1291</v>
      </c>
      <c r="L172" s="84"/>
      <c r="M172" s="84" t="s">
        <v>1412</v>
      </c>
      <c r="N172" s="84"/>
      <c r="O172" s="131">
        <f>COUNTIF(S172:AT172,"")</f>
        <v>12</v>
      </c>
      <c r="P172" s="136" t="s">
        <v>1974</v>
      </c>
      <c r="Q172" s="131">
        <f>COUNTIF(S172:AT172,"APAGADO")</f>
        <v>16</v>
      </c>
      <c r="R172" s="132">
        <f>(O172)/(Q172+O172)</f>
        <v>0.42857142857142855</v>
      </c>
      <c r="S172" s="70" t="s">
        <v>2240</v>
      </c>
      <c r="T172" s="70"/>
      <c r="U172" s="70"/>
      <c r="V172" s="70"/>
      <c r="W172" s="70"/>
      <c r="X172" s="70" t="s">
        <v>2240</v>
      </c>
      <c r="Y172" s="70" t="s">
        <v>2240</v>
      </c>
      <c r="Z172" s="70" t="s">
        <v>2240</v>
      </c>
      <c r="AA172" s="70"/>
      <c r="AB172" s="70"/>
      <c r="AC172" s="70"/>
      <c r="AD172" s="70"/>
      <c r="AE172" s="70" t="s">
        <v>2240</v>
      </c>
      <c r="AF172" s="70" t="s">
        <v>2240</v>
      </c>
      <c r="AG172" s="142" t="s">
        <v>2240</v>
      </c>
      <c r="AH172" s="70" t="s">
        <v>2240</v>
      </c>
      <c r="AI172" s="70" t="s">
        <v>2240</v>
      </c>
      <c r="AJ172" s="70"/>
      <c r="AK172" s="70"/>
      <c r="AL172" s="70" t="s">
        <v>2240</v>
      </c>
      <c r="AM172" s="70" t="s">
        <v>2240</v>
      </c>
      <c r="AN172" s="70" t="s">
        <v>2240</v>
      </c>
      <c r="AO172" s="70" t="s">
        <v>2240</v>
      </c>
      <c r="AP172" s="70" t="s">
        <v>2240</v>
      </c>
      <c r="AQ172" s="70"/>
      <c r="AR172" s="70"/>
      <c r="AS172" s="70" t="s">
        <v>2240</v>
      </c>
      <c r="AT172" s="70" t="s">
        <v>2240</v>
      </c>
      <c r="AU172" s="70" t="s">
        <v>2240</v>
      </c>
      <c r="AV172" s="70" t="s">
        <v>2240</v>
      </c>
    </row>
    <row r="173" spans="1:48" ht="15.75" thickBot="1" x14ac:dyDescent="0.3">
      <c r="A173"/>
      <c r="B173"/>
      <c r="C173"/>
      <c r="D173"/>
      <c r="E173"/>
      <c r="F173" s="73" t="s">
        <v>435</v>
      </c>
      <c r="G173" s="73" t="s">
        <v>442</v>
      </c>
      <c r="H173" s="73" t="s">
        <v>1053</v>
      </c>
      <c r="I173" s="73" t="s">
        <v>443</v>
      </c>
      <c r="J173" s="84" t="s">
        <v>14</v>
      </c>
      <c r="K173" s="84" t="s">
        <v>1291</v>
      </c>
      <c r="L173" s="84"/>
      <c r="M173" s="84" t="s">
        <v>1362</v>
      </c>
      <c r="N173" s="84"/>
      <c r="O173" s="131">
        <f>COUNTIF(S173:AT173,"")</f>
        <v>28</v>
      </c>
      <c r="P173" s="136" t="s">
        <v>1973</v>
      </c>
      <c r="Q173" s="131">
        <f>COUNTIF(S173:AT173,"APAGADO")</f>
        <v>0</v>
      </c>
      <c r="R173" s="132">
        <f>(O173)/(Q173+O173)</f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8" s="69" customFormat="1" ht="15.75" thickBot="1" x14ac:dyDescent="0.3">
      <c r="A174"/>
      <c r="B174"/>
      <c r="C174"/>
      <c r="D174"/>
      <c r="E174"/>
      <c r="F174" t="s">
        <v>1114</v>
      </c>
      <c r="G174" t="s">
        <v>1134</v>
      </c>
      <c r="H174" t="s">
        <v>1053</v>
      </c>
      <c r="I174" t="s">
        <v>1116</v>
      </c>
      <c r="J174" s="30" t="s">
        <v>1104</v>
      </c>
      <c r="K174" s="30" t="s">
        <v>27</v>
      </c>
      <c r="L174" s="30"/>
      <c r="M174" s="30" t="s">
        <v>1131</v>
      </c>
      <c r="N174" s="30"/>
      <c r="O174" s="31">
        <f>COUNTIF(S174:AT174,"")</f>
        <v>28</v>
      </c>
      <c r="P174" s="136" t="s">
        <v>1979</v>
      </c>
      <c r="Q174" s="31">
        <f>COUNTIF(S174:AT174,"APAGADO")</f>
        <v>0</v>
      </c>
      <c r="R174" s="32">
        <f>(O174)/(Q174+O174)</f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</row>
    <row r="175" spans="1:48" ht="15.75" thickBot="1" x14ac:dyDescent="0.3">
      <c r="A175"/>
      <c r="B175"/>
      <c r="C175"/>
      <c r="D175"/>
      <c r="E175"/>
      <c r="F175" t="s">
        <v>1114</v>
      </c>
      <c r="G175" t="s">
        <v>1115</v>
      </c>
      <c r="H175" t="s">
        <v>1053</v>
      </c>
      <c r="I175" t="s">
        <v>1116</v>
      </c>
      <c r="J175" s="30" t="s">
        <v>1104</v>
      </c>
      <c r="K175" s="30" t="s">
        <v>27</v>
      </c>
      <c r="L175" s="30"/>
      <c r="M175" s="30" t="s">
        <v>1130</v>
      </c>
      <c r="N175" s="30"/>
      <c r="O175" s="31">
        <f>COUNTIF(S175:AT175,"")</f>
        <v>28</v>
      </c>
      <c r="P175" s="136" t="s">
        <v>1978</v>
      </c>
      <c r="Q175" s="31">
        <f>COUNTIF(S175:AT175,"APAGADO")</f>
        <v>0</v>
      </c>
      <c r="R175" s="32">
        <f>(O175)/(Q175+O175)</f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thickBot="1" x14ac:dyDescent="0.3">
      <c r="A176"/>
      <c r="B176"/>
      <c r="C176"/>
      <c r="D176"/>
      <c r="E176"/>
      <c r="F176" s="73" t="s">
        <v>435</v>
      </c>
      <c r="G176" s="73" t="s">
        <v>440</v>
      </c>
      <c r="H176" s="73" t="s">
        <v>1053</v>
      </c>
      <c r="I176" s="73" t="s">
        <v>441</v>
      </c>
      <c r="J176" s="84" t="s">
        <v>14</v>
      </c>
      <c r="K176" s="84" t="s">
        <v>1291</v>
      </c>
      <c r="L176" s="84"/>
      <c r="M176" s="84" t="s">
        <v>800</v>
      </c>
      <c r="N176" s="84"/>
      <c r="O176" s="131">
        <f>COUNTIF(S176:AT176,"")</f>
        <v>19</v>
      </c>
      <c r="P176" s="136" t="s">
        <v>1977</v>
      </c>
      <c r="Q176" s="131">
        <f>COUNTIF(S176:AT176,"APAGADO")</f>
        <v>9</v>
      </c>
      <c r="R176" s="132">
        <f>(O176)/(Q176+O176)</f>
        <v>0.6785714285714286</v>
      </c>
      <c r="S176" s="70"/>
      <c r="T176" s="70"/>
      <c r="U176" s="70"/>
      <c r="V176" s="70"/>
      <c r="W176" s="70"/>
      <c r="X176" s="70" t="s">
        <v>2240</v>
      </c>
      <c r="Y176" s="70" t="s">
        <v>2240</v>
      </c>
      <c r="Z176" s="70" t="s">
        <v>2240</v>
      </c>
      <c r="AA176" s="70"/>
      <c r="AB176" s="70"/>
      <c r="AC176" s="70"/>
      <c r="AD176" s="70"/>
      <c r="AE176" s="70" t="s">
        <v>2240</v>
      </c>
      <c r="AF176" s="70" t="s">
        <v>2240</v>
      </c>
      <c r="AG176" s="70"/>
      <c r="AH176" s="70"/>
      <c r="AI176" s="70"/>
      <c r="AJ176" s="70"/>
      <c r="AK176" s="70"/>
      <c r="AL176" s="70"/>
      <c r="AM176" s="70"/>
      <c r="AN176" s="70" t="s">
        <v>2240</v>
      </c>
      <c r="AO176" s="70" t="s">
        <v>2240</v>
      </c>
      <c r="AP176" s="70"/>
      <c r="AQ176" s="70"/>
      <c r="AR176" s="70"/>
      <c r="AS176" s="70" t="s">
        <v>2240</v>
      </c>
      <c r="AT176" s="70" t="s">
        <v>2240</v>
      </c>
      <c r="AU176" s="70"/>
      <c r="AV176" s="70" t="s">
        <v>2240</v>
      </c>
    </row>
    <row r="177" spans="1:48" ht="15.75" thickBot="1" x14ac:dyDescent="0.3">
      <c r="A177"/>
      <c r="B177"/>
      <c r="C177"/>
      <c r="D177"/>
      <c r="E177" t="s">
        <v>2366</v>
      </c>
      <c r="F177" t="s">
        <v>435</v>
      </c>
      <c r="G177" t="s">
        <v>438</v>
      </c>
      <c r="H177" t="s">
        <v>1053</v>
      </c>
      <c r="I177" t="s">
        <v>439</v>
      </c>
      <c r="J177" s="30" t="s">
        <v>14</v>
      </c>
      <c r="K177" s="30" t="s">
        <v>27</v>
      </c>
      <c r="L177" s="30"/>
      <c r="M177" s="30" t="s">
        <v>799</v>
      </c>
      <c r="N177" s="30"/>
      <c r="O177" s="31">
        <f>COUNTIF(S177:AT177,"")</f>
        <v>28</v>
      </c>
      <c r="P177" s="136"/>
      <c r="Q177" s="31">
        <f>COUNTIF(S177:AT177,"APAGADO")</f>
        <v>0</v>
      </c>
      <c r="R177" s="32">
        <f>(O177)/(Q177+O177)</f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thickBot="1" x14ac:dyDescent="0.3">
      <c r="A178"/>
      <c r="B178"/>
      <c r="C178"/>
      <c r="D178"/>
      <c r="E178"/>
      <c r="F178" s="73" t="s">
        <v>435</v>
      </c>
      <c r="G178" s="73" t="s">
        <v>436</v>
      </c>
      <c r="H178" s="73" t="s">
        <v>1053</v>
      </c>
      <c r="I178" s="73" t="s">
        <v>437</v>
      </c>
      <c r="J178" s="84" t="s">
        <v>45</v>
      </c>
      <c r="K178" s="84" t="s">
        <v>1291</v>
      </c>
      <c r="L178" s="84"/>
      <c r="M178" s="84" t="s">
        <v>1363</v>
      </c>
      <c r="N178" s="84"/>
      <c r="O178" s="131">
        <f>COUNTIF(S178:AT178,"")</f>
        <v>28</v>
      </c>
      <c r="P178" s="136" t="s">
        <v>1975</v>
      </c>
      <c r="Q178" s="131">
        <f>COUNTIF(S178:AT178,"APAGADO")</f>
        <v>0</v>
      </c>
      <c r="R178" s="132">
        <f>(O178)/(Q178+O178)</f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ht="15.75" thickBot="1" x14ac:dyDescent="0.3">
      <c r="A179" s="88"/>
      <c r="B179" s="88"/>
      <c r="C179" s="88"/>
      <c r="D179" s="88"/>
      <c r="E179" s="88"/>
      <c r="F179" s="88" t="s">
        <v>435</v>
      </c>
      <c r="G179" s="88" t="s">
        <v>433</v>
      </c>
      <c r="H179" s="88" t="s">
        <v>1053</v>
      </c>
      <c r="I179" s="88" t="s">
        <v>434</v>
      </c>
      <c r="J179" s="89" t="s">
        <v>18</v>
      </c>
      <c r="K179" s="89" t="s">
        <v>19</v>
      </c>
      <c r="L179" s="89"/>
      <c r="M179" s="89" t="s">
        <v>797</v>
      </c>
      <c r="N179" s="89"/>
      <c r="O179" s="31">
        <f>COUNTIF(S179:AT179,"")</f>
        <v>12</v>
      </c>
      <c r="P179" s="136"/>
      <c r="Q179" s="31">
        <f>COUNTIF(S179:AT179,"APAGADO")</f>
        <v>16</v>
      </c>
      <c r="R179" s="32">
        <f>(O179)/(Q179+O179)</f>
        <v>0.42857142857142855</v>
      </c>
      <c r="S179" s="70" t="s">
        <v>2240</v>
      </c>
      <c r="T179" s="70"/>
      <c r="U179" s="70"/>
      <c r="V179" s="70"/>
      <c r="W179" s="70"/>
      <c r="X179" s="70" t="s">
        <v>2240</v>
      </c>
      <c r="Y179" s="70" t="s">
        <v>2240</v>
      </c>
      <c r="Z179" s="70" t="s">
        <v>2240</v>
      </c>
      <c r="AA179" s="70"/>
      <c r="AB179" s="70"/>
      <c r="AC179" s="70"/>
      <c r="AD179" s="70"/>
      <c r="AE179" s="70" t="s">
        <v>2240</v>
      </c>
      <c r="AF179" s="70" t="s">
        <v>2240</v>
      </c>
      <c r="AG179" s="142" t="s">
        <v>2240</v>
      </c>
      <c r="AH179" s="70" t="s">
        <v>2240</v>
      </c>
      <c r="AI179" s="70" t="s">
        <v>2240</v>
      </c>
      <c r="AJ179" s="70"/>
      <c r="AK179" s="90"/>
      <c r="AL179" s="70" t="s">
        <v>2240</v>
      </c>
      <c r="AM179" s="70" t="s">
        <v>2240</v>
      </c>
      <c r="AN179" s="70" t="s">
        <v>2240</v>
      </c>
      <c r="AO179" s="70" t="s">
        <v>2240</v>
      </c>
      <c r="AP179" s="70" t="s">
        <v>2240</v>
      </c>
      <c r="AQ179" s="90"/>
      <c r="AR179" s="90"/>
      <c r="AS179" s="70" t="s">
        <v>2240</v>
      </c>
      <c r="AT179" s="70" t="s">
        <v>2240</v>
      </c>
      <c r="AU179" s="70" t="s">
        <v>2240</v>
      </c>
      <c r="AV179" s="70" t="s">
        <v>2240</v>
      </c>
    </row>
    <row r="180" spans="1:48" s="73" customFormat="1" ht="15.75" thickBot="1" x14ac:dyDescent="0.3">
      <c r="A180"/>
      <c r="B180"/>
      <c r="C180"/>
      <c r="D180"/>
      <c r="E180"/>
      <c r="F180" s="73" t="s">
        <v>2227</v>
      </c>
      <c r="G180" s="73" t="s">
        <v>2223</v>
      </c>
      <c r="H180" s="73" t="s">
        <v>1053</v>
      </c>
      <c r="I180" s="73" t="s">
        <v>2224</v>
      </c>
      <c r="J180" s="89" t="s">
        <v>18</v>
      </c>
      <c r="K180" s="84" t="s">
        <v>1291</v>
      </c>
      <c r="L180" s="84"/>
      <c r="M180" s="84" t="s">
        <v>2225</v>
      </c>
      <c r="N180" s="84"/>
      <c r="O180" s="131">
        <f>COUNTIF(S180:AT180,"")</f>
        <v>28</v>
      </c>
      <c r="P180" s="136" t="s">
        <v>2226</v>
      </c>
      <c r="Q180" s="131">
        <f>COUNTIF(S180:AT180,"APAGADO")</f>
        <v>0</v>
      </c>
      <c r="R180" s="132">
        <f>(O180)/(Q180+O180)</f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thickBot="1" x14ac:dyDescent="0.3">
      <c r="A181"/>
      <c r="B181"/>
      <c r="C181"/>
      <c r="D181"/>
      <c r="E181"/>
      <c r="F181" s="73" t="s">
        <v>2227</v>
      </c>
      <c r="G181" s="73" t="s">
        <v>1391</v>
      </c>
      <c r="H181" s="73" t="s">
        <v>1053</v>
      </c>
      <c r="I181" s="73" t="s">
        <v>1392</v>
      </c>
      <c r="J181" s="89" t="s">
        <v>18</v>
      </c>
      <c r="K181" s="84" t="s">
        <v>1291</v>
      </c>
      <c r="L181" s="84"/>
      <c r="M181" s="84" t="s">
        <v>1393</v>
      </c>
      <c r="N181" s="84"/>
      <c r="O181" s="131">
        <f>COUNTIF(S181:AT181,"")</f>
        <v>28</v>
      </c>
      <c r="P181" s="136" t="s">
        <v>1972</v>
      </c>
      <c r="Q181" s="131">
        <f>COUNTIF(S181:AT181,"APAGADO")</f>
        <v>0</v>
      </c>
      <c r="R181" s="132">
        <f>(O181)/(Q181+O181)</f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thickBot="1" x14ac:dyDescent="0.3">
      <c r="A182"/>
      <c r="B182"/>
      <c r="C182"/>
      <c r="D182"/>
      <c r="E182"/>
      <c r="F182" s="73" t="s">
        <v>2227</v>
      </c>
      <c r="G182" s="73" t="s">
        <v>1342</v>
      </c>
      <c r="H182" s="73" t="s">
        <v>1053</v>
      </c>
      <c r="I182" s="73" t="s">
        <v>1343</v>
      </c>
      <c r="J182" s="89" t="s">
        <v>18</v>
      </c>
      <c r="K182" s="84" t="s">
        <v>1291</v>
      </c>
      <c r="L182" s="84"/>
      <c r="M182" s="84" t="s">
        <v>1403</v>
      </c>
      <c r="N182" s="84"/>
      <c r="O182" s="131">
        <f>COUNTIF(S182:AT182,"")</f>
        <v>28</v>
      </c>
      <c r="P182" s="136" t="s">
        <v>1971</v>
      </c>
      <c r="Q182" s="131">
        <f>COUNTIF(S182:AT182,"APAGADO")</f>
        <v>0</v>
      </c>
      <c r="R182" s="132">
        <f>(O182)/(Q182+O182)</f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thickBot="1" x14ac:dyDescent="0.3">
      <c r="A183" s="88"/>
      <c r="B183" s="88"/>
      <c r="C183" s="88"/>
      <c r="D183" s="88"/>
      <c r="E183" s="88"/>
      <c r="F183" s="73" t="s">
        <v>2227</v>
      </c>
      <c r="G183" s="73" t="s">
        <v>431</v>
      </c>
      <c r="H183" s="88" t="s">
        <v>1053</v>
      </c>
      <c r="I183" s="73" t="s">
        <v>432</v>
      </c>
      <c r="J183" s="89" t="s">
        <v>18</v>
      </c>
      <c r="K183" s="84" t="s">
        <v>1291</v>
      </c>
      <c r="L183" s="84"/>
      <c r="M183" s="84" t="s">
        <v>2168</v>
      </c>
      <c r="N183" s="84"/>
      <c r="O183" s="31">
        <f>COUNTIF(S183:AT183,"")</f>
        <v>28</v>
      </c>
      <c r="P183" s="136" t="s">
        <v>2169</v>
      </c>
      <c r="Q183" s="31">
        <f>COUNTIF(S183:AT183,"APAGADO")</f>
        <v>0</v>
      </c>
      <c r="R183" s="32">
        <f>(O183)/(Q183+O183)</f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90"/>
      <c r="AL183" s="90"/>
      <c r="AM183" s="70"/>
      <c r="AN183" s="90"/>
      <c r="AO183" s="90"/>
      <c r="AP183" s="90"/>
      <c r="AQ183" s="90"/>
      <c r="AR183" s="90"/>
      <c r="AS183" s="90"/>
      <c r="AT183" s="90"/>
      <c r="AU183" s="90"/>
      <c r="AV183" s="90"/>
    </row>
    <row r="184" spans="1:48" ht="15.75" thickBot="1" x14ac:dyDescent="0.3">
      <c r="A184"/>
      <c r="B184"/>
      <c r="C184"/>
      <c r="D184"/>
      <c r="E184"/>
      <c r="F184" s="73" t="s">
        <v>193</v>
      </c>
      <c r="G184" s="73" t="s">
        <v>2119</v>
      </c>
      <c r="H184" s="73" t="s">
        <v>1053</v>
      </c>
      <c r="I184" s="73" t="s">
        <v>2120</v>
      </c>
      <c r="J184" s="89" t="s">
        <v>18</v>
      </c>
      <c r="K184" s="84" t="s">
        <v>1291</v>
      </c>
      <c r="L184" s="84"/>
      <c r="M184" s="84" t="s">
        <v>2307</v>
      </c>
      <c r="N184" s="84"/>
      <c r="O184" s="131">
        <f>COUNTIF(S184:AT184,"")</f>
        <v>28</v>
      </c>
      <c r="P184" s="136" t="s">
        <v>2121</v>
      </c>
      <c r="Q184" s="131">
        <f>COUNTIF(S184:AT184,"APAGADO")</f>
        <v>0</v>
      </c>
      <c r="R184" s="132">
        <f>(O184)/(Q184+O184)</f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thickBot="1" x14ac:dyDescent="0.3">
      <c r="A185"/>
      <c r="B185"/>
      <c r="C185"/>
      <c r="D185"/>
      <c r="E185"/>
      <c r="F185" s="73" t="s">
        <v>193</v>
      </c>
      <c r="G185" s="73" t="s">
        <v>1608</v>
      </c>
      <c r="H185" s="73" t="s">
        <v>1053</v>
      </c>
      <c r="I185" s="73" t="s">
        <v>1609</v>
      </c>
      <c r="J185" s="84" t="s">
        <v>72</v>
      </c>
      <c r="K185" s="84" t="s">
        <v>1291</v>
      </c>
      <c r="L185" s="84"/>
      <c r="M185" s="84" t="s">
        <v>1610</v>
      </c>
      <c r="N185" s="84"/>
      <c r="O185" s="131">
        <f>COUNTIF(S185:AT185,"")</f>
        <v>28</v>
      </c>
      <c r="P185" s="136" t="s">
        <v>2122</v>
      </c>
      <c r="Q185" s="131">
        <f>COUNTIF(S185:AT185,"APAGADO")</f>
        <v>0</v>
      </c>
      <c r="R185" s="132">
        <f>(O185)/(Q185+O185)</f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thickBot="1" x14ac:dyDescent="0.3">
      <c r="A186"/>
      <c r="B186"/>
      <c r="C186"/>
      <c r="D186"/>
      <c r="E186"/>
      <c r="F186" s="73" t="s">
        <v>193</v>
      </c>
      <c r="G186" s="73" t="s">
        <v>1530</v>
      </c>
      <c r="H186" s="73" t="s">
        <v>1053</v>
      </c>
      <c r="I186" s="73" t="s">
        <v>1529</v>
      </c>
      <c r="J186" s="84" t="s">
        <v>72</v>
      </c>
      <c r="K186" s="84" t="s">
        <v>1291</v>
      </c>
      <c r="L186" s="84"/>
      <c r="M186" s="84" t="s">
        <v>2320</v>
      </c>
      <c r="N186" s="84"/>
      <c r="O186" s="131">
        <f>COUNTIF(S186:AT186,"")</f>
        <v>28</v>
      </c>
      <c r="P186" s="136" t="s">
        <v>2322</v>
      </c>
      <c r="Q186" s="131">
        <f>COUNTIF(S186:AT186,"APAGADO")</f>
        <v>0</v>
      </c>
      <c r="R186" s="132">
        <f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thickBot="1" x14ac:dyDescent="0.3">
      <c r="A187"/>
      <c r="B187"/>
      <c r="C187"/>
      <c r="D187"/>
      <c r="E187"/>
      <c r="F187" s="73" t="s">
        <v>193</v>
      </c>
      <c r="G187" s="73" t="s">
        <v>1528</v>
      </c>
      <c r="H187" s="73" t="s">
        <v>1053</v>
      </c>
      <c r="I187" s="73" t="s">
        <v>1529</v>
      </c>
      <c r="J187" s="84" t="s">
        <v>72</v>
      </c>
      <c r="K187" s="84" t="s">
        <v>1291</v>
      </c>
      <c r="L187" s="84"/>
      <c r="M187" s="84" t="s">
        <v>2319</v>
      </c>
      <c r="N187" s="84"/>
      <c r="O187" s="131">
        <f>COUNTIF(S187:AT187,"")</f>
        <v>27</v>
      </c>
      <c r="P187" s="136" t="s">
        <v>2321</v>
      </c>
      <c r="Q187" s="131">
        <f>COUNTIF(S187:AT187,"APAGADO")</f>
        <v>1</v>
      </c>
      <c r="R187" s="132">
        <f>(O187)/(Q187+O187)</f>
        <v>0.9642857142857143</v>
      </c>
      <c r="S187" s="70" t="s">
        <v>2240</v>
      </c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thickBot="1" x14ac:dyDescent="0.3">
      <c r="A188"/>
      <c r="B188"/>
      <c r="C188"/>
      <c r="D188"/>
      <c r="E188"/>
      <c r="F188" s="73" t="s">
        <v>193</v>
      </c>
      <c r="G188" s="73" t="s">
        <v>429</v>
      </c>
      <c r="H188" s="73" t="s">
        <v>1053</v>
      </c>
      <c r="I188" s="73" t="s">
        <v>428</v>
      </c>
      <c r="J188" s="84" t="s">
        <v>72</v>
      </c>
      <c r="K188" s="84" t="s">
        <v>1291</v>
      </c>
      <c r="L188" s="84"/>
      <c r="M188" s="84" t="s">
        <v>796</v>
      </c>
      <c r="N188" s="84"/>
      <c r="O188" s="131">
        <f>COUNTIF(S188:AT188,"")</f>
        <v>13</v>
      </c>
      <c r="P188" s="136" t="s">
        <v>1970</v>
      </c>
      <c r="Q188" s="131">
        <f>COUNTIF(S188:AT188,"APAGADO")</f>
        <v>15</v>
      </c>
      <c r="R188" s="132">
        <f>(O188)/(Q188+O188)</f>
        <v>0.4642857142857143</v>
      </c>
      <c r="S188" s="70" t="s">
        <v>2240</v>
      </c>
      <c r="T188" s="70"/>
      <c r="U188" s="70"/>
      <c r="V188" s="70"/>
      <c r="W188" s="70"/>
      <c r="X188" s="70" t="s">
        <v>2240</v>
      </c>
      <c r="Y188" s="70"/>
      <c r="Z188" s="70" t="s">
        <v>2240</v>
      </c>
      <c r="AA188" s="70"/>
      <c r="AB188" s="70"/>
      <c r="AC188" s="70"/>
      <c r="AD188" s="70"/>
      <c r="AE188" s="70" t="s">
        <v>2240</v>
      </c>
      <c r="AF188" s="70" t="s">
        <v>2240</v>
      </c>
      <c r="AG188" s="142" t="s">
        <v>2240</v>
      </c>
      <c r="AH188" s="70" t="s">
        <v>2240</v>
      </c>
      <c r="AI188" s="70" t="s">
        <v>2240</v>
      </c>
      <c r="AJ188" s="70"/>
      <c r="AK188" s="70"/>
      <c r="AL188" s="70" t="s">
        <v>2240</v>
      </c>
      <c r="AM188" s="70" t="s">
        <v>2240</v>
      </c>
      <c r="AN188" s="70" t="s">
        <v>2240</v>
      </c>
      <c r="AO188" s="70" t="s">
        <v>2240</v>
      </c>
      <c r="AP188" s="70" t="s">
        <v>2240</v>
      </c>
      <c r="AQ188" s="70"/>
      <c r="AR188" s="70"/>
      <c r="AS188" s="70" t="s">
        <v>2240</v>
      </c>
      <c r="AT188" s="70" t="s">
        <v>2240</v>
      </c>
      <c r="AU188" s="70" t="s">
        <v>2240</v>
      </c>
      <c r="AV188" s="70" t="s">
        <v>2240</v>
      </c>
    </row>
    <row r="189" spans="1:48" ht="15.75" thickBot="1" x14ac:dyDescent="0.3">
      <c r="A189"/>
      <c r="B189"/>
      <c r="C189"/>
      <c r="D189"/>
      <c r="E189"/>
      <c r="F189" s="73" t="s">
        <v>193</v>
      </c>
      <c r="G189" s="73" t="s">
        <v>427</v>
      </c>
      <c r="H189" s="73" t="s">
        <v>1053</v>
      </c>
      <c r="I189" s="73" t="s">
        <v>428</v>
      </c>
      <c r="J189" s="84" t="s">
        <v>72</v>
      </c>
      <c r="K189" s="84" t="s">
        <v>1291</v>
      </c>
      <c r="L189" s="84"/>
      <c r="M189" s="84" t="s">
        <v>795</v>
      </c>
      <c r="N189" s="84"/>
      <c r="O189" s="131">
        <f>COUNTIF(S189:AT189,"")</f>
        <v>12</v>
      </c>
      <c r="P189" s="136" t="s">
        <v>1969</v>
      </c>
      <c r="Q189" s="131">
        <f>COUNTIF(S189:AT189,"APAGADO")</f>
        <v>16</v>
      </c>
      <c r="R189" s="132">
        <f>(O189)/(Q189+O189)</f>
        <v>0.42857142857142855</v>
      </c>
      <c r="S189" s="70" t="s">
        <v>2240</v>
      </c>
      <c r="T189" s="70"/>
      <c r="U189" s="70"/>
      <c r="V189" s="70"/>
      <c r="W189" s="70"/>
      <c r="X189" s="70" t="s">
        <v>2240</v>
      </c>
      <c r="Y189" s="70" t="s">
        <v>2240</v>
      </c>
      <c r="Z189" s="70" t="s">
        <v>2240</v>
      </c>
      <c r="AA189" s="70"/>
      <c r="AB189" s="70"/>
      <c r="AC189" s="70"/>
      <c r="AD189" s="70"/>
      <c r="AE189" s="70" t="s">
        <v>2240</v>
      </c>
      <c r="AF189" s="70" t="s">
        <v>2240</v>
      </c>
      <c r="AG189" s="142" t="s">
        <v>2240</v>
      </c>
      <c r="AH189" s="70" t="s">
        <v>2240</v>
      </c>
      <c r="AI189" s="70" t="s">
        <v>2240</v>
      </c>
      <c r="AJ189" s="70"/>
      <c r="AK189" s="70"/>
      <c r="AL189" s="70" t="s">
        <v>2240</v>
      </c>
      <c r="AM189" s="70" t="s">
        <v>2240</v>
      </c>
      <c r="AN189" s="70" t="s">
        <v>2240</v>
      </c>
      <c r="AO189" s="70" t="s">
        <v>2240</v>
      </c>
      <c r="AP189" s="70" t="s">
        <v>2240</v>
      </c>
      <c r="AQ189" s="70"/>
      <c r="AR189" s="70"/>
      <c r="AS189" s="70" t="s">
        <v>2240</v>
      </c>
      <c r="AT189" s="70" t="s">
        <v>2240</v>
      </c>
      <c r="AU189" s="70" t="s">
        <v>2240</v>
      </c>
      <c r="AV189" s="70" t="s">
        <v>2240</v>
      </c>
    </row>
    <row r="190" spans="1:48" ht="15.75" thickBot="1" x14ac:dyDescent="0.3">
      <c r="A190"/>
      <c r="B190"/>
      <c r="C190"/>
      <c r="D190"/>
      <c r="E190"/>
      <c r="F190" t="s">
        <v>193</v>
      </c>
      <c r="G190" t="s">
        <v>426</v>
      </c>
      <c r="H190" t="s">
        <v>1053</v>
      </c>
      <c r="I190" t="s">
        <v>425</v>
      </c>
      <c r="J190" s="30" t="s">
        <v>72</v>
      </c>
      <c r="K190" s="30" t="s">
        <v>27</v>
      </c>
      <c r="L190" s="30"/>
      <c r="M190" s="30" t="s">
        <v>794</v>
      </c>
      <c r="N190" s="30"/>
      <c r="O190" s="31">
        <f>COUNTIF(S190:AT190,"")</f>
        <v>13</v>
      </c>
      <c r="P190" s="136" t="s">
        <v>1968</v>
      </c>
      <c r="Q190" s="31">
        <f>COUNTIF(S190:AT190,"APAGADO")</f>
        <v>15</v>
      </c>
      <c r="R190" s="32">
        <f>(O190)/(Q190+O190)</f>
        <v>0.4642857142857143</v>
      </c>
      <c r="S190" s="70" t="s">
        <v>2240</v>
      </c>
      <c r="T190" s="70"/>
      <c r="U190" s="70"/>
      <c r="V190" s="70"/>
      <c r="W190" s="70"/>
      <c r="X190" s="70" t="s">
        <v>2240</v>
      </c>
      <c r="Y190" s="70" t="s">
        <v>2240</v>
      </c>
      <c r="Z190" s="70" t="s">
        <v>2240</v>
      </c>
      <c r="AA190" s="70"/>
      <c r="AB190" s="70"/>
      <c r="AC190" s="70"/>
      <c r="AD190" s="70"/>
      <c r="AE190" s="70" t="s">
        <v>2240</v>
      </c>
      <c r="AF190" s="70" t="s">
        <v>2240</v>
      </c>
      <c r="AG190" s="142" t="s">
        <v>2240</v>
      </c>
      <c r="AH190" s="70" t="s">
        <v>2240</v>
      </c>
      <c r="AI190" s="70" t="s">
        <v>2240</v>
      </c>
      <c r="AJ190" s="70"/>
      <c r="AK190" s="70"/>
      <c r="AL190" s="70" t="s">
        <v>2240</v>
      </c>
      <c r="AM190" s="70" t="s">
        <v>2240</v>
      </c>
      <c r="AN190" s="70"/>
      <c r="AO190" s="70" t="s">
        <v>2240</v>
      </c>
      <c r="AP190" s="70" t="s">
        <v>2240</v>
      </c>
      <c r="AQ190" s="70"/>
      <c r="AR190" s="70"/>
      <c r="AS190" s="70" t="s">
        <v>2240</v>
      </c>
      <c r="AT190" s="70" t="s">
        <v>2240</v>
      </c>
      <c r="AU190" s="70" t="s">
        <v>2240</v>
      </c>
      <c r="AV190" s="70" t="s">
        <v>2240</v>
      </c>
    </row>
    <row r="191" spans="1:48" ht="15.75" thickBot="1" x14ac:dyDescent="0.3">
      <c r="A191"/>
      <c r="B191"/>
      <c r="C191"/>
      <c r="D191"/>
      <c r="E191"/>
      <c r="F191" t="s">
        <v>193</v>
      </c>
      <c r="G191" t="s">
        <v>424</v>
      </c>
      <c r="H191" t="s">
        <v>1053</v>
      </c>
      <c r="I191" t="s">
        <v>425</v>
      </c>
      <c r="J191" s="30" t="s">
        <v>72</v>
      </c>
      <c r="K191" s="30" t="s">
        <v>27</v>
      </c>
      <c r="L191" s="30"/>
      <c r="M191" s="30" t="s">
        <v>793</v>
      </c>
      <c r="N191" s="30"/>
      <c r="O191" s="31">
        <f>COUNTIF(S191:AT191,"")</f>
        <v>12</v>
      </c>
      <c r="P191" s="136" t="s">
        <v>1967</v>
      </c>
      <c r="Q191" s="31">
        <f>COUNTIF(S191:AT191,"APAGADO")</f>
        <v>16</v>
      </c>
      <c r="R191" s="32">
        <f>(O191)/(Q191+O191)</f>
        <v>0.42857142857142855</v>
      </c>
      <c r="S191" s="70" t="s">
        <v>2240</v>
      </c>
      <c r="T191" s="70"/>
      <c r="U191" s="70"/>
      <c r="V191" s="70"/>
      <c r="W191" s="70"/>
      <c r="X191" s="70" t="s">
        <v>2240</v>
      </c>
      <c r="Y191" s="70" t="s">
        <v>2240</v>
      </c>
      <c r="Z191" s="70" t="s">
        <v>2240</v>
      </c>
      <c r="AA191" s="70"/>
      <c r="AB191" s="70"/>
      <c r="AC191" s="70"/>
      <c r="AD191" s="70"/>
      <c r="AE191" s="70" t="s">
        <v>2240</v>
      </c>
      <c r="AF191" s="70" t="s">
        <v>2240</v>
      </c>
      <c r="AG191" s="142" t="s">
        <v>2240</v>
      </c>
      <c r="AH191" s="70" t="s">
        <v>2240</v>
      </c>
      <c r="AI191" s="70" t="s">
        <v>2240</v>
      </c>
      <c r="AJ191" s="70"/>
      <c r="AK191" s="70"/>
      <c r="AL191" s="70" t="s">
        <v>2240</v>
      </c>
      <c r="AM191" s="70" t="s">
        <v>2240</v>
      </c>
      <c r="AN191" s="70" t="s">
        <v>2240</v>
      </c>
      <c r="AO191" s="70" t="s">
        <v>2240</v>
      </c>
      <c r="AP191" s="70" t="s">
        <v>2240</v>
      </c>
      <c r="AQ191" s="70"/>
      <c r="AR191" s="70"/>
      <c r="AS191" s="70" t="s">
        <v>2240</v>
      </c>
      <c r="AT191" s="70" t="s">
        <v>2240</v>
      </c>
      <c r="AU191" s="70" t="s">
        <v>2240</v>
      </c>
      <c r="AV191" s="70" t="s">
        <v>2240</v>
      </c>
    </row>
    <row r="192" spans="1:48" s="73" customFormat="1" ht="15.75" thickBot="1" x14ac:dyDescent="0.3">
      <c r="A192"/>
      <c r="B192"/>
      <c r="C192"/>
      <c r="D192"/>
      <c r="E192"/>
      <c r="F192" t="s">
        <v>193</v>
      </c>
      <c r="G192" t="s">
        <v>422</v>
      </c>
      <c r="H192" t="s">
        <v>1053</v>
      </c>
      <c r="I192" t="s">
        <v>423</v>
      </c>
      <c r="J192" s="30" t="s">
        <v>18</v>
      </c>
      <c r="K192" s="30" t="s">
        <v>19</v>
      </c>
      <c r="L192" s="30"/>
      <c r="M192" s="30" t="s">
        <v>790</v>
      </c>
      <c r="N192" s="30"/>
      <c r="O192" s="31">
        <f>COUNTIF(S192:AT192,"")</f>
        <v>27</v>
      </c>
      <c r="P192" s="136"/>
      <c r="Q192" s="31">
        <f>COUNTIF(S192:AT192,"APAGADO")</f>
        <v>1</v>
      </c>
      <c r="R192" s="32">
        <f>(O192)/(Q192+O192)</f>
        <v>0.9642857142857143</v>
      </c>
      <c r="S192" s="70" t="s">
        <v>2240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thickBot="1" x14ac:dyDescent="0.3">
      <c r="A193"/>
      <c r="B193"/>
      <c r="C193"/>
      <c r="D193"/>
      <c r="E193"/>
      <c r="F193" s="73" t="s">
        <v>193</v>
      </c>
      <c r="G193" s="73" t="s">
        <v>420</v>
      </c>
      <c r="H193" s="73" t="s">
        <v>1053</v>
      </c>
      <c r="I193" s="73" t="s">
        <v>421</v>
      </c>
      <c r="J193" s="84" t="s">
        <v>18</v>
      </c>
      <c r="K193" s="30" t="s">
        <v>1046</v>
      </c>
      <c r="L193" s="84"/>
      <c r="M193" s="84" t="s">
        <v>1420</v>
      </c>
      <c r="N193" s="84"/>
      <c r="O193" s="85">
        <f>COUNTIF(S193:AT193,"")</f>
        <v>28</v>
      </c>
      <c r="P193" s="136" t="s">
        <v>1966</v>
      </c>
      <c r="Q193" s="85">
        <f>COUNTIF(S193:AT193,"APAGADO")</f>
        <v>0</v>
      </c>
      <c r="R193" s="86">
        <f>(O193)/(Q193+O193)</f>
        <v>1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</row>
    <row r="194" spans="1:48" s="73" customFormat="1" ht="15.75" thickBot="1" x14ac:dyDescent="0.3">
      <c r="A194"/>
      <c r="B194"/>
      <c r="C194"/>
      <c r="D194"/>
      <c r="E194"/>
      <c r="F194" t="s">
        <v>193</v>
      </c>
      <c r="G194" t="s">
        <v>1006</v>
      </c>
      <c r="H194" t="s">
        <v>1053</v>
      </c>
      <c r="I194" t="s">
        <v>1005</v>
      </c>
      <c r="J194" s="30" t="s">
        <v>72</v>
      </c>
      <c r="K194" s="30" t="s">
        <v>19</v>
      </c>
      <c r="L194" s="30"/>
      <c r="M194" s="30" t="s">
        <v>1387</v>
      </c>
      <c r="N194" s="30"/>
      <c r="O194" s="31">
        <f>COUNTIF(S194:AT194,"")</f>
        <v>27</v>
      </c>
      <c r="P194" s="136"/>
      <c r="Q194" s="31">
        <f>COUNTIF(S194:AT194,"APAGADO")</f>
        <v>1</v>
      </c>
      <c r="R194" s="32">
        <f>(O194)/(Q194+O194)</f>
        <v>0.9642857142857143</v>
      </c>
      <c r="S194" s="70" t="s">
        <v>2240</v>
      </c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thickBot="1" x14ac:dyDescent="0.3">
      <c r="A195"/>
      <c r="B195"/>
      <c r="C195"/>
      <c r="D195"/>
      <c r="E195"/>
      <c r="F195" t="s">
        <v>193</v>
      </c>
      <c r="G195" t="s">
        <v>1004</v>
      </c>
      <c r="H195" t="s">
        <v>1053</v>
      </c>
      <c r="I195" t="s">
        <v>1005</v>
      </c>
      <c r="J195" s="30" t="s">
        <v>72</v>
      </c>
      <c r="K195" s="30" t="s">
        <v>19</v>
      </c>
      <c r="L195" s="30"/>
      <c r="M195" s="30" t="s">
        <v>1271</v>
      </c>
      <c r="N195" s="30"/>
      <c r="O195" s="31">
        <f>COUNTIF(S195:AT195,"")</f>
        <v>27</v>
      </c>
      <c r="P195" s="136"/>
      <c r="Q195" s="31">
        <f>COUNTIF(S195:AT195,"APAGADO")</f>
        <v>1</v>
      </c>
      <c r="R195" s="32">
        <f>(O195)/(Q195+O195)</f>
        <v>0.9642857142857143</v>
      </c>
      <c r="S195" s="70" t="s">
        <v>2240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s="73" customFormat="1" ht="15.75" thickBot="1" x14ac:dyDescent="0.3">
      <c r="A196"/>
      <c r="B196"/>
      <c r="C196"/>
      <c r="D196"/>
      <c r="E196"/>
      <c r="F196" s="73" t="s">
        <v>193</v>
      </c>
      <c r="G196" s="73" t="s">
        <v>418</v>
      </c>
      <c r="H196" s="73" t="s">
        <v>1053</v>
      </c>
      <c r="I196" s="73" t="s">
        <v>419</v>
      </c>
      <c r="J196" s="84" t="s">
        <v>14</v>
      </c>
      <c r="K196" s="84" t="s">
        <v>1291</v>
      </c>
      <c r="L196" s="84"/>
      <c r="M196" s="84" t="s">
        <v>1419</v>
      </c>
      <c r="N196" s="84"/>
      <c r="O196" s="131">
        <f>COUNTIF(S196:AT196,"")</f>
        <v>28</v>
      </c>
      <c r="P196" s="136" t="s">
        <v>1965</v>
      </c>
      <c r="Q196" s="131">
        <f>COUNTIF(S196:AT196,"APAGADO")</f>
        <v>0</v>
      </c>
      <c r="R196" s="132">
        <f>(O196)/(Q196+O196)</f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thickBot="1" x14ac:dyDescent="0.3">
      <c r="A197" s="69"/>
      <c r="B197" s="69"/>
      <c r="C197" s="69"/>
      <c r="D197" s="69"/>
      <c r="E197" s="69"/>
      <c r="F197" s="69" t="s">
        <v>193</v>
      </c>
      <c r="G197" s="69" t="s">
        <v>416</v>
      </c>
      <c r="H197" s="69" t="s">
        <v>1053</v>
      </c>
      <c r="I197" s="69" t="s">
        <v>417</v>
      </c>
      <c r="J197" s="137" t="s">
        <v>14</v>
      </c>
      <c r="K197" s="137" t="s">
        <v>19</v>
      </c>
      <c r="L197" s="137"/>
      <c r="M197" s="137" t="s">
        <v>791</v>
      </c>
      <c r="N197" s="137"/>
      <c r="O197" s="139">
        <f>COUNTIF(S197:AT197,"")</f>
        <v>12</v>
      </c>
      <c r="P197" s="140"/>
      <c r="Q197" s="139">
        <f>COUNTIF(S197:AT197,"APAGADO")</f>
        <v>16</v>
      </c>
      <c r="R197" s="141">
        <f>(O197)/(Q197+O197)</f>
        <v>0.42857142857142855</v>
      </c>
      <c r="S197" s="142" t="s">
        <v>2240</v>
      </c>
      <c r="T197" s="142"/>
      <c r="U197" s="142"/>
      <c r="V197" s="142"/>
      <c r="W197" s="142"/>
      <c r="X197" s="142" t="s">
        <v>2240</v>
      </c>
      <c r="Y197" s="142" t="s">
        <v>2240</v>
      </c>
      <c r="Z197" s="142" t="s">
        <v>2240</v>
      </c>
      <c r="AA197" s="142"/>
      <c r="AB197" s="142"/>
      <c r="AC197" s="142"/>
      <c r="AD197" s="142"/>
      <c r="AE197" s="70" t="s">
        <v>2240</v>
      </c>
      <c r="AF197" s="70" t="s">
        <v>2240</v>
      </c>
      <c r="AG197" s="142" t="s">
        <v>2240</v>
      </c>
      <c r="AH197" s="70" t="s">
        <v>2240</v>
      </c>
      <c r="AI197" s="70" t="s">
        <v>2240</v>
      </c>
      <c r="AJ197" s="142"/>
      <c r="AK197" s="142"/>
      <c r="AL197" s="70" t="s">
        <v>2240</v>
      </c>
      <c r="AM197" s="70" t="s">
        <v>2240</v>
      </c>
      <c r="AN197" s="70" t="s">
        <v>2240</v>
      </c>
      <c r="AO197" s="70" t="s">
        <v>2240</v>
      </c>
      <c r="AP197" s="70" t="s">
        <v>2240</v>
      </c>
      <c r="AQ197" s="142"/>
      <c r="AR197" s="142"/>
      <c r="AS197" s="70" t="s">
        <v>2240</v>
      </c>
      <c r="AT197" s="70" t="s">
        <v>2240</v>
      </c>
      <c r="AU197" s="70" t="s">
        <v>2240</v>
      </c>
      <c r="AV197" s="70" t="s">
        <v>2240</v>
      </c>
    </row>
    <row r="198" spans="1:48" ht="15.75" thickBot="1" x14ac:dyDescent="0.3">
      <c r="A198"/>
      <c r="B198"/>
      <c r="C198"/>
      <c r="D198"/>
      <c r="E198" t="s">
        <v>2379</v>
      </c>
      <c r="F198" t="s">
        <v>399</v>
      </c>
      <c r="G198" t="s">
        <v>415</v>
      </c>
      <c r="H198" t="s">
        <v>1052</v>
      </c>
      <c r="I198" t="s">
        <v>414</v>
      </c>
      <c r="J198" s="30" t="s">
        <v>72</v>
      </c>
      <c r="K198" s="30" t="s">
        <v>27</v>
      </c>
      <c r="L198" s="30"/>
      <c r="M198" s="30" t="s">
        <v>789</v>
      </c>
      <c r="N198" s="30" t="s">
        <v>2284</v>
      </c>
      <c r="O198" s="31">
        <f>COUNTIF(S198:AT198,"")</f>
        <v>14</v>
      </c>
      <c r="P198" s="136" t="s">
        <v>1958</v>
      </c>
      <c r="Q198" s="31">
        <f>COUNTIF(S198:AT198,"APAGADO")</f>
        <v>14</v>
      </c>
      <c r="R198" s="32">
        <f>(O198)/(Q198+O198)</f>
        <v>0.5</v>
      </c>
      <c r="S198" s="70" t="s">
        <v>2240</v>
      </c>
      <c r="T198" s="70"/>
      <c r="U198" s="70"/>
      <c r="V198" s="70"/>
      <c r="W198" s="70"/>
      <c r="X198" s="70" t="s">
        <v>2240</v>
      </c>
      <c r="Y198" s="70" t="s">
        <v>2240</v>
      </c>
      <c r="Z198" s="70" t="s">
        <v>2240</v>
      </c>
      <c r="AA198" s="70"/>
      <c r="AB198" s="70"/>
      <c r="AC198" s="70"/>
      <c r="AD198" s="70"/>
      <c r="AE198" s="70" t="s">
        <v>2240</v>
      </c>
      <c r="AF198" s="70" t="s">
        <v>2240</v>
      </c>
      <c r="AG198" s="142" t="s">
        <v>2240</v>
      </c>
      <c r="AH198" s="70" t="s">
        <v>2240</v>
      </c>
      <c r="AI198" s="70" t="s">
        <v>2240</v>
      </c>
      <c r="AJ198" s="70"/>
      <c r="AK198" s="70"/>
      <c r="AL198" s="70" t="s">
        <v>2240</v>
      </c>
      <c r="AM198" s="70" t="s">
        <v>2240</v>
      </c>
      <c r="AN198" s="70" t="s">
        <v>2240</v>
      </c>
      <c r="AO198" s="70" t="s">
        <v>2240</v>
      </c>
      <c r="AP198" s="70" t="s">
        <v>2240</v>
      </c>
      <c r="AQ198" s="70"/>
      <c r="AR198" s="70"/>
      <c r="AS198" s="70"/>
      <c r="AT198" s="70"/>
      <c r="AU198" s="70"/>
      <c r="AV198" s="70"/>
    </row>
    <row r="199" spans="1:48" s="69" customFormat="1" ht="15.75" thickBot="1" x14ac:dyDescent="0.3">
      <c r="A199"/>
      <c r="B199"/>
      <c r="C199"/>
      <c r="D199"/>
      <c r="E199" t="s">
        <v>2379</v>
      </c>
      <c r="F199" t="s">
        <v>399</v>
      </c>
      <c r="G199" t="s">
        <v>413</v>
      </c>
      <c r="H199" t="s">
        <v>1052</v>
      </c>
      <c r="I199" t="s">
        <v>414</v>
      </c>
      <c r="J199" s="30" t="s">
        <v>72</v>
      </c>
      <c r="K199" s="30" t="s">
        <v>27</v>
      </c>
      <c r="L199" s="30"/>
      <c r="M199" s="30" t="s">
        <v>788</v>
      </c>
      <c r="N199" s="30" t="s">
        <v>2284</v>
      </c>
      <c r="O199" s="31">
        <f>COUNTIF(S199:AT199,"")</f>
        <v>14</v>
      </c>
      <c r="P199" s="136" t="s">
        <v>1957</v>
      </c>
      <c r="Q199" s="31">
        <f>COUNTIF(S199:AT199,"APAGADO")</f>
        <v>14</v>
      </c>
      <c r="R199" s="32">
        <f>(O199)/(Q199+O199)</f>
        <v>0.5</v>
      </c>
      <c r="S199" s="70" t="s">
        <v>2240</v>
      </c>
      <c r="T199" s="70"/>
      <c r="U199" s="70"/>
      <c r="V199" s="70"/>
      <c r="W199" s="70"/>
      <c r="X199" s="70" t="s">
        <v>2240</v>
      </c>
      <c r="Y199" s="70" t="s">
        <v>2240</v>
      </c>
      <c r="Z199" s="70" t="s">
        <v>2240</v>
      </c>
      <c r="AA199" s="70"/>
      <c r="AB199" s="70"/>
      <c r="AC199" s="70"/>
      <c r="AD199" s="70"/>
      <c r="AE199" s="70" t="s">
        <v>2240</v>
      </c>
      <c r="AF199" s="70" t="s">
        <v>2240</v>
      </c>
      <c r="AG199" s="142" t="s">
        <v>2240</v>
      </c>
      <c r="AH199" s="70" t="s">
        <v>2240</v>
      </c>
      <c r="AI199" s="70" t="s">
        <v>2240</v>
      </c>
      <c r="AJ199" s="70"/>
      <c r="AK199" s="70"/>
      <c r="AL199" s="70" t="s">
        <v>2240</v>
      </c>
      <c r="AM199" s="70" t="s">
        <v>2240</v>
      </c>
      <c r="AN199" s="70" t="s">
        <v>2240</v>
      </c>
      <c r="AO199" s="70" t="s">
        <v>2240</v>
      </c>
      <c r="AP199" s="70" t="s">
        <v>2240</v>
      </c>
      <c r="AQ199" s="70"/>
      <c r="AR199" s="70"/>
      <c r="AS199" s="70"/>
      <c r="AT199" s="70"/>
      <c r="AU199" s="70"/>
      <c r="AV199" s="70"/>
    </row>
    <row r="200" spans="1:48" s="73" customFormat="1" ht="15.75" thickBot="1" x14ac:dyDescent="0.3">
      <c r="A200"/>
      <c r="B200"/>
      <c r="C200"/>
      <c r="D200"/>
      <c r="E200" t="s">
        <v>2379</v>
      </c>
      <c r="F200" t="s">
        <v>399</v>
      </c>
      <c r="G200" t="s">
        <v>412</v>
      </c>
      <c r="H200" t="s">
        <v>1052</v>
      </c>
      <c r="I200" t="s">
        <v>411</v>
      </c>
      <c r="J200" s="30" t="s">
        <v>72</v>
      </c>
      <c r="K200" s="30" t="s">
        <v>27</v>
      </c>
      <c r="L200" s="30"/>
      <c r="M200" s="30" t="s">
        <v>787</v>
      </c>
      <c r="N200" s="30" t="s">
        <v>2284</v>
      </c>
      <c r="O200" s="31">
        <f>COUNTIF(S200:AT200,"")</f>
        <v>14</v>
      </c>
      <c r="P200" s="136" t="s">
        <v>1956</v>
      </c>
      <c r="Q200" s="31">
        <f>COUNTIF(S200:AT200,"APAGADO")</f>
        <v>14</v>
      </c>
      <c r="R200" s="32">
        <f>(O200)/(Q200+O200)</f>
        <v>0.5</v>
      </c>
      <c r="S200" s="70" t="s">
        <v>2240</v>
      </c>
      <c r="T200" s="70"/>
      <c r="U200" s="70"/>
      <c r="V200" s="70"/>
      <c r="W200" s="70"/>
      <c r="X200" s="70" t="s">
        <v>2240</v>
      </c>
      <c r="Y200" s="70" t="s">
        <v>2240</v>
      </c>
      <c r="Z200" s="70" t="s">
        <v>2240</v>
      </c>
      <c r="AA200" s="70"/>
      <c r="AB200" s="70"/>
      <c r="AC200" s="70"/>
      <c r="AD200" s="70"/>
      <c r="AE200" s="70" t="s">
        <v>2240</v>
      </c>
      <c r="AF200" s="70" t="s">
        <v>2240</v>
      </c>
      <c r="AG200" s="142" t="s">
        <v>2240</v>
      </c>
      <c r="AH200" s="70" t="s">
        <v>2240</v>
      </c>
      <c r="AI200" s="70" t="s">
        <v>2240</v>
      </c>
      <c r="AJ200" s="70"/>
      <c r="AK200" s="70"/>
      <c r="AL200" s="70" t="s">
        <v>2240</v>
      </c>
      <c r="AM200" s="70" t="s">
        <v>2240</v>
      </c>
      <c r="AN200" s="70" t="s">
        <v>2240</v>
      </c>
      <c r="AO200" s="70" t="s">
        <v>2240</v>
      </c>
      <c r="AP200" s="70" t="s">
        <v>2240</v>
      </c>
      <c r="AQ200" s="70"/>
      <c r="AR200" s="70"/>
      <c r="AS200" s="70"/>
      <c r="AT200" s="70"/>
      <c r="AU200" s="70"/>
      <c r="AV200" s="70"/>
    </row>
    <row r="201" spans="1:48" s="73" customFormat="1" ht="15.75" thickBot="1" x14ac:dyDescent="0.3">
      <c r="A201"/>
      <c r="B201"/>
      <c r="C201"/>
      <c r="D201"/>
      <c r="E201" t="s">
        <v>2379</v>
      </c>
      <c r="F201" t="s">
        <v>399</v>
      </c>
      <c r="G201" t="s">
        <v>410</v>
      </c>
      <c r="H201" t="s">
        <v>1052</v>
      </c>
      <c r="I201" t="s">
        <v>411</v>
      </c>
      <c r="J201" s="30" t="s">
        <v>72</v>
      </c>
      <c r="K201" s="30" t="s">
        <v>27</v>
      </c>
      <c r="L201" s="30"/>
      <c r="M201" s="30" t="s">
        <v>786</v>
      </c>
      <c r="N201" s="30" t="s">
        <v>2284</v>
      </c>
      <c r="O201" s="31">
        <f>COUNTIF(S201:AT201,"")</f>
        <v>14</v>
      </c>
      <c r="P201" s="136" t="s">
        <v>1955</v>
      </c>
      <c r="Q201" s="31">
        <f>COUNTIF(S201:AT201,"APAGADO")</f>
        <v>14</v>
      </c>
      <c r="R201" s="32">
        <f>(O201)/(Q201+O201)</f>
        <v>0.5</v>
      </c>
      <c r="S201" s="70" t="s">
        <v>2240</v>
      </c>
      <c r="T201" s="70"/>
      <c r="U201" s="70"/>
      <c r="V201" s="70"/>
      <c r="W201" s="70"/>
      <c r="X201" s="70" t="s">
        <v>2240</v>
      </c>
      <c r="Y201" s="70" t="s">
        <v>2240</v>
      </c>
      <c r="Z201" s="70" t="s">
        <v>2240</v>
      </c>
      <c r="AA201" s="70"/>
      <c r="AB201" s="70"/>
      <c r="AC201" s="70"/>
      <c r="AD201" s="70"/>
      <c r="AE201" s="70" t="s">
        <v>2240</v>
      </c>
      <c r="AF201" s="70" t="s">
        <v>2240</v>
      </c>
      <c r="AG201" s="142" t="s">
        <v>2240</v>
      </c>
      <c r="AH201" s="70" t="s">
        <v>2240</v>
      </c>
      <c r="AI201" s="70" t="s">
        <v>2240</v>
      </c>
      <c r="AJ201" s="70"/>
      <c r="AK201" s="70"/>
      <c r="AL201" s="70" t="s">
        <v>2240</v>
      </c>
      <c r="AM201" s="70" t="s">
        <v>2240</v>
      </c>
      <c r="AN201" s="70" t="s">
        <v>2240</v>
      </c>
      <c r="AO201" s="70" t="s">
        <v>2240</v>
      </c>
      <c r="AP201" s="70" t="s">
        <v>2240</v>
      </c>
      <c r="AQ201" s="70"/>
      <c r="AR201" s="70"/>
      <c r="AS201" s="70"/>
      <c r="AT201" s="70"/>
      <c r="AU201" s="70"/>
      <c r="AV201" s="129"/>
    </row>
    <row r="202" spans="1:48" ht="15.75" thickBot="1" x14ac:dyDescent="0.3">
      <c r="A202" s="69">
        <v>1</v>
      </c>
      <c r="B202" s="69">
        <v>18</v>
      </c>
      <c r="C202" s="69"/>
      <c r="D202" s="69"/>
      <c r="E202" s="69" t="s">
        <v>2379</v>
      </c>
      <c r="F202" s="69" t="s">
        <v>406</v>
      </c>
      <c r="G202" s="69" t="s">
        <v>409</v>
      </c>
      <c r="H202" s="69" t="s">
        <v>1052</v>
      </c>
      <c r="I202" s="69" t="s">
        <v>408</v>
      </c>
      <c r="J202" s="137" t="s">
        <v>72</v>
      </c>
      <c r="K202" s="137" t="s">
        <v>27</v>
      </c>
      <c r="L202" s="137"/>
      <c r="M202" s="137" t="s">
        <v>785</v>
      </c>
      <c r="N202" s="137" t="s">
        <v>2284</v>
      </c>
      <c r="O202" s="139">
        <f>COUNTIF(S202:AT202,"")</f>
        <v>12</v>
      </c>
      <c r="P202" s="140" t="s">
        <v>1954</v>
      </c>
      <c r="Q202" s="139">
        <f>COUNTIF(S202:AT202,"APAGADO")</f>
        <v>16</v>
      </c>
      <c r="R202" s="141">
        <f>(O202)/(Q202+O202)</f>
        <v>0.42857142857142855</v>
      </c>
      <c r="S202" s="142" t="s">
        <v>2240</v>
      </c>
      <c r="T202" s="142"/>
      <c r="U202" s="142"/>
      <c r="V202" s="142"/>
      <c r="W202" s="142"/>
      <c r="X202" s="142" t="s">
        <v>2240</v>
      </c>
      <c r="Y202" s="142" t="s">
        <v>2240</v>
      </c>
      <c r="Z202" s="142" t="s">
        <v>2240</v>
      </c>
      <c r="AA202" s="142"/>
      <c r="AB202" s="142"/>
      <c r="AC202" s="142"/>
      <c r="AD202" s="142"/>
      <c r="AE202" s="70" t="s">
        <v>2240</v>
      </c>
      <c r="AF202" s="70" t="s">
        <v>2240</v>
      </c>
      <c r="AG202" s="142" t="s">
        <v>2240</v>
      </c>
      <c r="AH202" s="70" t="s">
        <v>2240</v>
      </c>
      <c r="AI202" s="70" t="s">
        <v>2240</v>
      </c>
      <c r="AJ202" s="142"/>
      <c r="AK202" s="142"/>
      <c r="AL202" s="70" t="s">
        <v>2240</v>
      </c>
      <c r="AM202" s="70" t="s">
        <v>2240</v>
      </c>
      <c r="AN202" s="70" t="s">
        <v>2240</v>
      </c>
      <c r="AO202" s="70" t="s">
        <v>2240</v>
      </c>
      <c r="AP202" s="70" t="s">
        <v>2240</v>
      </c>
      <c r="AQ202" s="142"/>
      <c r="AR202" s="142"/>
      <c r="AS202" s="70" t="s">
        <v>2240</v>
      </c>
      <c r="AT202" s="70" t="s">
        <v>2240</v>
      </c>
      <c r="AU202" s="70" t="s">
        <v>2240</v>
      </c>
      <c r="AV202" s="70" t="s">
        <v>2240</v>
      </c>
    </row>
    <row r="203" spans="1:48" ht="15.75" thickBot="1" x14ac:dyDescent="0.3">
      <c r="A203" s="69">
        <v>1</v>
      </c>
      <c r="B203" s="69">
        <v>18</v>
      </c>
      <c r="C203" s="69"/>
      <c r="D203" s="69"/>
      <c r="E203" s="69" t="s">
        <v>2379</v>
      </c>
      <c r="F203" s="69" t="s">
        <v>406</v>
      </c>
      <c r="G203" s="69" t="s">
        <v>407</v>
      </c>
      <c r="H203" s="69" t="s">
        <v>1052</v>
      </c>
      <c r="I203" s="69" t="s">
        <v>408</v>
      </c>
      <c r="J203" s="137" t="s">
        <v>72</v>
      </c>
      <c r="K203" s="137" t="s">
        <v>27</v>
      </c>
      <c r="L203" s="137"/>
      <c r="M203" s="137" t="s">
        <v>784</v>
      </c>
      <c r="N203" s="137" t="s">
        <v>2284</v>
      </c>
      <c r="O203" s="139">
        <f>COUNTIF(S203:AT203,"")</f>
        <v>12</v>
      </c>
      <c r="P203" s="140" t="s">
        <v>1953</v>
      </c>
      <c r="Q203" s="139">
        <f>COUNTIF(S203:AT203,"APAGADO")</f>
        <v>16</v>
      </c>
      <c r="R203" s="141">
        <f>(O203)/(Q203+O203)</f>
        <v>0.42857142857142855</v>
      </c>
      <c r="S203" s="142" t="s">
        <v>2240</v>
      </c>
      <c r="T203" s="142"/>
      <c r="U203" s="142"/>
      <c r="V203" s="142"/>
      <c r="W203" s="142"/>
      <c r="X203" s="142" t="s">
        <v>2240</v>
      </c>
      <c r="Y203" s="142" t="s">
        <v>2240</v>
      </c>
      <c r="Z203" s="142" t="s">
        <v>2240</v>
      </c>
      <c r="AA203" s="142"/>
      <c r="AB203" s="142"/>
      <c r="AC203" s="142"/>
      <c r="AD203" s="142"/>
      <c r="AE203" s="70" t="s">
        <v>2240</v>
      </c>
      <c r="AF203" s="70" t="s">
        <v>2240</v>
      </c>
      <c r="AG203" s="142" t="s">
        <v>2240</v>
      </c>
      <c r="AH203" s="70" t="s">
        <v>2240</v>
      </c>
      <c r="AI203" s="70" t="s">
        <v>2240</v>
      </c>
      <c r="AJ203" s="142"/>
      <c r="AK203" s="142"/>
      <c r="AL203" s="70" t="s">
        <v>2240</v>
      </c>
      <c r="AM203" s="70" t="s">
        <v>2240</v>
      </c>
      <c r="AN203" s="70" t="s">
        <v>2240</v>
      </c>
      <c r="AO203" s="70" t="s">
        <v>2240</v>
      </c>
      <c r="AP203" s="70" t="s">
        <v>2240</v>
      </c>
      <c r="AQ203" s="142"/>
      <c r="AR203" s="142"/>
      <c r="AS203" s="70" t="s">
        <v>2240</v>
      </c>
      <c r="AT203" s="70" t="s">
        <v>2240</v>
      </c>
      <c r="AU203" s="70" t="s">
        <v>2240</v>
      </c>
      <c r="AV203" s="70" t="s">
        <v>2240</v>
      </c>
    </row>
    <row r="204" spans="1:48" ht="15.75" thickBot="1" x14ac:dyDescent="0.3">
      <c r="A204" s="88"/>
      <c r="B204" s="88"/>
      <c r="C204" s="88"/>
      <c r="D204" s="88"/>
      <c r="E204" s="88"/>
      <c r="F204" s="88" t="s">
        <v>399</v>
      </c>
      <c r="G204" s="88" t="s">
        <v>404</v>
      </c>
      <c r="H204" s="88" t="s">
        <v>1052</v>
      </c>
      <c r="I204" s="88" t="s">
        <v>405</v>
      </c>
      <c r="J204" s="89" t="s">
        <v>14</v>
      </c>
      <c r="K204" s="89" t="s">
        <v>19</v>
      </c>
      <c r="L204" s="89"/>
      <c r="M204" s="89" t="s">
        <v>780</v>
      </c>
      <c r="N204" s="89"/>
      <c r="O204" s="31">
        <f>COUNTIF(S204:AT204,"")</f>
        <v>12</v>
      </c>
      <c r="P204" s="136"/>
      <c r="Q204" s="31">
        <f>COUNTIF(S204:AT204,"APAGADO")</f>
        <v>16</v>
      </c>
      <c r="R204" s="32">
        <f>(O204)/(Q204+O204)</f>
        <v>0.42857142857142855</v>
      </c>
      <c r="S204" s="70" t="s">
        <v>2240</v>
      </c>
      <c r="T204" s="70"/>
      <c r="U204" s="70"/>
      <c r="V204" s="70"/>
      <c r="W204" s="70"/>
      <c r="X204" s="70" t="s">
        <v>2240</v>
      </c>
      <c r="Y204" s="70" t="s">
        <v>2240</v>
      </c>
      <c r="Z204" s="70" t="s">
        <v>2240</v>
      </c>
      <c r="AA204" s="70"/>
      <c r="AB204" s="70"/>
      <c r="AC204" s="70"/>
      <c r="AD204" s="70"/>
      <c r="AE204" s="70" t="s">
        <v>2240</v>
      </c>
      <c r="AF204" s="70" t="s">
        <v>2240</v>
      </c>
      <c r="AG204" s="142" t="s">
        <v>2240</v>
      </c>
      <c r="AH204" s="70" t="s">
        <v>2240</v>
      </c>
      <c r="AI204" s="70" t="s">
        <v>2240</v>
      </c>
      <c r="AJ204" s="70"/>
      <c r="AK204" s="90"/>
      <c r="AL204" s="70" t="s">
        <v>2240</v>
      </c>
      <c r="AM204" s="70" t="s">
        <v>2240</v>
      </c>
      <c r="AN204" s="70" t="s">
        <v>2240</v>
      </c>
      <c r="AO204" s="70" t="s">
        <v>2240</v>
      </c>
      <c r="AP204" s="70" t="s">
        <v>2240</v>
      </c>
      <c r="AQ204" s="90"/>
      <c r="AR204" s="90"/>
      <c r="AS204" s="70" t="s">
        <v>2240</v>
      </c>
      <c r="AT204" s="70" t="s">
        <v>2240</v>
      </c>
      <c r="AU204" s="70" t="s">
        <v>2240</v>
      </c>
      <c r="AV204" s="70" t="s">
        <v>2240</v>
      </c>
    </row>
    <row r="205" spans="1:48" ht="15.75" thickBot="1" x14ac:dyDescent="0.3">
      <c r="A205"/>
      <c r="B205"/>
      <c r="C205"/>
      <c r="D205"/>
      <c r="E205"/>
      <c r="F205" t="s">
        <v>399</v>
      </c>
      <c r="G205" t="s">
        <v>2234</v>
      </c>
      <c r="H205" t="s">
        <v>1052</v>
      </c>
      <c r="I205" t="s">
        <v>2235</v>
      </c>
      <c r="J205" s="30" t="s">
        <v>18</v>
      </c>
      <c r="K205" s="84" t="s">
        <v>1291</v>
      </c>
      <c r="L205" s="30"/>
      <c r="M205" s="84" t="s">
        <v>2306</v>
      </c>
      <c r="N205" s="84"/>
      <c r="O205" s="31">
        <f>COUNTIF(S205:AT205,"")</f>
        <v>13</v>
      </c>
      <c r="P205" s="136"/>
      <c r="Q205" s="31">
        <f>COUNTIF(S205:AT205,"APAGADO")</f>
        <v>15</v>
      </c>
      <c r="R205" s="32">
        <f>(O205)/(Q205+O205)</f>
        <v>0.4642857142857143</v>
      </c>
      <c r="S205" s="70" t="s">
        <v>2240</v>
      </c>
      <c r="T205" s="70"/>
      <c r="U205" s="70"/>
      <c r="V205" s="150"/>
      <c r="W205" s="150"/>
      <c r="X205" s="70" t="s">
        <v>2240</v>
      </c>
      <c r="Y205" s="70" t="s">
        <v>2240</v>
      </c>
      <c r="Z205" s="70" t="s">
        <v>2240</v>
      </c>
      <c r="AA205" s="150"/>
      <c r="AB205" s="150"/>
      <c r="AC205" s="150"/>
      <c r="AD205" s="150"/>
      <c r="AE205" s="70" t="s">
        <v>2240</v>
      </c>
      <c r="AF205" s="70" t="s">
        <v>2240</v>
      </c>
      <c r="AG205" s="142" t="s">
        <v>2240</v>
      </c>
      <c r="AH205" s="70" t="s">
        <v>2240</v>
      </c>
      <c r="AI205" s="70" t="s">
        <v>2240</v>
      </c>
      <c r="AJ205" s="150"/>
      <c r="AK205" s="150"/>
      <c r="AL205" s="70" t="s">
        <v>2240</v>
      </c>
      <c r="AM205" s="70" t="s">
        <v>2240</v>
      </c>
      <c r="AN205" s="70" t="s">
        <v>2240</v>
      </c>
      <c r="AO205" s="70" t="s">
        <v>2240</v>
      </c>
      <c r="AP205" s="70" t="s">
        <v>2240</v>
      </c>
      <c r="AQ205" s="150"/>
      <c r="AR205" s="150"/>
      <c r="AS205" s="70" t="s">
        <v>2240</v>
      </c>
      <c r="AT205" s="150"/>
      <c r="AU205" s="150"/>
      <c r="AV205" s="70"/>
    </row>
    <row r="206" spans="1:48" s="73" customFormat="1" ht="15.75" thickBot="1" x14ac:dyDescent="0.3">
      <c r="A206"/>
      <c r="B206"/>
      <c r="C206"/>
      <c r="D206"/>
      <c r="E206"/>
      <c r="F206" t="s">
        <v>399</v>
      </c>
      <c r="G206" t="s">
        <v>1612</v>
      </c>
      <c r="H206" t="s">
        <v>1052</v>
      </c>
      <c r="I206" t="s">
        <v>2274</v>
      </c>
      <c r="J206" s="30" t="s">
        <v>18</v>
      </c>
      <c r="K206" s="30" t="s">
        <v>27</v>
      </c>
      <c r="L206" s="30"/>
      <c r="M206" s="84" t="s">
        <v>1613</v>
      </c>
      <c r="N206" s="84"/>
      <c r="O206" s="31">
        <f>COUNTIF(S206:AT206,"")</f>
        <v>14</v>
      </c>
      <c r="P206" s="136"/>
      <c r="Q206" s="31">
        <f>COUNTIF(S206:AT206,"APAGADO")</f>
        <v>14</v>
      </c>
      <c r="R206" s="32">
        <f>(O206)/(Q206+O206)</f>
        <v>0.5</v>
      </c>
      <c r="S206" s="70" t="s">
        <v>2240</v>
      </c>
      <c r="T206" s="70"/>
      <c r="U206" s="70"/>
      <c r="V206" s="150"/>
      <c r="W206" s="150"/>
      <c r="X206" s="70" t="s">
        <v>2240</v>
      </c>
      <c r="Y206" s="70" t="s">
        <v>2240</v>
      </c>
      <c r="Z206" s="70" t="s">
        <v>2240</v>
      </c>
      <c r="AA206" s="150"/>
      <c r="AB206" s="150"/>
      <c r="AC206" s="150"/>
      <c r="AD206" s="70"/>
      <c r="AE206" s="70" t="s">
        <v>2240</v>
      </c>
      <c r="AF206" s="70" t="s">
        <v>2240</v>
      </c>
      <c r="AG206" s="142" t="s">
        <v>2240</v>
      </c>
      <c r="AH206" s="70" t="s">
        <v>2240</v>
      </c>
      <c r="AI206" s="70" t="s">
        <v>2240</v>
      </c>
      <c r="AJ206" s="150"/>
      <c r="AK206" s="150"/>
      <c r="AL206" s="70" t="s">
        <v>2240</v>
      </c>
      <c r="AM206" s="70" t="s">
        <v>2240</v>
      </c>
      <c r="AN206" s="70" t="s">
        <v>2240</v>
      </c>
      <c r="AO206" s="70" t="s">
        <v>2240</v>
      </c>
      <c r="AP206" s="70" t="s">
        <v>2240</v>
      </c>
      <c r="AQ206" s="150"/>
      <c r="AR206" s="150"/>
      <c r="AS206" s="150"/>
      <c r="AT206" s="150"/>
      <c r="AU206" s="150"/>
      <c r="AV206" s="129"/>
    </row>
    <row r="207" spans="1:48" ht="15.75" thickBot="1" x14ac:dyDescent="0.3">
      <c r="A207"/>
      <c r="B207"/>
      <c r="C207"/>
      <c r="D207"/>
      <c r="E207"/>
      <c r="F207" t="s">
        <v>399</v>
      </c>
      <c r="G207" t="s">
        <v>1424</v>
      </c>
      <c r="H207" t="s">
        <v>1052</v>
      </c>
      <c r="I207" t="s">
        <v>1425</v>
      </c>
      <c r="J207" s="30" t="s">
        <v>72</v>
      </c>
      <c r="K207" s="30" t="s">
        <v>1291</v>
      </c>
      <c r="L207" s="30"/>
      <c r="M207" s="84" t="s">
        <v>1484</v>
      </c>
      <c r="N207" s="84"/>
      <c r="O207" s="31">
        <f>COUNTIF(S207:AT207,"")</f>
        <v>28</v>
      </c>
      <c r="P207" s="136" t="s">
        <v>1964</v>
      </c>
      <c r="Q207" s="31">
        <f>COUNTIF(S207:AT207,"APAGADO")</f>
        <v>0</v>
      </c>
      <c r="R207" s="32">
        <f>(O207)/(Q207+O207)</f>
        <v>1</v>
      </c>
      <c r="S207" s="70"/>
      <c r="T207" s="70"/>
      <c r="U207" s="7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150"/>
      <c r="AJ207" s="150"/>
      <c r="AK207" s="150"/>
      <c r="AL207" s="150"/>
      <c r="AM207" s="150"/>
      <c r="AN207" s="150"/>
      <c r="AO207" s="150"/>
      <c r="AP207" s="150"/>
      <c r="AQ207" s="150"/>
      <c r="AR207" s="150"/>
      <c r="AS207" s="150"/>
      <c r="AT207" s="150"/>
      <c r="AU207" s="150"/>
      <c r="AV207" s="150"/>
    </row>
    <row r="208" spans="1:48" ht="15.75" thickBot="1" x14ac:dyDescent="0.3">
      <c r="A208"/>
      <c r="B208"/>
      <c r="C208"/>
      <c r="D208"/>
      <c r="E208"/>
      <c r="F208" t="s">
        <v>399</v>
      </c>
      <c r="G208" t="s">
        <v>1423</v>
      </c>
      <c r="H208" t="s">
        <v>1052</v>
      </c>
      <c r="I208" t="s">
        <v>1425</v>
      </c>
      <c r="J208" s="30" t="s">
        <v>72</v>
      </c>
      <c r="K208" s="30" t="s">
        <v>1291</v>
      </c>
      <c r="L208" s="30"/>
      <c r="M208" s="84" t="s">
        <v>1486</v>
      </c>
      <c r="N208" s="84"/>
      <c r="O208" s="31">
        <f>COUNTIF(S208:AT208,"")</f>
        <v>28</v>
      </c>
      <c r="P208" s="136" t="s">
        <v>1963</v>
      </c>
      <c r="Q208" s="31">
        <f>COUNTIF(S208:AT208,"APAGADO")</f>
        <v>0</v>
      </c>
      <c r="R208" s="32">
        <f>(O208)/(Q208+O208)</f>
        <v>1</v>
      </c>
      <c r="S208" s="70"/>
      <c r="T208" s="70"/>
      <c r="U208" s="7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150"/>
      <c r="AJ208" s="150"/>
      <c r="AK208" s="150"/>
      <c r="AL208" s="150"/>
      <c r="AM208" s="150"/>
      <c r="AN208" s="150"/>
      <c r="AO208" s="150"/>
      <c r="AP208" s="150"/>
      <c r="AQ208" s="150"/>
      <c r="AR208" s="150"/>
      <c r="AS208" s="150"/>
      <c r="AT208" s="150"/>
      <c r="AU208" s="150"/>
      <c r="AV208" s="150"/>
    </row>
    <row r="209" spans="1:48" s="73" customFormat="1" ht="15.75" thickBot="1" x14ac:dyDescent="0.3">
      <c r="A209"/>
      <c r="B209"/>
      <c r="C209"/>
      <c r="D209"/>
      <c r="E209"/>
      <c r="F209" s="73" t="s">
        <v>399</v>
      </c>
      <c r="G209" s="73" t="s">
        <v>1422</v>
      </c>
      <c r="H209" s="73" t="s">
        <v>1052</v>
      </c>
      <c r="I209" s="73" t="s">
        <v>1425</v>
      </c>
      <c r="J209" s="30" t="s">
        <v>18</v>
      </c>
      <c r="K209" s="84" t="s">
        <v>1291</v>
      </c>
      <c r="L209" s="30"/>
      <c r="M209" s="84" t="s">
        <v>2305</v>
      </c>
      <c r="N209" s="84"/>
      <c r="O209" s="131">
        <f>COUNTIF(S209:AT209,"")</f>
        <v>28</v>
      </c>
      <c r="P209" s="136" t="s">
        <v>1962</v>
      </c>
      <c r="Q209" s="131">
        <f>COUNTIF(S209:AT209,"APAGADO")</f>
        <v>0</v>
      </c>
      <c r="R209" s="132">
        <f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thickBot="1" x14ac:dyDescent="0.3">
      <c r="A210"/>
      <c r="B210"/>
      <c r="C210"/>
      <c r="D210"/>
      <c r="E210"/>
      <c r="F210" t="s">
        <v>399</v>
      </c>
      <c r="G210" t="s">
        <v>1002</v>
      </c>
      <c r="H210" t="s">
        <v>1052</v>
      </c>
      <c r="I210" t="s">
        <v>1003</v>
      </c>
      <c r="J210" s="30" t="s">
        <v>18</v>
      </c>
      <c r="K210" s="30" t="s">
        <v>1291</v>
      </c>
      <c r="L210" s="30"/>
      <c r="M210" s="30" t="s">
        <v>1209</v>
      </c>
      <c r="N210" s="30" t="s">
        <v>2284</v>
      </c>
      <c r="O210" s="31">
        <f>COUNTIF(S210:AT210,"")</f>
        <v>12</v>
      </c>
      <c r="P210" s="136" t="s">
        <v>1961</v>
      </c>
      <c r="Q210" s="31">
        <f>COUNTIF(S210:AT210,"APAGADO")</f>
        <v>16</v>
      </c>
      <c r="R210" s="32">
        <f>(O210)/(Q210+O210)</f>
        <v>0.42857142857142855</v>
      </c>
      <c r="S210" s="70" t="s">
        <v>2240</v>
      </c>
      <c r="T210" s="70"/>
      <c r="U210" s="70"/>
      <c r="V210" s="70"/>
      <c r="W210" s="70"/>
      <c r="X210" s="70" t="s">
        <v>2240</v>
      </c>
      <c r="Y210" s="70" t="s">
        <v>2240</v>
      </c>
      <c r="Z210" s="70" t="s">
        <v>2240</v>
      </c>
      <c r="AA210" s="70"/>
      <c r="AB210" s="70"/>
      <c r="AC210" s="70"/>
      <c r="AD210" s="70"/>
      <c r="AE210" s="70" t="s">
        <v>2240</v>
      </c>
      <c r="AF210" s="70" t="s">
        <v>2240</v>
      </c>
      <c r="AG210" s="142" t="s">
        <v>2240</v>
      </c>
      <c r="AH210" s="70" t="s">
        <v>2240</v>
      </c>
      <c r="AI210" s="70" t="s">
        <v>2240</v>
      </c>
      <c r="AJ210" s="70"/>
      <c r="AK210" s="70"/>
      <c r="AL210" s="70" t="s">
        <v>2240</v>
      </c>
      <c r="AM210" s="70" t="s">
        <v>2240</v>
      </c>
      <c r="AN210" s="70" t="s">
        <v>2240</v>
      </c>
      <c r="AO210" s="70" t="s">
        <v>2240</v>
      </c>
      <c r="AP210" s="70" t="s">
        <v>2240</v>
      </c>
      <c r="AQ210" s="70"/>
      <c r="AR210" s="70"/>
      <c r="AS210" s="70" t="s">
        <v>2240</v>
      </c>
      <c r="AT210" s="70" t="s">
        <v>2240</v>
      </c>
      <c r="AU210" s="70" t="s">
        <v>2240</v>
      </c>
      <c r="AV210" s="70" t="s">
        <v>2240</v>
      </c>
    </row>
    <row r="211" spans="1:48" ht="15.75" thickBot="1" x14ac:dyDescent="0.3">
      <c r="A211" s="69">
        <v>1</v>
      </c>
      <c r="B211" s="69">
        <v>18</v>
      </c>
      <c r="C211" s="69"/>
      <c r="D211" s="69"/>
      <c r="E211" s="69" t="s">
        <v>2379</v>
      </c>
      <c r="F211" s="69" t="s">
        <v>399</v>
      </c>
      <c r="G211" s="69" t="s">
        <v>895</v>
      </c>
      <c r="H211" s="69" t="s">
        <v>1052</v>
      </c>
      <c r="I211" s="69" t="s">
        <v>896</v>
      </c>
      <c r="J211" s="137" t="s">
        <v>18</v>
      </c>
      <c r="K211" s="137" t="s">
        <v>27</v>
      </c>
      <c r="L211" s="137"/>
      <c r="M211" s="137" t="s">
        <v>902</v>
      </c>
      <c r="N211" s="137" t="s">
        <v>2284</v>
      </c>
      <c r="O211" s="139">
        <f>COUNTIF(S211:AT211,"")</f>
        <v>12</v>
      </c>
      <c r="P211" s="140" t="s">
        <v>1960</v>
      </c>
      <c r="Q211" s="139">
        <f>COUNTIF(S211:AT211,"APAGADO")</f>
        <v>16</v>
      </c>
      <c r="R211" s="141">
        <f>(O211)/(Q211+O211)</f>
        <v>0.42857142857142855</v>
      </c>
      <c r="S211" s="142" t="s">
        <v>2240</v>
      </c>
      <c r="T211" s="142"/>
      <c r="U211" s="142"/>
      <c r="V211" s="142"/>
      <c r="W211" s="142"/>
      <c r="X211" s="142" t="s">
        <v>2240</v>
      </c>
      <c r="Y211" s="142" t="s">
        <v>2240</v>
      </c>
      <c r="Z211" s="142" t="s">
        <v>2240</v>
      </c>
      <c r="AA211" s="142"/>
      <c r="AB211" s="142"/>
      <c r="AC211" s="142"/>
      <c r="AD211" s="142"/>
      <c r="AE211" s="70" t="s">
        <v>2240</v>
      </c>
      <c r="AF211" s="70" t="s">
        <v>2240</v>
      </c>
      <c r="AG211" s="142" t="s">
        <v>2240</v>
      </c>
      <c r="AH211" s="70" t="s">
        <v>2240</v>
      </c>
      <c r="AI211" s="70" t="s">
        <v>2240</v>
      </c>
      <c r="AJ211" s="142"/>
      <c r="AK211" s="142"/>
      <c r="AL211" s="70" t="s">
        <v>2240</v>
      </c>
      <c r="AM211" s="70" t="s">
        <v>2240</v>
      </c>
      <c r="AN211" s="70" t="s">
        <v>2240</v>
      </c>
      <c r="AO211" s="70" t="s">
        <v>2240</v>
      </c>
      <c r="AP211" s="70" t="s">
        <v>2240</v>
      </c>
      <c r="AQ211" s="142"/>
      <c r="AR211" s="142"/>
      <c r="AS211" s="70" t="s">
        <v>2240</v>
      </c>
      <c r="AT211" s="70" t="s">
        <v>2240</v>
      </c>
      <c r="AU211" s="70" t="s">
        <v>2240</v>
      </c>
      <c r="AV211" s="70" t="s">
        <v>2240</v>
      </c>
    </row>
    <row r="212" spans="1:48" ht="15.75" thickBot="1" x14ac:dyDescent="0.3">
      <c r="A212" s="69">
        <v>1</v>
      </c>
      <c r="B212" s="69">
        <v>18</v>
      </c>
      <c r="C212" s="69"/>
      <c r="D212" s="69"/>
      <c r="E212" s="69" t="s">
        <v>2379</v>
      </c>
      <c r="F212" s="69" t="s">
        <v>406</v>
      </c>
      <c r="G212" s="69" t="s">
        <v>893</v>
      </c>
      <c r="H212" s="69" t="s">
        <v>1052</v>
      </c>
      <c r="I212" s="69" t="s">
        <v>894</v>
      </c>
      <c r="J212" s="137" t="s">
        <v>18</v>
      </c>
      <c r="K212" s="137" t="s">
        <v>27</v>
      </c>
      <c r="L212" s="137"/>
      <c r="M212" s="137" t="s">
        <v>901</v>
      </c>
      <c r="N212" s="137" t="s">
        <v>2284</v>
      </c>
      <c r="O212" s="139">
        <f>COUNTIF(S212:AT212,"")</f>
        <v>12</v>
      </c>
      <c r="P212" s="140" t="s">
        <v>1959</v>
      </c>
      <c r="Q212" s="139">
        <f>COUNTIF(S212:AT212,"APAGADO")</f>
        <v>16</v>
      </c>
      <c r="R212" s="141">
        <f>(O212)/(Q212+O212)</f>
        <v>0.42857142857142855</v>
      </c>
      <c r="S212" s="142" t="s">
        <v>2240</v>
      </c>
      <c r="T212" s="142"/>
      <c r="U212" s="142"/>
      <c r="V212" s="142"/>
      <c r="W212" s="142"/>
      <c r="X212" s="142" t="s">
        <v>2240</v>
      </c>
      <c r="Y212" s="142" t="s">
        <v>2240</v>
      </c>
      <c r="Z212" s="142" t="s">
        <v>2240</v>
      </c>
      <c r="AA212" s="142"/>
      <c r="AB212" s="142"/>
      <c r="AC212" s="142"/>
      <c r="AD212" s="142"/>
      <c r="AE212" s="70" t="s">
        <v>2240</v>
      </c>
      <c r="AF212" s="70" t="s">
        <v>2240</v>
      </c>
      <c r="AG212" s="142" t="s">
        <v>2240</v>
      </c>
      <c r="AH212" s="70" t="s">
        <v>2240</v>
      </c>
      <c r="AI212" s="70" t="s">
        <v>2240</v>
      </c>
      <c r="AJ212" s="142"/>
      <c r="AK212" s="142"/>
      <c r="AL212" s="70" t="s">
        <v>2240</v>
      </c>
      <c r="AM212" s="70" t="s">
        <v>2240</v>
      </c>
      <c r="AN212" s="70" t="s">
        <v>2240</v>
      </c>
      <c r="AO212" s="70" t="s">
        <v>2240</v>
      </c>
      <c r="AP212" s="70" t="s">
        <v>2240</v>
      </c>
      <c r="AQ212" s="142"/>
      <c r="AR212" s="142"/>
      <c r="AS212" s="70" t="s">
        <v>2240</v>
      </c>
      <c r="AT212" s="70" t="s">
        <v>2240</v>
      </c>
      <c r="AU212" s="70" t="s">
        <v>2240</v>
      </c>
      <c r="AV212" s="70" t="s">
        <v>2240</v>
      </c>
    </row>
    <row r="213" spans="1:48" ht="15.75" thickBot="1" x14ac:dyDescent="0.3">
      <c r="A213"/>
      <c r="B213"/>
      <c r="C213"/>
      <c r="D213"/>
      <c r="E213" t="s">
        <v>2379</v>
      </c>
      <c r="F213" t="s">
        <v>399</v>
      </c>
      <c r="G213" t="s">
        <v>403</v>
      </c>
      <c r="H213" t="s">
        <v>1052</v>
      </c>
      <c r="I213" t="s">
        <v>401</v>
      </c>
      <c r="J213" s="30" t="s">
        <v>72</v>
      </c>
      <c r="K213" s="30" t="s">
        <v>27</v>
      </c>
      <c r="L213" s="30"/>
      <c r="M213" s="30" t="s">
        <v>783</v>
      </c>
      <c r="N213" s="30" t="s">
        <v>2284</v>
      </c>
      <c r="O213" s="31">
        <f>COUNTIF(S213:AT213,"")</f>
        <v>18</v>
      </c>
      <c r="P213" s="136" t="s">
        <v>1952</v>
      </c>
      <c r="Q213" s="31">
        <f>COUNTIF(S213:AT213,"APAGADO")</f>
        <v>10</v>
      </c>
      <c r="R213" s="32">
        <f>(O213)/(Q213+O213)</f>
        <v>0.6428571428571429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 t="s">
        <v>2240</v>
      </c>
      <c r="AF213" s="70" t="s">
        <v>2240</v>
      </c>
      <c r="AG213" s="142" t="s">
        <v>2240</v>
      </c>
      <c r="AH213" s="70" t="s">
        <v>2240</v>
      </c>
      <c r="AI213" s="70" t="s">
        <v>2240</v>
      </c>
      <c r="AJ213" s="70"/>
      <c r="AK213" s="70"/>
      <c r="AL213" s="70" t="s">
        <v>2240</v>
      </c>
      <c r="AM213" s="70" t="s">
        <v>2240</v>
      </c>
      <c r="AN213" s="70" t="s">
        <v>2240</v>
      </c>
      <c r="AO213" s="70" t="s">
        <v>2240</v>
      </c>
      <c r="AP213" s="70" t="s">
        <v>2240</v>
      </c>
      <c r="AQ213" s="70"/>
      <c r="AR213" s="70"/>
      <c r="AS213" s="70"/>
      <c r="AT213" s="70"/>
      <c r="AU213" s="70"/>
      <c r="AV213" s="70"/>
    </row>
    <row r="214" spans="1:48" ht="15.75" thickBot="1" x14ac:dyDescent="0.3">
      <c r="A214"/>
      <c r="B214"/>
      <c r="C214"/>
      <c r="D214"/>
      <c r="E214" t="s">
        <v>2379</v>
      </c>
      <c r="F214" t="s">
        <v>399</v>
      </c>
      <c r="G214" t="s">
        <v>402</v>
      </c>
      <c r="H214" t="s">
        <v>1052</v>
      </c>
      <c r="I214" t="s">
        <v>401</v>
      </c>
      <c r="J214" s="30" t="s">
        <v>72</v>
      </c>
      <c r="K214" s="30" t="s">
        <v>27</v>
      </c>
      <c r="L214" s="30"/>
      <c r="M214" s="30" t="s">
        <v>782</v>
      </c>
      <c r="N214" s="30" t="s">
        <v>2284</v>
      </c>
      <c r="O214" s="31">
        <f>COUNTIF(S214:AT214,"")</f>
        <v>18</v>
      </c>
      <c r="P214" s="136" t="s">
        <v>1951</v>
      </c>
      <c r="Q214" s="31">
        <f>COUNTIF(S214:AT214,"APAGADO")</f>
        <v>10</v>
      </c>
      <c r="R214" s="32">
        <f>(O214)/(Q214+O214)</f>
        <v>0.6428571428571429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 t="s">
        <v>2240</v>
      </c>
      <c r="AF214" s="70" t="s">
        <v>2240</v>
      </c>
      <c r="AG214" s="142" t="s">
        <v>2240</v>
      </c>
      <c r="AH214" s="70" t="s">
        <v>2240</v>
      </c>
      <c r="AI214" s="70" t="s">
        <v>2240</v>
      </c>
      <c r="AJ214" s="70"/>
      <c r="AK214" s="70"/>
      <c r="AL214" s="70" t="s">
        <v>2240</v>
      </c>
      <c r="AM214" s="70" t="s">
        <v>2240</v>
      </c>
      <c r="AN214" s="70" t="s">
        <v>2240</v>
      </c>
      <c r="AO214" s="70" t="s">
        <v>2240</v>
      </c>
      <c r="AP214" s="70" t="s">
        <v>2240</v>
      </c>
      <c r="AQ214" s="70"/>
      <c r="AR214" s="70"/>
      <c r="AS214" s="70"/>
      <c r="AT214" s="70"/>
      <c r="AU214" s="70"/>
      <c r="AV214" s="70"/>
    </row>
    <row r="215" spans="1:48" ht="15.75" thickBot="1" x14ac:dyDescent="0.3">
      <c r="A215">
        <v>1</v>
      </c>
      <c r="B215">
        <v>18</v>
      </c>
      <c r="C215"/>
      <c r="D215"/>
      <c r="E215" t="s">
        <v>2379</v>
      </c>
      <c r="F215" t="s">
        <v>399</v>
      </c>
      <c r="G215" t="s">
        <v>400</v>
      </c>
      <c r="H215" t="s">
        <v>1052</v>
      </c>
      <c r="I215" t="s">
        <v>401</v>
      </c>
      <c r="J215" s="30" t="s">
        <v>18</v>
      </c>
      <c r="K215" s="30" t="s">
        <v>27</v>
      </c>
      <c r="L215" s="30"/>
      <c r="M215" s="30" t="s">
        <v>781</v>
      </c>
      <c r="N215" s="30" t="s">
        <v>2284</v>
      </c>
      <c r="O215" s="31">
        <f>COUNTIF(S215:AT215,"")</f>
        <v>18</v>
      </c>
      <c r="P215" s="136" t="s">
        <v>1950</v>
      </c>
      <c r="Q215" s="31">
        <f>COUNTIF(S215:AT215,"APAGADO")</f>
        <v>10</v>
      </c>
      <c r="R215" s="32">
        <f>(O215)/(Q215+O215)</f>
        <v>0.6428571428571429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2240</v>
      </c>
      <c r="AF215" s="70" t="s">
        <v>2240</v>
      </c>
      <c r="AG215" s="142" t="s">
        <v>2240</v>
      </c>
      <c r="AH215" s="70" t="s">
        <v>2240</v>
      </c>
      <c r="AI215" s="70" t="s">
        <v>2240</v>
      </c>
      <c r="AJ215" s="70"/>
      <c r="AK215" s="70"/>
      <c r="AL215" s="70" t="s">
        <v>2240</v>
      </c>
      <c r="AM215" s="70" t="s">
        <v>2240</v>
      </c>
      <c r="AN215" s="70" t="s">
        <v>2240</v>
      </c>
      <c r="AO215" s="70" t="s">
        <v>2240</v>
      </c>
      <c r="AP215" s="70" t="s">
        <v>2240</v>
      </c>
      <c r="AQ215" s="70"/>
      <c r="AR215" s="70"/>
      <c r="AS215" s="70"/>
      <c r="AT215" s="70"/>
      <c r="AU215" s="70"/>
      <c r="AV215" s="70"/>
    </row>
    <row r="216" spans="1:48" ht="15.75" thickBot="1" x14ac:dyDescent="0.3">
      <c r="A216"/>
      <c r="B216"/>
      <c r="C216"/>
      <c r="D216"/>
      <c r="E216"/>
      <c r="F216" s="73" t="s">
        <v>381</v>
      </c>
      <c r="G216" s="73" t="s">
        <v>397</v>
      </c>
      <c r="H216" s="73" t="s">
        <v>1052</v>
      </c>
      <c r="I216" s="73" t="s">
        <v>398</v>
      </c>
      <c r="J216" s="84" t="s">
        <v>14</v>
      </c>
      <c r="K216" s="84" t="s">
        <v>27</v>
      </c>
      <c r="L216" s="84"/>
      <c r="M216" s="84" t="s">
        <v>1500</v>
      </c>
      <c r="N216" s="84"/>
      <c r="O216" s="85">
        <f>COUNTIF(S216:AT216,"")</f>
        <v>28</v>
      </c>
      <c r="P216" s="136" t="s">
        <v>1949</v>
      </c>
      <c r="Q216" s="85">
        <f>COUNTIF(S216:AT216,"APAGADO")</f>
        <v>0</v>
      </c>
      <c r="R216" s="86">
        <f>(O216)/(Q216+O216)</f>
        <v>1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</row>
    <row r="217" spans="1:48" s="73" customFormat="1" ht="15.75" thickBot="1" x14ac:dyDescent="0.3">
      <c r="A217"/>
      <c r="B217"/>
      <c r="C217"/>
      <c r="D217"/>
      <c r="E217"/>
      <c r="F217" s="73" t="s">
        <v>381</v>
      </c>
      <c r="G217" s="73" t="s">
        <v>395</v>
      </c>
      <c r="H217" s="73" t="s">
        <v>1052</v>
      </c>
      <c r="I217" s="73" t="s">
        <v>396</v>
      </c>
      <c r="J217" s="84" t="s">
        <v>18</v>
      </c>
      <c r="K217" s="84" t="s">
        <v>1291</v>
      </c>
      <c r="L217" s="84"/>
      <c r="M217" s="84" t="s">
        <v>2098</v>
      </c>
      <c r="N217" s="84" t="s">
        <v>2284</v>
      </c>
      <c r="O217" s="131">
        <f>COUNTIF(S217:AT217,"")</f>
        <v>13</v>
      </c>
      <c r="P217" s="136" t="s">
        <v>2285</v>
      </c>
      <c r="Q217" s="131">
        <f>COUNTIF(S217:AT217,"APAGADO")</f>
        <v>15</v>
      </c>
      <c r="R217" s="132">
        <f>(O217)/(Q217+O217)</f>
        <v>0.4642857142857143</v>
      </c>
      <c r="S217" s="70" t="s">
        <v>2240</v>
      </c>
      <c r="T217" s="70"/>
      <c r="U217" s="70"/>
      <c r="V217" s="70"/>
      <c r="W217" s="70"/>
      <c r="X217" s="70"/>
      <c r="Y217" s="70" t="s">
        <v>2240</v>
      </c>
      <c r="Z217" s="70" t="s">
        <v>2240</v>
      </c>
      <c r="AA217" s="70"/>
      <c r="AB217" s="70"/>
      <c r="AC217" s="70"/>
      <c r="AD217" s="70"/>
      <c r="AE217" s="70" t="s">
        <v>2240</v>
      </c>
      <c r="AF217" s="70" t="s">
        <v>2240</v>
      </c>
      <c r="AG217" s="142" t="s">
        <v>2240</v>
      </c>
      <c r="AH217" s="70" t="s">
        <v>2240</v>
      </c>
      <c r="AI217" s="70" t="s">
        <v>2240</v>
      </c>
      <c r="AJ217" s="70"/>
      <c r="AK217" s="70"/>
      <c r="AL217" s="70" t="s">
        <v>2240</v>
      </c>
      <c r="AM217" s="70" t="s">
        <v>2240</v>
      </c>
      <c r="AN217" s="70" t="s">
        <v>2240</v>
      </c>
      <c r="AO217" s="70" t="s">
        <v>2240</v>
      </c>
      <c r="AP217" s="70" t="s">
        <v>2240</v>
      </c>
      <c r="AQ217" s="70"/>
      <c r="AR217" s="70"/>
      <c r="AS217" s="70" t="s">
        <v>2240</v>
      </c>
      <c r="AT217" s="70" t="s">
        <v>2240</v>
      </c>
      <c r="AU217" s="70" t="s">
        <v>2240</v>
      </c>
      <c r="AV217" s="70" t="s">
        <v>2240</v>
      </c>
    </row>
    <row r="218" spans="1:48" s="73" customFormat="1" ht="15.75" thickBot="1" x14ac:dyDescent="0.3">
      <c r="A218"/>
      <c r="B218"/>
      <c r="C218"/>
      <c r="D218"/>
      <c r="E218"/>
      <c r="F218" t="s">
        <v>291</v>
      </c>
      <c r="G218" t="s">
        <v>1254</v>
      </c>
      <c r="H218" t="s">
        <v>1052</v>
      </c>
      <c r="I218" t="s">
        <v>1255</v>
      </c>
      <c r="J218" s="30" t="s">
        <v>14</v>
      </c>
      <c r="K218" s="30" t="s">
        <v>1046</v>
      </c>
      <c r="L218" s="30" t="s">
        <v>1257</v>
      </c>
      <c r="M218" s="30" t="s">
        <v>1256</v>
      </c>
      <c r="N218" s="30" t="s">
        <v>2284</v>
      </c>
      <c r="O218" s="31">
        <f>COUNTIF(S218:AT218,"")</f>
        <v>21</v>
      </c>
      <c r="P218" s="136" t="s">
        <v>1947</v>
      </c>
      <c r="Q218" s="31">
        <f>COUNTIF(S218:AT218,"APAGADO")</f>
        <v>7</v>
      </c>
      <c r="R218" s="32">
        <f>(O218)/(Q218+O218)</f>
        <v>0.75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 t="s">
        <v>2240</v>
      </c>
      <c r="AF218" s="70" t="s">
        <v>2240</v>
      </c>
      <c r="AG218" s="142" t="s">
        <v>2240</v>
      </c>
      <c r="AH218" s="70" t="s">
        <v>2240</v>
      </c>
      <c r="AI218" s="70" t="s">
        <v>2240</v>
      </c>
      <c r="AJ218" s="70"/>
      <c r="AK218" s="70"/>
      <c r="AL218" s="70"/>
      <c r="AM218" s="70"/>
      <c r="AN218" s="70"/>
      <c r="AO218" s="70" t="s">
        <v>2240</v>
      </c>
      <c r="AP218" s="70" t="s">
        <v>2240</v>
      </c>
      <c r="AQ218" s="70"/>
      <c r="AR218" s="70"/>
      <c r="AS218" s="70"/>
      <c r="AT218" s="70"/>
      <c r="AU218" s="70"/>
      <c r="AV218" s="70"/>
    </row>
    <row r="219" spans="1:48" s="73" customFormat="1" ht="15.75" thickBot="1" x14ac:dyDescent="0.3">
      <c r="A219"/>
      <c r="B219"/>
      <c r="C219"/>
      <c r="D219"/>
      <c r="E219"/>
      <c r="F219" t="s">
        <v>291</v>
      </c>
      <c r="G219" t="s">
        <v>394</v>
      </c>
      <c r="H219" t="s">
        <v>1052</v>
      </c>
      <c r="I219" t="s">
        <v>393</v>
      </c>
      <c r="J219" s="30" t="s">
        <v>72</v>
      </c>
      <c r="K219" s="30" t="s">
        <v>27</v>
      </c>
      <c r="L219" s="30"/>
      <c r="M219" s="30" t="s">
        <v>777</v>
      </c>
      <c r="N219" s="30" t="s">
        <v>2284</v>
      </c>
      <c r="O219" s="31">
        <f>COUNTIF(S219:AT219,"")</f>
        <v>22</v>
      </c>
      <c r="P219" s="136" t="s">
        <v>1946</v>
      </c>
      <c r="Q219" s="31">
        <f>COUNTIF(S219:AT219,"APAGADO")</f>
        <v>6</v>
      </c>
      <c r="R219" s="32">
        <f>(O219)/(Q219+O219)</f>
        <v>0.7857142857142857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 t="s">
        <v>2240</v>
      </c>
      <c r="AG219" s="142" t="s">
        <v>2240</v>
      </c>
      <c r="AH219" s="70" t="s">
        <v>2240</v>
      </c>
      <c r="AI219" s="70" t="s">
        <v>2240</v>
      </c>
      <c r="AJ219" s="70"/>
      <c r="AK219" s="70"/>
      <c r="AL219" s="70"/>
      <c r="AM219" s="70"/>
      <c r="AN219" s="70"/>
      <c r="AO219" s="70" t="s">
        <v>2240</v>
      </c>
      <c r="AP219" s="70" t="s">
        <v>2240</v>
      </c>
      <c r="AQ219" s="70"/>
      <c r="AR219" s="70"/>
      <c r="AS219" s="70"/>
      <c r="AT219" s="70"/>
      <c r="AU219" s="70"/>
      <c r="AV219" s="70"/>
    </row>
    <row r="220" spans="1:48" s="73" customFormat="1" ht="15.75" thickBot="1" x14ac:dyDescent="0.3">
      <c r="A220"/>
      <c r="B220"/>
      <c r="C220"/>
      <c r="D220"/>
      <c r="E220"/>
      <c r="F220" t="s">
        <v>291</v>
      </c>
      <c r="G220" t="s">
        <v>392</v>
      </c>
      <c r="H220" t="s">
        <v>1052</v>
      </c>
      <c r="I220" t="s">
        <v>393</v>
      </c>
      <c r="J220" s="30" t="s">
        <v>72</v>
      </c>
      <c r="K220" s="30" t="s">
        <v>27</v>
      </c>
      <c r="L220" s="30"/>
      <c r="M220" s="30" t="s">
        <v>776</v>
      </c>
      <c r="N220" s="30" t="s">
        <v>2284</v>
      </c>
      <c r="O220" s="31">
        <f>COUNTIF(S220:AT220,"")</f>
        <v>22</v>
      </c>
      <c r="P220" s="136" t="s">
        <v>1945</v>
      </c>
      <c r="Q220" s="31">
        <f>COUNTIF(S220:AT220,"APAGADO")</f>
        <v>6</v>
      </c>
      <c r="R220" s="32">
        <f>(O220)/(Q220+O220)</f>
        <v>0.7857142857142857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 t="s">
        <v>2240</v>
      </c>
      <c r="AG220" s="142" t="s">
        <v>2240</v>
      </c>
      <c r="AH220" s="70" t="s">
        <v>2240</v>
      </c>
      <c r="AI220" s="70" t="s">
        <v>2240</v>
      </c>
      <c r="AJ220" s="70"/>
      <c r="AK220" s="70"/>
      <c r="AL220" s="70"/>
      <c r="AM220" s="70"/>
      <c r="AN220" s="70"/>
      <c r="AO220" s="70" t="s">
        <v>2240</v>
      </c>
      <c r="AP220" s="70" t="s">
        <v>2240</v>
      </c>
      <c r="AQ220" s="70"/>
      <c r="AR220" s="70"/>
      <c r="AS220" s="70"/>
      <c r="AT220" s="70"/>
      <c r="AU220" s="70"/>
      <c r="AV220" s="70"/>
    </row>
    <row r="221" spans="1:48" ht="15.75" thickBot="1" x14ac:dyDescent="0.3">
      <c r="A221"/>
      <c r="B221"/>
      <c r="C221"/>
      <c r="D221"/>
      <c r="E221"/>
      <c r="F221" t="s">
        <v>291</v>
      </c>
      <c r="G221" t="s">
        <v>389</v>
      </c>
      <c r="H221" t="s">
        <v>1052</v>
      </c>
      <c r="I221" t="s">
        <v>390</v>
      </c>
      <c r="J221" s="30" t="s">
        <v>18</v>
      </c>
      <c r="K221" s="30" t="s">
        <v>27</v>
      </c>
      <c r="L221"/>
      <c r="M221" s="30" t="s">
        <v>778</v>
      </c>
      <c r="N221" s="30" t="s">
        <v>2284</v>
      </c>
      <c r="O221" s="31">
        <f>COUNTIF(S221:AT221,"")</f>
        <v>25</v>
      </c>
      <c r="P221" s="136" t="s">
        <v>1944</v>
      </c>
      <c r="Q221" s="31">
        <f>COUNTIF(S221:AT221,"APAGADO")</f>
        <v>3</v>
      </c>
      <c r="R221" s="32">
        <f>(O221)/(Q221+O221)</f>
        <v>0.8928571428571429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 t="s">
        <v>2240</v>
      </c>
      <c r="AG221" s="70"/>
      <c r="AH221" s="70"/>
      <c r="AI221" s="70"/>
      <c r="AJ221" s="70"/>
      <c r="AK221" s="70"/>
      <c r="AL221" s="70"/>
      <c r="AM221" s="70"/>
      <c r="AN221" s="70"/>
      <c r="AO221" s="70" t="s">
        <v>2240</v>
      </c>
      <c r="AP221" s="70" t="s">
        <v>2240</v>
      </c>
      <c r="AQ221" s="70"/>
      <c r="AR221" s="70"/>
      <c r="AS221" s="70"/>
      <c r="AT221" s="70"/>
      <c r="AU221" s="70"/>
      <c r="AV221" s="70"/>
    </row>
    <row r="222" spans="1:48" s="73" customFormat="1" ht="15.75" thickBot="1" x14ac:dyDescent="0.3">
      <c r="A222"/>
      <c r="B222"/>
      <c r="C222"/>
      <c r="D222"/>
      <c r="E222"/>
      <c r="F222" t="s">
        <v>291</v>
      </c>
      <c r="G222" t="s">
        <v>1001</v>
      </c>
      <c r="H222" t="s">
        <v>1052</v>
      </c>
      <c r="I222" t="s">
        <v>391</v>
      </c>
      <c r="J222" s="30" t="s">
        <v>18</v>
      </c>
      <c r="K222" s="30" t="s">
        <v>27</v>
      </c>
      <c r="L222" s="30"/>
      <c r="M222" s="30" t="s">
        <v>779</v>
      </c>
      <c r="N222" s="30"/>
      <c r="O222" s="31">
        <f>COUNTIF(S222:AT222,"")</f>
        <v>27</v>
      </c>
      <c r="P222" s="136"/>
      <c r="Q222" s="31">
        <f>COUNTIF(S222:AT222,"APAGADO")</f>
        <v>1</v>
      </c>
      <c r="R222" s="32">
        <f>(O222)/(Q222+O222)</f>
        <v>0.9642857142857143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 t="s">
        <v>2240</v>
      </c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8" s="73" customFormat="1" ht="15.75" thickBot="1" x14ac:dyDescent="0.3">
      <c r="A223"/>
      <c r="B223"/>
      <c r="C223"/>
      <c r="D223"/>
      <c r="E223"/>
      <c r="F223" s="73" t="s">
        <v>381</v>
      </c>
      <c r="G223" s="73" t="s">
        <v>2145</v>
      </c>
      <c r="H223" s="73" t="s">
        <v>1052</v>
      </c>
      <c r="I223" s="73" t="s">
        <v>2146</v>
      </c>
      <c r="J223" s="84" t="s">
        <v>72</v>
      </c>
      <c r="K223" s="30" t="s">
        <v>27</v>
      </c>
      <c r="L223"/>
      <c r="M223" s="84" t="s">
        <v>2147</v>
      </c>
      <c r="N223" s="84" t="s">
        <v>2284</v>
      </c>
      <c r="O223" s="131">
        <f>COUNTIF(S223:AT223,"")</f>
        <v>28</v>
      </c>
      <c r="P223" s="136" t="s">
        <v>2148</v>
      </c>
      <c r="Q223" s="131">
        <f>COUNTIF(S223:AT223,"APAGADO")</f>
        <v>0</v>
      </c>
      <c r="R223" s="132">
        <f>(O223)/(Q223+O223)</f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8" ht="15.75" thickBot="1" x14ac:dyDescent="0.3">
      <c r="A224"/>
      <c r="B224"/>
      <c r="C224"/>
      <c r="D224"/>
      <c r="E224"/>
      <c r="F224" s="73" t="s">
        <v>386</v>
      </c>
      <c r="G224" s="73" t="s">
        <v>387</v>
      </c>
      <c r="H224" s="73" t="s">
        <v>1052</v>
      </c>
      <c r="I224" s="73" t="s">
        <v>388</v>
      </c>
      <c r="J224" s="84" t="s">
        <v>18</v>
      </c>
      <c r="K224" s="84" t="s">
        <v>1291</v>
      </c>
      <c r="L224"/>
      <c r="M224" s="84" t="s">
        <v>1467</v>
      </c>
      <c r="N224" s="84"/>
      <c r="O224" s="131">
        <f>COUNTIF(S224:AT224,"")</f>
        <v>28</v>
      </c>
      <c r="P224" s="136"/>
      <c r="Q224" s="131">
        <f>COUNTIF(S224:AT224,"APAGADO")</f>
        <v>0</v>
      </c>
      <c r="R224" s="132">
        <f>(O224)/(Q224+O224)</f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thickBot="1" x14ac:dyDescent="0.3">
      <c r="A225"/>
      <c r="B225"/>
      <c r="C225"/>
      <c r="D225"/>
      <c r="E225"/>
      <c r="F225" t="s">
        <v>381</v>
      </c>
      <c r="G225" t="s">
        <v>384</v>
      </c>
      <c r="H225" t="s">
        <v>1052</v>
      </c>
      <c r="I225" t="s">
        <v>385</v>
      </c>
      <c r="J225" s="30" t="s">
        <v>18</v>
      </c>
      <c r="K225" s="30" t="s">
        <v>27</v>
      </c>
      <c r="L225"/>
      <c r="M225" s="30" t="s">
        <v>775</v>
      </c>
      <c r="N225" s="30"/>
      <c r="O225" s="31">
        <f>COUNTIF(S225:AT225,"")</f>
        <v>28</v>
      </c>
      <c r="P225" s="136" t="s">
        <v>1943</v>
      </c>
      <c r="Q225" s="31">
        <f>COUNTIF(S225:AT225,"APAGADO")</f>
        <v>0</v>
      </c>
      <c r="R225" s="32">
        <f>(O225)/(Q225+O225)</f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thickBot="1" x14ac:dyDescent="0.3">
      <c r="A226"/>
      <c r="B226"/>
      <c r="C226"/>
      <c r="D226"/>
      <c r="E226"/>
      <c r="F226" t="s">
        <v>381</v>
      </c>
      <c r="G226" t="s">
        <v>382</v>
      </c>
      <c r="H226" t="s">
        <v>1052</v>
      </c>
      <c r="I226" t="s">
        <v>383</v>
      </c>
      <c r="J226" s="30" t="s">
        <v>18</v>
      </c>
      <c r="K226" s="30" t="s">
        <v>27</v>
      </c>
      <c r="L226"/>
      <c r="M226" s="30" t="s">
        <v>774</v>
      </c>
      <c r="N226" s="30" t="s">
        <v>2284</v>
      </c>
      <c r="O226" s="31">
        <f>COUNTIF(S226:AT226,"")</f>
        <v>24</v>
      </c>
      <c r="P226" s="136" t="s">
        <v>1942</v>
      </c>
      <c r="Q226" s="31">
        <f>COUNTIF(S226:AT226,"APAGADO")</f>
        <v>4</v>
      </c>
      <c r="R226" s="32">
        <f>(O226)/(Q226+O226)</f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 t="s">
        <v>2240</v>
      </c>
      <c r="AG226" s="70"/>
      <c r="AH226" s="70"/>
      <c r="AI226" s="70"/>
      <c r="AJ226" s="70"/>
      <c r="AK226" s="70"/>
      <c r="AL226" s="70"/>
      <c r="AM226" s="70"/>
      <c r="AN226" s="70"/>
      <c r="AO226" s="70" t="s">
        <v>2240</v>
      </c>
      <c r="AP226" s="70"/>
      <c r="AQ226" s="70"/>
      <c r="AR226" s="70"/>
      <c r="AS226" s="70" t="s">
        <v>2240</v>
      </c>
      <c r="AT226" s="70" t="s">
        <v>2240</v>
      </c>
      <c r="AU226" s="70" t="s">
        <v>2240</v>
      </c>
      <c r="AV226" s="70" t="s">
        <v>2240</v>
      </c>
    </row>
    <row r="227" spans="1:48" ht="15.75" thickBot="1" x14ac:dyDescent="0.3">
      <c r="A227">
        <v>1</v>
      </c>
      <c r="B227">
        <v>7</v>
      </c>
      <c r="C227"/>
      <c r="D227"/>
      <c r="E227" t="s">
        <v>2346</v>
      </c>
      <c r="F227" t="s">
        <v>261</v>
      </c>
      <c r="G227" t="s">
        <v>379</v>
      </c>
      <c r="H227" t="s">
        <v>1052</v>
      </c>
      <c r="I227" t="s">
        <v>380</v>
      </c>
      <c r="J227" s="30" t="s">
        <v>18</v>
      </c>
      <c r="K227" s="30" t="s">
        <v>27</v>
      </c>
      <c r="L227" s="30"/>
      <c r="M227" s="30" t="s">
        <v>773</v>
      </c>
      <c r="N227" s="30"/>
      <c r="O227" s="31">
        <f>COUNTIF(S227:AT227,"")</f>
        <v>28</v>
      </c>
      <c r="P227" s="136" t="s">
        <v>1928</v>
      </c>
      <c r="Q227" s="31">
        <f>COUNTIF(S227:AT227,"APAGADO")</f>
        <v>0</v>
      </c>
      <c r="R227" s="32">
        <f>(O227)/(Q227+O227)</f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thickBot="1" x14ac:dyDescent="0.3">
      <c r="A228"/>
      <c r="B228"/>
      <c r="C228"/>
      <c r="D228"/>
      <c r="E228"/>
      <c r="F228" s="73" t="s">
        <v>1310</v>
      </c>
      <c r="G228" s="73" t="s">
        <v>1614</v>
      </c>
      <c r="H228" s="73" t="s">
        <v>1052</v>
      </c>
      <c r="I228" s="73" t="s">
        <v>1615</v>
      </c>
      <c r="J228" s="73" t="s">
        <v>18</v>
      </c>
      <c r="K228" s="84" t="s">
        <v>1291</v>
      </c>
      <c r="L228"/>
      <c r="M228" s="84" t="s">
        <v>1616</v>
      </c>
      <c r="N228" s="84"/>
      <c r="O228" s="31">
        <f>COUNTIF(S228:AT228,"")</f>
        <v>24</v>
      </c>
      <c r="P228" s="136" t="s">
        <v>2118</v>
      </c>
      <c r="Q228" s="31">
        <f>COUNTIF(S228:AT228,"APAGADO")</f>
        <v>4</v>
      </c>
      <c r="R228" s="32">
        <f>(O228)/(Q228+O228)</f>
        <v>0.8571428571428571</v>
      </c>
      <c r="S228" s="70"/>
      <c r="T228" s="70"/>
      <c r="U228" s="70"/>
      <c r="V228" s="70"/>
      <c r="W228" s="70"/>
      <c r="X228" s="70" t="s">
        <v>2240</v>
      </c>
      <c r="Y228" s="70" t="s">
        <v>2240</v>
      </c>
      <c r="Z228" s="70" t="s">
        <v>2240</v>
      </c>
      <c r="AA228" s="70"/>
      <c r="AB228" s="70"/>
      <c r="AC228" s="70"/>
      <c r="AD228" s="70"/>
      <c r="AE228" s="70"/>
      <c r="AF228" s="70" t="s">
        <v>2240</v>
      </c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s="73" customFormat="1" ht="15.75" thickBot="1" x14ac:dyDescent="0.3">
      <c r="A229"/>
      <c r="B229"/>
      <c r="C229"/>
      <c r="D229"/>
      <c r="E229"/>
      <c r="F229" s="73" t="s">
        <v>1310</v>
      </c>
      <c r="G229" s="73" t="s">
        <v>1559</v>
      </c>
      <c r="H229" s="73" t="s">
        <v>1052</v>
      </c>
      <c r="I229" s="73" t="s">
        <v>1564</v>
      </c>
      <c r="J229" s="73" t="s">
        <v>72</v>
      </c>
      <c r="K229" s="84" t="s">
        <v>1291</v>
      </c>
      <c r="L229"/>
      <c r="M229" s="84" t="s">
        <v>1565</v>
      </c>
      <c r="N229" s="84"/>
      <c r="O229" s="31">
        <f>COUNTIF(S229:AT229,"")</f>
        <v>27</v>
      </c>
      <c r="P229" s="136" t="s">
        <v>1941</v>
      </c>
      <c r="Q229" s="31">
        <f>COUNTIF(S229:AT229,"APAGADO")</f>
        <v>1</v>
      </c>
      <c r="R229" s="32">
        <f>(O229)/(Q229+O229)</f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 t="s">
        <v>2240</v>
      </c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thickBot="1" x14ac:dyDescent="0.3">
      <c r="A230"/>
      <c r="B230"/>
      <c r="C230"/>
      <c r="D230"/>
      <c r="E230"/>
      <c r="F230" s="73" t="s">
        <v>1310</v>
      </c>
      <c r="G230" s="73" t="s">
        <v>1558</v>
      </c>
      <c r="H230" s="73" t="s">
        <v>1052</v>
      </c>
      <c r="I230" s="73" t="s">
        <v>1562</v>
      </c>
      <c r="J230" s="73" t="s">
        <v>72</v>
      </c>
      <c r="K230" s="84" t="s">
        <v>1291</v>
      </c>
      <c r="L230"/>
      <c r="M230" s="84" t="s">
        <v>1563</v>
      </c>
      <c r="N230" s="84"/>
      <c r="O230" s="31">
        <f>COUNTIF(S230:AT230,"")</f>
        <v>16</v>
      </c>
      <c r="P230" s="136" t="s">
        <v>1940</v>
      </c>
      <c r="Q230" s="31">
        <f>COUNTIF(S230:AT230,"APAGADO")</f>
        <v>12</v>
      </c>
      <c r="R230" s="32">
        <f>(O230)/(Q230+O230)</f>
        <v>0.5714285714285714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 t="s">
        <v>2240</v>
      </c>
      <c r="AF230" s="70" t="s">
        <v>2240</v>
      </c>
      <c r="AG230" s="142" t="s">
        <v>2240</v>
      </c>
      <c r="AH230" s="70" t="s">
        <v>2240</v>
      </c>
      <c r="AI230" s="70" t="s">
        <v>2240</v>
      </c>
      <c r="AJ230" s="70"/>
      <c r="AK230" s="70"/>
      <c r="AL230" s="70" t="s">
        <v>2240</v>
      </c>
      <c r="AM230" s="70" t="s">
        <v>2240</v>
      </c>
      <c r="AN230" s="70" t="s">
        <v>2240</v>
      </c>
      <c r="AO230" s="70" t="s">
        <v>2240</v>
      </c>
      <c r="AP230" s="70" t="s">
        <v>2240</v>
      </c>
      <c r="AQ230" s="70"/>
      <c r="AR230" s="70"/>
      <c r="AS230" s="70" t="s">
        <v>2240</v>
      </c>
      <c r="AT230" s="70" t="s">
        <v>2240</v>
      </c>
      <c r="AU230" s="70" t="s">
        <v>2240</v>
      </c>
      <c r="AV230" s="70" t="s">
        <v>2240</v>
      </c>
    </row>
    <row r="231" spans="1:48" ht="15.75" thickBot="1" x14ac:dyDescent="0.3">
      <c r="A231"/>
      <c r="B231"/>
      <c r="C231"/>
      <c r="D231"/>
      <c r="E231"/>
      <c r="F231" s="73" t="s">
        <v>1310</v>
      </c>
      <c r="G231" s="73" t="s">
        <v>1557</v>
      </c>
      <c r="H231" s="73" t="s">
        <v>1052</v>
      </c>
      <c r="I231" s="73" t="s">
        <v>1560</v>
      </c>
      <c r="J231" s="84" t="s">
        <v>72</v>
      </c>
      <c r="K231" s="84" t="s">
        <v>1291</v>
      </c>
      <c r="L231"/>
      <c r="M231" s="84" t="s">
        <v>1561</v>
      </c>
      <c r="N231" s="84"/>
      <c r="O231" s="31">
        <f>COUNTIF(S231:AT231,"")</f>
        <v>27</v>
      </c>
      <c r="P231" s="136" t="s">
        <v>1939</v>
      </c>
      <c r="Q231" s="31">
        <f>COUNTIF(S231:AT231,"APAGADO")</f>
        <v>1</v>
      </c>
      <c r="R231" s="32">
        <f>(O231)/(Q231+O231)</f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 t="s">
        <v>2240</v>
      </c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thickBot="1" x14ac:dyDescent="0.3">
      <c r="A232"/>
      <c r="B232"/>
      <c r="C232"/>
      <c r="D232"/>
      <c r="E232"/>
      <c r="F232" s="73" t="s">
        <v>1310</v>
      </c>
      <c r="G232" t="s">
        <v>1225</v>
      </c>
      <c r="H232" t="s">
        <v>1052</v>
      </c>
      <c r="I232" t="s">
        <v>1226</v>
      </c>
      <c r="J232" t="s">
        <v>18</v>
      </c>
      <c r="K232" t="s">
        <v>27</v>
      </c>
      <c r="L232"/>
      <c r="M232" s="30" t="s">
        <v>1231</v>
      </c>
      <c r="N232" s="30"/>
      <c r="O232" s="31">
        <f>COUNTIF(S232:AT232,"")</f>
        <v>23</v>
      </c>
      <c r="P232" s="136" t="s">
        <v>1938</v>
      </c>
      <c r="Q232" s="31">
        <f>COUNTIF(S232:AT232,"APAGADO")</f>
        <v>5</v>
      </c>
      <c r="R232" s="32">
        <f>(O232)/(Q232+O232)</f>
        <v>0.8214285714285714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 t="s">
        <v>2240</v>
      </c>
      <c r="AG232" s="142" t="s">
        <v>2240</v>
      </c>
      <c r="AH232" s="70" t="s">
        <v>2240</v>
      </c>
      <c r="AI232" s="70" t="s">
        <v>2240</v>
      </c>
      <c r="AJ232" s="70"/>
      <c r="AK232" s="70"/>
      <c r="AL232" s="70" t="s">
        <v>2240</v>
      </c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8" s="73" customFormat="1" ht="15.75" thickBot="1" x14ac:dyDescent="0.3">
      <c r="A233"/>
      <c r="B233"/>
      <c r="C233"/>
      <c r="D233"/>
      <c r="E233"/>
      <c r="F233" s="73" t="s">
        <v>1310</v>
      </c>
      <c r="G233" t="s">
        <v>1223</v>
      </c>
      <c r="H233" t="s">
        <v>1052</v>
      </c>
      <c r="I233" t="s">
        <v>1224</v>
      </c>
      <c r="J233" t="s">
        <v>18</v>
      </c>
      <c r="K233" t="s">
        <v>27</v>
      </c>
      <c r="L233"/>
      <c r="M233" s="30" t="s">
        <v>1230</v>
      </c>
      <c r="N233" s="30"/>
      <c r="O233" s="31">
        <f>COUNTIF(S233:AT233,"")</f>
        <v>23</v>
      </c>
      <c r="P233" s="136" t="s">
        <v>1937</v>
      </c>
      <c r="Q233" s="31">
        <f>COUNTIF(S233:AT233,"APAGADO")</f>
        <v>5</v>
      </c>
      <c r="R233" s="32">
        <f>(O233)/(Q233+O233)</f>
        <v>0.8214285714285714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 t="s">
        <v>2240</v>
      </c>
      <c r="AG233" s="152" t="s">
        <v>2240</v>
      </c>
      <c r="AH233" s="71" t="s">
        <v>2240</v>
      </c>
      <c r="AI233" s="71" t="s">
        <v>2240</v>
      </c>
      <c r="AJ233" s="71"/>
      <c r="AK233" s="71"/>
      <c r="AL233" s="71" t="s">
        <v>2240</v>
      </c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 spans="1:48" s="73" customFormat="1" ht="15.75" thickBot="1" x14ac:dyDescent="0.3">
      <c r="A234">
        <v>1</v>
      </c>
      <c r="B234">
        <v>19</v>
      </c>
      <c r="C234"/>
      <c r="D234"/>
      <c r="E234" t="s">
        <v>2346</v>
      </c>
      <c r="F234" t="s">
        <v>261</v>
      </c>
      <c r="G234" t="s">
        <v>1123</v>
      </c>
      <c r="H234" t="s">
        <v>1052</v>
      </c>
      <c r="I234" t="s">
        <v>1118</v>
      </c>
      <c r="J234" s="30" t="s">
        <v>72</v>
      </c>
      <c r="K234" s="30" t="s">
        <v>27</v>
      </c>
      <c r="L234" s="30"/>
      <c r="M234" s="30" t="s">
        <v>1129</v>
      </c>
      <c r="N234" s="30"/>
      <c r="O234" s="31">
        <f>COUNTIF(S234:AT234,"")</f>
        <v>28</v>
      </c>
      <c r="P234" s="136" t="s">
        <v>1936</v>
      </c>
      <c r="Q234" s="31">
        <f>COUNTIF(S234:AT234,"APAGADO")</f>
        <v>0</v>
      </c>
      <c r="R234" s="32">
        <f>(O234)/(Q234+O234)</f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</row>
    <row r="235" spans="1:48" s="73" customFormat="1" ht="15.75" thickBot="1" x14ac:dyDescent="0.3">
      <c r="A235">
        <v>1</v>
      </c>
      <c r="B235">
        <v>19</v>
      </c>
      <c r="C235"/>
      <c r="D235"/>
      <c r="E235" t="s">
        <v>2346</v>
      </c>
      <c r="F235" t="s">
        <v>261</v>
      </c>
      <c r="G235" t="s">
        <v>1122</v>
      </c>
      <c r="H235" t="s">
        <v>1052</v>
      </c>
      <c r="I235" t="s">
        <v>1118</v>
      </c>
      <c r="J235" s="30" t="s">
        <v>72</v>
      </c>
      <c r="K235" s="30" t="s">
        <v>27</v>
      </c>
      <c r="L235" s="30"/>
      <c r="M235" s="30" t="s">
        <v>1128</v>
      </c>
      <c r="N235" s="30"/>
      <c r="O235" s="31">
        <f>COUNTIF(S235:AT235,"")</f>
        <v>28</v>
      </c>
      <c r="P235" s="136" t="s">
        <v>1935</v>
      </c>
      <c r="Q235" s="31">
        <f>COUNTIF(S235:AT235,"APAGADO")</f>
        <v>0</v>
      </c>
      <c r="R235" s="32">
        <f>(O235)/(Q235+O235)</f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</row>
    <row r="236" spans="1:48" s="73" customFormat="1" ht="15.75" thickBot="1" x14ac:dyDescent="0.3">
      <c r="A236">
        <v>1</v>
      </c>
      <c r="B236">
        <v>19</v>
      </c>
      <c r="C236"/>
      <c r="D236"/>
      <c r="E236" t="s">
        <v>2346</v>
      </c>
      <c r="F236" t="s">
        <v>261</v>
      </c>
      <c r="G236" t="s">
        <v>1121</v>
      </c>
      <c r="H236" t="s">
        <v>1052</v>
      </c>
      <c r="I236" t="s">
        <v>1117</v>
      </c>
      <c r="J236" s="30" t="s">
        <v>72</v>
      </c>
      <c r="K236" s="30" t="s">
        <v>27</v>
      </c>
      <c r="L236" s="30"/>
      <c r="M236" s="30" t="s">
        <v>1127</v>
      </c>
      <c r="N236" s="30"/>
      <c r="O236" s="31">
        <f>COUNTIF(S236:AT236,"")</f>
        <v>28</v>
      </c>
      <c r="P236" s="136" t="s">
        <v>1934</v>
      </c>
      <c r="Q236" s="31">
        <f>COUNTIF(S236:AT236,"APAGADO")</f>
        <v>0</v>
      </c>
      <c r="R236" s="32">
        <f>(O236)/(Q236+O236)</f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thickBot="1" x14ac:dyDescent="0.3">
      <c r="A237">
        <v>1</v>
      </c>
      <c r="B237">
        <v>19</v>
      </c>
      <c r="C237"/>
      <c r="D237"/>
      <c r="E237" t="s">
        <v>2346</v>
      </c>
      <c r="F237" t="s">
        <v>261</v>
      </c>
      <c r="G237" t="s">
        <v>1120</v>
      </c>
      <c r="H237" t="s">
        <v>1052</v>
      </c>
      <c r="I237" t="s">
        <v>1117</v>
      </c>
      <c r="J237" s="30" t="s">
        <v>72</v>
      </c>
      <c r="K237" s="30" t="s">
        <v>27</v>
      </c>
      <c r="L237" s="30"/>
      <c r="M237" s="30" t="s">
        <v>1126</v>
      </c>
      <c r="N237" s="30"/>
      <c r="O237" s="31">
        <f>COUNTIF(S237:AT237,"")</f>
        <v>28</v>
      </c>
      <c r="P237" s="136" t="s">
        <v>1933</v>
      </c>
      <c r="Q237" s="31">
        <f>COUNTIF(S237:AT237,"APAGADO")</f>
        <v>0</v>
      </c>
      <c r="R237" s="32">
        <f>(O237)/(Q237+O237)</f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thickBot="1" x14ac:dyDescent="0.3">
      <c r="A238">
        <v>1</v>
      </c>
      <c r="B238">
        <v>19</v>
      </c>
      <c r="C238"/>
      <c r="D238"/>
      <c r="E238" t="s">
        <v>2346</v>
      </c>
      <c r="F238" t="s">
        <v>261</v>
      </c>
      <c r="G238" t="s">
        <v>999</v>
      </c>
      <c r="H238" t="s">
        <v>1052</v>
      </c>
      <c r="I238" t="s">
        <v>1000</v>
      </c>
      <c r="J238" s="30" t="s">
        <v>18</v>
      </c>
      <c r="K238" s="30" t="s">
        <v>27</v>
      </c>
      <c r="L238" s="30"/>
      <c r="M238" s="30" t="s">
        <v>2304</v>
      </c>
      <c r="N238" s="30"/>
      <c r="O238" s="31">
        <f>COUNTIF(S238:AT238,"")</f>
        <v>28</v>
      </c>
      <c r="P238" s="136" t="s">
        <v>1932</v>
      </c>
      <c r="Q238" s="31">
        <f>COUNTIF(S238:AT238,"APAGADO")</f>
        <v>0</v>
      </c>
      <c r="R238" s="32">
        <f>(O238)/(Q238+O238)</f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s="73" customFormat="1" ht="15.75" thickBot="1" x14ac:dyDescent="0.3">
      <c r="A239">
        <v>1</v>
      </c>
      <c r="B239">
        <v>19</v>
      </c>
      <c r="C239"/>
      <c r="D239"/>
      <c r="E239" t="s">
        <v>2346</v>
      </c>
      <c r="F239" t="s">
        <v>261</v>
      </c>
      <c r="G239" t="s">
        <v>997</v>
      </c>
      <c r="H239" t="s">
        <v>1052</v>
      </c>
      <c r="I239" t="s">
        <v>998</v>
      </c>
      <c r="J239" s="30" t="s">
        <v>18</v>
      </c>
      <c r="K239" s="30" t="s">
        <v>27</v>
      </c>
      <c r="L239" s="30"/>
      <c r="M239" s="30" t="s">
        <v>2195</v>
      </c>
      <c r="N239" s="30"/>
      <c r="O239" s="31">
        <f>COUNTIF(S239:AT239,"")</f>
        <v>28</v>
      </c>
      <c r="P239" s="136" t="s">
        <v>1931</v>
      </c>
      <c r="Q239" s="31">
        <f>COUNTIF(S239:AT239,"APAGADO")</f>
        <v>0</v>
      </c>
      <c r="R239" s="32">
        <f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thickBot="1" x14ac:dyDescent="0.3">
      <c r="A240"/>
      <c r="B240"/>
      <c r="C240"/>
      <c r="D240"/>
      <c r="E240"/>
      <c r="F240" s="73" t="s">
        <v>261</v>
      </c>
      <c r="G240" s="73" t="s">
        <v>996</v>
      </c>
      <c r="H240" s="73" t="s">
        <v>1052</v>
      </c>
      <c r="I240" s="73" t="s">
        <v>335</v>
      </c>
      <c r="J240" s="84" t="s">
        <v>72</v>
      </c>
      <c r="K240" s="84" t="s">
        <v>1291</v>
      </c>
      <c r="L240" s="30"/>
      <c r="M240" s="84" t="s">
        <v>743</v>
      </c>
      <c r="N240" s="84"/>
      <c r="O240" s="131">
        <f>COUNTIF(S240:AT240,"")</f>
        <v>28</v>
      </c>
      <c r="P240" s="136" t="s">
        <v>1930</v>
      </c>
      <c r="Q240" s="131">
        <f>COUNTIF(S240:AT240,"APAGADO")</f>
        <v>0</v>
      </c>
      <c r="R240" s="132">
        <f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thickBot="1" x14ac:dyDescent="0.3">
      <c r="A241"/>
      <c r="B241"/>
      <c r="C241"/>
      <c r="D241"/>
      <c r="E241"/>
      <c r="F241" s="73" t="s">
        <v>261</v>
      </c>
      <c r="G241" s="73" t="s">
        <v>995</v>
      </c>
      <c r="H241" s="73" t="s">
        <v>1052</v>
      </c>
      <c r="I241" s="73" t="s">
        <v>335</v>
      </c>
      <c r="J241" s="84" t="s">
        <v>72</v>
      </c>
      <c r="K241" s="84" t="s">
        <v>1291</v>
      </c>
      <c r="L241" s="30"/>
      <c r="M241" s="84" t="s">
        <v>742</v>
      </c>
      <c r="N241" s="84"/>
      <c r="O241" s="131">
        <f>COUNTIF(S241:AT241,"")</f>
        <v>28</v>
      </c>
      <c r="P241" s="136" t="s">
        <v>1929</v>
      </c>
      <c r="Q241" s="131">
        <f>COUNTIF(S241:AT241,"APAGADO")</f>
        <v>0</v>
      </c>
      <c r="R241" s="132">
        <f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thickBot="1" x14ac:dyDescent="0.3">
      <c r="A242"/>
      <c r="B242"/>
      <c r="C242"/>
      <c r="D242"/>
      <c r="E242"/>
      <c r="F242" s="73" t="s">
        <v>890</v>
      </c>
      <c r="G242" s="73" t="s">
        <v>889</v>
      </c>
      <c r="H242" s="73" t="s">
        <v>1053</v>
      </c>
      <c r="I242" s="73" t="s">
        <v>994</v>
      </c>
      <c r="J242" s="84" t="s">
        <v>1048</v>
      </c>
      <c r="K242" s="84" t="s">
        <v>1291</v>
      </c>
      <c r="L242" s="30"/>
      <c r="M242" s="84" t="s">
        <v>891</v>
      </c>
      <c r="N242" s="84"/>
      <c r="O242" s="131">
        <f>COUNTIF(S242:AT242,"")</f>
        <v>28</v>
      </c>
      <c r="P242" s="136"/>
      <c r="Q242" s="131">
        <f>COUNTIF(S242:AT242,"APAGADO")</f>
        <v>0</v>
      </c>
      <c r="R242" s="132">
        <f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thickBot="1" x14ac:dyDescent="0.3">
      <c r="A243"/>
      <c r="B243"/>
      <c r="C243"/>
      <c r="D243"/>
      <c r="E243"/>
      <c r="F243" s="73" t="s">
        <v>890</v>
      </c>
      <c r="G243" s="73" t="s">
        <v>993</v>
      </c>
      <c r="H243" s="73" t="s">
        <v>1053</v>
      </c>
      <c r="I243" s="73" t="s">
        <v>994</v>
      </c>
      <c r="J243" s="84" t="s">
        <v>1047</v>
      </c>
      <c r="K243" s="84" t="s">
        <v>1291</v>
      </c>
      <c r="L243" s="30"/>
      <c r="M243" s="84" t="s">
        <v>892</v>
      </c>
      <c r="N243" s="84"/>
      <c r="O243" s="131">
        <f>COUNTIF(S243:AT243,"")</f>
        <v>28</v>
      </c>
      <c r="P243" s="136"/>
      <c r="Q243" s="131">
        <f>COUNTIF(S243:AT243,"APAGADO")</f>
        <v>0</v>
      </c>
      <c r="R243" s="132">
        <f>(O243)/(Q243+O243)</f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thickBot="1" x14ac:dyDescent="0.3">
      <c r="A244"/>
      <c r="B244"/>
      <c r="C244"/>
      <c r="D244"/>
      <c r="E244"/>
      <c r="F244" t="s">
        <v>372</v>
      </c>
      <c r="G244" t="s">
        <v>377</v>
      </c>
      <c r="H244" t="s">
        <v>1053</v>
      </c>
      <c r="I244" t="s">
        <v>376</v>
      </c>
      <c r="J244" s="30" t="s">
        <v>72</v>
      </c>
      <c r="K244" s="30" t="s">
        <v>27</v>
      </c>
      <c r="L244" s="30"/>
      <c r="M244" s="30" t="s">
        <v>770</v>
      </c>
      <c r="N244" s="30"/>
      <c r="O244" s="31">
        <f>COUNTIF(S244:AT244,"")</f>
        <v>26</v>
      </c>
      <c r="P244" s="136" t="s">
        <v>1917</v>
      </c>
      <c r="Q244" s="31">
        <f>COUNTIF(S244:AT244,"APAGADO")</f>
        <v>2</v>
      </c>
      <c r="R244" s="32">
        <f>(O244)/(Q244+O244)</f>
        <v>0.9285714285714286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 t="s">
        <v>2240</v>
      </c>
      <c r="AT244" s="70" t="s">
        <v>2240</v>
      </c>
      <c r="AU244" s="70" t="s">
        <v>2240</v>
      </c>
      <c r="AV244" s="70" t="s">
        <v>2240</v>
      </c>
    </row>
    <row r="245" spans="1:48" ht="15.75" thickBot="1" x14ac:dyDescent="0.3">
      <c r="A245"/>
      <c r="B245"/>
      <c r="C245"/>
      <c r="D245"/>
      <c r="E245" t="s">
        <v>2366</v>
      </c>
      <c r="F245" t="s">
        <v>372</v>
      </c>
      <c r="G245" t="s">
        <v>375</v>
      </c>
      <c r="H245" t="s">
        <v>1053</v>
      </c>
      <c r="I245" t="s">
        <v>376</v>
      </c>
      <c r="J245" s="30" t="s">
        <v>72</v>
      </c>
      <c r="K245" s="30" t="s">
        <v>27</v>
      </c>
      <c r="L245" s="30"/>
      <c r="M245" s="30" t="s">
        <v>769</v>
      </c>
      <c r="N245" s="30"/>
      <c r="O245" s="31">
        <f>COUNTIF(S245:AT245,"")</f>
        <v>26</v>
      </c>
      <c r="P245" s="136" t="s">
        <v>1916</v>
      </c>
      <c r="Q245" s="31">
        <f>COUNTIF(S245:AT245,"APAGADO")</f>
        <v>2</v>
      </c>
      <c r="R245" s="32">
        <f>(O245)/(Q245+O245)</f>
        <v>0.9285714285714286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 t="s">
        <v>2240</v>
      </c>
      <c r="AT245" s="70" t="s">
        <v>2240</v>
      </c>
      <c r="AU245" s="70" t="s">
        <v>2240</v>
      </c>
      <c r="AV245" s="70" t="s">
        <v>2240</v>
      </c>
    </row>
    <row r="246" spans="1:48" ht="15.75" thickBot="1" x14ac:dyDescent="0.3">
      <c r="A246"/>
      <c r="B246"/>
      <c r="C246"/>
      <c r="D246"/>
      <c r="E246" t="s">
        <v>2366</v>
      </c>
      <c r="F246" t="s">
        <v>372</v>
      </c>
      <c r="G246" t="s">
        <v>992</v>
      </c>
      <c r="H246" t="s">
        <v>1053</v>
      </c>
      <c r="I246" t="s">
        <v>374</v>
      </c>
      <c r="J246" s="30" t="s">
        <v>14</v>
      </c>
      <c r="K246" s="30" t="s">
        <v>27</v>
      </c>
      <c r="L246" s="30"/>
      <c r="M246" s="30" t="s">
        <v>771</v>
      </c>
      <c r="N246" s="30"/>
      <c r="O246" s="31">
        <f>COUNTIF(S246:AT246,"")</f>
        <v>28</v>
      </c>
      <c r="P246" s="136" t="s">
        <v>1915</v>
      </c>
      <c r="Q246" s="31">
        <f>COUNTIF(S246:AT246,"APAGADO")</f>
        <v>0</v>
      </c>
      <c r="R246" s="32">
        <f>(O246)/(Q246+O246)</f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thickBot="1" x14ac:dyDescent="0.3">
      <c r="A247"/>
      <c r="B247"/>
      <c r="C247"/>
      <c r="D247"/>
      <c r="E247" t="s">
        <v>2366</v>
      </c>
      <c r="F247" s="73" t="s">
        <v>372</v>
      </c>
      <c r="G247" s="73" t="s">
        <v>991</v>
      </c>
      <c r="H247" s="73" t="s">
        <v>1053</v>
      </c>
      <c r="I247" s="73" t="s">
        <v>373</v>
      </c>
      <c r="J247" s="84" t="s">
        <v>14</v>
      </c>
      <c r="K247" s="84" t="s">
        <v>27</v>
      </c>
      <c r="L247" s="84"/>
      <c r="M247" s="84" t="s">
        <v>768</v>
      </c>
      <c r="N247" s="84"/>
      <c r="O247" s="85">
        <f>COUNTIF(S247:AT247,"")</f>
        <v>28</v>
      </c>
      <c r="P247" s="136" t="s">
        <v>1914</v>
      </c>
      <c r="Q247" s="85">
        <f>COUNTIF(S247:AT247,"APAGADO")</f>
        <v>0</v>
      </c>
      <c r="R247" s="86">
        <f>(O247)/(Q247+O247)</f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thickBot="1" x14ac:dyDescent="0.3">
      <c r="A248"/>
      <c r="B248"/>
      <c r="C248"/>
      <c r="D248"/>
      <c r="E248" t="s">
        <v>2366</v>
      </c>
      <c r="F248" t="s">
        <v>372</v>
      </c>
      <c r="G248" t="s">
        <v>1376</v>
      </c>
      <c r="H248" t="s">
        <v>1053</v>
      </c>
      <c r="I248" s="68" t="s">
        <v>1379</v>
      </c>
      <c r="J248" s="30" t="s">
        <v>14</v>
      </c>
      <c r="K248" s="30" t="s">
        <v>27</v>
      </c>
      <c r="L248" s="30"/>
      <c r="M248" s="30" t="s">
        <v>1485</v>
      </c>
      <c r="N248" s="30"/>
      <c r="O248" s="31">
        <f>COUNTIF(S248:AT248,"")</f>
        <v>26</v>
      </c>
      <c r="P248" s="136" t="s">
        <v>1927</v>
      </c>
      <c r="Q248" s="31">
        <f>COUNTIF(S248:AT248,"APAGADO")</f>
        <v>2</v>
      </c>
      <c r="R248" s="32">
        <f>(O248)/(Q248+O248)</f>
        <v>0.9285714285714286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 t="s">
        <v>2240</v>
      </c>
      <c r="AT248" s="70" t="s">
        <v>2240</v>
      </c>
      <c r="AU248" s="70" t="s">
        <v>2240</v>
      </c>
      <c r="AV248" s="70" t="s">
        <v>2240</v>
      </c>
    </row>
    <row r="249" spans="1:48" ht="15.75" thickBot="1" x14ac:dyDescent="0.3">
      <c r="A249"/>
      <c r="B249"/>
      <c r="C249"/>
      <c r="D249"/>
      <c r="E249" t="s">
        <v>2366</v>
      </c>
      <c r="F249" t="s">
        <v>372</v>
      </c>
      <c r="G249" t="s">
        <v>1375</v>
      </c>
      <c r="H249" t="s">
        <v>1053</v>
      </c>
      <c r="I249" s="68" t="s">
        <v>1378</v>
      </c>
      <c r="J249" s="30" t="s">
        <v>72</v>
      </c>
      <c r="K249" s="30" t="s">
        <v>1046</v>
      </c>
      <c r="L249" s="30"/>
      <c r="M249" s="30" t="s">
        <v>1382</v>
      </c>
      <c r="N249" s="30"/>
      <c r="O249" s="31">
        <f>COUNTIF(S249:AT249,"")</f>
        <v>26</v>
      </c>
      <c r="P249" s="136"/>
      <c r="Q249" s="31">
        <f>COUNTIF(S249:AT249,"APAGADO")</f>
        <v>2</v>
      </c>
      <c r="R249" s="32">
        <f>(O249)/(Q249+O249)</f>
        <v>0.9285714285714286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 t="s">
        <v>2240</v>
      </c>
      <c r="AT249" s="70" t="s">
        <v>2240</v>
      </c>
      <c r="AU249" s="70" t="s">
        <v>2240</v>
      </c>
      <c r="AV249" s="70" t="s">
        <v>2240</v>
      </c>
    </row>
    <row r="250" spans="1:48" ht="15.75" thickBot="1" x14ac:dyDescent="0.3">
      <c r="A250"/>
      <c r="B250"/>
      <c r="C250"/>
      <c r="D250"/>
      <c r="E250" t="s">
        <v>2366</v>
      </c>
      <c r="F250" t="s">
        <v>372</v>
      </c>
      <c r="G250" t="s">
        <v>1374</v>
      </c>
      <c r="H250" t="s">
        <v>1053</v>
      </c>
      <c r="I250" s="68" t="s">
        <v>1377</v>
      </c>
      <c r="J250" s="30" t="s">
        <v>14</v>
      </c>
      <c r="K250" s="30" t="s">
        <v>1046</v>
      </c>
      <c r="L250" s="30"/>
      <c r="M250" s="30" t="s">
        <v>1381</v>
      </c>
      <c r="N250" s="30"/>
      <c r="O250" s="31">
        <f>COUNTIF(S250:AT250,"")</f>
        <v>26</v>
      </c>
      <c r="P250" s="136"/>
      <c r="Q250" s="31">
        <f>COUNTIF(S250:AT250,"APAGADO")</f>
        <v>2</v>
      </c>
      <c r="R250" s="32">
        <f>(O250)/(Q250+O250)</f>
        <v>0.9285714285714286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 t="s">
        <v>2240</v>
      </c>
      <c r="AT250" s="70" t="s">
        <v>2240</v>
      </c>
      <c r="AU250" s="70" t="s">
        <v>2240</v>
      </c>
      <c r="AV250" s="70" t="s">
        <v>2240</v>
      </c>
    </row>
    <row r="251" spans="1:48" ht="15.75" thickBot="1" x14ac:dyDescent="0.3">
      <c r="A251"/>
      <c r="B251"/>
      <c r="C251"/>
      <c r="D251"/>
      <c r="E251"/>
      <c r="F251" t="s">
        <v>372</v>
      </c>
      <c r="G251" t="s">
        <v>1286</v>
      </c>
      <c r="H251" t="s">
        <v>1053</v>
      </c>
      <c r="I251" t="s">
        <v>1287</v>
      </c>
      <c r="J251" s="30" t="s">
        <v>72</v>
      </c>
      <c r="K251" s="30" t="s">
        <v>27</v>
      </c>
      <c r="L251" s="30"/>
      <c r="M251" s="30" t="s">
        <v>1468</v>
      </c>
      <c r="N251" s="30"/>
      <c r="O251" s="31">
        <f>COUNTIF(S251:AT251,"")</f>
        <v>28</v>
      </c>
      <c r="P251" s="136" t="s">
        <v>1926</v>
      </c>
      <c r="Q251" s="31">
        <f>COUNTIF(S251:AT251,"APAGADO")</f>
        <v>0</v>
      </c>
      <c r="R251" s="32">
        <f>(O251)/(Q251+O251)</f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8" ht="15.75" thickBot="1" x14ac:dyDescent="0.3">
      <c r="A252"/>
      <c r="B252"/>
      <c r="C252"/>
      <c r="D252"/>
      <c r="E252" t="s">
        <v>2366</v>
      </c>
      <c r="F252" t="s">
        <v>372</v>
      </c>
      <c r="G252" t="s">
        <v>1183</v>
      </c>
      <c r="H252" t="s">
        <v>1053</v>
      </c>
      <c r="I252" t="s">
        <v>1146</v>
      </c>
      <c r="J252" s="30" t="s">
        <v>14</v>
      </c>
      <c r="K252" s="30" t="s">
        <v>27</v>
      </c>
      <c r="L252" s="30"/>
      <c r="M252" s="30" t="s">
        <v>1148</v>
      </c>
      <c r="N252" s="30"/>
      <c r="O252" s="31">
        <f>COUNTIF(S252:AT252,"")</f>
        <v>28</v>
      </c>
      <c r="P252" s="136" t="s">
        <v>1925</v>
      </c>
      <c r="Q252" s="31">
        <f>COUNTIF(S252:AT252,"APAGADO")</f>
        <v>0</v>
      </c>
      <c r="R252" s="32">
        <f>(O252)/(Q252+O252)</f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8" ht="15.75" thickBot="1" x14ac:dyDescent="0.3">
      <c r="A253"/>
      <c r="B253"/>
      <c r="C253"/>
      <c r="D253"/>
      <c r="E253" t="s">
        <v>2366</v>
      </c>
      <c r="F253" t="s">
        <v>372</v>
      </c>
      <c r="G253" t="s">
        <v>1165</v>
      </c>
      <c r="H253" t="s">
        <v>1053</v>
      </c>
      <c r="I253" t="s">
        <v>1147</v>
      </c>
      <c r="J253" s="30" t="s">
        <v>18</v>
      </c>
      <c r="K253" s="30" t="s">
        <v>27</v>
      </c>
      <c r="L253" s="30"/>
      <c r="M253" s="30" t="s">
        <v>1150</v>
      </c>
      <c r="N253" s="30"/>
      <c r="O253" s="31">
        <f>COUNTIF(S253:AT253,"")</f>
        <v>25</v>
      </c>
      <c r="P253" s="136" t="s">
        <v>1924</v>
      </c>
      <c r="Q253" s="31">
        <f>COUNTIF(S253:AT253,"APAGADO")</f>
        <v>3</v>
      </c>
      <c r="R253" s="32">
        <f>(O253)/(Q253+O253)</f>
        <v>0.8928571428571429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 t="s">
        <v>2240</v>
      </c>
      <c r="AP253" s="70" t="s">
        <v>2240</v>
      </c>
      <c r="AQ253" s="83"/>
      <c r="AR253" s="70"/>
      <c r="AS253" s="70" t="s">
        <v>2240</v>
      </c>
      <c r="AT253" s="70"/>
      <c r="AU253" s="70"/>
      <c r="AV253" s="70"/>
    </row>
    <row r="254" spans="1:48" ht="15.75" thickBot="1" x14ac:dyDescent="0.3">
      <c r="A254"/>
      <c r="B254"/>
      <c r="C254"/>
      <c r="D254"/>
      <c r="E254" t="s">
        <v>2366</v>
      </c>
      <c r="F254" t="s">
        <v>372</v>
      </c>
      <c r="G254" t="s">
        <v>1164</v>
      </c>
      <c r="H254" t="s">
        <v>1053</v>
      </c>
      <c r="I254" t="s">
        <v>1147</v>
      </c>
      <c r="J254" s="30" t="s">
        <v>18</v>
      </c>
      <c r="K254" s="30" t="s">
        <v>27</v>
      </c>
      <c r="L254" s="30"/>
      <c r="M254" s="30" t="s">
        <v>1149</v>
      </c>
      <c r="N254" s="30"/>
      <c r="O254" s="31">
        <f>COUNTIF(S254:AT254,"")</f>
        <v>25</v>
      </c>
      <c r="P254" s="136" t="s">
        <v>1923</v>
      </c>
      <c r="Q254" s="31">
        <f>COUNTIF(S254:AT254,"APAGADO")</f>
        <v>3</v>
      </c>
      <c r="R254" s="32">
        <f>(O254)/(Q254+O254)</f>
        <v>0.8928571428571429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 t="s">
        <v>2240</v>
      </c>
      <c r="AP254" s="70" t="s">
        <v>2240</v>
      </c>
      <c r="AQ254" s="70"/>
      <c r="AR254" s="70"/>
      <c r="AS254" s="70" t="s">
        <v>2240</v>
      </c>
      <c r="AT254" s="70"/>
      <c r="AU254" s="70"/>
      <c r="AV254" s="70"/>
    </row>
    <row r="255" spans="1:48" s="88" customFormat="1" ht="15.75" thickBot="1" x14ac:dyDescent="0.3">
      <c r="A255"/>
      <c r="B255"/>
      <c r="C255"/>
      <c r="D255"/>
      <c r="E255" t="s">
        <v>2366</v>
      </c>
      <c r="F255" t="s">
        <v>372</v>
      </c>
      <c r="G255" t="s">
        <v>989</v>
      </c>
      <c r="H255" t="s">
        <v>1053</v>
      </c>
      <c r="I255" t="s">
        <v>990</v>
      </c>
      <c r="J255" s="30" t="s">
        <v>18</v>
      </c>
      <c r="K255" s="30" t="s">
        <v>27</v>
      </c>
      <c r="L255" s="30"/>
      <c r="M255" s="30" t="s">
        <v>900</v>
      </c>
      <c r="N255" s="30"/>
      <c r="O255" s="31">
        <f>COUNTIF(S255:AT255,"")</f>
        <v>22</v>
      </c>
      <c r="P255" s="136" t="s">
        <v>1922</v>
      </c>
      <c r="Q255" s="31">
        <f>COUNTIF(S255:AT255,"APAGADO")</f>
        <v>6</v>
      </c>
      <c r="R255" s="32">
        <f>(O255)/(Q255+O255)</f>
        <v>0.7857142857142857</v>
      </c>
      <c r="S255" s="70"/>
      <c r="T255" s="70"/>
      <c r="U255" s="70"/>
      <c r="V255" s="70"/>
      <c r="W255" s="70"/>
      <c r="X255" s="70" t="s">
        <v>2240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 t="s">
        <v>2240</v>
      </c>
      <c r="AM255" s="70" t="s">
        <v>2240</v>
      </c>
      <c r="AN255" s="70" t="s">
        <v>2240</v>
      </c>
      <c r="AO255" s="70" t="s">
        <v>2240</v>
      </c>
      <c r="AP255" s="70" t="s">
        <v>2240</v>
      </c>
      <c r="AQ255" s="70"/>
      <c r="AR255" s="70"/>
      <c r="AS255" s="70"/>
      <c r="AT255" s="70"/>
      <c r="AU255" s="70"/>
      <c r="AV255" s="70"/>
    </row>
    <row r="256" spans="1:48" ht="15.75" thickBot="1" x14ac:dyDescent="0.3">
      <c r="A256"/>
      <c r="B256"/>
      <c r="C256"/>
      <c r="D256"/>
      <c r="E256" t="s">
        <v>2366</v>
      </c>
      <c r="F256" t="s">
        <v>372</v>
      </c>
      <c r="G256" t="s">
        <v>987</v>
      </c>
      <c r="H256" t="s">
        <v>1053</v>
      </c>
      <c r="I256" t="s">
        <v>988</v>
      </c>
      <c r="J256" s="30" t="s">
        <v>18</v>
      </c>
      <c r="K256" s="30" t="s">
        <v>27</v>
      </c>
      <c r="L256" s="30"/>
      <c r="M256" s="30" t="s">
        <v>899</v>
      </c>
      <c r="N256" s="30"/>
      <c r="O256" s="31">
        <f>COUNTIF(S256:AT256,"")</f>
        <v>28</v>
      </c>
      <c r="P256" s="136" t="s">
        <v>1921</v>
      </c>
      <c r="Q256" s="31">
        <f>COUNTIF(S256:AT256,"APAGADO")</f>
        <v>0</v>
      </c>
      <c r="R256" s="32">
        <f>(O256)/(Q256+O256)</f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138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8" s="69" customFormat="1" ht="15.75" thickBot="1" x14ac:dyDescent="0.3">
      <c r="A257"/>
      <c r="B257"/>
      <c r="C257"/>
      <c r="D257"/>
      <c r="E257" t="s">
        <v>2366</v>
      </c>
      <c r="F257" t="s">
        <v>372</v>
      </c>
      <c r="G257" t="s">
        <v>985</v>
      </c>
      <c r="H257" t="s">
        <v>1053</v>
      </c>
      <c r="I257" t="s">
        <v>986</v>
      </c>
      <c r="J257" s="30" t="s">
        <v>18</v>
      </c>
      <c r="K257" s="30" t="s">
        <v>27</v>
      </c>
      <c r="L257" s="30"/>
      <c r="M257" s="30" t="s">
        <v>898</v>
      </c>
      <c r="N257" s="30"/>
      <c r="O257" s="31">
        <f>COUNTIF(S257:AT257,"")</f>
        <v>28</v>
      </c>
      <c r="P257" s="136" t="s">
        <v>1920</v>
      </c>
      <c r="Q257" s="31">
        <f>COUNTIF(S257:AT257,"APAGADO")</f>
        <v>0</v>
      </c>
      <c r="R257" s="32">
        <f>(O257)/(Q257+O257)</f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8" s="69" customFormat="1" ht="15.75" thickBot="1" x14ac:dyDescent="0.3">
      <c r="A258"/>
      <c r="B258"/>
      <c r="C258"/>
      <c r="D258"/>
      <c r="E258" t="s">
        <v>2366</v>
      </c>
      <c r="F258" t="s">
        <v>372</v>
      </c>
      <c r="G258" t="s">
        <v>983</v>
      </c>
      <c r="H258" t="s">
        <v>1053</v>
      </c>
      <c r="I258" t="s">
        <v>984</v>
      </c>
      <c r="J258" s="30" t="s">
        <v>18</v>
      </c>
      <c r="K258" s="30" t="s">
        <v>27</v>
      </c>
      <c r="L258" s="30"/>
      <c r="M258" s="30" t="s">
        <v>897</v>
      </c>
      <c r="N258" s="30"/>
      <c r="O258" s="31">
        <f>COUNTIF(S258:AT258,"")</f>
        <v>27</v>
      </c>
      <c r="P258" s="136" t="s">
        <v>1919</v>
      </c>
      <c r="Q258" s="31">
        <f>COUNTIF(S258:AT258,"APAGADO")</f>
        <v>1</v>
      </c>
      <c r="R258" s="32">
        <f>(O258)/(Q258+O258)</f>
        <v>0.9642857142857143</v>
      </c>
      <c r="S258" s="70"/>
      <c r="T258" s="70"/>
      <c r="U258" s="70"/>
      <c r="V258" s="70"/>
      <c r="W258" s="70"/>
      <c r="X258" s="70" t="s">
        <v>2240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8" ht="15.75" thickBot="1" x14ac:dyDescent="0.3">
      <c r="A259"/>
      <c r="B259"/>
      <c r="C259"/>
      <c r="D259"/>
      <c r="E259" t="s">
        <v>2366</v>
      </c>
      <c r="F259" t="s">
        <v>372</v>
      </c>
      <c r="G259" t="s">
        <v>982</v>
      </c>
      <c r="H259" t="s">
        <v>1053</v>
      </c>
      <c r="I259" t="s">
        <v>378</v>
      </c>
      <c r="J259" s="30" t="s">
        <v>14</v>
      </c>
      <c r="K259" s="30" t="s">
        <v>27</v>
      </c>
      <c r="L259" s="30"/>
      <c r="M259" s="30" t="s">
        <v>772</v>
      </c>
      <c r="N259" s="30"/>
      <c r="O259" s="31">
        <f>COUNTIF(S259:AT259,"")</f>
        <v>28</v>
      </c>
      <c r="P259" s="136" t="s">
        <v>1918</v>
      </c>
      <c r="Q259" s="31">
        <f>COUNTIF(S259:AT259,"APAGADO")</f>
        <v>0</v>
      </c>
      <c r="R259" s="32">
        <f>(O259)/(Q259+O259)</f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thickBot="1" x14ac:dyDescent="0.3">
      <c r="A260"/>
      <c r="B260"/>
      <c r="C260"/>
      <c r="D260"/>
      <c r="E260"/>
      <c r="F260" t="s">
        <v>362</v>
      </c>
      <c r="G260" t="s">
        <v>2200</v>
      </c>
      <c r="H260" t="s">
        <v>1053</v>
      </c>
      <c r="I260" s="68" t="s">
        <v>2201</v>
      </c>
      <c r="J260" s="84" t="s">
        <v>14</v>
      </c>
      <c r="K260" s="30" t="s">
        <v>27</v>
      </c>
      <c r="L260" s="30"/>
      <c r="M260" s="30" t="s">
        <v>2303</v>
      </c>
      <c r="N260" s="30"/>
      <c r="O260" s="31">
        <f>COUNTIF(S260:AT260,"")</f>
        <v>28</v>
      </c>
      <c r="P260" s="136" t="s">
        <v>2202</v>
      </c>
      <c r="Q260" s="31">
        <f>COUNTIF(S260:AT260,"APAGADO")</f>
        <v>0</v>
      </c>
      <c r="R260" s="32">
        <f>(O260)/(Q260+O260)</f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thickBot="1" x14ac:dyDescent="0.3">
      <c r="A261"/>
      <c r="B261"/>
      <c r="C261"/>
      <c r="D261"/>
      <c r="E261"/>
      <c r="F261" t="s">
        <v>362</v>
      </c>
      <c r="G261" t="s">
        <v>2212</v>
      </c>
      <c r="H261" t="s">
        <v>1053</v>
      </c>
      <c r="I261" s="68" t="s">
        <v>2198</v>
      </c>
      <c r="J261" s="84" t="s">
        <v>14</v>
      </c>
      <c r="K261" s="30" t="s">
        <v>27</v>
      </c>
      <c r="L261" s="30"/>
      <c r="M261" s="30" t="s">
        <v>2213</v>
      </c>
      <c r="N261" s="30"/>
      <c r="O261" s="31">
        <f>COUNTIF(S261:AT261,"")</f>
        <v>28</v>
      </c>
      <c r="P261" s="136" t="s">
        <v>2199</v>
      </c>
      <c r="Q261" s="31">
        <f>COUNTIF(S261:AT261,"APAGADO")</f>
        <v>0</v>
      </c>
      <c r="R261" s="32">
        <f>(O261)/(Q261+O261)</f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thickBot="1" x14ac:dyDescent="0.3">
      <c r="A262"/>
      <c r="B262"/>
      <c r="C262"/>
      <c r="D262"/>
      <c r="E262"/>
      <c r="F262" t="s">
        <v>362</v>
      </c>
      <c r="G262" t="s">
        <v>1370</v>
      </c>
      <c r="H262" t="s">
        <v>1053</v>
      </c>
      <c r="I262" s="68" t="s">
        <v>1373</v>
      </c>
      <c r="J262" s="30" t="s">
        <v>72</v>
      </c>
      <c r="K262" s="30" t="s">
        <v>27</v>
      </c>
      <c r="L262" s="30"/>
      <c r="M262" s="30" t="s">
        <v>1385</v>
      </c>
      <c r="N262" s="30"/>
      <c r="O262" s="31">
        <f>COUNTIF(S262:AT262,"")</f>
        <v>28</v>
      </c>
      <c r="P262" s="136" t="s">
        <v>1913</v>
      </c>
      <c r="Q262" s="31">
        <f>COUNTIF(S262:AT262,"APAGADO")</f>
        <v>0</v>
      </c>
      <c r="R262" s="32">
        <f>(O262)/(Q262+O262)</f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thickBot="1" x14ac:dyDescent="0.3">
      <c r="A263"/>
      <c r="B263"/>
      <c r="C263"/>
      <c r="D263"/>
      <c r="E263"/>
      <c r="F263" t="s">
        <v>362</v>
      </c>
      <c r="G263" t="s">
        <v>1369</v>
      </c>
      <c r="H263" t="s">
        <v>1053</v>
      </c>
      <c r="I263" s="68" t="s">
        <v>1372</v>
      </c>
      <c r="J263" s="30" t="s">
        <v>72</v>
      </c>
      <c r="K263" s="30" t="s">
        <v>27</v>
      </c>
      <c r="L263" s="30"/>
      <c r="M263" s="30" t="s">
        <v>1384</v>
      </c>
      <c r="N263" s="30"/>
      <c r="O263" s="31">
        <f>COUNTIF(S263:AT263,"")</f>
        <v>28</v>
      </c>
      <c r="P263" s="136" t="s">
        <v>1912</v>
      </c>
      <c r="Q263" s="31">
        <f>COUNTIF(S263:AT263,"APAGADO")</f>
        <v>0</v>
      </c>
      <c r="R263" s="32">
        <f>(O263)/(Q263+O263)</f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ht="15.75" thickBot="1" x14ac:dyDescent="0.3">
      <c r="A264"/>
      <c r="B264"/>
      <c r="C264"/>
      <c r="D264"/>
      <c r="E264"/>
      <c r="F264" t="s">
        <v>362</v>
      </c>
      <c r="G264" t="s">
        <v>1368</v>
      </c>
      <c r="H264" t="s">
        <v>1053</v>
      </c>
      <c r="I264" s="68" t="s">
        <v>1371</v>
      </c>
      <c r="J264" s="30" t="s">
        <v>18</v>
      </c>
      <c r="K264" s="30" t="s">
        <v>27</v>
      </c>
      <c r="L264" s="30"/>
      <c r="M264" s="30" t="s">
        <v>1383</v>
      </c>
      <c r="N264" s="30"/>
      <c r="O264" s="31">
        <f>COUNTIF(S264:AT264,"")</f>
        <v>28</v>
      </c>
      <c r="P264" s="136" t="s">
        <v>1911</v>
      </c>
      <c r="Q264" s="31">
        <f>COUNTIF(S264:AT264,"APAGADO")</f>
        <v>0</v>
      </c>
      <c r="R264" s="32">
        <f>(O264)/(Q264+O264)</f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8" ht="15.75" thickBot="1" x14ac:dyDescent="0.3">
      <c r="A265"/>
      <c r="B265"/>
      <c r="C265"/>
      <c r="D265"/>
      <c r="E265"/>
      <c r="F265" t="s">
        <v>362</v>
      </c>
      <c r="G265" t="s">
        <v>1325</v>
      </c>
      <c r="H265" t="s">
        <v>1052</v>
      </c>
      <c r="I265" t="s">
        <v>1326</v>
      </c>
      <c r="J265" s="30"/>
      <c r="K265" s="30" t="s">
        <v>27</v>
      </c>
      <c r="L265" s="30"/>
      <c r="M265" s="30" t="s">
        <v>1336</v>
      </c>
      <c r="N265" s="30"/>
      <c r="O265" s="31">
        <f>COUNTIF(S265:AT265,"")</f>
        <v>14</v>
      </c>
      <c r="P265" s="136" t="s">
        <v>1910</v>
      </c>
      <c r="Q265" s="31">
        <f>COUNTIF(S265:AT265,"APAGADO")</f>
        <v>14</v>
      </c>
      <c r="R265" s="32">
        <f>(O265)/(Q265+O265)</f>
        <v>0.5</v>
      </c>
      <c r="S265" s="70"/>
      <c r="T265" s="70"/>
      <c r="U265" s="70"/>
      <c r="V265" s="70"/>
      <c r="W265" s="70"/>
      <c r="X265" s="70" t="s">
        <v>2240</v>
      </c>
      <c r="Y265" s="70" t="s">
        <v>2240</v>
      </c>
      <c r="Z265" s="70" t="s">
        <v>2240</v>
      </c>
      <c r="AA265" s="70"/>
      <c r="AB265" s="70"/>
      <c r="AC265" s="70"/>
      <c r="AD265" s="70"/>
      <c r="AE265" s="70" t="s">
        <v>2240</v>
      </c>
      <c r="AF265" s="70" t="s">
        <v>2240</v>
      </c>
      <c r="AG265" s="142" t="s">
        <v>2240</v>
      </c>
      <c r="AH265" s="70" t="s">
        <v>2240</v>
      </c>
      <c r="AI265" s="70" t="s">
        <v>2240</v>
      </c>
      <c r="AJ265" s="70"/>
      <c r="AK265" s="70"/>
      <c r="AL265" s="70" t="s">
        <v>2240</v>
      </c>
      <c r="AM265" s="70" t="s">
        <v>2240</v>
      </c>
      <c r="AN265" s="70" t="s">
        <v>2240</v>
      </c>
      <c r="AO265" s="70" t="s">
        <v>2240</v>
      </c>
      <c r="AP265" s="70" t="s">
        <v>2240</v>
      </c>
      <c r="AQ265" s="70"/>
      <c r="AR265" s="70"/>
      <c r="AS265" s="70"/>
      <c r="AT265" s="70" t="s">
        <v>2240</v>
      </c>
      <c r="AU265" s="70" t="s">
        <v>2240</v>
      </c>
      <c r="AV265" s="70" t="s">
        <v>2240</v>
      </c>
    </row>
    <row r="266" spans="1:48" s="73" customFormat="1" ht="15.75" thickBot="1" x14ac:dyDescent="0.3">
      <c r="A266"/>
      <c r="B266"/>
      <c r="C266"/>
      <c r="D266"/>
      <c r="E266" t="s">
        <v>2366</v>
      </c>
      <c r="F266" t="s">
        <v>362</v>
      </c>
      <c r="G266" t="s">
        <v>371</v>
      </c>
      <c r="H266" t="s">
        <v>1053</v>
      </c>
      <c r="I266" t="s">
        <v>370</v>
      </c>
      <c r="J266" s="30" t="s">
        <v>45</v>
      </c>
      <c r="K266" s="30" t="s">
        <v>27</v>
      </c>
      <c r="L266" s="30"/>
      <c r="M266" s="30" t="s">
        <v>767</v>
      </c>
      <c r="N266" s="30"/>
      <c r="O266" s="31">
        <f>COUNTIF(S266:AT266,"")</f>
        <v>27</v>
      </c>
      <c r="P266" s="136" t="s">
        <v>1909</v>
      </c>
      <c r="Q266" s="31">
        <f>COUNTIF(S266:AT266,"APAGADO")</f>
        <v>1</v>
      </c>
      <c r="R266" s="32">
        <f>(O266)/(Q266+O266)</f>
        <v>0.9642857142857143</v>
      </c>
      <c r="S266" s="70"/>
      <c r="T266" s="70"/>
      <c r="U266" s="70"/>
      <c r="V266" s="70"/>
      <c r="W266" s="70"/>
      <c r="X266" s="70" t="s">
        <v>2240</v>
      </c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s="73" customFormat="1" ht="15.75" thickBot="1" x14ac:dyDescent="0.3">
      <c r="A267"/>
      <c r="B267"/>
      <c r="C267"/>
      <c r="D267"/>
      <c r="E267" t="s">
        <v>2366</v>
      </c>
      <c r="F267" t="s">
        <v>362</v>
      </c>
      <c r="G267" t="s">
        <v>369</v>
      </c>
      <c r="H267" t="s">
        <v>1053</v>
      </c>
      <c r="I267" t="s">
        <v>370</v>
      </c>
      <c r="J267" s="30" t="s">
        <v>72</v>
      </c>
      <c r="K267" s="30" t="s">
        <v>27</v>
      </c>
      <c r="L267" s="30"/>
      <c r="M267" s="30" t="s">
        <v>766</v>
      </c>
      <c r="N267" s="30"/>
      <c r="O267" s="31">
        <f>COUNTIF(S267:AT267,"")</f>
        <v>27</v>
      </c>
      <c r="P267" s="136" t="s">
        <v>1908</v>
      </c>
      <c r="Q267" s="31">
        <f>COUNTIF(S267:AT267,"APAGADO")</f>
        <v>1</v>
      </c>
      <c r="R267" s="32">
        <f>(O267)/(Q267+O267)</f>
        <v>0.9642857142857143</v>
      </c>
      <c r="S267" s="70"/>
      <c r="T267" s="70"/>
      <c r="U267" s="70"/>
      <c r="V267" s="70"/>
      <c r="W267" s="70"/>
      <c r="X267" s="70" t="s">
        <v>2240</v>
      </c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.75" thickBot="1" x14ac:dyDescent="0.3">
      <c r="A268"/>
      <c r="B268"/>
      <c r="C268"/>
      <c r="D268"/>
      <c r="E268" t="s">
        <v>2366</v>
      </c>
      <c r="F268" t="s">
        <v>362</v>
      </c>
      <c r="G268" t="s">
        <v>368</v>
      </c>
      <c r="H268" t="s">
        <v>1053</v>
      </c>
      <c r="I268" t="s">
        <v>367</v>
      </c>
      <c r="J268" s="30" t="s">
        <v>72</v>
      </c>
      <c r="K268" s="30" t="s">
        <v>27</v>
      </c>
      <c r="L268" s="30"/>
      <c r="M268" s="30" t="s">
        <v>765</v>
      </c>
      <c r="N268" s="30"/>
      <c r="O268" s="31">
        <f>COUNTIF(S268:AT268,"")</f>
        <v>25</v>
      </c>
      <c r="P268" s="136" t="s">
        <v>1907</v>
      </c>
      <c r="Q268" s="31">
        <f>COUNTIF(S268:AT268,"APAGADO")</f>
        <v>3</v>
      </c>
      <c r="R268" s="32">
        <f>(O268)/(Q268+O268)</f>
        <v>0.8928571428571429</v>
      </c>
      <c r="S268" s="70"/>
      <c r="T268" s="70"/>
      <c r="U268" s="70"/>
      <c r="V268" s="70"/>
      <c r="W268" s="70"/>
      <c r="X268" s="70" t="s">
        <v>2240</v>
      </c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 t="s">
        <v>2240</v>
      </c>
      <c r="AJ268" s="70"/>
      <c r="AK268" s="70"/>
      <c r="AL268" s="70" t="s">
        <v>2240</v>
      </c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5" customHeight="1" thickBot="1" x14ac:dyDescent="0.3">
      <c r="A269"/>
      <c r="B269"/>
      <c r="C269"/>
      <c r="D269"/>
      <c r="E269" t="s">
        <v>2366</v>
      </c>
      <c r="F269" t="s">
        <v>362</v>
      </c>
      <c r="G269" t="s">
        <v>366</v>
      </c>
      <c r="H269" t="s">
        <v>1053</v>
      </c>
      <c r="I269" t="s">
        <v>367</v>
      </c>
      <c r="J269" s="30" t="s">
        <v>72</v>
      </c>
      <c r="K269" s="30" t="s">
        <v>27</v>
      </c>
      <c r="L269" s="30"/>
      <c r="M269" s="30" t="s">
        <v>764</v>
      </c>
      <c r="N269" s="30"/>
      <c r="O269" s="31">
        <f>COUNTIF(S269:AT269,"")</f>
        <v>25</v>
      </c>
      <c r="P269" s="136" t="s">
        <v>1906</v>
      </c>
      <c r="Q269" s="31">
        <f>COUNTIF(S269:AT269,"APAGADO")</f>
        <v>3</v>
      </c>
      <c r="R269" s="32">
        <f>(O269)/(Q269+O269)</f>
        <v>0.8928571428571429</v>
      </c>
      <c r="S269" s="70"/>
      <c r="T269" s="70"/>
      <c r="U269" s="70"/>
      <c r="V269" s="70"/>
      <c r="W269" s="70"/>
      <c r="X269" s="70" t="s">
        <v>2240</v>
      </c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 t="s">
        <v>2240</v>
      </c>
      <c r="AJ269" s="70"/>
      <c r="AK269" s="70"/>
      <c r="AL269" s="70" t="s">
        <v>2240</v>
      </c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8" ht="18" customHeight="1" thickBot="1" x14ac:dyDescent="0.3">
      <c r="A270"/>
      <c r="B270"/>
      <c r="C270"/>
      <c r="D270"/>
      <c r="E270"/>
      <c r="F270" t="s">
        <v>362</v>
      </c>
      <c r="G270" t="s">
        <v>981</v>
      </c>
      <c r="H270" t="s">
        <v>1053</v>
      </c>
      <c r="I270" t="s">
        <v>365</v>
      </c>
      <c r="J270" s="30" t="s">
        <v>14</v>
      </c>
      <c r="K270" s="30" t="s">
        <v>27</v>
      </c>
      <c r="L270" s="30"/>
      <c r="M270" s="30" t="s">
        <v>763</v>
      </c>
      <c r="N270" s="30"/>
      <c r="O270" s="31">
        <f>COUNTIF(S270:AT270,"")</f>
        <v>27</v>
      </c>
      <c r="P270" s="136" t="s">
        <v>1905</v>
      </c>
      <c r="Q270" s="31">
        <f>COUNTIF(S270:AT270,"APAGADO")</f>
        <v>1</v>
      </c>
      <c r="R270" s="32">
        <f>(O270)/(Q270+O270)</f>
        <v>0.9642857142857143</v>
      </c>
      <c r="S270" s="70"/>
      <c r="T270" s="70"/>
      <c r="U270" s="70"/>
      <c r="V270" s="70"/>
      <c r="W270" s="70"/>
      <c r="X270" s="70" t="s">
        <v>2240</v>
      </c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8" ht="15" customHeight="1" thickBot="1" x14ac:dyDescent="0.3">
      <c r="A271"/>
      <c r="B271"/>
      <c r="C271"/>
      <c r="D271"/>
      <c r="E271"/>
      <c r="F271" t="s">
        <v>362</v>
      </c>
      <c r="G271" t="s">
        <v>363</v>
      </c>
      <c r="H271" t="s">
        <v>1053</v>
      </c>
      <c r="I271" t="s">
        <v>364</v>
      </c>
      <c r="J271" s="30" t="s">
        <v>14</v>
      </c>
      <c r="K271" s="30" t="s">
        <v>27</v>
      </c>
      <c r="L271" s="30"/>
      <c r="M271" s="30" t="s">
        <v>762</v>
      </c>
      <c r="N271" s="30"/>
      <c r="O271" s="31">
        <f>COUNTIF(S271:AT271,"")</f>
        <v>26</v>
      </c>
      <c r="P271" s="136" t="s">
        <v>1904</v>
      </c>
      <c r="Q271" s="31">
        <f>COUNTIF(S271:AT271,"APAGADO")</f>
        <v>2</v>
      </c>
      <c r="R271" s="32">
        <f>(O271)/(Q271+O271)</f>
        <v>0.9285714285714286</v>
      </c>
      <c r="S271" s="70"/>
      <c r="T271" s="70"/>
      <c r="U271" s="70"/>
      <c r="V271" s="70"/>
      <c r="W271" s="70"/>
      <c r="X271" s="70" t="s">
        <v>2240</v>
      </c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 t="s">
        <v>2240</v>
      </c>
      <c r="AT271" s="70"/>
      <c r="AU271" s="70"/>
      <c r="AV271" s="70"/>
    </row>
    <row r="272" spans="1:48" s="73" customFormat="1" ht="15.75" thickBot="1" x14ac:dyDescent="0.3">
      <c r="A272"/>
      <c r="B272"/>
      <c r="C272"/>
      <c r="D272"/>
      <c r="E272"/>
      <c r="F272" t="s">
        <v>226</v>
      </c>
      <c r="G272" t="s">
        <v>979</v>
      </c>
      <c r="H272" t="s">
        <v>1053</v>
      </c>
      <c r="I272" t="s">
        <v>980</v>
      </c>
      <c r="J272" s="30" t="s">
        <v>72</v>
      </c>
      <c r="K272" s="30" t="s">
        <v>27</v>
      </c>
      <c r="L272" s="30"/>
      <c r="M272" s="30" t="s">
        <v>1283</v>
      </c>
      <c r="N272" s="30"/>
      <c r="O272" s="31">
        <f>COUNTIF(S272:AT272,"")</f>
        <v>26</v>
      </c>
      <c r="P272" s="136" t="s">
        <v>1903</v>
      </c>
      <c r="Q272" s="31">
        <f>COUNTIF(S272:AT272,"APAGADO")</f>
        <v>2</v>
      </c>
      <c r="R272" s="32">
        <f>(O272)/(Q272+O272)</f>
        <v>0.9285714285714286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 t="s">
        <v>2240</v>
      </c>
      <c r="AP272" s="70" t="s">
        <v>2240</v>
      </c>
      <c r="AQ272" s="70"/>
      <c r="AR272" s="70"/>
      <c r="AS272" s="70"/>
      <c r="AT272" s="70"/>
      <c r="AU272" s="70"/>
      <c r="AV272" s="70"/>
    </row>
    <row r="273" spans="1:48" ht="15.75" thickBot="1" x14ac:dyDescent="0.3">
      <c r="A273"/>
      <c r="B273"/>
      <c r="C273"/>
      <c r="D273"/>
      <c r="E273"/>
      <c r="F273" t="s">
        <v>226</v>
      </c>
      <c r="G273" t="s">
        <v>1282</v>
      </c>
      <c r="H273" t="s">
        <v>1053</v>
      </c>
      <c r="I273" t="s">
        <v>980</v>
      </c>
      <c r="J273" s="30" t="s">
        <v>72</v>
      </c>
      <c r="K273" s="30" t="s">
        <v>27</v>
      </c>
      <c r="L273" s="30"/>
      <c r="M273" s="30" t="s">
        <v>750</v>
      </c>
      <c r="N273" s="30"/>
      <c r="O273" s="31">
        <f>COUNTIF(S273:AT273,"")</f>
        <v>26</v>
      </c>
      <c r="P273" s="136" t="s">
        <v>1902</v>
      </c>
      <c r="Q273" s="31">
        <f>COUNTIF(S273:AT273,"APAGADO")</f>
        <v>2</v>
      </c>
      <c r="R273" s="32">
        <f>(O273)/(Q273+O273)</f>
        <v>0.9285714285714286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 t="s">
        <v>2240</v>
      </c>
      <c r="AP273" s="70" t="s">
        <v>2240</v>
      </c>
      <c r="AQ273" s="70"/>
      <c r="AR273" s="70"/>
      <c r="AS273" s="70"/>
      <c r="AT273" s="70"/>
      <c r="AU273" s="70"/>
      <c r="AV273" s="70"/>
    </row>
    <row r="274" spans="1:48" ht="15.75" thickBot="1" x14ac:dyDescent="0.3">
      <c r="A274"/>
      <c r="B274"/>
      <c r="C274"/>
      <c r="D274"/>
      <c r="E274"/>
      <c r="F274" t="s">
        <v>226</v>
      </c>
      <c r="G274" t="s">
        <v>1281</v>
      </c>
      <c r="H274" t="s">
        <v>1053</v>
      </c>
      <c r="I274" t="s">
        <v>980</v>
      </c>
      <c r="J274" s="30" t="s">
        <v>72</v>
      </c>
      <c r="K274" s="30" t="s">
        <v>27</v>
      </c>
      <c r="L274" s="30"/>
      <c r="M274" s="30" t="s">
        <v>758</v>
      </c>
      <c r="N274" s="30"/>
      <c r="O274" s="31">
        <f>COUNTIF(S274:AT274,"")</f>
        <v>26</v>
      </c>
      <c r="P274" s="136" t="s">
        <v>1901</v>
      </c>
      <c r="Q274" s="31">
        <f>COUNTIF(S274:AT274,"APAGADO")</f>
        <v>2</v>
      </c>
      <c r="R274" s="32">
        <f>(O274)/(Q274+O274)</f>
        <v>0.9285714285714286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 t="s">
        <v>2240</v>
      </c>
      <c r="AP274" s="70" t="s">
        <v>2240</v>
      </c>
      <c r="AQ274" s="70"/>
      <c r="AR274" s="70"/>
      <c r="AS274" s="70"/>
      <c r="AT274" s="70"/>
      <c r="AU274" s="70"/>
      <c r="AV274" s="70"/>
    </row>
    <row r="275" spans="1:48" ht="15.75" thickBot="1" x14ac:dyDescent="0.3">
      <c r="A275"/>
      <c r="B275"/>
      <c r="C275"/>
      <c r="D275"/>
      <c r="E275"/>
      <c r="F275" t="s">
        <v>347</v>
      </c>
      <c r="G275" t="s">
        <v>977</v>
      </c>
      <c r="H275" t="s">
        <v>1053</v>
      </c>
      <c r="I275" t="s">
        <v>978</v>
      </c>
      <c r="J275" s="30" t="s">
        <v>72</v>
      </c>
      <c r="K275" s="30" t="s">
        <v>27</v>
      </c>
      <c r="L275" s="30"/>
      <c r="M275" s="30" t="s">
        <v>1270</v>
      </c>
      <c r="N275" s="30"/>
      <c r="O275" s="31">
        <f>COUNTIF(S275:AT275,"")</f>
        <v>28</v>
      </c>
      <c r="P275" s="136" t="s">
        <v>1900</v>
      </c>
      <c r="Q275" s="31">
        <f>COUNTIF(S275:AT275,"APAGADO")</f>
        <v>0</v>
      </c>
      <c r="R275" s="32">
        <f>(O275)/(Q275+O275)</f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thickBot="1" x14ac:dyDescent="0.3">
      <c r="A276"/>
      <c r="B276"/>
      <c r="C276"/>
      <c r="D276"/>
      <c r="E276"/>
      <c r="F276" s="73" t="s">
        <v>356</v>
      </c>
      <c r="G276" s="73" t="s">
        <v>975</v>
      </c>
      <c r="H276" s="73" t="s">
        <v>1053</v>
      </c>
      <c r="I276" s="73" t="s">
        <v>976</v>
      </c>
      <c r="J276" s="84" t="s">
        <v>18</v>
      </c>
      <c r="K276" s="84" t="s">
        <v>1291</v>
      </c>
      <c r="L276" s="84"/>
      <c r="M276" s="84" t="s">
        <v>1269</v>
      </c>
      <c r="N276" s="84"/>
      <c r="O276" s="131">
        <f>COUNTIF(S276:AT276,"")</f>
        <v>12</v>
      </c>
      <c r="P276" s="136" t="s">
        <v>1897</v>
      </c>
      <c r="Q276" s="131">
        <f>COUNTIF(S276:AT276,"APAGADO")</f>
        <v>16</v>
      </c>
      <c r="R276" s="132">
        <f>(O276)/(Q276+O276)</f>
        <v>0.42857142857142855</v>
      </c>
      <c r="S276" s="70" t="s">
        <v>2240</v>
      </c>
      <c r="T276" s="70"/>
      <c r="U276" s="70"/>
      <c r="V276" s="70"/>
      <c r="W276" s="70"/>
      <c r="X276" s="70" t="s">
        <v>2240</v>
      </c>
      <c r="Y276" s="70" t="s">
        <v>2240</v>
      </c>
      <c r="Z276" s="70" t="s">
        <v>2240</v>
      </c>
      <c r="AA276" s="70"/>
      <c r="AB276" s="70"/>
      <c r="AC276" s="70"/>
      <c r="AD276" s="70"/>
      <c r="AE276" s="70" t="s">
        <v>2240</v>
      </c>
      <c r="AF276" s="70" t="s">
        <v>2240</v>
      </c>
      <c r="AG276" s="70" t="s">
        <v>2240</v>
      </c>
      <c r="AH276" s="70" t="s">
        <v>2240</v>
      </c>
      <c r="AI276" s="70" t="s">
        <v>2240</v>
      </c>
      <c r="AJ276" s="70"/>
      <c r="AK276" s="70"/>
      <c r="AL276" s="70" t="s">
        <v>2240</v>
      </c>
      <c r="AM276" s="70" t="s">
        <v>2240</v>
      </c>
      <c r="AN276" s="70" t="s">
        <v>2240</v>
      </c>
      <c r="AO276" s="70" t="s">
        <v>2240</v>
      </c>
      <c r="AP276" s="70" t="s">
        <v>2240</v>
      </c>
      <c r="AQ276" s="70"/>
      <c r="AR276" s="70"/>
      <c r="AS276" s="70" t="s">
        <v>2240</v>
      </c>
      <c r="AT276" s="70" t="s">
        <v>2240</v>
      </c>
      <c r="AU276" s="70" t="s">
        <v>2240</v>
      </c>
      <c r="AV276" s="70" t="s">
        <v>2240</v>
      </c>
    </row>
    <row r="277" spans="1:48" ht="15.75" thickBot="1" x14ac:dyDescent="0.3">
      <c r="A277"/>
      <c r="B277"/>
      <c r="C277"/>
      <c r="D277"/>
      <c r="E277"/>
      <c r="F277" s="73" t="s">
        <v>356</v>
      </c>
      <c r="G277" s="73" t="s">
        <v>1199</v>
      </c>
      <c r="H277" s="73" t="s">
        <v>1053</v>
      </c>
      <c r="I277" s="73" t="s">
        <v>1200</v>
      </c>
      <c r="J277" s="84" t="s">
        <v>14</v>
      </c>
      <c r="K277" s="84" t="s">
        <v>1291</v>
      </c>
      <c r="L277" s="84"/>
      <c r="M277" s="84" t="s">
        <v>760</v>
      </c>
      <c r="N277" s="84"/>
      <c r="O277" s="131">
        <f>COUNTIF(S277:AT277,"")</f>
        <v>12</v>
      </c>
      <c r="P277" s="136" t="s">
        <v>1896</v>
      </c>
      <c r="Q277" s="131">
        <f>COUNTIF(S277:AT277,"APAGADO")</f>
        <v>16</v>
      </c>
      <c r="R277" s="132">
        <f>(O277)/(Q277+O277)</f>
        <v>0.42857142857142855</v>
      </c>
      <c r="S277" s="70" t="s">
        <v>2240</v>
      </c>
      <c r="T277" s="70"/>
      <c r="U277" s="70"/>
      <c r="V277" s="70"/>
      <c r="W277" s="70"/>
      <c r="X277" s="70" t="s">
        <v>2240</v>
      </c>
      <c r="Y277" s="70" t="s">
        <v>2240</v>
      </c>
      <c r="Z277" s="70" t="s">
        <v>2240</v>
      </c>
      <c r="AA277" s="70"/>
      <c r="AB277" s="70"/>
      <c r="AC277" s="70"/>
      <c r="AD277" s="70"/>
      <c r="AE277" s="70" t="s">
        <v>2240</v>
      </c>
      <c r="AF277" s="70" t="s">
        <v>2240</v>
      </c>
      <c r="AG277" s="70" t="s">
        <v>2240</v>
      </c>
      <c r="AH277" s="70" t="s">
        <v>2240</v>
      </c>
      <c r="AI277" s="70" t="s">
        <v>2240</v>
      </c>
      <c r="AJ277" s="70"/>
      <c r="AK277" s="70"/>
      <c r="AL277" s="70" t="s">
        <v>2240</v>
      </c>
      <c r="AM277" s="70" t="s">
        <v>2240</v>
      </c>
      <c r="AN277" s="70" t="s">
        <v>2240</v>
      </c>
      <c r="AO277" s="70" t="s">
        <v>2240</v>
      </c>
      <c r="AP277" s="70" t="s">
        <v>2240</v>
      </c>
      <c r="AQ277" s="70"/>
      <c r="AR277" s="70"/>
      <c r="AS277" s="70" t="s">
        <v>2240</v>
      </c>
      <c r="AT277" s="70" t="s">
        <v>2240</v>
      </c>
      <c r="AU277" s="70" t="s">
        <v>2240</v>
      </c>
      <c r="AV277" s="70" t="s">
        <v>2240</v>
      </c>
    </row>
    <row r="278" spans="1:48" s="73" customFormat="1" ht="15.75" thickBot="1" x14ac:dyDescent="0.3">
      <c r="A278"/>
      <c r="B278"/>
      <c r="C278"/>
      <c r="D278"/>
      <c r="E278"/>
      <c r="F278" s="73" t="s">
        <v>193</v>
      </c>
      <c r="G278" s="73" t="s">
        <v>973</v>
      </c>
      <c r="H278" s="73" t="s">
        <v>1053</v>
      </c>
      <c r="I278" s="73" t="s">
        <v>974</v>
      </c>
      <c r="J278" s="84" t="s">
        <v>72</v>
      </c>
      <c r="K278" s="84" t="s">
        <v>1291</v>
      </c>
      <c r="L278" s="84"/>
      <c r="M278" s="84" t="s">
        <v>1268</v>
      </c>
      <c r="N278" s="84"/>
      <c r="O278" s="31">
        <f>COUNTIF(S278:AT278,"")</f>
        <v>12</v>
      </c>
      <c r="P278" s="136" t="s">
        <v>1895</v>
      </c>
      <c r="Q278" s="31">
        <f>COUNTIF(S278:AT278,"APAGADO")</f>
        <v>16</v>
      </c>
      <c r="R278" s="32">
        <f>(O278)/(Q278+O278)</f>
        <v>0.42857142857142855</v>
      </c>
      <c r="S278" s="70" t="s">
        <v>2240</v>
      </c>
      <c r="T278" s="70"/>
      <c r="U278" s="70"/>
      <c r="V278" s="70"/>
      <c r="W278" s="70"/>
      <c r="X278" s="70" t="s">
        <v>2240</v>
      </c>
      <c r="Y278" s="70" t="s">
        <v>2240</v>
      </c>
      <c r="Z278" s="70" t="s">
        <v>2240</v>
      </c>
      <c r="AA278" s="70"/>
      <c r="AB278" s="70"/>
      <c r="AC278" s="70"/>
      <c r="AD278" s="70"/>
      <c r="AE278" s="70" t="s">
        <v>2240</v>
      </c>
      <c r="AF278" s="70" t="s">
        <v>2240</v>
      </c>
      <c r="AG278" s="70" t="s">
        <v>2240</v>
      </c>
      <c r="AH278" s="70" t="s">
        <v>2240</v>
      </c>
      <c r="AI278" s="70" t="s">
        <v>2240</v>
      </c>
      <c r="AJ278" s="70"/>
      <c r="AK278" s="70"/>
      <c r="AL278" s="70" t="s">
        <v>2240</v>
      </c>
      <c r="AM278" s="70" t="s">
        <v>2240</v>
      </c>
      <c r="AN278" s="70" t="s">
        <v>2240</v>
      </c>
      <c r="AO278" s="70" t="s">
        <v>2240</v>
      </c>
      <c r="AP278" s="70" t="s">
        <v>2240</v>
      </c>
      <c r="AQ278" s="70"/>
      <c r="AR278" s="70"/>
      <c r="AS278" s="70" t="s">
        <v>2240</v>
      </c>
      <c r="AT278" s="70" t="s">
        <v>2240</v>
      </c>
      <c r="AU278" s="70" t="s">
        <v>2240</v>
      </c>
      <c r="AV278" s="70" t="s">
        <v>2240</v>
      </c>
    </row>
    <row r="279" spans="1:48" ht="15.75" thickBot="1" x14ac:dyDescent="0.3">
      <c r="A279">
        <v>6</v>
      </c>
      <c r="B279">
        <v>12</v>
      </c>
      <c r="C279"/>
      <c r="D279"/>
      <c r="E279" t="s">
        <v>2353</v>
      </c>
      <c r="F279" t="s">
        <v>347</v>
      </c>
      <c r="G279" t="s">
        <v>972</v>
      </c>
      <c r="H279" t="s">
        <v>1053</v>
      </c>
      <c r="I279" t="s">
        <v>349</v>
      </c>
      <c r="J279" s="30" t="s">
        <v>18</v>
      </c>
      <c r="K279" s="30" t="s">
        <v>27</v>
      </c>
      <c r="L279" s="30"/>
      <c r="M279" s="30" t="s">
        <v>1267</v>
      </c>
      <c r="N279" s="30"/>
      <c r="O279" s="31">
        <f>COUNTIF(S279:AT279,"")</f>
        <v>27</v>
      </c>
      <c r="P279" s="136" t="s">
        <v>1893</v>
      </c>
      <c r="Q279" s="31">
        <f>COUNTIF(S279:AT279,"APAGADO")</f>
        <v>1</v>
      </c>
      <c r="R279" s="32">
        <f>(O279)/(Q279+O279)</f>
        <v>0.9642857142857143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 t="s">
        <v>2240</v>
      </c>
      <c r="AT279" s="70"/>
      <c r="AU279" s="70"/>
      <c r="AV279" s="70"/>
    </row>
    <row r="280" spans="1:48" ht="15.75" thickBot="1" x14ac:dyDescent="0.3">
      <c r="A280"/>
      <c r="B280"/>
      <c r="C280"/>
      <c r="D280"/>
      <c r="E280"/>
      <c r="F280" t="s">
        <v>284</v>
      </c>
      <c r="G280" t="s">
        <v>970</v>
      </c>
      <c r="H280" t="s">
        <v>1053</v>
      </c>
      <c r="I280" t="s">
        <v>971</v>
      </c>
      <c r="J280" s="30" t="s">
        <v>72</v>
      </c>
      <c r="K280" s="30" t="s">
        <v>27</v>
      </c>
      <c r="L280" s="30"/>
      <c r="M280" s="30" t="s">
        <v>1266</v>
      </c>
      <c r="N280" s="30"/>
      <c r="O280" s="31">
        <f>COUNTIF(S280:AT280,"")</f>
        <v>28</v>
      </c>
      <c r="P280" s="136" t="s">
        <v>1890</v>
      </c>
      <c r="Q280" s="31">
        <f>COUNTIF(S280:AT280,"APAGADO")</f>
        <v>0</v>
      </c>
      <c r="R280" s="32">
        <f>(O280)/(Q280+O280)</f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ht="15.75" thickBot="1" x14ac:dyDescent="0.3">
      <c r="A281"/>
      <c r="B281"/>
      <c r="C281"/>
      <c r="D281"/>
      <c r="E281"/>
      <c r="F281" t="s">
        <v>284</v>
      </c>
      <c r="G281" t="s">
        <v>361</v>
      </c>
      <c r="H281" t="s">
        <v>1053</v>
      </c>
      <c r="I281" t="s">
        <v>346</v>
      </c>
      <c r="J281" s="30" t="s">
        <v>14</v>
      </c>
      <c r="K281" s="30" t="s">
        <v>27</v>
      </c>
      <c r="L281" s="30"/>
      <c r="M281" s="30" t="s">
        <v>752</v>
      </c>
      <c r="N281" s="30"/>
      <c r="O281" s="31">
        <f>COUNTIF(S281:AT281,"")</f>
        <v>28</v>
      </c>
      <c r="P281" s="136" t="s">
        <v>1889</v>
      </c>
      <c r="Q281" s="31">
        <f>COUNTIF(S281:AT281,"APAGADO")</f>
        <v>0</v>
      </c>
      <c r="R281" s="32">
        <f>(O281)/(Q281+O281)</f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8" ht="15.75" thickBot="1" x14ac:dyDescent="0.3">
      <c r="A282">
        <v>10</v>
      </c>
      <c r="B282">
        <v>10</v>
      </c>
      <c r="C282"/>
      <c r="D282"/>
      <c r="E282" t="s">
        <v>2352</v>
      </c>
      <c r="F282" t="s">
        <v>40</v>
      </c>
      <c r="G282" t="s">
        <v>966</v>
      </c>
      <c r="H282" t="s">
        <v>1052</v>
      </c>
      <c r="I282" t="s">
        <v>967</v>
      </c>
      <c r="J282" s="30" t="s">
        <v>72</v>
      </c>
      <c r="K282" s="30" t="s">
        <v>27</v>
      </c>
      <c r="L282" s="30"/>
      <c r="M282" s="30" t="s">
        <v>1263</v>
      </c>
      <c r="N282" s="30"/>
      <c r="O282" s="31">
        <f>COUNTIF(S282:AT282,"")</f>
        <v>27</v>
      </c>
      <c r="P282" s="136" t="s">
        <v>1881</v>
      </c>
      <c r="Q282" s="31">
        <f>COUNTIF(S282:AT282,"APAGADO")</f>
        <v>1</v>
      </c>
      <c r="R282" s="32">
        <f>(O282)/(Q282+O282)</f>
        <v>0.9642857142857143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 t="s">
        <v>2240</v>
      </c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s="73" customFormat="1" ht="15.75" thickBot="1" x14ac:dyDescent="0.3">
      <c r="A283"/>
      <c r="B283"/>
      <c r="C283"/>
      <c r="D283"/>
      <c r="E283"/>
      <c r="F283" t="s">
        <v>347</v>
      </c>
      <c r="G283" t="s">
        <v>360</v>
      </c>
      <c r="H283" t="s">
        <v>1053</v>
      </c>
      <c r="I283" t="s">
        <v>359</v>
      </c>
      <c r="J283" s="30" t="s">
        <v>72</v>
      </c>
      <c r="K283" s="30" t="s">
        <v>27</v>
      </c>
      <c r="L283" s="30"/>
      <c r="M283" s="30" t="s">
        <v>756</v>
      </c>
      <c r="N283" s="30"/>
      <c r="O283" s="31">
        <f>COUNTIF(S283:AT283,"")</f>
        <v>28</v>
      </c>
      <c r="P283" s="136" t="s">
        <v>1899</v>
      </c>
      <c r="Q283" s="31">
        <f>COUNTIF(S283:AT283,"APAGADO")</f>
        <v>0</v>
      </c>
      <c r="R283" s="32">
        <f>(O283)/(Q283+O283)</f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138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thickBot="1" x14ac:dyDescent="0.3">
      <c r="A284"/>
      <c r="B284"/>
      <c r="C284"/>
      <c r="D284"/>
      <c r="E284"/>
      <c r="F284" t="s">
        <v>347</v>
      </c>
      <c r="G284" t="s">
        <v>358</v>
      </c>
      <c r="H284" t="s">
        <v>1053</v>
      </c>
      <c r="I284" t="s">
        <v>359</v>
      </c>
      <c r="J284" s="30" t="s">
        <v>14</v>
      </c>
      <c r="K284" s="30" t="s">
        <v>27</v>
      </c>
      <c r="L284" s="30"/>
      <c r="M284" s="30" t="s">
        <v>757</v>
      </c>
      <c r="N284" s="30"/>
      <c r="O284" s="31">
        <f>COUNTIF(S284:AT284,"")</f>
        <v>12</v>
      </c>
      <c r="P284" s="136" t="s">
        <v>1898</v>
      </c>
      <c r="Q284" s="31">
        <f>COUNTIF(S284:AT284,"APAGADO")</f>
        <v>16</v>
      </c>
      <c r="R284" s="32">
        <f>(O284)/(Q284+O284)</f>
        <v>0.42857142857142855</v>
      </c>
      <c r="S284" s="70" t="s">
        <v>2240</v>
      </c>
      <c r="T284" s="70"/>
      <c r="U284" s="70"/>
      <c r="V284" s="70"/>
      <c r="W284" s="70"/>
      <c r="X284" s="70" t="s">
        <v>2240</v>
      </c>
      <c r="Y284" s="70" t="s">
        <v>2240</v>
      </c>
      <c r="Z284" s="70" t="s">
        <v>2240</v>
      </c>
      <c r="AA284" s="70"/>
      <c r="AB284" s="70"/>
      <c r="AC284" s="70"/>
      <c r="AD284" s="70"/>
      <c r="AE284" s="70" t="s">
        <v>2240</v>
      </c>
      <c r="AF284" s="70" t="s">
        <v>2240</v>
      </c>
      <c r="AG284" s="70" t="s">
        <v>2240</v>
      </c>
      <c r="AH284" s="70" t="s">
        <v>2240</v>
      </c>
      <c r="AI284" s="70" t="s">
        <v>2240</v>
      </c>
      <c r="AJ284" s="70"/>
      <c r="AK284" s="70"/>
      <c r="AL284" s="70" t="s">
        <v>2240</v>
      </c>
      <c r="AM284" s="70" t="s">
        <v>2240</v>
      </c>
      <c r="AN284" s="70" t="s">
        <v>2240</v>
      </c>
      <c r="AO284" s="70" t="s">
        <v>2240</v>
      </c>
      <c r="AP284" s="70" t="s">
        <v>2240</v>
      </c>
      <c r="AQ284" s="70"/>
      <c r="AR284" s="70"/>
      <c r="AS284" s="70" t="s">
        <v>2240</v>
      </c>
      <c r="AT284" s="70" t="s">
        <v>2240</v>
      </c>
      <c r="AU284" s="70" t="s">
        <v>2240</v>
      </c>
      <c r="AV284" s="70"/>
    </row>
    <row r="285" spans="1:48" ht="15.75" thickBot="1" x14ac:dyDescent="0.3">
      <c r="A285"/>
      <c r="B285"/>
      <c r="C285"/>
      <c r="D285"/>
      <c r="E285"/>
      <c r="F285" s="73" t="s">
        <v>356</v>
      </c>
      <c r="G285" s="73" t="s">
        <v>357</v>
      </c>
      <c r="H285" s="73" t="s">
        <v>1053</v>
      </c>
      <c r="I285" s="73" t="s">
        <v>1200</v>
      </c>
      <c r="J285" s="84" t="s">
        <v>72</v>
      </c>
      <c r="K285" s="84" t="s">
        <v>1291</v>
      </c>
      <c r="L285" s="84"/>
      <c r="M285" s="84" t="s">
        <v>761</v>
      </c>
      <c r="N285" s="84"/>
      <c r="O285" s="131">
        <f>COUNTIF(S285:AT285,"")</f>
        <v>12</v>
      </c>
      <c r="P285" s="136" t="s">
        <v>2165</v>
      </c>
      <c r="Q285" s="131">
        <f>COUNTIF(S285:AT285,"APAGADO")</f>
        <v>16</v>
      </c>
      <c r="R285" s="132">
        <f>(O285)/(Q285+O285)</f>
        <v>0.42857142857142855</v>
      </c>
      <c r="S285" s="70" t="s">
        <v>2240</v>
      </c>
      <c r="T285" s="70"/>
      <c r="U285" s="70"/>
      <c r="V285" s="70"/>
      <c r="W285" s="70"/>
      <c r="X285" s="70" t="s">
        <v>2240</v>
      </c>
      <c r="Y285" s="70" t="s">
        <v>2240</v>
      </c>
      <c r="Z285" s="70" t="s">
        <v>2240</v>
      </c>
      <c r="AA285" s="70"/>
      <c r="AB285" s="70"/>
      <c r="AC285" s="70"/>
      <c r="AD285" s="70"/>
      <c r="AE285" s="70" t="s">
        <v>2240</v>
      </c>
      <c r="AF285" s="70" t="s">
        <v>2240</v>
      </c>
      <c r="AG285" s="70" t="s">
        <v>2240</v>
      </c>
      <c r="AH285" s="70" t="s">
        <v>2240</v>
      </c>
      <c r="AI285" s="70" t="s">
        <v>2240</v>
      </c>
      <c r="AJ285" s="70"/>
      <c r="AK285" s="70"/>
      <c r="AL285" s="70" t="s">
        <v>2240</v>
      </c>
      <c r="AM285" s="70" t="s">
        <v>2240</v>
      </c>
      <c r="AN285" s="70" t="s">
        <v>2240</v>
      </c>
      <c r="AO285" s="70" t="s">
        <v>2240</v>
      </c>
      <c r="AP285" s="70" t="s">
        <v>2240</v>
      </c>
      <c r="AQ285" s="70"/>
      <c r="AR285" s="70"/>
      <c r="AS285" s="70" t="s">
        <v>2240</v>
      </c>
      <c r="AT285" s="70" t="s">
        <v>2240</v>
      </c>
      <c r="AU285" s="70" t="s">
        <v>2240</v>
      </c>
      <c r="AV285" s="70" t="s">
        <v>2240</v>
      </c>
    </row>
    <row r="286" spans="1:48" ht="15.75" thickBot="1" x14ac:dyDescent="0.3">
      <c r="A286"/>
      <c r="B286"/>
      <c r="C286"/>
      <c r="D286"/>
      <c r="E286"/>
      <c r="F286" s="73" t="s">
        <v>193</v>
      </c>
      <c r="G286" s="73" t="s">
        <v>355</v>
      </c>
      <c r="H286" s="73" t="s">
        <v>1053</v>
      </c>
      <c r="I286" s="73" t="s">
        <v>354</v>
      </c>
      <c r="J286" s="84" t="s">
        <v>72</v>
      </c>
      <c r="K286" s="84" t="s">
        <v>1291</v>
      </c>
      <c r="L286" s="84"/>
      <c r="M286" s="84" t="s">
        <v>1611</v>
      </c>
      <c r="N286" s="84"/>
      <c r="O286" s="131">
        <f>COUNTIF(S286:AT286,"")</f>
        <v>28</v>
      </c>
      <c r="P286" s="136" t="s">
        <v>2123</v>
      </c>
      <c r="Q286" s="131">
        <f>COUNTIF(S286:AT286,"APAGADO")</f>
        <v>0</v>
      </c>
      <c r="R286" s="132">
        <f>(O286)/(Q286+O286)</f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thickBot="1" x14ac:dyDescent="0.3">
      <c r="A287"/>
      <c r="B287"/>
      <c r="C287"/>
      <c r="D287"/>
      <c r="E287"/>
      <c r="F287" s="73" t="s">
        <v>193</v>
      </c>
      <c r="G287" s="73" t="s">
        <v>353</v>
      </c>
      <c r="H287" s="73" t="s">
        <v>1053</v>
      </c>
      <c r="I287" s="73" t="s">
        <v>354</v>
      </c>
      <c r="J287" s="84" t="s">
        <v>14</v>
      </c>
      <c r="K287" s="84" t="s">
        <v>1291</v>
      </c>
      <c r="L287" s="84"/>
      <c r="M287" s="84" t="s">
        <v>755</v>
      </c>
      <c r="N287" s="84"/>
      <c r="O287" s="131">
        <f>COUNTIF(S287:AT287,"")</f>
        <v>13</v>
      </c>
      <c r="P287" s="136" t="s">
        <v>1894</v>
      </c>
      <c r="Q287" s="131">
        <f>COUNTIF(S287:AT287,"APAGADO")</f>
        <v>15</v>
      </c>
      <c r="R287" s="132">
        <f>(O287)/(Q287+O287)</f>
        <v>0.4642857142857143</v>
      </c>
      <c r="S287" s="70" t="s">
        <v>2240</v>
      </c>
      <c r="T287" s="70"/>
      <c r="U287" s="70"/>
      <c r="V287" s="70"/>
      <c r="W287" s="70"/>
      <c r="X287" s="70" t="s">
        <v>2240</v>
      </c>
      <c r="Y287" s="70" t="s">
        <v>2240</v>
      </c>
      <c r="Z287" s="70" t="s">
        <v>2240</v>
      </c>
      <c r="AA287" s="70"/>
      <c r="AB287" s="70"/>
      <c r="AC287" s="70"/>
      <c r="AD287" s="70"/>
      <c r="AE287" s="70" t="s">
        <v>2240</v>
      </c>
      <c r="AF287" s="70" t="s">
        <v>2240</v>
      </c>
      <c r="AG287" s="70" t="s">
        <v>2240</v>
      </c>
      <c r="AH287" s="70" t="s">
        <v>2240</v>
      </c>
      <c r="AI287" s="70" t="s">
        <v>2240</v>
      </c>
      <c r="AJ287" s="70"/>
      <c r="AK287" s="70"/>
      <c r="AL287" s="70" t="s">
        <v>2240</v>
      </c>
      <c r="AM287" s="70" t="s">
        <v>2240</v>
      </c>
      <c r="AN287" s="70" t="s">
        <v>2240</v>
      </c>
      <c r="AO287" s="70" t="s">
        <v>2240</v>
      </c>
      <c r="AP287" s="70"/>
      <c r="AQ287" s="70"/>
      <c r="AR287" s="70"/>
      <c r="AS287" s="70" t="s">
        <v>2240</v>
      </c>
      <c r="AT287" s="70" t="s">
        <v>2240</v>
      </c>
      <c r="AU287" s="70" t="s">
        <v>2240</v>
      </c>
      <c r="AV287" s="70" t="s">
        <v>2240</v>
      </c>
    </row>
    <row r="288" spans="1:48" ht="15.75" thickBot="1" x14ac:dyDescent="0.3">
      <c r="A288"/>
      <c r="B288"/>
      <c r="C288"/>
      <c r="D288"/>
      <c r="E288"/>
      <c r="F288" t="s">
        <v>351</v>
      </c>
      <c r="G288" s="69" t="s">
        <v>965</v>
      </c>
      <c r="H288" s="69" t="s">
        <v>1053</v>
      </c>
      <c r="I288" s="69" t="s">
        <v>352</v>
      </c>
      <c r="J288" s="137" t="s">
        <v>14</v>
      </c>
      <c r="K288" s="137" t="s">
        <v>27</v>
      </c>
      <c r="L288" s="30"/>
      <c r="M288" s="137" t="s">
        <v>759</v>
      </c>
      <c r="N288" s="30"/>
      <c r="O288" s="139">
        <f>COUNTIF(S288:AT288,"")</f>
        <v>28</v>
      </c>
      <c r="P288" s="140"/>
      <c r="Q288" s="139">
        <f>COUNTIF(S288:AT288,"APAGADO")</f>
        <v>0</v>
      </c>
      <c r="R288" s="141">
        <f>(O288)/(Q288+O288)</f>
        <v>1</v>
      </c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142"/>
      <c r="AT288" s="142"/>
      <c r="AU288" s="142"/>
      <c r="AV288" s="142"/>
    </row>
    <row r="289" spans="1:48" s="73" customFormat="1" ht="15.75" thickBot="1" x14ac:dyDescent="0.3">
      <c r="A289">
        <v>6</v>
      </c>
      <c r="B289">
        <v>12</v>
      </c>
      <c r="C289"/>
      <c r="D289"/>
      <c r="E289" t="s">
        <v>2353</v>
      </c>
      <c r="F289" t="s">
        <v>347</v>
      </c>
      <c r="G289" t="s">
        <v>350</v>
      </c>
      <c r="H289" t="s">
        <v>1053</v>
      </c>
      <c r="I289" t="s">
        <v>349</v>
      </c>
      <c r="J289" s="30" t="s">
        <v>72</v>
      </c>
      <c r="K289" s="30" t="s">
        <v>27</v>
      </c>
      <c r="L289" s="30"/>
      <c r="M289" s="30" t="s">
        <v>754</v>
      </c>
      <c r="N289" s="30"/>
      <c r="O289" s="31">
        <f>COUNTIF(S289:AT289,"")</f>
        <v>27</v>
      </c>
      <c r="P289" s="136" t="s">
        <v>1892</v>
      </c>
      <c r="Q289" s="31">
        <f>COUNTIF(S289:AT289,"APAGADO")</f>
        <v>1</v>
      </c>
      <c r="R289" s="32">
        <f>(O289)/(Q289+O289)</f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 t="s">
        <v>2240</v>
      </c>
      <c r="AT289" s="70"/>
      <c r="AU289" s="70"/>
      <c r="AV289" s="70"/>
    </row>
    <row r="290" spans="1:48" ht="15.75" thickBot="1" x14ac:dyDescent="0.3">
      <c r="A290">
        <v>6</v>
      </c>
      <c r="B290">
        <v>12</v>
      </c>
      <c r="C290"/>
      <c r="D290"/>
      <c r="E290" t="s">
        <v>2353</v>
      </c>
      <c r="F290" t="s">
        <v>347</v>
      </c>
      <c r="G290" t="s">
        <v>348</v>
      </c>
      <c r="H290" t="s">
        <v>1053</v>
      </c>
      <c r="I290" t="s">
        <v>349</v>
      </c>
      <c r="J290" s="30" t="s">
        <v>14</v>
      </c>
      <c r="K290" s="30" t="s">
        <v>27</v>
      </c>
      <c r="L290" s="30"/>
      <c r="M290" s="30" t="s">
        <v>753</v>
      </c>
      <c r="N290" s="30"/>
      <c r="O290" s="31">
        <f>COUNTIF(S290:AT290,"")</f>
        <v>27</v>
      </c>
      <c r="P290" s="136" t="s">
        <v>1891</v>
      </c>
      <c r="Q290" s="31">
        <f>COUNTIF(S290:AT290,"APAGADO")</f>
        <v>1</v>
      </c>
      <c r="R290" s="32">
        <f>(O290)/(Q290+O290)</f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2240</v>
      </c>
      <c r="AT290" s="70"/>
      <c r="AU290" s="70"/>
      <c r="AV290" s="70"/>
    </row>
    <row r="291" spans="1:48" s="73" customFormat="1" ht="15.75" thickBot="1" x14ac:dyDescent="0.3">
      <c r="A291"/>
      <c r="B291"/>
      <c r="C291"/>
      <c r="D291"/>
      <c r="E291"/>
      <c r="F291" t="s">
        <v>284</v>
      </c>
      <c r="G291" t="s">
        <v>345</v>
      </c>
      <c r="H291" t="s">
        <v>1053</v>
      </c>
      <c r="I291" t="s">
        <v>346</v>
      </c>
      <c r="J291" s="30" t="s">
        <v>72</v>
      </c>
      <c r="K291" s="30" t="s">
        <v>27</v>
      </c>
      <c r="L291" s="30"/>
      <c r="M291" s="30" t="s">
        <v>751</v>
      </c>
      <c r="N291" s="30"/>
      <c r="O291" s="31">
        <f>COUNTIF(S291:AT291,"")</f>
        <v>28</v>
      </c>
      <c r="P291" s="136" t="s">
        <v>1888</v>
      </c>
      <c r="Q291" s="31">
        <f>COUNTIF(S291:AT291,"APAGADO")</f>
        <v>0</v>
      </c>
      <c r="R291" s="32">
        <f>(O291)/(Q291+O291)</f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s="73" customFormat="1" ht="15.75" thickBot="1" x14ac:dyDescent="0.3">
      <c r="A292"/>
      <c r="B292"/>
      <c r="C292"/>
      <c r="D292"/>
      <c r="E292" t="s">
        <v>2366</v>
      </c>
      <c r="F292" t="s">
        <v>211</v>
      </c>
      <c r="G292" t="s">
        <v>344</v>
      </c>
      <c r="H292" t="s">
        <v>1053</v>
      </c>
      <c r="I292" t="s">
        <v>343</v>
      </c>
      <c r="J292" s="30" t="s">
        <v>72</v>
      </c>
      <c r="K292" s="30" t="s">
        <v>27</v>
      </c>
      <c r="L292" s="30"/>
      <c r="M292" s="30" t="s">
        <v>749</v>
      </c>
      <c r="N292" s="30"/>
      <c r="O292" s="31">
        <f>COUNTIF(S292:AT292,"")</f>
        <v>14</v>
      </c>
      <c r="P292" s="136" t="s">
        <v>1886</v>
      </c>
      <c r="Q292" s="31">
        <f>COUNTIF(S292:AT292,"APAGADO")</f>
        <v>14</v>
      </c>
      <c r="R292" s="32">
        <f>(O292)/(Q292+O292)</f>
        <v>0.5</v>
      </c>
      <c r="S292" s="70" t="s">
        <v>2240</v>
      </c>
      <c r="T292" s="70"/>
      <c r="U292" s="70"/>
      <c r="V292" s="70"/>
      <c r="W292" s="70"/>
      <c r="X292" s="70" t="s">
        <v>2240</v>
      </c>
      <c r="Y292" s="70" t="s">
        <v>2240</v>
      </c>
      <c r="Z292" s="70" t="s">
        <v>2240</v>
      </c>
      <c r="AA292" s="70"/>
      <c r="AB292" s="70"/>
      <c r="AC292" s="70"/>
      <c r="AD292" s="70"/>
      <c r="AE292" s="70"/>
      <c r="AF292" s="70"/>
      <c r="AG292" s="70" t="s">
        <v>2240</v>
      </c>
      <c r="AH292" s="70" t="s">
        <v>2240</v>
      </c>
      <c r="AI292" s="70" t="s">
        <v>2240</v>
      </c>
      <c r="AJ292" s="70"/>
      <c r="AK292" s="70"/>
      <c r="AL292" s="70" t="s">
        <v>2240</v>
      </c>
      <c r="AM292" s="70" t="s">
        <v>2240</v>
      </c>
      <c r="AN292" s="70" t="s">
        <v>2240</v>
      </c>
      <c r="AO292" s="70" t="s">
        <v>2240</v>
      </c>
      <c r="AP292" s="70" t="s">
        <v>2240</v>
      </c>
      <c r="AQ292" s="70"/>
      <c r="AR292" s="70"/>
      <c r="AS292" s="70" t="s">
        <v>2240</v>
      </c>
      <c r="AT292" s="70" t="s">
        <v>2240</v>
      </c>
      <c r="AU292" s="70" t="s">
        <v>2240</v>
      </c>
      <c r="AV292" s="70" t="s">
        <v>2240</v>
      </c>
    </row>
    <row r="293" spans="1:48" ht="15.75" thickBot="1" x14ac:dyDescent="0.3">
      <c r="A293"/>
      <c r="B293"/>
      <c r="C293"/>
      <c r="D293"/>
      <c r="E293" t="s">
        <v>2366</v>
      </c>
      <c r="F293" t="s">
        <v>211</v>
      </c>
      <c r="G293" t="s">
        <v>342</v>
      </c>
      <c r="H293" t="s">
        <v>1053</v>
      </c>
      <c r="I293" t="s">
        <v>343</v>
      </c>
      <c r="J293" s="30" t="s">
        <v>14</v>
      </c>
      <c r="K293" s="30" t="s">
        <v>27</v>
      </c>
      <c r="L293" s="30"/>
      <c r="M293" s="30" t="s">
        <v>748</v>
      </c>
      <c r="N293" s="30"/>
      <c r="O293" s="31">
        <f>COUNTIF(S293:AT293,"")</f>
        <v>26</v>
      </c>
      <c r="P293" s="136" t="s">
        <v>1885</v>
      </c>
      <c r="Q293" s="31">
        <f>COUNTIF(S293:AT293,"APAGADO")</f>
        <v>2</v>
      </c>
      <c r="R293" s="32">
        <f>(O293)/(Q293+O293)</f>
        <v>0.9285714285714286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 t="s">
        <v>2240</v>
      </c>
      <c r="AP293" s="70" t="s">
        <v>2240</v>
      </c>
      <c r="AQ293" s="70"/>
      <c r="AR293" s="70"/>
      <c r="AS293" s="70"/>
      <c r="AT293" s="70"/>
      <c r="AU293" s="70"/>
      <c r="AV293" s="70"/>
    </row>
    <row r="294" spans="1:48" ht="15.75" thickBot="1" x14ac:dyDescent="0.3">
      <c r="A294"/>
      <c r="B294"/>
      <c r="C294"/>
      <c r="D294"/>
      <c r="E294" t="s">
        <v>2366</v>
      </c>
      <c r="F294" t="s">
        <v>211</v>
      </c>
      <c r="G294" t="s">
        <v>1284</v>
      </c>
      <c r="H294" t="s">
        <v>1053</v>
      </c>
      <c r="I294" t="s">
        <v>969</v>
      </c>
      <c r="J294" s="30" t="s">
        <v>18</v>
      </c>
      <c r="K294" s="30" t="s">
        <v>27</v>
      </c>
      <c r="L294" s="30"/>
      <c r="M294" s="30" t="s">
        <v>1265</v>
      </c>
      <c r="N294" s="30"/>
      <c r="O294" s="31">
        <f>COUNTIF(S294:AT294,"")</f>
        <v>13</v>
      </c>
      <c r="P294" s="136" t="s">
        <v>1887</v>
      </c>
      <c r="Q294" s="31">
        <f>COUNTIF(S294:AT294,"APAGADO")</f>
        <v>15</v>
      </c>
      <c r="R294" s="32">
        <f>(O294)/(Q294+O294)</f>
        <v>0.4642857142857143</v>
      </c>
      <c r="S294" s="70" t="s">
        <v>2240</v>
      </c>
      <c r="T294" s="70"/>
      <c r="U294" s="70"/>
      <c r="V294" s="70"/>
      <c r="W294" s="70"/>
      <c r="X294" s="70" t="s">
        <v>2240</v>
      </c>
      <c r="Y294" s="70" t="s">
        <v>2240</v>
      </c>
      <c r="Z294" s="70" t="s">
        <v>2240</v>
      </c>
      <c r="AA294" s="70"/>
      <c r="AB294" s="70"/>
      <c r="AC294" s="70"/>
      <c r="AD294" s="70"/>
      <c r="AE294" s="70"/>
      <c r="AF294" s="70" t="s">
        <v>2240</v>
      </c>
      <c r="AG294" s="70" t="s">
        <v>2240</v>
      </c>
      <c r="AH294" s="70" t="s">
        <v>2240</v>
      </c>
      <c r="AI294" s="70" t="s">
        <v>2240</v>
      </c>
      <c r="AJ294" s="70"/>
      <c r="AK294" s="70"/>
      <c r="AL294" s="70" t="s">
        <v>2240</v>
      </c>
      <c r="AM294" s="70" t="s">
        <v>2240</v>
      </c>
      <c r="AN294" s="70" t="s">
        <v>2240</v>
      </c>
      <c r="AO294" s="70" t="s">
        <v>2240</v>
      </c>
      <c r="AP294" s="70" t="s">
        <v>2240</v>
      </c>
      <c r="AQ294" s="70"/>
      <c r="AR294" s="70"/>
      <c r="AS294" s="70" t="s">
        <v>2240</v>
      </c>
      <c r="AT294" s="70" t="s">
        <v>2240</v>
      </c>
      <c r="AU294" s="70" t="s">
        <v>2240</v>
      </c>
      <c r="AV294" s="70" t="s">
        <v>2240</v>
      </c>
    </row>
    <row r="295" spans="1:48" s="73" customFormat="1" ht="15.75" thickBot="1" x14ac:dyDescent="0.3">
      <c r="A295"/>
      <c r="B295"/>
      <c r="C295"/>
      <c r="D295"/>
      <c r="E295" t="s">
        <v>2366</v>
      </c>
      <c r="F295" t="s">
        <v>183</v>
      </c>
      <c r="G295" t="s">
        <v>1285</v>
      </c>
      <c r="H295" t="s">
        <v>1053</v>
      </c>
      <c r="I295" t="s">
        <v>968</v>
      </c>
      <c r="J295" s="30" t="s">
        <v>72</v>
      </c>
      <c r="K295" s="30" t="s">
        <v>27</v>
      </c>
      <c r="L295" s="30"/>
      <c r="M295" s="30" t="s">
        <v>1264</v>
      </c>
      <c r="N295" s="30"/>
      <c r="O295" s="31">
        <f>COUNTIF(S295:AT295,"")</f>
        <v>27</v>
      </c>
      <c r="P295" s="136" t="s">
        <v>1884</v>
      </c>
      <c r="Q295" s="31">
        <f>COUNTIF(S295:AT295,"APAGADO")</f>
        <v>1</v>
      </c>
      <c r="R295" s="32">
        <f>(O295)/(Q295+O295)</f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2240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thickBot="1" x14ac:dyDescent="0.3">
      <c r="A296" s="69"/>
      <c r="B296" s="69"/>
      <c r="C296" s="69"/>
      <c r="D296" s="69"/>
      <c r="E296" t="s">
        <v>2366</v>
      </c>
      <c r="F296" s="69" t="s">
        <v>183</v>
      </c>
      <c r="G296" s="69" t="s">
        <v>341</v>
      </c>
      <c r="H296" s="69" t="s">
        <v>1053</v>
      </c>
      <c r="I296" s="69" t="s">
        <v>340</v>
      </c>
      <c r="J296" s="137" t="s">
        <v>72</v>
      </c>
      <c r="K296" s="137" t="s">
        <v>27</v>
      </c>
      <c r="L296" s="137"/>
      <c r="M296" s="137" t="s">
        <v>747</v>
      </c>
      <c r="N296" s="137"/>
      <c r="O296" s="139">
        <f>COUNTIF(S296:AT296,"")</f>
        <v>13</v>
      </c>
      <c r="P296" s="140" t="s">
        <v>1883</v>
      </c>
      <c r="Q296" s="139">
        <f>COUNTIF(S296:AT296,"APAGADO")</f>
        <v>15</v>
      </c>
      <c r="R296" s="141">
        <f>(O296)/(Q296+O296)</f>
        <v>0.4642857142857143</v>
      </c>
      <c r="S296" s="142" t="s">
        <v>2240</v>
      </c>
      <c r="T296" s="142"/>
      <c r="U296" s="142"/>
      <c r="V296" s="142"/>
      <c r="W296" s="142"/>
      <c r="X296" s="142" t="s">
        <v>2240</v>
      </c>
      <c r="Y296" s="142" t="s">
        <v>2240</v>
      </c>
      <c r="Z296" s="142"/>
      <c r="AA296" s="142"/>
      <c r="AB296" s="142"/>
      <c r="AC296" s="142"/>
      <c r="AD296" s="142"/>
      <c r="AE296" s="70" t="s">
        <v>2240</v>
      </c>
      <c r="AF296" s="70" t="s">
        <v>2240</v>
      </c>
      <c r="AG296" s="70" t="s">
        <v>2240</v>
      </c>
      <c r="AH296" s="70" t="s">
        <v>2240</v>
      </c>
      <c r="AI296" s="70" t="s">
        <v>2240</v>
      </c>
      <c r="AJ296" s="142"/>
      <c r="AK296" s="142"/>
      <c r="AL296" s="70" t="s">
        <v>2240</v>
      </c>
      <c r="AM296" s="70" t="s">
        <v>2240</v>
      </c>
      <c r="AN296" s="70" t="s">
        <v>2240</v>
      </c>
      <c r="AO296" s="70" t="s">
        <v>2240</v>
      </c>
      <c r="AP296" s="70" t="s">
        <v>2240</v>
      </c>
      <c r="AQ296" s="142"/>
      <c r="AR296" s="142"/>
      <c r="AS296" s="70" t="s">
        <v>2240</v>
      </c>
      <c r="AT296" s="70" t="s">
        <v>2240</v>
      </c>
      <c r="AU296" s="70" t="s">
        <v>2240</v>
      </c>
      <c r="AV296" s="70" t="s">
        <v>2240</v>
      </c>
    </row>
    <row r="297" spans="1:48" s="73" customFormat="1" ht="14.25" customHeight="1" thickBot="1" x14ac:dyDescent="0.3">
      <c r="A297"/>
      <c r="B297"/>
      <c r="C297"/>
      <c r="D297"/>
      <c r="E297" t="s">
        <v>2366</v>
      </c>
      <c r="F297" t="s">
        <v>183</v>
      </c>
      <c r="G297" t="s">
        <v>339</v>
      </c>
      <c r="H297" t="s">
        <v>1053</v>
      </c>
      <c r="I297" t="s">
        <v>340</v>
      </c>
      <c r="J297" s="30" t="s">
        <v>14</v>
      </c>
      <c r="K297" s="30" t="s">
        <v>27</v>
      </c>
      <c r="L297" s="30"/>
      <c r="M297" s="30" t="s">
        <v>746</v>
      </c>
      <c r="N297" s="30"/>
      <c r="O297" s="31">
        <f>COUNTIF(S297:AT297,"")</f>
        <v>12</v>
      </c>
      <c r="P297" s="136" t="s">
        <v>1882</v>
      </c>
      <c r="Q297" s="31">
        <f>COUNTIF(S297:AT297,"APAGADO")</f>
        <v>16</v>
      </c>
      <c r="R297" s="32">
        <f>(O297)/(Q297+O297)</f>
        <v>0.42857142857142855</v>
      </c>
      <c r="S297" s="70" t="s">
        <v>2240</v>
      </c>
      <c r="T297" s="70"/>
      <c r="U297" s="70"/>
      <c r="V297" s="70"/>
      <c r="W297" s="70"/>
      <c r="X297" s="70" t="s">
        <v>2240</v>
      </c>
      <c r="Y297" s="70" t="s">
        <v>2240</v>
      </c>
      <c r="Z297" s="70" t="s">
        <v>2240</v>
      </c>
      <c r="AA297" s="70"/>
      <c r="AB297" s="70"/>
      <c r="AC297" s="70"/>
      <c r="AD297" s="70"/>
      <c r="AE297" s="70" t="s">
        <v>2240</v>
      </c>
      <c r="AF297" s="70" t="s">
        <v>2240</v>
      </c>
      <c r="AG297" s="70" t="s">
        <v>2240</v>
      </c>
      <c r="AH297" s="70" t="s">
        <v>2240</v>
      </c>
      <c r="AI297" s="70" t="s">
        <v>2240</v>
      </c>
      <c r="AJ297" s="70"/>
      <c r="AK297" s="70"/>
      <c r="AL297" s="70" t="s">
        <v>2240</v>
      </c>
      <c r="AM297" s="70" t="s">
        <v>2240</v>
      </c>
      <c r="AN297" s="70" t="s">
        <v>2240</v>
      </c>
      <c r="AO297" s="70" t="s">
        <v>2240</v>
      </c>
      <c r="AP297" s="70" t="s">
        <v>2240</v>
      </c>
      <c r="AQ297" s="70"/>
      <c r="AR297" s="70"/>
      <c r="AS297" s="70" t="s">
        <v>2240</v>
      </c>
      <c r="AT297" s="70" t="s">
        <v>2240</v>
      </c>
      <c r="AU297" s="70" t="s">
        <v>2240</v>
      </c>
      <c r="AV297" s="70" t="s">
        <v>2240</v>
      </c>
    </row>
    <row r="298" spans="1:48" s="73" customFormat="1" ht="15.75" thickBot="1" x14ac:dyDescent="0.3">
      <c r="A298">
        <v>10</v>
      </c>
      <c r="B298">
        <v>10</v>
      </c>
      <c r="C298"/>
      <c r="D298"/>
      <c r="E298" t="s">
        <v>2352</v>
      </c>
      <c r="F298" t="s">
        <v>40</v>
      </c>
      <c r="G298" t="s">
        <v>338</v>
      </c>
      <c r="H298" t="s">
        <v>1052</v>
      </c>
      <c r="I298" t="s">
        <v>337</v>
      </c>
      <c r="J298" s="30" t="s">
        <v>72</v>
      </c>
      <c r="K298" s="30" t="s">
        <v>27</v>
      </c>
      <c r="L298" s="30"/>
      <c r="M298" s="30" t="s">
        <v>745</v>
      </c>
      <c r="N298" s="30"/>
      <c r="O298" s="31">
        <f>COUNTIF(S298:AT298,"")</f>
        <v>27</v>
      </c>
      <c r="P298" s="136" t="s">
        <v>1880</v>
      </c>
      <c r="Q298" s="31">
        <f>COUNTIF(S298:AT298,"APAGADO")</f>
        <v>1</v>
      </c>
      <c r="R298" s="32">
        <f>(O298)/(Q298+O298)</f>
        <v>0.9642857142857143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 t="s">
        <v>2240</v>
      </c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s="73" customFormat="1" ht="15.75" thickBot="1" x14ac:dyDescent="0.3">
      <c r="A299">
        <v>10</v>
      </c>
      <c r="B299">
        <v>10</v>
      </c>
      <c r="C299"/>
      <c r="D299"/>
      <c r="E299" t="s">
        <v>2352</v>
      </c>
      <c r="F299" t="s">
        <v>40</v>
      </c>
      <c r="G299" t="s">
        <v>336</v>
      </c>
      <c r="H299" t="s">
        <v>1052</v>
      </c>
      <c r="I299" t="s">
        <v>337</v>
      </c>
      <c r="J299" s="30" t="s">
        <v>14</v>
      </c>
      <c r="K299" s="30" t="s">
        <v>27</v>
      </c>
      <c r="L299" s="30"/>
      <c r="M299" s="30" t="s">
        <v>744</v>
      </c>
      <c r="N299" s="30"/>
      <c r="O299" s="31">
        <f>COUNTIF(S299:AT299,"")</f>
        <v>27</v>
      </c>
      <c r="P299" s="136" t="s">
        <v>1879</v>
      </c>
      <c r="Q299" s="31">
        <f>COUNTIF(S299:AT299,"APAGADO")</f>
        <v>1</v>
      </c>
      <c r="R299" s="32">
        <f>(O299)/(Q299+O299)</f>
        <v>0.9642857142857143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 t="s">
        <v>2240</v>
      </c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8" ht="15.75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334</v>
      </c>
      <c r="H300" t="s">
        <v>1053</v>
      </c>
      <c r="I300" t="s">
        <v>333</v>
      </c>
      <c r="J300" s="30" t="s">
        <v>72</v>
      </c>
      <c r="K300" s="30" t="s">
        <v>27</v>
      </c>
      <c r="L300" s="30"/>
      <c r="M300" s="30" t="s">
        <v>741</v>
      </c>
      <c r="N300" s="30"/>
      <c r="O300" s="31">
        <f>COUNTIF(S300:AT300,"")</f>
        <v>23</v>
      </c>
      <c r="P300" s="136" t="s">
        <v>1878</v>
      </c>
      <c r="Q300" s="31">
        <f>COUNTIF(S300:AT300,"APAGADO")</f>
        <v>5</v>
      </c>
      <c r="R300" s="32">
        <f>(O300)/(Q300+O300)</f>
        <v>0.8214285714285714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2240</v>
      </c>
      <c r="AJ300" s="70"/>
      <c r="AK300" s="70"/>
      <c r="AL300" s="70"/>
      <c r="AM300" s="70"/>
      <c r="AN300" s="70"/>
      <c r="AO300" s="70" t="s">
        <v>2240</v>
      </c>
      <c r="AP300" s="70" t="s">
        <v>2240</v>
      </c>
      <c r="AQ300" s="70"/>
      <c r="AR300" s="70"/>
      <c r="AS300" s="70" t="s">
        <v>2240</v>
      </c>
      <c r="AT300" s="70" t="s">
        <v>2240</v>
      </c>
      <c r="AU300" s="70" t="s">
        <v>2240</v>
      </c>
      <c r="AV300" s="70" t="s">
        <v>2240</v>
      </c>
    </row>
    <row r="301" spans="1:48" ht="15.75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332</v>
      </c>
      <c r="H301" t="s">
        <v>1053</v>
      </c>
      <c r="I301" t="s">
        <v>333</v>
      </c>
      <c r="J301" s="30" t="s">
        <v>72</v>
      </c>
      <c r="K301" s="30" t="s">
        <v>27</v>
      </c>
      <c r="L301" s="30"/>
      <c r="M301" s="30" t="s">
        <v>740</v>
      </c>
      <c r="N301" s="30"/>
      <c r="O301" s="31">
        <f>COUNTIF(S301:AT301,"")</f>
        <v>22</v>
      </c>
      <c r="P301" s="136" t="s">
        <v>1877</v>
      </c>
      <c r="Q301" s="31">
        <f>COUNTIF(S301:AT301,"APAGADO")</f>
        <v>6</v>
      </c>
      <c r="R301" s="32">
        <f>(O301)/(Q301+O301)</f>
        <v>0.7857142857142857</v>
      </c>
      <c r="S301" s="70" t="s">
        <v>2240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2240</v>
      </c>
      <c r="AJ301" s="70"/>
      <c r="AK301" s="70"/>
      <c r="AL301" s="70"/>
      <c r="AM301" s="70"/>
      <c r="AN301" s="70"/>
      <c r="AO301" s="70" t="s">
        <v>2240</v>
      </c>
      <c r="AP301" s="70" t="s">
        <v>2240</v>
      </c>
      <c r="AQ301" s="70"/>
      <c r="AR301" s="70"/>
      <c r="AS301" s="70" t="s">
        <v>2240</v>
      </c>
      <c r="AT301" s="70" t="s">
        <v>2240</v>
      </c>
      <c r="AU301" s="70" t="s">
        <v>2240</v>
      </c>
      <c r="AV301" s="70" t="s">
        <v>2240</v>
      </c>
    </row>
    <row r="302" spans="1:48" ht="15.75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331</v>
      </c>
      <c r="H302" t="s">
        <v>1053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>COUNTIF(S302:AT302,"")</f>
        <v>22</v>
      </c>
      <c r="P302" s="136" t="s">
        <v>1876</v>
      </c>
      <c r="Q302" s="31">
        <f>COUNTIF(S302:AT302,"APAGADO")</f>
        <v>6</v>
      </c>
      <c r="R302" s="32">
        <f>(O302)/(Q302+O302)</f>
        <v>0.7857142857142857</v>
      </c>
      <c r="S302" s="70" t="s">
        <v>2240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2240</v>
      </c>
      <c r="AJ302" s="70"/>
      <c r="AK302" s="70"/>
      <c r="AL302" s="70"/>
      <c r="AM302" s="70"/>
      <c r="AN302" s="70"/>
      <c r="AO302" s="70" t="s">
        <v>2240</v>
      </c>
      <c r="AP302" s="70" t="s">
        <v>2240</v>
      </c>
      <c r="AQ302" s="70"/>
      <c r="AR302" s="70"/>
      <c r="AS302" s="70" t="s">
        <v>2240</v>
      </c>
      <c r="AT302" s="70" t="s">
        <v>2240</v>
      </c>
      <c r="AU302" s="70" t="s">
        <v>2240</v>
      </c>
      <c r="AV302" s="70" t="s">
        <v>2240</v>
      </c>
    </row>
    <row r="303" spans="1:48" ht="15.75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329</v>
      </c>
      <c r="H303" t="s">
        <v>1053</v>
      </c>
      <c r="I303" t="s">
        <v>330</v>
      </c>
      <c r="J303" s="30" t="s">
        <v>72</v>
      </c>
      <c r="K303" s="30" t="s">
        <v>27</v>
      </c>
      <c r="L303" s="30"/>
      <c r="M303" s="30" t="s">
        <v>738</v>
      </c>
      <c r="N303" s="30"/>
      <c r="O303" s="31">
        <f>COUNTIF(S303:AT303,"")</f>
        <v>22</v>
      </c>
      <c r="P303" s="136" t="s">
        <v>1875</v>
      </c>
      <c r="Q303" s="31">
        <f>COUNTIF(S303:AT303,"APAGADO")</f>
        <v>6</v>
      </c>
      <c r="R303" s="32">
        <f>(O303)/(Q303+O303)</f>
        <v>0.7857142857142857</v>
      </c>
      <c r="S303" s="70" t="s">
        <v>2240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 t="s">
        <v>2240</v>
      </c>
      <c r="AJ303" s="70"/>
      <c r="AK303" s="70"/>
      <c r="AL303" s="70"/>
      <c r="AM303" s="70"/>
      <c r="AN303" s="70"/>
      <c r="AO303" s="70" t="s">
        <v>2240</v>
      </c>
      <c r="AP303" s="70" t="s">
        <v>2240</v>
      </c>
      <c r="AQ303" s="70"/>
      <c r="AR303" s="70"/>
      <c r="AS303" s="70" t="s">
        <v>2240</v>
      </c>
      <c r="AT303" s="70" t="s">
        <v>2240</v>
      </c>
      <c r="AU303" s="70" t="s">
        <v>2240</v>
      </c>
      <c r="AV303" s="70" t="s">
        <v>2240</v>
      </c>
    </row>
    <row r="304" spans="1:48" ht="15.75" thickBot="1" x14ac:dyDescent="0.3">
      <c r="A304">
        <v>6</v>
      </c>
      <c r="B304">
        <v>12</v>
      </c>
      <c r="C304"/>
      <c r="D304"/>
      <c r="E304" t="s">
        <v>2353</v>
      </c>
      <c r="F304" t="s">
        <v>328</v>
      </c>
      <c r="G304" t="s">
        <v>326</v>
      </c>
      <c r="H304" t="s">
        <v>1053</v>
      </c>
      <c r="I304" t="s">
        <v>327</v>
      </c>
      <c r="J304" s="30" t="s">
        <v>14</v>
      </c>
      <c r="K304" s="30" t="s">
        <v>27</v>
      </c>
      <c r="L304" s="30"/>
      <c r="M304" s="30" t="s">
        <v>737</v>
      </c>
      <c r="N304" s="30"/>
      <c r="O304" s="31">
        <f>COUNTIF(S304:AT304,"")</f>
        <v>22</v>
      </c>
      <c r="P304" s="136" t="s">
        <v>1874</v>
      </c>
      <c r="Q304" s="31">
        <f>COUNTIF(S304:AT304,"APAGADO")</f>
        <v>6</v>
      </c>
      <c r="R304" s="32">
        <f>(O304)/(Q304+O304)</f>
        <v>0.7857142857142857</v>
      </c>
      <c r="S304" s="70" t="s">
        <v>2240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 t="s">
        <v>2240</v>
      </c>
      <c r="AJ304" s="70"/>
      <c r="AK304" s="70"/>
      <c r="AL304" s="70"/>
      <c r="AM304" s="70"/>
      <c r="AN304" s="70"/>
      <c r="AO304" s="70" t="s">
        <v>2240</v>
      </c>
      <c r="AP304" s="70" t="s">
        <v>2240</v>
      </c>
      <c r="AQ304" s="70"/>
      <c r="AR304" s="70"/>
      <c r="AS304" s="70" t="s">
        <v>2240</v>
      </c>
      <c r="AT304" s="70" t="s">
        <v>2240</v>
      </c>
      <c r="AU304" s="70" t="s">
        <v>2240</v>
      </c>
      <c r="AV304" s="70" t="s">
        <v>2240</v>
      </c>
    </row>
    <row r="305" spans="1:48" ht="15.75" thickBot="1" x14ac:dyDescent="0.3">
      <c r="A305"/>
      <c r="B305"/>
      <c r="C305"/>
      <c r="D305"/>
      <c r="E305"/>
      <c r="F305" s="73" t="s">
        <v>2127</v>
      </c>
      <c r="G305" s="84" t="s">
        <v>2124</v>
      </c>
      <c r="H305" s="73" t="s">
        <v>1053</v>
      </c>
      <c r="I305" s="73" t="s">
        <v>2125</v>
      </c>
      <c r="J305" s="84" t="s">
        <v>18</v>
      </c>
      <c r="K305" s="84" t="s">
        <v>1291</v>
      </c>
      <c r="L305" s="84"/>
      <c r="M305" s="84" t="s">
        <v>2291</v>
      </c>
      <c r="N305" s="84"/>
      <c r="O305" s="131">
        <f>COUNTIF(S305:AT305,"")</f>
        <v>12</v>
      </c>
      <c r="P305" s="136" t="s">
        <v>2126</v>
      </c>
      <c r="Q305" s="131">
        <f>COUNTIF(S305:AT305,"APAGADO")</f>
        <v>16</v>
      </c>
      <c r="R305" s="132">
        <f>(O305)/(Q305+O305)</f>
        <v>0.42857142857142855</v>
      </c>
      <c r="S305" s="70" t="s">
        <v>2240</v>
      </c>
      <c r="T305" s="70"/>
      <c r="U305" s="70"/>
      <c r="V305" s="70"/>
      <c r="W305" s="70"/>
      <c r="X305" s="70" t="s">
        <v>2240</v>
      </c>
      <c r="Y305" s="70" t="s">
        <v>2240</v>
      </c>
      <c r="Z305" s="70" t="s">
        <v>2240</v>
      </c>
      <c r="AA305" s="70"/>
      <c r="AB305" s="70"/>
      <c r="AC305" s="70"/>
      <c r="AD305" s="70"/>
      <c r="AE305" s="70" t="s">
        <v>2240</v>
      </c>
      <c r="AF305" s="70" t="s">
        <v>2240</v>
      </c>
      <c r="AG305" s="142" t="s">
        <v>2240</v>
      </c>
      <c r="AH305" s="70" t="s">
        <v>2240</v>
      </c>
      <c r="AI305" s="70" t="s">
        <v>2240</v>
      </c>
      <c r="AJ305" s="70"/>
      <c r="AK305" s="70"/>
      <c r="AL305" s="70" t="s">
        <v>2240</v>
      </c>
      <c r="AM305" s="70" t="s">
        <v>2240</v>
      </c>
      <c r="AN305" s="70" t="s">
        <v>2240</v>
      </c>
      <c r="AO305" s="70" t="s">
        <v>2240</v>
      </c>
      <c r="AP305" s="70" t="s">
        <v>2240</v>
      </c>
      <c r="AQ305" s="70"/>
      <c r="AR305" s="70"/>
      <c r="AS305" s="70" t="s">
        <v>2240</v>
      </c>
      <c r="AT305" s="70" t="s">
        <v>2240</v>
      </c>
      <c r="AU305" s="70" t="s">
        <v>2240</v>
      </c>
      <c r="AV305" s="70" t="s">
        <v>2240</v>
      </c>
    </row>
    <row r="306" spans="1:48" ht="15.75" thickBot="1" x14ac:dyDescent="0.3">
      <c r="F306" s="73" t="s">
        <v>2127</v>
      </c>
      <c r="G306" s="84" t="s">
        <v>1388</v>
      </c>
      <c r="H306" s="73" t="s">
        <v>1053</v>
      </c>
      <c r="I306" s="73" t="s">
        <v>1389</v>
      </c>
      <c r="J306" s="84" t="s">
        <v>18</v>
      </c>
      <c r="K306" s="84" t="s">
        <v>1291</v>
      </c>
      <c r="L306" s="84"/>
      <c r="M306" s="84" t="s">
        <v>1390</v>
      </c>
      <c r="N306" s="84"/>
      <c r="O306" s="131">
        <f>COUNTIF(S306:AT306,"")</f>
        <v>12</v>
      </c>
      <c r="P306" s="136" t="s">
        <v>2132</v>
      </c>
      <c r="Q306" s="131">
        <f>COUNTIF(S306:AT306,"APAGADO")</f>
        <v>16</v>
      </c>
      <c r="R306" s="132">
        <f>(O306)/(Q306+O306)</f>
        <v>0.42857142857142855</v>
      </c>
      <c r="S306" s="70" t="s">
        <v>2240</v>
      </c>
      <c r="T306" s="70"/>
      <c r="U306" s="70"/>
      <c r="V306" s="70"/>
      <c r="W306" s="70"/>
      <c r="X306" s="70" t="s">
        <v>2240</v>
      </c>
      <c r="Y306" s="70" t="s">
        <v>2240</v>
      </c>
      <c r="Z306" s="70" t="s">
        <v>2240</v>
      </c>
      <c r="AA306" s="70"/>
      <c r="AB306" s="70"/>
      <c r="AC306" s="70"/>
      <c r="AD306" s="70"/>
      <c r="AE306" s="70" t="s">
        <v>2240</v>
      </c>
      <c r="AF306" s="70" t="s">
        <v>2240</v>
      </c>
      <c r="AG306" s="142" t="s">
        <v>2240</v>
      </c>
      <c r="AH306" s="70" t="s">
        <v>2240</v>
      </c>
      <c r="AI306" s="70" t="s">
        <v>2240</v>
      </c>
      <c r="AJ306" s="70"/>
      <c r="AK306" s="87"/>
      <c r="AL306" s="70" t="s">
        <v>2240</v>
      </c>
      <c r="AM306" s="70" t="s">
        <v>2240</v>
      </c>
      <c r="AN306" s="70" t="s">
        <v>2240</v>
      </c>
      <c r="AO306" s="70" t="s">
        <v>2240</v>
      </c>
      <c r="AP306" s="70" t="s">
        <v>2240</v>
      </c>
      <c r="AQ306" s="70"/>
      <c r="AR306" s="70"/>
      <c r="AS306" s="70" t="s">
        <v>2240</v>
      </c>
      <c r="AT306" s="70" t="s">
        <v>2240</v>
      </c>
      <c r="AU306" s="70" t="s">
        <v>2240</v>
      </c>
      <c r="AV306" s="70" t="s">
        <v>2240</v>
      </c>
    </row>
    <row r="307" spans="1:48" ht="15.75" thickBot="1" x14ac:dyDescent="0.3">
      <c r="F307" s="69" t="s">
        <v>2127</v>
      </c>
      <c r="G307" s="30" t="s">
        <v>1338</v>
      </c>
      <c r="H307" t="s">
        <v>1053</v>
      </c>
      <c r="I307" t="s">
        <v>1339</v>
      </c>
      <c r="J307" s="30" t="s">
        <v>18</v>
      </c>
      <c r="K307" s="30" t="s">
        <v>27</v>
      </c>
      <c r="L307" s="137"/>
      <c r="M307" s="30" t="s">
        <v>1429</v>
      </c>
      <c r="N307" s="137"/>
      <c r="O307" s="139">
        <f>COUNTIF(S307:AT307,"")</f>
        <v>28</v>
      </c>
      <c r="P307" s="143" t="s">
        <v>1666</v>
      </c>
      <c r="Q307" s="139">
        <f>COUNTIF(S307:AT307,"APAGADO")</f>
        <v>0</v>
      </c>
      <c r="R307" s="141">
        <f>(O307)/(Q307+O307)</f>
        <v>1</v>
      </c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138"/>
      <c r="AU307" s="138"/>
      <c r="AV307" s="138"/>
    </row>
    <row r="308" spans="1:48" ht="15.75" thickBot="1" x14ac:dyDescent="0.3">
      <c r="A308">
        <v>3</v>
      </c>
      <c r="B308">
        <v>13</v>
      </c>
      <c r="C308"/>
      <c r="D308"/>
      <c r="E308" t="s">
        <v>2350</v>
      </c>
      <c r="F308" s="73" t="s">
        <v>1522</v>
      </c>
      <c r="G308" s="73" t="s">
        <v>1632</v>
      </c>
      <c r="H308" s="73" t="s">
        <v>1052</v>
      </c>
      <c r="I308" s="73" t="s">
        <v>1633</v>
      </c>
      <c r="J308" s="84" t="s">
        <v>18</v>
      </c>
      <c r="K308" s="84" t="s">
        <v>27</v>
      </c>
      <c r="L308" s="84"/>
      <c r="M308" s="84" t="s">
        <v>1634</v>
      </c>
      <c r="N308" s="84"/>
      <c r="O308" s="131">
        <f>COUNTIF(S308:AT308,"")</f>
        <v>28</v>
      </c>
      <c r="P308" s="136" t="s">
        <v>2164</v>
      </c>
      <c r="Q308" s="131">
        <f>COUNTIF(S308:AT308,"APAGADO")</f>
        <v>0</v>
      </c>
      <c r="R308" s="132">
        <f>(O308)/(Q308+O308)</f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8" s="69" customFormat="1" ht="21" customHeight="1" thickBot="1" x14ac:dyDescent="0.3">
      <c r="A309"/>
      <c r="B309"/>
      <c r="C309"/>
      <c r="D309"/>
      <c r="E309"/>
      <c r="F309" s="73" t="s">
        <v>1522</v>
      </c>
      <c r="G309" s="73" t="s">
        <v>1521</v>
      </c>
      <c r="H309" s="73" t="s">
        <v>1052</v>
      </c>
      <c r="I309" s="73" t="s">
        <v>1523</v>
      </c>
      <c r="J309" s="84" t="s">
        <v>18</v>
      </c>
      <c r="K309" s="84" t="s">
        <v>1291</v>
      </c>
      <c r="L309" s="84"/>
      <c r="M309" s="84" t="s">
        <v>1524</v>
      </c>
      <c r="N309" s="84"/>
      <c r="O309" s="131">
        <f>COUNTIF(S309:AT309,"")</f>
        <v>28</v>
      </c>
      <c r="P309" s="136" t="s">
        <v>1873</v>
      </c>
      <c r="Q309" s="131">
        <f>COUNTIF(S309:AT309,"APAGADO")</f>
        <v>0</v>
      </c>
      <c r="R309" s="132">
        <f>(O309)/(Q309+O309)</f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8" ht="15.75" thickBot="1" x14ac:dyDescent="0.3">
      <c r="A310"/>
      <c r="B310"/>
      <c r="C310"/>
      <c r="D310"/>
      <c r="E310"/>
      <c r="F310" s="73" t="s">
        <v>307</v>
      </c>
      <c r="G310" s="73" t="s">
        <v>1332</v>
      </c>
      <c r="H310" s="73" t="s">
        <v>1052</v>
      </c>
      <c r="I310" s="73" t="s">
        <v>1333</v>
      </c>
      <c r="J310" s="84" t="s">
        <v>14</v>
      </c>
      <c r="K310" s="84" t="s">
        <v>1291</v>
      </c>
      <c r="L310" s="84"/>
      <c r="M310" s="84" t="s">
        <v>1347</v>
      </c>
      <c r="N310" s="84"/>
      <c r="O310" s="131">
        <f>COUNTIF(S310:AT310,"")</f>
        <v>27</v>
      </c>
      <c r="P310" s="136" t="s">
        <v>1872</v>
      </c>
      <c r="Q310" s="131">
        <f>COUNTIF(S310:AT310,"APAGADO")</f>
        <v>1</v>
      </c>
      <c r="R310" s="132">
        <f>(O310)/(Q310+O310)</f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 t="s">
        <v>2240</v>
      </c>
      <c r="AU310" s="70"/>
      <c r="AV310" s="70" t="s">
        <v>2240</v>
      </c>
    </row>
    <row r="311" spans="1:48" ht="15.75" thickBot="1" x14ac:dyDescent="0.3">
      <c r="A311"/>
      <c r="B311"/>
      <c r="C311"/>
      <c r="D311"/>
      <c r="E311"/>
      <c r="F311" s="73" t="s">
        <v>307</v>
      </c>
      <c r="G311" s="73" t="s">
        <v>324</v>
      </c>
      <c r="H311" s="73" t="s">
        <v>1052</v>
      </c>
      <c r="I311" s="73" t="s">
        <v>325</v>
      </c>
      <c r="J311" s="84" t="s">
        <v>14</v>
      </c>
      <c r="K311" s="84" t="s">
        <v>1291</v>
      </c>
      <c r="L311" s="84"/>
      <c r="M311" s="84" t="s">
        <v>736</v>
      </c>
      <c r="N311" s="84"/>
      <c r="O311" s="131">
        <f>COUNTIF(S311:AT311,"")</f>
        <v>25</v>
      </c>
      <c r="P311" s="136" t="s">
        <v>1871</v>
      </c>
      <c r="Q311" s="131">
        <f>COUNTIF(S311:AT311,"APAGADO")</f>
        <v>3</v>
      </c>
      <c r="R311" s="132">
        <f>(O311)/(Q311+O311)</f>
        <v>0.8928571428571429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 t="s">
        <v>2240</v>
      </c>
      <c r="AO311" s="70" t="s">
        <v>2240</v>
      </c>
      <c r="AP311" s="70" t="s">
        <v>2240</v>
      </c>
      <c r="AQ311" s="70"/>
      <c r="AR311" s="70"/>
      <c r="AS311" s="70"/>
      <c r="AT311" s="70"/>
      <c r="AU311" s="70"/>
      <c r="AV311" s="129"/>
    </row>
    <row r="312" spans="1:48" ht="15.75" thickBot="1" x14ac:dyDescent="0.3">
      <c r="A312">
        <v>3</v>
      </c>
      <c r="B312">
        <v>13</v>
      </c>
      <c r="C312"/>
      <c r="D312"/>
      <c r="E312" t="s">
        <v>2350</v>
      </c>
      <c r="F312" t="s">
        <v>307</v>
      </c>
      <c r="G312" t="s">
        <v>322</v>
      </c>
      <c r="H312" t="s">
        <v>1052</v>
      </c>
      <c r="I312" t="s">
        <v>323</v>
      </c>
      <c r="J312" s="30" t="s">
        <v>18</v>
      </c>
      <c r="K312" s="30" t="s">
        <v>27</v>
      </c>
      <c r="L312" s="30"/>
      <c r="M312" s="30" t="s">
        <v>735</v>
      </c>
      <c r="N312" s="30"/>
      <c r="O312" s="31">
        <f>COUNTIF(S312:AT312,"")</f>
        <v>27</v>
      </c>
      <c r="P312" s="136" t="s">
        <v>1869</v>
      </c>
      <c r="Q312" s="31">
        <f>COUNTIF(S312:AT312,"APAGADO")</f>
        <v>1</v>
      </c>
      <c r="R312" s="32">
        <f>(O312)/(Q312+O312)</f>
        <v>0.9642857142857143</v>
      </c>
      <c r="S312" s="70" t="s">
        <v>2240</v>
      </c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8" ht="15.75" thickBot="1" x14ac:dyDescent="0.3">
      <c r="A313">
        <v>3</v>
      </c>
      <c r="B313">
        <v>13</v>
      </c>
      <c r="C313"/>
      <c r="D313"/>
      <c r="E313" t="s">
        <v>2350</v>
      </c>
      <c r="F313" t="s">
        <v>51</v>
      </c>
      <c r="G313" t="s">
        <v>320</v>
      </c>
      <c r="H313" t="s">
        <v>1052</v>
      </c>
      <c r="I313" t="s">
        <v>321</v>
      </c>
      <c r="J313" s="30" t="s">
        <v>18</v>
      </c>
      <c r="K313" s="30" t="s">
        <v>27</v>
      </c>
      <c r="L313" s="30"/>
      <c r="M313" s="30" t="s">
        <v>734</v>
      </c>
      <c r="N313" s="30"/>
      <c r="O313" s="31">
        <f>COUNTIF(S313:AT313,"")</f>
        <v>26</v>
      </c>
      <c r="P313" s="136" t="s">
        <v>1671</v>
      </c>
      <c r="Q313" s="31">
        <f>COUNTIF(S313:AT313,"APAGADO")</f>
        <v>2</v>
      </c>
      <c r="R313" s="32">
        <f>(O313)/(Q313+O313)</f>
        <v>0.9285714285714286</v>
      </c>
      <c r="S313" s="70"/>
      <c r="T313" s="70"/>
      <c r="U313" s="70"/>
      <c r="V313" s="70"/>
      <c r="W313" s="70"/>
      <c r="X313" s="70"/>
      <c r="Y313" s="70"/>
      <c r="Z313" s="70" t="s">
        <v>2240</v>
      </c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 t="s">
        <v>2240</v>
      </c>
      <c r="AU313" s="70"/>
      <c r="AV313" s="70"/>
    </row>
    <row r="314" spans="1:48" ht="15.75" thickBot="1" x14ac:dyDescent="0.3">
      <c r="A314"/>
      <c r="B314"/>
      <c r="C314"/>
      <c r="D314"/>
      <c r="E314"/>
      <c r="F314" s="73" t="s">
        <v>317</v>
      </c>
      <c r="G314" s="73" t="s">
        <v>318</v>
      </c>
      <c r="H314" s="73" t="s">
        <v>1052</v>
      </c>
      <c r="I314" s="73" t="s">
        <v>319</v>
      </c>
      <c r="J314" s="84" t="s">
        <v>18</v>
      </c>
      <c r="K314" s="84" t="s">
        <v>1291</v>
      </c>
      <c r="L314" s="84"/>
      <c r="M314" s="134" t="s">
        <v>1352</v>
      </c>
      <c r="N314" s="134"/>
      <c r="O314" s="131">
        <f>COUNTIF(S314:AT314,"")</f>
        <v>28</v>
      </c>
      <c r="P314" s="136" t="s">
        <v>1868</v>
      </c>
      <c r="Q314" s="131">
        <f>COUNTIF(S314:AT314,"APAGADO")</f>
        <v>0</v>
      </c>
      <c r="R314" s="132">
        <f>(O314)/(Q314+O314)</f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thickBot="1" x14ac:dyDescent="0.3">
      <c r="A315"/>
      <c r="B315"/>
      <c r="C315"/>
      <c r="D315"/>
      <c r="E315"/>
      <c r="F315" s="73" t="s">
        <v>307</v>
      </c>
      <c r="G315" s="73" t="s">
        <v>315</v>
      </c>
      <c r="H315" s="73" t="s">
        <v>1052</v>
      </c>
      <c r="I315" s="73" t="s">
        <v>316</v>
      </c>
      <c r="J315" s="84" t="s">
        <v>18</v>
      </c>
      <c r="K315" s="84" t="s">
        <v>1291</v>
      </c>
      <c r="L315" s="84"/>
      <c r="M315" s="84" t="s">
        <v>1351</v>
      </c>
      <c r="N315" s="84"/>
      <c r="O315" s="131">
        <f>COUNTIF(S315:AT315,"")</f>
        <v>27</v>
      </c>
      <c r="P315" s="136" t="s">
        <v>1867</v>
      </c>
      <c r="Q315" s="131">
        <f>COUNTIF(S315:AT315,"APAGADO")</f>
        <v>1</v>
      </c>
      <c r="R315" s="132">
        <f>(O315)/(Q315+O315)</f>
        <v>0.9642857142857143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 t="s">
        <v>2240</v>
      </c>
      <c r="AO315" s="70"/>
      <c r="AP315" s="70"/>
      <c r="AQ315" s="70"/>
      <c r="AR315" s="70"/>
      <c r="AS315" s="70"/>
      <c r="AT315" s="70"/>
      <c r="AU315" s="70"/>
      <c r="AV315" s="70"/>
    </row>
    <row r="316" spans="1:48" ht="15.75" thickBot="1" x14ac:dyDescent="0.3">
      <c r="A316"/>
      <c r="B316"/>
      <c r="C316"/>
      <c r="D316"/>
      <c r="E316"/>
      <c r="F316" t="s">
        <v>307</v>
      </c>
      <c r="G316" t="s">
        <v>313</v>
      </c>
      <c r="H316" t="s">
        <v>1052</v>
      </c>
      <c r="I316" t="s">
        <v>314</v>
      </c>
      <c r="J316" s="30" t="s">
        <v>18</v>
      </c>
      <c r="K316" s="30" t="s">
        <v>1046</v>
      </c>
      <c r="L316" s="30" t="s">
        <v>1245</v>
      </c>
      <c r="M316" s="30" t="s">
        <v>733</v>
      </c>
      <c r="N316" s="30"/>
      <c r="O316" s="31">
        <f>COUNTIF(S316:AT316,"")</f>
        <v>23</v>
      </c>
      <c r="P316" s="136" t="s">
        <v>1866</v>
      </c>
      <c r="Q316" s="31">
        <f>COUNTIF(S316:AT316,"APAGADO")</f>
        <v>5</v>
      </c>
      <c r="R316" s="32">
        <f>(O316)/(Q316+O316)</f>
        <v>0.8214285714285714</v>
      </c>
      <c r="S316" s="70"/>
      <c r="T316" s="70"/>
      <c r="U316" s="70"/>
      <c r="V316" s="70"/>
      <c r="W316" s="70"/>
      <c r="X316" s="70"/>
      <c r="Y316" s="70"/>
      <c r="Z316" s="70" t="s">
        <v>2240</v>
      </c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 t="s">
        <v>2240</v>
      </c>
      <c r="AM316" s="70" t="s">
        <v>2240</v>
      </c>
      <c r="AN316" s="70" t="s">
        <v>2240</v>
      </c>
      <c r="AO316" s="70"/>
      <c r="AP316" s="70"/>
      <c r="AQ316" s="70"/>
      <c r="AR316" s="70"/>
      <c r="AS316" s="70" t="s">
        <v>2240</v>
      </c>
      <c r="AT316" s="70"/>
      <c r="AU316" s="70"/>
      <c r="AV316" s="70"/>
    </row>
    <row r="317" spans="1:48" ht="15.75" thickBot="1" x14ac:dyDescent="0.3">
      <c r="A317"/>
      <c r="B317"/>
      <c r="C317"/>
      <c r="D317"/>
      <c r="E317"/>
      <c r="F317" s="73" t="s">
        <v>307</v>
      </c>
      <c r="G317" s="73" t="s">
        <v>311</v>
      </c>
      <c r="H317" s="73" t="s">
        <v>1052</v>
      </c>
      <c r="I317" s="73" t="s">
        <v>312</v>
      </c>
      <c r="J317" s="84" t="s">
        <v>18</v>
      </c>
      <c r="K317" s="84" t="s">
        <v>1291</v>
      </c>
      <c r="L317" s="84"/>
      <c r="M317" s="84" t="s">
        <v>1361</v>
      </c>
      <c r="N317" s="84"/>
      <c r="O317" s="131">
        <f>COUNTIF(S317:AT317,"")</f>
        <v>28</v>
      </c>
      <c r="P317" s="136" t="s">
        <v>1865</v>
      </c>
      <c r="Q317" s="131">
        <f>COUNTIF(S317:AT317,"APAGADO")</f>
        <v>0</v>
      </c>
      <c r="R317" s="132">
        <f>(O317)/(Q317+O317)</f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8" ht="15.75" thickBot="1" x14ac:dyDescent="0.3">
      <c r="A318"/>
      <c r="B318"/>
      <c r="C318"/>
      <c r="D318"/>
      <c r="E318"/>
      <c r="F318" s="73" t="s">
        <v>307</v>
      </c>
      <c r="G318" s="73" t="s">
        <v>308</v>
      </c>
      <c r="H318" s="73" t="s">
        <v>1052</v>
      </c>
      <c r="I318" s="73" t="s">
        <v>309</v>
      </c>
      <c r="J318" s="84" t="s">
        <v>14</v>
      </c>
      <c r="K318" s="84" t="s">
        <v>1291</v>
      </c>
      <c r="L318" s="84"/>
      <c r="M318" s="84" t="s">
        <v>1360</v>
      </c>
      <c r="N318" s="84"/>
      <c r="O318" s="131">
        <f>COUNTIF(S318:AT318,"")</f>
        <v>28</v>
      </c>
      <c r="P318" s="136" t="s">
        <v>1870</v>
      </c>
      <c r="Q318" s="131">
        <f>COUNTIF(S318:AT318,"APAGADO")</f>
        <v>0</v>
      </c>
      <c r="R318" s="132">
        <f>(O318)/(Q318+O318)</f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8" ht="15.75" thickBot="1" x14ac:dyDescent="0.3">
      <c r="A319">
        <v>3</v>
      </c>
      <c r="B319">
        <v>13</v>
      </c>
      <c r="C319"/>
      <c r="D319"/>
      <c r="E319" t="s">
        <v>2350</v>
      </c>
      <c r="F319" t="s">
        <v>307</v>
      </c>
      <c r="G319" t="s">
        <v>964</v>
      </c>
      <c r="H319" t="s">
        <v>1052</v>
      </c>
      <c r="I319" t="s">
        <v>310</v>
      </c>
      <c r="J319" s="30" t="s">
        <v>18</v>
      </c>
      <c r="K319" s="30" t="s">
        <v>27</v>
      </c>
      <c r="L319" s="30"/>
      <c r="M319" s="30" t="s">
        <v>732</v>
      </c>
      <c r="N319" s="30"/>
      <c r="O319" s="31">
        <f>COUNTIF(S319:AT319,"")</f>
        <v>27</v>
      </c>
      <c r="P319" s="136" t="s">
        <v>1864</v>
      </c>
      <c r="Q319" s="31">
        <f>COUNTIF(S319:AT319,"APAGADO")</f>
        <v>1</v>
      </c>
      <c r="R319" s="32">
        <f>(O319)/(Q319+O319)</f>
        <v>0.9642857142857143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 t="s">
        <v>2240</v>
      </c>
      <c r="AU319" s="70"/>
      <c r="AV319" s="129"/>
    </row>
    <row r="320" spans="1:48" s="69" customFormat="1" ht="15.75" thickBot="1" x14ac:dyDescent="0.3">
      <c r="A320"/>
      <c r="B320"/>
      <c r="C320"/>
      <c r="D320"/>
      <c r="E320"/>
      <c r="F320" t="s">
        <v>298</v>
      </c>
      <c r="G320" t="s">
        <v>1478</v>
      </c>
      <c r="H320" t="s">
        <v>1052</v>
      </c>
      <c r="I320" t="s">
        <v>1475</v>
      </c>
      <c r="J320" s="30" t="s">
        <v>72</v>
      </c>
      <c r="K320" s="30" t="s">
        <v>27</v>
      </c>
      <c r="L320" s="30"/>
      <c r="M320" s="30" t="s">
        <v>1483</v>
      </c>
      <c r="N320" s="30" t="s">
        <v>2284</v>
      </c>
      <c r="O320" s="131">
        <f>COUNTIF(S320:AT320,"")</f>
        <v>28</v>
      </c>
      <c r="P320" s="136" t="s">
        <v>1863</v>
      </c>
      <c r="Q320" s="131">
        <f>COUNTIF(S320:AT320,"APAGADO")</f>
        <v>0</v>
      </c>
      <c r="R320" s="132">
        <f>(O320)/(Q320+O320)</f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8" s="73" customFormat="1" ht="15.75" thickBot="1" x14ac:dyDescent="0.3">
      <c r="A321"/>
      <c r="B321"/>
      <c r="C321"/>
      <c r="D321"/>
      <c r="E321"/>
      <c r="F321" t="s">
        <v>298</v>
      </c>
      <c r="G321" t="s">
        <v>1476</v>
      </c>
      <c r="H321" t="s">
        <v>1052</v>
      </c>
      <c r="I321" t="s">
        <v>1475</v>
      </c>
      <c r="J321" s="30" t="s">
        <v>72</v>
      </c>
      <c r="K321" s="30" t="s">
        <v>27</v>
      </c>
      <c r="L321" s="30"/>
      <c r="M321" s="30" t="s">
        <v>1477</v>
      </c>
      <c r="N321" s="30" t="s">
        <v>2284</v>
      </c>
      <c r="O321" s="131">
        <f>COUNTIF(S321:AT321,"")</f>
        <v>28</v>
      </c>
      <c r="P321" s="136" t="s">
        <v>1862</v>
      </c>
      <c r="Q321" s="131">
        <f>COUNTIF(S321:AT321,"APAGADO")</f>
        <v>0</v>
      </c>
      <c r="R321" s="132">
        <f>(O321)/(Q321+O321)</f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8" s="73" customFormat="1" ht="15.75" thickBot="1" x14ac:dyDescent="0.3">
      <c r="A322"/>
      <c r="B322"/>
      <c r="C322"/>
      <c r="D322"/>
      <c r="E322"/>
      <c r="F322" s="73" t="s">
        <v>298</v>
      </c>
      <c r="G322" s="73" t="s">
        <v>305</v>
      </c>
      <c r="H322" s="73" t="s">
        <v>1052</v>
      </c>
      <c r="I322" s="73" t="s">
        <v>306</v>
      </c>
      <c r="J322" s="84" t="s">
        <v>18</v>
      </c>
      <c r="K322" s="84" t="s">
        <v>1291</v>
      </c>
      <c r="L322" s="84"/>
      <c r="M322" s="84" t="s">
        <v>1482</v>
      </c>
      <c r="N322" s="84"/>
      <c r="O322" s="131">
        <f>COUNTIF(S322:AT322,"")</f>
        <v>28</v>
      </c>
      <c r="P322" s="136" t="s">
        <v>1861</v>
      </c>
      <c r="Q322" s="131">
        <f>COUNTIF(S322:AT322,"APAGADO")</f>
        <v>0</v>
      </c>
      <c r="R322" s="132">
        <f>(O322)/(Q322+O322)</f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8" s="73" customFormat="1" ht="15.75" thickBot="1" x14ac:dyDescent="0.3">
      <c r="A323"/>
      <c r="B323"/>
      <c r="C323"/>
      <c r="D323"/>
      <c r="E323"/>
      <c r="F323" t="s">
        <v>298</v>
      </c>
      <c r="G323" t="s">
        <v>303</v>
      </c>
      <c r="H323" t="s">
        <v>1052</v>
      </c>
      <c r="I323" t="s">
        <v>304</v>
      </c>
      <c r="J323" s="30" t="s">
        <v>18</v>
      </c>
      <c r="K323" s="30" t="s">
        <v>1046</v>
      </c>
      <c r="L323" s="30"/>
      <c r="M323" s="30" t="s">
        <v>1481</v>
      </c>
      <c r="N323" s="30"/>
      <c r="O323" s="31">
        <f>COUNTIF(S323:AT323,"")</f>
        <v>26</v>
      </c>
      <c r="P323" s="136" t="s">
        <v>1860</v>
      </c>
      <c r="Q323" s="31">
        <f>COUNTIF(S323:AT323,"APAGADO")</f>
        <v>2</v>
      </c>
      <c r="R323" s="32">
        <f>(O323)/(Q323+O323)</f>
        <v>0.9285714285714286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2240</v>
      </c>
      <c r="AG323" s="142" t="s">
        <v>2240</v>
      </c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8" s="73" customFormat="1" ht="15.75" thickBot="1" x14ac:dyDescent="0.3">
      <c r="A324"/>
      <c r="B324"/>
      <c r="C324"/>
      <c r="D324"/>
      <c r="E324"/>
      <c r="F324" t="s">
        <v>298</v>
      </c>
      <c r="G324" t="s">
        <v>301</v>
      </c>
      <c r="H324" t="s">
        <v>1052</v>
      </c>
      <c r="I324" t="s">
        <v>302</v>
      </c>
      <c r="J324" s="30" t="s">
        <v>18</v>
      </c>
      <c r="K324" s="30" t="s">
        <v>27</v>
      </c>
      <c r="L324" s="30"/>
      <c r="M324" s="30" t="s">
        <v>2282</v>
      </c>
      <c r="N324" s="30"/>
      <c r="O324" s="31">
        <f>COUNTIF(S324:AT324,"")</f>
        <v>26</v>
      </c>
      <c r="P324" s="136" t="s">
        <v>1859</v>
      </c>
      <c r="Q324" s="31">
        <f>COUNTIF(S324:AT324,"APAGADO")</f>
        <v>2</v>
      </c>
      <c r="R324" s="32">
        <f>(O324)/(Q324+O324)</f>
        <v>0.9285714285714286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2240</v>
      </c>
      <c r="AG324" s="142" t="s">
        <v>2240</v>
      </c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129"/>
    </row>
    <row r="325" spans="1:48" s="73" customFormat="1" ht="15.75" thickBot="1" x14ac:dyDescent="0.3">
      <c r="A325"/>
      <c r="B325"/>
      <c r="C325"/>
      <c r="D325"/>
      <c r="E325"/>
      <c r="F325" t="s">
        <v>298</v>
      </c>
      <c r="G325" t="s">
        <v>299</v>
      </c>
      <c r="H325" t="s">
        <v>1052</v>
      </c>
      <c r="I325" t="s">
        <v>300</v>
      </c>
      <c r="J325" s="30" t="s">
        <v>72</v>
      </c>
      <c r="K325" s="30" t="s">
        <v>27</v>
      </c>
      <c r="L325" s="30"/>
      <c r="M325" s="30" t="s">
        <v>731</v>
      </c>
      <c r="N325" s="30" t="s">
        <v>2284</v>
      </c>
      <c r="O325" s="31">
        <f>COUNTIF(S325:AT325,"")</f>
        <v>28</v>
      </c>
      <c r="P325" s="136" t="s">
        <v>1858</v>
      </c>
      <c r="Q325" s="31">
        <f>COUNTIF(S325:AT325,"APAGADO")</f>
        <v>0</v>
      </c>
      <c r="R325" s="32">
        <f>(O325)/(Q325+O325)</f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8" s="73" customFormat="1" ht="15.75" thickBot="1" x14ac:dyDescent="0.3">
      <c r="A326"/>
      <c r="B326"/>
      <c r="C326"/>
      <c r="D326"/>
      <c r="E326"/>
      <c r="F326" t="s">
        <v>291</v>
      </c>
      <c r="G326" t="s">
        <v>296</v>
      </c>
      <c r="H326" t="s">
        <v>1052</v>
      </c>
      <c r="I326" t="s">
        <v>297</v>
      </c>
      <c r="J326" s="30" t="s">
        <v>14</v>
      </c>
      <c r="K326" s="30" t="s">
        <v>1046</v>
      </c>
      <c r="L326" s="30"/>
      <c r="M326" s="30" t="s">
        <v>730</v>
      </c>
      <c r="N326" s="30"/>
      <c r="O326" s="31">
        <f>COUNTIF(S326:AT326,"")</f>
        <v>24</v>
      </c>
      <c r="P326" s="136" t="s">
        <v>1855</v>
      </c>
      <c r="Q326" s="31">
        <f>COUNTIF(S326:AT326,"APAGADO")</f>
        <v>4</v>
      </c>
      <c r="R326" s="32">
        <f>(O326)/(Q326+O326)</f>
        <v>0.8571428571428571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2240</v>
      </c>
      <c r="AF326" s="70" t="s">
        <v>2240</v>
      </c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 t="s">
        <v>2240</v>
      </c>
      <c r="AT326" s="70" t="s">
        <v>2240</v>
      </c>
      <c r="AU326" s="70" t="s">
        <v>2240</v>
      </c>
      <c r="AV326" s="70"/>
    </row>
    <row r="327" spans="1:48" ht="15.75" thickBot="1" x14ac:dyDescent="0.3">
      <c r="A327">
        <v>1</v>
      </c>
      <c r="B327">
        <v>19</v>
      </c>
      <c r="C327"/>
      <c r="D327"/>
      <c r="E327" t="s">
        <v>2346</v>
      </c>
      <c r="F327" t="s">
        <v>287</v>
      </c>
      <c r="G327" t="s">
        <v>293</v>
      </c>
      <c r="H327" t="s">
        <v>1052</v>
      </c>
      <c r="I327" t="s">
        <v>294</v>
      </c>
      <c r="J327" s="30" t="s">
        <v>18</v>
      </c>
      <c r="K327" s="30" t="s">
        <v>27</v>
      </c>
      <c r="L327" s="30"/>
      <c r="M327" s="30" t="s">
        <v>728</v>
      </c>
      <c r="N327" s="30"/>
      <c r="O327" s="31">
        <f>COUNTIF(S327:AT327,"")</f>
        <v>28</v>
      </c>
      <c r="P327" s="136" t="s">
        <v>1840</v>
      </c>
      <c r="Q327" s="31">
        <f>COUNTIF(S327:AT327,"APAGADO")</f>
        <v>0</v>
      </c>
      <c r="R327" s="32">
        <f>(O327)/(Q327+O327)</f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thickBot="1" x14ac:dyDescent="0.3">
      <c r="A328">
        <v>1</v>
      </c>
      <c r="B328">
        <v>19</v>
      </c>
      <c r="C328"/>
      <c r="D328"/>
      <c r="E328" t="s">
        <v>2346</v>
      </c>
      <c r="F328" t="s">
        <v>264</v>
      </c>
      <c r="G328" t="s">
        <v>289</v>
      </c>
      <c r="H328" t="s">
        <v>1052</v>
      </c>
      <c r="I328" t="s">
        <v>290</v>
      </c>
      <c r="J328" s="30" t="s">
        <v>72</v>
      </c>
      <c r="K328" s="30" t="s">
        <v>27</v>
      </c>
      <c r="L328" s="30"/>
      <c r="M328" s="30" t="s">
        <v>1050</v>
      </c>
      <c r="N328" s="30"/>
      <c r="O328" s="31">
        <f>COUNTIF(S328:AT328,"")</f>
        <v>28</v>
      </c>
      <c r="P328" s="136" t="s">
        <v>1852</v>
      </c>
      <c r="Q328" s="31">
        <f>COUNTIF(S328:AT328,"APAGADO")</f>
        <v>0</v>
      </c>
      <c r="R328" s="32">
        <f>(O328)/(Q328+O328)</f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thickBot="1" x14ac:dyDescent="0.3">
      <c r="A329">
        <v>1</v>
      </c>
      <c r="B329">
        <v>19</v>
      </c>
      <c r="C329"/>
      <c r="D329"/>
      <c r="E329" t="s">
        <v>2346</v>
      </c>
      <c r="F329" t="s">
        <v>287</v>
      </c>
      <c r="G329" t="s">
        <v>1274</v>
      </c>
      <c r="H329" t="s">
        <v>1052</v>
      </c>
      <c r="I329" t="s">
        <v>1275</v>
      </c>
      <c r="J329" s="30" t="s">
        <v>18</v>
      </c>
      <c r="K329" s="30" t="s">
        <v>1046</v>
      </c>
      <c r="L329" s="30"/>
      <c r="M329" s="30" t="s">
        <v>1349</v>
      </c>
      <c r="N329" s="30"/>
      <c r="O329" s="31">
        <f>COUNTIF(S329:AT329,"")</f>
        <v>28</v>
      </c>
      <c r="P329" s="136" t="s">
        <v>1857</v>
      </c>
      <c r="Q329" s="31">
        <f>COUNTIF(S329:AT329,"APAGADO")</f>
        <v>0</v>
      </c>
      <c r="R329" s="32">
        <f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8" ht="15.75" thickBot="1" x14ac:dyDescent="0.3">
      <c r="A330"/>
      <c r="B330"/>
      <c r="C330"/>
      <c r="D330"/>
      <c r="E330"/>
      <c r="F330" s="73" t="s">
        <v>287</v>
      </c>
      <c r="G330" s="73" t="s">
        <v>1235</v>
      </c>
      <c r="H330" s="73" t="s">
        <v>1052</v>
      </c>
      <c r="I330" s="73" t="s">
        <v>1236</v>
      </c>
      <c r="J330" s="84" t="s">
        <v>18</v>
      </c>
      <c r="K330" s="84" t="s">
        <v>1291</v>
      </c>
      <c r="L330" s="84"/>
      <c r="M330" s="84" t="s">
        <v>1237</v>
      </c>
      <c r="N330" s="84" t="s">
        <v>2284</v>
      </c>
      <c r="O330" s="131">
        <f>COUNTIF(S330:AT330,"")</f>
        <v>24</v>
      </c>
      <c r="P330" s="136" t="s">
        <v>1856</v>
      </c>
      <c r="Q330" s="131">
        <f>COUNTIF(S330:AT330,"APAGADO")</f>
        <v>4</v>
      </c>
      <c r="R330" s="132">
        <f>(O330)/(Q330+O330)</f>
        <v>0.8571428571428571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 t="s">
        <v>2240</v>
      </c>
      <c r="AG330" s="70"/>
      <c r="AH330" s="70"/>
      <c r="AI330" s="70"/>
      <c r="AJ330" s="70"/>
      <c r="AK330" s="70"/>
      <c r="AL330" s="70"/>
      <c r="AM330" s="70"/>
      <c r="AN330" s="70"/>
      <c r="AO330" s="70" t="s">
        <v>2240</v>
      </c>
      <c r="AP330" s="70"/>
      <c r="AQ330" s="70"/>
      <c r="AR330" s="70"/>
      <c r="AS330" s="70" t="s">
        <v>2240</v>
      </c>
      <c r="AT330" s="70" t="s">
        <v>2240</v>
      </c>
      <c r="AU330" s="70" t="s">
        <v>2240</v>
      </c>
      <c r="AV330" s="70" t="s">
        <v>2240</v>
      </c>
    </row>
    <row r="331" spans="1:48" ht="15.75" thickBot="1" x14ac:dyDescent="0.3">
      <c r="A331"/>
      <c r="B331"/>
      <c r="C331"/>
      <c r="D331"/>
      <c r="E331"/>
      <c r="F331" t="s">
        <v>291</v>
      </c>
      <c r="G331" t="s">
        <v>963</v>
      </c>
      <c r="H331" t="s">
        <v>1052</v>
      </c>
      <c r="I331" t="s">
        <v>295</v>
      </c>
      <c r="J331" s="30" t="s">
        <v>18</v>
      </c>
      <c r="K331" s="30" t="s">
        <v>27</v>
      </c>
      <c r="L331" s="30"/>
      <c r="M331" s="30" t="s">
        <v>729</v>
      </c>
      <c r="N331" s="30"/>
      <c r="O331" s="31">
        <f>COUNTIF(S331:AT331,"")</f>
        <v>28</v>
      </c>
      <c r="P331" s="136" t="s">
        <v>1854</v>
      </c>
      <c r="Q331" s="31">
        <f>COUNTIF(S331:AT331,"APAGADO")</f>
        <v>0</v>
      </c>
      <c r="R331" s="32">
        <f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8" ht="15.75" thickBot="1" x14ac:dyDescent="0.3">
      <c r="A332"/>
      <c r="B332"/>
      <c r="C332"/>
      <c r="D332"/>
      <c r="E332"/>
      <c r="F332" t="s">
        <v>291</v>
      </c>
      <c r="G332" t="s">
        <v>962</v>
      </c>
      <c r="H332" t="s">
        <v>1052</v>
      </c>
      <c r="I332" t="s">
        <v>292</v>
      </c>
      <c r="J332" s="30" t="s">
        <v>18</v>
      </c>
      <c r="K332" s="30" t="s">
        <v>27</v>
      </c>
      <c r="L332" s="30"/>
      <c r="M332" s="30" t="s">
        <v>727</v>
      </c>
      <c r="N332" s="30"/>
      <c r="O332" s="31">
        <f>COUNTIF(S332:AT332,"")</f>
        <v>28</v>
      </c>
      <c r="P332" s="136" t="s">
        <v>1853</v>
      </c>
      <c r="Q332" s="31">
        <f>COUNTIF(S332:AT332,"APAGADO")</f>
        <v>0</v>
      </c>
      <c r="R332" s="32">
        <f>(O332)/(Q332+O332)</f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8" ht="15.75" thickBot="1" x14ac:dyDescent="0.3">
      <c r="A333"/>
      <c r="B333"/>
      <c r="C333"/>
      <c r="D333"/>
      <c r="E333"/>
      <c r="F333" s="73" t="s">
        <v>287</v>
      </c>
      <c r="G333" s="73" t="s">
        <v>961</v>
      </c>
      <c r="H333" s="73" t="s">
        <v>1052</v>
      </c>
      <c r="I333" s="73" t="s">
        <v>288</v>
      </c>
      <c r="J333" s="84" t="s">
        <v>72</v>
      </c>
      <c r="K333" s="84" t="s">
        <v>1291</v>
      </c>
      <c r="L333" s="84"/>
      <c r="M333" s="84" t="s">
        <v>726</v>
      </c>
      <c r="N333" s="84"/>
      <c r="O333" s="131">
        <f>COUNTIF(S333:AT333,"")</f>
        <v>28</v>
      </c>
      <c r="P333" s="136" t="s">
        <v>1851</v>
      </c>
      <c r="Q333" s="131">
        <f>COUNTIF(S333:AT333,"APAGADO")</f>
        <v>0</v>
      </c>
      <c r="R333" s="132">
        <f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thickBot="1" x14ac:dyDescent="0.3">
      <c r="A334"/>
      <c r="B334"/>
      <c r="C334"/>
      <c r="D334"/>
      <c r="E334"/>
      <c r="F334" s="73"/>
      <c r="G334" t="s">
        <v>1306</v>
      </c>
      <c r="H334" t="s">
        <v>1052</v>
      </c>
      <c r="I334" t="s">
        <v>1309</v>
      </c>
      <c r="J334" s="30" t="s">
        <v>14</v>
      </c>
      <c r="K334" s="30" t="s">
        <v>27</v>
      </c>
      <c r="L334"/>
      <c r="M334" s="30" t="s">
        <v>1321</v>
      </c>
      <c r="N334" s="30"/>
      <c r="O334" s="31">
        <f>COUNTIF(S334:AT334,"")</f>
        <v>24</v>
      </c>
      <c r="P334" s="136" t="s">
        <v>1850</v>
      </c>
      <c r="Q334" s="31">
        <f>COUNTIF(S334:AT334,"APAGADO")</f>
        <v>4</v>
      </c>
      <c r="R334" s="32">
        <f>(O334)/(Q334+O334)</f>
        <v>0.8571428571428571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 t="s">
        <v>2240</v>
      </c>
      <c r="AG334" s="142" t="s">
        <v>2240</v>
      </c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 t="s">
        <v>2240</v>
      </c>
      <c r="AT334" s="70" t="s">
        <v>2240</v>
      </c>
      <c r="AU334" s="70" t="s">
        <v>2240</v>
      </c>
      <c r="AV334" s="70" t="s">
        <v>2240</v>
      </c>
    </row>
    <row r="335" spans="1:48" ht="15.75" thickBot="1" x14ac:dyDescent="0.3">
      <c r="A335"/>
      <c r="B335"/>
      <c r="C335"/>
      <c r="D335"/>
      <c r="E335"/>
      <c r="F335" s="69"/>
      <c r="G335" t="s">
        <v>1221</v>
      </c>
      <c r="H335" t="s">
        <v>1052</v>
      </c>
      <c r="I335" t="s">
        <v>1222</v>
      </c>
      <c r="J335" t="s">
        <v>18</v>
      </c>
      <c r="K335" t="s">
        <v>27</v>
      </c>
      <c r="L335"/>
      <c r="M335" s="30" t="s">
        <v>1262</v>
      </c>
      <c r="N335" s="30"/>
      <c r="O335" s="31">
        <f>COUNTIF(S335:AT335,"")</f>
        <v>17</v>
      </c>
      <c r="P335" s="136" t="s">
        <v>1849</v>
      </c>
      <c r="Q335" s="31">
        <f>COUNTIF(S335:AT335,"APAGADO")</f>
        <v>11</v>
      </c>
      <c r="R335" s="32">
        <f>(O335)/(Q335+O335)</f>
        <v>0.6071428571428571</v>
      </c>
      <c r="S335" s="70" t="s">
        <v>2240</v>
      </c>
      <c r="T335" s="70"/>
      <c r="U335" s="70"/>
      <c r="V335" s="70"/>
      <c r="W335" s="70"/>
      <c r="X335" s="70" t="s">
        <v>2240</v>
      </c>
      <c r="Y335" s="70" t="s">
        <v>2240</v>
      </c>
      <c r="Z335" s="70" t="s">
        <v>2240</v>
      </c>
      <c r="AA335" s="70"/>
      <c r="AB335" s="70"/>
      <c r="AC335" s="70"/>
      <c r="AD335" s="70"/>
      <c r="AE335" s="70" t="s">
        <v>2240</v>
      </c>
      <c r="AF335" s="70" t="s">
        <v>2240</v>
      </c>
      <c r="AG335" s="142" t="s">
        <v>2240</v>
      </c>
      <c r="AH335" s="70" t="s">
        <v>2240</v>
      </c>
      <c r="AI335" s="70" t="s">
        <v>2240</v>
      </c>
      <c r="AJ335" s="70"/>
      <c r="AK335" s="70"/>
      <c r="AL335" s="70" t="s">
        <v>2240</v>
      </c>
      <c r="AM335" s="70" t="s">
        <v>2240</v>
      </c>
      <c r="AN335" s="70"/>
      <c r="AO335" s="70"/>
      <c r="AP335" s="70"/>
      <c r="AQ335" s="70"/>
      <c r="AR335" s="70"/>
      <c r="AS335" s="70"/>
      <c r="AT335" s="70"/>
      <c r="AU335" s="70"/>
      <c r="AV335" s="129"/>
    </row>
    <row r="336" spans="1:48" ht="15.75" thickBot="1" x14ac:dyDescent="0.3">
      <c r="A336"/>
      <c r="B336"/>
      <c r="C336"/>
      <c r="D336"/>
      <c r="E336"/>
      <c r="F336" t="s">
        <v>16</v>
      </c>
      <c r="G336" s="33" t="s">
        <v>23</v>
      </c>
      <c r="H336" t="s">
        <v>1053</v>
      </c>
      <c r="I336" t="s">
        <v>24</v>
      </c>
      <c r="J336" s="30" t="s">
        <v>14</v>
      </c>
      <c r="K336" s="30" t="s">
        <v>19</v>
      </c>
      <c r="L336" s="30"/>
      <c r="M336" s="30" t="s">
        <v>725</v>
      </c>
      <c r="N336" s="30"/>
      <c r="O336" s="31">
        <f>COUNTIF(S336:AT336,"")</f>
        <v>28</v>
      </c>
      <c r="P336" s="136"/>
      <c r="Q336" s="31">
        <f>COUNTIF(S336:AT336,"APAGADO")</f>
        <v>0</v>
      </c>
      <c r="R336" s="32">
        <f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thickBot="1" x14ac:dyDescent="0.3">
      <c r="A337"/>
      <c r="B337"/>
      <c r="C337"/>
      <c r="D337"/>
      <c r="E337"/>
      <c r="F337" t="s">
        <v>16</v>
      </c>
      <c r="G337" s="33" t="s">
        <v>22</v>
      </c>
      <c r="H337" t="s">
        <v>1053</v>
      </c>
      <c r="I337" t="s">
        <v>606</v>
      </c>
      <c r="J337" s="30" t="s">
        <v>14</v>
      </c>
      <c r="K337" s="30" t="s">
        <v>1046</v>
      </c>
      <c r="L337" s="30" t="s">
        <v>1244</v>
      </c>
      <c r="M337" s="30" t="s">
        <v>724</v>
      </c>
      <c r="N337" s="30"/>
      <c r="O337" s="31">
        <f>COUNTIF(S337:AT337,"")</f>
        <v>28</v>
      </c>
      <c r="P337" s="136" t="s">
        <v>1848</v>
      </c>
      <c r="Q337" s="31">
        <f>COUNTIF(S337:AT337,"APAGADO")</f>
        <v>0</v>
      </c>
      <c r="R337" s="32">
        <f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thickBot="1" x14ac:dyDescent="0.3">
      <c r="A338"/>
      <c r="B338"/>
      <c r="C338"/>
      <c r="D338"/>
      <c r="E338"/>
      <c r="F338" s="73" t="s">
        <v>16</v>
      </c>
      <c r="G338" s="133" t="s">
        <v>20</v>
      </c>
      <c r="H338" s="73" t="s">
        <v>1053</v>
      </c>
      <c r="I338" s="73" t="s">
        <v>21</v>
      </c>
      <c r="J338" s="84" t="s">
        <v>18</v>
      </c>
      <c r="K338" s="84" t="s">
        <v>1291</v>
      </c>
      <c r="L338" s="84"/>
      <c r="M338" s="84" t="s">
        <v>1367</v>
      </c>
      <c r="N338" s="84"/>
      <c r="O338" s="131">
        <f>COUNTIF(S338:AT338,"")</f>
        <v>28</v>
      </c>
      <c r="P338" s="136" t="s">
        <v>1847</v>
      </c>
      <c r="Q338" s="131">
        <f>COUNTIF(S338:AT338,"APAGADO")</f>
        <v>0</v>
      </c>
      <c r="R338" s="132">
        <f>(O338)/(Q338+O338)</f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thickBot="1" x14ac:dyDescent="0.3">
      <c r="A339"/>
      <c r="B339"/>
      <c r="C339"/>
      <c r="D339"/>
      <c r="E339"/>
      <c r="F339" s="73" t="s">
        <v>16</v>
      </c>
      <c r="G339" s="133" t="s">
        <v>17</v>
      </c>
      <c r="H339" s="73" t="s">
        <v>1053</v>
      </c>
      <c r="I339" s="73" t="s">
        <v>1079</v>
      </c>
      <c r="J339" s="84" t="s">
        <v>18</v>
      </c>
      <c r="K339" s="84" t="s">
        <v>1291</v>
      </c>
      <c r="L339" s="84"/>
      <c r="M339" s="84" t="s">
        <v>1366</v>
      </c>
      <c r="N339" s="84"/>
      <c r="O339" s="131">
        <f>COUNTIF(S339:AT339,"")</f>
        <v>28</v>
      </c>
      <c r="P339" s="136" t="s">
        <v>1846</v>
      </c>
      <c r="Q339" s="131">
        <f>COUNTIF(S339:AT339,"APAGADO")</f>
        <v>0</v>
      </c>
      <c r="R339" s="132">
        <f>(O339)/(Q339+O339)</f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thickBot="1" x14ac:dyDescent="0.3">
      <c r="A340"/>
      <c r="B340"/>
      <c r="C340"/>
      <c r="D340"/>
      <c r="E340"/>
      <c r="G340" t="s">
        <v>2336</v>
      </c>
      <c r="H340" t="s">
        <v>1053</v>
      </c>
      <c r="I340" t="s">
        <v>2337</v>
      </c>
      <c r="J340" s="30" t="s">
        <v>14</v>
      </c>
      <c r="K340" s="30" t="s">
        <v>1291</v>
      </c>
      <c r="L340" s="30"/>
      <c r="M340" s="30" t="s">
        <v>2339</v>
      </c>
      <c r="N340" s="30"/>
      <c r="O340" s="31"/>
      <c r="P340" s="136"/>
      <c r="Q340" s="31"/>
      <c r="R340" s="32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 t="s">
        <v>2240</v>
      </c>
      <c r="AT340" s="70"/>
      <c r="AU340" s="70"/>
      <c r="AV340" s="70"/>
    </row>
    <row r="341" spans="1:48" ht="15.75" thickBot="1" x14ac:dyDescent="0.3">
      <c r="A341"/>
      <c r="B341"/>
      <c r="C341"/>
      <c r="D341"/>
      <c r="E341"/>
      <c r="G341" t="s">
        <v>2334</v>
      </c>
      <c r="H341" t="s">
        <v>1053</v>
      </c>
      <c r="I341" t="s">
        <v>2337</v>
      </c>
      <c r="J341" s="30" t="s">
        <v>45</v>
      </c>
      <c r="K341" s="30" t="s">
        <v>1291</v>
      </c>
      <c r="L341" s="30"/>
      <c r="M341" s="30" t="s">
        <v>2338</v>
      </c>
      <c r="N341" s="30"/>
      <c r="O341" s="31"/>
      <c r="P341" s="136"/>
      <c r="Q341" s="31"/>
      <c r="R341" s="32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 t="s">
        <v>2240</v>
      </c>
      <c r="AT341" s="70"/>
      <c r="AU341" s="70"/>
      <c r="AV341" s="70"/>
    </row>
    <row r="342" spans="1:48" ht="15.75" thickBot="1" x14ac:dyDescent="0.3">
      <c r="A342"/>
      <c r="B342"/>
      <c r="C342"/>
      <c r="D342"/>
      <c r="E342" t="s">
        <v>2366</v>
      </c>
      <c r="F342" t="s">
        <v>960</v>
      </c>
      <c r="G342" t="s">
        <v>2335</v>
      </c>
      <c r="H342" t="s">
        <v>1053</v>
      </c>
      <c r="I342" t="s">
        <v>959</v>
      </c>
      <c r="J342" s="30" t="s">
        <v>72</v>
      </c>
      <c r="K342" s="30" t="s">
        <v>27</v>
      </c>
      <c r="L342" s="30"/>
      <c r="M342" s="30" t="s">
        <v>1208</v>
      </c>
      <c r="N342" s="30"/>
      <c r="O342" s="31">
        <f>COUNTIF(S342:AT342,"")</f>
        <v>28</v>
      </c>
      <c r="P342" s="136" t="s">
        <v>1845</v>
      </c>
      <c r="Q342" s="31">
        <f>COUNTIF(S342:AT342,"APAGADO")</f>
        <v>0</v>
      </c>
      <c r="R342" s="32">
        <f>(O342)/(Q342+O342)</f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thickBot="1" x14ac:dyDescent="0.3">
      <c r="A343"/>
      <c r="B343"/>
      <c r="C343"/>
      <c r="D343"/>
      <c r="E343" t="s">
        <v>2366</v>
      </c>
      <c r="F343" t="s">
        <v>372</v>
      </c>
      <c r="G343" t="s">
        <v>958</v>
      </c>
      <c r="H343" t="s">
        <v>1053</v>
      </c>
      <c r="I343" t="s">
        <v>959</v>
      </c>
      <c r="J343" s="30" t="s">
        <v>72</v>
      </c>
      <c r="K343" s="30" t="s">
        <v>27</v>
      </c>
      <c r="L343" s="30"/>
      <c r="M343" s="30" t="s">
        <v>1207</v>
      </c>
      <c r="N343" s="30"/>
      <c r="O343" s="31">
        <f>COUNTIF(S343:AT343,"")</f>
        <v>28</v>
      </c>
      <c r="P343" s="136" t="s">
        <v>1844</v>
      </c>
      <c r="Q343" s="31">
        <f>COUNTIF(S343:AT343,"APAGADO")</f>
        <v>0</v>
      </c>
      <c r="R343" s="32">
        <f>(O343)/(Q343+O343)</f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thickBot="1" x14ac:dyDescent="0.3">
      <c r="A344"/>
      <c r="B344"/>
      <c r="C344"/>
      <c r="D344"/>
      <c r="E344"/>
      <c r="F344" t="s">
        <v>11</v>
      </c>
      <c r="G344" s="33" t="s">
        <v>12</v>
      </c>
      <c r="H344" t="s">
        <v>1053</v>
      </c>
      <c r="I344" t="s">
        <v>13</v>
      </c>
      <c r="J344" s="30" t="s">
        <v>14</v>
      </c>
      <c r="K344" s="30" t="s">
        <v>1291</v>
      </c>
      <c r="L344" s="30"/>
      <c r="M344" s="30" t="s">
        <v>723</v>
      </c>
      <c r="N344" s="30"/>
      <c r="O344" s="31">
        <f>COUNTIF(S344:AT344,"")</f>
        <v>27</v>
      </c>
      <c r="P344" s="136"/>
      <c r="Q344" s="31">
        <f>COUNTIF(S344:AT344,"APAGADO")</f>
        <v>1</v>
      </c>
      <c r="R344" s="32">
        <f>(O344)/(Q344+O344)</f>
        <v>0.9642857142857143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 t="s">
        <v>2240</v>
      </c>
      <c r="AT344" s="70"/>
      <c r="AU344" s="70"/>
      <c r="AV344" s="70"/>
    </row>
    <row r="345" spans="1:48" s="73" customFormat="1" ht="15.75" thickBot="1" x14ac:dyDescent="0.3">
      <c r="A345"/>
      <c r="B345"/>
      <c r="C345"/>
      <c r="D345"/>
      <c r="E345"/>
      <c r="F345" t="s">
        <v>2179</v>
      </c>
      <c r="G345" t="s">
        <v>2183</v>
      </c>
      <c r="H345" t="s">
        <v>1053</v>
      </c>
      <c r="I345" t="s">
        <v>2184</v>
      </c>
      <c r="J345" s="30" t="s">
        <v>18</v>
      </c>
      <c r="K345" s="84" t="s">
        <v>1291</v>
      </c>
      <c r="L345" s="30"/>
      <c r="M345" s="30" t="s">
        <v>2302</v>
      </c>
      <c r="N345" s="30"/>
      <c r="O345" s="131">
        <f>COUNTIF(S345:AT345,"")</f>
        <v>28</v>
      </c>
      <c r="P345" s="136" t="s">
        <v>2185</v>
      </c>
      <c r="Q345" s="131">
        <f>COUNTIF(S345:AT345,"APAGADO")</f>
        <v>0</v>
      </c>
      <c r="R345" s="132">
        <f>(O345)/(Q345+O345)</f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thickBot="1" x14ac:dyDescent="0.3">
      <c r="A346"/>
      <c r="B346"/>
      <c r="C346"/>
      <c r="D346"/>
      <c r="E346"/>
      <c r="F346" t="s">
        <v>2179</v>
      </c>
      <c r="G346" t="s">
        <v>2180</v>
      </c>
      <c r="H346" t="s">
        <v>1053</v>
      </c>
      <c r="I346" t="s">
        <v>2181</v>
      </c>
      <c r="J346" s="30" t="s">
        <v>18</v>
      </c>
      <c r="K346" s="84" t="s">
        <v>1291</v>
      </c>
      <c r="L346" s="30"/>
      <c r="M346" s="30" t="s">
        <v>2301</v>
      </c>
      <c r="N346" s="30"/>
      <c r="O346" s="131">
        <f>COUNTIF(S346:AT346,"")</f>
        <v>28</v>
      </c>
      <c r="P346" s="136" t="s">
        <v>2182</v>
      </c>
      <c r="Q346" s="131">
        <f>COUNTIF(S346:AT346,"APAGADO")</f>
        <v>0</v>
      </c>
      <c r="R346" s="132">
        <f>(O346)/(Q346+O346)</f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thickBot="1" x14ac:dyDescent="0.3">
      <c r="A347"/>
      <c r="B347"/>
      <c r="C347"/>
      <c r="D347"/>
      <c r="E347"/>
      <c r="F347" t="s">
        <v>284</v>
      </c>
      <c r="G347" t="s">
        <v>2256</v>
      </c>
      <c r="H347" t="s">
        <v>1053</v>
      </c>
      <c r="I347" t="s">
        <v>2257</v>
      </c>
      <c r="J347" s="30" t="s">
        <v>14</v>
      </c>
      <c r="K347" s="84" t="s">
        <v>1291</v>
      </c>
      <c r="L347" s="30"/>
      <c r="M347" s="30" t="s">
        <v>2340</v>
      </c>
      <c r="N347" s="30"/>
      <c r="O347" s="31">
        <f>COUNTIF(S347:AT347,"")</f>
        <v>28</v>
      </c>
      <c r="P347" s="136"/>
      <c r="Q347" s="31">
        <f>COUNTIF(S347:AT347,"APAGADO")</f>
        <v>0</v>
      </c>
      <c r="R347" s="32">
        <f>(O347)/(Q347+O347)</f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8" ht="15.75" thickBot="1" x14ac:dyDescent="0.3">
      <c r="A348"/>
      <c r="B348"/>
      <c r="C348"/>
      <c r="D348"/>
      <c r="E348"/>
      <c r="F348" t="s">
        <v>284</v>
      </c>
      <c r="G348" t="s">
        <v>2255</v>
      </c>
      <c r="H348" t="s">
        <v>1053</v>
      </c>
      <c r="I348" t="s">
        <v>2252</v>
      </c>
      <c r="J348" s="30" t="s">
        <v>14</v>
      </c>
      <c r="K348" s="84" t="s">
        <v>1291</v>
      </c>
      <c r="L348" s="30"/>
      <c r="M348" s="30" t="s">
        <v>2300</v>
      </c>
      <c r="N348" s="30"/>
      <c r="O348" s="31">
        <f>COUNTIF(S348:AT348,"")</f>
        <v>28</v>
      </c>
      <c r="P348" s="136"/>
      <c r="Q348" s="31">
        <f>COUNTIF(S348:AT348,"APAGADO")</f>
        <v>0</v>
      </c>
      <c r="R348" s="32">
        <f>(O348)/(Q348+O348)</f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thickBot="1" x14ac:dyDescent="0.3">
      <c r="A349" s="69"/>
      <c r="B349" s="69"/>
      <c r="C349" s="69"/>
      <c r="D349" s="69"/>
      <c r="E349" s="69"/>
      <c r="F349" s="69" t="s">
        <v>284</v>
      </c>
      <c r="G349" s="69" t="s">
        <v>2251</v>
      </c>
      <c r="H349" s="69" t="s">
        <v>1053</v>
      </c>
      <c r="I349" s="69" t="s">
        <v>2252</v>
      </c>
      <c r="J349" s="137" t="s">
        <v>72</v>
      </c>
      <c r="K349" s="137" t="s">
        <v>1291</v>
      </c>
      <c r="L349" s="137"/>
      <c r="M349" s="137" t="s">
        <v>2253</v>
      </c>
      <c r="N349" s="137"/>
      <c r="O349" s="139">
        <f>COUNTIF(S349:AT349,"")</f>
        <v>12</v>
      </c>
      <c r="P349" s="140" t="s">
        <v>2254</v>
      </c>
      <c r="Q349" s="139">
        <f>COUNTIF(S349:AT349,"APAGADO")</f>
        <v>16</v>
      </c>
      <c r="R349" s="141">
        <f>(O349)/(Q349+O349)</f>
        <v>0.42857142857142855</v>
      </c>
      <c r="S349" s="142" t="s">
        <v>2240</v>
      </c>
      <c r="T349" s="142"/>
      <c r="U349" s="142"/>
      <c r="V349" s="142"/>
      <c r="W349" s="142"/>
      <c r="X349" s="142" t="s">
        <v>2240</v>
      </c>
      <c r="Y349" s="142" t="s">
        <v>2240</v>
      </c>
      <c r="Z349" s="142" t="s">
        <v>2240</v>
      </c>
      <c r="AA349" s="142"/>
      <c r="AB349" s="142"/>
      <c r="AC349" s="142"/>
      <c r="AD349" s="142"/>
      <c r="AE349" s="70" t="s">
        <v>2240</v>
      </c>
      <c r="AF349" s="70" t="s">
        <v>2240</v>
      </c>
      <c r="AG349" s="142" t="s">
        <v>2240</v>
      </c>
      <c r="AH349" s="70" t="s">
        <v>2240</v>
      </c>
      <c r="AI349" s="70" t="s">
        <v>2240</v>
      </c>
      <c r="AJ349" s="142"/>
      <c r="AK349" s="142"/>
      <c r="AL349" s="70" t="s">
        <v>2240</v>
      </c>
      <c r="AM349" s="70" t="s">
        <v>2240</v>
      </c>
      <c r="AN349" s="70" t="s">
        <v>2240</v>
      </c>
      <c r="AO349" s="70" t="s">
        <v>2240</v>
      </c>
      <c r="AP349" s="70" t="s">
        <v>2240</v>
      </c>
      <c r="AQ349" s="142"/>
      <c r="AR349" s="70"/>
      <c r="AS349" s="70" t="s">
        <v>2240</v>
      </c>
      <c r="AT349" s="70" t="s">
        <v>2240</v>
      </c>
      <c r="AU349" s="70" t="s">
        <v>2240</v>
      </c>
      <c r="AV349" s="70" t="s">
        <v>2240</v>
      </c>
    </row>
    <row r="350" spans="1:48" ht="15.75" thickBot="1" x14ac:dyDescent="0.3">
      <c r="A350" s="69"/>
      <c r="B350" s="69"/>
      <c r="C350" s="69"/>
      <c r="D350" s="69"/>
      <c r="E350" s="69"/>
      <c r="F350" s="69" t="s">
        <v>284</v>
      </c>
      <c r="G350" s="69" t="s">
        <v>285</v>
      </c>
      <c r="H350" s="69" t="s">
        <v>1053</v>
      </c>
      <c r="I350" s="69" t="s">
        <v>286</v>
      </c>
      <c r="J350" s="137" t="s">
        <v>14</v>
      </c>
      <c r="K350" s="137" t="s">
        <v>27</v>
      </c>
      <c r="L350" s="137"/>
      <c r="M350" s="137" t="s">
        <v>722</v>
      </c>
      <c r="N350" s="137"/>
      <c r="O350" s="139">
        <f>COUNTIF(S350:AT350,"")</f>
        <v>12</v>
      </c>
      <c r="P350" s="140" t="s">
        <v>1843</v>
      </c>
      <c r="Q350" s="139">
        <f>COUNTIF(S350:AT350,"APAGADO")</f>
        <v>16</v>
      </c>
      <c r="R350" s="141">
        <f>(O350)/(Q350+O350)</f>
        <v>0.42857142857142855</v>
      </c>
      <c r="S350" s="142" t="s">
        <v>2240</v>
      </c>
      <c r="T350" s="142"/>
      <c r="U350" s="142"/>
      <c r="V350" s="142"/>
      <c r="W350" s="142"/>
      <c r="X350" s="142" t="s">
        <v>2240</v>
      </c>
      <c r="Y350" s="142" t="s">
        <v>2240</v>
      </c>
      <c r="Z350" s="142" t="s">
        <v>2240</v>
      </c>
      <c r="AA350" s="142"/>
      <c r="AB350" s="142"/>
      <c r="AC350" s="142"/>
      <c r="AD350" s="142"/>
      <c r="AE350" s="70" t="s">
        <v>2240</v>
      </c>
      <c r="AF350" s="70" t="s">
        <v>2240</v>
      </c>
      <c r="AG350" s="142" t="s">
        <v>2240</v>
      </c>
      <c r="AH350" s="70" t="s">
        <v>2240</v>
      </c>
      <c r="AI350" s="70" t="s">
        <v>2240</v>
      </c>
      <c r="AJ350" s="142"/>
      <c r="AK350" s="142"/>
      <c r="AL350" s="70" t="s">
        <v>2240</v>
      </c>
      <c r="AM350" s="70" t="s">
        <v>2240</v>
      </c>
      <c r="AN350" s="70" t="s">
        <v>2240</v>
      </c>
      <c r="AO350" s="70" t="s">
        <v>2240</v>
      </c>
      <c r="AP350" s="70" t="s">
        <v>2240</v>
      </c>
      <c r="AQ350" s="142"/>
      <c r="AR350" s="70"/>
      <c r="AS350" s="70" t="s">
        <v>2240</v>
      </c>
      <c r="AT350" s="70" t="s">
        <v>2240</v>
      </c>
      <c r="AU350" s="70" t="s">
        <v>2240</v>
      </c>
      <c r="AV350" s="70" t="s">
        <v>2240</v>
      </c>
    </row>
    <row r="351" spans="1:48" ht="15.75" thickBot="1" x14ac:dyDescent="0.3">
      <c r="A351"/>
      <c r="B351"/>
      <c r="C351"/>
      <c r="D351"/>
      <c r="E351"/>
      <c r="F351" t="s">
        <v>226</v>
      </c>
      <c r="G351" t="s">
        <v>282</v>
      </c>
      <c r="H351" t="s">
        <v>1053</v>
      </c>
      <c r="I351" t="s">
        <v>283</v>
      </c>
      <c r="J351" s="30" t="s">
        <v>14</v>
      </c>
      <c r="K351" s="30" t="s">
        <v>1046</v>
      </c>
      <c r="L351" s="30"/>
      <c r="M351" s="30" t="s">
        <v>1054</v>
      </c>
      <c r="N351" s="30"/>
      <c r="O351" s="31">
        <f>COUNTIF(S351:AT351,"")</f>
        <v>24</v>
      </c>
      <c r="P351" s="136" t="s">
        <v>1798</v>
      </c>
      <c r="Q351" s="31">
        <f>COUNTIF(S351:AT351,"APAGADO")</f>
        <v>4</v>
      </c>
      <c r="R351" s="32">
        <f>(O351)/(Q351+O351)</f>
        <v>0.8571428571428571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 t="s">
        <v>2240</v>
      </c>
      <c r="AP351" s="70" t="s">
        <v>2240</v>
      </c>
      <c r="AQ351" s="70"/>
      <c r="AR351" s="70"/>
      <c r="AS351" s="70" t="s">
        <v>2240</v>
      </c>
      <c r="AT351" s="70" t="s">
        <v>2240</v>
      </c>
      <c r="AU351" s="70" t="s">
        <v>2240</v>
      </c>
      <c r="AV351" s="70" t="s">
        <v>2240</v>
      </c>
    </row>
    <row r="352" spans="1:48" ht="15.75" thickBot="1" x14ac:dyDescent="0.3">
      <c r="A352" s="88"/>
      <c r="B352" s="88"/>
      <c r="C352" s="88"/>
      <c r="D352" s="88"/>
      <c r="E352" s="88"/>
      <c r="F352" s="73" t="s">
        <v>284</v>
      </c>
      <c r="G352" s="73" t="s">
        <v>957</v>
      </c>
      <c r="H352" s="88" t="s">
        <v>1053</v>
      </c>
      <c r="I352" s="73" t="s">
        <v>1078</v>
      </c>
      <c r="J352" s="89" t="s">
        <v>18</v>
      </c>
      <c r="K352" s="84" t="s">
        <v>1291</v>
      </c>
      <c r="L352" s="84"/>
      <c r="M352" s="84" t="s">
        <v>2214</v>
      </c>
      <c r="N352" s="84"/>
      <c r="O352" s="31">
        <f>COUNTIF(S352:AT352,"")</f>
        <v>28</v>
      </c>
      <c r="P352" s="136" t="s">
        <v>2323</v>
      </c>
      <c r="Q352" s="31">
        <f>COUNTIF(S352:AT352,"APAGADO")</f>
        <v>0</v>
      </c>
      <c r="R352" s="32">
        <f>(O352)/(Q352+O352)</f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90"/>
      <c r="AL352" s="90"/>
      <c r="AM352" s="70"/>
      <c r="AN352" s="90"/>
      <c r="AO352" s="90"/>
      <c r="AP352" s="90"/>
      <c r="AQ352" s="90"/>
      <c r="AR352" s="90"/>
      <c r="AS352" s="90"/>
      <c r="AT352" s="90"/>
      <c r="AU352" s="90"/>
      <c r="AV352" s="90"/>
    </row>
    <row r="353" spans="1:48" ht="15.75" thickBot="1" x14ac:dyDescent="0.3">
      <c r="A353">
        <v>1</v>
      </c>
      <c r="B353">
        <v>19</v>
      </c>
      <c r="C353"/>
      <c r="D353"/>
      <c r="E353" t="s">
        <v>2346</v>
      </c>
      <c r="F353" t="s">
        <v>264</v>
      </c>
      <c r="G353" s="30" t="s">
        <v>1201</v>
      </c>
      <c r="H353" s="30" t="s">
        <v>1052</v>
      </c>
      <c r="I353" t="s">
        <v>1196</v>
      </c>
      <c r="J353" s="30" t="s">
        <v>14</v>
      </c>
      <c r="K353" s="30" t="s">
        <v>27</v>
      </c>
      <c r="L353" s="30"/>
      <c r="M353" s="30" t="s">
        <v>1197</v>
      </c>
      <c r="N353" s="30"/>
      <c r="O353" s="31">
        <f>COUNTIF(S353:AT353,"")</f>
        <v>20</v>
      </c>
      <c r="P353" s="136" t="s">
        <v>1842</v>
      </c>
      <c r="Q353" s="31">
        <f>COUNTIF(S353:AT353,"APAGADO")</f>
        <v>8</v>
      </c>
      <c r="R353" s="32">
        <f>(O353)/(Q353+O353)</f>
        <v>0.7142857142857143</v>
      </c>
      <c r="S353" s="70" t="s">
        <v>2240</v>
      </c>
      <c r="T353" s="70"/>
      <c r="U353" s="70"/>
      <c r="V353" s="70"/>
      <c r="W353" s="70"/>
      <c r="X353" s="70" t="s">
        <v>2240</v>
      </c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 t="s">
        <v>2240</v>
      </c>
      <c r="AM353" s="70" t="s">
        <v>2240</v>
      </c>
      <c r="AN353" s="70"/>
      <c r="AO353" s="70" t="s">
        <v>2240</v>
      </c>
      <c r="AP353" s="70" t="s">
        <v>2240</v>
      </c>
      <c r="AQ353" s="70"/>
      <c r="AR353" s="70"/>
      <c r="AS353" s="70" t="s">
        <v>2240</v>
      </c>
      <c r="AT353" s="70" t="s">
        <v>2240</v>
      </c>
      <c r="AU353" s="70" t="s">
        <v>2240</v>
      </c>
      <c r="AV353" s="70" t="s">
        <v>2240</v>
      </c>
    </row>
    <row r="354" spans="1:48" ht="15.75" thickBot="1" x14ac:dyDescent="0.3">
      <c r="A354"/>
      <c r="B354"/>
      <c r="C354"/>
      <c r="D354"/>
      <c r="E354"/>
      <c r="F354" t="s">
        <v>264</v>
      </c>
      <c r="G354" t="s">
        <v>280</v>
      </c>
      <c r="H354" t="s">
        <v>1052</v>
      </c>
      <c r="I354" t="s">
        <v>281</v>
      </c>
      <c r="J354" s="30" t="s">
        <v>14</v>
      </c>
      <c r="K354" s="30" t="s">
        <v>27</v>
      </c>
      <c r="L354" s="30"/>
      <c r="M354" s="30" t="s">
        <v>721</v>
      </c>
      <c r="N354" s="30"/>
      <c r="O354" s="31">
        <f>COUNTIF(S354:AT354,"")</f>
        <v>12</v>
      </c>
      <c r="P354" s="136" t="s">
        <v>1841</v>
      </c>
      <c r="Q354" s="31">
        <f>COUNTIF(S354:AT354,"APAGADO")</f>
        <v>16</v>
      </c>
      <c r="R354" s="32">
        <f>(O354)/(Q354+O354)</f>
        <v>0.42857142857142855</v>
      </c>
      <c r="S354" s="70" t="s">
        <v>2240</v>
      </c>
      <c r="T354" s="70"/>
      <c r="U354" s="70"/>
      <c r="V354" s="70"/>
      <c r="W354" s="70"/>
      <c r="X354" s="70" t="s">
        <v>2240</v>
      </c>
      <c r="Y354" s="70" t="s">
        <v>2240</v>
      </c>
      <c r="Z354" s="70" t="s">
        <v>2240</v>
      </c>
      <c r="AA354" s="70"/>
      <c r="AB354" s="70"/>
      <c r="AC354" s="70"/>
      <c r="AD354" s="70"/>
      <c r="AE354" s="70" t="s">
        <v>2240</v>
      </c>
      <c r="AF354" s="70" t="s">
        <v>2240</v>
      </c>
      <c r="AG354" s="142" t="s">
        <v>2240</v>
      </c>
      <c r="AH354" s="70" t="s">
        <v>2240</v>
      </c>
      <c r="AI354" s="70" t="s">
        <v>2240</v>
      </c>
      <c r="AJ354" s="70"/>
      <c r="AK354" s="70"/>
      <c r="AL354" s="70" t="s">
        <v>2240</v>
      </c>
      <c r="AM354" s="70" t="s">
        <v>2240</v>
      </c>
      <c r="AN354" s="70" t="s">
        <v>2240</v>
      </c>
      <c r="AO354" s="70" t="s">
        <v>2240</v>
      </c>
      <c r="AP354" s="70" t="s">
        <v>2240</v>
      </c>
      <c r="AQ354" s="70"/>
      <c r="AR354" s="70"/>
      <c r="AS354" s="70" t="s">
        <v>2240</v>
      </c>
      <c r="AT354" s="70" t="s">
        <v>2240</v>
      </c>
      <c r="AU354" s="70" t="s">
        <v>2240</v>
      </c>
      <c r="AV354" s="70" t="s">
        <v>2240</v>
      </c>
    </row>
    <row r="355" spans="1:48" ht="15.75" thickBot="1" x14ac:dyDescent="0.3">
      <c r="A355">
        <v>1</v>
      </c>
      <c r="B355">
        <v>19</v>
      </c>
      <c r="C355"/>
      <c r="D355"/>
      <c r="E355" t="s">
        <v>2346</v>
      </c>
      <c r="F355" t="s">
        <v>264</v>
      </c>
      <c r="G355" t="s">
        <v>277</v>
      </c>
      <c r="H355" t="s">
        <v>1052</v>
      </c>
      <c r="I355" t="s">
        <v>278</v>
      </c>
      <c r="J355" s="30" t="s">
        <v>18</v>
      </c>
      <c r="K355" s="30" t="s">
        <v>27</v>
      </c>
      <c r="L355" s="30"/>
      <c r="M355" s="30" t="s">
        <v>718</v>
      </c>
      <c r="N355" s="30"/>
      <c r="O355" s="31">
        <f>COUNTIF(S355:AT355,"")</f>
        <v>28</v>
      </c>
      <c r="P355" s="136" t="s">
        <v>1840</v>
      </c>
      <c r="Q355" s="31">
        <f>COUNTIF(S355:AT355,"APAGADO")</f>
        <v>0</v>
      </c>
      <c r="R355" s="32">
        <f>(O355)/(Q355+O355)</f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8" ht="15.75" thickBot="1" x14ac:dyDescent="0.3">
      <c r="A356"/>
      <c r="B356"/>
      <c r="C356"/>
      <c r="D356"/>
      <c r="E356"/>
      <c r="F356" t="s">
        <v>264</v>
      </c>
      <c r="G356" t="s">
        <v>274</v>
      </c>
      <c r="H356" t="s">
        <v>1052</v>
      </c>
      <c r="I356" t="s">
        <v>275</v>
      </c>
      <c r="J356" s="30" t="s">
        <v>18</v>
      </c>
      <c r="K356" s="30" t="s">
        <v>27</v>
      </c>
      <c r="L356" s="30"/>
      <c r="M356" s="30" t="s">
        <v>1426</v>
      </c>
      <c r="N356" s="30"/>
      <c r="O356" s="31">
        <f>COUNTIF(S356:AT356,"")</f>
        <v>19</v>
      </c>
      <c r="P356" s="136" t="s">
        <v>1839</v>
      </c>
      <c r="Q356" s="31">
        <f>COUNTIF(S356:AT356,"APAGADO")</f>
        <v>9</v>
      </c>
      <c r="R356" s="32">
        <f>(O356)/(Q356+O356)</f>
        <v>0.6785714285714286</v>
      </c>
      <c r="S356" s="70"/>
      <c r="T356" s="70"/>
      <c r="U356" s="70"/>
      <c r="V356" s="70"/>
      <c r="W356" s="70"/>
      <c r="X356" s="70" t="s">
        <v>2240</v>
      </c>
      <c r="Y356" s="70" t="s">
        <v>2240</v>
      </c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 t="s">
        <v>2240</v>
      </c>
      <c r="AM356" s="70" t="s">
        <v>2240</v>
      </c>
      <c r="AN356" s="70" t="s">
        <v>2240</v>
      </c>
      <c r="AO356" s="70" t="s">
        <v>2240</v>
      </c>
      <c r="AP356" s="70" t="s">
        <v>2240</v>
      </c>
      <c r="AQ356" s="70"/>
      <c r="AR356" s="70"/>
      <c r="AS356" s="70" t="s">
        <v>2240</v>
      </c>
      <c r="AT356" s="70" t="s">
        <v>2240</v>
      </c>
      <c r="AU356" s="70" t="s">
        <v>2240</v>
      </c>
      <c r="AV356" s="70" t="s">
        <v>2240</v>
      </c>
    </row>
    <row r="357" spans="1:48" ht="15.75" thickBot="1" x14ac:dyDescent="0.3">
      <c r="A357">
        <v>1</v>
      </c>
      <c r="B357">
        <v>19</v>
      </c>
      <c r="C357"/>
      <c r="D357"/>
      <c r="E357" t="s">
        <v>2346</v>
      </c>
      <c r="F357" t="s">
        <v>264</v>
      </c>
      <c r="G357" t="s">
        <v>272</v>
      </c>
      <c r="H357" t="s">
        <v>1052</v>
      </c>
      <c r="I357" t="s">
        <v>273</v>
      </c>
      <c r="J357" s="30" t="s">
        <v>18</v>
      </c>
      <c r="K357" s="30" t="s">
        <v>27</v>
      </c>
      <c r="L357" s="30"/>
      <c r="M357" s="30" t="s">
        <v>2290</v>
      </c>
      <c r="N357" s="30"/>
      <c r="O357" s="31">
        <f>COUNTIF(S357:AT357,"")</f>
        <v>28</v>
      </c>
      <c r="P357" s="136" t="s">
        <v>1838</v>
      </c>
      <c r="Q357" s="31">
        <f>COUNTIF(S357:AT357,"APAGADO")</f>
        <v>0</v>
      </c>
      <c r="R357" s="32">
        <f>(O357)/(Q357+O357)</f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thickBot="1" x14ac:dyDescent="0.3">
      <c r="A358">
        <v>1</v>
      </c>
      <c r="B358">
        <v>19</v>
      </c>
      <c r="C358"/>
      <c r="D358"/>
      <c r="E358" t="s">
        <v>2346</v>
      </c>
      <c r="F358" t="s">
        <v>261</v>
      </c>
      <c r="G358" t="s">
        <v>270</v>
      </c>
      <c r="H358" t="s">
        <v>1052</v>
      </c>
      <c r="I358" t="s">
        <v>271</v>
      </c>
      <c r="J358" s="30" t="s">
        <v>18</v>
      </c>
      <c r="K358" s="30" t="s">
        <v>27</v>
      </c>
      <c r="L358" s="30"/>
      <c r="M358" s="30" t="s">
        <v>716</v>
      </c>
      <c r="N358" s="30"/>
      <c r="O358" s="31">
        <f>COUNTIF(S358:AT358,"")</f>
        <v>25</v>
      </c>
      <c r="P358" s="136" t="s">
        <v>1837</v>
      </c>
      <c r="Q358" s="31">
        <f>COUNTIF(S358:AT358,"APAGADO")</f>
        <v>3</v>
      </c>
      <c r="R358" s="32">
        <f>(O358)/(Q358+O358)</f>
        <v>0.8928571428571429</v>
      </c>
      <c r="S358" s="70"/>
      <c r="T358" s="70"/>
      <c r="U358" s="70"/>
      <c r="V358" s="70"/>
      <c r="W358" s="70"/>
      <c r="X358" s="70" t="s">
        <v>2240</v>
      </c>
      <c r="Y358" s="70" t="s">
        <v>2240</v>
      </c>
      <c r="Z358" s="70" t="s">
        <v>2240</v>
      </c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8" ht="15.75" thickBot="1" x14ac:dyDescent="0.3">
      <c r="A359">
        <v>1</v>
      </c>
      <c r="B359">
        <v>19</v>
      </c>
      <c r="C359"/>
      <c r="D359"/>
      <c r="E359" t="s">
        <v>2346</v>
      </c>
      <c r="F359" t="s">
        <v>264</v>
      </c>
      <c r="G359" t="s">
        <v>267</v>
      </c>
      <c r="H359" t="s">
        <v>1052</v>
      </c>
      <c r="I359" t="s">
        <v>268</v>
      </c>
      <c r="J359" s="30" t="s">
        <v>45</v>
      </c>
      <c r="K359" s="30" t="s">
        <v>27</v>
      </c>
      <c r="L359" s="30"/>
      <c r="M359" s="30" t="s">
        <v>714</v>
      </c>
      <c r="N359" s="30"/>
      <c r="O359" s="31">
        <f>COUNTIF(S359:AT359,"")</f>
        <v>28</v>
      </c>
      <c r="P359" s="136" t="s">
        <v>1836</v>
      </c>
      <c r="Q359" s="31">
        <f>COUNTIF(S359:AT359,"APAGADO")</f>
        <v>0</v>
      </c>
      <c r="R359" s="32">
        <f>(O359)/(Q359+O359)</f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8" ht="15.75" thickBot="1" x14ac:dyDescent="0.3">
      <c r="A360">
        <v>1</v>
      </c>
      <c r="B360">
        <v>19</v>
      </c>
      <c r="C360"/>
      <c r="D360"/>
      <c r="E360" t="s">
        <v>2346</v>
      </c>
      <c r="F360" t="s">
        <v>264</v>
      </c>
      <c r="G360" t="s">
        <v>265</v>
      </c>
      <c r="H360" t="s">
        <v>1052</v>
      </c>
      <c r="I360" t="s">
        <v>266</v>
      </c>
      <c r="J360" s="30" t="s">
        <v>72</v>
      </c>
      <c r="K360" s="30" t="s">
        <v>27</v>
      </c>
      <c r="L360" s="30"/>
      <c r="M360" s="30" t="s">
        <v>713</v>
      </c>
      <c r="N360" s="30"/>
      <c r="O360" s="31">
        <f>COUNTIF(S360:AT360,"")</f>
        <v>28</v>
      </c>
      <c r="P360" s="136" t="s">
        <v>1835</v>
      </c>
      <c r="Q360" s="31">
        <f>COUNTIF(S360:AT360,"APAGADO")</f>
        <v>0</v>
      </c>
      <c r="R360" s="32">
        <f>(O360)/(Q360+O360)</f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s="73" customFormat="1" ht="15.75" thickBot="1" x14ac:dyDescent="0.3">
      <c r="A361">
        <v>1</v>
      </c>
      <c r="B361">
        <v>19</v>
      </c>
      <c r="C361"/>
      <c r="D361"/>
      <c r="E361" t="s">
        <v>2346</v>
      </c>
      <c r="F361" t="s">
        <v>261</v>
      </c>
      <c r="G361" t="s">
        <v>262</v>
      </c>
      <c r="H361" t="s">
        <v>1052</v>
      </c>
      <c r="I361" t="s">
        <v>263</v>
      </c>
      <c r="J361" s="30" t="s">
        <v>18</v>
      </c>
      <c r="K361" s="30" t="s">
        <v>27</v>
      </c>
      <c r="L361" s="30"/>
      <c r="M361" s="30" t="s">
        <v>712</v>
      </c>
      <c r="N361" s="30"/>
      <c r="O361" s="31">
        <f>COUNTIF(S361:AT361,"")</f>
        <v>28</v>
      </c>
      <c r="P361" s="136" t="s">
        <v>1834</v>
      </c>
      <c r="Q361" s="31">
        <f>COUNTIF(S361:AT361,"APAGADO")</f>
        <v>0</v>
      </c>
      <c r="R361" s="32">
        <f>(O361)/(Q361+O361)</f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thickBot="1" x14ac:dyDescent="0.3">
      <c r="A362">
        <v>1</v>
      </c>
      <c r="B362">
        <v>19</v>
      </c>
      <c r="C362"/>
      <c r="D362"/>
      <c r="E362" t="s">
        <v>2346</v>
      </c>
      <c r="F362" t="s">
        <v>264</v>
      </c>
      <c r="G362" t="s">
        <v>956</v>
      </c>
      <c r="H362" t="s">
        <v>1052</v>
      </c>
      <c r="I362" t="s">
        <v>260</v>
      </c>
      <c r="J362" s="30" t="s">
        <v>45</v>
      </c>
      <c r="K362" s="30" t="s">
        <v>27</v>
      </c>
      <c r="L362" s="30"/>
      <c r="M362" s="30" t="s">
        <v>711</v>
      </c>
      <c r="N362" s="30"/>
      <c r="O362" s="31">
        <f>COUNTIF(S362:AT362,"")</f>
        <v>28</v>
      </c>
      <c r="P362" s="136" t="s">
        <v>1833</v>
      </c>
      <c r="Q362" s="31">
        <f>COUNTIF(S362:AT362,"APAGADO")</f>
        <v>0</v>
      </c>
      <c r="R362" s="32">
        <f>(O362)/(Q362+O362)</f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ht="15.75" thickBot="1" x14ac:dyDescent="0.3">
      <c r="A363">
        <v>1</v>
      </c>
      <c r="B363">
        <v>19</v>
      </c>
      <c r="C363"/>
      <c r="D363"/>
      <c r="E363" t="s">
        <v>2346</v>
      </c>
      <c r="F363" t="s">
        <v>264</v>
      </c>
      <c r="G363" t="s">
        <v>955</v>
      </c>
      <c r="H363" t="s">
        <v>1052</v>
      </c>
      <c r="I363" t="s">
        <v>279</v>
      </c>
      <c r="J363" s="30" t="s">
        <v>72</v>
      </c>
      <c r="K363" s="30" t="s">
        <v>27</v>
      </c>
      <c r="L363" s="30"/>
      <c r="M363" s="30" t="s">
        <v>720</v>
      </c>
      <c r="N363" s="30"/>
      <c r="O363" s="31">
        <f>COUNTIF(S363:AT363,"")</f>
        <v>28</v>
      </c>
      <c r="P363" s="136" t="s">
        <v>1832</v>
      </c>
      <c r="Q363" s="31">
        <f>COUNTIF(S363:AT363,"APAGADO")</f>
        <v>0</v>
      </c>
      <c r="R363" s="32">
        <f>(O363)/(Q363+O363)</f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thickBot="1" x14ac:dyDescent="0.3">
      <c r="A364">
        <v>1</v>
      </c>
      <c r="B364">
        <v>19</v>
      </c>
      <c r="C364"/>
      <c r="D364"/>
      <c r="E364" t="s">
        <v>2346</v>
      </c>
      <c r="F364" t="s">
        <v>264</v>
      </c>
      <c r="G364" t="s">
        <v>954</v>
      </c>
      <c r="H364" t="s">
        <v>1052</v>
      </c>
      <c r="I364" t="s">
        <v>279</v>
      </c>
      <c r="J364" s="30" t="s">
        <v>72</v>
      </c>
      <c r="K364" s="30" t="s">
        <v>27</v>
      </c>
      <c r="L364" s="30"/>
      <c r="M364" s="30" t="s">
        <v>719</v>
      </c>
      <c r="N364" s="30"/>
      <c r="O364" s="31">
        <f>COUNTIF(S364:AT364,"")</f>
        <v>28</v>
      </c>
      <c r="P364" s="136" t="s">
        <v>1831</v>
      </c>
      <c r="Q364" s="31">
        <f>COUNTIF(S364:AT364,"APAGADO")</f>
        <v>0</v>
      </c>
      <c r="R364" s="32">
        <f>(O364)/(Q364+O364)</f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s="73" customFormat="1" ht="15.75" thickBot="1" x14ac:dyDescent="0.3">
      <c r="A365">
        <v>1</v>
      </c>
      <c r="B365">
        <v>19</v>
      </c>
      <c r="C365"/>
      <c r="D365"/>
      <c r="E365" t="s">
        <v>2346</v>
      </c>
      <c r="F365" t="s">
        <v>264</v>
      </c>
      <c r="G365" t="s">
        <v>953</v>
      </c>
      <c r="H365" t="s">
        <v>1052</v>
      </c>
      <c r="I365" t="s">
        <v>276</v>
      </c>
      <c r="J365" s="30" t="s">
        <v>18</v>
      </c>
      <c r="K365" s="30" t="s">
        <v>27</v>
      </c>
      <c r="L365" s="30"/>
      <c r="M365" s="30" t="s">
        <v>1466</v>
      </c>
      <c r="N365" s="30"/>
      <c r="O365" s="31">
        <f>COUNTIF(S365:AT365,"")</f>
        <v>28</v>
      </c>
      <c r="P365" s="136" t="s">
        <v>1830</v>
      </c>
      <c r="Q365" s="31">
        <f>COUNTIF(S365:AT365,"APAGADO")</f>
        <v>0</v>
      </c>
      <c r="R365" s="32">
        <f>(O365)/(Q365+O365)</f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thickBot="1" x14ac:dyDescent="0.3">
      <c r="A366">
        <v>1</v>
      </c>
      <c r="B366">
        <v>19</v>
      </c>
      <c r="C366"/>
      <c r="D366"/>
      <c r="E366" t="s">
        <v>2346</v>
      </c>
      <c r="F366" t="s">
        <v>264</v>
      </c>
      <c r="G366" t="s">
        <v>952</v>
      </c>
      <c r="H366" t="s">
        <v>1052</v>
      </c>
      <c r="I366" t="s">
        <v>1077</v>
      </c>
      <c r="J366" s="30" t="s">
        <v>18</v>
      </c>
      <c r="K366" s="30" t="s">
        <v>27</v>
      </c>
      <c r="L366" s="30"/>
      <c r="M366" s="30" t="s">
        <v>717</v>
      </c>
      <c r="N366" s="30"/>
      <c r="O366" s="31">
        <f>COUNTIF(S366:AT366,"")</f>
        <v>28</v>
      </c>
      <c r="P366" s="136" t="s">
        <v>1829</v>
      </c>
      <c r="Q366" s="31">
        <f>COUNTIF(S366:AT366,"APAGADO")</f>
        <v>0</v>
      </c>
      <c r="R366" s="32">
        <f>(O366)/(Q366+O366)</f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thickBot="1" x14ac:dyDescent="0.3">
      <c r="A367">
        <v>1</v>
      </c>
      <c r="B367">
        <v>19</v>
      </c>
      <c r="C367"/>
      <c r="D367"/>
      <c r="E367" t="s">
        <v>2346</v>
      </c>
      <c r="F367" t="s">
        <v>264</v>
      </c>
      <c r="G367" t="s">
        <v>951</v>
      </c>
      <c r="H367" t="s">
        <v>1052</v>
      </c>
      <c r="I367" t="s">
        <v>269</v>
      </c>
      <c r="J367" s="30" t="s">
        <v>72</v>
      </c>
      <c r="K367" s="30" t="s">
        <v>27</v>
      </c>
      <c r="L367" s="30"/>
      <c r="M367" s="30" t="s">
        <v>715</v>
      </c>
      <c r="N367" s="30"/>
      <c r="O367" s="31">
        <f>COUNTIF(S367:AT367,"")</f>
        <v>28</v>
      </c>
      <c r="P367" s="136" t="s">
        <v>1828</v>
      </c>
      <c r="Q367" s="31">
        <f>COUNTIF(S367:AT367,"APAGADO")</f>
        <v>0</v>
      </c>
      <c r="R367" s="32">
        <f>(O367)/(Q367+O367)</f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thickBot="1" x14ac:dyDescent="0.3">
      <c r="A368"/>
      <c r="B368"/>
      <c r="C368"/>
      <c r="D368"/>
      <c r="E368"/>
      <c r="F368" s="73" t="s">
        <v>255</v>
      </c>
      <c r="G368" s="73" t="s">
        <v>2236</v>
      </c>
      <c r="H368" s="73" t="s">
        <v>1053</v>
      </c>
      <c r="I368" s="73" t="s">
        <v>2237</v>
      </c>
      <c r="J368" s="84" t="s">
        <v>14</v>
      </c>
      <c r="K368" s="84" t="s">
        <v>1291</v>
      </c>
      <c r="L368" s="84"/>
      <c r="M368" s="84" t="s">
        <v>2299</v>
      </c>
      <c r="N368" s="84"/>
      <c r="O368" s="131">
        <f>COUNTIF(S368:AT368,"")</f>
        <v>28</v>
      </c>
      <c r="P368" s="136" t="s">
        <v>2238</v>
      </c>
      <c r="Q368" s="131">
        <f>COUNTIF(S368:AT368,"APAGADO")</f>
        <v>0</v>
      </c>
      <c r="R368" s="132">
        <f>(O368)/(Q368+O368)</f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thickBot="1" x14ac:dyDescent="0.3">
      <c r="A369"/>
      <c r="B369"/>
      <c r="C369"/>
      <c r="D369"/>
      <c r="E369"/>
      <c r="F369" s="73" t="s">
        <v>255</v>
      </c>
      <c r="G369" s="73" t="s">
        <v>259</v>
      </c>
      <c r="H369" s="73" t="s">
        <v>1053</v>
      </c>
      <c r="I369" s="73" t="s">
        <v>258</v>
      </c>
      <c r="J369" s="84" t="s">
        <v>72</v>
      </c>
      <c r="K369" s="84" t="s">
        <v>1291</v>
      </c>
      <c r="L369" s="84"/>
      <c r="M369" s="84" t="s">
        <v>710</v>
      </c>
      <c r="N369" s="84"/>
      <c r="O369" s="131">
        <f>COUNTIF(S369:AT369,"")</f>
        <v>26</v>
      </c>
      <c r="P369" s="136" t="s">
        <v>1827</v>
      </c>
      <c r="Q369" s="131">
        <f>COUNTIF(S369:AT369,"APAGADO")</f>
        <v>2</v>
      </c>
      <c r="R369" s="132">
        <f>(O369)/(Q369+O369)</f>
        <v>0.9285714285714286</v>
      </c>
      <c r="S369" s="70"/>
      <c r="T369" s="70"/>
      <c r="U369" s="70"/>
      <c r="V369" s="70"/>
      <c r="W369" s="70"/>
      <c r="X369" s="70" t="s">
        <v>2240</v>
      </c>
      <c r="Y369" s="70" t="s">
        <v>2240</v>
      </c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thickBot="1" x14ac:dyDescent="0.3">
      <c r="A370"/>
      <c r="B370"/>
      <c r="C370"/>
      <c r="D370"/>
      <c r="E370"/>
      <c r="F370" s="73" t="s">
        <v>255</v>
      </c>
      <c r="G370" s="73" t="s">
        <v>257</v>
      </c>
      <c r="H370" s="73" t="s">
        <v>1053</v>
      </c>
      <c r="I370" s="73" t="s">
        <v>258</v>
      </c>
      <c r="J370" s="84" t="s">
        <v>72</v>
      </c>
      <c r="K370" s="84" t="s">
        <v>1291</v>
      </c>
      <c r="L370" s="84"/>
      <c r="M370" s="84" t="s">
        <v>709</v>
      </c>
      <c r="N370" s="84"/>
      <c r="O370" s="131">
        <f>COUNTIF(S370:AT370,"")</f>
        <v>26</v>
      </c>
      <c r="P370" s="136" t="s">
        <v>1826</v>
      </c>
      <c r="Q370" s="131">
        <f>COUNTIF(S370:AT370,"APAGADO")</f>
        <v>2</v>
      </c>
      <c r="R370" s="132">
        <f>(O370)/(Q370+O370)</f>
        <v>0.9285714285714286</v>
      </c>
      <c r="S370" s="70"/>
      <c r="T370" s="70"/>
      <c r="U370" s="70"/>
      <c r="V370" s="70"/>
      <c r="W370" s="70"/>
      <c r="X370" s="70" t="s">
        <v>2240</v>
      </c>
      <c r="Y370" s="70" t="s">
        <v>2240</v>
      </c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thickBot="1" x14ac:dyDescent="0.3">
      <c r="A371"/>
      <c r="B371"/>
      <c r="C371"/>
      <c r="D371"/>
      <c r="E371"/>
      <c r="F371" s="73" t="s">
        <v>255</v>
      </c>
      <c r="G371" s="73" t="s">
        <v>950</v>
      </c>
      <c r="H371" s="73" t="s">
        <v>1053</v>
      </c>
      <c r="I371" s="73" t="s">
        <v>256</v>
      </c>
      <c r="J371" s="84" t="s">
        <v>14</v>
      </c>
      <c r="K371" s="84" t="s">
        <v>1291</v>
      </c>
      <c r="L371" s="84"/>
      <c r="M371" s="84" t="s">
        <v>708</v>
      </c>
      <c r="N371" s="84"/>
      <c r="O371" s="131">
        <f>COUNTIF(S371:AT371,"")</f>
        <v>26</v>
      </c>
      <c r="P371" s="136" t="s">
        <v>1825</v>
      </c>
      <c r="Q371" s="131">
        <f>COUNTIF(S371:AT371,"APAGADO")</f>
        <v>2</v>
      </c>
      <c r="R371" s="132">
        <f>(O371)/(Q371+O371)</f>
        <v>0.9285714285714286</v>
      </c>
      <c r="S371" s="70"/>
      <c r="T371" s="70"/>
      <c r="U371" s="70"/>
      <c r="V371" s="70"/>
      <c r="W371" s="70"/>
      <c r="X371" s="70" t="s">
        <v>2240</v>
      </c>
      <c r="Y371" s="70" t="s">
        <v>2240</v>
      </c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thickBot="1" x14ac:dyDescent="0.3">
      <c r="A372"/>
      <c r="B372"/>
      <c r="C372"/>
      <c r="D372"/>
      <c r="E372"/>
      <c r="F372" s="73" t="s">
        <v>251</v>
      </c>
      <c r="G372" s="73" t="s">
        <v>2242</v>
      </c>
      <c r="H372" s="73" t="s">
        <v>1052</v>
      </c>
      <c r="I372" s="73" t="s">
        <v>2243</v>
      </c>
      <c r="J372" s="84" t="s">
        <v>14</v>
      </c>
      <c r="K372" s="84" t="s">
        <v>1291</v>
      </c>
      <c r="L372" s="84"/>
      <c r="M372" s="84" t="s">
        <v>2298</v>
      </c>
      <c r="N372" s="84"/>
      <c r="O372" s="131">
        <f>COUNTIF(S372:AT372,"")</f>
        <v>28</v>
      </c>
      <c r="P372" s="136" t="s">
        <v>2244</v>
      </c>
      <c r="Q372" s="131">
        <f>COUNTIF(S372:AT372,"APAGADO")</f>
        <v>0</v>
      </c>
      <c r="R372" s="132">
        <f>(O372)/(Q372+O372)</f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ht="15.75" thickBot="1" x14ac:dyDescent="0.3">
      <c r="A373"/>
      <c r="B373"/>
      <c r="C373"/>
      <c r="D373"/>
      <c r="E373"/>
      <c r="F373" s="73" t="s">
        <v>251</v>
      </c>
      <c r="G373" s="73" t="s">
        <v>1576</v>
      </c>
      <c r="H373" s="73" t="s">
        <v>1052</v>
      </c>
      <c r="I373" s="73" t="s">
        <v>1577</v>
      </c>
      <c r="J373" s="84" t="s">
        <v>14</v>
      </c>
      <c r="K373" s="84" t="s">
        <v>1291</v>
      </c>
      <c r="L373" s="84"/>
      <c r="M373" s="84" t="s">
        <v>1578</v>
      </c>
      <c r="N373" s="84"/>
      <c r="O373" s="131">
        <f>COUNTIF(S373:AT373,"")</f>
        <v>19</v>
      </c>
      <c r="P373" s="136"/>
      <c r="Q373" s="131">
        <f>COUNTIF(S373:AT373,"APAGADO")</f>
        <v>9</v>
      </c>
      <c r="R373" s="132">
        <f>(O373)/(Q373+O373)</f>
        <v>0.6785714285714286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 t="s">
        <v>2240</v>
      </c>
      <c r="AI373" s="70" t="s">
        <v>2240</v>
      </c>
      <c r="AJ373" s="70"/>
      <c r="AK373" s="70"/>
      <c r="AL373" s="70" t="s">
        <v>2240</v>
      </c>
      <c r="AM373" s="70" t="s">
        <v>2240</v>
      </c>
      <c r="AN373" s="70" t="s">
        <v>2240</v>
      </c>
      <c r="AO373" s="70" t="s">
        <v>2240</v>
      </c>
      <c r="AP373" s="70" t="s">
        <v>2240</v>
      </c>
      <c r="AQ373" s="70"/>
      <c r="AR373" s="70"/>
      <c r="AS373" s="70" t="s">
        <v>2240</v>
      </c>
      <c r="AT373" s="70" t="s">
        <v>2240</v>
      </c>
      <c r="AU373" s="70" t="s">
        <v>2240</v>
      </c>
      <c r="AV373" s="70" t="s">
        <v>2240</v>
      </c>
    </row>
    <row r="374" spans="1:48" s="73" customFormat="1" ht="15.75" thickBot="1" x14ac:dyDescent="0.3">
      <c r="A374"/>
      <c r="B374"/>
      <c r="C374"/>
      <c r="D374"/>
      <c r="E374"/>
      <c r="F374" s="73" t="s">
        <v>251</v>
      </c>
      <c r="G374" s="73" t="s">
        <v>1407</v>
      </c>
      <c r="H374" s="73" t="s">
        <v>1052</v>
      </c>
      <c r="I374" s="73" t="s">
        <v>1408</v>
      </c>
      <c r="J374" s="84" t="s">
        <v>14</v>
      </c>
      <c r="K374" s="84" t="s">
        <v>1291</v>
      </c>
      <c r="L374" s="84"/>
      <c r="M374" s="84" t="s">
        <v>1409</v>
      </c>
      <c r="N374" s="84"/>
      <c r="O374" s="131">
        <f>COUNTIF(S374:AT374,"")</f>
        <v>28</v>
      </c>
      <c r="P374" s="136" t="s">
        <v>1824</v>
      </c>
      <c r="Q374" s="131">
        <f>COUNTIF(S374:AT374,"APAGADO")</f>
        <v>0</v>
      </c>
      <c r="R374" s="132">
        <f>(O374)/(Q374+O374)</f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s="73" customFormat="1" ht="15.75" thickBot="1" x14ac:dyDescent="0.3">
      <c r="A375"/>
      <c r="B375"/>
      <c r="C375"/>
      <c r="D375"/>
      <c r="E375"/>
      <c r="F375" s="73" t="s">
        <v>251</v>
      </c>
      <c r="G375" s="73" t="s">
        <v>1313</v>
      </c>
      <c r="H375" s="73" t="s">
        <v>1052</v>
      </c>
      <c r="I375" s="73" t="s">
        <v>1317</v>
      </c>
      <c r="J375" s="84" t="s">
        <v>14</v>
      </c>
      <c r="K375" s="84" t="s">
        <v>1291</v>
      </c>
      <c r="L375" s="84"/>
      <c r="M375" s="84" t="s">
        <v>1322</v>
      </c>
      <c r="N375" s="84"/>
      <c r="O375" s="131">
        <f>COUNTIF(S375:AT375,"")</f>
        <v>28</v>
      </c>
      <c r="P375" s="136" t="s">
        <v>1823</v>
      </c>
      <c r="Q375" s="131">
        <f>COUNTIF(S375:AT375,"APAGADO")</f>
        <v>0</v>
      </c>
      <c r="R375" s="132">
        <f>(O375)/(Q375+O375)</f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s="73" customFormat="1" ht="15.75" thickBot="1" x14ac:dyDescent="0.3">
      <c r="A376">
        <v>10</v>
      </c>
      <c r="B376">
        <v>14</v>
      </c>
      <c r="C376"/>
      <c r="D376"/>
      <c r="E376" t="s">
        <v>2360</v>
      </c>
      <c r="F376" t="s">
        <v>251</v>
      </c>
      <c r="G376" t="s">
        <v>254</v>
      </c>
      <c r="H376" t="s">
        <v>1052</v>
      </c>
      <c r="I376" t="s">
        <v>253</v>
      </c>
      <c r="J376" s="30" t="s">
        <v>45</v>
      </c>
      <c r="K376" s="30" t="s">
        <v>27</v>
      </c>
      <c r="L376" s="30"/>
      <c r="M376" s="30" t="s">
        <v>694</v>
      </c>
      <c r="N376" s="30"/>
      <c r="O376" s="31">
        <f>COUNTIF(S376:AT376,"")</f>
        <v>28</v>
      </c>
      <c r="P376" s="136" t="s">
        <v>1822</v>
      </c>
      <c r="Q376" s="31">
        <f>COUNTIF(S376:AT376,"APAGADO")</f>
        <v>0</v>
      </c>
      <c r="R376" s="32">
        <f>(O376)/(Q376+O376)</f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s="73" customFormat="1" ht="15.75" thickBot="1" x14ac:dyDescent="0.3">
      <c r="A377">
        <v>10</v>
      </c>
      <c r="B377">
        <v>14</v>
      </c>
      <c r="C377"/>
      <c r="D377"/>
      <c r="E377" t="s">
        <v>2360</v>
      </c>
      <c r="F377" t="s">
        <v>251</v>
      </c>
      <c r="G377" t="s">
        <v>252</v>
      </c>
      <c r="H377" t="s">
        <v>1052</v>
      </c>
      <c r="I377" t="s">
        <v>253</v>
      </c>
      <c r="J377" s="30" t="s">
        <v>72</v>
      </c>
      <c r="K377" s="30" t="s">
        <v>27</v>
      </c>
      <c r="L377" s="30"/>
      <c r="M377" s="30" t="s">
        <v>707</v>
      </c>
      <c r="N377" s="30"/>
      <c r="O377" s="31">
        <f>COUNTIF(S377:AT377,"")</f>
        <v>28</v>
      </c>
      <c r="P377" s="136" t="s">
        <v>1821</v>
      </c>
      <c r="Q377" s="31">
        <f>COUNTIF(S377:AT377,"APAGADO")</f>
        <v>0</v>
      </c>
      <c r="R377" s="32">
        <f>(O377)/(Q377+O377)</f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ht="15.75" thickBot="1" x14ac:dyDescent="0.3">
      <c r="A378"/>
      <c r="B378"/>
      <c r="C378"/>
      <c r="D378"/>
      <c r="E378"/>
      <c r="F378" s="73" t="s">
        <v>167</v>
      </c>
      <c r="G378" s="73" t="s">
        <v>249</v>
      </c>
      <c r="H378" s="73" t="s">
        <v>1052</v>
      </c>
      <c r="I378" s="73" t="s">
        <v>250</v>
      </c>
      <c r="J378" s="84" t="s">
        <v>18</v>
      </c>
      <c r="K378" s="84" t="s">
        <v>1291</v>
      </c>
      <c r="L378" s="84"/>
      <c r="M378" s="84" t="s">
        <v>1404</v>
      </c>
      <c r="N378" s="84"/>
      <c r="O378" s="131">
        <f>COUNTIF(S378:AT378,"")</f>
        <v>28</v>
      </c>
      <c r="P378" s="136" t="s">
        <v>1820</v>
      </c>
      <c r="Q378" s="131">
        <f>COUNTIF(S378:AT378,"APAGADO")</f>
        <v>0</v>
      </c>
      <c r="R378" s="132">
        <f>(O378)/(Q378+O378)</f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ht="15.75" thickBot="1" x14ac:dyDescent="0.3">
      <c r="A379">
        <v>10</v>
      </c>
      <c r="B379">
        <v>14</v>
      </c>
      <c r="C379"/>
      <c r="D379"/>
      <c r="E379" t="s">
        <v>2360</v>
      </c>
      <c r="F379" t="s">
        <v>1428</v>
      </c>
      <c r="G379" t="s">
        <v>949</v>
      </c>
      <c r="H379" t="s">
        <v>1052</v>
      </c>
      <c r="I379" t="s">
        <v>1076</v>
      </c>
      <c r="J379" s="30" t="s">
        <v>18</v>
      </c>
      <c r="K379" s="30" t="s">
        <v>1046</v>
      </c>
      <c r="L379" s="30"/>
      <c r="M379" s="30" t="s">
        <v>2297</v>
      </c>
      <c r="N379" s="30"/>
      <c r="O379" s="31">
        <f>COUNTIF(S379:AT379,"")</f>
        <v>28</v>
      </c>
      <c r="P379" s="136" t="s">
        <v>1819</v>
      </c>
      <c r="Q379" s="31">
        <f>COUNTIF(S379:AT379,"APAGADO")</f>
        <v>0</v>
      </c>
      <c r="R379" s="32">
        <f>(O379)/(Q379+O379)</f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thickBot="1" x14ac:dyDescent="0.3">
      <c r="A380"/>
      <c r="B380"/>
      <c r="C380"/>
      <c r="D380"/>
      <c r="E380"/>
      <c r="F380" t="s">
        <v>196</v>
      </c>
      <c r="G380" t="s">
        <v>1176</v>
      </c>
      <c r="H380" t="s">
        <v>1053</v>
      </c>
      <c r="I380" t="s">
        <v>1177</v>
      </c>
      <c r="J380" s="30" t="s">
        <v>72</v>
      </c>
      <c r="K380" s="30" t="s">
        <v>19</v>
      </c>
      <c r="L380" s="30"/>
      <c r="M380" s="30" t="s">
        <v>1261</v>
      </c>
      <c r="N380" s="30"/>
      <c r="O380" s="31">
        <f>COUNTIF(S380:AT380,"")</f>
        <v>27</v>
      </c>
      <c r="P380" s="136"/>
      <c r="Q380" s="31">
        <f>COUNTIF(S380:AT380,"APAGADO")</f>
        <v>1</v>
      </c>
      <c r="R380" s="32">
        <f>(O380)/(Q380+O380)</f>
        <v>0.9642857142857143</v>
      </c>
      <c r="S380" s="70" t="s">
        <v>2240</v>
      </c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s="73" customFormat="1" ht="15.75" thickBot="1" x14ac:dyDescent="0.3">
      <c r="A381"/>
      <c r="B381"/>
      <c r="C381"/>
      <c r="D381"/>
      <c r="E381"/>
      <c r="F381" t="s">
        <v>196</v>
      </c>
      <c r="G381" t="s">
        <v>1174</v>
      </c>
      <c r="H381" t="s">
        <v>1053</v>
      </c>
      <c r="I381" t="s">
        <v>1175</v>
      </c>
      <c r="J381" s="30" t="s">
        <v>72</v>
      </c>
      <c r="K381" s="30" t="s">
        <v>19</v>
      </c>
      <c r="L381" s="30"/>
      <c r="M381" s="30" t="s">
        <v>1260</v>
      </c>
      <c r="N381" s="30"/>
      <c r="O381" s="31">
        <f>COUNTIF(S381:AT381,"")</f>
        <v>27</v>
      </c>
      <c r="P381" s="136"/>
      <c r="Q381" s="31">
        <f>COUNTIF(S381:AT381,"APAGADO")</f>
        <v>1</v>
      </c>
      <c r="R381" s="32">
        <f>(O381)/(Q381+O381)</f>
        <v>0.9642857142857143</v>
      </c>
      <c r="S381" s="70" t="s">
        <v>2240</v>
      </c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thickBot="1" x14ac:dyDescent="0.3">
      <c r="A382"/>
      <c r="B382"/>
      <c r="C382"/>
      <c r="D382"/>
      <c r="E382"/>
      <c r="F382" t="s">
        <v>100</v>
      </c>
      <c r="G382" t="s">
        <v>2228</v>
      </c>
      <c r="H382" t="s">
        <v>1052</v>
      </c>
      <c r="I382" t="s">
        <v>2229</v>
      </c>
      <c r="J382" s="30" t="s">
        <v>14</v>
      </c>
      <c r="K382" s="84" t="s">
        <v>1291</v>
      </c>
      <c r="L382" s="30"/>
      <c r="M382" s="30" t="s">
        <v>2230</v>
      </c>
      <c r="N382" s="30"/>
      <c r="O382" s="131">
        <f>COUNTIF(S382:AT382,"")</f>
        <v>28</v>
      </c>
      <c r="P382" s="136" t="s">
        <v>2231</v>
      </c>
      <c r="Q382" s="131">
        <f>COUNTIF(S382:AT382,"APAGADO")</f>
        <v>0</v>
      </c>
      <c r="R382" s="132">
        <f>(O382)/(Q382+O382)</f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8" ht="15.75" thickBot="1" x14ac:dyDescent="0.3">
      <c r="A383"/>
      <c r="B383"/>
      <c r="C383"/>
      <c r="D383"/>
      <c r="E383"/>
      <c r="F383" t="s">
        <v>100</v>
      </c>
      <c r="G383" t="s">
        <v>1501</v>
      </c>
      <c r="H383" t="s">
        <v>1052</v>
      </c>
      <c r="I383" t="s">
        <v>1502</v>
      </c>
      <c r="J383" s="30" t="s">
        <v>14</v>
      </c>
      <c r="K383" s="30" t="s">
        <v>27</v>
      </c>
      <c r="L383" s="30"/>
      <c r="M383" s="30" t="s">
        <v>1503</v>
      </c>
      <c r="N383" s="30"/>
      <c r="O383" s="131">
        <f>COUNTIF(S383:AT383,"")</f>
        <v>26</v>
      </c>
      <c r="P383" s="136" t="s">
        <v>1818</v>
      </c>
      <c r="Q383" s="131">
        <f>COUNTIF(S383:AT383,"APAGADO")</f>
        <v>2</v>
      </c>
      <c r="R383" s="132">
        <f>(O383)/(Q383+O383)</f>
        <v>0.9285714285714286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 t="s">
        <v>2240</v>
      </c>
      <c r="AT383" s="70" t="s">
        <v>2240</v>
      </c>
      <c r="AU383" s="70" t="s">
        <v>2240</v>
      </c>
      <c r="AV383" s="70" t="s">
        <v>2240</v>
      </c>
    </row>
    <row r="384" spans="1:48" ht="15.75" thickBot="1" x14ac:dyDescent="0.3">
      <c r="A384"/>
      <c r="B384"/>
      <c r="C384"/>
      <c r="D384"/>
      <c r="E384"/>
      <c r="F384" s="73" t="s">
        <v>100</v>
      </c>
      <c r="G384" s="73" t="s">
        <v>247</v>
      </c>
      <c r="H384" s="73" t="s">
        <v>1052</v>
      </c>
      <c r="I384" s="73" t="s">
        <v>248</v>
      </c>
      <c r="J384" s="84" t="s">
        <v>14</v>
      </c>
      <c r="K384" s="84" t="s">
        <v>1291</v>
      </c>
      <c r="L384" s="84" t="s">
        <v>44</v>
      </c>
      <c r="M384" s="84" t="s">
        <v>2289</v>
      </c>
      <c r="N384" s="84"/>
      <c r="O384" s="131">
        <f>COUNTIF(S384:AT384,"")</f>
        <v>26</v>
      </c>
      <c r="P384" s="136" t="s">
        <v>1817</v>
      </c>
      <c r="Q384" s="131">
        <f>COUNTIF(S384:AT384,"APAGADO")</f>
        <v>2</v>
      </c>
      <c r="R384" s="132">
        <f>(O384)/(Q384+O384)</f>
        <v>0.9285714285714286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 t="s">
        <v>2240</v>
      </c>
      <c r="AT384" s="70" t="s">
        <v>2240</v>
      </c>
      <c r="AU384" s="70" t="s">
        <v>2240</v>
      </c>
      <c r="AV384" s="70" t="s">
        <v>2240</v>
      </c>
    </row>
    <row r="385" spans="1:48" ht="15.75" thickBot="1" x14ac:dyDescent="0.3">
      <c r="A385"/>
      <c r="B385"/>
      <c r="C385"/>
      <c r="D385"/>
      <c r="E385"/>
      <c r="F385" s="73" t="s">
        <v>100</v>
      </c>
      <c r="G385" s="73" t="s">
        <v>245</v>
      </c>
      <c r="H385" s="73" t="s">
        <v>1052</v>
      </c>
      <c r="I385" s="73" t="s">
        <v>246</v>
      </c>
      <c r="J385" s="84" t="s">
        <v>14</v>
      </c>
      <c r="K385" s="84" t="s">
        <v>1291</v>
      </c>
      <c r="L385" s="84" t="s">
        <v>44</v>
      </c>
      <c r="M385" s="84" t="s">
        <v>706</v>
      </c>
      <c r="N385" s="84"/>
      <c r="O385" s="131">
        <f>COUNTIF(S385:AT385,"")</f>
        <v>12</v>
      </c>
      <c r="P385" s="136" t="s">
        <v>1816</v>
      </c>
      <c r="Q385" s="131">
        <f>COUNTIF(S385:AT385,"APAGADO")</f>
        <v>16</v>
      </c>
      <c r="R385" s="132">
        <f>(O385)/(Q385+O385)</f>
        <v>0.42857142857142855</v>
      </c>
      <c r="S385" s="70" t="s">
        <v>2240</v>
      </c>
      <c r="T385" s="70"/>
      <c r="U385" s="70"/>
      <c r="V385" s="70"/>
      <c r="W385" s="70"/>
      <c r="X385" s="70" t="s">
        <v>2240</v>
      </c>
      <c r="Y385" s="70" t="s">
        <v>2240</v>
      </c>
      <c r="Z385" s="70" t="s">
        <v>2240</v>
      </c>
      <c r="AA385" s="70"/>
      <c r="AB385" s="70"/>
      <c r="AC385" s="70"/>
      <c r="AD385" s="70"/>
      <c r="AE385" s="70" t="s">
        <v>2240</v>
      </c>
      <c r="AF385" s="70" t="s">
        <v>2240</v>
      </c>
      <c r="AG385" s="142" t="s">
        <v>2240</v>
      </c>
      <c r="AH385" s="70" t="s">
        <v>2240</v>
      </c>
      <c r="AI385" s="70" t="s">
        <v>2240</v>
      </c>
      <c r="AJ385" s="70"/>
      <c r="AK385" s="70"/>
      <c r="AL385" s="70" t="s">
        <v>2240</v>
      </c>
      <c r="AM385" s="70" t="s">
        <v>2240</v>
      </c>
      <c r="AN385" s="70" t="s">
        <v>2240</v>
      </c>
      <c r="AO385" s="70" t="s">
        <v>2240</v>
      </c>
      <c r="AP385" s="70" t="s">
        <v>2240</v>
      </c>
      <c r="AQ385" s="70"/>
      <c r="AR385" s="70"/>
      <c r="AS385" s="70" t="s">
        <v>2240</v>
      </c>
      <c r="AT385" s="70" t="s">
        <v>2240</v>
      </c>
      <c r="AU385" s="70" t="s">
        <v>2240</v>
      </c>
      <c r="AV385" s="70" t="s">
        <v>2240</v>
      </c>
    </row>
    <row r="386" spans="1:48" ht="15.75" thickBot="1" x14ac:dyDescent="0.3">
      <c r="A386"/>
      <c r="B386"/>
      <c r="C386"/>
      <c r="D386"/>
      <c r="E386"/>
      <c r="F386" t="s">
        <v>100</v>
      </c>
      <c r="G386" t="s">
        <v>243</v>
      </c>
      <c r="H386" t="s">
        <v>1052</v>
      </c>
      <c r="I386" t="s">
        <v>244</v>
      </c>
      <c r="J386" s="30" t="s">
        <v>14</v>
      </c>
      <c r="K386" s="30" t="s">
        <v>1046</v>
      </c>
      <c r="L386" s="30" t="s">
        <v>44</v>
      </c>
      <c r="M386" s="30" t="s">
        <v>705</v>
      </c>
      <c r="N386" s="30"/>
      <c r="O386" s="31">
        <f>COUNTIF(S386:AT386,"")</f>
        <v>27</v>
      </c>
      <c r="P386" s="136" t="s">
        <v>1815</v>
      </c>
      <c r="Q386" s="31">
        <f>COUNTIF(S386:AT386,"APAGADO")</f>
        <v>1</v>
      </c>
      <c r="R386" s="32">
        <f>(O386)/(Q386+O386)</f>
        <v>0.9642857142857143</v>
      </c>
      <c r="S386" s="70"/>
      <c r="T386" s="70"/>
      <c r="U386" s="70"/>
      <c r="V386" s="70"/>
      <c r="W386" s="70"/>
      <c r="X386" s="70"/>
      <c r="Y386" s="70"/>
      <c r="Z386" s="70" t="s">
        <v>2240</v>
      </c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8" s="73" customFormat="1" ht="15.75" thickBot="1" x14ac:dyDescent="0.3">
      <c r="A387"/>
      <c r="B387"/>
      <c r="C387"/>
      <c r="D387"/>
      <c r="E387"/>
      <c r="F387" s="73" t="s">
        <v>216</v>
      </c>
      <c r="G387" s="73" t="s">
        <v>2174</v>
      </c>
      <c r="H387" s="73" t="s">
        <v>1052</v>
      </c>
      <c r="I387" s="73" t="s">
        <v>2175</v>
      </c>
      <c r="J387" s="84" t="s">
        <v>72</v>
      </c>
      <c r="K387" s="84" t="s">
        <v>1291</v>
      </c>
      <c r="M387" s="84" t="s">
        <v>2176</v>
      </c>
      <c r="N387" s="84"/>
      <c r="O387" s="131">
        <f>COUNTIF(S387:AT387,"")</f>
        <v>28</v>
      </c>
      <c r="P387" s="136" t="s">
        <v>2177</v>
      </c>
      <c r="Q387" s="131">
        <f>COUNTIF(S387:AT387,"APAGADO")</f>
        <v>0</v>
      </c>
      <c r="R387" s="132">
        <f>(O387)/(Q387+O387)</f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8" s="88" customFormat="1" ht="15.75" thickBot="1" x14ac:dyDescent="0.3">
      <c r="A388"/>
      <c r="B388"/>
      <c r="C388"/>
      <c r="D388"/>
      <c r="E388"/>
      <c r="F388" s="73" t="s">
        <v>216</v>
      </c>
      <c r="G388" s="73" t="s">
        <v>1572</v>
      </c>
      <c r="H388" s="73" t="s">
        <v>1052</v>
      </c>
      <c r="I388" s="73" t="s">
        <v>1573</v>
      </c>
      <c r="J388" s="84" t="s">
        <v>72</v>
      </c>
      <c r="K388" s="84" t="s">
        <v>1291</v>
      </c>
      <c r="L388" s="73"/>
      <c r="M388" s="84" t="s">
        <v>1574</v>
      </c>
      <c r="N388" s="84"/>
      <c r="O388" s="131">
        <f>COUNTIF(S388:AT388,"")</f>
        <v>28</v>
      </c>
      <c r="P388" s="136" t="s">
        <v>1814</v>
      </c>
      <c r="Q388" s="131">
        <f>COUNTIF(S388:AT388,"APAGADO")</f>
        <v>0</v>
      </c>
      <c r="R388" s="132">
        <f>(O388)/(Q388+O388)</f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8" s="73" customFormat="1" ht="15.75" thickBot="1" x14ac:dyDescent="0.3">
      <c r="A389"/>
      <c r="B389"/>
      <c r="C389"/>
      <c r="D389"/>
      <c r="E389"/>
      <c r="F389" t="s">
        <v>216</v>
      </c>
      <c r="G389" t="s">
        <v>239</v>
      </c>
      <c r="H389" t="s">
        <v>1052</v>
      </c>
      <c r="I389" t="s">
        <v>240</v>
      </c>
      <c r="J389" s="30" t="s">
        <v>14</v>
      </c>
      <c r="K389" s="30" t="s">
        <v>27</v>
      </c>
      <c r="L389" s="30"/>
      <c r="M389" s="30" t="s">
        <v>698</v>
      </c>
      <c r="N389" s="30"/>
      <c r="O389" s="31">
        <f>COUNTIF(S389:AT389,"")</f>
        <v>27</v>
      </c>
      <c r="P389" s="136" t="s">
        <v>1807</v>
      </c>
      <c r="Q389" s="31">
        <f>COUNTIF(S389:AT389,"APAGADO")</f>
        <v>1</v>
      </c>
      <c r="R389" s="32">
        <f>(O389)/(Q389+O389)</f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2240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8" s="73" customFormat="1" ht="15.75" thickBot="1" x14ac:dyDescent="0.3">
      <c r="A390"/>
      <c r="B390"/>
      <c r="C390"/>
      <c r="D390"/>
      <c r="E390"/>
      <c r="F390" t="s">
        <v>216</v>
      </c>
      <c r="G390" t="s">
        <v>948</v>
      </c>
      <c r="H390" t="s">
        <v>1052</v>
      </c>
      <c r="I390" t="s">
        <v>220</v>
      </c>
      <c r="J390" s="30" t="s">
        <v>14</v>
      </c>
      <c r="K390" s="30" t="s">
        <v>1046</v>
      </c>
      <c r="L390" s="30"/>
      <c r="M390" s="30" t="s">
        <v>1202</v>
      </c>
      <c r="N390" s="30"/>
      <c r="O390" s="31">
        <f>COUNTIF(S390:AT390,"")</f>
        <v>27</v>
      </c>
      <c r="P390" s="136" t="s">
        <v>1805</v>
      </c>
      <c r="Q390" s="31">
        <f>COUNTIF(S390:AT390,"APAGADO")</f>
        <v>1</v>
      </c>
      <c r="R390" s="32">
        <f>(O390)/(Q390+O390)</f>
        <v>0.9642857142857143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2240</v>
      </c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8" ht="15.75" thickBot="1" x14ac:dyDescent="0.3">
      <c r="F391" t="s">
        <v>216</v>
      </c>
      <c r="G391" t="s">
        <v>947</v>
      </c>
      <c r="H391" t="s">
        <v>1052</v>
      </c>
      <c r="I391" t="s">
        <v>219</v>
      </c>
      <c r="J391" s="30" t="s">
        <v>14</v>
      </c>
      <c r="K391" s="30" t="s">
        <v>1291</v>
      </c>
      <c r="L391" s="30"/>
      <c r="M391" s="30" t="s">
        <v>1395</v>
      </c>
      <c r="N391" s="30"/>
      <c r="O391" s="31">
        <f>COUNTIF(S391:AT391,"")</f>
        <v>15</v>
      </c>
      <c r="P391" s="136" t="s">
        <v>1804</v>
      </c>
      <c r="Q391" s="31">
        <f>COUNTIF(S391:AT391,"APAGADO")</f>
        <v>13</v>
      </c>
      <c r="R391" s="32">
        <f>(O391)/(Q391+O391)</f>
        <v>0.5357142857142857</v>
      </c>
      <c r="S391" s="70"/>
      <c r="T391" s="70"/>
      <c r="U391" s="70"/>
      <c r="V391" s="70"/>
      <c r="W391" s="70"/>
      <c r="X391" s="70" t="s">
        <v>2240</v>
      </c>
      <c r="Y391" s="70" t="s">
        <v>2240</v>
      </c>
      <c r="Z391" s="70"/>
      <c r="AA391" s="70"/>
      <c r="AB391" s="70"/>
      <c r="AC391" s="70"/>
      <c r="AD391" s="70"/>
      <c r="AE391" s="70" t="s">
        <v>2240</v>
      </c>
      <c r="AF391" s="70"/>
      <c r="AG391" s="142" t="s">
        <v>2240</v>
      </c>
      <c r="AH391" s="70" t="s">
        <v>2240</v>
      </c>
      <c r="AI391" s="70" t="s">
        <v>2240</v>
      </c>
      <c r="AJ391" s="70"/>
      <c r="AK391" s="70"/>
      <c r="AL391" s="70" t="s">
        <v>2240</v>
      </c>
      <c r="AM391" s="70" t="s">
        <v>2240</v>
      </c>
      <c r="AN391" s="70" t="s">
        <v>2240</v>
      </c>
      <c r="AO391" s="70" t="s">
        <v>2240</v>
      </c>
      <c r="AP391" s="70" t="s">
        <v>2240</v>
      </c>
      <c r="AQ391" s="70"/>
      <c r="AR391" s="70"/>
      <c r="AS391" s="70" t="s">
        <v>2240</v>
      </c>
      <c r="AT391" s="70" t="s">
        <v>2240</v>
      </c>
      <c r="AU391" s="70" t="s">
        <v>2240</v>
      </c>
      <c r="AV391" s="70" t="s">
        <v>2240</v>
      </c>
    </row>
    <row r="392" spans="1:48" ht="15.75" thickBot="1" x14ac:dyDescent="0.3">
      <c r="A392"/>
      <c r="B392"/>
      <c r="C392"/>
      <c r="D392"/>
      <c r="E392"/>
      <c r="F392" t="s">
        <v>216</v>
      </c>
      <c r="G392" t="s">
        <v>237</v>
      </c>
      <c r="H392" t="s">
        <v>1052</v>
      </c>
      <c r="I392" t="s">
        <v>238</v>
      </c>
      <c r="J392" s="30" t="s">
        <v>14</v>
      </c>
      <c r="K392" s="30" t="s">
        <v>1291</v>
      </c>
      <c r="L392" s="30"/>
      <c r="M392" s="30" t="s">
        <v>2281</v>
      </c>
      <c r="N392" s="30"/>
      <c r="O392" s="31">
        <f>COUNTIF(S392:AT392,"")</f>
        <v>16</v>
      </c>
      <c r="P392" s="136"/>
      <c r="Q392" s="31">
        <f>COUNTIF(S392:AT392,"APAGADO")</f>
        <v>12</v>
      </c>
      <c r="R392" s="32">
        <f>(O392)/(Q392+O392)</f>
        <v>0.5714285714285714</v>
      </c>
      <c r="S392" s="70" t="s">
        <v>2240</v>
      </c>
      <c r="T392" s="138"/>
      <c r="U392" s="138"/>
      <c r="V392" s="138"/>
      <c r="W392" s="138"/>
      <c r="X392" s="70" t="s">
        <v>2240</v>
      </c>
      <c r="Y392" s="70" t="s">
        <v>2240</v>
      </c>
      <c r="Z392" s="70" t="s">
        <v>2240</v>
      </c>
      <c r="AA392" s="138"/>
      <c r="AB392" s="138"/>
      <c r="AC392" s="138"/>
      <c r="AD392" s="138"/>
      <c r="AE392" s="70" t="s">
        <v>2240</v>
      </c>
      <c r="AF392" s="70" t="s">
        <v>2240</v>
      </c>
      <c r="AG392" s="142" t="s">
        <v>2240</v>
      </c>
      <c r="AH392" s="70" t="s">
        <v>2240</v>
      </c>
      <c r="AI392" s="70" t="s">
        <v>2240</v>
      </c>
      <c r="AJ392" s="138"/>
      <c r="AK392" s="138"/>
      <c r="AL392" s="70" t="s">
        <v>2240</v>
      </c>
      <c r="AM392" s="70" t="s">
        <v>2240</v>
      </c>
      <c r="AN392" s="70" t="s">
        <v>2240</v>
      </c>
      <c r="AO392" s="138"/>
      <c r="AP392" s="138"/>
      <c r="AQ392" s="138"/>
      <c r="AR392" s="138"/>
      <c r="AS392" s="138"/>
      <c r="AT392" s="138"/>
      <c r="AU392" s="138"/>
      <c r="AV392" s="129"/>
    </row>
    <row r="393" spans="1:48" ht="15.75" thickBot="1" x14ac:dyDescent="0.3">
      <c r="A393"/>
      <c r="B393"/>
      <c r="C393"/>
      <c r="D393"/>
      <c r="E393"/>
      <c r="F393" t="s">
        <v>216</v>
      </c>
      <c r="G393" t="s">
        <v>235</v>
      </c>
      <c r="H393" t="s">
        <v>1052</v>
      </c>
      <c r="I393" t="s">
        <v>236</v>
      </c>
      <c r="J393" s="30" t="s">
        <v>18</v>
      </c>
      <c r="K393" s="30" t="s">
        <v>1046</v>
      </c>
      <c r="L393" s="30"/>
      <c r="M393" s="30" t="s">
        <v>2296</v>
      </c>
      <c r="N393" s="30"/>
      <c r="O393" s="31">
        <f>COUNTIF(S393:AT393,"")</f>
        <v>18</v>
      </c>
      <c r="P393" s="136" t="s">
        <v>1802</v>
      </c>
      <c r="Q393" s="31">
        <f>COUNTIF(S393:AT393,"APAGADO")</f>
        <v>10</v>
      </c>
      <c r="R393" s="32">
        <f>(O393)/(Q393+O393)</f>
        <v>0.6428571428571429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 t="s">
        <v>2240</v>
      </c>
      <c r="AH393" s="70" t="s">
        <v>2240</v>
      </c>
      <c r="AI393" s="70" t="s">
        <v>2240</v>
      </c>
      <c r="AJ393" s="70"/>
      <c r="AK393" s="70"/>
      <c r="AL393" s="70" t="s">
        <v>2240</v>
      </c>
      <c r="AM393" s="70" t="s">
        <v>2240</v>
      </c>
      <c r="AN393" s="70" t="s">
        <v>2240</v>
      </c>
      <c r="AO393" s="70" t="s">
        <v>2240</v>
      </c>
      <c r="AP393" s="70" t="s">
        <v>2240</v>
      </c>
      <c r="AQ393" s="70"/>
      <c r="AR393" s="70"/>
      <c r="AS393" s="70" t="s">
        <v>2240</v>
      </c>
      <c r="AT393" s="70" t="s">
        <v>2240</v>
      </c>
      <c r="AU393" s="70" t="s">
        <v>2240</v>
      </c>
      <c r="AV393" s="70" t="s">
        <v>2240</v>
      </c>
    </row>
    <row r="394" spans="1:48" s="69" customFormat="1" ht="15.75" thickBot="1" x14ac:dyDescent="0.3">
      <c r="A394"/>
      <c r="B394"/>
      <c r="C394"/>
      <c r="D394"/>
      <c r="E394"/>
      <c r="F394" t="s">
        <v>216</v>
      </c>
      <c r="G394" t="s">
        <v>233</v>
      </c>
      <c r="H394" t="s">
        <v>1052</v>
      </c>
      <c r="I394" t="s">
        <v>234</v>
      </c>
      <c r="J394" s="30" t="s">
        <v>18</v>
      </c>
      <c r="K394" s="30" t="s">
        <v>1046</v>
      </c>
      <c r="L394" s="30"/>
      <c r="M394" s="30" t="s">
        <v>2295</v>
      </c>
      <c r="N394" s="30"/>
      <c r="O394" s="31">
        <f>COUNTIF(S394:AT394,"")</f>
        <v>23</v>
      </c>
      <c r="P394" s="136" t="s">
        <v>1801</v>
      </c>
      <c r="Q394" s="31">
        <f>COUNTIF(S394:AT394,"APAGADO")</f>
        <v>5</v>
      </c>
      <c r="R394" s="32">
        <f>(O394)/(Q394+O394)</f>
        <v>0.8214285714285714</v>
      </c>
      <c r="S394" s="70"/>
      <c r="T394" s="70"/>
      <c r="U394" s="70"/>
      <c r="V394" s="70"/>
      <c r="W394" s="70"/>
      <c r="X394" s="70" t="s">
        <v>2240</v>
      </c>
      <c r="Y394" s="70" t="s">
        <v>2240</v>
      </c>
      <c r="Z394" s="70" t="s">
        <v>2240</v>
      </c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 t="s">
        <v>2240</v>
      </c>
      <c r="AP394" s="70" t="s">
        <v>2240</v>
      </c>
      <c r="AQ394" s="70"/>
      <c r="AR394" s="70"/>
      <c r="AS394" s="70"/>
      <c r="AT394" s="70"/>
      <c r="AU394" s="70"/>
      <c r="AV394" s="129"/>
    </row>
    <row r="395" spans="1:48" s="69" customFormat="1" ht="15.75" thickBot="1" x14ac:dyDescent="0.3">
      <c r="A395"/>
      <c r="B395"/>
      <c r="C395"/>
      <c r="D395"/>
      <c r="E395"/>
      <c r="F395" t="s">
        <v>216</v>
      </c>
      <c r="G395" t="s">
        <v>231</v>
      </c>
      <c r="H395" t="s">
        <v>1052</v>
      </c>
      <c r="I395" t="s">
        <v>232</v>
      </c>
      <c r="J395" s="30" t="s">
        <v>18</v>
      </c>
      <c r="K395" s="30" t="s">
        <v>1046</v>
      </c>
      <c r="L395" s="30"/>
      <c r="M395" s="30" t="s">
        <v>1397</v>
      </c>
      <c r="N395" s="30"/>
      <c r="O395" s="31">
        <f>COUNTIF(S395:AT395,"")</f>
        <v>27</v>
      </c>
      <c r="P395" s="136" t="s">
        <v>1800</v>
      </c>
      <c r="Q395" s="31">
        <f>COUNTIF(S395:AT395,"APAGADO")</f>
        <v>1</v>
      </c>
      <c r="R395" s="32">
        <f>(O395)/(Q395+O395)</f>
        <v>0.9642857142857143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 t="s">
        <v>2240</v>
      </c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</row>
    <row r="396" spans="1:48" ht="15.75" thickBot="1" x14ac:dyDescent="0.3">
      <c r="A396"/>
      <c r="B396"/>
      <c r="C396"/>
      <c r="D396"/>
      <c r="E396"/>
      <c r="F396" s="73" t="s">
        <v>167</v>
      </c>
      <c r="G396" s="73" t="s">
        <v>229</v>
      </c>
      <c r="H396" s="73" t="s">
        <v>1052</v>
      </c>
      <c r="I396" s="73" t="s">
        <v>230</v>
      </c>
      <c r="J396" s="84" t="s">
        <v>18</v>
      </c>
      <c r="K396" s="84" t="s">
        <v>1291</v>
      </c>
      <c r="L396" s="84"/>
      <c r="M396" s="84" t="s">
        <v>1415</v>
      </c>
      <c r="N396" s="84"/>
      <c r="O396" s="131">
        <f>COUNTIF(S396:AT396,"")</f>
        <v>21</v>
      </c>
      <c r="P396" s="136" t="s">
        <v>1799</v>
      </c>
      <c r="Q396" s="131">
        <f>COUNTIF(S396:AT396,"APAGADO")</f>
        <v>7</v>
      </c>
      <c r="R396" s="132">
        <f>(O396)/(Q396+O396)</f>
        <v>0.75</v>
      </c>
      <c r="S396" s="70" t="s">
        <v>2240</v>
      </c>
      <c r="T396" s="70"/>
      <c r="U396" s="70"/>
      <c r="V396" s="70"/>
      <c r="W396" s="70"/>
      <c r="X396" s="70" t="s">
        <v>2240</v>
      </c>
      <c r="Y396" s="70" t="s">
        <v>2240</v>
      </c>
      <c r="Z396" s="70" t="s">
        <v>2240</v>
      </c>
      <c r="AA396" s="70"/>
      <c r="AB396" s="70"/>
      <c r="AC396" s="70"/>
      <c r="AD396" s="70"/>
      <c r="AE396" s="70" t="s">
        <v>2240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 t="s">
        <v>2240</v>
      </c>
      <c r="AT396" s="70" t="s">
        <v>2240</v>
      </c>
      <c r="AU396" s="70" t="s">
        <v>2240</v>
      </c>
      <c r="AV396" s="70" t="s">
        <v>2240</v>
      </c>
    </row>
    <row r="397" spans="1:48" ht="15.75" thickBot="1" x14ac:dyDescent="0.3">
      <c r="A397"/>
      <c r="B397"/>
      <c r="C397"/>
      <c r="D397"/>
      <c r="E397"/>
      <c r="F397" s="73" t="s">
        <v>226</v>
      </c>
      <c r="G397" s="73" t="s">
        <v>227</v>
      </c>
      <c r="H397" s="73" t="s">
        <v>1052</v>
      </c>
      <c r="I397" s="73" t="s">
        <v>228</v>
      </c>
      <c r="J397" s="84" t="s">
        <v>14</v>
      </c>
      <c r="K397" s="84" t="s">
        <v>1291</v>
      </c>
      <c r="L397" s="84"/>
      <c r="M397" s="84" t="s">
        <v>1380</v>
      </c>
      <c r="N397" s="84"/>
      <c r="O397" s="131">
        <f>COUNTIF(S397:AT397,"")</f>
        <v>28</v>
      </c>
      <c r="P397" s="136" t="s">
        <v>1798</v>
      </c>
      <c r="Q397" s="131">
        <f>COUNTIF(S397:AT397,"APAGADO")</f>
        <v>0</v>
      </c>
      <c r="R397" s="132">
        <f>(O397)/(Q397+O397)</f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8" ht="15.75" thickBot="1" x14ac:dyDescent="0.3">
      <c r="A398"/>
      <c r="B398"/>
      <c r="C398"/>
      <c r="D398"/>
      <c r="E398"/>
      <c r="F398" s="73"/>
      <c r="G398" s="73" t="s">
        <v>2368</v>
      </c>
      <c r="H398" s="73" t="s">
        <v>1052</v>
      </c>
      <c r="I398" s="73" t="s">
        <v>2370</v>
      </c>
      <c r="J398" s="84"/>
      <c r="K398" s="84" t="s">
        <v>1291</v>
      </c>
      <c r="L398" s="73"/>
      <c r="M398" s="84" t="s">
        <v>2369</v>
      </c>
      <c r="N398" s="84"/>
      <c r="O398" s="131"/>
      <c r="P398" s="136" t="s">
        <v>2371</v>
      </c>
      <c r="Q398" s="131"/>
      <c r="R398" s="132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8" ht="15.75" thickBot="1" x14ac:dyDescent="0.3">
      <c r="A399"/>
      <c r="B399"/>
      <c r="C399"/>
      <c r="D399"/>
      <c r="E399"/>
      <c r="F399" s="73" t="s">
        <v>216</v>
      </c>
      <c r="G399" s="73" t="s">
        <v>1220</v>
      </c>
      <c r="H399" s="73" t="s">
        <v>1052</v>
      </c>
      <c r="I399" s="73" t="s">
        <v>1219</v>
      </c>
      <c r="J399" s="73" t="s">
        <v>18</v>
      </c>
      <c r="K399" s="73" t="s">
        <v>1291</v>
      </c>
      <c r="L399" s="73"/>
      <c r="M399" s="84" t="s">
        <v>1229</v>
      </c>
      <c r="N399" s="84"/>
      <c r="O399" s="131">
        <f>COUNTIF(S399:AT399,"")</f>
        <v>13</v>
      </c>
      <c r="P399" s="136" t="s">
        <v>1813</v>
      </c>
      <c r="Q399" s="131">
        <f>COUNTIF(S399:AT399,"APAGADO")</f>
        <v>15</v>
      </c>
      <c r="R399" s="132">
        <f>(O399)/(Q399+O399)</f>
        <v>0.4642857142857143</v>
      </c>
      <c r="S399" s="70" t="s">
        <v>2240</v>
      </c>
      <c r="T399" s="70"/>
      <c r="U399" s="70"/>
      <c r="V399" s="70"/>
      <c r="W399" s="70"/>
      <c r="X399" s="70" t="s">
        <v>2240</v>
      </c>
      <c r="Y399" s="70" t="s">
        <v>2240</v>
      </c>
      <c r="Z399" s="70" t="s">
        <v>2240</v>
      </c>
      <c r="AA399" s="70"/>
      <c r="AB399" s="70"/>
      <c r="AC399" s="70"/>
      <c r="AD399" s="70"/>
      <c r="AE399" s="70" t="s">
        <v>2240</v>
      </c>
      <c r="AF399" s="70" t="s">
        <v>2240</v>
      </c>
      <c r="AG399" s="142" t="s">
        <v>2240</v>
      </c>
      <c r="AH399" s="70" t="s">
        <v>2240</v>
      </c>
      <c r="AI399" s="70" t="s">
        <v>2240</v>
      </c>
      <c r="AJ399" s="70"/>
      <c r="AK399" s="70"/>
      <c r="AL399" s="70" t="s">
        <v>2240</v>
      </c>
      <c r="AM399" s="70"/>
      <c r="AN399" s="70" t="s">
        <v>2240</v>
      </c>
      <c r="AO399" s="70" t="s">
        <v>2240</v>
      </c>
      <c r="AP399" s="70" t="s">
        <v>2240</v>
      </c>
      <c r="AQ399" s="70"/>
      <c r="AR399" s="70"/>
      <c r="AS399" s="70" t="s">
        <v>2240</v>
      </c>
      <c r="AT399" s="70" t="s">
        <v>2240</v>
      </c>
      <c r="AU399" s="70" t="s">
        <v>2240</v>
      </c>
      <c r="AV399" s="70" t="s">
        <v>2240</v>
      </c>
    </row>
    <row r="400" spans="1:48" s="69" customFormat="1" ht="15.75" thickBot="1" x14ac:dyDescent="0.3">
      <c r="A400">
        <v>6</v>
      </c>
      <c r="B400">
        <v>12</v>
      </c>
      <c r="C400"/>
      <c r="D400"/>
      <c r="E400" t="s">
        <v>2353</v>
      </c>
      <c r="F400" t="s">
        <v>216</v>
      </c>
      <c r="G400" t="s">
        <v>946</v>
      </c>
      <c r="H400" t="s">
        <v>1052</v>
      </c>
      <c r="I400" t="s">
        <v>242</v>
      </c>
      <c r="J400" s="30" t="s">
        <v>72</v>
      </c>
      <c r="K400" s="30" t="s">
        <v>1046</v>
      </c>
      <c r="L400" s="30" t="s">
        <v>1239</v>
      </c>
      <c r="M400" s="30" t="s">
        <v>704</v>
      </c>
      <c r="N400" s="30"/>
      <c r="O400" s="31">
        <f>COUNTIF(S400:AT400,"")</f>
        <v>28</v>
      </c>
      <c r="P400" s="136" t="s">
        <v>1670</v>
      </c>
      <c r="Q400" s="31">
        <f>COUNTIF(S400:AT400,"APAGADO")</f>
        <v>0</v>
      </c>
      <c r="R400" s="32">
        <f>(O400)/(Q400+O400)</f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8" s="69" customFormat="1" ht="15.75" thickBot="1" x14ac:dyDescent="0.3">
      <c r="A401">
        <v>6</v>
      </c>
      <c r="B401">
        <v>12</v>
      </c>
      <c r="C401"/>
      <c r="D401"/>
      <c r="E401" t="s">
        <v>2353</v>
      </c>
      <c r="F401" t="s">
        <v>216</v>
      </c>
      <c r="G401" t="s">
        <v>945</v>
      </c>
      <c r="H401" t="s">
        <v>1052</v>
      </c>
      <c r="I401" t="s">
        <v>242</v>
      </c>
      <c r="J401" s="30" t="s">
        <v>72</v>
      </c>
      <c r="K401" s="30" t="s">
        <v>1046</v>
      </c>
      <c r="L401" s="30" t="s">
        <v>1239</v>
      </c>
      <c r="M401" s="30" t="s">
        <v>703</v>
      </c>
      <c r="N401" s="30"/>
      <c r="O401" s="31">
        <f>COUNTIF(S401:AT401,"")</f>
        <v>28</v>
      </c>
      <c r="P401" s="136" t="s">
        <v>1812</v>
      </c>
      <c r="Q401" s="31">
        <f>COUNTIF(S401:AT401,"APAGADO")</f>
        <v>0</v>
      </c>
      <c r="R401" s="32">
        <f>(O401)/(Q401+O401)</f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</row>
    <row r="402" spans="1:48" ht="15.75" thickBot="1" x14ac:dyDescent="0.3">
      <c r="A402">
        <v>6</v>
      </c>
      <c r="B402">
        <v>12</v>
      </c>
      <c r="C402"/>
      <c r="D402"/>
      <c r="E402" t="s">
        <v>2353</v>
      </c>
      <c r="F402" t="s">
        <v>216</v>
      </c>
      <c r="G402" t="s">
        <v>944</v>
      </c>
      <c r="H402" t="s">
        <v>1052</v>
      </c>
      <c r="I402" t="s">
        <v>241</v>
      </c>
      <c r="J402" s="30" t="s">
        <v>72</v>
      </c>
      <c r="K402" s="30" t="s">
        <v>1046</v>
      </c>
      <c r="L402" s="30" t="s">
        <v>1239</v>
      </c>
      <c r="M402" s="30" t="s">
        <v>702</v>
      </c>
      <c r="N402" s="30"/>
      <c r="O402" s="31">
        <f>COUNTIF(S402:AT402,"")</f>
        <v>28</v>
      </c>
      <c r="P402" s="136" t="s">
        <v>1811</v>
      </c>
      <c r="Q402" s="31">
        <f>COUNTIF(S402:AT402,"APAGADO")</f>
        <v>0</v>
      </c>
      <c r="R402" s="32">
        <f>(O402)/(Q402+O402)</f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</row>
    <row r="403" spans="1:48" s="73" customFormat="1" ht="15.75" thickBot="1" x14ac:dyDescent="0.3">
      <c r="A403">
        <v>6</v>
      </c>
      <c r="B403">
        <v>12</v>
      </c>
      <c r="C403"/>
      <c r="D403"/>
      <c r="E403" t="s">
        <v>2353</v>
      </c>
      <c r="F403" t="s">
        <v>216</v>
      </c>
      <c r="G403" t="s">
        <v>943</v>
      </c>
      <c r="H403" t="s">
        <v>1052</v>
      </c>
      <c r="I403" t="s">
        <v>241</v>
      </c>
      <c r="J403" s="30" t="s">
        <v>72</v>
      </c>
      <c r="K403" s="30" t="s">
        <v>1046</v>
      </c>
      <c r="L403" s="30" t="s">
        <v>1239</v>
      </c>
      <c r="M403" s="30" t="s">
        <v>701</v>
      </c>
      <c r="N403" s="30"/>
      <c r="O403" s="31">
        <f>COUNTIF(S403:AT403,"")</f>
        <v>28</v>
      </c>
      <c r="P403" s="136" t="s">
        <v>1810</v>
      </c>
      <c r="Q403" s="31">
        <f>COUNTIF(S403:AT403,"APAGADO")</f>
        <v>0</v>
      </c>
      <c r="R403" s="32">
        <f>(O403)/(Q403+O403)</f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</row>
    <row r="404" spans="1:48" ht="15.75" thickBot="1" x14ac:dyDescent="0.3">
      <c r="A404"/>
      <c r="B404"/>
      <c r="C404"/>
      <c r="D404"/>
      <c r="E404"/>
      <c r="F404" t="s">
        <v>216</v>
      </c>
      <c r="G404" t="s">
        <v>225</v>
      </c>
      <c r="H404" t="s">
        <v>1052</v>
      </c>
      <c r="I404" t="s">
        <v>224</v>
      </c>
      <c r="J404" s="30" t="s">
        <v>72</v>
      </c>
      <c r="K404" s="30" t="s">
        <v>1046</v>
      </c>
      <c r="L404" s="30" t="s">
        <v>1239</v>
      </c>
      <c r="M404" s="30" t="s">
        <v>700</v>
      </c>
      <c r="N404" s="30"/>
      <c r="O404" s="31">
        <f>COUNTIF(S404:AT404,"")</f>
        <v>28</v>
      </c>
      <c r="P404" s="136" t="s">
        <v>1809</v>
      </c>
      <c r="Q404" s="31">
        <f>COUNTIF(S404:AT404,"APAGADO")</f>
        <v>0</v>
      </c>
      <c r="R404" s="32">
        <f>(O404)/(Q404+O404)</f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</row>
    <row r="405" spans="1:48" ht="15.75" thickBot="1" x14ac:dyDescent="0.3">
      <c r="A405">
        <v>6</v>
      </c>
      <c r="B405">
        <v>12</v>
      </c>
      <c r="C405"/>
      <c r="D405"/>
      <c r="E405" t="s">
        <v>2353</v>
      </c>
      <c r="F405" t="s">
        <v>216</v>
      </c>
      <c r="G405" t="s">
        <v>223</v>
      </c>
      <c r="H405" t="s">
        <v>1052</v>
      </c>
      <c r="I405" t="s">
        <v>224</v>
      </c>
      <c r="J405" s="30" t="s">
        <v>72</v>
      </c>
      <c r="K405" s="30" t="s">
        <v>1046</v>
      </c>
      <c r="L405" s="30" t="s">
        <v>1239</v>
      </c>
      <c r="M405" s="30" t="s">
        <v>699</v>
      </c>
      <c r="N405" s="30"/>
      <c r="O405" s="31">
        <f>COUNTIF(S405:AT405,"")</f>
        <v>28</v>
      </c>
      <c r="P405" s="136" t="s">
        <v>1808</v>
      </c>
      <c r="Q405" s="31">
        <f>COUNTIF(S405:AT405,"APAGADO")</f>
        <v>0</v>
      </c>
      <c r="R405" s="32">
        <f>(O405)/(Q405+O405)</f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</row>
    <row r="406" spans="1:48" ht="15.75" thickBot="1" x14ac:dyDescent="0.3">
      <c r="A406"/>
      <c r="B406"/>
      <c r="C406"/>
      <c r="D406"/>
      <c r="E406"/>
      <c r="F406" s="73" t="s">
        <v>216</v>
      </c>
      <c r="G406" s="73" t="s">
        <v>221</v>
      </c>
      <c r="H406" s="73" t="s">
        <v>1052</v>
      </c>
      <c r="I406" s="73" t="s">
        <v>222</v>
      </c>
      <c r="J406" s="84" t="s">
        <v>14</v>
      </c>
      <c r="K406" s="84" t="s">
        <v>1291</v>
      </c>
      <c r="L406" s="84"/>
      <c r="M406" s="84" t="s">
        <v>1394</v>
      </c>
      <c r="N406" s="84"/>
      <c r="O406" s="131">
        <f>COUNTIF(S406:AT406,"")</f>
        <v>25</v>
      </c>
      <c r="P406" s="136" t="s">
        <v>1806</v>
      </c>
      <c r="Q406" s="131">
        <f>COUNTIF(S406:AT406,"APAGADO")</f>
        <v>3</v>
      </c>
      <c r="R406" s="132">
        <f>(O406)/(Q406+O406)</f>
        <v>0.8928571428571429</v>
      </c>
      <c r="S406" s="70"/>
      <c r="T406" s="70"/>
      <c r="U406" s="70"/>
      <c r="V406" s="71"/>
      <c r="W406" s="71"/>
      <c r="X406" s="70" t="s">
        <v>2240</v>
      </c>
      <c r="Y406" s="70" t="s">
        <v>2240</v>
      </c>
      <c r="Z406" s="70"/>
      <c r="AA406" s="71"/>
      <c r="AB406" s="71"/>
      <c r="AC406" s="71"/>
      <c r="AD406" s="70"/>
      <c r="AE406" s="70" t="s">
        <v>2240</v>
      </c>
      <c r="AF406" s="70"/>
      <c r="AG406" s="70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8" ht="15.75" thickBot="1" x14ac:dyDescent="0.3">
      <c r="A407"/>
      <c r="B407"/>
      <c r="C407"/>
      <c r="D407"/>
      <c r="E407"/>
      <c r="F407" s="73" t="s">
        <v>216</v>
      </c>
      <c r="G407" s="73" t="s">
        <v>217</v>
      </c>
      <c r="H407" s="73" t="s">
        <v>1052</v>
      </c>
      <c r="I407" s="73" t="s">
        <v>218</v>
      </c>
      <c r="J407" s="84" t="s">
        <v>14</v>
      </c>
      <c r="K407" s="84" t="s">
        <v>1291</v>
      </c>
      <c r="L407" s="84"/>
      <c r="M407" s="84" t="s">
        <v>1575</v>
      </c>
      <c r="N407" s="84"/>
      <c r="O407" s="131">
        <f>COUNTIF(S407:AT407,"")</f>
        <v>28</v>
      </c>
      <c r="P407" s="136" t="s">
        <v>1803</v>
      </c>
      <c r="Q407" s="131">
        <f>COUNTIF(S407:AT407,"APAGADO")</f>
        <v>0</v>
      </c>
      <c r="R407" s="132">
        <f>(O407)/(Q407+O407)</f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1"/>
      <c r="AE407" s="70"/>
      <c r="AF407" s="70"/>
      <c r="AG407" s="70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0"/>
      <c r="AT407" s="71"/>
      <c r="AU407" s="71"/>
      <c r="AV407" s="70"/>
    </row>
    <row r="408" spans="1:48" s="69" customFormat="1" ht="15.75" thickBot="1" x14ac:dyDescent="0.3">
      <c r="F408" s="69" t="s">
        <v>214</v>
      </c>
      <c r="G408" s="69" t="s">
        <v>942</v>
      </c>
      <c r="H408" s="69" t="s">
        <v>1053</v>
      </c>
      <c r="I408" s="69" t="s">
        <v>215</v>
      </c>
      <c r="J408" s="137" t="s">
        <v>18</v>
      </c>
      <c r="K408" s="137" t="s">
        <v>27</v>
      </c>
      <c r="L408" s="137"/>
      <c r="M408" s="137" t="s">
        <v>697</v>
      </c>
      <c r="N408" s="137"/>
      <c r="O408" s="139">
        <f>COUNTIF(S408:AT408,"")</f>
        <v>12</v>
      </c>
      <c r="P408" s="140"/>
      <c r="Q408" s="139">
        <f>COUNTIF(S408:AT408,"APAGADO")</f>
        <v>16</v>
      </c>
      <c r="R408" s="141">
        <f>(O408)/(Q408+O408)</f>
        <v>0.42857142857142855</v>
      </c>
      <c r="S408" s="142" t="s">
        <v>2240</v>
      </c>
      <c r="T408" s="142"/>
      <c r="U408" s="142"/>
      <c r="V408" s="142"/>
      <c r="W408" s="142"/>
      <c r="X408" s="142" t="s">
        <v>2240</v>
      </c>
      <c r="Y408" s="142" t="s">
        <v>2240</v>
      </c>
      <c r="Z408" s="142" t="s">
        <v>2240</v>
      </c>
      <c r="AA408" s="142"/>
      <c r="AB408" s="142"/>
      <c r="AC408" s="142"/>
      <c r="AD408" s="142"/>
      <c r="AE408" s="70" t="s">
        <v>2240</v>
      </c>
      <c r="AF408" s="70" t="s">
        <v>2240</v>
      </c>
      <c r="AG408" s="142" t="s">
        <v>2240</v>
      </c>
      <c r="AH408" s="70" t="s">
        <v>2240</v>
      </c>
      <c r="AI408" s="70" t="s">
        <v>2240</v>
      </c>
      <c r="AJ408" s="142"/>
      <c r="AK408" s="142"/>
      <c r="AL408" s="70" t="s">
        <v>2240</v>
      </c>
      <c r="AM408" s="70" t="s">
        <v>2240</v>
      </c>
      <c r="AN408" s="70" t="s">
        <v>2240</v>
      </c>
      <c r="AO408" s="70" t="s">
        <v>2240</v>
      </c>
      <c r="AP408" s="70" t="s">
        <v>2240</v>
      </c>
      <c r="AQ408" s="142"/>
      <c r="AR408" s="70"/>
      <c r="AS408" s="70" t="s">
        <v>2240</v>
      </c>
      <c r="AT408" s="70" t="s">
        <v>2240</v>
      </c>
      <c r="AU408" s="70" t="s">
        <v>2240</v>
      </c>
      <c r="AV408" s="70" t="s">
        <v>2240</v>
      </c>
    </row>
    <row r="409" spans="1:48" s="73" customFormat="1" ht="15.75" thickBot="1" x14ac:dyDescent="0.3">
      <c r="A409"/>
      <c r="B409"/>
      <c r="C409"/>
      <c r="D409"/>
      <c r="E409" t="s">
        <v>2366</v>
      </c>
      <c r="F409" t="s">
        <v>211</v>
      </c>
      <c r="G409" t="s">
        <v>941</v>
      </c>
      <c r="H409" t="s">
        <v>1053</v>
      </c>
      <c r="I409" t="s">
        <v>213</v>
      </c>
      <c r="J409" s="30" t="s">
        <v>14</v>
      </c>
      <c r="K409" s="30" t="s">
        <v>27</v>
      </c>
      <c r="L409" s="30"/>
      <c r="M409" s="30" t="s">
        <v>696</v>
      </c>
      <c r="N409" s="30"/>
      <c r="O409" s="31">
        <f>COUNTIF(S409:AT409,"")</f>
        <v>28</v>
      </c>
      <c r="P409" s="136" t="s">
        <v>1797</v>
      </c>
      <c r="Q409" s="31">
        <f>COUNTIF(S409:AT409,"APAGADO")</f>
        <v>0</v>
      </c>
      <c r="R409" s="32">
        <f>(O409)/(Q409+O409)</f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thickBot="1" x14ac:dyDescent="0.3">
      <c r="A410"/>
      <c r="B410"/>
      <c r="C410"/>
      <c r="D410"/>
      <c r="E410" t="s">
        <v>2366</v>
      </c>
      <c r="F410" t="s">
        <v>211</v>
      </c>
      <c r="G410" t="s">
        <v>940</v>
      </c>
      <c r="H410" t="s">
        <v>1053</v>
      </c>
      <c r="I410" t="s">
        <v>212</v>
      </c>
      <c r="J410" s="30" t="s">
        <v>14</v>
      </c>
      <c r="K410" s="30" t="s">
        <v>27</v>
      </c>
      <c r="L410" s="30"/>
      <c r="M410" s="30" t="s">
        <v>695</v>
      </c>
      <c r="N410" s="30"/>
      <c r="O410" s="31">
        <f>COUNTIF(S410:AT410,"")</f>
        <v>28</v>
      </c>
      <c r="P410" s="136" t="s">
        <v>1796</v>
      </c>
      <c r="Q410" s="31">
        <f>COUNTIF(S410:AT410,"APAGADO")</f>
        <v>0</v>
      </c>
      <c r="R410" s="32">
        <f>(O410)/(Q410+O410)</f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ht="15.75" thickBot="1" x14ac:dyDescent="0.3">
      <c r="A411"/>
      <c r="B411"/>
      <c r="C411"/>
      <c r="D411"/>
      <c r="E411"/>
      <c r="F411" s="73"/>
      <c r="G411" s="84" t="s">
        <v>2241</v>
      </c>
      <c r="H411" s="84" t="s">
        <v>1053</v>
      </c>
      <c r="I411" s="73" t="s">
        <v>1518</v>
      </c>
      <c r="J411" s="84" t="s">
        <v>1104</v>
      </c>
      <c r="K411" s="84" t="s">
        <v>1519</v>
      </c>
      <c r="L411" s="84"/>
      <c r="M411" s="84" t="s">
        <v>1520</v>
      </c>
      <c r="N411" s="84"/>
      <c r="O411" s="31">
        <f>COUNTIF(S411:AT411,"")</f>
        <v>28</v>
      </c>
      <c r="P411" s="136" t="s">
        <v>1795</v>
      </c>
      <c r="Q411" s="31">
        <f>COUNTIF(S411:AT411,"APAGADO")</f>
        <v>0</v>
      </c>
      <c r="R411" s="32">
        <f>(O411)/(Q411+O411)</f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8" s="73" customFormat="1" ht="15.75" thickBot="1" x14ac:dyDescent="0.3">
      <c r="A412">
        <v>4</v>
      </c>
      <c r="B412">
        <v>12</v>
      </c>
      <c r="C412"/>
      <c r="D412"/>
      <c r="E412" t="s">
        <v>2351</v>
      </c>
      <c r="F412" s="73" t="s">
        <v>188</v>
      </c>
      <c r="G412" s="84" t="s">
        <v>2196</v>
      </c>
      <c r="H412" s="84" t="s">
        <v>1053</v>
      </c>
      <c r="I412" s="73" t="s">
        <v>2197</v>
      </c>
      <c r="J412" s="84" t="s">
        <v>18</v>
      </c>
      <c r="K412" s="84" t="s">
        <v>1291</v>
      </c>
      <c r="L412" s="84"/>
      <c r="M412" s="84" t="s">
        <v>2294</v>
      </c>
      <c r="N412" s="84"/>
      <c r="O412" s="31">
        <f>COUNTIF(S412:AT412,"")</f>
        <v>28</v>
      </c>
      <c r="P412" s="136" t="s">
        <v>2142</v>
      </c>
      <c r="Q412" s="31">
        <f>COUNTIF(S412:AT412,"APAGADO")</f>
        <v>0</v>
      </c>
      <c r="R412" s="32">
        <f>(O412)/(Q412+O412)</f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8" ht="15.75" thickBot="1" x14ac:dyDescent="0.3">
      <c r="A413"/>
      <c r="B413"/>
      <c r="C413"/>
      <c r="D413"/>
      <c r="E413"/>
      <c r="F413" s="73" t="s">
        <v>188</v>
      </c>
      <c r="G413" s="84" t="s">
        <v>2139</v>
      </c>
      <c r="H413" s="84" t="s">
        <v>1053</v>
      </c>
      <c r="I413" s="73" t="s">
        <v>2140</v>
      </c>
      <c r="J413" s="84" t="s">
        <v>18</v>
      </c>
      <c r="K413" s="84" t="s">
        <v>1291</v>
      </c>
      <c r="L413" s="84"/>
      <c r="M413" s="84" t="s">
        <v>2141</v>
      </c>
      <c r="N413" s="84"/>
      <c r="O413" s="31">
        <f>COUNTIF(S413:AT413,"")</f>
        <v>28</v>
      </c>
      <c r="P413" s="136" t="s">
        <v>2142</v>
      </c>
      <c r="Q413" s="31">
        <f>COUNTIF(S413:AT413,"APAGADO")</f>
        <v>0</v>
      </c>
      <c r="R413" s="32">
        <f>(O413)/(Q413+O413)</f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8" ht="15.75" thickBot="1" x14ac:dyDescent="0.3">
      <c r="A414"/>
      <c r="B414"/>
      <c r="C414"/>
      <c r="D414"/>
      <c r="E414"/>
      <c r="F414" t="s">
        <v>188</v>
      </c>
      <c r="G414" t="s">
        <v>210</v>
      </c>
      <c r="H414" t="s">
        <v>1053</v>
      </c>
      <c r="I414" t="s">
        <v>209</v>
      </c>
      <c r="J414" s="30" t="s">
        <v>72</v>
      </c>
      <c r="K414" s="30" t="s">
        <v>27</v>
      </c>
      <c r="L414" s="30"/>
      <c r="M414" s="30" t="s">
        <v>669</v>
      </c>
      <c r="N414" s="30"/>
      <c r="O414" s="31">
        <f>COUNTIF(S414:AT414,"")</f>
        <v>28</v>
      </c>
      <c r="P414" s="136" t="s">
        <v>1789</v>
      </c>
      <c r="Q414" s="31">
        <f>COUNTIF(S414:AT414,"APAGADO")</f>
        <v>0</v>
      </c>
      <c r="R414" s="32">
        <f>(O414)/(Q414+O414)</f>
        <v>1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8" ht="15.75" thickBot="1" x14ac:dyDescent="0.3">
      <c r="A415"/>
      <c r="B415"/>
      <c r="C415"/>
      <c r="D415"/>
      <c r="E415"/>
      <c r="F415" t="s">
        <v>188</v>
      </c>
      <c r="G415" t="s">
        <v>208</v>
      </c>
      <c r="H415" t="s">
        <v>1053</v>
      </c>
      <c r="I415" t="s">
        <v>209</v>
      </c>
      <c r="J415" s="30" t="s">
        <v>72</v>
      </c>
      <c r="K415" s="30" t="s">
        <v>27</v>
      </c>
      <c r="L415" s="30"/>
      <c r="M415" s="30" t="s">
        <v>668</v>
      </c>
      <c r="N415" s="30"/>
      <c r="O415" s="31">
        <f>COUNTIF(S415:AT415,"")</f>
        <v>28</v>
      </c>
      <c r="P415" s="136" t="s">
        <v>1788</v>
      </c>
      <c r="Q415" s="31">
        <f>COUNTIF(S415:AT415,"APAGADO")</f>
        <v>0</v>
      </c>
      <c r="R415" s="32">
        <f>(O415)/(Q415+O415)</f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8" s="73" customFormat="1" ht="15.75" thickBot="1" x14ac:dyDescent="0.3">
      <c r="A416">
        <v>4</v>
      </c>
      <c r="B416">
        <v>12</v>
      </c>
      <c r="C416"/>
      <c r="D416"/>
      <c r="E416" t="s">
        <v>2351</v>
      </c>
      <c r="F416" t="s">
        <v>188</v>
      </c>
      <c r="G416" t="s">
        <v>207</v>
      </c>
      <c r="H416" t="s">
        <v>1053</v>
      </c>
      <c r="I416" t="s">
        <v>206</v>
      </c>
      <c r="J416" s="30" t="s">
        <v>72</v>
      </c>
      <c r="K416" s="30" t="s">
        <v>27</v>
      </c>
      <c r="L416" s="30"/>
      <c r="M416" s="30" t="s">
        <v>693</v>
      </c>
      <c r="N416" s="30"/>
      <c r="O416" s="31">
        <f>COUNTIF(S416:AT416,"")</f>
        <v>28</v>
      </c>
      <c r="P416" s="136" t="s">
        <v>1787</v>
      </c>
      <c r="Q416" s="31">
        <f>COUNTIF(S416:AT416,"APAGADO")</f>
        <v>0</v>
      </c>
      <c r="R416" s="32">
        <f>(O416)/(Q416+O416)</f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8" s="73" customFormat="1" ht="17.25" customHeight="1" thickBot="1" x14ac:dyDescent="0.3">
      <c r="A417">
        <v>4</v>
      </c>
      <c r="B417">
        <v>12</v>
      </c>
      <c r="C417"/>
      <c r="D417"/>
      <c r="E417" t="s">
        <v>2351</v>
      </c>
      <c r="F417" t="s">
        <v>188</v>
      </c>
      <c r="G417" t="s">
        <v>205</v>
      </c>
      <c r="H417" t="s">
        <v>1053</v>
      </c>
      <c r="I417" t="s">
        <v>206</v>
      </c>
      <c r="J417" s="30" t="s">
        <v>72</v>
      </c>
      <c r="K417" s="30" t="s">
        <v>27</v>
      </c>
      <c r="L417" s="30"/>
      <c r="M417" s="30" t="s">
        <v>692</v>
      </c>
      <c r="N417" s="30"/>
      <c r="O417" s="31">
        <f>COUNTIF(S417:AT417,"")</f>
        <v>28</v>
      </c>
      <c r="P417" s="136" t="s">
        <v>1786</v>
      </c>
      <c r="Q417" s="31">
        <f>COUNTIF(S417:AT417,"APAGADO")</f>
        <v>0</v>
      </c>
      <c r="R417" s="32">
        <f>(O417)/(Q417+O417)</f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thickBot="1" x14ac:dyDescent="0.3">
      <c r="A418"/>
      <c r="B418"/>
      <c r="C418"/>
      <c r="D418"/>
      <c r="E418"/>
      <c r="F418" t="s">
        <v>188</v>
      </c>
      <c r="G418" t="s">
        <v>939</v>
      </c>
      <c r="H418" t="s">
        <v>1053</v>
      </c>
      <c r="I418" t="s">
        <v>189</v>
      </c>
      <c r="J418" s="30" t="s">
        <v>14</v>
      </c>
      <c r="K418" s="30" t="s">
        <v>1046</v>
      </c>
      <c r="L418" s="30" t="s">
        <v>455</v>
      </c>
      <c r="M418" s="30" t="s">
        <v>690</v>
      </c>
      <c r="N418" s="30"/>
      <c r="O418" s="31">
        <f>COUNTIF(S418:AT418,"")</f>
        <v>27</v>
      </c>
      <c r="P418" s="136" t="s">
        <v>1785</v>
      </c>
      <c r="Q418" s="31">
        <f>COUNTIF(S418:AT418,"APAGADO")</f>
        <v>1</v>
      </c>
      <c r="R418" s="32">
        <f>(O418)/(Q418+O418)</f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 t="s">
        <v>2240</v>
      </c>
      <c r="AU418" s="70"/>
      <c r="AV418" s="70"/>
    </row>
    <row r="419" spans="1:48" s="73" customFormat="1" ht="15.75" thickBot="1" x14ac:dyDescent="0.3">
      <c r="A419"/>
      <c r="B419"/>
      <c r="C419"/>
      <c r="D419"/>
      <c r="E419"/>
      <c r="F419" s="73" t="s">
        <v>188</v>
      </c>
      <c r="G419" s="73" t="s">
        <v>203</v>
      </c>
      <c r="H419" s="73" t="s">
        <v>1053</v>
      </c>
      <c r="I419" s="73" t="s">
        <v>204</v>
      </c>
      <c r="J419" s="84" t="s">
        <v>18</v>
      </c>
      <c r="K419" s="84" t="s">
        <v>1291</v>
      </c>
      <c r="L419" s="84"/>
      <c r="M419" s="84" t="s">
        <v>1418</v>
      </c>
      <c r="N419" s="84"/>
      <c r="O419" s="131">
        <f>COUNTIF(S419:AT419,"")</f>
        <v>18</v>
      </c>
      <c r="P419" s="136" t="s">
        <v>1784</v>
      </c>
      <c r="Q419" s="131">
        <f>COUNTIF(S419:AT419,"APAGADO")</f>
        <v>10</v>
      </c>
      <c r="R419" s="132">
        <f>(O419)/(Q419+O419)</f>
        <v>0.6428571428571429</v>
      </c>
      <c r="S419" s="70" t="s">
        <v>2240</v>
      </c>
      <c r="T419" s="70"/>
      <c r="U419" s="70"/>
      <c r="V419" s="70"/>
      <c r="W419" s="70"/>
      <c r="X419" s="70" t="s">
        <v>2240</v>
      </c>
      <c r="Y419" s="70" t="s">
        <v>2240</v>
      </c>
      <c r="Z419" s="70" t="s">
        <v>2240</v>
      </c>
      <c r="AA419" s="70"/>
      <c r="AB419" s="70"/>
      <c r="AC419" s="70"/>
      <c r="AD419" s="70"/>
      <c r="AE419" s="70" t="s">
        <v>2240</v>
      </c>
      <c r="AF419" s="70"/>
      <c r="AG419" s="142" t="s">
        <v>2240</v>
      </c>
      <c r="AH419" s="70" t="s">
        <v>2240</v>
      </c>
      <c r="AI419" s="70" t="s">
        <v>2240</v>
      </c>
      <c r="AJ419" s="70"/>
      <c r="AK419" s="70"/>
      <c r="AL419" s="70" t="s">
        <v>2240</v>
      </c>
      <c r="AM419" s="70"/>
      <c r="AN419" s="70"/>
      <c r="AO419" s="70"/>
      <c r="AP419" s="70" t="s">
        <v>2240</v>
      </c>
      <c r="AQ419" s="70"/>
      <c r="AR419" s="70"/>
      <c r="AS419" s="70"/>
      <c r="AT419" s="70"/>
      <c r="AU419" s="70"/>
      <c r="AV419" s="70"/>
    </row>
    <row r="420" spans="1:48" s="73" customFormat="1" ht="15.75" thickBot="1" x14ac:dyDescent="0.3">
      <c r="A420">
        <v>5</v>
      </c>
      <c r="B420">
        <v>23</v>
      </c>
      <c r="C420"/>
      <c r="D420"/>
      <c r="E420" t="s">
        <v>2354</v>
      </c>
      <c r="F420" t="s">
        <v>188</v>
      </c>
      <c r="G420" t="s">
        <v>201</v>
      </c>
      <c r="H420" t="s">
        <v>1053</v>
      </c>
      <c r="I420" t="s">
        <v>202</v>
      </c>
      <c r="J420" s="30" t="s">
        <v>18</v>
      </c>
      <c r="K420" s="30" t="s">
        <v>27</v>
      </c>
      <c r="L420" s="30"/>
      <c r="M420" s="30" t="s">
        <v>689</v>
      </c>
      <c r="N420" s="30"/>
      <c r="O420" s="31">
        <f>COUNTIF(S420:AT420,"")</f>
        <v>28</v>
      </c>
      <c r="P420" s="136" t="s">
        <v>1783</v>
      </c>
      <c r="Q420" s="31">
        <f>COUNTIF(S420:AT420,"APAGADO")</f>
        <v>0</v>
      </c>
      <c r="R420" s="32">
        <f>(O420)/(Q420+O420)</f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73" customFormat="1" ht="15.75" thickBot="1" x14ac:dyDescent="0.3">
      <c r="A421">
        <v>5</v>
      </c>
      <c r="B421">
        <v>23</v>
      </c>
      <c r="C421"/>
      <c r="D421"/>
      <c r="E421" t="s">
        <v>2354</v>
      </c>
      <c r="F421" t="s">
        <v>188</v>
      </c>
      <c r="G421" t="s">
        <v>199</v>
      </c>
      <c r="H421" t="s">
        <v>1053</v>
      </c>
      <c r="I421" t="s">
        <v>200</v>
      </c>
      <c r="J421" s="30" t="s">
        <v>18</v>
      </c>
      <c r="K421" s="30" t="s">
        <v>27</v>
      </c>
      <c r="L421" s="30"/>
      <c r="M421" s="30" t="s">
        <v>688</v>
      </c>
      <c r="N421" s="30"/>
      <c r="O421" s="31">
        <f>COUNTIF(S421:AT421,"")</f>
        <v>28</v>
      </c>
      <c r="P421" s="136" t="s">
        <v>1782</v>
      </c>
      <c r="Q421" s="31">
        <f>COUNTIF(S421:AT421,"APAGADO")</f>
        <v>0</v>
      </c>
      <c r="R421" s="32">
        <f>(O421)/(Q421+O421)</f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8" s="88" customFormat="1" ht="15.75" thickBot="1" x14ac:dyDescent="0.3">
      <c r="A422"/>
      <c r="B422"/>
      <c r="C422"/>
      <c r="D422"/>
      <c r="E422"/>
      <c r="F422" t="s">
        <v>193</v>
      </c>
      <c r="G422" t="s">
        <v>197</v>
      </c>
      <c r="H422" t="s">
        <v>1053</v>
      </c>
      <c r="I422" t="s">
        <v>198</v>
      </c>
      <c r="J422" s="30" t="s">
        <v>14</v>
      </c>
      <c r="K422" s="30" t="s">
        <v>1046</v>
      </c>
      <c r="L422" s="30" t="s">
        <v>455</v>
      </c>
      <c r="M422" s="30" t="s">
        <v>687</v>
      </c>
      <c r="N422" s="30"/>
      <c r="O422" s="31">
        <f>COUNTIF(S422:AT422,"")</f>
        <v>28</v>
      </c>
      <c r="P422" s="136" t="s">
        <v>1781</v>
      </c>
      <c r="Q422" s="31">
        <f>COUNTIF(S422:AT422,"APAGADO")</f>
        <v>0</v>
      </c>
      <c r="R422" s="32">
        <f>(O422)/(Q422+O422)</f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8" s="73" customFormat="1" ht="15.75" thickBot="1" x14ac:dyDescent="0.3">
      <c r="A423"/>
      <c r="B423"/>
      <c r="C423"/>
      <c r="D423"/>
      <c r="E423"/>
      <c r="F423" t="s">
        <v>193</v>
      </c>
      <c r="G423" t="s">
        <v>194</v>
      </c>
      <c r="H423" t="s">
        <v>1053</v>
      </c>
      <c r="I423" t="s">
        <v>195</v>
      </c>
      <c r="J423" s="30" t="s">
        <v>18</v>
      </c>
      <c r="K423" s="30" t="s">
        <v>1046</v>
      </c>
      <c r="L423" s="30" t="s">
        <v>455</v>
      </c>
      <c r="M423" s="30" t="s">
        <v>686</v>
      </c>
      <c r="N423" s="30"/>
      <c r="O423" s="31">
        <f>COUNTIF(S423:AT423,"")</f>
        <v>28</v>
      </c>
      <c r="P423" s="136" t="s">
        <v>1780</v>
      </c>
      <c r="Q423" s="31">
        <f>COUNTIF(S423:AT423,"APAGADO")</f>
        <v>0</v>
      </c>
      <c r="R423" s="32">
        <f>(O423)/(Q423+O423)</f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1:48" s="73" customFormat="1" ht="15.75" thickBot="1" x14ac:dyDescent="0.3">
      <c r="A424">
        <v>4</v>
      </c>
      <c r="B424">
        <v>12</v>
      </c>
      <c r="C424"/>
      <c r="D424"/>
      <c r="E424" t="s">
        <v>2351</v>
      </c>
      <c r="F424" t="s">
        <v>188</v>
      </c>
      <c r="G424" t="s">
        <v>191</v>
      </c>
      <c r="H424" t="s">
        <v>1053</v>
      </c>
      <c r="I424" t="s">
        <v>192</v>
      </c>
      <c r="J424" s="30" t="s">
        <v>18</v>
      </c>
      <c r="K424" s="30" t="s">
        <v>1046</v>
      </c>
      <c r="L424" s="30"/>
      <c r="M424" s="30" t="s">
        <v>1427</v>
      </c>
      <c r="N424" s="30"/>
      <c r="O424" s="31">
        <f>COUNTIF(S424:AT424,"")</f>
        <v>28</v>
      </c>
      <c r="P424" s="136" t="s">
        <v>1779</v>
      </c>
      <c r="Q424" s="31">
        <f>COUNTIF(S424:AT424,"APAGADO")</f>
        <v>0</v>
      </c>
      <c r="R424" s="32">
        <f>(O424)/(Q424+O424)</f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thickBot="1" x14ac:dyDescent="0.3">
      <c r="A425"/>
      <c r="B425"/>
      <c r="C425"/>
      <c r="D425"/>
      <c r="E425"/>
      <c r="F425" s="73" t="s">
        <v>188</v>
      </c>
      <c r="G425" s="84" t="s">
        <v>2265</v>
      </c>
      <c r="H425" s="84" t="s">
        <v>1053</v>
      </c>
      <c r="I425" s="73" t="s">
        <v>2266</v>
      </c>
      <c r="J425" s="84" t="s">
        <v>1104</v>
      </c>
      <c r="K425" s="84" t="s">
        <v>1291</v>
      </c>
      <c r="L425" s="84"/>
      <c r="M425" s="84" t="s">
        <v>2267</v>
      </c>
      <c r="N425" s="84"/>
      <c r="O425" s="31">
        <f>COUNTIF(S425:AT425,"")</f>
        <v>28</v>
      </c>
      <c r="P425" s="136"/>
      <c r="Q425" s="31">
        <f>COUNTIF(S425:AT425,"APAGADO")</f>
        <v>0</v>
      </c>
      <c r="R425" s="32">
        <f>(O425)/(Q425+O425)</f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8" s="73" customFormat="1" ht="15.75" thickBot="1" x14ac:dyDescent="0.3">
      <c r="A426"/>
      <c r="B426"/>
      <c r="C426"/>
      <c r="D426"/>
      <c r="E426"/>
      <c r="F426" s="73" t="s">
        <v>188</v>
      </c>
      <c r="G426" s="84" t="s">
        <v>1536</v>
      </c>
      <c r="H426" s="84" t="s">
        <v>1053</v>
      </c>
      <c r="I426" s="73" t="s">
        <v>1537</v>
      </c>
      <c r="J426" s="84" t="s">
        <v>18</v>
      </c>
      <c r="K426" s="84" t="s">
        <v>1291</v>
      </c>
      <c r="L426" s="84"/>
      <c r="M426" s="84" t="s">
        <v>1538</v>
      </c>
      <c r="N426" s="84"/>
      <c r="O426" s="31">
        <f>COUNTIF(S426:AT426,"")</f>
        <v>28</v>
      </c>
      <c r="P426" s="136" t="s">
        <v>1794</v>
      </c>
      <c r="Q426" s="31">
        <f>COUNTIF(S426:AT426,"APAGADO")</f>
        <v>0</v>
      </c>
      <c r="R426" s="32">
        <f>(O426)/(Q426+O426)</f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1:48" s="73" customFormat="1" ht="15.75" thickBot="1" x14ac:dyDescent="0.3">
      <c r="A427">
        <v>5</v>
      </c>
      <c r="B427">
        <v>23</v>
      </c>
      <c r="C427"/>
      <c r="D427"/>
      <c r="E427" t="s">
        <v>2354</v>
      </c>
      <c r="F427" t="s">
        <v>188</v>
      </c>
      <c r="G427" s="30" t="s">
        <v>1497</v>
      </c>
      <c r="H427" s="30" t="s">
        <v>1053</v>
      </c>
      <c r="I427" t="s">
        <v>1498</v>
      </c>
      <c r="J427" s="30" t="s">
        <v>18</v>
      </c>
      <c r="K427" s="30" t="s">
        <v>27</v>
      </c>
      <c r="L427" s="30"/>
      <c r="M427" s="30" t="s">
        <v>1499</v>
      </c>
      <c r="N427" s="30"/>
      <c r="O427" s="31">
        <f>COUNTIF(S427:AT427,"")</f>
        <v>20</v>
      </c>
      <c r="P427" s="136"/>
      <c r="Q427" s="31">
        <f>COUNTIF(S427:AT427,"APAGADO")</f>
        <v>8</v>
      </c>
      <c r="R427" s="32">
        <f>(O427)/(Q427+O427)</f>
        <v>0.7142857142857143</v>
      </c>
      <c r="S427" s="70"/>
      <c r="T427" s="70"/>
      <c r="U427" s="70"/>
      <c r="V427" s="70"/>
      <c r="W427" s="70"/>
      <c r="X427" s="70" t="s">
        <v>2240</v>
      </c>
      <c r="Y427" s="70" t="s">
        <v>2240</v>
      </c>
      <c r="Z427" s="70" t="s">
        <v>2240</v>
      </c>
      <c r="AA427" s="70"/>
      <c r="AB427" s="70"/>
      <c r="AC427" s="70"/>
      <c r="AD427" s="70"/>
      <c r="AE427" s="70" t="s">
        <v>2240</v>
      </c>
      <c r="AF427" s="70" t="s">
        <v>2240</v>
      </c>
      <c r="AG427" s="142" t="s">
        <v>2240</v>
      </c>
      <c r="AH427" s="70" t="s">
        <v>2240</v>
      </c>
      <c r="AI427" s="70" t="s">
        <v>2240</v>
      </c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</row>
    <row r="428" spans="1:48" s="88" customFormat="1" ht="15.75" thickBot="1" x14ac:dyDescent="0.3">
      <c r="A428"/>
      <c r="B428"/>
      <c r="C428"/>
      <c r="D428"/>
      <c r="E428"/>
      <c r="F428" t="s">
        <v>188</v>
      </c>
      <c r="G428" s="30" t="s">
        <v>1163</v>
      </c>
      <c r="H428" s="30" t="s">
        <v>1053</v>
      </c>
      <c r="I428" t="s">
        <v>1140</v>
      </c>
      <c r="J428" s="30" t="s">
        <v>72</v>
      </c>
      <c r="K428" s="30" t="s">
        <v>27</v>
      </c>
      <c r="L428" s="30"/>
      <c r="M428" s="30" t="s">
        <v>1142</v>
      </c>
      <c r="N428" s="30"/>
      <c r="O428" s="31">
        <f>COUNTIF(S428:AT428,"")</f>
        <v>12</v>
      </c>
      <c r="P428" s="136" t="s">
        <v>1793</v>
      </c>
      <c r="Q428" s="31">
        <f>COUNTIF(S428:AT428,"APAGADO")</f>
        <v>16</v>
      </c>
      <c r="R428" s="32">
        <f>(O428)/(Q428+O428)</f>
        <v>0.42857142857142855</v>
      </c>
      <c r="S428" s="70" t="s">
        <v>2240</v>
      </c>
      <c r="T428" s="70"/>
      <c r="U428" s="70"/>
      <c r="V428" s="70"/>
      <c r="W428" s="70"/>
      <c r="X428" s="70" t="s">
        <v>2240</v>
      </c>
      <c r="Y428" s="70" t="s">
        <v>2240</v>
      </c>
      <c r="Z428" s="70" t="s">
        <v>2240</v>
      </c>
      <c r="AA428" s="70"/>
      <c r="AB428" s="70"/>
      <c r="AC428" s="70"/>
      <c r="AD428" s="70"/>
      <c r="AE428" s="70" t="s">
        <v>2240</v>
      </c>
      <c r="AF428" s="70" t="s">
        <v>2240</v>
      </c>
      <c r="AG428" s="142" t="s">
        <v>2240</v>
      </c>
      <c r="AH428" s="70" t="s">
        <v>2240</v>
      </c>
      <c r="AI428" s="70" t="s">
        <v>2240</v>
      </c>
      <c r="AJ428" s="70"/>
      <c r="AK428" s="70"/>
      <c r="AL428" s="70" t="s">
        <v>2240</v>
      </c>
      <c r="AM428" s="70" t="s">
        <v>2240</v>
      </c>
      <c r="AN428" s="70" t="s">
        <v>2240</v>
      </c>
      <c r="AO428" s="70" t="s">
        <v>2240</v>
      </c>
      <c r="AP428" s="70" t="s">
        <v>2240</v>
      </c>
      <c r="AQ428" s="70"/>
      <c r="AR428" s="70"/>
      <c r="AS428" s="70" t="s">
        <v>2240</v>
      </c>
      <c r="AT428" s="70" t="s">
        <v>2240</v>
      </c>
      <c r="AU428" s="70" t="s">
        <v>2240</v>
      </c>
      <c r="AV428" s="70" t="s">
        <v>2240</v>
      </c>
    </row>
    <row r="429" spans="1:48" s="73" customFormat="1" ht="15.75" thickBot="1" x14ac:dyDescent="0.3">
      <c r="A429"/>
      <c r="B429"/>
      <c r="C429"/>
      <c r="D429"/>
      <c r="E429"/>
      <c r="F429" t="s">
        <v>188</v>
      </c>
      <c r="G429" s="30" t="s">
        <v>1162</v>
      </c>
      <c r="H429" s="30" t="s">
        <v>1053</v>
      </c>
      <c r="I429" t="s">
        <v>1140</v>
      </c>
      <c r="J429" s="30" t="s">
        <v>72</v>
      </c>
      <c r="K429" s="30" t="s">
        <v>27</v>
      </c>
      <c r="L429" s="30"/>
      <c r="M429" s="30" t="s">
        <v>1141</v>
      </c>
      <c r="N429" s="30"/>
      <c r="O429" s="31">
        <f>COUNTIF(S429:AT429,"")</f>
        <v>12</v>
      </c>
      <c r="P429" s="136" t="s">
        <v>1792</v>
      </c>
      <c r="Q429" s="31">
        <f>COUNTIF(S429:AT429,"APAGADO")</f>
        <v>16</v>
      </c>
      <c r="R429" s="32">
        <f>(O429)/(Q429+O429)</f>
        <v>0.42857142857142855</v>
      </c>
      <c r="S429" s="70" t="s">
        <v>2240</v>
      </c>
      <c r="T429" s="70"/>
      <c r="U429" s="70"/>
      <c r="V429" s="70"/>
      <c r="W429" s="70"/>
      <c r="X429" s="70" t="s">
        <v>2240</v>
      </c>
      <c r="Y429" s="70" t="s">
        <v>2240</v>
      </c>
      <c r="Z429" s="70" t="s">
        <v>2240</v>
      </c>
      <c r="AA429" s="70"/>
      <c r="AB429" s="70"/>
      <c r="AC429" s="70"/>
      <c r="AD429" s="70"/>
      <c r="AE429" s="70" t="s">
        <v>2240</v>
      </c>
      <c r="AF429" s="70" t="s">
        <v>2240</v>
      </c>
      <c r="AG429" s="142" t="s">
        <v>2240</v>
      </c>
      <c r="AH429" s="70" t="s">
        <v>2240</v>
      </c>
      <c r="AI429" s="70" t="s">
        <v>2240</v>
      </c>
      <c r="AJ429" s="70"/>
      <c r="AK429" s="70"/>
      <c r="AL429" s="70" t="s">
        <v>2240</v>
      </c>
      <c r="AM429" s="70" t="s">
        <v>2240</v>
      </c>
      <c r="AN429" s="70" t="s">
        <v>2240</v>
      </c>
      <c r="AO429" s="70" t="s">
        <v>2240</v>
      </c>
      <c r="AP429" s="70" t="s">
        <v>2240</v>
      </c>
      <c r="AQ429" s="70"/>
      <c r="AR429" s="70"/>
      <c r="AS429" s="70" t="s">
        <v>2240</v>
      </c>
      <c r="AT429" s="70" t="s">
        <v>2240</v>
      </c>
      <c r="AU429" s="70" t="s">
        <v>2240</v>
      </c>
      <c r="AV429" s="70" t="s">
        <v>2240</v>
      </c>
    </row>
    <row r="430" spans="1:48" ht="15.75" thickBot="1" x14ac:dyDescent="0.3">
      <c r="A430"/>
      <c r="B430"/>
      <c r="C430"/>
      <c r="D430"/>
      <c r="E430"/>
      <c r="F430" t="s">
        <v>188</v>
      </c>
      <c r="G430" s="30" t="s">
        <v>1159</v>
      </c>
      <c r="H430" s="30" t="s">
        <v>1053</v>
      </c>
      <c r="I430" t="s">
        <v>1143</v>
      </c>
      <c r="J430" s="30" t="s">
        <v>1104</v>
      </c>
      <c r="K430" s="30" t="s">
        <v>27</v>
      </c>
      <c r="L430" s="30"/>
      <c r="M430" s="30" t="s">
        <v>1145</v>
      </c>
      <c r="N430" s="30"/>
      <c r="O430" s="31">
        <f>COUNTIF(S430:AT430,"")</f>
        <v>27</v>
      </c>
      <c r="P430" s="136" t="s">
        <v>1791</v>
      </c>
      <c r="Q430" s="31">
        <f>COUNTIF(S430:AT430,"APAGADO")</f>
        <v>1</v>
      </c>
      <c r="R430" s="32">
        <f>(O430)/(Q430+O430)</f>
        <v>0.9642857142857143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 t="s">
        <v>2240</v>
      </c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1:48" ht="15.75" thickBot="1" x14ac:dyDescent="0.3">
      <c r="A431"/>
      <c r="B431"/>
      <c r="C431"/>
      <c r="D431"/>
      <c r="E431"/>
      <c r="F431" t="s">
        <v>188</v>
      </c>
      <c r="G431" s="30" t="s">
        <v>1160</v>
      </c>
      <c r="H431" s="30" t="s">
        <v>1053</v>
      </c>
      <c r="I431" t="s">
        <v>1143</v>
      </c>
      <c r="J431" s="30" t="s">
        <v>1104</v>
      </c>
      <c r="K431" s="30" t="s">
        <v>27</v>
      </c>
      <c r="L431" s="30"/>
      <c r="M431" s="30" t="s">
        <v>1144</v>
      </c>
      <c r="N431" s="30"/>
      <c r="O431" s="31">
        <f>COUNTIF(S431:AT431,"")</f>
        <v>27</v>
      </c>
      <c r="P431" s="136" t="s">
        <v>1790</v>
      </c>
      <c r="Q431" s="31">
        <f>COUNTIF(S431:AT431,"APAGADO")</f>
        <v>1</v>
      </c>
      <c r="R431" s="32">
        <f>(O431)/(Q431+O431)</f>
        <v>0.9642857142857143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 t="s">
        <v>2240</v>
      </c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s="73" customFormat="1" ht="15.75" thickBot="1" x14ac:dyDescent="0.3">
      <c r="A432"/>
      <c r="B432"/>
      <c r="C432"/>
      <c r="D432"/>
      <c r="E432"/>
      <c r="F432" t="s">
        <v>188</v>
      </c>
      <c r="G432" t="s">
        <v>190</v>
      </c>
      <c r="H432" t="s">
        <v>1053</v>
      </c>
      <c r="I432" t="s">
        <v>938</v>
      </c>
      <c r="J432" s="30" t="s">
        <v>45</v>
      </c>
      <c r="K432" s="30" t="s">
        <v>19</v>
      </c>
      <c r="L432" s="30"/>
      <c r="M432" s="30" t="s">
        <v>691</v>
      </c>
      <c r="N432" s="30"/>
      <c r="O432" s="31">
        <f>COUNTIF(S432:AT432,"")</f>
        <v>28</v>
      </c>
      <c r="P432" s="136"/>
      <c r="Q432" s="31">
        <f>COUNTIF(S432:AT432,"APAGADO")</f>
        <v>0</v>
      </c>
      <c r="R432" s="32">
        <f>(O432)/(Q432+O432)</f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ht="15.75" thickBot="1" x14ac:dyDescent="0.3">
      <c r="A433" s="69"/>
      <c r="B433" s="69"/>
      <c r="C433" s="69"/>
      <c r="D433" s="69"/>
      <c r="E433" s="69" t="s">
        <v>2366</v>
      </c>
      <c r="F433" s="69" t="s">
        <v>183</v>
      </c>
      <c r="G433" s="69" t="s">
        <v>1532</v>
      </c>
      <c r="H433" s="69" t="s">
        <v>1053</v>
      </c>
      <c r="I433" s="69" t="s">
        <v>1533</v>
      </c>
      <c r="J433" s="137" t="s">
        <v>14</v>
      </c>
      <c r="K433" s="137" t="s">
        <v>27</v>
      </c>
      <c r="L433" s="137"/>
      <c r="M433" s="137" t="s">
        <v>1535</v>
      </c>
      <c r="N433" s="137"/>
      <c r="O433" s="139">
        <f>COUNTIF(S433:AT433,"")</f>
        <v>16</v>
      </c>
      <c r="P433" s="140" t="s">
        <v>1778</v>
      </c>
      <c r="Q433" s="139">
        <f>COUNTIF(S433:AT433,"APAGADO")</f>
        <v>12</v>
      </c>
      <c r="R433" s="141">
        <f>(O433)/(Q433+O433)</f>
        <v>0.5714285714285714</v>
      </c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 t="s">
        <v>2240</v>
      </c>
      <c r="AF433" s="142" t="s">
        <v>2240</v>
      </c>
      <c r="AG433" s="142" t="s">
        <v>2240</v>
      </c>
      <c r="AH433" s="70" t="s">
        <v>2240</v>
      </c>
      <c r="AI433" s="70" t="s">
        <v>2240</v>
      </c>
      <c r="AJ433" s="142"/>
      <c r="AK433" s="142"/>
      <c r="AL433" s="70" t="s">
        <v>2240</v>
      </c>
      <c r="AM433" s="70" t="s">
        <v>2240</v>
      </c>
      <c r="AN433" s="70" t="s">
        <v>2240</v>
      </c>
      <c r="AO433" s="70" t="s">
        <v>2240</v>
      </c>
      <c r="AP433" s="70" t="s">
        <v>2240</v>
      </c>
      <c r="AQ433" s="142"/>
      <c r="AR433" s="70"/>
      <c r="AS433" s="70" t="s">
        <v>2240</v>
      </c>
      <c r="AT433" s="70" t="s">
        <v>2240</v>
      </c>
      <c r="AU433" s="70" t="s">
        <v>2240</v>
      </c>
      <c r="AV433" s="70" t="s">
        <v>2240</v>
      </c>
    </row>
    <row r="434" spans="1:48" ht="16.899999999999999" customHeight="1" thickBot="1" x14ac:dyDescent="0.3">
      <c r="A434"/>
      <c r="B434"/>
      <c r="C434"/>
      <c r="D434"/>
      <c r="E434" t="s">
        <v>2366</v>
      </c>
      <c r="F434" t="s">
        <v>183</v>
      </c>
      <c r="G434" t="s">
        <v>1531</v>
      </c>
      <c r="H434" t="s">
        <v>1053</v>
      </c>
      <c r="I434" t="s">
        <v>968</v>
      </c>
      <c r="J434" s="30" t="s">
        <v>45</v>
      </c>
      <c r="K434" s="30" t="s">
        <v>27</v>
      </c>
      <c r="L434" s="30"/>
      <c r="M434" s="30" t="s">
        <v>1534</v>
      </c>
      <c r="N434" s="30"/>
      <c r="O434" s="31">
        <f>COUNTIF(S434:AT434,"")</f>
        <v>28</v>
      </c>
      <c r="P434" s="136" t="s">
        <v>1777</v>
      </c>
      <c r="Q434" s="31">
        <f>COUNTIF(S434:AT434,"APAGADO")</f>
        <v>0</v>
      </c>
      <c r="R434" s="32">
        <f>(O434)/(Q434+O434)</f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customHeight="1" thickBot="1" x14ac:dyDescent="0.3">
      <c r="A435"/>
      <c r="B435"/>
      <c r="C435"/>
      <c r="D435"/>
      <c r="E435" t="s">
        <v>2366</v>
      </c>
      <c r="F435" t="s">
        <v>183</v>
      </c>
      <c r="G435" t="s">
        <v>937</v>
      </c>
      <c r="H435" t="s">
        <v>1053</v>
      </c>
      <c r="I435" t="s">
        <v>187</v>
      </c>
      <c r="J435" s="30" t="s">
        <v>14</v>
      </c>
      <c r="K435" s="30" t="s">
        <v>27</v>
      </c>
      <c r="L435" s="30"/>
      <c r="M435" s="30" t="s">
        <v>685</v>
      </c>
      <c r="N435" s="30"/>
      <c r="O435" s="31">
        <f>COUNTIF(S435:AT435,"")</f>
        <v>28</v>
      </c>
      <c r="P435" s="136" t="s">
        <v>1776</v>
      </c>
      <c r="Q435" s="31">
        <f>COUNTIF(S435:AT435,"APAGADO")</f>
        <v>0</v>
      </c>
      <c r="R435" s="32">
        <f>(O435)/(Q435+O435)</f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customHeight="1" thickBot="1" x14ac:dyDescent="0.3">
      <c r="A436"/>
      <c r="B436"/>
      <c r="C436"/>
      <c r="D436"/>
      <c r="E436" t="s">
        <v>2366</v>
      </c>
      <c r="F436" t="s">
        <v>183</v>
      </c>
      <c r="G436" t="s">
        <v>936</v>
      </c>
      <c r="H436" t="s">
        <v>1053</v>
      </c>
      <c r="I436" t="s">
        <v>186</v>
      </c>
      <c r="J436" s="30" t="s">
        <v>18</v>
      </c>
      <c r="K436" s="30" t="s">
        <v>27</v>
      </c>
      <c r="L436" s="30"/>
      <c r="M436" s="30" t="s">
        <v>1300</v>
      </c>
      <c r="N436" s="30"/>
      <c r="O436" s="31">
        <f>COUNTIF(S436:AT436,"")</f>
        <v>28</v>
      </c>
      <c r="P436" s="136" t="s">
        <v>1775</v>
      </c>
      <c r="Q436" s="31">
        <f>COUNTIF(S436:AT436,"APAGADO")</f>
        <v>0</v>
      </c>
      <c r="R436" s="32">
        <f>(O436)/(Q436+O436)</f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s="73" customFormat="1" ht="16.899999999999999" customHeight="1" thickBot="1" x14ac:dyDescent="0.3">
      <c r="A437"/>
      <c r="B437"/>
      <c r="C437"/>
      <c r="D437"/>
      <c r="E437" t="s">
        <v>2366</v>
      </c>
      <c r="F437" t="s">
        <v>183</v>
      </c>
      <c r="G437" t="s">
        <v>935</v>
      </c>
      <c r="H437" t="s">
        <v>1053</v>
      </c>
      <c r="I437" t="s">
        <v>185</v>
      </c>
      <c r="J437" s="30" t="s">
        <v>14</v>
      </c>
      <c r="K437" s="30" t="s">
        <v>27</v>
      </c>
      <c r="L437" s="30"/>
      <c r="M437" s="30" t="s">
        <v>684</v>
      </c>
      <c r="N437" s="30"/>
      <c r="O437" s="31">
        <f>COUNTIF(S437:AT437,"")</f>
        <v>28</v>
      </c>
      <c r="P437" s="136" t="s">
        <v>1774</v>
      </c>
      <c r="Q437" s="31">
        <f>COUNTIF(S437:AT437,"APAGADO")</f>
        <v>0</v>
      </c>
      <c r="R437" s="32">
        <f>(O437)/(Q437+O437)</f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8" ht="15.75" thickBot="1" x14ac:dyDescent="0.3">
      <c r="A438"/>
      <c r="B438"/>
      <c r="C438"/>
      <c r="D438"/>
      <c r="E438" t="s">
        <v>2366</v>
      </c>
      <c r="F438" t="s">
        <v>183</v>
      </c>
      <c r="G438" t="s">
        <v>934</v>
      </c>
      <c r="H438" t="s">
        <v>1053</v>
      </c>
      <c r="I438" t="s">
        <v>184</v>
      </c>
      <c r="J438" s="30" t="s">
        <v>14</v>
      </c>
      <c r="K438" s="30" t="s">
        <v>27</v>
      </c>
      <c r="L438" s="30"/>
      <c r="M438" s="30" t="s">
        <v>683</v>
      </c>
      <c r="N438" s="30"/>
      <c r="O438" s="31">
        <f>COUNTIF(S438:AT438,"")</f>
        <v>12</v>
      </c>
      <c r="P438" s="136" t="s">
        <v>1773</v>
      </c>
      <c r="Q438" s="31">
        <f>COUNTIF(S438:AT438,"APAGADO")</f>
        <v>16</v>
      </c>
      <c r="R438" s="32">
        <f>(O438)/(Q438+O438)</f>
        <v>0.42857142857142855</v>
      </c>
      <c r="S438" s="70" t="s">
        <v>2240</v>
      </c>
      <c r="T438" s="70"/>
      <c r="U438" s="70"/>
      <c r="V438" s="70"/>
      <c r="W438" s="70"/>
      <c r="X438" s="70" t="s">
        <v>2240</v>
      </c>
      <c r="Y438" s="70" t="s">
        <v>2240</v>
      </c>
      <c r="Z438" s="70" t="s">
        <v>2240</v>
      </c>
      <c r="AA438" s="70"/>
      <c r="AB438" s="70"/>
      <c r="AC438" s="70"/>
      <c r="AD438" s="70"/>
      <c r="AE438" s="70" t="s">
        <v>2240</v>
      </c>
      <c r="AF438" s="70" t="s">
        <v>2240</v>
      </c>
      <c r="AG438" s="70" t="s">
        <v>2240</v>
      </c>
      <c r="AH438" s="70" t="s">
        <v>2240</v>
      </c>
      <c r="AI438" s="70" t="s">
        <v>2240</v>
      </c>
      <c r="AJ438" s="70"/>
      <c r="AK438" s="70"/>
      <c r="AL438" s="70" t="s">
        <v>2240</v>
      </c>
      <c r="AM438" s="70" t="s">
        <v>2240</v>
      </c>
      <c r="AN438" s="70" t="s">
        <v>2240</v>
      </c>
      <c r="AO438" s="70" t="s">
        <v>2240</v>
      </c>
      <c r="AP438" s="70" t="s">
        <v>2240</v>
      </c>
      <c r="AQ438" s="70"/>
      <c r="AR438" s="70"/>
      <c r="AS438" s="70" t="s">
        <v>2240</v>
      </c>
      <c r="AT438" s="70" t="s">
        <v>2240</v>
      </c>
      <c r="AU438" s="70" t="s">
        <v>2240</v>
      </c>
      <c r="AV438" s="70" t="s">
        <v>2240</v>
      </c>
    </row>
    <row r="439" spans="1:48" ht="15.75" thickBot="1" x14ac:dyDescent="0.3">
      <c r="A439"/>
      <c r="B439"/>
      <c r="C439"/>
      <c r="D439"/>
      <c r="E439"/>
      <c r="F439" s="73" t="s">
        <v>1319</v>
      </c>
      <c r="G439" s="73" t="s">
        <v>1307</v>
      </c>
      <c r="H439" s="73" t="s">
        <v>1053</v>
      </c>
      <c r="I439" s="73" t="s">
        <v>1308</v>
      </c>
      <c r="J439" s="84" t="s">
        <v>18</v>
      </c>
      <c r="K439" s="84" t="s">
        <v>1291</v>
      </c>
      <c r="L439" s="84"/>
      <c r="M439" s="84" t="s">
        <v>2332</v>
      </c>
      <c r="N439" s="84"/>
      <c r="O439" s="131">
        <f>COUNTIF(S439:AT439,"")</f>
        <v>27</v>
      </c>
      <c r="P439" s="136" t="s">
        <v>1771</v>
      </c>
      <c r="Q439" s="131">
        <f>COUNTIF(S439:AT439,"APAGADO")</f>
        <v>1</v>
      </c>
      <c r="R439" s="132">
        <f>(O439)/(Q439+O439)</f>
        <v>0.9642857142857143</v>
      </c>
      <c r="S439" s="70"/>
      <c r="T439" s="70"/>
      <c r="U439" s="70"/>
      <c r="V439" s="70"/>
      <c r="W439" s="70"/>
      <c r="X439" s="70"/>
      <c r="Y439" s="70"/>
      <c r="Z439" s="70" t="s">
        <v>2240</v>
      </c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8" ht="15.75" thickBot="1" x14ac:dyDescent="0.3">
      <c r="A440"/>
      <c r="B440"/>
      <c r="C440"/>
      <c r="D440"/>
      <c r="E440"/>
      <c r="F440" s="73" t="s">
        <v>1319</v>
      </c>
      <c r="G440" s="73" t="s">
        <v>2262</v>
      </c>
      <c r="H440" s="73" t="s">
        <v>1053</v>
      </c>
      <c r="I440" s="73" t="s">
        <v>2263</v>
      </c>
      <c r="J440" s="84" t="s">
        <v>14</v>
      </c>
      <c r="K440" s="84" t="s">
        <v>1291</v>
      </c>
      <c r="L440" s="84"/>
      <c r="M440" s="84" t="s">
        <v>2264</v>
      </c>
      <c r="N440" s="84"/>
      <c r="O440" s="131">
        <f>COUNTIF(S440:AT440,"")</f>
        <v>28</v>
      </c>
      <c r="P440" s="136" t="s">
        <v>2331</v>
      </c>
      <c r="Q440" s="131">
        <f>COUNTIF(S440:AT440,"APAGADO")</f>
        <v>0</v>
      </c>
      <c r="R440" s="132">
        <f>(O440)/(Q440+O440)</f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8" ht="15.75" thickBot="1" x14ac:dyDescent="0.3">
      <c r="A441"/>
      <c r="B441"/>
      <c r="C441"/>
      <c r="D441"/>
      <c r="E441"/>
      <c r="F441" s="73" t="s">
        <v>1319</v>
      </c>
      <c r="G441" s="73" t="s">
        <v>1323</v>
      </c>
      <c r="H441" s="73" t="s">
        <v>1053</v>
      </c>
      <c r="I441" s="73" t="s">
        <v>1324</v>
      </c>
      <c r="J441" s="84" t="s">
        <v>14</v>
      </c>
      <c r="K441" s="84" t="s">
        <v>1291</v>
      </c>
      <c r="L441" s="84"/>
      <c r="M441" s="84" t="s">
        <v>1480</v>
      </c>
      <c r="N441" s="84"/>
      <c r="O441" s="131">
        <f>COUNTIF(S441:AT441,"")</f>
        <v>28</v>
      </c>
      <c r="P441" s="136" t="s">
        <v>1772</v>
      </c>
      <c r="Q441" s="131">
        <f>COUNTIF(S441:AT441,"APAGADO")</f>
        <v>0</v>
      </c>
      <c r="R441" s="132">
        <f>(O441)/(Q441+O441)</f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ht="15.75" thickBot="1" x14ac:dyDescent="0.3">
      <c r="A442" s="88"/>
      <c r="B442" s="88"/>
      <c r="C442" s="88"/>
      <c r="D442" s="88"/>
      <c r="E442" s="88"/>
      <c r="F442" s="73" t="s">
        <v>181</v>
      </c>
      <c r="G442" s="73" t="s">
        <v>179</v>
      </c>
      <c r="H442" s="88" t="s">
        <v>1052</v>
      </c>
      <c r="I442" s="73" t="s">
        <v>180</v>
      </c>
      <c r="J442" s="89" t="s">
        <v>18</v>
      </c>
      <c r="K442" s="84" t="s">
        <v>1291</v>
      </c>
      <c r="L442" s="84"/>
      <c r="M442" s="84" t="s">
        <v>2325</v>
      </c>
      <c r="N442" s="84"/>
      <c r="O442" s="85">
        <f>COUNTIF(S442:AT442,"")</f>
        <v>28</v>
      </c>
      <c r="P442" s="136" t="s">
        <v>2326</v>
      </c>
      <c r="Q442" s="85">
        <f>COUNTIF(S442:AT442,"APAGADO")</f>
        <v>0</v>
      </c>
      <c r="R442" s="130">
        <f>(O442)/(Q442+O442)</f>
        <v>1</v>
      </c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70"/>
      <c r="AN442" s="90"/>
      <c r="AO442" s="90"/>
      <c r="AP442" s="90"/>
      <c r="AQ442" s="90"/>
      <c r="AR442" s="90"/>
      <c r="AS442" s="90"/>
      <c r="AT442" s="90"/>
      <c r="AU442" s="90"/>
      <c r="AV442" s="90"/>
    </row>
    <row r="443" spans="1:48" ht="15.75" thickBot="1" x14ac:dyDescent="0.3">
      <c r="A443" s="88"/>
      <c r="B443" s="88"/>
      <c r="C443" s="88"/>
      <c r="D443" s="88"/>
      <c r="E443" s="88"/>
      <c r="F443" s="73" t="s">
        <v>181</v>
      </c>
      <c r="G443" s="73" t="s">
        <v>933</v>
      </c>
      <c r="H443" s="88" t="s">
        <v>1052</v>
      </c>
      <c r="I443" s="73" t="s">
        <v>932</v>
      </c>
      <c r="J443" s="89" t="s">
        <v>72</v>
      </c>
      <c r="K443" s="84" t="s">
        <v>1291</v>
      </c>
      <c r="L443" s="84" t="s">
        <v>1239</v>
      </c>
      <c r="M443" s="84" t="s">
        <v>1206</v>
      </c>
      <c r="N443" s="84"/>
      <c r="O443" s="31">
        <f>COUNTIF(S443:AT443,"")</f>
        <v>28</v>
      </c>
      <c r="P443" s="136" t="s">
        <v>2328</v>
      </c>
      <c r="Q443" s="31">
        <f>COUNTIF(S443:AT443,"APAGADO")</f>
        <v>0</v>
      </c>
      <c r="R443" s="32">
        <f>(O443)/(Q443+O443)</f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90"/>
      <c r="AL443" s="90"/>
      <c r="AM443" s="70"/>
      <c r="AN443" s="90"/>
      <c r="AO443" s="90"/>
      <c r="AP443" s="90"/>
      <c r="AQ443" s="90"/>
      <c r="AR443" s="90"/>
      <c r="AS443" s="90"/>
      <c r="AT443" s="90"/>
      <c r="AU443" s="90"/>
      <c r="AV443" s="90"/>
    </row>
    <row r="444" spans="1:48" s="73" customFormat="1" ht="15.75" thickBot="1" x14ac:dyDescent="0.3">
      <c r="A444" s="88"/>
      <c r="B444" s="88"/>
      <c r="C444" s="88"/>
      <c r="D444" s="88"/>
      <c r="E444" s="88"/>
      <c r="F444" s="73" t="s">
        <v>181</v>
      </c>
      <c r="G444" s="73" t="s">
        <v>931</v>
      </c>
      <c r="H444" s="88" t="s">
        <v>1052</v>
      </c>
      <c r="I444" s="73" t="s">
        <v>932</v>
      </c>
      <c r="J444" s="89" t="s">
        <v>72</v>
      </c>
      <c r="K444" s="84" t="s">
        <v>1291</v>
      </c>
      <c r="L444" s="84" t="s">
        <v>1239</v>
      </c>
      <c r="M444" s="84" t="s">
        <v>1205</v>
      </c>
      <c r="N444" s="84"/>
      <c r="O444" s="31">
        <f>COUNTIF(S444:AT444,"")</f>
        <v>28</v>
      </c>
      <c r="P444" s="136" t="s">
        <v>2327</v>
      </c>
      <c r="Q444" s="31">
        <f>COUNTIF(S444:AT444,"APAGADO")</f>
        <v>0</v>
      </c>
      <c r="R444" s="32">
        <f>(O444)/(Q444+O444)</f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90"/>
      <c r="AL444" s="90"/>
      <c r="AM444" s="70"/>
      <c r="AN444" s="90"/>
      <c r="AO444" s="90"/>
      <c r="AP444" s="90"/>
      <c r="AQ444" s="90"/>
      <c r="AR444" s="90"/>
      <c r="AS444" s="90"/>
      <c r="AT444" s="90"/>
      <c r="AU444" s="90"/>
      <c r="AV444" s="90"/>
    </row>
    <row r="445" spans="1:48" s="73" customFormat="1" ht="15.75" thickBot="1" x14ac:dyDescent="0.3">
      <c r="A445">
        <v>6</v>
      </c>
      <c r="B445">
        <v>12</v>
      </c>
      <c r="C445"/>
      <c r="D445"/>
      <c r="E445" t="s">
        <v>2353</v>
      </c>
      <c r="F445" t="s">
        <v>181</v>
      </c>
      <c r="G445" t="s">
        <v>930</v>
      </c>
      <c r="H445" t="s">
        <v>1052</v>
      </c>
      <c r="I445" t="s">
        <v>182</v>
      </c>
      <c r="J445" s="30" t="s">
        <v>72</v>
      </c>
      <c r="K445" s="30" t="s">
        <v>1046</v>
      </c>
      <c r="L445" s="30" t="s">
        <v>1239</v>
      </c>
      <c r="M445" s="30" t="s">
        <v>682</v>
      </c>
      <c r="N445" s="30"/>
      <c r="O445" s="31">
        <f>COUNTIF(S445:AT445,"")</f>
        <v>28</v>
      </c>
      <c r="P445" s="136" t="s">
        <v>1768</v>
      </c>
      <c r="Q445" s="31">
        <f>COUNTIF(S445:AT445,"APAGADO")</f>
        <v>0</v>
      </c>
      <c r="R445" s="32">
        <f>(O445)/(Q445+O445)</f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thickBot="1" x14ac:dyDescent="0.3">
      <c r="A446">
        <v>6</v>
      </c>
      <c r="B446">
        <v>12</v>
      </c>
      <c r="C446"/>
      <c r="D446"/>
      <c r="E446" t="s">
        <v>2353</v>
      </c>
      <c r="F446" t="s">
        <v>181</v>
      </c>
      <c r="G446" t="s">
        <v>929</v>
      </c>
      <c r="H446" t="s">
        <v>1052</v>
      </c>
      <c r="I446" t="s">
        <v>182</v>
      </c>
      <c r="J446" s="30" t="s">
        <v>72</v>
      </c>
      <c r="K446" s="30" t="s">
        <v>1046</v>
      </c>
      <c r="L446" s="30" t="s">
        <v>1239</v>
      </c>
      <c r="M446" s="30" t="s">
        <v>681</v>
      </c>
      <c r="N446" s="30"/>
      <c r="O446" s="31">
        <f>COUNTIF(S446:AT446,"")</f>
        <v>28</v>
      </c>
      <c r="P446" s="136" t="s">
        <v>1767</v>
      </c>
      <c r="Q446" s="31">
        <f>COUNTIF(S446:AT446,"APAGADO")</f>
        <v>0</v>
      </c>
      <c r="R446" s="32">
        <f>(O446)/(Q446+O446)</f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thickBot="1" x14ac:dyDescent="0.3">
      <c r="A447"/>
      <c r="B447"/>
      <c r="C447"/>
      <c r="D447"/>
      <c r="E447"/>
      <c r="F447" t="s">
        <v>181</v>
      </c>
      <c r="G447" t="s">
        <v>1124</v>
      </c>
      <c r="H447" t="s">
        <v>1052</v>
      </c>
      <c r="I447" t="s">
        <v>1119</v>
      </c>
      <c r="J447" s="30" t="s">
        <v>72</v>
      </c>
      <c r="K447" s="30" t="s">
        <v>1046</v>
      </c>
      <c r="L447" s="30" t="s">
        <v>1239</v>
      </c>
      <c r="M447" s="30" t="s">
        <v>1132</v>
      </c>
      <c r="N447" s="30"/>
      <c r="O447" s="31">
        <f>COUNTIF(S447:AT447,"")</f>
        <v>28</v>
      </c>
      <c r="P447" s="136" t="s">
        <v>1769</v>
      </c>
      <c r="Q447" s="31">
        <f>COUNTIF(S447:AT447,"APAGADO")</f>
        <v>0</v>
      </c>
      <c r="R447" s="32">
        <f>(O447)/(Q447+O447)</f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thickBot="1" x14ac:dyDescent="0.3">
      <c r="A448"/>
      <c r="B448"/>
      <c r="C448"/>
      <c r="D448"/>
      <c r="E448"/>
      <c r="F448" s="73" t="s">
        <v>181</v>
      </c>
      <c r="G448" s="73" t="s">
        <v>2100</v>
      </c>
      <c r="H448" s="73" t="s">
        <v>1052</v>
      </c>
      <c r="I448" s="73" t="s">
        <v>2101</v>
      </c>
      <c r="J448" s="84" t="s">
        <v>45</v>
      </c>
      <c r="K448" s="84" t="s">
        <v>1291</v>
      </c>
      <c r="L448" s="84"/>
      <c r="M448" s="84" t="s">
        <v>2104</v>
      </c>
      <c r="N448" s="84"/>
      <c r="O448" s="31">
        <f>COUNTIF(S448:AT448,"")</f>
        <v>28</v>
      </c>
      <c r="P448" s="136" t="s">
        <v>2330</v>
      </c>
      <c r="Q448" s="31">
        <f>COUNTIF(S448:AT448,"APAGADO")</f>
        <v>0</v>
      </c>
      <c r="R448" s="32">
        <f>(O448)/(Q448+O448)</f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thickBot="1" x14ac:dyDescent="0.3">
      <c r="A449"/>
      <c r="B449"/>
      <c r="C449"/>
      <c r="D449"/>
      <c r="E449"/>
      <c r="F449" s="73" t="s">
        <v>181</v>
      </c>
      <c r="G449" s="73" t="s">
        <v>1539</v>
      </c>
      <c r="H449" s="73" t="s">
        <v>1052</v>
      </c>
      <c r="I449" s="73" t="s">
        <v>1540</v>
      </c>
      <c r="J449" s="84" t="s">
        <v>45</v>
      </c>
      <c r="K449" s="84" t="s">
        <v>1291</v>
      </c>
      <c r="L449" s="84"/>
      <c r="M449" s="84" t="s">
        <v>1541</v>
      </c>
      <c r="N449" s="84"/>
      <c r="O449" s="31">
        <f>COUNTIF(S449:AT449,"")</f>
        <v>28</v>
      </c>
      <c r="P449" s="136" t="s">
        <v>2329</v>
      </c>
      <c r="Q449" s="31">
        <f>COUNTIF(S449:AT449,"APAGADO")</f>
        <v>0</v>
      </c>
      <c r="R449" s="32">
        <f>(O449)/(Q449+O449)</f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ht="15.75" thickBot="1" x14ac:dyDescent="0.3">
      <c r="A450"/>
      <c r="B450"/>
      <c r="C450"/>
      <c r="D450"/>
      <c r="E450"/>
      <c r="F450" t="s">
        <v>181</v>
      </c>
      <c r="G450" t="s">
        <v>1125</v>
      </c>
      <c r="H450" t="s">
        <v>1052</v>
      </c>
      <c r="I450" t="s">
        <v>1119</v>
      </c>
      <c r="J450" s="30" t="s">
        <v>72</v>
      </c>
      <c r="K450" s="30" t="s">
        <v>1046</v>
      </c>
      <c r="L450" s="30" t="s">
        <v>1239</v>
      </c>
      <c r="M450" s="30" t="s">
        <v>1133</v>
      </c>
      <c r="N450" s="30"/>
      <c r="O450" s="31">
        <f>COUNTIF(S450:AT450,"")</f>
        <v>28</v>
      </c>
      <c r="P450" s="136" t="s">
        <v>1770</v>
      </c>
      <c r="Q450" s="31">
        <f>COUNTIF(S450:AT450,"APAGADO")</f>
        <v>0</v>
      </c>
      <c r="R450" s="32">
        <f>(O450)/(Q450+O450)</f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8" s="69" customFormat="1" ht="15.75" thickBot="1" x14ac:dyDescent="0.3">
      <c r="A451"/>
      <c r="B451"/>
      <c r="C451"/>
      <c r="D451"/>
      <c r="E451"/>
      <c r="F451" s="73" t="s">
        <v>1184</v>
      </c>
      <c r="G451" s="84" t="s">
        <v>1493</v>
      </c>
      <c r="H451" s="73" t="s">
        <v>1053</v>
      </c>
      <c r="I451" s="73" t="s">
        <v>1494</v>
      </c>
      <c r="J451" s="84" t="s">
        <v>18</v>
      </c>
      <c r="K451" s="84" t="s">
        <v>1291</v>
      </c>
      <c r="L451" s="84"/>
      <c r="M451" s="84" t="s">
        <v>1495</v>
      </c>
      <c r="N451" s="84"/>
      <c r="O451" s="131">
        <f>COUNTIF(S451:AT451,"")</f>
        <v>25</v>
      </c>
      <c r="P451" s="136" t="s">
        <v>2133</v>
      </c>
      <c r="Q451" s="131">
        <f>COUNTIF(S451:AT451,"APAGADO")</f>
        <v>3</v>
      </c>
      <c r="R451" s="132">
        <f>(O451)/(Q451+O451)</f>
        <v>0.8928571428571429</v>
      </c>
      <c r="S451" s="70"/>
      <c r="T451" s="70"/>
      <c r="U451" s="70"/>
      <c r="V451" s="70"/>
      <c r="W451" s="70"/>
      <c r="X451" s="70" t="s">
        <v>2240</v>
      </c>
      <c r="Y451" s="70" t="s">
        <v>2240</v>
      </c>
      <c r="Z451" s="70" t="s">
        <v>2240</v>
      </c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8" s="69" customFormat="1" ht="15.75" thickBot="1" x14ac:dyDescent="0.3">
      <c r="A452"/>
      <c r="B452"/>
      <c r="C452"/>
      <c r="D452"/>
      <c r="E452"/>
      <c r="G452" t="s">
        <v>2362</v>
      </c>
      <c r="H452" t="s">
        <v>1053</v>
      </c>
      <c r="I452" t="s">
        <v>2363</v>
      </c>
      <c r="J452" s="30" t="s">
        <v>14</v>
      </c>
      <c r="K452" s="30" t="s">
        <v>1291</v>
      </c>
      <c r="L452"/>
      <c r="M452" s="30" t="s">
        <v>2364</v>
      </c>
      <c r="N452" s="30"/>
      <c r="O452" s="31"/>
      <c r="P452" s="136" t="s">
        <v>2365</v>
      </c>
      <c r="Q452" s="31"/>
      <c r="R452" s="32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8" ht="15.75" thickBot="1" x14ac:dyDescent="0.3">
      <c r="A453">
        <v>6</v>
      </c>
      <c r="B453">
        <v>12</v>
      </c>
      <c r="C453"/>
      <c r="D453"/>
      <c r="E453" t="s">
        <v>2353</v>
      </c>
      <c r="F453" s="69" t="s">
        <v>176</v>
      </c>
      <c r="G453" t="s">
        <v>1217</v>
      </c>
      <c r="H453" t="s">
        <v>1053</v>
      </c>
      <c r="I453" t="s">
        <v>1218</v>
      </c>
      <c r="J453" t="s">
        <v>18</v>
      </c>
      <c r="K453" t="s">
        <v>27</v>
      </c>
      <c r="L453"/>
      <c r="M453" s="30" t="s">
        <v>1228</v>
      </c>
      <c r="N453" s="30"/>
      <c r="O453" s="31">
        <f>COUNTIF(S453:AT453,"")</f>
        <v>23</v>
      </c>
      <c r="P453" s="136" t="s">
        <v>1766</v>
      </c>
      <c r="Q453" s="31">
        <f>COUNTIF(S453:AT453,"APAGADO")</f>
        <v>5</v>
      </c>
      <c r="R453" s="32">
        <f>(O453)/(Q453+O453)</f>
        <v>0.8214285714285714</v>
      </c>
      <c r="S453" s="70" t="s">
        <v>2240</v>
      </c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 t="s">
        <v>2240</v>
      </c>
      <c r="AJ453" s="70"/>
      <c r="AK453" s="70"/>
      <c r="AL453" s="70"/>
      <c r="AM453" s="70"/>
      <c r="AN453" s="70"/>
      <c r="AO453" s="70" t="s">
        <v>2240</v>
      </c>
      <c r="AP453" s="70"/>
      <c r="AQ453" s="70"/>
      <c r="AR453" s="70"/>
      <c r="AS453" s="70" t="s">
        <v>2240</v>
      </c>
      <c r="AT453" s="70" t="s">
        <v>2240</v>
      </c>
      <c r="AU453" s="70" t="s">
        <v>2240</v>
      </c>
      <c r="AV453" s="70" t="s">
        <v>2240</v>
      </c>
    </row>
    <row r="454" spans="1:48" ht="15.75" thickBot="1" x14ac:dyDescent="0.3">
      <c r="A454"/>
      <c r="B454"/>
      <c r="C454"/>
      <c r="D454"/>
      <c r="E454"/>
      <c r="F454" t="s">
        <v>176</v>
      </c>
      <c r="G454" t="s">
        <v>928</v>
      </c>
      <c r="H454" t="s">
        <v>1053</v>
      </c>
      <c r="I454" t="s">
        <v>178</v>
      </c>
      <c r="J454" s="30" t="s">
        <v>14</v>
      </c>
      <c r="K454" s="30" t="s">
        <v>19</v>
      </c>
      <c r="L454" s="30"/>
      <c r="M454" s="30" t="s">
        <v>2375</v>
      </c>
      <c r="N454" s="30"/>
      <c r="O454" s="31">
        <f>COUNTIF(S454:AT454,"")</f>
        <v>27</v>
      </c>
      <c r="P454" s="136" t="s">
        <v>1764</v>
      </c>
      <c r="Q454" s="31">
        <f>COUNTIF(S454:AT454,"APAGADO")</f>
        <v>1</v>
      </c>
      <c r="R454" s="32">
        <f>(O454)/(Q454+O454)</f>
        <v>0.9642857142857143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 t="s">
        <v>2240</v>
      </c>
      <c r="AQ454" s="70"/>
      <c r="AR454" s="70"/>
      <c r="AS454" s="70"/>
      <c r="AT454" s="70"/>
      <c r="AU454" s="70"/>
      <c r="AV454" s="70"/>
    </row>
    <row r="455" spans="1:48" ht="15.75" thickBot="1" x14ac:dyDescent="0.3">
      <c r="A455">
        <v>6</v>
      </c>
      <c r="B455">
        <v>12</v>
      </c>
      <c r="C455"/>
      <c r="D455"/>
      <c r="E455" t="s">
        <v>2353</v>
      </c>
      <c r="F455" t="s">
        <v>176</v>
      </c>
      <c r="G455" t="s">
        <v>2373</v>
      </c>
      <c r="H455" t="s">
        <v>1053</v>
      </c>
      <c r="I455" t="s">
        <v>177</v>
      </c>
      <c r="J455" s="30" t="s">
        <v>18</v>
      </c>
      <c r="K455" s="30" t="s">
        <v>1046</v>
      </c>
      <c r="L455" s="30"/>
      <c r="M455" s="30" t="s">
        <v>1299</v>
      </c>
      <c r="N455" s="30"/>
      <c r="O455" s="31">
        <f>COUNTIF(S455:AT455,"")</f>
        <v>13</v>
      </c>
      <c r="P455" s="136" t="s">
        <v>1765</v>
      </c>
      <c r="Q455" s="31">
        <f>COUNTIF(S455:AT455,"APAGADO")</f>
        <v>15</v>
      </c>
      <c r="R455" s="32">
        <f>(O455)/(Q455+O455)</f>
        <v>0.4642857142857143</v>
      </c>
      <c r="S455" s="70" t="s">
        <v>2240</v>
      </c>
      <c r="T455" s="70"/>
      <c r="U455" s="70"/>
      <c r="V455" s="70"/>
      <c r="W455" s="70"/>
      <c r="X455" s="70" t="s">
        <v>2240</v>
      </c>
      <c r="Y455" s="70" t="s">
        <v>2240</v>
      </c>
      <c r="Z455" s="70" t="s">
        <v>2240</v>
      </c>
      <c r="AA455" s="70"/>
      <c r="AB455" s="70"/>
      <c r="AC455" s="70"/>
      <c r="AD455" s="70"/>
      <c r="AE455" s="70" t="s">
        <v>2240</v>
      </c>
      <c r="AF455" s="70" t="s">
        <v>2240</v>
      </c>
      <c r="AG455" s="70" t="s">
        <v>2240</v>
      </c>
      <c r="AH455" s="70" t="s">
        <v>2240</v>
      </c>
      <c r="AI455" s="70" t="s">
        <v>2240</v>
      </c>
      <c r="AJ455" s="70"/>
      <c r="AK455" s="70"/>
      <c r="AL455" s="70" t="s">
        <v>2240</v>
      </c>
      <c r="AM455" s="70" t="s">
        <v>2240</v>
      </c>
      <c r="AN455" s="70"/>
      <c r="AO455" s="70" t="s">
        <v>2240</v>
      </c>
      <c r="AP455" s="70" t="s">
        <v>2240</v>
      </c>
      <c r="AQ455" s="70"/>
      <c r="AR455" s="70"/>
      <c r="AS455" s="70" t="s">
        <v>2240</v>
      </c>
      <c r="AT455" s="70" t="s">
        <v>2240</v>
      </c>
      <c r="AU455" s="70" t="s">
        <v>2240</v>
      </c>
      <c r="AV455" s="70" t="s">
        <v>2240</v>
      </c>
    </row>
    <row r="456" spans="1:48" s="73" customFormat="1" ht="15.75" thickBot="1" x14ac:dyDescent="0.3">
      <c r="A456">
        <v>6</v>
      </c>
      <c r="B456">
        <v>12</v>
      </c>
      <c r="C456"/>
      <c r="D456"/>
      <c r="E456" t="s">
        <v>2353</v>
      </c>
      <c r="F456" t="s">
        <v>174</v>
      </c>
      <c r="G456" t="s">
        <v>2372</v>
      </c>
      <c r="H456" t="s">
        <v>1053</v>
      </c>
      <c r="I456" t="s">
        <v>175</v>
      </c>
      <c r="J456" s="30" t="s">
        <v>18</v>
      </c>
      <c r="K456" s="30" t="s">
        <v>27</v>
      </c>
      <c r="L456" s="30"/>
      <c r="M456" s="30" t="s">
        <v>2178</v>
      </c>
      <c r="N456" s="30"/>
      <c r="O456" s="31">
        <f>COUNTIF(S456:AT456,"")</f>
        <v>22</v>
      </c>
      <c r="P456" s="136" t="s">
        <v>1764</v>
      </c>
      <c r="Q456" s="31">
        <f>COUNTIF(S456:AT456,"APAGADO")</f>
        <v>6</v>
      </c>
      <c r="R456" s="32">
        <f>(O456)/(Q456+O456)</f>
        <v>0.7857142857142857</v>
      </c>
      <c r="S456" s="70" t="s">
        <v>2240</v>
      </c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2240</v>
      </c>
      <c r="AJ456" s="70"/>
      <c r="AK456" s="70"/>
      <c r="AL456" s="70"/>
      <c r="AM456" s="70"/>
      <c r="AN456" s="70"/>
      <c r="AO456" s="70" t="s">
        <v>2240</v>
      </c>
      <c r="AP456" s="70" t="s">
        <v>2240</v>
      </c>
      <c r="AQ456" s="70"/>
      <c r="AR456" s="70"/>
      <c r="AS456" s="70" t="s">
        <v>2240</v>
      </c>
      <c r="AT456" s="70" t="s">
        <v>2240</v>
      </c>
      <c r="AU456" s="70" t="s">
        <v>2240</v>
      </c>
      <c r="AV456" s="70" t="s">
        <v>2240</v>
      </c>
    </row>
    <row r="457" spans="1:48" s="73" customFormat="1" ht="15.75" thickBot="1" x14ac:dyDescent="0.3">
      <c r="A457">
        <v>9</v>
      </c>
      <c r="B457">
        <v>2</v>
      </c>
      <c r="C457"/>
      <c r="D457"/>
      <c r="E457" t="s">
        <v>44</v>
      </c>
      <c r="F457" t="s">
        <v>167</v>
      </c>
      <c r="G457" t="s">
        <v>172</v>
      </c>
      <c r="H457" t="s">
        <v>1052</v>
      </c>
      <c r="I457" t="s">
        <v>173</v>
      </c>
      <c r="J457" s="30" t="s">
        <v>14</v>
      </c>
      <c r="K457" s="30" t="s">
        <v>27</v>
      </c>
      <c r="L457" s="30"/>
      <c r="M457" s="30" t="s">
        <v>680</v>
      </c>
      <c r="N457" s="30"/>
      <c r="O457" s="31">
        <f>COUNTIF(S457:AT457,"")</f>
        <v>20</v>
      </c>
      <c r="P457" s="136" t="s">
        <v>1763</v>
      </c>
      <c r="Q457" s="31">
        <f>COUNTIF(S457:AT457,"APAGADO")</f>
        <v>8</v>
      </c>
      <c r="R457" s="32">
        <f>(O457)/(Q457+O457)</f>
        <v>0.7142857142857143</v>
      </c>
      <c r="S457" s="70"/>
      <c r="T457" s="70"/>
      <c r="U457" s="70"/>
      <c r="V457" s="70"/>
      <c r="W457" s="70"/>
      <c r="X457" s="70"/>
      <c r="Y457" s="70"/>
      <c r="Z457" s="70" t="s">
        <v>2240</v>
      </c>
      <c r="AA457" s="70"/>
      <c r="AB457" s="70"/>
      <c r="AC457" s="70"/>
      <c r="AD457" s="70"/>
      <c r="AE457" s="70"/>
      <c r="AF457" s="70" t="s">
        <v>2240</v>
      </c>
      <c r="AG457" s="70" t="s">
        <v>2240</v>
      </c>
      <c r="AH457" s="70" t="s">
        <v>2240</v>
      </c>
      <c r="AI457" s="70" t="s">
        <v>2240</v>
      </c>
      <c r="AJ457" s="70"/>
      <c r="AK457" s="70"/>
      <c r="AL457" s="70" t="s">
        <v>2240</v>
      </c>
      <c r="AM457" s="70" t="s">
        <v>2240</v>
      </c>
      <c r="AN457" s="70" t="s">
        <v>2240</v>
      </c>
      <c r="AO457" s="70"/>
      <c r="AP457" s="70"/>
      <c r="AQ457" s="70"/>
      <c r="AR457" s="70"/>
      <c r="AS457" s="70"/>
      <c r="AT457" s="70"/>
      <c r="AU457" s="70"/>
      <c r="AV457" s="70"/>
    </row>
    <row r="458" spans="1:48" s="73" customFormat="1" ht="15.75" thickBot="1" x14ac:dyDescent="0.3">
      <c r="A458">
        <v>10</v>
      </c>
      <c r="B458">
        <v>1</v>
      </c>
      <c r="C458"/>
      <c r="D458"/>
      <c r="E458" t="s">
        <v>2359</v>
      </c>
      <c r="F458" t="s">
        <v>167</v>
      </c>
      <c r="G458" t="s">
        <v>170</v>
      </c>
      <c r="H458" t="s">
        <v>1052</v>
      </c>
      <c r="I458" t="s">
        <v>171</v>
      </c>
      <c r="J458" s="30" t="s">
        <v>14</v>
      </c>
      <c r="K458" s="30" t="s">
        <v>27</v>
      </c>
      <c r="L458" s="30"/>
      <c r="M458" s="30" t="s">
        <v>679</v>
      </c>
      <c r="N458" s="30"/>
      <c r="O458" s="31">
        <f>COUNTIF(S458:AT458,"")</f>
        <v>28</v>
      </c>
      <c r="P458" s="136" t="s">
        <v>1762</v>
      </c>
      <c r="Q458" s="31">
        <f>COUNTIF(S458:AT458,"APAGADO")</f>
        <v>0</v>
      </c>
      <c r="R458" s="32">
        <f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thickBot="1" x14ac:dyDescent="0.3">
      <c r="A459"/>
      <c r="B459"/>
      <c r="C459"/>
      <c r="D459"/>
      <c r="E459"/>
      <c r="F459" t="s">
        <v>167</v>
      </c>
      <c r="G459" t="s">
        <v>168</v>
      </c>
      <c r="H459" t="s">
        <v>1052</v>
      </c>
      <c r="I459" t="s">
        <v>169</v>
      </c>
      <c r="J459" s="30" t="s">
        <v>18</v>
      </c>
      <c r="K459" s="30" t="s">
        <v>1046</v>
      </c>
      <c r="L459" s="30"/>
      <c r="M459" s="30" t="s">
        <v>678</v>
      </c>
      <c r="N459" s="30"/>
      <c r="O459" s="31">
        <f>COUNTIF(S459:AT459,"")</f>
        <v>17</v>
      </c>
      <c r="P459" s="136"/>
      <c r="Q459" s="31">
        <f>COUNTIF(S459:AT459,"APAGADO")</f>
        <v>11</v>
      </c>
      <c r="R459" s="32">
        <f>(O459)/(Q459+O459)</f>
        <v>0.6071428571428571</v>
      </c>
      <c r="S459" s="70"/>
      <c r="T459" s="70"/>
      <c r="U459" s="70"/>
      <c r="V459" s="70"/>
      <c r="W459" s="70"/>
      <c r="X459" s="70"/>
      <c r="Y459" s="70"/>
      <c r="Z459" s="70" t="s">
        <v>2240</v>
      </c>
      <c r="AA459" s="70"/>
      <c r="AB459" s="70"/>
      <c r="AC459" s="70"/>
      <c r="AD459" s="70"/>
      <c r="AE459" s="70"/>
      <c r="AF459" s="70" t="s">
        <v>2240</v>
      </c>
      <c r="AG459" s="70" t="s">
        <v>2240</v>
      </c>
      <c r="AH459" s="70" t="s">
        <v>2240</v>
      </c>
      <c r="AI459" s="70" t="s">
        <v>2240</v>
      </c>
      <c r="AJ459" s="70"/>
      <c r="AK459" s="70"/>
      <c r="AL459" s="70" t="s">
        <v>2240</v>
      </c>
      <c r="AM459" s="70" t="s">
        <v>2240</v>
      </c>
      <c r="AN459" s="70" t="s">
        <v>2240</v>
      </c>
      <c r="AO459" s="70" t="s">
        <v>2240</v>
      </c>
      <c r="AP459" s="70" t="s">
        <v>2240</v>
      </c>
      <c r="AQ459" s="70"/>
      <c r="AR459" s="70"/>
      <c r="AS459" s="70" t="s">
        <v>2240</v>
      </c>
      <c r="AT459" s="70"/>
      <c r="AU459" s="70"/>
      <c r="AV459" s="70"/>
    </row>
    <row r="460" spans="1:48" ht="15.75" thickBot="1" x14ac:dyDescent="0.3">
      <c r="A460"/>
      <c r="B460"/>
      <c r="C460"/>
      <c r="D460"/>
      <c r="E460"/>
      <c r="F460" t="s">
        <v>164</v>
      </c>
      <c r="G460" t="s">
        <v>165</v>
      </c>
      <c r="H460" t="s">
        <v>1052</v>
      </c>
      <c r="I460" t="s">
        <v>166</v>
      </c>
      <c r="J460" s="30" t="s">
        <v>18</v>
      </c>
      <c r="K460" s="30" t="s">
        <v>1046</v>
      </c>
      <c r="L460" s="30"/>
      <c r="M460" s="30" t="s">
        <v>1396</v>
      </c>
      <c r="N460" s="30"/>
      <c r="O460" s="31">
        <f>COUNTIF(S460:AT460,"")</f>
        <v>27</v>
      </c>
      <c r="P460" s="136" t="s">
        <v>1761</v>
      </c>
      <c r="Q460" s="31">
        <f>COUNTIF(S460:AT460,"APAGADO")</f>
        <v>1</v>
      </c>
      <c r="R460" s="32">
        <f>(O460)/(Q460+O460)</f>
        <v>0.9642857142857143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 t="s">
        <v>2240</v>
      </c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thickBot="1" x14ac:dyDescent="0.3">
      <c r="A461"/>
      <c r="B461"/>
      <c r="C461"/>
      <c r="D461"/>
      <c r="E461"/>
      <c r="F461" s="73" t="s">
        <v>51</v>
      </c>
      <c r="G461" s="84" t="s">
        <v>2215</v>
      </c>
      <c r="H461" s="84" t="s">
        <v>1052</v>
      </c>
      <c r="I461" s="73" t="s">
        <v>2216</v>
      </c>
      <c r="J461" s="84" t="s">
        <v>18</v>
      </c>
      <c r="K461" s="30" t="s">
        <v>27</v>
      </c>
      <c r="L461" s="84"/>
      <c r="M461" s="84" t="s">
        <v>2217</v>
      </c>
      <c r="N461" s="84"/>
      <c r="O461" s="131">
        <f>COUNTIF(S461:AT461,"")</f>
        <v>19</v>
      </c>
      <c r="P461" s="136" t="s">
        <v>2218</v>
      </c>
      <c r="Q461" s="131">
        <f>COUNTIF(S461:AT461,"APAGADO")</f>
        <v>9</v>
      </c>
      <c r="R461" s="132">
        <f>(O461)/(Q461+O461)</f>
        <v>0.6785714285714286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 t="s">
        <v>2240</v>
      </c>
      <c r="AH461" s="70"/>
      <c r="AI461" s="70" t="s">
        <v>2240</v>
      </c>
      <c r="AJ461" s="70"/>
      <c r="AK461" s="70"/>
      <c r="AL461" s="70" t="s">
        <v>2240</v>
      </c>
      <c r="AM461" s="70" t="s">
        <v>2240</v>
      </c>
      <c r="AN461" s="70" t="s">
        <v>2240</v>
      </c>
      <c r="AO461" s="70" t="s">
        <v>2240</v>
      </c>
      <c r="AP461" s="70" t="s">
        <v>2240</v>
      </c>
      <c r="AQ461" s="70"/>
      <c r="AR461" s="70"/>
      <c r="AS461" s="70" t="s">
        <v>2240</v>
      </c>
      <c r="AT461" s="70" t="s">
        <v>2240</v>
      </c>
      <c r="AU461" s="70" t="s">
        <v>2240</v>
      </c>
      <c r="AV461" s="70" t="s">
        <v>2240</v>
      </c>
    </row>
    <row r="462" spans="1:48" ht="15.75" thickBot="1" x14ac:dyDescent="0.3">
      <c r="A462"/>
      <c r="B462"/>
      <c r="C462"/>
      <c r="D462"/>
      <c r="E462"/>
      <c r="F462" s="73" t="s">
        <v>51</v>
      </c>
      <c r="G462" s="84" t="s">
        <v>2186</v>
      </c>
      <c r="H462" s="84" t="s">
        <v>1052</v>
      </c>
      <c r="I462" s="73" t="s">
        <v>2187</v>
      </c>
      <c r="J462" s="84" t="s">
        <v>18</v>
      </c>
      <c r="K462" s="84" t="s">
        <v>1291</v>
      </c>
      <c r="L462" s="84"/>
      <c r="M462" s="84" t="s">
        <v>2288</v>
      </c>
      <c r="N462" s="84"/>
      <c r="O462" s="131">
        <f>COUNTIF(S462:AT462,"")</f>
        <v>23</v>
      </c>
      <c r="P462" s="136" t="s">
        <v>2188</v>
      </c>
      <c r="Q462" s="131">
        <f>COUNTIF(S462:AT462,"APAGADO")</f>
        <v>5</v>
      </c>
      <c r="R462" s="132">
        <f>(O462)/(Q462+O462)</f>
        <v>0.8214285714285714</v>
      </c>
      <c r="S462" s="70" t="s">
        <v>2240</v>
      </c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 t="s">
        <v>2240</v>
      </c>
      <c r="AH462" s="70" t="s">
        <v>2240</v>
      </c>
      <c r="AI462" s="70" t="s">
        <v>2240</v>
      </c>
      <c r="AJ462" s="70"/>
      <c r="AK462" s="70"/>
      <c r="AL462" s="70" t="s">
        <v>2240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thickBot="1" x14ac:dyDescent="0.3">
      <c r="A463"/>
      <c r="B463"/>
      <c r="C463"/>
      <c r="D463"/>
      <c r="E463"/>
      <c r="F463" s="73" t="s">
        <v>51</v>
      </c>
      <c r="G463" s="84" t="s">
        <v>2106</v>
      </c>
      <c r="H463" s="84" t="s">
        <v>1052</v>
      </c>
      <c r="I463" s="73" t="s">
        <v>2107</v>
      </c>
      <c r="J463" s="84" t="s">
        <v>18</v>
      </c>
      <c r="K463" s="84" t="s">
        <v>1291</v>
      </c>
      <c r="L463" s="84"/>
      <c r="M463" s="84" t="s">
        <v>2162</v>
      </c>
      <c r="N463" s="84"/>
      <c r="O463" s="131">
        <f>COUNTIF(S463:AT463,"")</f>
        <v>28</v>
      </c>
      <c r="P463" s="136" t="s">
        <v>2163</v>
      </c>
      <c r="Q463" s="131">
        <f>COUNTIF(S463:AT463,"APAGADO")</f>
        <v>0</v>
      </c>
      <c r="R463" s="132">
        <f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thickBot="1" x14ac:dyDescent="0.3">
      <c r="A464">
        <v>2</v>
      </c>
      <c r="B464">
        <v>20</v>
      </c>
      <c r="C464"/>
      <c r="D464"/>
      <c r="E464" t="s">
        <v>2348</v>
      </c>
      <c r="F464" s="73" t="s">
        <v>51</v>
      </c>
      <c r="G464" s="84" t="s">
        <v>1549</v>
      </c>
      <c r="H464" s="84" t="s">
        <v>1052</v>
      </c>
      <c r="I464" s="73" t="s">
        <v>1551</v>
      </c>
      <c r="J464" s="84" t="s">
        <v>18</v>
      </c>
      <c r="K464" s="84" t="s">
        <v>1291</v>
      </c>
      <c r="L464" s="84"/>
      <c r="M464" s="84" t="s">
        <v>1553</v>
      </c>
      <c r="N464" s="84"/>
      <c r="O464" s="131">
        <f>COUNTIF(S464:AT464,"")</f>
        <v>26</v>
      </c>
      <c r="P464" s="136" t="s">
        <v>1760</v>
      </c>
      <c r="Q464" s="131">
        <f>COUNTIF(S464:AT464,"APAGADO")</f>
        <v>2</v>
      </c>
      <c r="R464" s="132">
        <f>(O464)/(Q464+O464)</f>
        <v>0.9285714285714286</v>
      </c>
      <c r="S464" s="70"/>
      <c r="T464" s="70"/>
      <c r="U464" s="70"/>
      <c r="V464" s="70"/>
      <c r="W464" s="70"/>
      <c r="X464" s="70"/>
      <c r="Y464" s="70" t="s">
        <v>2240</v>
      </c>
      <c r="Z464" s="70" t="s">
        <v>2240</v>
      </c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thickBot="1" x14ac:dyDescent="0.3">
      <c r="A465"/>
      <c r="B465"/>
      <c r="C465"/>
      <c r="D465"/>
      <c r="E465"/>
      <c r="F465" s="73" t="s">
        <v>51</v>
      </c>
      <c r="G465" s="84" t="s">
        <v>1548</v>
      </c>
      <c r="H465" s="84" t="s">
        <v>1052</v>
      </c>
      <c r="I465" s="73" t="s">
        <v>1550</v>
      </c>
      <c r="J465" s="84" t="s">
        <v>18</v>
      </c>
      <c r="K465" s="84" t="s">
        <v>27</v>
      </c>
      <c r="L465" s="84"/>
      <c r="M465" s="84" t="s">
        <v>1552</v>
      </c>
      <c r="N465" s="84"/>
      <c r="O465" s="131">
        <f>COUNTIF(S465:AT465,"")</f>
        <v>23</v>
      </c>
      <c r="P465" s="136" t="s">
        <v>1759</v>
      </c>
      <c r="Q465" s="131">
        <f>COUNTIF(S465:AT465,"APAGADO")</f>
        <v>5</v>
      </c>
      <c r="R465" s="132">
        <f>(O465)/(Q465+O465)</f>
        <v>0.8214285714285714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 t="s">
        <v>2240</v>
      </c>
      <c r="AG465" s="70" t="s">
        <v>2240</v>
      </c>
      <c r="AH465" s="70" t="s">
        <v>2240</v>
      </c>
      <c r="AI465" s="70" t="s">
        <v>2240</v>
      </c>
      <c r="AJ465" s="70"/>
      <c r="AK465" s="70"/>
      <c r="AL465" s="70" t="s">
        <v>2240</v>
      </c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thickBot="1" x14ac:dyDescent="0.3">
      <c r="A466">
        <v>3</v>
      </c>
      <c r="B466">
        <v>13</v>
      </c>
      <c r="C466"/>
      <c r="D466"/>
      <c r="E466" t="s">
        <v>2350</v>
      </c>
      <c r="F466" t="s">
        <v>51</v>
      </c>
      <c r="G466" s="30" t="s">
        <v>1630</v>
      </c>
      <c r="H466" s="30" t="s">
        <v>1052</v>
      </c>
      <c r="I466" t="s">
        <v>1631</v>
      </c>
      <c r="J466" s="84" t="s">
        <v>18</v>
      </c>
      <c r="K466" s="84" t="s">
        <v>27</v>
      </c>
      <c r="L466" s="84"/>
      <c r="M466" s="84" t="s">
        <v>2099</v>
      </c>
      <c r="N466" s="84"/>
      <c r="O466" s="131">
        <f>COUNTIF(S466:AT466,"")</f>
        <v>28</v>
      </c>
      <c r="P466" s="136" t="s">
        <v>2161</v>
      </c>
      <c r="Q466" s="131">
        <f>COUNTIF(S466:AT466,"APAGADO")</f>
        <v>0</v>
      </c>
      <c r="R466" s="132">
        <f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thickBot="1" x14ac:dyDescent="0.3">
      <c r="A467">
        <v>2</v>
      </c>
      <c r="B467">
        <v>23</v>
      </c>
      <c r="C467"/>
      <c r="D467"/>
      <c r="E467" t="s">
        <v>2349</v>
      </c>
      <c r="F467" t="s">
        <v>51</v>
      </c>
      <c r="G467" s="30" t="s">
        <v>1508</v>
      </c>
      <c r="H467" s="30" t="s">
        <v>1052</v>
      </c>
      <c r="I467" t="s">
        <v>1509</v>
      </c>
      <c r="J467" s="84" t="s">
        <v>18</v>
      </c>
      <c r="K467" s="84" t="s">
        <v>27</v>
      </c>
      <c r="L467" s="84"/>
      <c r="M467" s="84" t="s">
        <v>1510</v>
      </c>
      <c r="N467" s="84"/>
      <c r="O467" s="131">
        <f>COUNTIF(S467:AT467,"")</f>
        <v>28</v>
      </c>
      <c r="P467" s="136" t="s">
        <v>1758</v>
      </c>
      <c r="Q467" s="131">
        <f>COUNTIF(S467:AT467,"APAGADO")</f>
        <v>0</v>
      </c>
      <c r="R467" s="132">
        <f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thickBot="1" x14ac:dyDescent="0.3">
      <c r="A468"/>
      <c r="B468"/>
      <c r="C468"/>
      <c r="D468"/>
      <c r="E468"/>
      <c r="F468" s="73" t="s">
        <v>51</v>
      </c>
      <c r="G468" s="84" t="s">
        <v>1505</v>
      </c>
      <c r="H468" s="84" t="s">
        <v>1052</v>
      </c>
      <c r="I468" s="73" t="s">
        <v>1506</v>
      </c>
      <c r="J468" s="84" t="s">
        <v>18</v>
      </c>
      <c r="K468" s="84" t="s">
        <v>1291</v>
      </c>
      <c r="L468" s="84"/>
      <c r="M468" s="84" t="s">
        <v>1507</v>
      </c>
      <c r="N468" s="84"/>
      <c r="O468" s="131">
        <f>COUNTIF(S468:AT468,"")</f>
        <v>28</v>
      </c>
      <c r="P468" s="136" t="s">
        <v>1757</v>
      </c>
      <c r="Q468" s="131">
        <f>COUNTIF(S468:AT468,"APAGADO")</f>
        <v>0</v>
      </c>
      <c r="R468" s="132">
        <f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8" s="73" customFormat="1" ht="15.75" thickBot="1" x14ac:dyDescent="0.3">
      <c r="A469"/>
      <c r="B469"/>
      <c r="C469"/>
      <c r="D469"/>
      <c r="E469"/>
      <c r="F469" t="s">
        <v>51</v>
      </c>
      <c r="G469" s="30" t="s">
        <v>1473</v>
      </c>
      <c r="H469" s="30" t="s">
        <v>1052</v>
      </c>
      <c r="I469" t="s">
        <v>1472</v>
      </c>
      <c r="J469" s="84" t="s">
        <v>18</v>
      </c>
      <c r="K469" s="84" t="s">
        <v>27</v>
      </c>
      <c r="L469" s="84"/>
      <c r="M469" s="84" t="s">
        <v>1474</v>
      </c>
      <c r="N469" s="84" t="s">
        <v>2284</v>
      </c>
      <c r="O469" s="131">
        <f>COUNTIF(S469:AT469,"")</f>
        <v>28</v>
      </c>
      <c r="P469" s="136" t="s">
        <v>1756</v>
      </c>
      <c r="Q469" s="131">
        <f>COUNTIF(S469:AT469,"APAGADO")</f>
        <v>0</v>
      </c>
      <c r="R469" s="132">
        <f>(O469)/(Q469+O469)</f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8" s="73" customFormat="1" ht="15.75" thickBot="1" x14ac:dyDescent="0.3">
      <c r="A470"/>
      <c r="B470"/>
      <c r="C470"/>
      <c r="D470"/>
      <c r="E470"/>
      <c r="F470" t="s">
        <v>51</v>
      </c>
      <c r="G470" s="30" t="s">
        <v>1470</v>
      </c>
      <c r="H470" s="30" t="s">
        <v>1052</v>
      </c>
      <c r="I470" t="s">
        <v>1469</v>
      </c>
      <c r="J470" s="84" t="s">
        <v>72</v>
      </c>
      <c r="K470" s="84" t="s">
        <v>27</v>
      </c>
      <c r="L470" s="84"/>
      <c r="M470" s="84" t="s">
        <v>1471</v>
      </c>
      <c r="N470" s="84" t="s">
        <v>2284</v>
      </c>
      <c r="O470" s="131">
        <f>COUNTIF(S470:AT470,"")</f>
        <v>28</v>
      </c>
      <c r="P470" s="136" t="s">
        <v>1755</v>
      </c>
      <c r="Q470" s="131">
        <f>COUNTIF(S470:AT470,"APAGADO")</f>
        <v>0</v>
      </c>
      <c r="R470" s="132">
        <f>(O470)/(Q470+O470)</f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8" s="73" customFormat="1" ht="15.75" thickBot="1" x14ac:dyDescent="0.3">
      <c r="A471"/>
      <c r="B471"/>
      <c r="C471"/>
      <c r="D471"/>
      <c r="E471"/>
      <c r="F471" s="73" t="s">
        <v>51</v>
      </c>
      <c r="G471" s="84" t="s">
        <v>1491</v>
      </c>
      <c r="H471" s="84" t="s">
        <v>1052</v>
      </c>
      <c r="I471" s="73" t="s">
        <v>1492</v>
      </c>
      <c r="J471" s="84" t="s">
        <v>18</v>
      </c>
      <c r="K471" s="84" t="s">
        <v>1291</v>
      </c>
      <c r="L471" s="84"/>
      <c r="M471" s="84" t="s">
        <v>1496</v>
      </c>
      <c r="N471" s="84"/>
      <c r="O471" s="131">
        <f>COUNTIF(S471:AT471,"")</f>
        <v>28</v>
      </c>
      <c r="P471" s="136" t="s">
        <v>1754</v>
      </c>
      <c r="Q471" s="131">
        <f>COUNTIF(S471:AT471,"APAGADO")</f>
        <v>0</v>
      </c>
      <c r="R471" s="132">
        <f>(O471)/(Q471+O471)</f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8" s="73" customFormat="1" ht="15.75" thickBot="1" x14ac:dyDescent="0.3">
      <c r="A472"/>
      <c r="B472"/>
      <c r="C472"/>
      <c r="D472"/>
      <c r="E472"/>
      <c r="F472" s="73" t="s">
        <v>51</v>
      </c>
      <c r="G472" s="84" t="s">
        <v>1405</v>
      </c>
      <c r="H472" s="84" t="s">
        <v>1052</v>
      </c>
      <c r="I472" s="73" t="s">
        <v>1514</v>
      </c>
      <c r="J472" s="84" t="s">
        <v>18</v>
      </c>
      <c r="K472" s="84" t="s">
        <v>1291</v>
      </c>
      <c r="L472" s="84"/>
      <c r="M472" s="84" t="s">
        <v>1406</v>
      </c>
      <c r="N472" s="84"/>
      <c r="O472" s="131">
        <f>COUNTIF(S472:AT472,"")</f>
        <v>28</v>
      </c>
      <c r="P472" s="136" t="s">
        <v>1753</v>
      </c>
      <c r="Q472" s="131">
        <f>COUNTIF(S472:AT472,"APAGADO")</f>
        <v>0</v>
      </c>
      <c r="R472" s="132">
        <f>(O472)/(Q472+O472)</f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8" s="73" customFormat="1" ht="15.75" thickBot="1" x14ac:dyDescent="0.3">
      <c r="A473"/>
      <c r="B473"/>
      <c r="C473"/>
      <c r="D473"/>
      <c r="E473"/>
      <c r="F473" s="73" t="s">
        <v>51</v>
      </c>
      <c r="G473" s="84" t="s">
        <v>1314</v>
      </c>
      <c r="H473" s="84" t="s">
        <v>1052</v>
      </c>
      <c r="I473" s="73" t="s">
        <v>1315</v>
      </c>
      <c r="J473" s="84" t="s">
        <v>18</v>
      </c>
      <c r="K473" s="84" t="s">
        <v>1291</v>
      </c>
      <c r="L473" s="84"/>
      <c r="M473" s="84" t="s">
        <v>1316</v>
      </c>
      <c r="N473" s="84"/>
      <c r="O473" s="131">
        <f>COUNTIF(S473:AT473,"")</f>
        <v>21</v>
      </c>
      <c r="P473" s="136" t="s">
        <v>1752</v>
      </c>
      <c r="Q473" s="131">
        <f>COUNTIF(S473:AT473,"APAGADO")</f>
        <v>7</v>
      </c>
      <c r="R473" s="132">
        <f>(O473)/(Q473+O473)</f>
        <v>0.75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 t="s">
        <v>2240</v>
      </c>
      <c r="AM473" s="70" t="s">
        <v>2240</v>
      </c>
      <c r="AN473" s="70" t="s">
        <v>2240</v>
      </c>
      <c r="AO473" s="70" t="s">
        <v>2240</v>
      </c>
      <c r="AP473" s="70" t="s">
        <v>2240</v>
      </c>
      <c r="AQ473" s="70"/>
      <c r="AR473" s="70"/>
      <c r="AS473" s="70" t="s">
        <v>2240</v>
      </c>
      <c r="AT473" s="70" t="s">
        <v>2240</v>
      </c>
      <c r="AU473" s="70" t="s">
        <v>2240</v>
      </c>
      <c r="AV473" s="70" t="s">
        <v>2240</v>
      </c>
    </row>
    <row r="474" spans="1:48" ht="15.75" thickBot="1" x14ac:dyDescent="0.3">
      <c r="A474"/>
      <c r="B474"/>
      <c r="C474"/>
      <c r="D474"/>
      <c r="E474"/>
      <c r="F474" s="73" t="s">
        <v>51</v>
      </c>
      <c r="G474" s="84" t="s">
        <v>1185</v>
      </c>
      <c r="H474" s="84" t="s">
        <v>1052</v>
      </c>
      <c r="I474" s="73" t="s">
        <v>1186</v>
      </c>
      <c r="J474" s="84" t="s">
        <v>18</v>
      </c>
      <c r="K474" s="84" t="s">
        <v>1291</v>
      </c>
      <c r="L474" s="84"/>
      <c r="M474" s="84" t="s">
        <v>1187</v>
      </c>
      <c r="N474" s="84"/>
      <c r="O474" s="131">
        <f>COUNTIF(S474:AT474,"")</f>
        <v>28</v>
      </c>
      <c r="P474" s="136" t="s">
        <v>1748</v>
      </c>
      <c r="Q474" s="131">
        <f>COUNTIF(S474:AT474,"APAGADO")</f>
        <v>0</v>
      </c>
      <c r="R474" s="132">
        <f>(O474)/(Q474+O474)</f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thickBot="1" x14ac:dyDescent="0.3">
      <c r="A475"/>
      <c r="B475"/>
      <c r="C475"/>
      <c r="D475"/>
      <c r="E475"/>
      <c r="F475" t="s">
        <v>51</v>
      </c>
      <c r="G475" t="s">
        <v>162</v>
      </c>
      <c r="H475" t="s">
        <v>1052</v>
      </c>
      <c r="I475" t="s">
        <v>163</v>
      </c>
      <c r="J475" s="30" t="s">
        <v>18</v>
      </c>
      <c r="K475" s="30" t="s">
        <v>27</v>
      </c>
      <c r="L475" s="30"/>
      <c r="M475" s="30" t="s">
        <v>677</v>
      </c>
      <c r="N475" s="30"/>
      <c r="O475" s="31">
        <f>COUNTIF(S475:AT475,"")</f>
        <v>17</v>
      </c>
      <c r="P475" s="136" t="s">
        <v>1739</v>
      </c>
      <c r="Q475" s="31">
        <f>COUNTIF(S475:AT475,"APAGADO")</f>
        <v>11</v>
      </c>
      <c r="R475" s="32">
        <f>(O475)/(Q475+O475)</f>
        <v>0.6071428571428571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138"/>
      <c r="AC475" s="70"/>
      <c r="AD475" s="70"/>
      <c r="AE475" s="70"/>
      <c r="AF475" s="70" t="s">
        <v>2240</v>
      </c>
      <c r="AG475" s="70" t="s">
        <v>2240</v>
      </c>
      <c r="AH475" s="70" t="s">
        <v>2240</v>
      </c>
      <c r="AI475" s="70" t="s">
        <v>2240</v>
      </c>
      <c r="AJ475" s="70"/>
      <c r="AK475" s="70"/>
      <c r="AL475" s="70" t="s">
        <v>2240</v>
      </c>
      <c r="AM475" s="70" t="s">
        <v>2240</v>
      </c>
      <c r="AN475" s="70" t="s">
        <v>2240</v>
      </c>
      <c r="AO475" s="70" t="s">
        <v>2240</v>
      </c>
      <c r="AP475" s="70" t="s">
        <v>2240</v>
      </c>
      <c r="AQ475" s="70"/>
      <c r="AR475" s="70"/>
      <c r="AS475" s="70" t="s">
        <v>2240</v>
      </c>
      <c r="AT475" s="70" t="s">
        <v>2240</v>
      </c>
      <c r="AU475" s="70" t="s">
        <v>2240</v>
      </c>
      <c r="AV475" s="70" t="s">
        <v>2240</v>
      </c>
    </row>
    <row r="476" spans="1:48" ht="15.75" thickBot="1" x14ac:dyDescent="0.3">
      <c r="A476"/>
      <c r="B476"/>
      <c r="C476"/>
      <c r="D476"/>
      <c r="E476"/>
      <c r="F476" t="s">
        <v>51</v>
      </c>
      <c r="G476" t="s">
        <v>160</v>
      </c>
      <c r="H476" t="s">
        <v>1052</v>
      </c>
      <c r="I476" t="s">
        <v>161</v>
      </c>
      <c r="J476" s="30" t="s">
        <v>14</v>
      </c>
      <c r="K476" s="30" t="s">
        <v>27</v>
      </c>
      <c r="L476" s="30"/>
      <c r="M476" s="30" t="s">
        <v>676</v>
      </c>
      <c r="N476" s="30"/>
      <c r="O476" s="31">
        <f>COUNTIF(S476:AT476,"")</f>
        <v>28</v>
      </c>
      <c r="P476" s="136" t="s">
        <v>1738</v>
      </c>
      <c r="Q476" s="31">
        <f>COUNTIF(S476:AT476,"APAGADO")</f>
        <v>0</v>
      </c>
      <c r="R476" s="32">
        <f>(O476)/(Q476+O476)</f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thickBot="1" x14ac:dyDescent="0.3">
      <c r="A477">
        <v>12</v>
      </c>
      <c r="B477">
        <v>13</v>
      </c>
      <c r="C477"/>
      <c r="D477"/>
      <c r="E477" t="s">
        <v>2361</v>
      </c>
      <c r="F477" t="s">
        <v>51</v>
      </c>
      <c r="G477" t="s">
        <v>158</v>
      </c>
      <c r="H477" t="s">
        <v>1052</v>
      </c>
      <c r="I477" t="s">
        <v>159</v>
      </c>
      <c r="J477" s="30" t="s">
        <v>14</v>
      </c>
      <c r="K477" s="30" t="s">
        <v>27</v>
      </c>
      <c r="L477" s="30"/>
      <c r="M477" s="30" t="s">
        <v>672</v>
      </c>
      <c r="N477" s="30"/>
      <c r="O477" s="31">
        <f>COUNTIF(S477:AT477,"")</f>
        <v>28</v>
      </c>
      <c r="P477" s="136" t="s">
        <v>1734</v>
      </c>
      <c r="Q477" s="31">
        <f>COUNTIF(S477:AT477,"APAGADO")</f>
        <v>0</v>
      </c>
      <c r="R477" s="32">
        <f>(O477)/(Q477+O477)</f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thickBot="1" x14ac:dyDescent="0.3">
      <c r="A478"/>
      <c r="B478"/>
      <c r="C478"/>
      <c r="D478"/>
      <c r="E478"/>
      <c r="F478" s="73" t="s">
        <v>51</v>
      </c>
      <c r="G478" s="73" t="s">
        <v>157</v>
      </c>
      <c r="H478" s="73" t="s">
        <v>1052</v>
      </c>
      <c r="I478" s="73" t="s">
        <v>156</v>
      </c>
      <c r="J478" s="84" t="s">
        <v>72</v>
      </c>
      <c r="K478" s="84" t="s">
        <v>1291</v>
      </c>
      <c r="L478" s="84"/>
      <c r="M478" s="84" t="s">
        <v>671</v>
      </c>
      <c r="N478" s="84"/>
      <c r="O478" s="131">
        <f>COUNTIF(S478:AT478,"")</f>
        <v>28</v>
      </c>
      <c r="P478" s="136" t="s">
        <v>1732</v>
      </c>
      <c r="Q478" s="131">
        <f>COUNTIF(S478:AT478,"APAGADO")</f>
        <v>0</v>
      </c>
      <c r="R478" s="132">
        <f>(O478)/(Q478+O478)</f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ht="15.75" thickBot="1" x14ac:dyDescent="0.3">
      <c r="A479"/>
      <c r="B479"/>
      <c r="C479"/>
      <c r="D479"/>
      <c r="E479"/>
      <c r="F479" s="73" t="s">
        <v>51</v>
      </c>
      <c r="G479" s="73" t="s">
        <v>155</v>
      </c>
      <c r="H479" s="73" t="s">
        <v>1052</v>
      </c>
      <c r="I479" s="73" t="s">
        <v>156</v>
      </c>
      <c r="J479" s="84" t="s">
        <v>72</v>
      </c>
      <c r="K479" s="84" t="s">
        <v>1291</v>
      </c>
      <c r="L479" s="84"/>
      <c r="M479" s="84" t="s">
        <v>670</v>
      </c>
      <c r="N479" s="84"/>
      <c r="O479" s="131">
        <f>COUNTIF(S479:AT479,"")</f>
        <v>28</v>
      </c>
      <c r="P479" s="136" t="s">
        <v>1733</v>
      </c>
      <c r="Q479" s="131">
        <f>COUNTIF(S479:AT479,"APAGADO")</f>
        <v>0</v>
      </c>
      <c r="R479" s="132">
        <f>(O479)/(Q479+O479)</f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thickBot="1" x14ac:dyDescent="0.3">
      <c r="A480"/>
      <c r="B480"/>
      <c r="C480"/>
      <c r="D480"/>
      <c r="E480"/>
      <c r="F480" s="73" t="s">
        <v>51</v>
      </c>
      <c r="G480" s="73" t="s">
        <v>154</v>
      </c>
      <c r="H480" s="73" t="s">
        <v>1052</v>
      </c>
      <c r="I480" s="73" t="s">
        <v>153</v>
      </c>
      <c r="J480" s="84" t="s">
        <v>45</v>
      </c>
      <c r="K480" s="84" t="s">
        <v>1291</v>
      </c>
      <c r="L480" s="84"/>
      <c r="M480" s="84" t="s">
        <v>666</v>
      </c>
      <c r="N480" s="84"/>
      <c r="O480" s="131">
        <f>COUNTIF(S480:AT480,"")</f>
        <v>28</v>
      </c>
      <c r="P480" s="136" t="s">
        <v>1731</v>
      </c>
      <c r="Q480" s="131">
        <f>COUNTIF(S480:AT480,"APAGADO")</f>
        <v>0</v>
      </c>
      <c r="R480" s="132">
        <f>(O480)/(Q480+O480)</f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s="73" customFormat="1" ht="15.75" thickBot="1" x14ac:dyDescent="0.3">
      <c r="A481">
        <v>2</v>
      </c>
      <c r="B481">
        <v>23</v>
      </c>
      <c r="C481"/>
      <c r="D481"/>
      <c r="E481" t="s">
        <v>2349</v>
      </c>
      <c r="F481" t="s">
        <v>51</v>
      </c>
      <c r="G481" t="s">
        <v>151</v>
      </c>
      <c r="H481" t="s">
        <v>1052</v>
      </c>
      <c r="I481" t="s">
        <v>152</v>
      </c>
      <c r="J481" s="30" t="s">
        <v>45</v>
      </c>
      <c r="K481" s="30" t="s">
        <v>27</v>
      </c>
      <c r="L481" s="30"/>
      <c r="M481" s="30" t="s">
        <v>665</v>
      </c>
      <c r="N481" s="30"/>
      <c r="O481" s="31">
        <f>COUNTIF(S481:AT481,"")</f>
        <v>28</v>
      </c>
      <c r="P481" s="136" t="s">
        <v>1730</v>
      </c>
      <c r="Q481" s="31">
        <f>COUNTIF(S481:AT481,"APAGADO")</f>
        <v>0</v>
      </c>
      <c r="R481" s="32">
        <f>(O481)/(Q481+O481)</f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8" ht="15.75" thickBot="1" x14ac:dyDescent="0.3">
      <c r="A482"/>
      <c r="B482"/>
      <c r="C482"/>
      <c r="D482"/>
      <c r="E482"/>
      <c r="F482" t="s">
        <v>51</v>
      </c>
      <c r="G482" t="s">
        <v>927</v>
      </c>
      <c r="H482" t="s">
        <v>1052</v>
      </c>
      <c r="I482" t="s">
        <v>63</v>
      </c>
      <c r="J482" s="30" t="s">
        <v>14</v>
      </c>
      <c r="K482" s="30" t="s">
        <v>27</v>
      </c>
      <c r="L482" s="30"/>
      <c r="M482" s="30" t="s">
        <v>664</v>
      </c>
      <c r="N482" s="30"/>
      <c r="O482" s="31">
        <f>COUNTIF(S482:AT482,"")</f>
        <v>28</v>
      </c>
      <c r="P482" s="136" t="s">
        <v>1729</v>
      </c>
      <c r="Q482" s="31">
        <f>COUNTIF(S482:AT482,"APAGADO")</f>
        <v>0</v>
      </c>
      <c r="R482" s="32">
        <f>(O482)/(Q482+O482)</f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8" s="73" customFormat="1" ht="15.75" thickBot="1" x14ac:dyDescent="0.3">
      <c r="A483">
        <v>2</v>
      </c>
      <c r="B483">
        <v>20</v>
      </c>
      <c r="C483"/>
      <c r="D483"/>
      <c r="E483" t="s">
        <v>2348</v>
      </c>
      <c r="F483" t="s">
        <v>51</v>
      </c>
      <c r="G483" t="s">
        <v>926</v>
      </c>
      <c r="H483" t="s">
        <v>1052</v>
      </c>
      <c r="I483" t="s">
        <v>1075</v>
      </c>
      <c r="J483" s="30" t="s">
        <v>14</v>
      </c>
      <c r="K483" s="30" t="s">
        <v>1046</v>
      </c>
      <c r="L483" s="30" t="s">
        <v>1243</v>
      </c>
      <c r="M483" s="30" t="s">
        <v>663</v>
      </c>
      <c r="N483" s="30"/>
      <c r="O483" s="31">
        <f>COUNTIF(S483:AT483,"")</f>
        <v>27</v>
      </c>
      <c r="P483" s="136" t="s">
        <v>1728</v>
      </c>
      <c r="Q483" s="31">
        <f>COUNTIF(S483:AT483,"APAGADO")</f>
        <v>1</v>
      </c>
      <c r="R483" s="32">
        <f>(O483)/(Q483+O483)</f>
        <v>0.9642857142857143</v>
      </c>
      <c r="S483" s="70"/>
      <c r="T483" s="70"/>
      <c r="U483" s="70"/>
      <c r="V483" s="70"/>
      <c r="W483" s="70"/>
      <c r="X483" s="70"/>
      <c r="Y483" s="70" t="s">
        <v>2240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s="73" customFormat="1" ht="15.75" thickBot="1" x14ac:dyDescent="0.3">
      <c r="A484"/>
      <c r="B484"/>
      <c r="C484"/>
      <c r="D484"/>
      <c r="E484"/>
      <c r="F484" s="73" t="s">
        <v>51</v>
      </c>
      <c r="G484" s="73" t="s">
        <v>925</v>
      </c>
      <c r="H484" s="73" t="s">
        <v>1052</v>
      </c>
      <c r="I484" s="73" t="s">
        <v>58</v>
      </c>
      <c r="J484" s="84" t="s">
        <v>14</v>
      </c>
      <c r="K484" s="84" t="s">
        <v>1291</v>
      </c>
      <c r="L484" s="84"/>
      <c r="M484" s="84" t="s">
        <v>1364</v>
      </c>
      <c r="N484" s="84"/>
      <c r="O484" s="131">
        <f>COUNTIF(S484:AT484,"")</f>
        <v>28</v>
      </c>
      <c r="P484" s="136" t="s">
        <v>1725</v>
      </c>
      <c r="Q484" s="131">
        <f>COUNTIF(S484:AT484,"APAGADO")</f>
        <v>0</v>
      </c>
      <c r="R484" s="132">
        <f>(O484)/(Q484+O484)</f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8" ht="15.75" thickBot="1" x14ac:dyDescent="0.3">
      <c r="A485"/>
      <c r="B485"/>
      <c r="C485"/>
      <c r="D485"/>
      <c r="E485"/>
      <c r="F485" s="73" t="s">
        <v>51</v>
      </c>
      <c r="G485" s="73" t="s">
        <v>149</v>
      </c>
      <c r="H485" s="73" t="s">
        <v>1052</v>
      </c>
      <c r="I485" s="73" t="s">
        <v>150</v>
      </c>
      <c r="J485" s="84" t="s">
        <v>14</v>
      </c>
      <c r="K485" s="84" t="s">
        <v>1291</v>
      </c>
      <c r="L485" s="84"/>
      <c r="M485" s="84" t="s">
        <v>1421</v>
      </c>
      <c r="N485" s="84"/>
      <c r="O485" s="131">
        <f>COUNTIF(S485:AT485,"")</f>
        <v>28</v>
      </c>
      <c r="P485" s="136" t="s">
        <v>1718</v>
      </c>
      <c r="Q485" s="131">
        <f>COUNTIF(S485:AT485,"APAGADO")</f>
        <v>0</v>
      </c>
      <c r="R485" s="132">
        <f>(O485)/(Q485+O485)</f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thickBot="1" x14ac:dyDescent="0.3">
      <c r="A486"/>
      <c r="B486"/>
      <c r="C486"/>
      <c r="D486"/>
      <c r="E486"/>
      <c r="F486" t="s">
        <v>51</v>
      </c>
      <c r="G486" t="s">
        <v>146</v>
      </c>
      <c r="H486" t="s">
        <v>1052</v>
      </c>
      <c r="I486" t="s">
        <v>147</v>
      </c>
      <c r="J486" s="30" t="s">
        <v>18</v>
      </c>
      <c r="K486" s="30" t="s">
        <v>27</v>
      </c>
      <c r="L486" s="30"/>
      <c r="M486" s="30" t="s">
        <v>1445</v>
      </c>
      <c r="N486" s="30"/>
      <c r="O486" s="31">
        <f>COUNTIF(S486:AT486,"")</f>
        <v>12</v>
      </c>
      <c r="P486" s="136" t="s">
        <v>1715</v>
      </c>
      <c r="Q486" s="31">
        <f>COUNTIF(S486:AT486,"APAGADO")</f>
        <v>16</v>
      </c>
      <c r="R486" s="32">
        <f>(O486)/(Q486+O486)</f>
        <v>0.42857142857142855</v>
      </c>
      <c r="S486" s="70" t="s">
        <v>2240</v>
      </c>
      <c r="T486" s="70"/>
      <c r="U486" s="70"/>
      <c r="V486" s="70"/>
      <c r="W486" s="70"/>
      <c r="X486" s="70" t="s">
        <v>2240</v>
      </c>
      <c r="Y486" s="70" t="s">
        <v>2240</v>
      </c>
      <c r="Z486" s="70" t="s">
        <v>2240</v>
      </c>
      <c r="AA486" s="70"/>
      <c r="AB486" s="70"/>
      <c r="AC486" s="70"/>
      <c r="AD486" s="70"/>
      <c r="AE486" s="70" t="s">
        <v>2240</v>
      </c>
      <c r="AF486" s="70" t="s">
        <v>2240</v>
      </c>
      <c r="AG486" s="70" t="s">
        <v>2240</v>
      </c>
      <c r="AH486" s="70" t="s">
        <v>2240</v>
      </c>
      <c r="AI486" s="70" t="s">
        <v>2240</v>
      </c>
      <c r="AJ486" s="70"/>
      <c r="AK486" s="70"/>
      <c r="AL486" s="70" t="s">
        <v>2240</v>
      </c>
      <c r="AM486" s="70" t="s">
        <v>2240</v>
      </c>
      <c r="AN486" s="70" t="s">
        <v>2240</v>
      </c>
      <c r="AO486" s="70" t="s">
        <v>2240</v>
      </c>
      <c r="AP486" s="70" t="s">
        <v>2240</v>
      </c>
      <c r="AQ486" s="70"/>
      <c r="AR486" s="70"/>
      <c r="AS486" s="70" t="s">
        <v>2240</v>
      </c>
      <c r="AT486" s="70" t="s">
        <v>2240</v>
      </c>
      <c r="AU486" s="70" t="s">
        <v>2240</v>
      </c>
      <c r="AV486" s="70" t="s">
        <v>2240</v>
      </c>
    </row>
    <row r="487" spans="1:48" ht="15.75" thickBot="1" x14ac:dyDescent="0.3">
      <c r="A487"/>
      <c r="B487"/>
      <c r="C487"/>
      <c r="D487"/>
      <c r="E487"/>
      <c r="F487" s="73" t="s">
        <v>51</v>
      </c>
      <c r="G487" s="73" t="s">
        <v>144</v>
      </c>
      <c r="H487" s="73" t="s">
        <v>1052</v>
      </c>
      <c r="I487" s="73" t="s">
        <v>145</v>
      </c>
      <c r="J487" s="84" t="s">
        <v>18</v>
      </c>
      <c r="K487" s="84" t="s">
        <v>1291</v>
      </c>
      <c r="L487" s="84"/>
      <c r="M487" s="84" t="s">
        <v>1413</v>
      </c>
      <c r="N487" s="84"/>
      <c r="O487" s="131">
        <f>COUNTIF(S487:AT487,"")</f>
        <v>28</v>
      </c>
      <c r="P487" s="136" t="s">
        <v>1714</v>
      </c>
      <c r="Q487" s="131">
        <f>COUNTIF(S487:AT487,"APAGADO")</f>
        <v>0</v>
      </c>
      <c r="R487" s="132">
        <f>(O487)/(Q487+O487)</f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8" s="73" customFormat="1" ht="15.75" thickBot="1" x14ac:dyDescent="0.3">
      <c r="A488">
        <v>3</v>
      </c>
      <c r="B488">
        <v>13</v>
      </c>
      <c r="C488"/>
      <c r="D488"/>
      <c r="E488" t="s">
        <v>2350</v>
      </c>
      <c r="F488" t="s">
        <v>51</v>
      </c>
      <c r="G488" t="s">
        <v>142</v>
      </c>
      <c r="H488" t="s">
        <v>1052</v>
      </c>
      <c r="I488" t="s">
        <v>143</v>
      </c>
      <c r="J488" s="30" t="s">
        <v>18</v>
      </c>
      <c r="K488" s="30" t="s">
        <v>27</v>
      </c>
      <c r="L488" s="30"/>
      <c r="M488" s="30" t="s">
        <v>659</v>
      </c>
      <c r="N488" s="30"/>
      <c r="O488" s="31">
        <f>COUNTIF(S488:AT488,"")</f>
        <v>26</v>
      </c>
      <c r="P488" s="136" t="s">
        <v>1713</v>
      </c>
      <c r="Q488" s="31">
        <f>COUNTIF(S488:AT488,"APAGADO")</f>
        <v>2</v>
      </c>
      <c r="R488" s="32">
        <f>(O488)/(Q488+O488)</f>
        <v>0.9285714285714286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 t="s">
        <v>2240</v>
      </c>
      <c r="AF488" s="70"/>
      <c r="AG488" s="70"/>
      <c r="AH488" s="70"/>
      <c r="AI488" s="70"/>
      <c r="AJ488" s="70"/>
      <c r="AK488" s="70"/>
      <c r="AL488" s="70" t="s">
        <v>2240</v>
      </c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8" s="73" customFormat="1" ht="15.75" thickBot="1" x14ac:dyDescent="0.3">
      <c r="A489">
        <v>4</v>
      </c>
      <c r="B489">
        <v>12</v>
      </c>
      <c r="C489"/>
      <c r="D489"/>
      <c r="E489" t="s">
        <v>2351</v>
      </c>
      <c r="F489" t="s">
        <v>51</v>
      </c>
      <c r="G489" t="s">
        <v>1465</v>
      </c>
      <c r="H489" t="s">
        <v>1052</v>
      </c>
      <c r="I489" t="s">
        <v>57</v>
      </c>
      <c r="J489" s="30" t="s">
        <v>72</v>
      </c>
      <c r="K489" s="30" t="s">
        <v>27</v>
      </c>
      <c r="L489" s="30"/>
      <c r="M489" s="30" t="s">
        <v>658</v>
      </c>
      <c r="N489" s="30"/>
      <c r="O489" s="31">
        <f>COUNTIF(S489:AT489,"")</f>
        <v>28</v>
      </c>
      <c r="P489" s="136" t="s">
        <v>1712</v>
      </c>
      <c r="Q489" s="31">
        <f>COUNTIF(S489:AT489,"APAGADO")</f>
        <v>0</v>
      </c>
      <c r="R489" s="32">
        <f>(O489)/(Q489+O489)</f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8" s="73" customFormat="1" ht="15.75" thickBot="1" x14ac:dyDescent="0.3">
      <c r="A490">
        <v>4</v>
      </c>
      <c r="B490">
        <v>12</v>
      </c>
      <c r="C490"/>
      <c r="D490"/>
      <c r="E490" t="s">
        <v>2351</v>
      </c>
      <c r="F490" t="s">
        <v>51</v>
      </c>
      <c r="G490" t="s">
        <v>1464</v>
      </c>
      <c r="H490" t="s">
        <v>1052</v>
      </c>
      <c r="I490" t="s">
        <v>57</v>
      </c>
      <c r="J490" s="30" t="s">
        <v>72</v>
      </c>
      <c r="K490" s="30" t="s">
        <v>27</v>
      </c>
      <c r="L490" s="30"/>
      <c r="M490" s="30" t="s">
        <v>657</v>
      </c>
      <c r="N490" s="30"/>
      <c r="O490" s="31">
        <f>COUNTIF(S490:AT490,"")</f>
        <v>28</v>
      </c>
      <c r="P490" s="136" t="s">
        <v>1711</v>
      </c>
      <c r="Q490" s="31">
        <f>COUNTIF(S490:AT490,"APAGADO")</f>
        <v>0</v>
      </c>
      <c r="R490" s="32">
        <f>(O490)/(Q490+O490)</f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</row>
    <row r="491" spans="1:48" s="73" customFormat="1" ht="15.75" thickBot="1" x14ac:dyDescent="0.3">
      <c r="A491"/>
      <c r="B491"/>
      <c r="C491"/>
      <c r="D491"/>
      <c r="E491"/>
      <c r="F491" t="s">
        <v>51</v>
      </c>
      <c r="G491" t="s">
        <v>140</v>
      </c>
      <c r="H491" t="s">
        <v>1052</v>
      </c>
      <c r="I491" t="s">
        <v>141</v>
      </c>
      <c r="J491" s="30" t="s">
        <v>18</v>
      </c>
      <c r="K491" s="30" t="s">
        <v>27</v>
      </c>
      <c r="L491" s="30"/>
      <c r="M491" s="30" t="s">
        <v>656</v>
      </c>
      <c r="N491" s="30"/>
      <c r="O491" s="31">
        <f>COUNTIF(S491:AT491,"")</f>
        <v>21</v>
      </c>
      <c r="P491" s="136" t="s">
        <v>1710</v>
      </c>
      <c r="Q491" s="31">
        <f>COUNTIF(S491:AT491,"APAGADO")</f>
        <v>7</v>
      </c>
      <c r="R491" s="32">
        <f>(O491)/(Q491+O491)</f>
        <v>0.75</v>
      </c>
      <c r="S491" s="70" t="s">
        <v>2240</v>
      </c>
      <c r="T491" s="70"/>
      <c r="U491" s="70"/>
      <c r="V491" s="70"/>
      <c r="W491" s="70"/>
      <c r="X491" s="70" t="s">
        <v>2240</v>
      </c>
      <c r="Y491" s="70" t="s">
        <v>2240</v>
      </c>
      <c r="Z491" s="70" t="s">
        <v>2240</v>
      </c>
      <c r="AA491" s="70"/>
      <c r="AB491" s="70"/>
      <c r="AC491" s="70"/>
      <c r="AD491" s="70"/>
      <c r="AE491" s="70" t="s">
        <v>2240</v>
      </c>
      <c r="AF491" s="70"/>
      <c r="AG491" s="70"/>
      <c r="AH491" s="70"/>
      <c r="AI491" s="70"/>
      <c r="AJ491" s="70"/>
      <c r="AK491" s="70"/>
      <c r="AL491" s="70" t="s">
        <v>2240</v>
      </c>
      <c r="AM491" s="70"/>
      <c r="AN491" s="70"/>
      <c r="AO491" s="70"/>
      <c r="AP491" s="70" t="s">
        <v>2240</v>
      </c>
      <c r="AQ491" s="70"/>
      <c r="AR491" s="70"/>
      <c r="AS491" s="70"/>
      <c r="AT491" s="70"/>
      <c r="AU491" s="70"/>
      <c r="AV491" s="70"/>
    </row>
    <row r="492" spans="1:48" s="73" customFormat="1" ht="15.75" thickBot="1" x14ac:dyDescent="0.3">
      <c r="A492">
        <v>3</v>
      </c>
      <c r="B492">
        <v>13</v>
      </c>
      <c r="C492"/>
      <c r="D492"/>
      <c r="E492" t="s">
        <v>2350</v>
      </c>
      <c r="F492" t="s">
        <v>51</v>
      </c>
      <c r="G492" t="s">
        <v>138</v>
      </c>
      <c r="H492" t="s">
        <v>1052</v>
      </c>
      <c r="I492" t="s">
        <v>139</v>
      </c>
      <c r="J492" s="30" t="s">
        <v>18</v>
      </c>
      <c r="K492" s="30" t="s">
        <v>27</v>
      </c>
      <c r="L492" s="30"/>
      <c r="M492" s="30" t="s">
        <v>655</v>
      </c>
      <c r="N492" s="30"/>
      <c r="O492" s="31">
        <f>COUNTIF(S492:AT492,"")</f>
        <v>26</v>
      </c>
      <c r="P492" s="136" t="s">
        <v>1709</v>
      </c>
      <c r="Q492" s="31">
        <f>COUNTIF(S492:AT492,"APAGADO")</f>
        <v>2</v>
      </c>
      <c r="R492" s="32">
        <f>(O492)/(Q492+O492)</f>
        <v>0.9285714285714286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 t="s">
        <v>2240</v>
      </c>
      <c r="AF492" s="70"/>
      <c r="AG492" s="70"/>
      <c r="AH492" s="70"/>
      <c r="AI492" s="70"/>
      <c r="AJ492" s="70"/>
      <c r="AK492" s="70"/>
      <c r="AL492" s="70" t="s">
        <v>2240</v>
      </c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8" s="73" customFormat="1" ht="15.75" thickBot="1" x14ac:dyDescent="0.3">
      <c r="A493"/>
      <c r="B493"/>
      <c r="C493"/>
      <c r="D493"/>
      <c r="E493"/>
      <c r="F493" s="73" t="s">
        <v>51</v>
      </c>
      <c r="G493" s="73" t="s">
        <v>137</v>
      </c>
      <c r="H493" s="73" t="s">
        <v>1052</v>
      </c>
      <c r="I493" s="73" t="s">
        <v>1504</v>
      </c>
      <c r="J493" s="84" t="s">
        <v>18</v>
      </c>
      <c r="K493" s="84" t="s">
        <v>1291</v>
      </c>
      <c r="L493" s="84"/>
      <c r="M493" s="84" t="s">
        <v>654</v>
      </c>
      <c r="N493" s="84"/>
      <c r="O493" s="131">
        <f>COUNTIF(S493:AT493,"")</f>
        <v>28</v>
      </c>
      <c r="P493" s="136" t="s">
        <v>1708</v>
      </c>
      <c r="Q493" s="131">
        <f>COUNTIF(S493:AT493,"APAGADO")</f>
        <v>0</v>
      </c>
      <c r="R493" s="132">
        <f>(O493)/(Q493+O493)</f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</row>
    <row r="494" spans="1:48" s="73" customFormat="1" ht="15.75" thickBot="1" x14ac:dyDescent="0.3">
      <c r="A494"/>
      <c r="B494"/>
      <c r="C494"/>
      <c r="D494"/>
      <c r="E494"/>
      <c r="F494" t="s">
        <v>51</v>
      </c>
      <c r="G494" t="s">
        <v>135</v>
      </c>
      <c r="H494" t="s">
        <v>1052</v>
      </c>
      <c r="I494" t="s">
        <v>136</v>
      </c>
      <c r="J494" s="30" t="s">
        <v>18</v>
      </c>
      <c r="K494" s="30" t="s">
        <v>27</v>
      </c>
      <c r="L494" s="30"/>
      <c r="M494" s="30" t="s">
        <v>653</v>
      </c>
      <c r="N494" s="30"/>
      <c r="O494" s="31">
        <f>COUNTIF(S494:AT494,"")</f>
        <v>26</v>
      </c>
      <c r="P494" s="136" t="s">
        <v>1707</v>
      </c>
      <c r="Q494" s="31">
        <f>COUNTIF(S494:AT494,"APAGADO")</f>
        <v>2</v>
      </c>
      <c r="R494" s="32">
        <f>(O494)/(Q494+O494)</f>
        <v>0.9285714285714286</v>
      </c>
      <c r="S494" s="70"/>
      <c r="T494" s="70"/>
      <c r="U494" s="70"/>
      <c r="V494" s="70"/>
      <c r="W494" s="70"/>
      <c r="X494" s="70"/>
      <c r="Y494" s="70" t="s">
        <v>2240</v>
      </c>
      <c r="Z494" s="70" t="s">
        <v>2240</v>
      </c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thickBot="1" x14ac:dyDescent="0.3">
      <c r="A495">
        <v>2</v>
      </c>
      <c r="B495">
        <v>20</v>
      </c>
      <c r="C495"/>
      <c r="D495"/>
      <c r="E495" t="s">
        <v>2348</v>
      </c>
      <c r="F495" t="s">
        <v>51</v>
      </c>
      <c r="G495" t="s">
        <v>133</v>
      </c>
      <c r="H495" t="s">
        <v>1052</v>
      </c>
      <c r="I495" t="s">
        <v>134</v>
      </c>
      <c r="J495" s="30" t="s">
        <v>18</v>
      </c>
      <c r="K495" s="30" t="s">
        <v>27</v>
      </c>
      <c r="L495" s="30"/>
      <c r="M495" s="30" t="s">
        <v>652</v>
      </c>
      <c r="N495" s="30"/>
      <c r="O495" s="31">
        <f>COUNTIF(S495:AT495,"")</f>
        <v>26</v>
      </c>
      <c r="P495" s="136" t="s">
        <v>1706</v>
      </c>
      <c r="Q495" s="31">
        <f>COUNTIF(S495:AT495,"APAGADO")</f>
        <v>2</v>
      </c>
      <c r="R495" s="32">
        <f>(O495)/(Q495+O495)</f>
        <v>0.9285714285714286</v>
      </c>
      <c r="S495" s="70"/>
      <c r="T495" s="70"/>
      <c r="U495" s="70"/>
      <c r="V495" s="70"/>
      <c r="W495" s="70"/>
      <c r="X495" s="70"/>
      <c r="Y495" s="70" t="s">
        <v>2240</v>
      </c>
      <c r="Z495" s="70" t="s">
        <v>2240</v>
      </c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thickBot="1" x14ac:dyDescent="0.3">
      <c r="A496">
        <v>2</v>
      </c>
      <c r="B496">
        <v>20</v>
      </c>
      <c r="C496"/>
      <c r="D496"/>
      <c r="E496" t="s">
        <v>2348</v>
      </c>
      <c r="F496" t="s">
        <v>51</v>
      </c>
      <c r="G496" t="s">
        <v>131</v>
      </c>
      <c r="H496" t="s">
        <v>1052</v>
      </c>
      <c r="I496" t="s">
        <v>132</v>
      </c>
      <c r="J496" s="30" t="s">
        <v>18</v>
      </c>
      <c r="K496" s="30" t="s">
        <v>27</v>
      </c>
      <c r="L496" s="30"/>
      <c r="M496" s="30" t="s">
        <v>651</v>
      </c>
      <c r="N496" s="30"/>
      <c r="O496" s="31">
        <f>COUNTIF(S496:AT496,"")</f>
        <v>27</v>
      </c>
      <c r="P496" s="136" t="s">
        <v>1705</v>
      </c>
      <c r="Q496" s="31">
        <f>COUNTIF(S496:AT496,"APAGADO")</f>
        <v>1</v>
      </c>
      <c r="R496" s="32">
        <f>(O496)/(Q496+O496)</f>
        <v>0.9642857142857143</v>
      </c>
      <c r="S496" s="70"/>
      <c r="T496" s="70"/>
      <c r="U496" s="70"/>
      <c r="V496" s="70"/>
      <c r="W496" s="70"/>
      <c r="X496" s="70"/>
      <c r="Y496" s="70" t="s">
        <v>2240</v>
      </c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thickBot="1" x14ac:dyDescent="0.3">
      <c r="A497"/>
      <c r="B497"/>
      <c r="C497"/>
      <c r="D497"/>
      <c r="E497"/>
      <c r="F497" t="s">
        <v>51</v>
      </c>
      <c r="G497" t="s">
        <v>129</v>
      </c>
      <c r="H497" t="s">
        <v>1052</v>
      </c>
      <c r="I497" t="s">
        <v>130</v>
      </c>
      <c r="J497" s="30" t="s">
        <v>18</v>
      </c>
      <c r="K497" s="30" t="s">
        <v>27</v>
      </c>
      <c r="L497" s="30"/>
      <c r="M497" s="30" t="s">
        <v>650</v>
      </c>
      <c r="N497" s="30"/>
      <c r="O497" s="31">
        <f>COUNTIF(S497:AT497,"")</f>
        <v>26</v>
      </c>
      <c r="P497" s="136" t="s">
        <v>1704</v>
      </c>
      <c r="Q497" s="31">
        <f>COUNTIF(S497:AT497,"APAGADO")</f>
        <v>2</v>
      </c>
      <c r="R497" s="32">
        <f>(O497)/(Q497+O497)</f>
        <v>0.9285714285714286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 t="s">
        <v>2240</v>
      </c>
      <c r="AG497" s="70" t="s">
        <v>2240</v>
      </c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thickBot="1" x14ac:dyDescent="0.3">
      <c r="A498"/>
      <c r="B498"/>
      <c r="C498"/>
      <c r="D498"/>
      <c r="E498"/>
      <c r="F498" t="s">
        <v>51</v>
      </c>
      <c r="G498" t="s">
        <v>127</v>
      </c>
      <c r="H498" t="s">
        <v>1052</v>
      </c>
      <c r="I498" t="s">
        <v>1057</v>
      </c>
      <c r="J498" s="30" t="s">
        <v>18</v>
      </c>
      <c r="K498" s="30" t="s">
        <v>27</v>
      </c>
      <c r="L498" s="30"/>
      <c r="M498" s="30" t="s">
        <v>648</v>
      </c>
      <c r="N498" s="30"/>
      <c r="O498" s="31">
        <f>COUNTIF(S498:AT498,"")</f>
        <v>27</v>
      </c>
      <c r="P498" s="136" t="s">
        <v>1702</v>
      </c>
      <c r="Q498" s="31">
        <f>COUNTIF(S498:AT498,"APAGADO")</f>
        <v>1</v>
      </c>
      <c r="R498" s="32">
        <f>(O498)/(Q498+O498)</f>
        <v>0.9642857142857143</v>
      </c>
      <c r="S498" s="70" t="s">
        <v>2240</v>
      </c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thickBot="1" x14ac:dyDescent="0.3">
      <c r="A499"/>
      <c r="B499"/>
      <c r="C499"/>
      <c r="D499"/>
      <c r="E499"/>
      <c r="F499" t="s">
        <v>51</v>
      </c>
      <c r="G499" t="s">
        <v>126</v>
      </c>
      <c r="H499" t="s">
        <v>1052</v>
      </c>
      <c r="I499" t="s">
        <v>1056</v>
      </c>
      <c r="J499" s="30" t="s">
        <v>18</v>
      </c>
      <c r="K499" s="30" t="s">
        <v>27</v>
      </c>
      <c r="L499" s="30"/>
      <c r="M499" s="30" t="s">
        <v>647</v>
      </c>
      <c r="N499" s="30"/>
      <c r="O499" s="31">
        <f>COUNTIF(S499:AT499,"")</f>
        <v>25</v>
      </c>
      <c r="P499" s="136" t="s">
        <v>1701</v>
      </c>
      <c r="Q499" s="31">
        <f>COUNTIF(S499:AT499,"APAGADO")</f>
        <v>3</v>
      </c>
      <c r="R499" s="32">
        <f>(O499)/(Q499+O499)</f>
        <v>0.8928571428571429</v>
      </c>
      <c r="S499" s="70"/>
      <c r="T499" s="70"/>
      <c r="U499" s="70"/>
      <c r="V499" s="70"/>
      <c r="W499" s="70"/>
      <c r="X499" s="70" t="s">
        <v>2240</v>
      </c>
      <c r="Y499" s="70"/>
      <c r="Z499" s="70"/>
      <c r="AA499" s="70"/>
      <c r="AB499" s="70"/>
      <c r="AC499" s="70"/>
      <c r="AD499" s="70"/>
      <c r="AE499" s="70" t="s">
        <v>2240</v>
      </c>
      <c r="AF499" s="70"/>
      <c r="AG499" s="70" t="s">
        <v>2240</v>
      </c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thickBot="1" x14ac:dyDescent="0.3">
      <c r="A500">
        <v>2</v>
      </c>
      <c r="B500">
        <v>23</v>
      </c>
      <c r="C500"/>
      <c r="D500"/>
      <c r="E500" t="s">
        <v>2349</v>
      </c>
      <c r="F500" t="s">
        <v>51</v>
      </c>
      <c r="G500" t="s">
        <v>125</v>
      </c>
      <c r="H500" t="s">
        <v>1052</v>
      </c>
      <c r="I500" t="s">
        <v>1055</v>
      </c>
      <c r="J500" s="30" t="s">
        <v>18</v>
      </c>
      <c r="K500" s="30" t="s">
        <v>27</v>
      </c>
      <c r="L500" s="30"/>
      <c r="M500" s="30" t="s">
        <v>646</v>
      </c>
      <c r="N500" s="30"/>
      <c r="O500" s="31">
        <f>COUNTIF(S500:AT500,"")</f>
        <v>28</v>
      </c>
      <c r="P500" s="136" t="s">
        <v>1700</v>
      </c>
      <c r="Q500" s="31">
        <f>COUNTIF(S500:AT500,"APAGADO")</f>
        <v>0</v>
      </c>
      <c r="R500" s="32">
        <f>(O500)/(Q500+O500)</f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thickBot="1" x14ac:dyDescent="0.3">
      <c r="A501">
        <v>3</v>
      </c>
      <c r="B501">
        <v>13</v>
      </c>
      <c r="C501"/>
      <c r="D501"/>
      <c r="E501" t="s">
        <v>2350</v>
      </c>
      <c r="F501" t="s">
        <v>51</v>
      </c>
      <c r="G501" t="s">
        <v>123</v>
      </c>
      <c r="H501" t="s">
        <v>1052</v>
      </c>
      <c r="I501" t="s">
        <v>124</v>
      </c>
      <c r="J501" s="30" t="s">
        <v>18</v>
      </c>
      <c r="K501" s="30" t="s">
        <v>27</v>
      </c>
      <c r="L501" s="30"/>
      <c r="M501" s="30" t="s">
        <v>645</v>
      </c>
      <c r="N501" s="30"/>
      <c r="O501" s="31">
        <f>COUNTIF(S501:AT501,"")</f>
        <v>28</v>
      </c>
      <c r="P501" s="136" t="s">
        <v>1699</v>
      </c>
      <c r="Q501" s="31">
        <f>COUNTIF(S501:AT501,"APAGADO")</f>
        <v>0</v>
      </c>
      <c r="R501" s="32">
        <f>(O501)/(Q501+O501)</f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thickBot="1" x14ac:dyDescent="0.3">
      <c r="A502">
        <v>3</v>
      </c>
      <c r="B502">
        <v>13</v>
      </c>
      <c r="C502"/>
      <c r="D502"/>
      <c r="E502" t="s">
        <v>2350</v>
      </c>
      <c r="F502" t="s">
        <v>51</v>
      </c>
      <c r="G502" t="s">
        <v>122</v>
      </c>
      <c r="H502" t="s">
        <v>1052</v>
      </c>
      <c r="I502" t="s">
        <v>1074</v>
      </c>
      <c r="J502" s="30" t="s">
        <v>18</v>
      </c>
      <c r="K502" s="30" t="s">
        <v>27</v>
      </c>
      <c r="L502" s="30"/>
      <c r="M502" s="30" t="s">
        <v>644</v>
      </c>
      <c r="N502" s="30"/>
      <c r="O502" s="31">
        <f>COUNTIF(S502:AT502,"")</f>
        <v>28</v>
      </c>
      <c r="P502" s="136" t="s">
        <v>1698</v>
      </c>
      <c r="Q502" s="31">
        <f>COUNTIF(S502:AT502,"APAGADO")</f>
        <v>0</v>
      </c>
      <c r="R502" s="32">
        <f>(O502)/(Q502+O502)</f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thickBot="1" x14ac:dyDescent="0.3">
      <c r="A503">
        <v>3</v>
      </c>
      <c r="B503">
        <v>13</v>
      </c>
      <c r="C503"/>
      <c r="D503"/>
      <c r="E503" t="s">
        <v>2350</v>
      </c>
      <c r="F503" t="s">
        <v>51</v>
      </c>
      <c r="G503" t="s">
        <v>120</v>
      </c>
      <c r="H503" t="s">
        <v>1052</v>
      </c>
      <c r="I503" t="s">
        <v>121</v>
      </c>
      <c r="J503" s="30" t="s">
        <v>18</v>
      </c>
      <c r="K503" s="30" t="s">
        <v>27</v>
      </c>
      <c r="L503" s="30"/>
      <c r="M503" s="30" t="s">
        <v>643</v>
      </c>
      <c r="N503" s="30"/>
      <c r="O503" s="31">
        <f>COUNTIF(S503:AT503,"")</f>
        <v>28</v>
      </c>
      <c r="P503" s="136" t="s">
        <v>1697</v>
      </c>
      <c r="Q503" s="31">
        <f>COUNTIF(S503:AT503,"APAGADO")</f>
        <v>0</v>
      </c>
      <c r="R503" s="32">
        <f>(O503)/(Q503+O503)</f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thickBot="1" x14ac:dyDescent="0.3">
      <c r="A504">
        <v>3</v>
      </c>
      <c r="B504">
        <v>13</v>
      </c>
      <c r="C504"/>
      <c r="D504"/>
      <c r="E504" t="s">
        <v>2350</v>
      </c>
      <c r="F504" t="s">
        <v>51</v>
      </c>
      <c r="G504" t="s">
        <v>118</v>
      </c>
      <c r="H504" t="s">
        <v>1052</v>
      </c>
      <c r="I504" t="s">
        <v>119</v>
      </c>
      <c r="J504" s="30" t="s">
        <v>18</v>
      </c>
      <c r="K504" s="30" t="s">
        <v>27</v>
      </c>
      <c r="L504" s="30"/>
      <c r="M504" s="30" t="s">
        <v>642</v>
      </c>
      <c r="N504" s="30"/>
      <c r="O504" s="31">
        <f>COUNTIF(S504:AT504,"")</f>
        <v>28</v>
      </c>
      <c r="P504" s="136" t="s">
        <v>1696</v>
      </c>
      <c r="Q504" s="31">
        <f>COUNTIF(S504:AT504,"APAGADO")</f>
        <v>0</v>
      </c>
      <c r="R504" s="32">
        <f>(O504)/(Q504+O504)</f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thickBot="1" x14ac:dyDescent="0.3">
      <c r="A505">
        <v>2</v>
      </c>
      <c r="B505">
        <v>23</v>
      </c>
      <c r="C505"/>
      <c r="D505"/>
      <c r="E505" t="s">
        <v>2349</v>
      </c>
      <c r="F505" t="s">
        <v>51</v>
      </c>
      <c r="G505" t="s">
        <v>116</v>
      </c>
      <c r="H505" t="s">
        <v>1052</v>
      </c>
      <c r="I505" t="s">
        <v>117</v>
      </c>
      <c r="J505" s="30" t="s">
        <v>18</v>
      </c>
      <c r="K505" s="30" t="s">
        <v>27</v>
      </c>
      <c r="L505" s="30"/>
      <c r="M505" s="30" t="s">
        <v>641</v>
      </c>
      <c r="N505" s="30"/>
      <c r="O505" s="31">
        <f>COUNTIF(S505:AT505,"")</f>
        <v>15</v>
      </c>
      <c r="P505" s="136" t="s">
        <v>1695</v>
      </c>
      <c r="Q505" s="31">
        <f>COUNTIF(S505:AT505,"APAGADO")</f>
        <v>13</v>
      </c>
      <c r="R505" s="32">
        <f>(O505)/(Q505+O505)</f>
        <v>0.5357142857142857</v>
      </c>
      <c r="S505" s="70" t="s">
        <v>2240</v>
      </c>
      <c r="T505" s="70"/>
      <c r="U505" s="70"/>
      <c r="V505" s="70"/>
      <c r="W505" s="70"/>
      <c r="X505" s="70"/>
      <c r="Y505" s="70" t="s">
        <v>2240</v>
      </c>
      <c r="Z505" s="70"/>
      <c r="AA505" s="70"/>
      <c r="AB505" s="70"/>
      <c r="AC505" s="70"/>
      <c r="AD505" s="70"/>
      <c r="AE505" s="70" t="s">
        <v>2240</v>
      </c>
      <c r="AF505" s="70" t="s">
        <v>2240</v>
      </c>
      <c r="AG505" s="70" t="s">
        <v>2240</v>
      </c>
      <c r="AH505" s="70" t="s">
        <v>2240</v>
      </c>
      <c r="AI505" s="70" t="s">
        <v>2240</v>
      </c>
      <c r="AJ505" s="70"/>
      <c r="AK505" s="70"/>
      <c r="AL505" s="70" t="s">
        <v>2240</v>
      </c>
      <c r="AM505" s="70" t="s">
        <v>2240</v>
      </c>
      <c r="AN505" s="70" t="s">
        <v>2240</v>
      </c>
      <c r="AO505" s="70" t="s">
        <v>2240</v>
      </c>
      <c r="AP505" s="70" t="s">
        <v>2240</v>
      </c>
      <c r="AQ505" s="70"/>
      <c r="AR505" s="70"/>
      <c r="AS505" s="70"/>
      <c r="AT505" s="70" t="s">
        <v>2240</v>
      </c>
      <c r="AU505" s="70" t="s">
        <v>2240</v>
      </c>
      <c r="AV505" s="70" t="s">
        <v>2240</v>
      </c>
    </row>
    <row r="506" spans="1:48" ht="15.75" thickBot="1" x14ac:dyDescent="0.3">
      <c r="A506">
        <v>2</v>
      </c>
      <c r="B506">
        <v>23</v>
      </c>
      <c r="C506"/>
      <c r="D506"/>
      <c r="E506" t="s">
        <v>2349</v>
      </c>
      <c r="F506" t="s">
        <v>51</v>
      </c>
      <c r="G506" t="s">
        <v>114</v>
      </c>
      <c r="H506" t="s">
        <v>1052</v>
      </c>
      <c r="I506" t="s">
        <v>115</v>
      </c>
      <c r="J506" s="30" t="s">
        <v>18</v>
      </c>
      <c r="K506" s="30" t="s">
        <v>27</v>
      </c>
      <c r="L506" s="30"/>
      <c r="M506" s="30" t="s">
        <v>640</v>
      </c>
      <c r="N506" s="30"/>
      <c r="O506" s="31">
        <f>COUNTIF(S506:AT506,"")</f>
        <v>14</v>
      </c>
      <c r="P506" s="136" t="s">
        <v>1694</v>
      </c>
      <c r="Q506" s="31">
        <f>COUNTIF(S506:AT506,"APAGADO")</f>
        <v>14</v>
      </c>
      <c r="R506" s="32">
        <f>(O506)/(Q506+O506)</f>
        <v>0.5</v>
      </c>
      <c r="S506" s="70"/>
      <c r="T506" s="70"/>
      <c r="U506" s="70"/>
      <c r="V506" s="70"/>
      <c r="W506" s="70"/>
      <c r="X506" s="70" t="s">
        <v>2240</v>
      </c>
      <c r="Y506" s="70" t="s">
        <v>2240</v>
      </c>
      <c r="Z506" s="70" t="s">
        <v>2240</v>
      </c>
      <c r="AA506" s="70"/>
      <c r="AB506" s="70"/>
      <c r="AC506" s="70"/>
      <c r="AD506" s="70"/>
      <c r="AE506" s="70" t="s">
        <v>2240</v>
      </c>
      <c r="AF506" s="70" t="s">
        <v>2240</v>
      </c>
      <c r="AG506" s="70" t="s">
        <v>2240</v>
      </c>
      <c r="AH506" s="70" t="s">
        <v>2240</v>
      </c>
      <c r="AI506" s="70" t="s">
        <v>2240</v>
      </c>
      <c r="AJ506" s="70"/>
      <c r="AK506" s="70"/>
      <c r="AL506" s="70" t="s">
        <v>2240</v>
      </c>
      <c r="AM506" s="70" t="s">
        <v>2240</v>
      </c>
      <c r="AN506" s="70" t="s">
        <v>2240</v>
      </c>
      <c r="AO506" s="70" t="s">
        <v>2240</v>
      </c>
      <c r="AP506" s="70"/>
      <c r="AQ506" s="70"/>
      <c r="AR506" s="70"/>
      <c r="AS506" s="70" t="s">
        <v>2240</v>
      </c>
      <c r="AT506" s="70" t="s">
        <v>2240</v>
      </c>
      <c r="AU506" s="70" t="s">
        <v>2240</v>
      </c>
      <c r="AV506" s="70" t="s">
        <v>2240</v>
      </c>
    </row>
    <row r="507" spans="1:48" ht="15.75" thickBot="1" x14ac:dyDescent="0.3">
      <c r="A507">
        <v>2</v>
      </c>
      <c r="B507">
        <v>23</v>
      </c>
      <c r="C507"/>
      <c r="D507"/>
      <c r="E507" t="s">
        <v>2349</v>
      </c>
      <c r="F507" t="s">
        <v>51</v>
      </c>
      <c r="G507" t="s">
        <v>113</v>
      </c>
      <c r="H507" t="s">
        <v>1052</v>
      </c>
      <c r="I507" t="s">
        <v>1073</v>
      </c>
      <c r="J507" s="30" t="s">
        <v>18</v>
      </c>
      <c r="K507" s="30" t="s">
        <v>1291</v>
      </c>
      <c r="L507" s="30"/>
      <c r="M507" s="30" t="s">
        <v>1463</v>
      </c>
      <c r="N507" s="30"/>
      <c r="O507" s="31">
        <f>COUNTIF(S507:AT507,"")</f>
        <v>17</v>
      </c>
      <c r="P507" s="136" t="s">
        <v>1693</v>
      </c>
      <c r="Q507" s="31">
        <f>COUNTIF(S507:AT507,"APAGADO")</f>
        <v>11</v>
      </c>
      <c r="R507" s="32">
        <f>(O507)/(Q507+O507)</f>
        <v>0.6071428571428571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 t="s">
        <v>2240</v>
      </c>
      <c r="AF507" s="70" t="s">
        <v>2240</v>
      </c>
      <c r="AG507" s="70" t="s">
        <v>2240</v>
      </c>
      <c r="AH507" s="70" t="s">
        <v>2240</v>
      </c>
      <c r="AI507" s="70" t="s">
        <v>2240</v>
      </c>
      <c r="AJ507" s="70"/>
      <c r="AK507" s="70"/>
      <c r="AL507" s="70" t="s">
        <v>2240</v>
      </c>
      <c r="AM507" s="70" t="s">
        <v>2240</v>
      </c>
      <c r="AN507" s="70" t="s">
        <v>2240</v>
      </c>
      <c r="AO507" s="70" t="s">
        <v>2240</v>
      </c>
      <c r="AP507" s="70"/>
      <c r="AQ507" s="70"/>
      <c r="AR507" s="70"/>
      <c r="AS507" s="70" t="s">
        <v>2240</v>
      </c>
      <c r="AT507" s="70" t="s">
        <v>2240</v>
      </c>
      <c r="AU507" s="70" t="s">
        <v>2240</v>
      </c>
      <c r="AV507" s="70" t="s">
        <v>2240</v>
      </c>
    </row>
    <row r="508" spans="1:48" ht="15.75" thickBot="1" x14ac:dyDescent="0.3">
      <c r="A508">
        <v>2</v>
      </c>
      <c r="B508">
        <v>23</v>
      </c>
      <c r="C508"/>
      <c r="D508"/>
      <c r="E508" t="s">
        <v>2349</v>
      </c>
      <c r="F508" t="s">
        <v>51</v>
      </c>
      <c r="G508" t="s">
        <v>112</v>
      </c>
      <c r="H508" t="s">
        <v>1052</v>
      </c>
      <c r="I508" t="s">
        <v>1072</v>
      </c>
      <c r="J508" s="30" t="s">
        <v>18</v>
      </c>
      <c r="K508" s="30" t="s">
        <v>27</v>
      </c>
      <c r="L508" s="30"/>
      <c r="M508" s="30" t="s">
        <v>1139</v>
      </c>
      <c r="N508" s="30"/>
      <c r="O508" s="31">
        <f>COUNTIF(S508:AT508,"")</f>
        <v>28</v>
      </c>
      <c r="P508" s="136" t="s">
        <v>1692</v>
      </c>
      <c r="Q508" s="31">
        <f>COUNTIF(S508:AT508,"APAGADO")</f>
        <v>0</v>
      </c>
      <c r="R508" s="32">
        <f>(O508)/(Q508+O508)</f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8" ht="15.75" thickBot="1" x14ac:dyDescent="0.3">
      <c r="A509"/>
      <c r="B509"/>
      <c r="C509"/>
      <c r="D509"/>
      <c r="E509"/>
      <c r="F509" t="s">
        <v>51</v>
      </c>
      <c r="G509" t="s">
        <v>110</v>
      </c>
      <c r="H509" t="s">
        <v>1052</v>
      </c>
      <c r="I509" t="s">
        <v>111</v>
      </c>
      <c r="J509" s="30" t="s">
        <v>18</v>
      </c>
      <c r="K509" s="30" t="s">
        <v>27</v>
      </c>
      <c r="L509" s="30"/>
      <c r="M509" s="30" t="s">
        <v>639</v>
      </c>
      <c r="N509" s="30"/>
      <c r="O509" s="31">
        <f>COUNTIF(S509:AT509,"")</f>
        <v>27</v>
      </c>
      <c r="P509" s="136" t="s">
        <v>1691</v>
      </c>
      <c r="Q509" s="31">
        <f>COUNTIF(S509:AT509,"APAGADO")</f>
        <v>1</v>
      </c>
      <c r="R509" s="32">
        <f>(O509)/(Q509+O509)</f>
        <v>0.9642857142857143</v>
      </c>
      <c r="S509" s="70" t="s">
        <v>2240</v>
      </c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ht="15.75" thickBot="1" x14ac:dyDescent="0.3">
      <c r="A510"/>
      <c r="B510"/>
      <c r="C510"/>
      <c r="D510"/>
      <c r="E510"/>
      <c r="F510" t="s">
        <v>51</v>
      </c>
      <c r="G510" t="s">
        <v>109</v>
      </c>
      <c r="H510" t="s">
        <v>1052</v>
      </c>
      <c r="I510" t="s">
        <v>1070</v>
      </c>
      <c r="J510" s="30" t="s">
        <v>18</v>
      </c>
      <c r="K510" s="30" t="s">
        <v>1291</v>
      </c>
      <c r="L510" s="30"/>
      <c r="M510" s="30" t="s">
        <v>2333</v>
      </c>
      <c r="N510" s="30"/>
      <c r="O510" s="31">
        <f>COUNTIF(S510:AT510,"")</f>
        <v>28</v>
      </c>
      <c r="P510" s="136" t="s">
        <v>1690</v>
      </c>
      <c r="Q510" s="31">
        <f>COUNTIF(S510:AT510,"APAGADO")</f>
        <v>0</v>
      </c>
      <c r="R510" s="32">
        <f>(O510)/(Q510+O510)</f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ht="15.75" thickBot="1" x14ac:dyDescent="0.3">
      <c r="A511">
        <v>2</v>
      </c>
      <c r="B511">
        <v>23</v>
      </c>
      <c r="C511"/>
      <c r="D511"/>
      <c r="E511" t="s">
        <v>2350</v>
      </c>
      <c r="F511" t="s">
        <v>51</v>
      </c>
      <c r="G511" t="s">
        <v>107</v>
      </c>
      <c r="H511" t="s">
        <v>1052</v>
      </c>
      <c r="I511" t="s">
        <v>108</v>
      </c>
      <c r="J511" s="30" t="s">
        <v>18</v>
      </c>
      <c r="K511" s="30" t="s">
        <v>27</v>
      </c>
      <c r="L511" s="30"/>
      <c r="M511" s="30" t="s">
        <v>638</v>
      </c>
      <c r="N511" s="30"/>
      <c r="O511" s="31">
        <f>COUNTIF(S511:AT511,"")</f>
        <v>28</v>
      </c>
      <c r="P511" s="136" t="s">
        <v>1689</v>
      </c>
      <c r="Q511" s="31">
        <f>COUNTIF(S511:AT511,"APAGADO")</f>
        <v>0</v>
      </c>
      <c r="R511" s="32">
        <f>(O511)/(Q511+O511)</f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s="73" customFormat="1" ht="15.75" thickBot="1" x14ac:dyDescent="0.3">
      <c r="A512"/>
      <c r="B512"/>
      <c r="C512"/>
      <c r="D512"/>
      <c r="E512"/>
      <c r="F512" s="73" t="s">
        <v>51</v>
      </c>
      <c r="G512" s="73" t="s">
        <v>105</v>
      </c>
      <c r="H512" s="73" t="s">
        <v>1052</v>
      </c>
      <c r="I512" s="73" t="s">
        <v>106</v>
      </c>
      <c r="J512" s="84" t="s">
        <v>18</v>
      </c>
      <c r="K512" s="84" t="s">
        <v>1291</v>
      </c>
      <c r="L512" s="84"/>
      <c r="M512" s="84" t="s">
        <v>1365</v>
      </c>
      <c r="N512" s="84"/>
      <c r="O512" s="131">
        <f>COUNTIF(S512:AT512,"")</f>
        <v>28</v>
      </c>
      <c r="P512" s="136" t="s">
        <v>1688</v>
      </c>
      <c r="Q512" s="131">
        <f>COUNTIF(S512:AT512,"APAGADO")</f>
        <v>0</v>
      </c>
      <c r="R512" s="132">
        <f>(O512)/(Q512+O512)</f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ht="15.75" thickBot="1" x14ac:dyDescent="0.3">
      <c r="A513"/>
      <c r="B513"/>
      <c r="C513"/>
      <c r="D513"/>
      <c r="E513"/>
      <c r="F513" s="88" t="s">
        <v>51</v>
      </c>
      <c r="G513" s="88" t="s">
        <v>103</v>
      </c>
      <c r="H513" s="88" t="s">
        <v>1052</v>
      </c>
      <c r="I513" s="88" t="s">
        <v>104</v>
      </c>
      <c r="J513" s="89" t="s">
        <v>72</v>
      </c>
      <c r="K513" s="84" t="s">
        <v>1291</v>
      </c>
      <c r="L513" s="89"/>
      <c r="M513" s="89" t="s">
        <v>2275</v>
      </c>
      <c r="N513" s="89"/>
      <c r="O513" s="31">
        <f>COUNTIF(S513:AT513,"")</f>
        <v>28</v>
      </c>
      <c r="P513" s="136" t="s">
        <v>2324</v>
      </c>
      <c r="Q513" s="31">
        <f>COUNTIF(S513:AT513,"APAGADO")</f>
        <v>0</v>
      </c>
      <c r="R513" s="32">
        <f>(O513)/(Q513+O513)</f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90"/>
      <c r="AL513" s="90"/>
      <c r="AM513" s="70"/>
      <c r="AN513" s="90"/>
      <c r="AO513" s="90"/>
      <c r="AP513" s="90"/>
      <c r="AQ513" s="90"/>
      <c r="AR513" s="90"/>
      <c r="AS513" s="90"/>
      <c r="AT513" s="90"/>
      <c r="AU513" s="90"/>
      <c r="AV513" s="90"/>
    </row>
    <row r="514" spans="1:48" ht="15.75" thickBot="1" x14ac:dyDescent="0.3">
      <c r="A514"/>
      <c r="B514"/>
      <c r="C514"/>
      <c r="D514"/>
      <c r="E514"/>
      <c r="F514" s="73" t="s">
        <v>100</v>
      </c>
      <c r="G514" s="73" t="s">
        <v>101</v>
      </c>
      <c r="H514" s="73" t="s">
        <v>1052</v>
      </c>
      <c r="I514" s="73" t="s">
        <v>102</v>
      </c>
      <c r="J514" s="84" t="s">
        <v>18</v>
      </c>
      <c r="K514" s="84" t="s">
        <v>1291</v>
      </c>
      <c r="L514" s="84"/>
      <c r="M514" s="84" t="s">
        <v>637</v>
      </c>
      <c r="N514" s="84"/>
      <c r="O514" s="131">
        <f>COUNTIF(S514:AT514,"")</f>
        <v>27</v>
      </c>
      <c r="P514" s="136" t="s">
        <v>1687</v>
      </c>
      <c r="Q514" s="131">
        <f>COUNTIF(S514:AT514,"APAGADO")</f>
        <v>1</v>
      </c>
      <c r="R514" s="132">
        <f>(O514)/(Q514+O514)</f>
        <v>0.9642857142857143</v>
      </c>
      <c r="S514" s="70"/>
      <c r="T514" s="70"/>
      <c r="U514" s="70"/>
      <c r="V514" s="70"/>
      <c r="W514" s="70"/>
      <c r="X514" s="70"/>
      <c r="Y514" s="70"/>
      <c r="Z514" s="70" t="s">
        <v>2240</v>
      </c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s="73" customFormat="1" ht="15.75" thickBot="1" x14ac:dyDescent="0.3">
      <c r="A515">
        <v>9</v>
      </c>
      <c r="B515">
        <v>1</v>
      </c>
      <c r="C515"/>
      <c r="D515"/>
      <c r="E515" t="s">
        <v>2358</v>
      </c>
      <c r="F515" t="s">
        <v>51</v>
      </c>
      <c r="G515" t="s">
        <v>99</v>
      </c>
      <c r="H515" t="s">
        <v>1052</v>
      </c>
      <c r="I515" t="s">
        <v>84</v>
      </c>
      <c r="J515" s="30" t="s">
        <v>72</v>
      </c>
      <c r="K515" s="30" t="s">
        <v>27</v>
      </c>
      <c r="L515" s="30"/>
      <c r="M515" s="30" t="s">
        <v>636</v>
      </c>
      <c r="N515" s="30"/>
      <c r="O515" s="31">
        <f>COUNTIF(S515:AT515,"")</f>
        <v>28</v>
      </c>
      <c r="P515" s="136" t="s">
        <v>1686</v>
      </c>
      <c r="Q515" s="31">
        <f>COUNTIF(S515:AT515,"APAGADO")</f>
        <v>0</v>
      </c>
      <c r="R515" s="32">
        <f>(O515)/(Q515+O515)</f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thickBot="1" x14ac:dyDescent="0.3">
      <c r="A516">
        <v>3</v>
      </c>
      <c r="B516">
        <v>13</v>
      </c>
      <c r="C516"/>
      <c r="D516"/>
      <c r="E516" t="s">
        <v>2350</v>
      </c>
      <c r="F516" t="s">
        <v>51</v>
      </c>
      <c r="G516" t="s">
        <v>97</v>
      </c>
      <c r="H516" t="s">
        <v>1052</v>
      </c>
      <c r="I516" t="s">
        <v>98</v>
      </c>
      <c r="J516" s="30" t="s">
        <v>72</v>
      </c>
      <c r="K516" s="30" t="s">
        <v>27</v>
      </c>
      <c r="L516" s="30"/>
      <c r="M516" s="30" t="s">
        <v>635</v>
      </c>
      <c r="N516" s="30"/>
      <c r="O516" s="31">
        <f>COUNTIF(S516:AT516,"")</f>
        <v>28</v>
      </c>
      <c r="P516" s="136" t="s">
        <v>1685</v>
      </c>
      <c r="Q516" s="31">
        <f>COUNTIF(S516:AT516,"APAGADO")</f>
        <v>0</v>
      </c>
      <c r="R516" s="32">
        <f>(O516)/(Q516+O516)</f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thickBot="1" x14ac:dyDescent="0.3">
      <c r="A517">
        <v>2</v>
      </c>
      <c r="B517">
        <v>23</v>
      </c>
      <c r="C517"/>
      <c r="D517"/>
      <c r="E517" t="s">
        <v>2349</v>
      </c>
      <c r="F517" t="s">
        <v>51</v>
      </c>
      <c r="G517" t="s">
        <v>95</v>
      </c>
      <c r="H517" t="s">
        <v>1052</v>
      </c>
      <c r="I517" t="s">
        <v>96</v>
      </c>
      <c r="J517" s="30" t="s">
        <v>18</v>
      </c>
      <c r="K517" s="30" t="s">
        <v>1046</v>
      </c>
      <c r="L517" s="30" t="s">
        <v>1242</v>
      </c>
      <c r="M517" s="30" t="s">
        <v>634</v>
      </c>
      <c r="N517" s="30"/>
      <c r="O517" s="31">
        <f>COUNTIF(S517:AT517,"")</f>
        <v>24</v>
      </c>
      <c r="P517" s="136" t="s">
        <v>1684</v>
      </c>
      <c r="Q517" s="31">
        <f>COUNTIF(S517:AT517,"APAGADO")</f>
        <v>4</v>
      </c>
      <c r="R517" s="32">
        <f>(O517)/(Q517+O517)</f>
        <v>0.8571428571428571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 t="s">
        <v>2240</v>
      </c>
      <c r="AF517" s="70" t="s">
        <v>2240</v>
      </c>
      <c r="AG517" s="70" t="s">
        <v>2240</v>
      </c>
      <c r="AH517" s="70"/>
      <c r="AI517" s="70"/>
      <c r="AJ517" s="70"/>
      <c r="AK517" s="70"/>
      <c r="AL517" s="70"/>
      <c r="AM517" s="70"/>
      <c r="AN517" s="70"/>
      <c r="AO517" s="70" t="s">
        <v>2240</v>
      </c>
      <c r="AP517" s="70"/>
      <c r="AQ517" s="70"/>
      <c r="AR517" s="70"/>
      <c r="AS517" s="70"/>
      <c r="AT517" s="70"/>
      <c r="AU517" s="70"/>
      <c r="AV517" s="70"/>
    </row>
    <row r="518" spans="1:48" ht="15.75" thickBot="1" x14ac:dyDescent="0.3">
      <c r="A518">
        <v>3</v>
      </c>
      <c r="B518">
        <v>13</v>
      </c>
      <c r="C518"/>
      <c r="D518"/>
      <c r="E518" t="s">
        <v>2349</v>
      </c>
      <c r="F518" t="s">
        <v>51</v>
      </c>
      <c r="G518" t="s">
        <v>93</v>
      </c>
      <c r="H518" t="s">
        <v>1052</v>
      </c>
      <c r="I518" t="s">
        <v>94</v>
      </c>
      <c r="J518" s="30" t="s">
        <v>72</v>
      </c>
      <c r="K518" s="30" t="s">
        <v>27</v>
      </c>
      <c r="L518" s="30"/>
      <c r="M518" s="30" t="s">
        <v>633</v>
      </c>
      <c r="N518" s="30"/>
      <c r="O518" s="31">
        <f>COUNTIF(S518:AT518,"")</f>
        <v>28</v>
      </c>
      <c r="P518" s="136" t="s">
        <v>1683</v>
      </c>
      <c r="Q518" s="31">
        <f>COUNTIF(S518:AT518,"APAGADO")</f>
        <v>0</v>
      </c>
      <c r="R518" s="32">
        <f>(O518)/(Q518+O518)</f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thickBot="1" x14ac:dyDescent="0.3">
      <c r="F519" s="73" t="s">
        <v>51</v>
      </c>
      <c r="G519" s="73" t="s">
        <v>91</v>
      </c>
      <c r="H519" s="73" t="s">
        <v>1052</v>
      </c>
      <c r="I519" s="73" t="s">
        <v>92</v>
      </c>
      <c r="J519" s="84" t="s">
        <v>18</v>
      </c>
      <c r="K519" s="84" t="s">
        <v>1291</v>
      </c>
      <c r="L519" s="84"/>
      <c r="M519" s="84" t="s">
        <v>632</v>
      </c>
      <c r="N519" s="84"/>
      <c r="O519" s="131">
        <f>COUNTIF(S519:AT519,"")</f>
        <v>28</v>
      </c>
      <c r="P519" s="136" t="s">
        <v>1682</v>
      </c>
      <c r="Q519" s="131">
        <f>COUNTIF(S519:AT519,"APAGADO")</f>
        <v>0</v>
      </c>
      <c r="R519" s="132">
        <f>(O519)/(Q519+O519)</f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thickBot="1" x14ac:dyDescent="0.3">
      <c r="A520">
        <v>3</v>
      </c>
      <c r="B520">
        <v>13</v>
      </c>
      <c r="E520" t="s">
        <v>2350</v>
      </c>
      <c r="F520" t="s">
        <v>51</v>
      </c>
      <c r="G520" t="s">
        <v>90</v>
      </c>
      <c r="H520" t="s">
        <v>1052</v>
      </c>
      <c r="I520" t="s">
        <v>1069</v>
      </c>
      <c r="J520" s="30" t="s">
        <v>18</v>
      </c>
      <c r="K520" s="30" t="s">
        <v>27</v>
      </c>
      <c r="L520" s="30"/>
      <c r="M520" s="30" t="s">
        <v>631</v>
      </c>
      <c r="N520" s="30"/>
      <c r="O520" s="31">
        <f>COUNTIF(S520:AT520,"")</f>
        <v>28</v>
      </c>
      <c r="P520" s="136" t="s">
        <v>1681</v>
      </c>
      <c r="Q520" s="31">
        <f>COUNTIF(S520:AT520,"APAGADO")</f>
        <v>0</v>
      </c>
      <c r="R520" s="32">
        <f>(O520)/(Q520+O520)</f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thickBot="1" x14ac:dyDescent="0.3">
      <c r="A521">
        <v>3</v>
      </c>
      <c r="B521">
        <v>13</v>
      </c>
      <c r="C521"/>
      <c r="D521"/>
      <c r="E521" t="s">
        <v>2350</v>
      </c>
      <c r="F521" t="s">
        <v>51</v>
      </c>
      <c r="G521" t="s">
        <v>86</v>
      </c>
      <c r="H521" t="s">
        <v>1052</v>
      </c>
      <c r="I521" t="s">
        <v>87</v>
      </c>
      <c r="J521" s="30" t="s">
        <v>18</v>
      </c>
      <c r="K521" s="30" t="s">
        <v>27</v>
      </c>
      <c r="L521" s="30"/>
      <c r="M521" s="30" t="s">
        <v>628</v>
      </c>
      <c r="N521" s="30"/>
      <c r="O521" s="31">
        <f>COUNTIF(S521:AT521,"")</f>
        <v>28</v>
      </c>
      <c r="P521" s="136" t="s">
        <v>1678</v>
      </c>
      <c r="Q521" s="31">
        <f>COUNTIF(S521:AT521,"APAGADO")</f>
        <v>0</v>
      </c>
      <c r="R521" s="32">
        <f>(O521)/(Q521+O521)</f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8" ht="15.75" thickBot="1" x14ac:dyDescent="0.3">
      <c r="A522"/>
      <c r="B522"/>
      <c r="C522"/>
      <c r="D522"/>
      <c r="E522"/>
      <c r="F522" s="73" t="s">
        <v>51</v>
      </c>
      <c r="G522" s="84" t="s">
        <v>2268</v>
      </c>
      <c r="H522" s="84" t="s">
        <v>1052</v>
      </c>
      <c r="I522" s="73" t="s">
        <v>2269</v>
      </c>
      <c r="J522" s="84" t="s">
        <v>18</v>
      </c>
      <c r="K522" s="30" t="s">
        <v>27</v>
      </c>
      <c r="L522" s="84"/>
      <c r="M522" s="84" t="s">
        <v>2270</v>
      </c>
      <c r="N522" s="84"/>
      <c r="O522" s="131">
        <f>COUNTIF(S522:AT522,"")</f>
        <v>16</v>
      </c>
      <c r="P522" s="136" t="s">
        <v>2271</v>
      </c>
      <c r="Q522" s="131">
        <f>COUNTIF(S522:AT522,"APAGADO")</f>
        <v>12</v>
      </c>
      <c r="R522" s="132">
        <f>(O522)/(Q522+O522)</f>
        <v>0.5714285714285714</v>
      </c>
      <c r="S522" s="70" t="s">
        <v>2240</v>
      </c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 t="s">
        <v>2240</v>
      </c>
      <c r="AF522" s="70" t="s">
        <v>2240</v>
      </c>
      <c r="AG522" s="142" t="s">
        <v>2240</v>
      </c>
      <c r="AH522" s="70" t="s">
        <v>2240</v>
      </c>
      <c r="AI522" s="70" t="s">
        <v>2240</v>
      </c>
      <c r="AJ522" s="70"/>
      <c r="AK522" s="70"/>
      <c r="AL522" s="70" t="s">
        <v>2240</v>
      </c>
      <c r="AM522" s="70" t="s">
        <v>2240</v>
      </c>
      <c r="AN522" s="70" t="s">
        <v>2240</v>
      </c>
      <c r="AO522" s="70" t="s">
        <v>2240</v>
      </c>
      <c r="AP522" s="70" t="s">
        <v>2240</v>
      </c>
      <c r="AQ522" s="70"/>
      <c r="AR522" s="70"/>
      <c r="AS522" s="70"/>
      <c r="AT522" s="70" t="s">
        <v>2240</v>
      </c>
      <c r="AU522" s="70" t="s">
        <v>2240</v>
      </c>
      <c r="AV522" s="70" t="s">
        <v>2240</v>
      </c>
    </row>
    <row r="523" spans="1:48" ht="15.75" thickBot="1" x14ac:dyDescent="0.3">
      <c r="A523">
        <v>3</v>
      </c>
      <c r="B523">
        <v>13</v>
      </c>
      <c r="C523"/>
      <c r="D523"/>
      <c r="E523" t="s">
        <v>2350</v>
      </c>
      <c r="F523" t="s">
        <v>51</v>
      </c>
      <c r="G523" t="s">
        <v>85</v>
      </c>
      <c r="H523" t="s">
        <v>1052</v>
      </c>
      <c r="I523" t="s">
        <v>1065</v>
      </c>
      <c r="J523" s="30" t="s">
        <v>18</v>
      </c>
      <c r="K523" s="30" t="s">
        <v>27</v>
      </c>
      <c r="L523" s="30"/>
      <c r="M523" s="30" t="s">
        <v>627</v>
      </c>
      <c r="N523" s="30"/>
      <c r="O523" s="31">
        <f>COUNTIF(S523:AT523,"")</f>
        <v>28</v>
      </c>
      <c r="P523" s="136" t="s">
        <v>1677</v>
      </c>
      <c r="Q523" s="31">
        <f>COUNTIF(S523:AT523,"APAGADO")</f>
        <v>0</v>
      </c>
      <c r="R523" s="32">
        <f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8" ht="15.75" thickBot="1" x14ac:dyDescent="0.3">
      <c r="A524">
        <v>9</v>
      </c>
      <c r="B524">
        <v>1</v>
      </c>
      <c r="C524"/>
      <c r="D524"/>
      <c r="E524" t="s">
        <v>2358</v>
      </c>
      <c r="F524" t="s">
        <v>51</v>
      </c>
      <c r="G524" t="s">
        <v>83</v>
      </c>
      <c r="H524" t="s">
        <v>1052</v>
      </c>
      <c r="I524" t="s">
        <v>84</v>
      </c>
      <c r="J524" s="30" t="s">
        <v>18</v>
      </c>
      <c r="K524" s="30" t="s">
        <v>27</v>
      </c>
      <c r="L524" s="30"/>
      <c r="M524" s="30" t="s">
        <v>626</v>
      </c>
      <c r="N524" s="30"/>
      <c r="O524" s="31">
        <f>COUNTIF(S524:AT524,"")</f>
        <v>28</v>
      </c>
      <c r="P524" s="136" t="s">
        <v>1676</v>
      </c>
      <c r="Q524" s="31">
        <f>COUNTIF(S524:AT524,"APAGADO")</f>
        <v>0</v>
      </c>
      <c r="R524" s="32">
        <f>(O524)/(Q524+O524)</f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ht="15.75" thickBot="1" x14ac:dyDescent="0.3">
      <c r="A525">
        <v>2</v>
      </c>
      <c r="B525">
        <v>23</v>
      </c>
      <c r="C525"/>
      <c r="D525"/>
      <c r="E525" t="s">
        <v>2349</v>
      </c>
      <c r="F525" t="s">
        <v>51</v>
      </c>
      <c r="G525" t="s">
        <v>82</v>
      </c>
      <c r="H525" t="s">
        <v>1052</v>
      </c>
      <c r="I525" t="s">
        <v>1066</v>
      </c>
      <c r="J525" s="30" t="s">
        <v>18</v>
      </c>
      <c r="K525" s="30" t="s">
        <v>27</v>
      </c>
      <c r="L525" s="30"/>
      <c r="M525" s="30" t="s">
        <v>625</v>
      </c>
      <c r="N525" s="30"/>
      <c r="O525" s="31">
        <f>COUNTIF(S525:AT525,"")</f>
        <v>28</v>
      </c>
      <c r="P525" s="136" t="s">
        <v>1675</v>
      </c>
      <c r="Q525" s="31">
        <f>COUNTIF(S525:AT525,"APAGADO")</f>
        <v>0</v>
      </c>
      <c r="R525" s="32">
        <f>(O525)/(Q525+O525)</f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thickBot="1" x14ac:dyDescent="0.3">
      <c r="A526">
        <v>1</v>
      </c>
      <c r="B526">
        <v>15</v>
      </c>
      <c r="C526"/>
      <c r="D526"/>
      <c r="E526" t="s">
        <v>2382</v>
      </c>
      <c r="F526" t="s">
        <v>51</v>
      </c>
      <c r="G526" t="s">
        <v>81</v>
      </c>
      <c r="H526" t="s">
        <v>1052</v>
      </c>
      <c r="I526" t="s">
        <v>1067</v>
      </c>
      <c r="J526" s="30" t="s">
        <v>14</v>
      </c>
      <c r="K526" s="30" t="s">
        <v>27</v>
      </c>
      <c r="L526" s="30"/>
      <c r="M526" s="30" t="s">
        <v>624</v>
      </c>
      <c r="N526" s="30"/>
      <c r="O526" s="31">
        <f>COUNTIF(S526:AT526,"")</f>
        <v>28</v>
      </c>
      <c r="P526" s="136" t="s">
        <v>1674</v>
      </c>
      <c r="Q526" s="31">
        <f>COUNTIF(S526:AT526,"APAGADO")</f>
        <v>0</v>
      </c>
      <c r="R526" s="32">
        <f>(O526)/(Q526+O526)</f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s="73" customFormat="1" ht="15.75" thickBot="1" x14ac:dyDescent="0.3">
      <c r="A527">
        <v>2</v>
      </c>
      <c r="B527">
        <v>23</v>
      </c>
      <c r="C527"/>
      <c r="D527"/>
      <c r="E527" t="s">
        <v>2349</v>
      </c>
      <c r="F527" t="s">
        <v>51</v>
      </c>
      <c r="G527" t="s">
        <v>79</v>
      </c>
      <c r="H527" t="s">
        <v>1052</v>
      </c>
      <c r="I527" t="s">
        <v>80</v>
      </c>
      <c r="J527" s="30" t="s">
        <v>72</v>
      </c>
      <c r="K527" s="30" t="s">
        <v>27</v>
      </c>
      <c r="L527" s="30"/>
      <c r="M527" s="30" t="s">
        <v>623</v>
      </c>
      <c r="N527" s="30"/>
      <c r="O527" s="31">
        <f>COUNTIF(S527:AT527,"")</f>
        <v>14</v>
      </c>
      <c r="P527" s="136"/>
      <c r="Q527" s="31">
        <f>COUNTIF(S527:AT527,"APAGADO")</f>
        <v>14</v>
      </c>
      <c r="R527" s="32">
        <f>(O527)/(Q527+O527)</f>
        <v>0.5</v>
      </c>
      <c r="S527" s="70"/>
      <c r="T527" s="70"/>
      <c r="U527" s="70"/>
      <c r="V527" s="70"/>
      <c r="W527" s="70"/>
      <c r="X527" s="70" t="s">
        <v>2240</v>
      </c>
      <c r="Y527" s="70" t="s">
        <v>2240</v>
      </c>
      <c r="Z527" s="70" t="s">
        <v>2240</v>
      </c>
      <c r="AA527" s="70"/>
      <c r="AB527" s="70"/>
      <c r="AC527" s="70"/>
      <c r="AD527" s="70"/>
      <c r="AE527" s="70" t="s">
        <v>2240</v>
      </c>
      <c r="AF527" s="70" t="s">
        <v>2240</v>
      </c>
      <c r="AG527" s="70" t="s">
        <v>2240</v>
      </c>
      <c r="AH527" s="70" t="s">
        <v>2240</v>
      </c>
      <c r="AI527" s="70" t="s">
        <v>2240</v>
      </c>
      <c r="AJ527" s="70"/>
      <c r="AK527" s="70"/>
      <c r="AL527" s="70" t="s">
        <v>2240</v>
      </c>
      <c r="AM527" s="70" t="s">
        <v>2240</v>
      </c>
      <c r="AN527" s="70" t="s">
        <v>2240</v>
      </c>
      <c r="AO527" s="70" t="s">
        <v>2240</v>
      </c>
      <c r="AP527" s="70"/>
      <c r="AQ527" s="70"/>
      <c r="AR527" s="70"/>
      <c r="AS527" s="70" t="s">
        <v>2240</v>
      </c>
      <c r="AT527" s="70" t="s">
        <v>2240</v>
      </c>
      <c r="AU527" s="70"/>
      <c r="AV527" s="70"/>
    </row>
    <row r="528" spans="1:48" ht="15.75" thickBot="1" x14ac:dyDescent="0.3">
      <c r="A528">
        <v>2</v>
      </c>
      <c r="B528">
        <v>20</v>
      </c>
      <c r="C528"/>
      <c r="D528"/>
      <c r="E528" t="s">
        <v>2348</v>
      </c>
      <c r="F528" t="s">
        <v>51</v>
      </c>
      <c r="G528" t="s">
        <v>77</v>
      </c>
      <c r="H528" t="s">
        <v>1052</v>
      </c>
      <c r="I528" t="s">
        <v>78</v>
      </c>
      <c r="J528" s="30" t="s">
        <v>18</v>
      </c>
      <c r="K528" s="30" t="s">
        <v>27</v>
      </c>
      <c r="L528" s="30"/>
      <c r="M528" s="30" t="s">
        <v>621</v>
      </c>
      <c r="N528" s="30"/>
      <c r="O528" s="31">
        <f>COUNTIF(S528:AT528,"")</f>
        <v>27</v>
      </c>
      <c r="P528" s="136" t="s">
        <v>1672</v>
      </c>
      <c r="Q528" s="31">
        <f>COUNTIF(S528:AT528,"APAGADO")</f>
        <v>1</v>
      </c>
      <c r="R528" s="32">
        <f>(O528)/(Q528+O528)</f>
        <v>0.9642857142857143</v>
      </c>
      <c r="S528" s="70"/>
      <c r="T528" s="70"/>
      <c r="U528" s="70"/>
      <c r="V528" s="70"/>
      <c r="W528" s="70"/>
      <c r="X528" s="70"/>
      <c r="Y528" s="70" t="s">
        <v>2240</v>
      </c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thickBot="1" x14ac:dyDescent="0.3">
      <c r="A529">
        <v>2</v>
      </c>
      <c r="B529" t="s">
        <v>2381</v>
      </c>
      <c r="C529"/>
      <c r="D529"/>
      <c r="E529" t="s">
        <v>2349</v>
      </c>
      <c r="F529" t="s">
        <v>51</v>
      </c>
      <c r="G529" t="s">
        <v>75</v>
      </c>
      <c r="H529" t="s">
        <v>1052</v>
      </c>
      <c r="I529" t="s">
        <v>76</v>
      </c>
      <c r="J529" s="30" t="s">
        <v>18</v>
      </c>
      <c r="K529" s="30" t="s">
        <v>27</v>
      </c>
      <c r="L529" s="30"/>
      <c r="M529" s="30" t="s">
        <v>620</v>
      </c>
      <c r="N529" s="30"/>
      <c r="O529" s="31">
        <f>COUNTIF(S529:AT529,"")</f>
        <v>24</v>
      </c>
      <c r="P529" s="136" t="s">
        <v>1671</v>
      </c>
      <c r="Q529" s="31">
        <f>COUNTIF(S529:AT529,"APAGADO")</f>
        <v>4</v>
      </c>
      <c r="R529" s="32">
        <f>(O529)/(Q529+O529)</f>
        <v>0.8571428571428571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 t="s">
        <v>2240</v>
      </c>
      <c r="AF529" s="70" t="s">
        <v>2240</v>
      </c>
      <c r="AG529" s="70" t="s">
        <v>2240</v>
      </c>
      <c r="AH529" s="70"/>
      <c r="AI529" s="70"/>
      <c r="AJ529" s="70"/>
      <c r="AK529" s="70"/>
      <c r="AL529" s="70"/>
      <c r="AM529" s="70"/>
      <c r="AN529" s="70"/>
      <c r="AO529" s="70" t="s">
        <v>2240</v>
      </c>
      <c r="AP529" s="70"/>
      <c r="AQ529" s="70"/>
      <c r="AR529" s="70"/>
      <c r="AS529" s="70"/>
      <c r="AT529" s="70"/>
      <c r="AU529" s="70"/>
      <c r="AV529" s="70"/>
    </row>
    <row r="530" spans="1:48" ht="15.75" thickBot="1" x14ac:dyDescent="0.3">
      <c r="A530"/>
      <c r="B530"/>
      <c r="C530"/>
      <c r="D530"/>
      <c r="E530"/>
      <c r="F530" t="s">
        <v>51</v>
      </c>
      <c r="G530" t="s">
        <v>73</v>
      </c>
      <c r="H530" t="s">
        <v>1052</v>
      </c>
      <c r="I530" t="s">
        <v>74</v>
      </c>
      <c r="J530" s="30" t="s">
        <v>72</v>
      </c>
      <c r="K530" s="30" t="s">
        <v>1291</v>
      </c>
      <c r="L530" s="30"/>
      <c r="M530" s="30" t="s">
        <v>613</v>
      </c>
      <c r="N530" s="30"/>
      <c r="O530" s="31">
        <f>COUNTIF(S530:AT530,"")</f>
        <v>28</v>
      </c>
      <c r="P530" s="136" t="s">
        <v>1670</v>
      </c>
      <c r="Q530" s="31">
        <f>COUNTIF(S530:AT530,"APAGADO")</f>
        <v>0</v>
      </c>
      <c r="R530" s="32">
        <f>(O530)/(Q530+O530)</f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thickBot="1" x14ac:dyDescent="0.3">
      <c r="A531"/>
      <c r="B531"/>
      <c r="C531"/>
      <c r="D531"/>
      <c r="E531"/>
      <c r="F531" t="s">
        <v>51</v>
      </c>
      <c r="G531" t="s">
        <v>70</v>
      </c>
      <c r="H531" t="s">
        <v>1052</v>
      </c>
      <c r="I531" t="s">
        <v>71</v>
      </c>
      <c r="J531" s="30" t="s">
        <v>72</v>
      </c>
      <c r="K531" s="30" t="s">
        <v>1291</v>
      </c>
      <c r="L531" s="30"/>
      <c r="M531" s="30" t="s">
        <v>619</v>
      </c>
      <c r="N531" s="30"/>
      <c r="O531" s="31">
        <f>COUNTIF(S531:AT531,"")</f>
        <v>28</v>
      </c>
      <c r="P531" s="136" t="s">
        <v>1669</v>
      </c>
      <c r="Q531" s="31">
        <f>COUNTIF(S531:AT531,"APAGADO")</f>
        <v>0</v>
      </c>
      <c r="R531" s="32">
        <f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151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thickBot="1" x14ac:dyDescent="0.3">
      <c r="A532">
        <v>3</v>
      </c>
      <c r="B532">
        <v>13</v>
      </c>
      <c r="C532"/>
      <c r="D532"/>
      <c r="E532" t="s">
        <v>2350</v>
      </c>
      <c r="F532" t="s">
        <v>51</v>
      </c>
      <c r="G532" s="30" t="s">
        <v>1289</v>
      </c>
      <c r="H532" s="30" t="s">
        <v>1052</v>
      </c>
      <c r="I532" t="s">
        <v>87</v>
      </c>
      <c r="J532" s="30" t="s">
        <v>72</v>
      </c>
      <c r="K532" s="30" t="s">
        <v>27</v>
      </c>
      <c r="L532" s="30"/>
      <c r="M532" s="30" t="s">
        <v>1288</v>
      </c>
      <c r="N532" s="30"/>
      <c r="O532" s="31">
        <f>COUNTIF(S532:AT532,"")</f>
        <v>28</v>
      </c>
      <c r="P532" s="136" t="s">
        <v>1751</v>
      </c>
      <c r="Q532" s="31">
        <f>COUNTIF(S532:AT532,"APAGADO")</f>
        <v>0</v>
      </c>
      <c r="R532" s="32">
        <f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8" ht="15.75" thickBot="1" x14ac:dyDescent="0.3">
      <c r="A533"/>
      <c r="B533"/>
      <c r="C533"/>
      <c r="D533"/>
      <c r="E533"/>
      <c r="F533" s="73" t="s">
        <v>51</v>
      </c>
      <c r="G533" t="s">
        <v>1215</v>
      </c>
      <c r="H533" s="30" t="s">
        <v>1052</v>
      </c>
      <c r="I533" t="s">
        <v>1216</v>
      </c>
      <c r="J533" t="s">
        <v>72</v>
      </c>
      <c r="K533" t="s">
        <v>27</v>
      </c>
      <c r="L533"/>
      <c r="M533" s="30" t="s">
        <v>1312</v>
      </c>
      <c r="N533" s="30"/>
      <c r="O533" s="31">
        <f>COUNTIF(S533:AT533,"")</f>
        <v>22</v>
      </c>
      <c r="P533" s="136" t="s">
        <v>1750</v>
      </c>
      <c r="Q533" s="31">
        <f>COUNTIF(S533:AT533,"APAGADO")</f>
        <v>6</v>
      </c>
      <c r="R533" s="32">
        <f>(O533)/(Q533+O533)</f>
        <v>0.7857142857142857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 t="s">
        <v>2240</v>
      </c>
      <c r="AG533" s="70" t="s">
        <v>2240</v>
      </c>
      <c r="AH533" s="70" t="s">
        <v>2240</v>
      </c>
      <c r="AI533" s="70" t="s">
        <v>2240</v>
      </c>
      <c r="AJ533" s="70"/>
      <c r="AK533" s="70"/>
      <c r="AL533" s="70" t="s">
        <v>2240</v>
      </c>
      <c r="AM533" s="70" t="s">
        <v>2240</v>
      </c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s="73" customFormat="1" ht="15.75" thickBot="1" x14ac:dyDescent="0.3">
      <c r="A534"/>
      <c r="B534"/>
      <c r="C534"/>
      <c r="D534"/>
      <c r="E534"/>
      <c r="F534" s="73" t="s">
        <v>51</v>
      </c>
      <c r="G534" s="73" t="s">
        <v>1213</v>
      </c>
      <c r="H534" s="84" t="s">
        <v>1052</v>
      </c>
      <c r="I534" s="73" t="s">
        <v>1214</v>
      </c>
      <c r="J534" s="73" t="s">
        <v>72</v>
      </c>
      <c r="K534" s="73" t="s">
        <v>1291</v>
      </c>
      <c r="M534" s="84" t="s">
        <v>1301</v>
      </c>
      <c r="N534" s="84"/>
      <c r="O534" s="131">
        <f>COUNTIF(S534:AT534,"")</f>
        <v>27</v>
      </c>
      <c r="P534" s="136" t="s">
        <v>1749</v>
      </c>
      <c r="Q534" s="131">
        <f>COUNTIF(S534:AT534,"APAGADO")</f>
        <v>1</v>
      </c>
      <c r="R534" s="132">
        <f>(O534)/(Q534+O534)</f>
        <v>0.9642857142857143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 t="s">
        <v>2240</v>
      </c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ht="15.75" thickBot="1" x14ac:dyDescent="0.3">
      <c r="A535"/>
      <c r="B535"/>
      <c r="C535"/>
      <c r="D535"/>
      <c r="E535"/>
      <c r="F535" s="73" t="s">
        <v>51</v>
      </c>
      <c r="G535" s="84" t="s">
        <v>1188</v>
      </c>
      <c r="H535" s="84" t="s">
        <v>1052</v>
      </c>
      <c r="I535" s="73" t="s">
        <v>1189</v>
      </c>
      <c r="J535" s="84" t="s">
        <v>18</v>
      </c>
      <c r="K535" s="84" t="s">
        <v>1291</v>
      </c>
      <c r="L535" s="84"/>
      <c r="M535" s="84" t="s">
        <v>1190</v>
      </c>
      <c r="N535" s="84"/>
      <c r="O535" s="131">
        <f>COUNTIF(S535:AT535,"")</f>
        <v>26</v>
      </c>
      <c r="P535" s="136" t="s">
        <v>1747</v>
      </c>
      <c r="Q535" s="131">
        <f>COUNTIF(S535:AT535,"APAGADO")</f>
        <v>2</v>
      </c>
      <c r="R535" s="132">
        <f>(O535)/(Q535+O535)</f>
        <v>0.9285714285714286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 t="s">
        <v>2240</v>
      </c>
      <c r="AP535" s="70"/>
      <c r="AQ535" s="70"/>
      <c r="AR535" s="70"/>
      <c r="AS535" s="70"/>
      <c r="AT535" s="70" t="s">
        <v>2240</v>
      </c>
      <c r="AU535" s="70" t="s">
        <v>2240</v>
      </c>
      <c r="AV535" s="70" t="s">
        <v>2240</v>
      </c>
    </row>
    <row r="536" spans="1:48" s="73" customFormat="1" ht="15.75" thickBot="1" x14ac:dyDescent="0.3">
      <c r="A536"/>
      <c r="B536"/>
      <c r="C536"/>
      <c r="D536"/>
      <c r="E536"/>
      <c r="F536" t="s">
        <v>51</v>
      </c>
      <c r="G536" s="30" t="s">
        <v>1172</v>
      </c>
      <c r="H536" s="30" t="s">
        <v>1052</v>
      </c>
      <c r="I536" t="s">
        <v>92</v>
      </c>
      <c r="J536" s="30" t="s">
        <v>72</v>
      </c>
      <c r="K536" s="30" t="s">
        <v>27</v>
      </c>
      <c r="L536" s="30"/>
      <c r="M536" s="30" t="s">
        <v>1173</v>
      </c>
      <c r="N536" s="30"/>
      <c r="O536" s="31">
        <f>COUNTIF(S536:AT536,"")</f>
        <v>28</v>
      </c>
      <c r="P536" s="136" t="s">
        <v>1746</v>
      </c>
      <c r="Q536" s="31">
        <f>COUNTIF(S536:AT536,"APAGADO")</f>
        <v>0</v>
      </c>
      <c r="R536" s="32">
        <f>(O536)/(Q536+O536)</f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thickBot="1" x14ac:dyDescent="0.3">
      <c r="A537"/>
      <c r="B537"/>
      <c r="C537"/>
      <c r="D537"/>
      <c r="E537"/>
      <c r="F537" t="s">
        <v>51</v>
      </c>
      <c r="G537" s="30" t="s">
        <v>1102</v>
      </c>
      <c r="H537" s="30" t="s">
        <v>1052</v>
      </c>
      <c r="I537" t="s">
        <v>1103</v>
      </c>
      <c r="J537" s="30" t="s">
        <v>72</v>
      </c>
      <c r="K537" s="30" t="s">
        <v>27</v>
      </c>
      <c r="L537" s="30"/>
      <c r="M537" s="30" t="s">
        <v>1111</v>
      </c>
      <c r="N537" s="30"/>
      <c r="O537" s="31">
        <f>COUNTIF(S537:AT537,"")</f>
        <v>26</v>
      </c>
      <c r="P537" s="136" t="s">
        <v>1745</v>
      </c>
      <c r="Q537" s="31">
        <f>COUNTIF(S537:AT537,"APAGADO")</f>
        <v>2</v>
      </c>
      <c r="R537" s="32">
        <f>(O537)/(Q537+O537)</f>
        <v>0.9285714285714286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 t="s">
        <v>2240</v>
      </c>
      <c r="AG537" s="70" t="s">
        <v>2240</v>
      </c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thickBot="1" x14ac:dyDescent="0.3">
      <c r="A538"/>
      <c r="B538"/>
      <c r="C538"/>
      <c r="D538"/>
      <c r="E538"/>
      <c r="F538" t="s">
        <v>51</v>
      </c>
      <c r="G538" s="30" t="s">
        <v>1101</v>
      </c>
      <c r="H538" s="30" t="s">
        <v>1052</v>
      </c>
      <c r="I538" t="s">
        <v>1103</v>
      </c>
      <c r="J538" s="30" t="s">
        <v>72</v>
      </c>
      <c r="K538" s="30" t="s">
        <v>27</v>
      </c>
      <c r="L538" s="30"/>
      <c r="M538" s="30" t="s">
        <v>1110</v>
      </c>
      <c r="N538" s="30"/>
      <c r="O538" s="31">
        <f>COUNTIF(S538:AT538,"")</f>
        <v>26</v>
      </c>
      <c r="P538" s="136" t="s">
        <v>1744</v>
      </c>
      <c r="Q538" s="31">
        <f>COUNTIF(S538:AT538,"APAGADO")</f>
        <v>2</v>
      </c>
      <c r="R538" s="32">
        <f>(O538)/(Q538+O538)</f>
        <v>0.9285714285714286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 t="s">
        <v>2240</v>
      </c>
      <c r="AG538" s="70" t="s">
        <v>2240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s="73" customFormat="1" ht="15.75" thickBot="1" x14ac:dyDescent="0.3">
      <c r="A539">
        <v>3</v>
      </c>
      <c r="B539">
        <v>13</v>
      </c>
      <c r="C539"/>
      <c r="D539"/>
      <c r="E539" t="s">
        <v>2350</v>
      </c>
      <c r="F539" t="s">
        <v>51</v>
      </c>
      <c r="G539" s="30" t="s">
        <v>1108</v>
      </c>
      <c r="H539" s="30" t="s">
        <v>1052</v>
      </c>
      <c r="I539" t="s">
        <v>121</v>
      </c>
      <c r="J539" s="30" t="s">
        <v>72</v>
      </c>
      <c r="K539" s="30" t="s">
        <v>27</v>
      </c>
      <c r="L539" s="30"/>
      <c r="M539" s="30" t="s">
        <v>1109</v>
      </c>
      <c r="N539" s="30"/>
      <c r="O539" s="31">
        <f>COUNTIF(S539:AT539,"")</f>
        <v>28</v>
      </c>
      <c r="P539" s="136" t="s">
        <v>1743</v>
      </c>
      <c r="Q539" s="31">
        <f>COUNTIF(S539:AT539,"APAGADO")</f>
        <v>0</v>
      </c>
      <c r="R539" s="32">
        <f>(O539)/(Q539+O539)</f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8" ht="15.75" thickBot="1" x14ac:dyDescent="0.3">
      <c r="A540">
        <v>3</v>
      </c>
      <c r="B540">
        <v>13</v>
      </c>
      <c r="C540"/>
      <c r="D540"/>
      <c r="E540" t="s">
        <v>2350</v>
      </c>
      <c r="F540" t="s">
        <v>51</v>
      </c>
      <c r="G540" t="s">
        <v>1099</v>
      </c>
      <c r="H540" t="s">
        <v>1052</v>
      </c>
      <c r="I540" t="s">
        <v>1098</v>
      </c>
      <c r="J540" s="30" t="s">
        <v>72</v>
      </c>
      <c r="K540" s="30" t="s">
        <v>27</v>
      </c>
      <c r="L540" s="30"/>
      <c r="M540" s="30" t="s">
        <v>1100</v>
      </c>
      <c r="N540" s="30"/>
      <c r="O540" s="31">
        <f>COUNTIF(S540:AT540,"")</f>
        <v>28</v>
      </c>
      <c r="P540" s="136" t="s">
        <v>1742</v>
      </c>
      <c r="Q540" s="31">
        <f>COUNTIF(S540:AT540,"APAGADO")</f>
        <v>0</v>
      </c>
      <c r="R540" s="32">
        <f>(O540)/(Q540+O540)</f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8" ht="15.75" thickBot="1" x14ac:dyDescent="0.3">
      <c r="A541">
        <v>3</v>
      </c>
      <c r="B541">
        <v>13</v>
      </c>
      <c r="C541"/>
      <c r="D541"/>
      <c r="E541" t="s">
        <v>2350</v>
      </c>
      <c r="F541" t="s">
        <v>51</v>
      </c>
      <c r="G541" t="s">
        <v>924</v>
      </c>
      <c r="H541" t="s">
        <v>1052</v>
      </c>
      <c r="I541" t="s">
        <v>1068</v>
      </c>
      <c r="J541" s="30" t="s">
        <v>72</v>
      </c>
      <c r="K541" s="30" t="s">
        <v>27</v>
      </c>
      <c r="L541" s="30"/>
      <c r="M541" s="30" t="s">
        <v>1479</v>
      </c>
      <c r="N541" s="30"/>
      <c r="O541" s="31">
        <f>COUNTIF(S541:AT541,"")</f>
        <v>28</v>
      </c>
      <c r="P541" s="136" t="s">
        <v>1741</v>
      </c>
      <c r="Q541" s="31">
        <f>COUNTIF(S541:AT541,"APAGADO")</f>
        <v>0</v>
      </c>
      <c r="R541" s="32">
        <f>(O541)/(Q541+O541)</f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8" ht="15.75" thickBot="1" x14ac:dyDescent="0.3">
      <c r="A542"/>
      <c r="B542"/>
      <c r="C542"/>
      <c r="D542"/>
      <c r="E542"/>
      <c r="F542" s="73" t="s">
        <v>51</v>
      </c>
      <c r="G542" s="73" t="s">
        <v>922</v>
      </c>
      <c r="H542" s="73" t="s">
        <v>1052</v>
      </c>
      <c r="I542" s="73" t="s">
        <v>923</v>
      </c>
      <c r="J542" s="84" t="s">
        <v>18</v>
      </c>
      <c r="K542" s="84" t="s">
        <v>1291</v>
      </c>
      <c r="L542" s="84"/>
      <c r="M542" s="84" t="s">
        <v>1204</v>
      </c>
      <c r="N542" s="84"/>
      <c r="O542" s="131">
        <f>COUNTIF(S542:AT542,"")</f>
        <v>26</v>
      </c>
      <c r="P542" s="136" t="s">
        <v>1740</v>
      </c>
      <c r="Q542" s="131">
        <f>COUNTIF(S542:AT542,"APAGADO")</f>
        <v>2</v>
      </c>
      <c r="R542" s="132">
        <f>(O542)/(Q542+O542)</f>
        <v>0.9285714285714286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 t="s">
        <v>2240</v>
      </c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 t="s">
        <v>2240</v>
      </c>
      <c r="AU542" s="70"/>
      <c r="AV542" s="70"/>
    </row>
    <row r="543" spans="1:48" ht="15.75" thickBot="1" x14ac:dyDescent="0.3">
      <c r="A543"/>
      <c r="B543"/>
      <c r="C543"/>
      <c r="D543"/>
      <c r="E543"/>
      <c r="F543" t="s">
        <v>51</v>
      </c>
      <c r="G543" t="s">
        <v>68</v>
      </c>
      <c r="H543" t="s">
        <v>1052</v>
      </c>
      <c r="I543" t="s">
        <v>69</v>
      </c>
      <c r="J543" s="30" t="s">
        <v>18</v>
      </c>
      <c r="K543" s="30" t="s">
        <v>27</v>
      </c>
      <c r="L543" s="30"/>
      <c r="M543" s="30" t="s">
        <v>675</v>
      </c>
      <c r="N543" s="30"/>
      <c r="O543" s="31">
        <f>COUNTIF(S543:AT543,"")</f>
        <v>28</v>
      </c>
      <c r="P543" s="136" t="s">
        <v>1737</v>
      </c>
      <c r="Q543" s="31">
        <f>COUNTIF(S543:AT543,"APAGADO")</f>
        <v>0</v>
      </c>
      <c r="R543" s="32">
        <f>(O543)/(Q543+O543)</f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8" ht="15.75" thickBot="1" x14ac:dyDescent="0.3">
      <c r="F544" s="73" t="s">
        <v>51</v>
      </c>
      <c r="G544" s="73" t="s">
        <v>66</v>
      </c>
      <c r="H544" s="73" t="s">
        <v>1052</v>
      </c>
      <c r="I544" s="73" t="s">
        <v>67</v>
      </c>
      <c r="J544" s="84" t="s">
        <v>18</v>
      </c>
      <c r="K544" s="84" t="s">
        <v>1291</v>
      </c>
      <c r="L544" s="84"/>
      <c r="M544" s="84" t="s">
        <v>674</v>
      </c>
      <c r="N544" s="84"/>
      <c r="O544" s="131">
        <f>COUNTIF(S544:AT544,"")</f>
        <v>28</v>
      </c>
      <c r="P544" s="136" t="s">
        <v>1736</v>
      </c>
      <c r="Q544" s="131">
        <f>COUNTIF(S544:AT544,"APAGADO")</f>
        <v>0</v>
      </c>
      <c r="R544" s="132">
        <f>(O544)/(Q544+O544)</f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8" ht="15.75" thickBot="1" x14ac:dyDescent="0.3">
      <c r="A545">
        <v>12</v>
      </c>
      <c r="B545">
        <v>13</v>
      </c>
      <c r="C545"/>
      <c r="D545"/>
      <c r="E545" t="s">
        <v>2361</v>
      </c>
      <c r="F545" t="s">
        <v>51</v>
      </c>
      <c r="G545" t="s">
        <v>64</v>
      </c>
      <c r="H545" t="s">
        <v>1052</v>
      </c>
      <c r="I545" t="s">
        <v>65</v>
      </c>
      <c r="J545" s="30" t="s">
        <v>18</v>
      </c>
      <c r="K545" s="30" t="s">
        <v>27</v>
      </c>
      <c r="L545" s="30"/>
      <c r="M545" s="30" t="s">
        <v>673</v>
      </c>
      <c r="N545" s="30"/>
      <c r="O545" s="31">
        <f>COUNTIF(S545:AT545,"")</f>
        <v>28</v>
      </c>
      <c r="P545" s="136" t="s">
        <v>1735</v>
      </c>
      <c r="Q545" s="31">
        <f>COUNTIF(S545:AT545,"APAGADO")</f>
        <v>0</v>
      </c>
      <c r="R545" s="32">
        <f>(O545)/(Q545+O545)</f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8" s="88" customFormat="1" ht="15.75" thickBot="1" x14ac:dyDescent="0.3">
      <c r="A546"/>
      <c r="B546"/>
      <c r="C546"/>
      <c r="D546"/>
      <c r="E546"/>
      <c r="F546" s="73" t="s">
        <v>51</v>
      </c>
      <c r="G546" s="73" t="s">
        <v>921</v>
      </c>
      <c r="H546" s="73" t="s">
        <v>1052</v>
      </c>
      <c r="I546" s="73" t="s">
        <v>153</v>
      </c>
      <c r="J546" s="84" t="s">
        <v>45</v>
      </c>
      <c r="K546" s="84" t="s">
        <v>1291</v>
      </c>
      <c r="L546" s="84"/>
      <c r="M546" s="84" t="s">
        <v>1049</v>
      </c>
      <c r="N546" s="84"/>
      <c r="O546" s="131">
        <f>COUNTIF(S546:AT546,"")</f>
        <v>28</v>
      </c>
      <c r="P546" s="136" t="s">
        <v>1731</v>
      </c>
      <c r="Q546" s="131">
        <f>COUNTIF(S546:AT546,"APAGADO")</f>
        <v>0</v>
      </c>
      <c r="R546" s="132">
        <f>(O546)/(Q546+O546)</f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8" s="88" customFormat="1" ht="15.75" thickBot="1" x14ac:dyDescent="0.3">
      <c r="A547"/>
      <c r="B547"/>
      <c r="C547"/>
      <c r="D547"/>
      <c r="E547"/>
      <c r="F547" s="73" t="s">
        <v>51</v>
      </c>
      <c r="G547" s="73" t="s">
        <v>61</v>
      </c>
      <c r="H547" s="73" t="s">
        <v>1052</v>
      </c>
      <c r="I547" s="73" t="s">
        <v>62</v>
      </c>
      <c r="J547" s="84" t="s">
        <v>14</v>
      </c>
      <c r="K547" s="84" t="s">
        <v>1291</v>
      </c>
      <c r="L547" s="84"/>
      <c r="M547" s="84" t="s">
        <v>1354</v>
      </c>
      <c r="N547" s="84"/>
      <c r="O547" s="131">
        <f>COUNTIF(S547:AT547,"")</f>
        <v>28</v>
      </c>
      <c r="P547" s="136" t="s">
        <v>1727</v>
      </c>
      <c r="Q547" s="131">
        <f>COUNTIF(S547:AT547,"APAGADO")</f>
        <v>0</v>
      </c>
      <c r="R547" s="132">
        <f>(O547)/(Q547+O547)</f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8" s="73" customFormat="1" ht="15.75" thickBot="1" x14ac:dyDescent="0.3">
      <c r="A548"/>
      <c r="B548"/>
      <c r="C548"/>
      <c r="D548"/>
      <c r="E548"/>
      <c r="F548" t="s">
        <v>51</v>
      </c>
      <c r="G548" t="s">
        <v>59</v>
      </c>
      <c r="H548" t="s">
        <v>1052</v>
      </c>
      <c r="I548" t="s">
        <v>60</v>
      </c>
      <c r="J548" s="30" t="s">
        <v>14</v>
      </c>
      <c r="K548" s="30" t="s">
        <v>1046</v>
      </c>
      <c r="L548" s="30" t="s">
        <v>44</v>
      </c>
      <c r="M548" s="30" t="s">
        <v>662</v>
      </c>
      <c r="N548" s="30"/>
      <c r="O548" s="31">
        <f>COUNTIF(S548:AT548,"")</f>
        <v>27</v>
      </c>
      <c r="P548" s="136" t="s">
        <v>1726</v>
      </c>
      <c r="Q548" s="31">
        <f>COUNTIF(S548:AT548,"APAGADO")</f>
        <v>1</v>
      </c>
      <c r="R548" s="32">
        <f>(O548)/(Q548+O548)</f>
        <v>0.9642857142857143</v>
      </c>
      <c r="S548" s="70"/>
      <c r="T548" s="70"/>
      <c r="U548" s="70"/>
      <c r="V548" s="70"/>
      <c r="W548" s="70"/>
      <c r="X548" s="70"/>
      <c r="Y548" s="70"/>
      <c r="Z548" s="70" t="s">
        <v>2240</v>
      </c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8" ht="15.75" thickBot="1" x14ac:dyDescent="0.3">
      <c r="A549">
        <v>4</v>
      </c>
      <c r="B549">
        <v>12</v>
      </c>
      <c r="C549"/>
      <c r="D549"/>
      <c r="E549" t="s">
        <v>2351</v>
      </c>
      <c r="F549" t="s">
        <v>51</v>
      </c>
      <c r="G549" t="s">
        <v>56</v>
      </c>
      <c r="H549" t="s">
        <v>1052</v>
      </c>
      <c r="I549" t="s">
        <v>57</v>
      </c>
      <c r="J549" s="30" t="s">
        <v>14</v>
      </c>
      <c r="K549" s="30" t="s">
        <v>27</v>
      </c>
      <c r="L549" s="30"/>
      <c r="M549" s="30" t="s">
        <v>661</v>
      </c>
      <c r="N549" s="30"/>
      <c r="O549" s="31">
        <f>COUNTIF(S549:AT549,"")</f>
        <v>28</v>
      </c>
      <c r="P549" s="136" t="s">
        <v>1724</v>
      </c>
      <c r="Q549" s="31">
        <f>COUNTIF(S549:AT549,"APAGADO")</f>
        <v>0</v>
      </c>
      <c r="R549" s="32">
        <f>(O549)/(Q549+O549)</f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thickBot="1" x14ac:dyDescent="0.3">
      <c r="A550"/>
      <c r="B550"/>
      <c r="C550"/>
      <c r="D550"/>
      <c r="E550"/>
      <c r="F550" s="73" t="s">
        <v>51</v>
      </c>
      <c r="G550" s="73" t="s">
        <v>54</v>
      </c>
      <c r="H550" s="73" t="s">
        <v>1052</v>
      </c>
      <c r="I550" s="73" t="s">
        <v>55</v>
      </c>
      <c r="J550" s="84" t="s">
        <v>14</v>
      </c>
      <c r="K550" s="84" t="s">
        <v>1291</v>
      </c>
      <c r="L550" s="84"/>
      <c r="M550" s="84" t="s">
        <v>1353</v>
      </c>
      <c r="N550" s="84"/>
      <c r="O550" s="131">
        <f>COUNTIF(S550:AT550,"")</f>
        <v>28</v>
      </c>
      <c r="P550" s="136" t="s">
        <v>1723</v>
      </c>
      <c r="Q550" s="131">
        <f>COUNTIF(S550:AT550,"APAGADO")</f>
        <v>0</v>
      </c>
      <c r="R550" s="132">
        <f>(O550)/(Q550+O550)</f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s="73" customFormat="1" ht="15.75" thickBot="1" x14ac:dyDescent="0.3">
      <c r="A551"/>
      <c r="B551"/>
      <c r="C551"/>
      <c r="D551"/>
      <c r="E551"/>
      <c r="F551" s="73" t="s">
        <v>51</v>
      </c>
      <c r="G551" s="73" t="s">
        <v>52</v>
      </c>
      <c r="H551" s="73" t="s">
        <v>1052</v>
      </c>
      <c r="I551" s="73" t="s">
        <v>53</v>
      </c>
      <c r="J551" s="84" t="s">
        <v>14</v>
      </c>
      <c r="K551" s="84" t="s">
        <v>1291</v>
      </c>
      <c r="L551" s="84"/>
      <c r="M551" s="84" t="s">
        <v>1414</v>
      </c>
      <c r="N551" s="84"/>
      <c r="O551" s="131">
        <f>COUNTIF(S551:AT551,"")</f>
        <v>28</v>
      </c>
      <c r="P551" s="136" t="s">
        <v>1722</v>
      </c>
      <c r="Q551" s="131">
        <f>COUNTIF(S551:AT551,"APAGADO")</f>
        <v>0</v>
      </c>
      <c r="R551" s="132">
        <f>(O551)/(Q551+O551)</f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8" ht="15.75" thickBot="1" x14ac:dyDescent="0.3">
      <c r="A552"/>
      <c r="B552"/>
      <c r="C552"/>
      <c r="D552"/>
      <c r="E552"/>
      <c r="F552" s="73" t="s">
        <v>51</v>
      </c>
      <c r="G552" s="73" t="s">
        <v>49</v>
      </c>
      <c r="H552" s="73" t="s">
        <v>1052</v>
      </c>
      <c r="I552" s="73" t="s">
        <v>50</v>
      </c>
      <c r="J552" s="84" t="s">
        <v>18</v>
      </c>
      <c r="K552" s="84" t="s">
        <v>1291</v>
      </c>
      <c r="L552" s="84"/>
      <c r="M552" s="84" t="s">
        <v>1398</v>
      </c>
      <c r="N552" s="84"/>
      <c r="O552" s="131">
        <f>COUNTIF(S552:AT552,"")</f>
        <v>28</v>
      </c>
      <c r="P552" s="136" t="s">
        <v>1721</v>
      </c>
      <c r="Q552" s="131">
        <f>COUNTIF(S552:AT552,"APAGADO")</f>
        <v>0</v>
      </c>
      <c r="R552" s="132">
        <f>(O552)/(Q552+O552)</f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8" s="73" customFormat="1" ht="15.75" thickBot="1" x14ac:dyDescent="0.3">
      <c r="A553"/>
      <c r="B553"/>
      <c r="C553"/>
      <c r="D553"/>
      <c r="E553"/>
      <c r="F553" s="73" t="s">
        <v>51</v>
      </c>
      <c r="G553" s="73" t="s">
        <v>47</v>
      </c>
      <c r="H553" s="73" t="s">
        <v>1052</v>
      </c>
      <c r="I553" s="73" t="s">
        <v>48</v>
      </c>
      <c r="J553" s="84" t="s">
        <v>18</v>
      </c>
      <c r="K553" s="84" t="s">
        <v>1291</v>
      </c>
      <c r="L553" s="84"/>
      <c r="M553" s="84" t="s">
        <v>1345</v>
      </c>
      <c r="N553" s="84"/>
      <c r="O553" s="131">
        <f>COUNTIF(S553:AT553,"")</f>
        <v>14</v>
      </c>
      <c r="P553" s="136" t="s">
        <v>1720</v>
      </c>
      <c r="Q553" s="131">
        <f>COUNTIF(S553:AT553,"APAGADO")</f>
        <v>14</v>
      </c>
      <c r="R553" s="132">
        <f>(O553)/(Q553+O553)</f>
        <v>0.5</v>
      </c>
      <c r="S553" s="70"/>
      <c r="T553" s="70"/>
      <c r="U553" s="70"/>
      <c r="V553" s="70"/>
      <c r="W553" s="70"/>
      <c r="X553" s="70"/>
      <c r="Y553" s="70" t="s">
        <v>2240</v>
      </c>
      <c r="Z553" s="70" t="s">
        <v>2240</v>
      </c>
      <c r="AA553" s="70"/>
      <c r="AB553" s="70"/>
      <c r="AC553" s="70"/>
      <c r="AD553" s="70"/>
      <c r="AE553" s="70" t="s">
        <v>2240</v>
      </c>
      <c r="AF553" s="70" t="s">
        <v>2240</v>
      </c>
      <c r="AG553" s="70" t="s">
        <v>2240</v>
      </c>
      <c r="AH553" s="70" t="s">
        <v>2240</v>
      </c>
      <c r="AI553" s="70" t="s">
        <v>2240</v>
      </c>
      <c r="AJ553" s="70"/>
      <c r="AK553" s="70"/>
      <c r="AL553" s="70" t="s">
        <v>2240</v>
      </c>
      <c r="AM553" s="70" t="s">
        <v>2240</v>
      </c>
      <c r="AN553" s="70" t="s">
        <v>2240</v>
      </c>
      <c r="AO553" s="70" t="s">
        <v>2240</v>
      </c>
      <c r="AP553" s="70" t="s">
        <v>2240</v>
      </c>
      <c r="AQ553" s="70"/>
      <c r="AR553" s="70"/>
      <c r="AS553" s="70" t="s">
        <v>2240</v>
      </c>
      <c r="AT553" s="70" t="s">
        <v>2240</v>
      </c>
      <c r="AU553" s="70" t="s">
        <v>2240</v>
      </c>
      <c r="AV553" s="70" t="s">
        <v>2240</v>
      </c>
    </row>
    <row r="554" spans="1:48" ht="15.75" thickBot="1" x14ac:dyDescent="0.3">
      <c r="A554"/>
      <c r="B554"/>
      <c r="C554"/>
      <c r="D554"/>
      <c r="E554"/>
      <c r="F554" s="73" t="s">
        <v>51</v>
      </c>
      <c r="G554" s="73" t="s">
        <v>920</v>
      </c>
      <c r="H554" s="73" t="s">
        <v>1052</v>
      </c>
      <c r="I554" s="73" t="s">
        <v>46</v>
      </c>
      <c r="J554" s="84" t="s">
        <v>18</v>
      </c>
      <c r="K554" s="84" t="s">
        <v>1291</v>
      </c>
      <c r="L554" s="84"/>
      <c r="M554" s="84" t="s">
        <v>1357</v>
      </c>
      <c r="N554" s="84"/>
      <c r="O554" s="131">
        <f>COUNTIF(S554:AT554,"")</f>
        <v>28</v>
      </c>
      <c r="P554" s="136" t="s">
        <v>1719</v>
      </c>
      <c r="Q554" s="131">
        <f>COUNTIF(S554:AT554,"APAGADO")</f>
        <v>0</v>
      </c>
      <c r="R554" s="132">
        <f>(O554)/(Q554+O554)</f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ht="15.75" thickBot="1" x14ac:dyDescent="0.3">
      <c r="A555"/>
      <c r="B555"/>
      <c r="C555"/>
      <c r="D555"/>
      <c r="E555"/>
      <c r="F555" s="73" t="s">
        <v>51</v>
      </c>
      <c r="G555" s="73" t="s">
        <v>919</v>
      </c>
      <c r="H555" s="73" t="s">
        <v>1052</v>
      </c>
      <c r="I555" s="73" t="s">
        <v>44</v>
      </c>
      <c r="J555" s="84" t="s">
        <v>45</v>
      </c>
      <c r="K555" s="84" t="s">
        <v>1291</v>
      </c>
      <c r="L555" s="84"/>
      <c r="M555" s="84" t="s">
        <v>660</v>
      </c>
      <c r="N555" s="84"/>
      <c r="O555" s="131">
        <f>COUNTIF(S555:AT555,"")</f>
        <v>27</v>
      </c>
      <c r="P555" s="136" t="s">
        <v>1717</v>
      </c>
      <c r="Q555" s="131">
        <f>COUNTIF(S555:AT555,"APAGADO")</f>
        <v>1</v>
      </c>
      <c r="R555" s="132">
        <f>(O555)/(Q555+O555)</f>
        <v>0.9642857142857143</v>
      </c>
      <c r="S555" s="70"/>
      <c r="T555" s="70"/>
      <c r="U555" s="70"/>
      <c r="V555" s="70"/>
      <c r="W555" s="70"/>
      <c r="X555" s="70"/>
      <c r="Y555" s="70"/>
      <c r="Z555" s="70" t="s">
        <v>2240</v>
      </c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thickBot="1" x14ac:dyDescent="0.3">
      <c r="A556"/>
      <c r="B556"/>
      <c r="C556"/>
      <c r="D556"/>
      <c r="E556"/>
      <c r="F556" s="73" t="s">
        <v>51</v>
      </c>
      <c r="G556" s="73" t="s">
        <v>918</v>
      </c>
      <c r="H556" s="73" t="s">
        <v>1052</v>
      </c>
      <c r="I556" s="73" t="s">
        <v>148</v>
      </c>
      <c r="J556" s="84" t="s">
        <v>18</v>
      </c>
      <c r="K556" s="84" t="s">
        <v>1291</v>
      </c>
      <c r="L556" s="84"/>
      <c r="M556" s="84" t="s">
        <v>1350</v>
      </c>
      <c r="N556" s="84"/>
      <c r="O556" s="131">
        <f>COUNTIF(S556:AT556,"")</f>
        <v>12</v>
      </c>
      <c r="P556" s="136" t="s">
        <v>1716</v>
      </c>
      <c r="Q556" s="131">
        <f>COUNTIF(S556:AT556,"APAGADO")</f>
        <v>16</v>
      </c>
      <c r="R556" s="132">
        <f>(O556)/(Q556+O556)</f>
        <v>0.42857142857142855</v>
      </c>
      <c r="S556" s="70" t="s">
        <v>2240</v>
      </c>
      <c r="T556" s="70"/>
      <c r="U556" s="70"/>
      <c r="V556" s="70"/>
      <c r="W556" s="70"/>
      <c r="X556" s="70" t="s">
        <v>2240</v>
      </c>
      <c r="Y556" s="70" t="s">
        <v>2240</v>
      </c>
      <c r="Z556" s="70" t="s">
        <v>2240</v>
      </c>
      <c r="AA556" s="70"/>
      <c r="AB556" s="70"/>
      <c r="AC556" s="70"/>
      <c r="AD556" s="70"/>
      <c r="AE556" s="70" t="s">
        <v>2240</v>
      </c>
      <c r="AF556" s="70" t="s">
        <v>2240</v>
      </c>
      <c r="AG556" s="70" t="s">
        <v>2240</v>
      </c>
      <c r="AH556" s="70" t="s">
        <v>2240</v>
      </c>
      <c r="AI556" s="70" t="s">
        <v>2240</v>
      </c>
      <c r="AJ556" s="70"/>
      <c r="AK556" s="70"/>
      <c r="AL556" s="70" t="s">
        <v>2240</v>
      </c>
      <c r="AM556" s="70" t="s">
        <v>2240</v>
      </c>
      <c r="AN556" s="70" t="s">
        <v>2240</v>
      </c>
      <c r="AO556" s="70" t="s">
        <v>2240</v>
      </c>
      <c r="AP556" s="70" t="s">
        <v>2240</v>
      </c>
      <c r="AQ556" s="70"/>
      <c r="AR556" s="70"/>
      <c r="AS556" s="70" t="s">
        <v>2240</v>
      </c>
      <c r="AT556" s="70" t="s">
        <v>2240</v>
      </c>
      <c r="AU556" s="70" t="s">
        <v>2240</v>
      </c>
      <c r="AV556" s="70" t="s">
        <v>2240</v>
      </c>
    </row>
    <row r="557" spans="1:48" s="73" customFormat="1" ht="15.75" thickBot="1" x14ac:dyDescent="0.3">
      <c r="A557"/>
      <c r="B557"/>
      <c r="C557"/>
      <c r="D557"/>
      <c r="E557"/>
      <c r="F557" t="s">
        <v>51</v>
      </c>
      <c r="G557" t="s">
        <v>917</v>
      </c>
      <c r="H557" t="s">
        <v>1052</v>
      </c>
      <c r="I557" t="s">
        <v>128</v>
      </c>
      <c r="J557" s="30" t="s">
        <v>18</v>
      </c>
      <c r="K557" s="30" t="s">
        <v>27</v>
      </c>
      <c r="L557" s="30"/>
      <c r="M557" s="30" t="s">
        <v>649</v>
      </c>
      <c r="N557" s="30"/>
      <c r="O557" s="31">
        <f>COUNTIF(S557:AT557,"")</f>
        <v>26</v>
      </c>
      <c r="P557" s="136" t="s">
        <v>1703</v>
      </c>
      <c r="Q557" s="31">
        <f>COUNTIF(S557:AT557,"APAGADO")</f>
        <v>2</v>
      </c>
      <c r="R557" s="32">
        <f>(O557)/(Q557+O557)</f>
        <v>0.9285714285714286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 t="s">
        <v>2240</v>
      </c>
      <c r="AG557" s="142" t="s">
        <v>2240</v>
      </c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thickBot="1" x14ac:dyDescent="0.3">
      <c r="A558"/>
      <c r="B558"/>
      <c r="C558"/>
      <c r="D558"/>
      <c r="E558"/>
      <c r="F558" s="73" t="s">
        <v>51</v>
      </c>
      <c r="G558" s="73" t="s">
        <v>916</v>
      </c>
      <c r="H558" s="73" t="s">
        <v>1052</v>
      </c>
      <c r="I558" s="73" t="s">
        <v>89</v>
      </c>
      <c r="J558" s="84" t="s">
        <v>14</v>
      </c>
      <c r="K558" s="84" t="s">
        <v>1291</v>
      </c>
      <c r="L558" s="84"/>
      <c r="M558" s="84" t="s">
        <v>630</v>
      </c>
      <c r="N558" s="84"/>
      <c r="O558" s="131">
        <f>COUNTIF(S558:AT558,"")</f>
        <v>28</v>
      </c>
      <c r="P558" s="136" t="s">
        <v>1680</v>
      </c>
      <c r="Q558" s="131">
        <f>COUNTIF(S558:AT558,"APAGADO")</f>
        <v>0</v>
      </c>
      <c r="R558" s="132">
        <f>(O558)/(Q558+O558)</f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thickBot="1" x14ac:dyDescent="0.3">
      <c r="A559">
        <v>3</v>
      </c>
      <c r="B559">
        <v>13</v>
      </c>
      <c r="C559"/>
      <c r="D559"/>
      <c r="E559" t="s">
        <v>2350</v>
      </c>
      <c r="F559" t="s">
        <v>51</v>
      </c>
      <c r="G559" t="s">
        <v>915</v>
      </c>
      <c r="H559" t="s">
        <v>1052</v>
      </c>
      <c r="I559" t="s">
        <v>88</v>
      </c>
      <c r="J559" s="30" t="s">
        <v>18</v>
      </c>
      <c r="K559" s="30" t="s">
        <v>27</v>
      </c>
      <c r="L559" s="30"/>
      <c r="M559" s="30" t="s">
        <v>629</v>
      </c>
      <c r="N559" s="30"/>
      <c r="O559" s="31">
        <f>COUNTIF(S559:AT559,"")</f>
        <v>28</v>
      </c>
      <c r="P559" s="136" t="s">
        <v>1679</v>
      </c>
      <c r="Q559" s="31">
        <f>COUNTIF(S559:AT559,"APAGADO")</f>
        <v>0</v>
      </c>
      <c r="R559" s="32">
        <f>(O559)/(Q559+O559)</f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thickBot="1" x14ac:dyDescent="0.3">
      <c r="A560">
        <v>2</v>
      </c>
      <c r="B560">
        <v>23</v>
      </c>
      <c r="C560"/>
      <c r="D560"/>
      <c r="E560" t="s">
        <v>2349</v>
      </c>
      <c r="F560" t="s">
        <v>51</v>
      </c>
      <c r="G560" t="s">
        <v>914</v>
      </c>
      <c r="H560" t="s">
        <v>1052</v>
      </c>
      <c r="I560" t="s">
        <v>1071</v>
      </c>
      <c r="J560" s="30" t="s">
        <v>14</v>
      </c>
      <c r="K560" s="30" t="s">
        <v>27</v>
      </c>
      <c r="L560" s="30"/>
      <c r="M560" s="30" t="s">
        <v>622</v>
      </c>
      <c r="N560" s="30"/>
      <c r="O560" s="31">
        <f>COUNTIF(S560:AT560,"")</f>
        <v>28</v>
      </c>
      <c r="P560" s="136" t="s">
        <v>1673</v>
      </c>
      <c r="Q560" s="31">
        <f>COUNTIF(S560:AT560,"APAGADO")</f>
        <v>0</v>
      </c>
      <c r="R560" s="32">
        <f>(O560)/(Q560+O560)</f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8" s="73" customFormat="1" ht="15.75" thickBot="1" x14ac:dyDescent="0.3">
      <c r="A561"/>
      <c r="B561"/>
      <c r="C561"/>
      <c r="D561"/>
      <c r="E561" t="s">
        <v>2366</v>
      </c>
      <c r="F561" t="s">
        <v>1441</v>
      </c>
      <c r="G561" s="30" t="s">
        <v>2205</v>
      </c>
      <c r="H561" t="s">
        <v>1053</v>
      </c>
      <c r="I561" t="s">
        <v>2206</v>
      </c>
      <c r="J561" s="30" t="s">
        <v>72</v>
      </c>
      <c r="K561" s="30" t="s">
        <v>27</v>
      </c>
      <c r="L561" s="30"/>
      <c r="M561" s="84" t="s">
        <v>2293</v>
      </c>
      <c r="N561" s="84"/>
      <c r="O561" s="31">
        <f>COUNTIF(S561:AT561,"")</f>
        <v>28</v>
      </c>
      <c r="P561" s="136" t="s">
        <v>2208</v>
      </c>
      <c r="Q561" s="31">
        <f>COUNTIF(S561:AT561,"APAGADO")</f>
        <v>0</v>
      </c>
      <c r="R561" s="32">
        <f>(O561)/(Q561+O561)</f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8" s="73" customFormat="1" ht="15.75" thickBot="1" x14ac:dyDescent="0.3">
      <c r="A562"/>
      <c r="B562"/>
      <c r="C562"/>
      <c r="D562"/>
      <c r="E562" t="s">
        <v>2366</v>
      </c>
      <c r="F562" t="s">
        <v>1441</v>
      </c>
      <c r="G562" s="30" t="s">
        <v>2203</v>
      </c>
      <c r="H562" t="s">
        <v>1053</v>
      </c>
      <c r="I562" t="s">
        <v>2207</v>
      </c>
      <c r="J562" s="30" t="s">
        <v>72</v>
      </c>
      <c r="K562" s="30" t="s">
        <v>27</v>
      </c>
      <c r="L562" s="30"/>
      <c r="M562" s="84" t="s">
        <v>2292</v>
      </c>
      <c r="N562" s="84"/>
      <c r="O562" s="31">
        <f>COUNTIF(S562:AT562,"")</f>
        <v>28</v>
      </c>
      <c r="P562" s="136" t="s">
        <v>2204</v>
      </c>
      <c r="Q562" s="31">
        <f>COUNTIF(S562:AT562,"APAGADO")</f>
        <v>0</v>
      </c>
      <c r="R562" s="32">
        <f>(O562)/(Q562+O562)</f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8" ht="15.75" thickBot="1" x14ac:dyDescent="0.3">
      <c r="A563">
        <v>2</v>
      </c>
      <c r="B563">
        <v>2</v>
      </c>
      <c r="C563"/>
      <c r="D563"/>
      <c r="E563" t="s">
        <v>2380</v>
      </c>
      <c r="F563" t="s">
        <v>1441</v>
      </c>
      <c r="G563" s="30" t="s">
        <v>1626</v>
      </c>
      <c r="H563" t="s">
        <v>1053</v>
      </c>
      <c r="I563" t="s">
        <v>1627</v>
      </c>
      <c r="J563" s="30" t="s">
        <v>18</v>
      </c>
      <c r="K563" s="30" t="s">
        <v>27</v>
      </c>
      <c r="L563" s="30"/>
      <c r="M563" s="84" t="s">
        <v>1628</v>
      </c>
      <c r="N563" s="84"/>
      <c r="O563" s="31">
        <f>COUNTIF(S563:AT563,"")</f>
        <v>27</v>
      </c>
      <c r="P563" s="136" t="s">
        <v>2160</v>
      </c>
      <c r="Q563" s="31">
        <f>COUNTIF(S563:AT563,"APAGADO")</f>
        <v>1</v>
      </c>
      <c r="R563" s="32">
        <f>(O563)/(Q563+O563)</f>
        <v>0.9642857142857143</v>
      </c>
      <c r="S563" s="70" t="s">
        <v>2240</v>
      </c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8" ht="15.75" thickBot="1" x14ac:dyDescent="0.3">
      <c r="A564"/>
      <c r="B564"/>
      <c r="C564"/>
      <c r="D564"/>
      <c r="E564"/>
      <c r="F564" t="s">
        <v>1441</v>
      </c>
      <c r="G564" s="30" t="s">
        <v>1625</v>
      </c>
      <c r="H564" t="s">
        <v>1053</v>
      </c>
      <c r="I564" t="s">
        <v>1619</v>
      </c>
      <c r="J564" s="30" t="s">
        <v>18</v>
      </c>
      <c r="K564" s="30" t="s">
        <v>27</v>
      </c>
      <c r="L564" s="30"/>
      <c r="M564" s="84" t="s">
        <v>1623</v>
      </c>
      <c r="N564" s="84"/>
      <c r="O564" s="31">
        <f>COUNTIF(S564:AT564,"")</f>
        <v>28</v>
      </c>
      <c r="P564" s="136" t="s">
        <v>2159</v>
      </c>
      <c r="Q564" s="31">
        <f>COUNTIF(S564:AT564,"APAGADO")</f>
        <v>0</v>
      </c>
      <c r="R564" s="32">
        <f>(O564)/(Q564+O564)</f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ht="15.75" thickBot="1" x14ac:dyDescent="0.3">
      <c r="A565"/>
      <c r="B565"/>
      <c r="C565"/>
      <c r="D565"/>
      <c r="E565"/>
      <c r="F565" t="s">
        <v>1441</v>
      </c>
      <c r="G565" s="30" t="s">
        <v>1618</v>
      </c>
      <c r="H565" t="s">
        <v>1053</v>
      </c>
      <c r="I565" t="s">
        <v>1619</v>
      </c>
      <c r="J565" s="30" t="s">
        <v>72</v>
      </c>
      <c r="K565" s="30" t="s">
        <v>27</v>
      </c>
      <c r="L565" s="30"/>
      <c r="M565" s="84" t="s">
        <v>1621</v>
      </c>
      <c r="N565" s="84"/>
      <c r="O565" s="31">
        <f>COUNTIF(S565:AT565,"")</f>
        <v>28</v>
      </c>
      <c r="P565" s="136" t="s">
        <v>2158</v>
      </c>
      <c r="Q565" s="31">
        <f>COUNTIF(S565:AT565,"APAGADO")</f>
        <v>0</v>
      </c>
      <c r="R565" s="32">
        <f>(O565)/(Q565+O565)</f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ht="15.75" thickBot="1" x14ac:dyDescent="0.3">
      <c r="A566"/>
      <c r="B566"/>
      <c r="C566"/>
      <c r="D566"/>
      <c r="E566"/>
      <c r="F566" t="s">
        <v>1441</v>
      </c>
      <c r="G566" s="30" t="s">
        <v>1617</v>
      </c>
      <c r="H566" t="s">
        <v>1053</v>
      </c>
      <c r="I566" t="s">
        <v>1619</v>
      </c>
      <c r="J566" s="30" t="s">
        <v>72</v>
      </c>
      <c r="K566" s="30" t="s">
        <v>27</v>
      </c>
      <c r="L566" s="30"/>
      <c r="M566" s="84" t="s">
        <v>1620</v>
      </c>
      <c r="N566" s="84"/>
      <c r="O566" s="31">
        <f>COUNTIF(S566:AT566,"")</f>
        <v>28</v>
      </c>
      <c r="P566" s="136" t="s">
        <v>2134</v>
      </c>
      <c r="Q566" s="31">
        <f>COUNTIF(S566:AT566,"APAGADO")</f>
        <v>0</v>
      </c>
      <c r="R566" s="32">
        <f>(O566)/(Q566+O566)</f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thickBot="1" x14ac:dyDescent="0.3">
      <c r="A567" s="8">
        <v>2</v>
      </c>
      <c r="B567" s="8">
        <v>2</v>
      </c>
      <c r="C567" s="8"/>
      <c r="D567" s="8"/>
      <c r="E567" s="8" t="s">
        <v>2380</v>
      </c>
      <c r="F567" t="s">
        <v>1441</v>
      </c>
      <c r="G567" s="30" t="s">
        <v>1442</v>
      </c>
      <c r="H567" t="s">
        <v>1053</v>
      </c>
      <c r="I567" t="s">
        <v>1439</v>
      </c>
      <c r="J567" s="30" t="s">
        <v>72</v>
      </c>
      <c r="K567" s="30" t="s">
        <v>27</v>
      </c>
      <c r="L567" s="30"/>
      <c r="M567" s="84" t="s">
        <v>1444</v>
      </c>
      <c r="N567" s="84"/>
      <c r="O567" s="31">
        <f>COUNTIF(S567:AT567,"")</f>
        <v>28</v>
      </c>
      <c r="P567" s="136" t="s">
        <v>1668</v>
      </c>
      <c r="Q567" s="31">
        <f>COUNTIF(S567:AT567,"APAGADO")</f>
        <v>0</v>
      </c>
      <c r="R567" s="32">
        <f>(O567)/(Q567+O567)</f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s="73" customFormat="1" ht="15.75" thickBot="1" x14ac:dyDescent="0.3">
      <c r="A568" s="8">
        <v>2</v>
      </c>
      <c r="B568" s="8">
        <v>2</v>
      </c>
      <c r="C568" s="8"/>
      <c r="D568" s="8"/>
      <c r="E568" s="8" t="s">
        <v>2380</v>
      </c>
      <c r="F568" t="s">
        <v>1441</v>
      </c>
      <c r="G568" s="30" t="s">
        <v>1440</v>
      </c>
      <c r="H568" t="s">
        <v>1053</v>
      </c>
      <c r="I568" t="s">
        <v>1439</v>
      </c>
      <c r="J568" s="30" t="s">
        <v>72</v>
      </c>
      <c r="K568" s="30" t="s">
        <v>27</v>
      </c>
      <c r="L568" s="30"/>
      <c r="M568" s="84" t="s">
        <v>1443</v>
      </c>
      <c r="N568" s="84"/>
      <c r="O568" s="31">
        <f>COUNTIF(S568:AT568,"")</f>
        <v>28</v>
      </c>
      <c r="P568" s="136" t="s">
        <v>1667</v>
      </c>
      <c r="Q568" s="31">
        <f>COUNTIF(S568:AT568,"APAGADO")</f>
        <v>0</v>
      </c>
      <c r="R568" s="32">
        <f>(O568)/(Q568+O568)</f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thickBot="1" x14ac:dyDescent="0.3">
      <c r="A569"/>
      <c r="B569"/>
      <c r="C569"/>
      <c r="D569"/>
      <c r="E569" t="s">
        <v>2366</v>
      </c>
      <c r="F569" t="s">
        <v>1184</v>
      </c>
      <c r="G569" s="30" t="s">
        <v>1171</v>
      </c>
      <c r="H569" s="30" t="s">
        <v>1053</v>
      </c>
      <c r="I569" t="s">
        <v>1153</v>
      </c>
      <c r="J569" s="30" t="s">
        <v>72</v>
      </c>
      <c r="K569" s="30" t="s">
        <v>1046</v>
      </c>
      <c r="L569" s="30"/>
      <c r="M569" s="30" t="s">
        <v>1158</v>
      </c>
      <c r="N569" s="30"/>
      <c r="O569" s="31">
        <f>COUNTIF(S569:AT569,"")</f>
        <v>27</v>
      </c>
      <c r="P569" s="136" t="s">
        <v>1664</v>
      </c>
      <c r="Q569" s="31">
        <f>COUNTIF(S569:AT569,"APAGADO")</f>
        <v>1</v>
      </c>
      <c r="R569" s="32">
        <f>(O569)/(Q569+O569)</f>
        <v>0.9642857142857143</v>
      </c>
      <c r="S569" s="70"/>
      <c r="T569" s="70"/>
      <c r="U569" s="70"/>
      <c r="V569" s="70"/>
      <c r="W569" s="70"/>
      <c r="X569" s="70" t="s">
        <v>2240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8" ht="15.75" thickBot="1" x14ac:dyDescent="0.3">
      <c r="A570"/>
      <c r="B570"/>
      <c r="C570"/>
      <c r="D570"/>
      <c r="E570" t="s">
        <v>2366</v>
      </c>
      <c r="F570" t="s">
        <v>1184</v>
      </c>
      <c r="G570" s="30" t="s">
        <v>1170</v>
      </c>
      <c r="H570" s="30" t="s">
        <v>1053</v>
      </c>
      <c r="I570" t="s">
        <v>1153</v>
      </c>
      <c r="J570" s="30" t="s">
        <v>72</v>
      </c>
      <c r="K570" s="30" t="s">
        <v>1046</v>
      </c>
      <c r="L570" s="30"/>
      <c r="M570" s="30" t="s">
        <v>1157</v>
      </c>
      <c r="N570" s="30"/>
      <c r="O570" s="31">
        <f>COUNTIF(S570:AT570,"")</f>
        <v>28</v>
      </c>
      <c r="P570" s="136" t="s">
        <v>1663</v>
      </c>
      <c r="Q570" s="31">
        <f>COUNTIF(S570:AT570,"APAGADO")</f>
        <v>0</v>
      </c>
      <c r="R570" s="32">
        <f>(O570)/(Q570+O570)</f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8" ht="15.75" thickBot="1" x14ac:dyDescent="0.3">
      <c r="A571"/>
      <c r="B571"/>
      <c r="C571"/>
      <c r="D571"/>
      <c r="E571" t="s">
        <v>2366</v>
      </c>
      <c r="F571" t="s">
        <v>1184</v>
      </c>
      <c r="G571" s="30" t="s">
        <v>1166</v>
      </c>
      <c r="H571" s="30" t="s">
        <v>1053</v>
      </c>
      <c r="I571" t="s">
        <v>1151</v>
      </c>
      <c r="J571" s="30" t="s">
        <v>72</v>
      </c>
      <c r="K571" s="30" t="s">
        <v>1046</v>
      </c>
      <c r="L571" s="30"/>
      <c r="M571" s="30" t="s">
        <v>1161</v>
      </c>
      <c r="N571" s="30"/>
      <c r="O571" s="31">
        <f>COUNTIF(S571:AT571,"")</f>
        <v>27</v>
      </c>
      <c r="P571" s="136" t="s">
        <v>1662</v>
      </c>
      <c r="Q571" s="31">
        <f>COUNTIF(S571:AT571,"APAGADO")</f>
        <v>1</v>
      </c>
      <c r="R571" s="32">
        <f>(O571)/(Q571+O571)</f>
        <v>0.9642857142857143</v>
      </c>
      <c r="S571" s="70"/>
      <c r="T571" s="70"/>
      <c r="U571" s="70"/>
      <c r="V571" s="70"/>
      <c r="W571" s="70"/>
      <c r="X571" s="70" t="s">
        <v>2240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8" ht="15.75" thickBot="1" x14ac:dyDescent="0.3">
      <c r="A572"/>
      <c r="B572"/>
      <c r="C572"/>
      <c r="D572"/>
      <c r="E572" t="s">
        <v>2366</v>
      </c>
      <c r="F572" t="s">
        <v>1184</v>
      </c>
      <c r="G572" s="30" t="s">
        <v>1167</v>
      </c>
      <c r="H572" s="30" t="s">
        <v>1053</v>
      </c>
      <c r="I572" t="s">
        <v>1151</v>
      </c>
      <c r="J572" s="30" t="s">
        <v>72</v>
      </c>
      <c r="K572" s="30" t="s">
        <v>1046</v>
      </c>
      <c r="L572" s="30"/>
      <c r="M572" s="30" t="s">
        <v>1154</v>
      </c>
      <c r="N572" s="30"/>
      <c r="O572" s="31">
        <f>COUNTIF(S572:AT572,"")</f>
        <v>12</v>
      </c>
      <c r="P572" s="136" t="s">
        <v>1661</v>
      </c>
      <c r="Q572" s="31">
        <f>COUNTIF(S572:AT572,"APAGADO")</f>
        <v>16</v>
      </c>
      <c r="R572" s="32">
        <f>(O572)/(Q572+O572)</f>
        <v>0.42857142857142855</v>
      </c>
      <c r="S572" s="70" t="s">
        <v>2240</v>
      </c>
      <c r="T572" s="70"/>
      <c r="U572" s="70"/>
      <c r="V572" s="70"/>
      <c r="W572" s="70"/>
      <c r="X572" s="70" t="s">
        <v>2240</v>
      </c>
      <c r="Y572" s="70" t="s">
        <v>2240</v>
      </c>
      <c r="Z572" s="70" t="s">
        <v>2240</v>
      </c>
      <c r="AA572" s="70"/>
      <c r="AB572" s="70"/>
      <c r="AC572" s="70"/>
      <c r="AD572" s="70"/>
      <c r="AE572" s="70" t="s">
        <v>2240</v>
      </c>
      <c r="AF572" s="70" t="s">
        <v>2240</v>
      </c>
      <c r="AG572" s="70" t="s">
        <v>2240</v>
      </c>
      <c r="AH572" s="70" t="s">
        <v>2240</v>
      </c>
      <c r="AI572" s="70" t="s">
        <v>2240</v>
      </c>
      <c r="AJ572" s="70"/>
      <c r="AK572" s="70"/>
      <c r="AL572" s="70" t="s">
        <v>2240</v>
      </c>
      <c r="AM572" s="70" t="s">
        <v>2240</v>
      </c>
      <c r="AN572" s="70" t="s">
        <v>2240</v>
      </c>
      <c r="AO572" s="70" t="s">
        <v>2240</v>
      </c>
      <c r="AP572" s="70" t="s">
        <v>2240</v>
      </c>
      <c r="AQ572" s="70"/>
      <c r="AR572" s="70"/>
      <c r="AS572" s="70" t="s">
        <v>2240</v>
      </c>
      <c r="AT572" s="70" t="s">
        <v>2240</v>
      </c>
      <c r="AU572" s="70" t="s">
        <v>2240</v>
      </c>
      <c r="AV572" s="70" t="s">
        <v>2240</v>
      </c>
    </row>
    <row r="573" spans="1:48" ht="15.75" thickBot="1" x14ac:dyDescent="0.3">
      <c r="A573"/>
      <c r="B573"/>
      <c r="C573"/>
      <c r="D573"/>
      <c r="E573" t="s">
        <v>2366</v>
      </c>
      <c r="F573" t="s">
        <v>1184</v>
      </c>
      <c r="G573" s="30" t="s">
        <v>1169</v>
      </c>
      <c r="H573" s="30" t="s">
        <v>1053</v>
      </c>
      <c r="I573" t="s">
        <v>1152</v>
      </c>
      <c r="J573" s="30" t="s">
        <v>72</v>
      </c>
      <c r="K573" s="30" t="s">
        <v>1046</v>
      </c>
      <c r="L573" s="30"/>
      <c r="M573" s="30" t="s">
        <v>1156</v>
      </c>
      <c r="N573" s="30"/>
      <c r="O573" s="31">
        <f>COUNTIF(S573:AT573,"")</f>
        <v>27</v>
      </c>
      <c r="P573" s="136" t="s">
        <v>1660</v>
      </c>
      <c r="Q573" s="31">
        <f>COUNTIF(S573:AT573,"APAGADO")</f>
        <v>1</v>
      </c>
      <c r="R573" s="32">
        <f>(O573)/(Q573+O573)</f>
        <v>0.9642857142857143</v>
      </c>
      <c r="S573" s="70"/>
      <c r="T573" s="70"/>
      <c r="U573" s="70"/>
      <c r="V573" s="70"/>
      <c r="W573" s="70"/>
      <c r="X573" s="70" t="s">
        <v>2240</v>
      </c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8" ht="15.75" thickBot="1" x14ac:dyDescent="0.3">
      <c r="A574"/>
      <c r="B574"/>
      <c r="C574"/>
      <c r="D574"/>
      <c r="E574" t="s">
        <v>2366</v>
      </c>
      <c r="F574" t="s">
        <v>1184</v>
      </c>
      <c r="G574" s="30" t="s">
        <v>1168</v>
      </c>
      <c r="H574" s="30" t="s">
        <v>1053</v>
      </c>
      <c r="I574" t="s">
        <v>1152</v>
      </c>
      <c r="J574" s="30" t="s">
        <v>72</v>
      </c>
      <c r="K574" s="30" t="s">
        <v>1046</v>
      </c>
      <c r="L574" s="30"/>
      <c r="M574" s="30" t="s">
        <v>1155</v>
      </c>
      <c r="N574" s="30"/>
      <c r="O574" s="31">
        <f>COUNTIF(S574:AT574,"")</f>
        <v>27</v>
      </c>
      <c r="P574" s="136" t="s">
        <v>1659</v>
      </c>
      <c r="Q574" s="31">
        <f>COUNTIF(S574:AT574,"APAGADO")</f>
        <v>1</v>
      </c>
      <c r="R574" s="32">
        <f>(O574)/(Q574+O574)</f>
        <v>0.9642857142857143</v>
      </c>
      <c r="S574" s="70"/>
      <c r="T574" s="70"/>
      <c r="U574" s="70"/>
      <c r="V574" s="70"/>
      <c r="W574" s="70"/>
      <c r="X574" s="70" t="s">
        <v>2240</v>
      </c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8" ht="15.75" thickBot="1" x14ac:dyDescent="0.3">
      <c r="A575"/>
      <c r="B575"/>
      <c r="C575"/>
      <c r="D575"/>
      <c r="E575"/>
      <c r="F575" s="73"/>
      <c r="G575" s="84" t="s">
        <v>2376</v>
      </c>
      <c r="H575" s="84" t="s">
        <v>1053</v>
      </c>
      <c r="I575" s="73" t="s">
        <v>2377</v>
      </c>
      <c r="J575" s="84"/>
      <c r="K575" s="84" t="s">
        <v>27</v>
      </c>
      <c r="L575" s="84"/>
      <c r="M575" s="84" t="s">
        <v>2378</v>
      </c>
      <c r="N575" s="84"/>
      <c r="O575" s="131"/>
      <c r="P575" s="136"/>
      <c r="Q575" s="131"/>
      <c r="R575" s="132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8" ht="15.75" thickBot="1" x14ac:dyDescent="0.3">
      <c r="A576"/>
      <c r="B576"/>
      <c r="C576"/>
      <c r="D576"/>
      <c r="E576"/>
      <c r="F576" s="73" t="s">
        <v>1184</v>
      </c>
      <c r="G576" s="84" t="s">
        <v>2280</v>
      </c>
      <c r="H576" s="84" t="s">
        <v>1053</v>
      </c>
      <c r="I576" s="73" t="s">
        <v>2259</v>
      </c>
      <c r="J576" s="84" t="s">
        <v>18</v>
      </c>
      <c r="K576" s="84" t="s">
        <v>1291</v>
      </c>
      <c r="L576" s="84"/>
      <c r="M576" s="84" t="s">
        <v>2260</v>
      </c>
      <c r="N576" s="84"/>
      <c r="O576" s="131">
        <f>COUNTIF(S576:AT576,"")</f>
        <v>28</v>
      </c>
      <c r="P576" s="136" t="s">
        <v>2261</v>
      </c>
      <c r="Q576" s="131">
        <f>COUNTIF(S576:AT576,"APAGADO")</f>
        <v>0</v>
      </c>
      <c r="R576" s="132">
        <f>(O576)/(Q576+O576)</f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8" ht="15.75" thickBot="1" x14ac:dyDescent="0.3">
      <c r="A577"/>
      <c r="B577"/>
      <c r="C577"/>
      <c r="D577"/>
      <c r="E577"/>
      <c r="F577" s="73" t="s">
        <v>1184</v>
      </c>
      <c r="G577" s="84" t="s">
        <v>2279</v>
      </c>
      <c r="H577" s="84" t="s">
        <v>1053</v>
      </c>
      <c r="I577" s="73" t="s">
        <v>1583</v>
      </c>
      <c r="J577" s="84" t="s">
        <v>72</v>
      </c>
      <c r="K577" s="84" t="s">
        <v>1291</v>
      </c>
      <c r="L577" s="84"/>
      <c r="M577" s="84" t="s">
        <v>1582</v>
      </c>
      <c r="N577" s="84"/>
      <c r="O577" s="131">
        <f>COUNTIF(S577:AT577,"")</f>
        <v>28</v>
      </c>
      <c r="P577" s="136" t="s">
        <v>2131</v>
      </c>
      <c r="Q577" s="131">
        <f>COUNTIF(S577:AT577,"APAGADO")</f>
        <v>0</v>
      </c>
      <c r="R577" s="132">
        <f>(O577)/(Q577+O577)</f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s="73" customFormat="1" ht="15.75" thickBot="1" x14ac:dyDescent="0.3">
      <c r="A578" s="8"/>
      <c r="B578" s="8"/>
      <c r="C578" s="8"/>
      <c r="D578" s="8"/>
      <c r="E578" s="8"/>
      <c r="F578" s="73" t="s">
        <v>1184</v>
      </c>
      <c r="G578" s="84" t="s">
        <v>2278</v>
      </c>
      <c r="H578" s="84" t="s">
        <v>1053</v>
      </c>
      <c r="I578" s="73" t="s">
        <v>1583</v>
      </c>
      <c r="J578" s="84" t="s">
        <v>72</v>
      </c>
      <c r="K578" s="84" t="s">
        <v>1291</v>
      </c>
      <c r="L578" s="84"/>
      <c r="M578" s="84" t="s">
        <v>1581</v>
      </c>
      <c r="N578" s="84"/>
      <c r="O578" s="131">
        <f>COUNTIF(S578:AT578,"")</f>
        <v>28</v>
      </c>
      <c r="P578" s="136" t="s">
        <v>2130</v>
      </c>
      <c r="Q578" s="131">
        <f>COUNTIF(S578:AT578,"APAGADO")</f>
        <v>0</v>
      </c>
      <c r="R578" s="132">
        <f>(O578)/(Q578+O578)</f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thickBot="1" x14ac:dyDescent="0.3">
      <c r="A579" s="8"/>
      <c r="B579" s="8"/>
      <c r="C579" s="8"/>
      <c r="D579" s="8"/>
      <c r="E579" s="8"/>
      <c r="F579" s="73" t="s">
        <v>1184</v>
      </c>
      <c r="G579" s="84" t="s">
        <v>2277</v>
      </c>
      <c r="H579" s="84" t="s">
        <v>1053</v>
      </c>
      <c r="I579" s="73" t="s">
        <v>1579</v>
      </c>
      <c r="J579" s="84" t="s">
        <v>18</v>
      </c>
      <c r="K579" s="84" t="s">
        <v>1291</v>
      </c>
      <c r="L579" s="84"/>
      <c r="M579" s="84" t="s">
        <v>1580</v>
      </c>
      <c r="N579" s="84"/>
      <c r="O579" s="131">
        <f>COUNTIF(S579:AT579,"")</f>
        <v>28</v>
      </c>
      <c r="P579" s="136" t="s">
        <v>2129</v>
      </c>
      <c r="Q579" s="131">
        <f>COUNTIF(S579:AT579,"APAGADO")</f>
        <v>0</v>
      </c>
      <c r="R579" s="132">
        <f>(O579)/(Q579+O579)</f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s="73" customFormat="1" ht="15.75" thickBot="1" x14ac:dyDescent="0.3">
      <c r="A580"/>
      <c r="B580"/>
      <c r="C580"/>
      <c r="D580"/>
      <c r="E580"/>
      <c r="F580" s="73" t="s">
        <v>1184</v>
      </c>
      <c r="G580" s="84" t="s">
        <v>2276</v>
      </c>
      <c r="H580" s="73" t="s">
        <v>1053</v>
      </c>
      <c r="I580" s="73" t="s">
        <v>1337</v>
      </c>
      <c r="J580" s="84" t="s">
        <v>18</v>
      </c>
      <c r="K580" s="84" t="s">
        <v>1291</v>
      </c>
      <c r="L580" s="84"/>
      <c r="M580" s="84" t="s">
        <v>1344</v>
      </c>
      <c r="N580" s="84"/>
      <c r="O580" s="131">
        <f>COUNTIF(S580:AT580,"")</f>
        <v>28</v>
      </c>
      <c r="P580" s="136" t="s">
        <v>1665</v>
      </c>
      <c r="Q580" s="131">
        <f>COUNTIF(S580:AT580,"APAGADO")</f>
        <v>0</v>
      </c>
      <c r="R580" s="132">
        <f>(O580)/(Q580+O580)</f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4.25" customHeight="1" thickBot="1" x14ac:dyDescent="0.3">
      <c r="F581" t="s">
        <v>42</v>
      </c>
      <c r="G581" t="s">
        <v>1258</v>
      </c>
      <c r="H581" t="s">
        <v>1052</v>
      </c>
      <c r="I581" t="s">
        <v>1259</v>
      </c>
      <c r="J581" s="30" t="s">
        <v>14</v>
      </c>
      <c r="K581" s="30" t="s">
        <v>27</v>
      </c>
      <c r="L581" s="30"/>
      <c r="M581" s="30" t="s">
        <v>1346</v>
      </c>
      <c r="N581" s="30"/>
      <c r="O581" s="31">
        <f>COUNTIF(S581:AT581,"")</f>
        <v>28</v>
      </c>
      <c r="P581" s="136" t="s">
        <v>1658</v>
      </c>
      <c r="Q581" s="31">
        <f>COUNTIF(S581:AT581,"APAGADO")</f>
        <v>0</v>
      </c>
      <c r="R581" s="32">
        <f>(O581)/(Q581+O581)</f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thickBot="1" x14ac:dyDescent="0.3">
      <c r="F582" t="s">
        <v>42</v>
      </c>
      <c r="G582" t="s">
        <v>913</v>
      </c>
      <c r="H582" t="s">
        <v>1052</v>
      </c>
      <c r="I582" t="s">
        <v>43</v>
      </c>
      <c r="J582" s="30" t="s">
        <v>14</v>
      </c>
      <c r="K582" s="30" t="s">
        <v>27</v>
      </c>
      <c r="L582" s="30"/>
      <c r="M582" s="30" t="s">
        <v>618</v>
      </c>
      <c r="N582" s="30" t="s">
        <v>2284</v>
      </c>
      <c r="O582" s="31">
        <f>COUNTIF(S582:AT582,"")</f>
        <v>28</v>
      </c>
      <c r="P582" s="136" t="s">
        <v>2286</v>
      </c>
      <c r="Q582" s="31">
        <f>COUNTIF(S582:AT582,"APAGADO")</f>
        <v>0</v>
      </c>
      <c r="R582" s="32">
        <f>(O582)/(Q582+O582)</f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thickBot="1" x14ac:dyDescent="0.3">
      <c r="A583"/>
      <c r="B583"/>
      <c r="C583"/>
      <c r="D583"/>
      <c r="E583"/>
      <c r="F583" s="73" t="s">
        <v>40</v>
      </c>
      <c r="G583" s="73" t="s">
        <v>1554</v>
      </c>
      <c r="H583" s="73" t="s">
        <v>1052</v>
      </c>
      <c r="I583" s="73" t="s">
        <v>1555</v>
      </c>
      <c r="J583" s="84" t="s">
        <v>72</v>
      </c>
      <c r="K583" s="84" t="s">
        <v>1291</v>
      </c>
      <c r="L583" s="84"/>
      <c r="M583" s="84" t="s">
        <v>1556</v>
      </c>
      <c r="N583" s="84"/>
      <c r="O583" s="31">
        <f>COUNTIF(S583:AT583,"")</f>
        <v>28</v>
      </c>
      <c r="P583" s="136" t="s">
        <v>1657</v>
      </c>
      <c r="Q583" s="31">
        <f>COUNTIF(S583:AT583,"APAGADO")</f>
        <v>0</v>
      </c>
      <c r="R583" s="32">
        <f>(O583)/(Q583+O583)</f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thickBot="1" x14ac:dyDescent="0.3">
      <c r="A584"/>
      <c r="B584"/>
      <c r="C584"/>
      <c r="D584"/>
      <c r="E584"/>
      <c r="F584" s="73" t="s">
        <v>40</v>
      </c>
      <c r="G584" s="73" t="s">
        <v>1525</v>
      </c>
      <c r="H584" s="73" t="s">
        <v>1052</v>
      </c>
      <c r="I584" s="73" t="s">
        <v>1526</v>
      </c>
      <c r="J584" s="84" t="s">
        <v>72</v>
      </c>
      <c r="K584" s="84" t="s">
        <v>1291</v>
      </c>
      <c r="L584" s="84"/>
      <c r="M584" s="84" t="s">
        <v>1527</v>
      </c>
      <c r="N584" s="84"/>
      <c r="O584" s="31">
        <f>COUNTIF(S584:AT584,"")</f>
        <v>23</v>
      </c>
      <c r="P584" s="136" t="s">
        <v>1656</v>
      </c>
      <c r="Q584" s="31">
        <f>COUNTIF(S584:AT584,"APAGADO")</f>
        <v>5</v>
      </c>
      <c r="R584" s="32">
        <f>(O584)/(Q584+O584)</f>
        <v>0.8214285714285714</v>
      </c>
      <c r="S584" s="70" t="s">
        <v>2240</v>
      </c>
      <c r="T584" s="70"/>
      <c r="U584" s="70"/>
      <c r="V584" s="70"/>
      <c r="W584" s="70"/>
      <c r="X584" s="70" t="s">
        <v>2240</v>
      </c>
      <c r="Y584" s="70" t="s">
        <v>2240</v>
      </c>
      <c r="Z584" s="70" t="s">
        <v>2240</v>
      </c>
      <c r="AA584" s="70"/>
      <c r="AB584" s="70"/>
      <c r="AC584" s="70"/>
      <c r="AD584" s="70"/>
      <c r="AE584" s="70" t="s">
        <v>2240</v>
      </c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thickBot="1" x14ac:dyDescent="0.3">
      <c r="F585" t="s">
        <v>40</v>
      </c>
      <c r="G585" t="s">
        <v>912</v>
      </c>
      <c r="H585" t="s">
        <v>1052</v>
      </c>
      <c r="I585" t="s">
        <v>41</v>
      </c>
      <c r="J585" s="30" t="s">
        <v>18</v>
      </c>
      <c r="K585" s="30" t="s">
        <v>27</v>
      </c>
      <c r="L585" s="30"/>
      <c r="M585" s="30" t="s">
        <v>617</v>
      </c>
      <c r="N585" s="30"/>
      <c r="O585" s="31">
        <f>COUNTIF(S585:AT585,"")</f>
        <v>23</v>
      </c>
      <c r="P585" s="136" t="s">
        <v>1655</v>
      </c>
      <c r="Q585" s="31">
        <f>COUNTIF(S585:AT585,"APAGADO")</f>
        <v>5</v>
      </c>
      <c r="R585" s="32">
        <f>(O585)/(Q585+O585)</f>
        <v>0.8214285714285714</v>
      </c>
      <c r="S585" s="70" t="s">
        <v>2240</v>
      </c>
      <c r="T585" s="70"/>
      <c r="U585" s="70"/>
      <c r="V585" s="70"/>
      <c r="W585" s="70"/>
      <c r="X585" s="70" t="s">
        <v>2240</v>
      </c>
      <c r="Y585" s="70" t="s">
        <v>2240</v>
      </c>
      <c r="Z585" s="70" t="s">
        <v>2240</v>
      </c>
      <c r="AA585" s="70"/>
      <c r="AB585" s="70"/>
      <c r="AC585" s="70"/>
      <c r="AD585" s="70"/>
      <c r="AE585" s="70" t="s">
        <v>2240</v>
      </c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thickBot="1" x14ac:dyDescent="0.3">
      <c r="A586">
        <v>1</v>
      </c>
      <c r="B586">
        <v>19</v>
      </c>
      <c r="C586"/>
      <c r="D586"/>
      <c r="E586" s="8" t="s">
        <v>2346</v>
      </c>
      <c r="F586" t="s">
        <v>25</v>
      </c>
      <c r="G586" t="s">
        <v>36</v>
      </c>
      <c r="H586" t="s">
        <v>1052</v>
      </c>
      <c r="I586" t="s">
        <v>37</v>
      </c>
      <c r="J586" s="30" t="s">
        <v>14</v>
      </c>
      <c r="K586" s="30" t="s">
        <v>1046</v>
      </c>
      <c r="L586" s="30" t="s">
        <v>1241</v>
      </c>
      <c r="M586" s="30" t="s">
        <v>614</v>
      </c>
      <c r="N586" s="30"/>
      <c r="O586" s="31">
        <f>COUNTIF(S586:AT586,"")</f>
        <v>28</v>
      </c>
      <c r="P586" s="136" t="s">
        <v>1651</v>
      </c>
      <c r="Q586" s="31">
        <f>COUNTIF(S586:AT586,"APAGADO")</f>
        <v>0</v>
      </c>
      <c r="R586" s="32">
        <f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ht="15.75" thickBot="1" x14ac:dyDescent="0.3">
      <c r="F587" s="73" t="s">
        <v>25</v>
      </c>
      <c r="G587" s="73" t="s">
        <v>34</v>
      </c>
      <c r="H587" s="73" t="s">
        <v>1052</v>
      </c>
      <c r="I587" s="73" t="s">
        <v>35</v>
      </c>
      <c r="J587" s="84" t="s">
        <v>18</v>
      </c>
      <c r="K587" s="84" t="s">
        <v>1291</v>
      </c>
      <c r="L587" s="84" t="s">
        <v>1240</v>
      </c>
      <c r="M587" s="84" t="s">
        <v>611</v>
      </c>
      <c r="N587" s="84"/>
      <c r="O587" s="131">
        <f>COUNTIF(S587:AT587,"")</f>
        <v>28</v>
      </c>
      <c r="P587" s="136" t="s">
        <v>1649</v>
      </c>
      <c r="Q587" s="131">
        <f>COUNTIF(S587:AT587,"APAGADO")</f>
        <v>0</v>
      </c>
      <c r="R587" s="132">
        <f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thickBot="1" x14ac:dyDescent="0.3">
      <c r="A588">
        <v>1</v>
      </c>
      <c r="B588">
        <v>19</v>
      </c>
      <c r="C588"/>
      <c r="D588"/>
      <c r="E588" s="8" t="s">
        <v>2346</v>
      </c>
      <c r="F588" t="s">
        <v>25</v>
      </c>
      <c r="G588" t="s">
        <v>30</v>
      </c>
      <c r="H588" t="s">
        <v>1052</v>
      </c>
      <c r="I588" t="s">
        <v>31</v>
      </c>
      <c r="J588" s="30" t="s">
        <v>18</v>
      </c>
      <c r="K588" s="30" t="s">
        <v>1046</v>
      </c>
      <c r="L588" s="30" t="s">
        <v>1241</v>
      </c>
      <c r="M588" s="30" t="s">
        <v>608</v>
      </c>
      <c r="N588" s="30"/>
      <c r="O588" s="31">
        <f>COUNTIF(S588:AT588,"")</f>
        <v>28</v>
      </c>
      <c r="P588" s="136" t="s">
        <v>1646</v>
      </c>
      <c r="Q588" s="31">
        <f>COUNTIF(S588:AT588,"APAGADO")</f>
        <v>0</v>
      </c>
      <c r="R588" s="32">
        <f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thickBot="1" x14ac:dyDescent="0.3">
      <c r="A589">
        <v>1</v>
      </c>
      <c r="B589">
        <v>19</v>
      </c>
      <c r="C589"/>
      <c r="D589"/>
      <c r="E589" s="8" t="s">
        <v>2346</v>
      </c>
      <c r="F589" t="s">
        <v>25</v>
      </c>
      <c r="G589" t="s">
        <v>28</v>
      </c>
      <c r="H589" t="s">
        <v>1052</v>
      </c>
      <c r="I589" t="s">
        <v>29</v>
      </c>
      <c r="J589" s="30" t="s">
        <v>18</v>
      </c>
      <c r="K589" s="30" t="s">
        <v>27</v>
      </c>
      <c r="L589" s="30"/>
      <c r="M589" s="30" t="s">
        <v>607</v>
      </c>
      <c r="N589" s="30"/>
      <c r="O589" s="31">
        <f>COUNTIF(S589:AT589,"")</f>
        <v>28</v>
      </c>
      <c r="P589" s="136" t="s">
        <v>1645</v>
      </c>
      <c r="Q589" s="31">
        <f>COUNTIF(S589:AT589,"APAGADO")</f>
        <v>0</v>
      </c>
      <c r="R589" s="32">
        <f>(O589)/(Q589+O589)</f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thickBot="1" x14ac:dyDescent="0.3">
      <c r="A590" s="8"/>
      <c r="B590" s="8"/>
      <c r="C590" s="8"/>
      <c r="D590" s="8"/>
      <c r="E590" s="8"/>
      <c r="F590" t="s">
        <v>25</v>
      </c>
      <c r="G590" t="s">
        <v>1511</v>
      </c>
      <c r="H590" t="s">
        <v>1052</v>
      </c>
      <c r="I590" s="68" t="s">
        <v>1512</v>
      </c>
      <c r="J590" s="30" t="s">
        <v>72</v>
      </c>
      <c r="K590" s="84" t="s">
        <v>1291</v>
      </c>
      <c r="L590" s="30"/>
      <c r="M590" s="30" t="s">
        <v>1513</v>
      </c>
      <c r="N590" s="30"/>
      <c r="O590" s="31">
        <f>COUNTIF(S590:AT590,"")</f>
        <v>28</v>
      </c>
      <c r="P590" s="136" t="s">
        <v>2128</v>
      </c>
      <c r="Q590" s="31">
        <f>COUNTIF(S590:AT590,"APAGADO")</f>
        <v>0</v>
      </c>
      <c r="R590" s="32">
        <f>(O590)/(Q590+O590)</f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thickBot="1" x14ac:dyDescent="0.3">
      <c r="A591" s="8"/>
      <c r="B591" s="8"/>
      <c r="C591" s="8"/>
      <c r="D591" s="8"/>
      <c r="E591" s="8"/>
      <c r="F591" s="73" t="s">
        <v>25</v>
      </c>
      <c r="G591" s="73" t="s">
        <v>910</v>
      </c>
      <c r="H591" s="73" t="s">
        <v>1052</v>
      </c>
      <c r="I591" s="73" t="s">
        <v>911</v>
      </c>
      <c r="J591" s="84" t="s">
        <v>18</v>
      </c>
      <c r="K591" s="84" t="s">
        <v>1291</v>
      </c>
      <c r="L591" s="84"/>
      <c r="M591" s="84" t="s">
        <v>1203</v>
      </c>
      <c r="N591" s="84"/>
      <c r="O591" s="131">
        <f>COUNTIF(S591:AT591,"")</f>
        <v>28</v>
      </c>
      <c r="P591" s="136" t="s">
        <v>1654</v>
      </c>
      <c r="Q591" s="131">
        <f>COUNTIF(S591:AT591,"APAGADO")</f>
        <v>0</v>
      </c>
      <c r="R591" s="132">
        <f>(O591)/(Q591+O591)</f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thickBot="1" x14ac:dyDescent="0.3">
      <c r="A592" s="8"/>
      <c r="B592" s="8"/>
      <c r="C592" s="8"/>
      <c r="D592" s="8"/>
      <c r="E592" s="8"/>
      <c r="F592" t="s">
        <v>25</v>
      </c>
      <c r="G592" t="s">
        <v>909</v>
      </c>
      <c r="H592" t="s">
        <v>1052</v>
      </c>
      <c r="I592" t="s">
        <v>39</v>
      </c>
      <c r="J592" s="30" t="s">
        <v>14</v>
      </c>
      <c r="K592" s="30" t="s">
        <v>27</v>
      </c>
      <c r="L592" s="30"/>
      <c r="M592" s="30" t="s">
        <v>616</v>
      </c>
      <c r="N592" s="30"/>
      <c r="O592" s="31">
        <f>COUNTIF(S592:AT592,"")</f>
        <v>17</v>
      </c>
      <c r="P592" s="136" t="s">
        <v>1653</v>
      </c>
      <c r="Q592" s="31">
        <f>COUNTIF(S592:AT592,"APAGADO")</f>
        <v>11</v>
      </c>
      <c r="R592" s="32">
        <f>(O592)/(Q592+O592)</f>
        <v>0.6071428571428571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 t="s">
        <v>2240</v>
      </c>
      <c r="AG592" s="70" t="s">
        <v>2240</v>
      </c>
      <c r="AH592" s="70" t="s">
        <v>2240</v>
      </c>
      <c r="AI592" s="70" t="s">
        <v>2240</v>
      </c>
      <c r="AJ592" s="70"/>
      <c r="AK592" s="70"/>
      <c r="AL592" s="70" t="s">
        <v>2240</v>
      </c>
      <c r="AM592" s="70" t="s">
        <v>2240</v>
      </c>
      <c r="AN592" s="70" t="s">
        <v>2240</v>
      </c>
      <c r="AO592" s="70" t="s">
        <v>2240</v>
      </c>
      <c r="AP592" s="70" t="s">
        <v>2240</v>
      </c>
      <c r="AQ592" s="70"/>
      <c r="AR592" s="70"/>
      <c r="AS592" s="70" t="s">
        <v>2240</v>
      </c>
      <c r="AT592" s="70" t="s">
        <v>2240</v>
      </c>
      <c r="AU592" s="70" t="s">
        <v>2240</v>
      </c>
      <c r="AV592" s="70" t="s">
        <v>2240</v>
      </c>
    </row>
    <row r="593" spans="1:48" s="73" customFormat="1" ht="15.75" thickBot="1" x14ac:dyDescent="0.3">
      <c r="A593"/>
      <c r="B593"/>
      <c r="C593"/>
      <c r="D593"/>
      <c r="E593"/>
      <c r="F593" t="s">
        <v>25</v>
      </c>
      <c r="G593" t="s">
        <v>908</v>
      </c>
      <c r="H593" t="s">
        <v>1052</v>
      </c>
      <c r="I593" t="s">
        <v>38</v>
      </c>
      <c r="J593" s="30" t="s">
        <v>14</v>
      </c>
      <c r="K593" s="30" t="s">
        <v>27</v>
      </c>
      <c r="L593" s="30"/>
      <c r="M593" s="30" t="s">
        <v>615</v>
      </c>
      <c r="N593" s="30"/>
      <c r="O593" s="31">
        <f>COUNTIF(S593:AT593,"")</f>
        <v>17</v>
      </c>
      <c r="P593" s="136" t="s">
        <v>1652</v>
      </c>
      <c r="Q593" s="31">
        <f>COUNTIF(S593:AT593,"APAGADO")</f>
        <v>11</v>
      </c>
      <c r="R593" s="32">
        <f>(O593)/(Q593+O593)</f>
        <v>0.6071428571428571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 t="s">
        <v>2240</v>
      </c>
      <c r="AG593" s="70" t="s">
        <v>2240</v>
      </c>
      <c r="AH593" s="70" t="s">
        <v>2240</v>
      </c>
      <c r="AI593" s="70" t="s">
        <v>2240</v>
      </c>
      <c r="AJ593" s="70"/>
      <c r="AK593" s="70"/>
      <c r="AL593" s="70" t="s">
        <v>2240</v>
      </c>
      <c r="AM593" s="70" t="s">
        <v>2240</v>
      </c>
      <c r="AN593" s="70" t="s">
        <v>2240</v>
      </c>
      <c r="AO593" s="70" t="s">
        <v>2240</v>
      </c>
      <c r="AP593" s="70" t="s">
        <v>2240</v>
      </c>
      <c r="AQ593" s="70"/>
      <c r="AR593" s="70"/>
      <c r="AS593" s="70" t="s">
        <v>2240</v>
      </c>
      <c r="AT593" s="70" t="s">
        <v>2240</v>
      </c>
      <c r="AU593" s="70" t="s">
        <v>2240</v>
      </c>
      <c r="AV593" s="70" t="s">
        <v>2240</v>
      </c>
    </row>
    <row r="594" spans="1:48" s="73" customFormat="1" ht="15.75" thickBot="1" x14ac:dyDescent="0.3">
      <c r="A594" s="8"/>
      <c r="B594" s="8"/>
      <c r="C594" s="8"/>
      <c r="D594" s="8"/>
      <c r="E594" s="8"/>
      <c r="F594" s="73" t="s">
        <v>25</v>
      </c>
      <c r="G594" s="73" t="s">
        <v>907</v>
      </c>
      <c r="H594" s="73" t="s">
        <v>1052</v>
      </c>
      <c r="I594" s="73" t="s">
        <v>26</v>
      </c>
      <c r="J594" s="84" t="s">
        <v>18</v>
      </c>
      <c r="K594" s="84" t="s">
        <v>1291</v>
      </c>
      <c r="L594" s="84" t="s">
        <v>1240</v>
      </c>
      <c r="M594" s="84" t="s">
        <v>612</v>
      </c>
      <c r="N594" s="84"/>
      <c r="O594" s="131">
        <f>COUNTIF(S594:AT594,"")</f>
        <v>28</v>
      </c>
      <c r="P594" s="136" t="s">
        <v>1650</v>
      </c>
      <c r="Q594" s="131">
        <f>COUNTIF(S594:AT594,"APAGADO")</f>
        <v>0</v>
      </c>
      <c r="R594" s="132">
        <f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8" s="73" customFormat="1" ht="15.75" thickBot="1" x14ac:dyDescent="0.3">
      <c r="A595" s="8"/>
      <c r="B595" s="8"/>
      <c r="C595" s="8"/>
      <c r="D595" s="8"/>
      <c r="E595" s="8"/>
      <c r="F595" s="73" t="s">
        <v>25</v>
      </c>
      <c r="G595" s="73" t="s">
        <v>906</v>
      </c>
      <c r="H595" s="73" t="s">
        <v>1052</v>
      </c>
      <c r="I595" s="73" t="s">
        <v>33</v>
      </c>
      <c r="J595" s="84" t="s">
        <v>18</v>
      </c>
      <c r="K595" s="84" t="s">
        <v>1291</v>
      </c>
      <c r="L595" s="84"/>
      <c r="M595" s="84" t="s">
        <v>610</v>
      </c>
      <c r="N595" s="84"/>
      <c r="O595" s="131">
        <f>COUNTIF(S595:AT595,"")</f>
        <v>28</v>
      </c>
      <c r="P595" s="136" t="s">
        <v>1648</v>
      </c>
      <c r="Q595" s="131">
        <f>COUNTIF(S595:AT595,"APAGADO")</f>
        <v>0</v>
      </c>
      <c r="R595" s="132">
        <f>(O595)/(Q595+O595)</f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customHeight="1" thickBot="1" x14ac:dyDescent="0.3">
      <c r="F596" s="73" t="s">
        <v>25</v>
      </c>
      <c r="G596" s="73" t="s">
        <v>905</v>
      </c>
      <c r="H596" s="73" t="s">
        <v>1052</v>
      </c>
      <c r="I596" s="73" t="s">
        <v>32</v>
      </c>
      <c r="J596" s="84" t="s">
        <v>18</v>
      </c>
      <c r="K596" s="84" t="s">
        <v>1291</v>
      </c>
      <c r="L596" s="84"/>
      <c r="M596" s="84" t="s">
        <v>609</v>
      </c>
      <c r="N596" s="84"/>
      <c r="O596" s="131">
        <f>COUNTIF(S596:AT596,"")</f>
        <v>28</v>
      </c>
      <c r="P596" s="136" t="s">
        <v>1647</v>
      </c>
      <c r="Q596" s="131">
        <f>COUNTIF(S596:AT596,"APAGADO")</f>
        <v>0</v>
      </c>
      <c r="R596" s="132">
        <f>(O596)/(Q596+O596)</f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8" x14ac:dyDescent="0.25">
      <c r="P598" s="136"/>
    </row>
    <row r="599" spans="1:48" x14ac:dyDescent="0.25">
      <c r="P599" s="136"/>
    </row>
    <row r="600" spans="1:48" x14ac:dyDescent="0.25">
      <c r="P600" s="136"/>
    </row>
    <row r="601" spans="1:48" x14ac:dyDescent="0.25">
      <c r="P601" s="136"/>
    </row>
    <row r="602" spans="1:48" x14ac:dyDescent="0.25">
      <c r="P602" s="136"/>
      <c r="S602"/>
    </row>
    <row r="603" spans="1:48" x14ac:dyDescent="0.25">
      <c r="P603" s="136"/>
    </row>
    <row r="604" spans="1:48" x14ac:dyDescent="0.25">
      <c r="P604" s="136"/>
    </row>
    <row r="605" spans="1:48" x14ac:dyDescent="0.25">
      <c r="P605" s="136"/>
    </row>
    <row r="606" spans="1:48" x14ac:dyDescent="0.25">
      <c r="P606" s="136"/>
    </row>
    <row r="607" spans="1:48" x14ac:dyDescent="0.25">
      <c r="P607" s="136"/>
    </row>
    <row r="608" spans="1:48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F669:AT674">
    <sortCondition ref="G669:G674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66" priority="1579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65" priority="1578" operator="equal">
      <formula>$H$300</formula>
    </cfRule>
  </conditionalFormatting>
  <conditionalFormatting sqref="H1:H597 I20:I21 I164:I165 I224:I225 I260 I284:I287 I297:I299 I403:I407 I419:I421 I424:I425 H679:H1048576">
    <cfRule type="cellIs" dxfId="164" priority="1124" operator="equal">
      <formula>"IPCOMS"</formula>
    </cfRule>
  </conditionalFormatting>
  <conditionalFormatting sqref="J1:J568 J583:J597 J679:J1048576">
    <cfRule type="containsText" dxfId="163" priority="1585" operator="containsText" text="domo">
      <formula>NOT(ISERROR(SEARCH("domo",J1)))</formula>
    </cfRule>
    <cfRule type="containsText" dxfId="162" priority="1584" operator="containsText" text="fija">
      <formula>NOT(ISERROR(SEARCH("fija",J1)))</formula>
    </cfRule>
  </conditionalFormatting>
  <conditionalFormatting sqref="J1:J597 J679:J1048576">
    <cfRule type="cellIs" dxfId="161" priority="1580" operator="equal">
      <formula>$J$10</formula>
    </cfRule>
  </conditionalFormatting>
  <conditionalFormatting sqref="J34:J35 J162:N232 J236:N401">
    <cfRule type="containsText" dxfId="160" priority="1052" operator="containsText" text="Radio">
      <formula>NOT(ISERROR(SEARCH("Radio",J34)))</formula>
    </cfRule>
  </conditionalFormatting>
  <conditionalFormatting sqref="J135:J148 L148:N148">
    <cfRule type="containsText" dxfId="159" priority="1066" operator="containsText" text="Radio">
      <formula>NOT(ISERROR(SEARCH("Radio",J135)))</formula>
    </cfRule>
  </conditionalFormatting>
  <conditionalFormatting sqref="J403:J407">
    <cfRule type="containsText" dxfId="158" priority="1085" operator="containsText" text="Radio">
      <formula>NOT(ISERROR(SEARCH("Radio",J403)))</formula>
    </cfRule>
  </conditionalFormatting>
  <conditionalFormatting sqref="J570">
    <cfRule type="containsText" dxfId="157" priority="1527" operator="containsText" text="Radio">
      <formula>NOT(ISERROR(SEARCH("Radio",J570)))</formula>
    </cfRule>
    <cfRule type="containsText" dxfId="156" priority="1526" operator="containsText" text="domo">
      <formula>NOT(ISERROR(SEARCH("domo",J570)))</formula>
    </cfRule>
    <cfRule type="containsText" dxfId="155" priority="1525" operator="containsText" text="fija">
      <formula>NOT(ISERROR(SEARCH("fija",J570)))</formula>
    </cfRule>
  </conditionalFormatting>
  <conditionalFormatting sqref="J570:J571">
    <cfRule type="containsText" dxfId="154" priority="1521" operator="containsText" text="domo">
      <formula>NOT(ISERROR(SEARCH("domo",J570)))</formula>
    </cfRule>
    <cfRule type="containsText" dxfId="153" priority="1520" operator="containsText" text="fija">
      <formula>NOT(ISERROR(SEARCH("fija",J570)))</formula>
    </cfRule>
  </conditionalFormatting>
  <conditionalFormatting sqref="J571">
    <cfRule type="containsText" dxfId="152" priority="1519" operator="containsText" text="domo">
      <formula>NOT(ISERROR(SEARCH("domo",J571)))</formula>
    </cfRule>
    <cfRule type="containsText" dxfId="151" priority="1518" operator="containsText" text="fija">
      <formula>NOT(ISERROR(SEARCH("fija",J571)))</formula>
    </cfRule>
    <cfRule type="containsText" dxfId="150" priority="1522" operator="containsText" text="Radio">
      <formula>NOT(ISERROR(SEARCH("Radio",J571)))</formula>
    </cfRule>
  </conditionalFormatting>
  <conditionalFormatting sqref="J574">
    <cfRule type="containsText" dxfId="149" priority="1515" operator="containsText" text="fija">
      <formula>NOT(ISERROR(SEARCH("fija",J574)))</formula>
    </cfRule>
    <cfRule type="containsText" dxfId="148" priority="1516" operator="containsText" text="domo">
      <formula>NOT(ISERROR(SEARCH("domo",J574)))</formula>
    </cfRule>
    <cfRule type="containsText" dxfId="147" priority="1517" operator="containsText" text="Radio">
      <formula>NOT(ISERROR(SEARCH("Radio",J574)))</formula>
    </cfRule>
  </conditionalFormatting>
  <conditionalFormatting sqref="J574:J575">
    <cfRule type="containsText" dxfId="146" priority="1510" operator="containsText" text="fija">
      <formula>NOT(ISERROR(SEARCH("fija",J574)))</formula>
    </cfRule>
    <cfRule type="containsText" dxfId="145" priority="1511" operator="containsText" text="domo">
      <formula>NOT(ISERROR(SEARCH("domo",J574)))</formula>
    </cfRule>
  </conditionalFormatting>
  <conditionalFormatting sqref="J575 J48:N134 K135:K136 J234:K235 J402:K402 K403:K407 J408:N423 J424:K425 J426:N568 J583:N597 J679:N1048576 M402:N402 L402:L407">
    <cfRule type="containsText" dxfId="144" priority="1512" operator="containsText" text="Radio">
      <formula>NOT(ISERROR(SEARCH("Radio",J48)))</formula>
    </cfRule>
  </conditionalFormatting>
  <conditionalFormatting sqref="J575:J576">
    <cfRule type="containsText" dxfId="143" priority="1505" operator="containsText" text="fija">
      <formula>NOT(ISERROR(SEARCH("fija",J575)))</formula>
    </cfRule>
    <cfRule type="containsText" dxfId="142" priority="1506" operator="containsText" text="domo">
      <formula>NOT(ISERROR(SEARCH("domo",J575)))</formula>
    </cfRule>
  </conditionalFormatting>
  <conditionalFormatting sqref="J576">
    <cfRule type="containsText" dxfId="141" priority="1507" operator="containsText" text="Radio">
      <formula>NOT(ISERROR(SEARCH("Radio",J576)))</formula>
    </cfRule>
  </conditionalFormatting>
  <conditionalFormatting sqref="J576:J577">
    <cfRule type="containsText" dxfId="140" priority="1501" operator="containsText" text="domo">
      <formula>NOT(ISERROR(SEARCH("domo",J576)))</formula>
    </cfRule>
    <cfRule type="containsText" dxfId="139" priority="1500" operator="containsText" text="fija">
      <formula>NOT(ISERROR(SEARCH("fija",J576)))</formula>
    </cfRule>
  </conditionalFormatting>
  <conditionalFormatting sqref="J577">
    <cfRule type="containsText" dxfId="138" priority="1502" operator="containsText" text="Radio">
      <formula>NOT(ISERROR(SEARCH("Radio",J577)))</formula>
    </cfRule>
    <cfRule type="containsText" dxfId="137" priority="1498" operator="containsText" text="fija">
      <formula>NOT(ISERROR(SEARCH("fija",J577)))</formula>
    </cfRule>
    <cfRule type="containsText" dxfId="136" priority="1499" operator="containsText" text="domo">
      <formula>NOT(ISERROR(SEARCH("domo",J577)))</formula>
    </cfRule>
  </conditionalFormatting>
  <conditionalFormatting sqref="J581">
    <cfRule type="containsText" dxfId="135" priority="1796" operator="containsText" text="fija">
      <formula>NOT(ISERROR(SEARCH("fija",J581)))</formula>
    </cfRule>
    <cfRule type="containsText" dxfId="134" priority="1797" operator="containsText" text="domo">
      <formula>NOT(ISERROR(SEARCH("domo",J581)))</formula>
    </cfRule>
  </conditionalFormatting>
  <conditionalFormatting sqref="J584:J587">
    <cfRule type="containsText" dxfId="133" priority="1529" operator="containsText" text="domo">
      <formula>NOT(ISERROR(SEARCH("domo",J584)))</formula>
    </cfRule>
    <cfRule type="containsText" dxfId="132" priority="1528" operator="containsText" text="fija">
      <formula>NOT(ISERROR(SEARCH("fija",J584)))</formula>
    </cfRule>
  </conditionalFormatting>
  <conditionalFormatting sqref="J233:K233">
    <cfRule type="containsText" dxfId="131" priority="1087" operator="containsText" text="Radio">
      <formula>NOT(ISERROR(SEARCH("Radio",J233)))</formula>
    </cfRule>
  </conditionalFormatting>
  <conditionalFormatting sqref="J37:L47">
    <cfRule type="containsText" dxfId="130" priority="1057" operator="containsText" text="Radio">
      <formula>NOT(ISERROR(SEARCH("Radio",J37)))</formula>
    </cfRule>
  </conditionalFormatting>
  <conditionalFormatting sqref="J1:N36">
    <cfRule type="containsText" dxfId="129" priority="1122" operator="containsText" text="Radio">
      <formula>NOT(ISERROR(SEARCH("Radio",J1)))</formula>
    </cfRule>
  </conditionalFormatting>
  <conditionalFormatting sqref="J149:N161">
    <cfRule type="containsText" dxfId="128" priority="1060" operator="containsText" text="Radio">
      <formula>NOT(ISERROR(SEARCH("Radio",J149)))</formula>
    </cfRule>
  </conditionalFormatting>
  <conditionalFormatting sqref="J581:N581 K582">
    <cfRule type="containsText" dxfId="127" priority="2053" operator="containsText" text="Radio">
      <formula>NOT(ISERROR(SEARCH("Radio",J581)))</formula>
    </cfRule>
  </conditionalFormatting>
  <conditionalFormatting sqref="K1:K136 K162:K597 K679:K1048576">
    <cfRule type="cellIs" dxfId="126" priority="1126" operator="equal">
      <formula>"GPON"</formula>
    </cfRule>
    <cfRule type="cellIs" dxfId="125" priority="1125" operator="equal">
      <formula>"GPON"</formula>
    </cfRule>
  </conditionalFormatting>
  <conditionalFormatting sqref="K139">
    <cfRule type="cellIs" dxfId="124" priority="1117" operator="equal">
      <formula>"PTP A FO"</formula>
    </cfRule>
    <cfRule type="cellIs" dxfId="123" priority="1118" operator="equal">
      <formula>"PTP A FO"</formula>
    </cfRule>
    <cfRule type="cellIs" dxfId="122" priority="1116" operator="equal">
      <formula>$K$13</formula>
    </cfRule>
    <cfRule type="cellIs" dxfId="121" priority="1114" operator="equal">
      <formula>"GPON"</formula>
    </cfRule>
    <cfRule type="containsText" dxfId="120" priority="1115" operator="containsText" text="Radio">
      <formula>NOT(ISERROR(SEARCH("Radio",K139)))</formula>
    </cfRule>
    <cfRule type="cellIs" dxfId="119" priority="1113" operator="equal">
      <formula>"GPON"</formula>
    </cfRule>
  </conditionalFormatting>
  <conditionalFormatting sqref="K142:K149">
    <cfRule type="cellIs" dxfId="118" priority="1092" operator="equal">
      <formula>"PTP A FO"</formula>
    </cfRule>
    <cfRule type="cellIs" dxfId="117" priority="1093" operator="equal">
      <formula>"PTP A FO"</formula>
    </cfRule>
    <cfRule type="cellIs" dxfId="116" priority="1091" operator="equal">
      <formula>$K$13</formula>
    </cfRule>
    <cfRule type="containsText" dxfId="115" priority="1090" operator="containsText" text="Radio">
      <formula>NOT(ISERROR(SEARCH("Radio",K142)))</formula>
    </cfRule>
  </conditionalFormatting>
  <conditionalFormatting sqref="K142:K161">
    <cfRule type="cellIs" dxfId="114" priority="1058" operator="equal">
      <formula>"GPON"</formula>
    </cfRule>
    <cfRule type="cellIs" dxfId="113" priority="1059" operator="equal">
      <formula>"GPON"</formula>
    </cfRule>
  </conditionalFormatting>
  <conditionalFormatting sqref="K146:K147">
    <cfRule type="cellIs" dxfId="112" priority="1055" operator="equal">
      <formula>"PTP A FO"</formula>
    </cfRule>
    <cfRule type="cellIs" dxfId="111" priority="1054" operator="equal">
      <formula>$K$13</formula>
    </cfRule>
    <cfRule type="cellIs" dxfId="110" priority="1056" operator="equal">
      <formula>"PTP A FO"</formula>
    </cfRule>
    <cfRule type="containsText" dxfId="109" priority="1053" operator="containsText" text="Radio">
      <formula>NOT(ISERROR(SEARCH("Radio",K146)))</formula>
    </cfRule>
  </conditionalFormatting>
  <conditionalFormatting sqref="K233:K235">
    <cfRule type="cellIs" dxfId="108" priority="1106" operator="equal">
      <formula>"PTP A FO"</formula>
    </cfRule>
    <cfRule type="cellIs" dxfId="107" priority="1105" operator="equal">
      <formula>"PTP A FO"</formula>
    </cfRule>
    <cfRule type="cellIs" dxfId="106" priority="1104" operator="equal">
      <formula>$K$13</formula>
    </cfRule>
  </conditionalFormatting>
  <conditionalFormatting sqref="K234:K235">
    <cfRule type="cellIs" dxfId="105" priority="1101" operator="equal">
      <formula>"PTP A FO"</formula>
    </cfRule>
    <cfRule type="cellIs" dxfId="104" priority="1102" operator="equal">
      <formula>"PTP A FO"</formula>
    </cfRule>
    <cfRule type="cellIs" dxfId="103" priority="1100" operator="equal">
      <formula>$K$13</formula>
    </cfRule>
  </conditionalFormatting>
  <conditionalFormatting sqref="K424:K425">
    <cfRule type="cellIs" dxfId="102" priority="1112" operator="equal">
      <formula>"PTP A FO"</formula>
    </cfRule>
    <cfRule type="cellIs" dxfId="101" priority="1111" operator="equal">
      <formula>"PTP A FO"</formula>
    </cfRule>
    <cfRule type="cellIs" dxfId="100" priority="1110" operator="equal">
      <formula>$K$13</formula>
    </cfRule>
    <cfRule type="containsText" dxfId="99" priority="1109" operator="containsText" text="Radio">
      <formula>NOT(ISERROR(SEARCH("Radio",K424)))</formula>
    </cfRule>
  </conditionalFormatting>
  <conditionalFormatting sqref="K569">
    <cfRule type="containsText" dxfId="98" priority="1175" operator="containsText" text="Radio">
      <formula>NOT(ISERROR(SEARCH("Radio",K569)))</formula>
    </cfRule>
    <cfRule type="cellIs" dxfId="97" priority="1176" operator="equal">
      <formula>"PTP A FO"</formula>
    </cfRule>
  </conditionalFormatting>
  <conditionalFormatting sqref="K1:L134 K135:K136 K162:L232 K236:L423 K424:K425 K426:L568 K581:L581 K582 K583:L597 K679:L1048576">
    <cfRule type="cellIs" dxfId="96" priority="1777" operator="equal">
      <formula>"PTP A FO"</formula>
    </cfRule>
  </conditionalFormatting>
  <conditionalFormatting sqref="K1:L134 K135:K136 K162:L232 K236:L423 K424:K425 K426:L597 K679:L1048576">
    <cfRule type="cellIs" dxfId="95" priority="1582" operator="equal">
      <formula>"PTP A FO"</formula>
    </cfRule>
  </conditionalFormatting>
  <conditionalFormatting sqref="K1:L134 K135:K136 K236:L423 K424:K425 K426:L597 K679:L1048576 K162:L232">
    <cfRule type="cellIs" dxfId="94" priority="1581" operator="equal">
      <formula>$K$13</formula>
    </cfRule>
  </conditionalFormatting>
  <conditionalFormatting sqref="K149:L161">
    <cfRule type="cellIs" dxfId="93" priority="1063" operator="equal">
      <formula>"PTP A FO"</formula>
    </cfRule>
    <cfRule type="cellIs" dxfId="92" priority="1062" operator="equal">
      <formula>"PTP A FO"</formula>
    </cfRule>
    <cfRule type="cellIs" dxfId="91" priority="1061" operator="equal">
      <formula>$K$13</formula>
    </cfRule>
  </conditionalFormatting>
  <conditionalFormatting sqref="L148">
    <cfRule type="cellIs" dxfId="90" priority="1068" operator="equal">
      <formula>"PTP A FO"</formula>
    </cfRule>
    <cfRule type="cellIs" dxfId="89" priority="1067" operator="equal">
      <formula>$K$13</formula>
    </cfRule>
    <cfRule type="cellIs" dxfId="88" priority="1069" operator="equal">
      <formula>"PTP A FO"</formula>
    </cfRule>
  </conditionalFormatting>
  <conditionalFormatting sqref="R7:R597">
    <cfRule type="cellIs" dxfId="87" priority="2012" operator="lessThan">
      <formula>0.8</formula>
    </cfRule>
    <cfRule type="cellIs" dxfId="86" priority="2013" operator="greaterThan">
      <formula>0.8</formula>
    </cfRule>
  </conditionalFormatting>
  <conditionalFormatting sqref="S37:AJ37 S95:AM95 AO95:AT95 S96:AT120 S121:AA121 AF233:AF235 S328:AA328 AC328:AT328 S352:AH352 AJ352:AT352 T403:U403 S403:S408 T404:T407 U404:U408 S408:T408 V408:AG408 AI408:AK408 AQ408:AR408 S409:AV413 S414:AG416 U417:AG417 S417:T425 U418:AV423 AO679:AV1048576">
    <cfRule type="cellIs" dxfId="85" priority="1158" operator="equal">
      <formula>"APAGADO"</formula>
    </cfRule>
  </conditionalFormatting>
  <conditionalFormatting sqref="S38:AK38">
    <cfRule type="cellIs" dxfId="84" priority="935" operator="equal">
      <formula>"APAGADO"</formula>
    </cfRule>
  </conditionalFormatting>
  <conditionalFormatting sqref="S39:AT94">
    <cfRule type="cellIs" dxfId="83" priority="263" operator="equal">
      <formula>"APAGADO"</formula>
    </cfRule>
  </conditionalFormatting>
  <conditionalFormatting sqref="S236:AT327">
    <cfRule type="cellIs" dxfId="82" priority="160" operator="equal">
      <formula>"APAGADO"</formula>
    </cfRule>
  </conditionalFormatting>
  <conditionalFormatting sqref="S329:AT351">
    <cfRule type="cellIs" dxfId="81" priority="223" operator="equal">
      <formula>"APAGADO"</formula>
    </cfRule>
  </conditionalFormatting>
  <conditionalFormatting sqref="S353:AT402">
    <cfRule type="cellIs" dxfId="80" priority="211" operator="equal">
      <formula>"APAGADO"</formula>
    </cfRule>
  </conditionalFormatting>
  <conditionalFormatting sqref="S8:AV36">
    <cfRule type="cellIs" dxfId="79" priority="157" operator="equal">
      <formula>"APAGADO"</formula>
    </cfRule>
  </conditionalFormatting>
  <conditionalFormatting sqref="S122:AV232">
    <cfRule type="cellIs" dxfId="78" priority="42" operator="equal">
      <formula>"APAGADO"</formula>
    </cfRule>
  </conditionalFormatting>
  <conditionalFormatting sqref="S426:AV597">
    <cfRule type="cellIs" dxfId="77" priority="10" operator="equal">
      <formula>"APAGADO"</formula>
    </cfRule>
  </conditionalFormatting>
  <conditionalFormatting sqref="S679:AV755 AC679:AN1048576">
    <cfRule type="cellIs" dxfId="76" priority="1159" operator="equal">
      <formula>"apagado"</formula>
    </cfRule>
  </conditionalFormatting>
  <conditionalFormatting sqref="S679:AV1048576">
    <cfRule type="containsText" dxfId="75" priority="1709" operator="containsText" text="Caida">
      <formula>NOT(ISERROR(SEARCH("Caida",S679)))</formula>
    </cfRule>
    <cfRule type="notContainsText" dxfId="74" priority="2042" operator="notContains" text="Caida">
      <formula>ISERROR(SEARCH("Caida",S679))</formula>
    </cfRule>
  </conditionalFormatting>
  <conditionalFormatting sqref="U679:U1198">
    <cfRule type="cellIs" dxfId="73" priority="1340" operator="lessThan">
      <formula>0.8</formula>
    </cfRule>
    <cfRule type="cellIs" dxfId="72" priority="1341" operator="greaterThan">
      <formula>0.8</formula>
    </cfRule>
    <cfRule type="cellIs" dxfId="71" priority="1468" operator="equal">
      <formula>"APAGADO"</formula>
    </cfRule>
    <cfRule type="cellIs" dxfId="70" priority="1364" operator="greaterThan">
      <formula>0.8</formula>
    </cfRule>
    <cfRule type="notContainsText" dxfId="69" priority="1338" operator="notContains" text="Caida">
      <formula>ISERROR(SEARCH("Caida",U679))</formula>
    </cfRule>
    <cfRule type="containsText" dxfId="68" priority="1339" operator="containsText" text="Caida">
      <formula>NOT(ISERROR(SEARCH("Caida",U679)))</formula>
    </cfRule>
  </conditionalFormatting>
  <conditionalFormatting sqref="U679:U1048576">
    <cfRule type="cellIs" dxfId="67" priority="1358" operator="equal">
      <formula>$U$16</formula>
    </cfRule>
  </conditionalFormatting>
  <conditionalFormatting sqref="X406:Z407">
    <cfRule type="cellIs" dxfId="66" priority="1041" operator="equal">
      <formula>"APAGADO"</formula>
    </cfRule>
  </conditionalFormatting>
  <conditionalFormatting sqref="AC121:AV121">
    <cfRule type="cellIs" dxfId="65" priority="71" operator="equal">
      <formula>"APAGADO"</formula>
    </cfRule>
  </conditionalFormatting>
  <conditionalFormatting sqref="AD406">
    <cfRule type="cellIs" dxfId="64" priority="1051" operator="equal">
      <formula>"APAGADO"</formula>
    </cfRule>
  </conditionalFormatting>
  <conditionalFormatting sqref="AE406:AG407">
    <cfRule type="cellIs" dxfId="63" priority="1035" operator="equal">
      <formula>"APAGADO"</formula>
    </cfRule>
  </conditionalFormatting>
  <conditionalFormatting sqref="AH406:AH408">
    <cfRule type="cellIs" dxfId="62" priority="1012" operator="equal">
      <formula>"APAGADO"</formula>
    </cfRule>
  </conditionalFormatting>
  <conditionalFormatting sqref="AH234:AI234">
    <cfRule type="cellIs" dxfId="61" priority="940" operator="equal">
      <formula>"APAGADO"</formula>
    </cfRule>
  </conditionalFormatting>
  <conditionalFormatting sqref="AH414:AV417">
    <cfRule type="cellIs" dxfId="60" priority="16" operator="equal">
      <formula>"APAGADO"</formula>
    </cfRule>
  </conditionalFormatting>
  <conditionalFormatting sqref="AI406:AI407">
    <cfRule type="cellIs" dxfId="59" priority="904" operator="equal">
      <formula>"APAGADO"</formula>
    </cfRule>
  </conditionalFormatting>
  <conditionalFormatting sqref="AL234:AP234">
    <cfRule type="cellIs" dxfId="58" priority="481" operator="equal">
      <formula>"APAGADO"</formula>
    </cfRule>
  </conditionalFormatting>
  <conditionalFormatting sqref="AL406:AP408">
    <cfRule type="cellIs" dxfId="57" priority="462" operator="equal">
      <formula>"APAGADO"</formula>
    </cfRule>
  </conditionalFormatting>
  <conditionalFormatting sqref="AL37:AV38">
    <cfRule type="cellIs" dxfId="56" priority="78" operator="equal">
      <formula>"APAGADO"</formula>
    </cfRule>
  </conditionalFormatting>
  <conditionalFormatting sqref="AR234:AV234">
    <cfRule type="cellIs" dxfId="55" priority="52" operator="equal">
      <formula>"APAGADO"</formula>
    </cfRule>
  </conditionalFormatting>
  <conditionalFormatting sqref="AS407:AS408">
    <cfRule type="cellIs" dxfId="54" priority="324" operator="equal">
      <formula>"APAGADO"</formula>
    </cfRule>
  </conditionalFormatting>
  <conditionalFormatting sqref="AT408:AU408">
    <cfRule type="cellIs" dxfId="53" priority="210" operator="equal">
      <formula>"APAGADO"</formula>
    </cfRule>
  </conditionalFormatting>
  <conditionalFormatting sqref="AU39:AV120">
    <cfRule type="cellIs" dxfId="52" priority="72" operator="equal">
      <formula>"APAGADO"</formula>
    </cfRule>
  </conditionalFormatting>
  <conditionalFormatting sqref="AU236:AV402">
    <cfRule type="cellIs" dxfId="51" priority="1" operator="equal">
      <formula>"APAGADO"</formula>
    </cfRule>
  </conditionalFormatting>
  <conditionalFormatting sqref="AV406:AV408">
    <cfRule type="cellIs" dxfId="50" priority="20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ZEBALLOS</v>
      </c>
      <c r="B5" t="str">
        <f>'RESUMEN TOTAL'!G8</f>
        <v>ZEB04</v>
      </c>
      <c r="C5" t="str">
        <f>'RESUMEN TOTAL'!I8</f>
        <v>THEVENET Y DIAGONAL GRANADEROS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9 DE JULIO</v>
      </c>
      <c r="B6" t="str">
        <f>'RESUMEN TOTAL'!G9</f>
        <v>ZEB03</v>
      </c>
      <c r="C6" t="str">
        <f>'RESUMEN TOTAL'!I9</f>
        <v>Quinquela Martin y Pte. Peron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ZEBALLOS</v>
      </c>
      <c r="B7" t="str">
        <f>'RESUMEN TOTAL'!G10</f>
        <v>ZEB02</v>
      </c>
      <c r="C7" t="str">
        <f>'RESUMEN TOTAL'!I10</f>
        <v>Quinquela Martin y Sgo. del Estero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ZEBALLOS</v>
      </c>
      <c r="B8" t="str">
        <f>'RESUMEN TOTAL'!G11</f>
        <v>ZEB 10</v>
      </c>
      <c r="C8" t="str">
        <f>'RESUMEN TOTAL'!I11</f>
        <v>Sallares y Jujuy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ZEBALLOS</v>
      </c>
      <c r="B9" t="str">
        <f>'RESUMEN TOTAL'!G12</f>
        <v xml:space="preserve">ZEB 09 </v>
      </c>
      <c r="C9" t="str">
        <f>'RESUMEN TOTAL'!I12</f>
        <v>Tte.Gral Peron y Salta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ZEBALLOS</v>
      </c>
      <c r="B10" t="str">
        <f>'RESUMEN TOTAL'!G13</f>
        <v>ZEB 08 (Fija 2)</v>
      </c>
      <c r="C10" t="str">
        <f>'RESUMEN TOTAL'!I13</f>
        <v>Quinquela Martin y 861</v>
      </c>
      <c r="D10" s="30" t="str">
        <f>'RESUMEN TOTAL'!J13</f>
        <v>Fija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ZEBALLOS</v>
      </c>
      <c r="B11" t="str">
        <f>'RESUMEN TOTAL'!G14</f>
        <v>ZEB 07 (Fija 1)</v>
      </c>
      <c r="C11" t="str">
        <f>'RESUMEN TOTAL'!I14</f>
        <v xml:space="preserve">Quinquela Martn y 861 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ZEBALLOS</v>
      </c>
      <c r="B12" t="str">
        <f>'RESUMEN TOTAL'!G15</f>
        <v>ZEB 06</v>
      </c>
      <c r="C12" t="str">
        <f>'RESUMEN TOTAL'!I15</f>
        <v>Peron e/Ituzaingo y Buenos Aires</v>
      </c>
      <c r="D12" s="30" t="str">
        <f>'RESUMEN TOTAL'!J15</f>
        <v>FIJA</v>
      </c>
      <c r="E12" s="30" t="str">
        <f>'RESUMEN TOTAL'!K15</f>
        <v>GPON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ZEBALLOS</v>
      </c>
      <c r="B13" t="str">
        <f>'RESUMEN TOTAL'!G16</f>
        <v>ZEB 05</v>
      </c>
      <c r="C13" t="str">
        <f>'RESUMEN TOTAL'!I16</f>
        <v>DIAG. GRANADEROS Y 214 BIS</v>
      </c>
      <c r="D13" s="30" t="str">
        <f>'RESUMEN TOTAL'!J16</f>
        <v>Domo</v>
      </c>
      <c r="E13" s="30" t="str">
        <f>'RESUMEN TOTAL'!K16</f>
        <v>GPON</v>
      </c>
      <c r="F13" s="70" t="str">
        <f>'RESUMEN TOTAL'!S16</f>
        <v>APAGADO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 t="str">
        <f>'RESUMEN TOTAL'!X16</f>
        <v>APAGADO</v>
      </c>
      <c r="L13" s="70" t="str">
        <f>'RESUMEN TOTAL'!Y16</f>
        <v>APAGADO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 t="str">
        <f>'RESUMEN TOTAL'!AE16</f>
        <v>APAGADO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 t="str">
        <f>'RESUMEN TOTAL'!AP16</f>
        <v>APAGADO</v>
      </c>
      <c r="AD13" s="70">
        <f>'RESUMEN TOTAL'!AQ16</f>
        <v>0</v>
      </c>
      <c r="AE13" s="70">
        <f>'RESUMEN TOTAL'!AR16</f>
        <v>0</v>
      </c>
      <c r="AF13" s="70" t="str">
        <f>'RESUMEN TOTAL'!AS16</f>
        <v>APAGADO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VILLA SUSANA</v>
      </c>
      <c r="B14" t="str">
        <f>'RESUMEN TOTAL'!G17</f>
        <v>VSU01</v>
      </c>
      <c r="C14" t="str">
        <f>'RESUMEN TOTAL'!I17</f>
        <v>CJAL. JUAN BROWN Y SANTA FE</v>
      </c>
      <c r="D14" s="30" t="str">
        <f>'RESUMEN TOTAL'!J17</f>
        <v>DOMO</v>
      </c>
      <c r="E14" s="30" t="str">
        <f>'RESUMEN TOTAL'!K17</f>
        <v>Radio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VILLA SUSANA</v>
      </c>
      <c r="B15" t="str">
        <f>'RESUMEN TOTAL'!G18</f>
        <v>VSU 06</v>
      </c>
      <c r="C15" s="68" t="s">
        <v>1512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VILLA SUSANA</v>
      </c>
      <c r="B16" t="str">
        <f>'RESUMEN TOTAL'!G19</f>
        <v>VSU 05</v>
      </c>
      <c r="C16" t="str">
        <f>'RESUMEN TOTAL'!I19</f>
        <v>Aniceto Diaz y Cordoba</v>
      </c>
      <c r="D16" s="30" t="str">
        <f>'RESUMEN TOTAL'!J19</f>
        <v>fija</v>
      </c>
      <c r="E16" s="30" t="str">
        <f>'RESUMEN TOTAL'!K19</f>
        <v>Fibra Optica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 t="str">
        <f>'RESUMEN TOTAL'!AI19</f>
        <v>APAGADO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VILLA SUSANA</v>
      </c>
      <c r="B17" t="str">
        <f>'RESUMEN TOTAL'!G22</f>
        <v>VSU 02</v>
      </c>
      <c r="C17" t="str">
        <f>'RESUMEN TOTAL'!I22</f>
        <v>CABELLO Y SANTA FE</v>
      </c>
      <c r="D17" s="30" t="str">
        <f>'RESUMEN TOTAL'!J22</f>
        <v>DOMO</v>
      </c>
      <c r="E17" s="30" t="str">
        <f>'RESUMEN TOTAL'!K22</f>
        <v>Radio</v>
      </c>
      <c r="F17" s="70" t="str">
        <f>'RESUMEN TOTAL'!S22</f>
        <v>APAGADO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VILLA SAN LUIS</v>
      </c>
      <c r="B18" t="str">
        <f>'RESUMEN TOTAL'!G23</f>
        <v>VSL 03</v>
      </c>
      <c r="C18" t="str">
        <f>'RESUMEN TOTAL'!I23</f>
        <v>1314 y 1371</v>
      </c>
      <c r="D18" s="30" t="str">
        <f>'RESUMEN TOTAL'!J23</f>
        <v>DOMO</v>
      </c>
      <c r="E18" s="30" t="str">
        <f>'RESUMEN TOTAL'!K23</f>
        <v>GPON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VILLA SAN LUIS</v>
      </c>
      <c r="B19" t="str">
        <f>'RESUMEN TOTAL'!G24</f>
        <v>VSL 02</v>
      </c>
      <c r="C19" t="str">
        <f>'RESUMEN TOTAL'!I24</f>
        <v>1355 Y 1314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VILLA SAN LUIS</v>
      </c>
      <c r="B20" t="str">
        <f>'RESUMEN TOTAL'!G25</f>
        <v>VSL 01</v>
      </c>
      <c r="C20" t="str">
        <f>'RESUMEN TOTAL'!I25</f>
        <v>AV. HUDSON Y CACHEUTA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VILLA MONICA VIEJA</v>
      </c>
      <c r="B21" t="str">
        <f>'RESUMEN TOTAL'!G26</f>
        <v>VMOV04 (fija 2)</v>
      </c>
      <c r="C21" t="str">
        <f>'RESUMEN TOTAL'!I26</f>
        <v>ROMA E/ HOLANDA Y CAFFERATA</v>
      </c>
      <c r="D21" s="30" t="str">
        <f>'RESUMEN TOTAL'!J26</f>
        <v>Fija</v>
      </c>
      <c r="E21" s="30" t="str">
        <f>'RESUMEN TOTAL'!K26</f>
        <v>Fibra Optica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 t="str">
        <f>'RESUMEN TOTAL'!AO26</f>
        <v>APAGADO</v>
      </c>
      <c r="AC21" s="70" t="str">
        <f>'RESUMEN TOTAL'!AP26</f>
        <v>APAGADO</v>
      </c>
      <c r="AD21" s="70">
        <f>'RESUMEN TOTAL'!AQ26</f>
        <v>0</v>
      </c>
      <c r="AE21" s="70">
        <f>'RESUMEN TOTAL'!AR26</f>
        <v>0</v>
      </c>
      <c r="AF21" s="70" t="str">
        <f>'RESUMEN TOTAL'!AS26</f>
        <v>APAGADO</v>
      </c>
      <c r="AG21" s="70" t="str">
        <f>'RESUMEN TOTAL'!AT26</f>
        <v>APAGADO</v>
      </c>
      <c r="AH21" s="70" t="str">
        <f>'RESUMEN TOTAL'!AU26</f>
        <v>APAGADO</v>
      </c>
      <c r="AI21" s="70" t="str">
        <f>'RESUMEN TOTAL'!AV26</f>
        <v>APAGADO</v>
      </c>
      <c r="AJ21" s="70" t="e">
        <f>'RESUMEN TOTAL'!#REF!</f>
        <v>#REF!</v>
      </c>
    </row>
    <row r="22" spans="1:36" x14ac:dyDescent="0.25">
      <c r="A22" t="str">
        <f>'RESUMEN TOTAL'!F27</f>
        <v>VILLA MONICA VIEJA</v>
      </c>
      <c r="B22" t="str">
        <f>'RESUMEN TOTAL'!G27</f>
        <v>VMOV01 (fija 1)</v>
      </c>
      <c r="C22" t="str">
        <f>'RESUMEN TOTAL'!I27</f>
        <v>ATENAS E/ CAFFERATA Y ALEMANIA</v>
      </c>
      <c r="D22" s="30" t="str">
        <f>'RESUMEN TOTAL'!J27</f>
        <v>Fija</v>
      </c>
      <c r="E22" s="30" t="str">
        <f>'RESUMEN TOTAL'!K27</f>
        <v>Fibra Optica</v>
      </c>
      <c r="F22" s="70" t="str">
        <f>'RESUMEN TOTAL'!S27</f>
        <v>APAGADO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 t="str">
        <f>'RESUMEN TOTAL'!AI27</f>
        <v>APAGADO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 t="str">
        <f>'RESUMEN TOTAL'!AO27</f>
        <v>APAGADO</v>
      </c>
      <c r="AC22" s="70" t="str">
        <f>'RESUMEN TOTAL'!AP27</f>
        <v>APAGADO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 t="str">
        <f>'RESUMEN TOTAL'!AT27</f>
        <v>APAGADO</v>
      </c>
      <c r="AH22" s="70" t="str">
        <f>'RESUMEN TOTAL'!AU27</f>
        <v>APAGADO</v>
      </c>
      <c r="AI22" s="70" t="str">
        <f>'RESUMEN TOTAL'!AV27</f>
        <v>APAGADO</v>
      </c>
      <c r="AJ22" s="70" t="e">
        <f>'RESUMEN TOTAL'!#REF!</f>
        <v>#REF!</v>
      </c>
    </row>
    <row r="23" spans="1:36" x14ac:dyDescent="0.25">
      <c r="A23" t="str">
        <f>'RESUMEN TOTAL'!F28</f>
        <v>VILLA MONICA VIEJA</v>
      </c>
      <c r="B23" t="str">
        <f>'RESUMEN TOTAL'!G28</f>
        <v>VMOV 03 (fija 1)</v>
      </c>
      <c r="C23" t="str">
        <f>'RESUMEN TOTAL'!I28</f>
        <v>ROMA E/ HOLANDA Y CAFFERATA</v>
      </c>
      <c r="D23" s="30" t="str">
        <f>'RESUMEN TOTAL'!J28</f>
        <v>Fija</v>
      </c>
      <c r="E23" s="30" t="str">
        <f>'RESUMEN TOTAL'!K28</f>
        <v>Fibra Optica</v>
      </c>
      <c r="F23" s="70" t="str">
        <f>'RESUMEN TOTAL'!S28</f>
        <v>APAGADO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 t="str">
        <f>'RESUMEN TOTAL'!AI28</f>
        <v>APAGADO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 t="str">
        <f>'RESUMEN TOTAL'!AO28</f>
        <v>APAGADO</v>
      </c>
      <c r="AC23" s="70" t="str">
        <f>'RESUMEN TOTAL'!AP28</f>
        <v>APAGADO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 t="str">
        <f>'RESUMEN TOTAL'!AT28</f>
        <v>APAGADO</v>
      </c>
      <c r="AH23" s="70" t="str">
        <f>'RESUMEN TOTAL'!AU28</f>
        <v>APAGADO</v>
      </c>
      <c r="AI23" s="70" t="str">
        <f>'RESUMEN TOTAL'!AV28</f>
        <v>APAGADO</v>
      </c>
      <c r="AJ23" s="70" t="e">
        <f>'RESUMEN TOTAL'!#REF!</f>
        <v>#REF!</v>
      </c>
    </row>
    <row r="24" spans="1:36" x14ac:dyDescent="0.25">
      <c r="A24" t="str">
        <f>'RESUMEN TOTAL'!F29</f>
        <v>VILLA MONICA VIEJA</v>
      </c>
      <c r="B24" t="str">
        <f>'RESUMEN TOTAL'!G29</f>
        <v>VMOV 02 (fija 2)</v>
      </c>
      <c r="C24" t="str">
        <f>'RESUMEN TOTAL'!I29</f>
        <v>ATENAS E/ CAFFERATA Y ALEMANIA</v>
      </c>
      <c r="D24" s="30" t="str">
        <f>'RESUMEN TOTAL'!J29</f>
        <v>Fija</v>
      </c>
      <c r="E24" s="30" t="str">
        <f>'RESUMEN TOTAL'!K29</f>
        <v>Fibra Optica</v>
      </c>
      <c r="F24" s="70" t="str">
        <f>'RESUMEN TOTAL'!S29</f>
        <v>APAGADO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 t="str">
        <f>'RESUMEN TOTAL'!AI29</f>
        <v>APAGADO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 t="str">
        <f>'RESUMEN TOTAL'!AO29</f>
        <v>APAGADO</v>
      </c>
      <c r="AC24" s="70" t="str">
        <f>'RESUMEN TOTAL'!AP29</f>
        <v>APAGADO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 t="str">
        <f>'RESUMEN TOTAL'!AT29</f>
        <v>APAGADO</v>
      </c>
      <c r="AH24" s="70" t="str">
        <f>'RESUMEN TOTAL'!AU29</f>
        <v>APAGADO</v>
      </c>
      <c r="AI24" s="70" t="str">
        <f>'RESUMEN TOTAL'!AV29</f>
        <v>APAGADO</v>
      </c>
      <c r="AJ24" s="70" t="e">
        <f>'RESUMEN TOTAL'!#REF!</f>
        <v>#REF!</v>
      </c>
    </row>
    <row r="25" spans="1:36" x14ac:dyDescent="0.25">
      <c r="A25" t="str">
        <f>'RESUMEN TOTAL'!F48</f>
        <v>VILLA DEL PLATA</v>
      </c>
      <c r="B25" t="str">
        <f>'RESUMEN TOTAL'!G48</f>
        <v>VDPL08</v>
      </c>
      <c r="C25" t="str">
        <f>'RESUMEN TOTAL'!I48</f>
        <v>Tte. Gral Perón y Tunez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VILLA ANGELICA</v>
      </c>
      <c r="B26" t="str">
        <f>'RESUMEN TOTAL'!G49</f>
        <v>VDPL07</v>
      </c>
      <c r="C26" t="str">
        <f>'RESUMEN TOTAL'!I49</f>
        <v>Berutti y Casares</v>
      </c>
      <c r="D26" s="30" t="str">
        <f>'RESUMEN TOTAL'!J49</f>
        <v>DOMO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 t="str">
        <f>'RESUMEN TOTAL'!AE49</f>
        <v>APAGADO</v>
      </c>
      <c r="S26" s="70" t="str">
        <f>'RESUMEN TOTAL'!AF49</f>
        <v>APAGADO</v>
      </c>
      <c r="T26" s="70" t="str">
        <f>'RESUMEN TOTAL'!AG49</f>
        <v>APAGADO</v>
      </c>
      <c r="U26" s="70" t="str">
        <f>'RESUMEN TOTAL'!AH49</f>
        <v>APAGADO</v>
      </c>
      <c r="V26" s="70" t="str">
        <f>'RESUMEN TOTAL'!AI49</f>
        <v>APAGADO</v>
      </c>
      <c r="W26" s="70">
        <f>'RESUMEN TOTAL'!AJ49</f>
        <v>0</v>
      </c>
      <c r="X26" s="70">
        <f>'RESUMEN TOTAL'!AK49</f>
        <v>0</v>
      </c>
      <c r="Y26" s="70" t="str">
        <f>'RESUMEN TOTAL'!AL49</f>
        <v>APAGADO</v>
      </c>
      <c r="Z26" s="70" t="str">
        <f>'RESUMEN TOTAL'!AM49</f>
        <v>APAGADO</v>
      </c>
      <c r="AA26" s="70" t="str">
        <f>'RESUMEN TOTAL'!AN49</f>
        <v>APAGADO</v>
      </c>
      <c r="AB26" s="70" t="str">
        <f>'RESUMEN TOTAL'!AO49</f>
        <v>APAGADO</v>
      </c>
      <c r="AC26" s="70" t="str">
        <f>'RESUMEN TOTAL'!AP49</f>
        <v>APAGADO</v>
      </c>
      <c r="AD26" s="70">
        <f>'RESUMEN TOTAL'!AQ49</f>
        <v>0</v>
      </c>
      <c r="AE26" s="70">
        <f>'RESUMEN TOTAL'!AR49</f>
        <v>0</v>
      </c>
      <c r="AF26" s="70" t="str">
        <f>'RESUMEN TOTAL'!AS49</f>
        <v>APAGADO</v>
      </c>
      <c r="AG26" s="70" t="str">
        <f>'RESUMEN TOTAL'!AT49</f>
        <v>APAGADO</v>
      </c>
      <c r="AH26" s="70" t="str">
        <f>'RESUMEN TOTAL'!AU49</f>
        <v>APAGADO</v>
      </c>
      <c r="AI26" s="70" t="str">
        <f>'RESUMEN TOTAL'!AV49</f>
        <v>APAGADO</v>
      </c>
      <c r="AJ26" s="70" t="e">
        <f>'RESUMEN TOTAL'!#REF!</f>
        <v>#REF!</v>
      </c>
    </row>
    <row r="27" spans="1:36" x14ac:dyDescent="0.25">
      <c r="A27" t="str">
        <f>'RESUMEN TOTAL'!F50</f>
        <v>VILLA ANGELICA</v>
      </c>
      <c r="B27" t="str">
        <f>'RESUMEN TOTAL'!G50</f>
        <v>VDPL06</v>
      </c>
      <c r="C27" t="str">
        <f>'RESUMEN TOTAL'!I50</f>
        <v>Thevenet e/ Islas Orcadas y Gardel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VILLA DEL PLATA</v>
      </c>
      <c r="B28" t="str">
        <f>'RESUMEN TOTAL'!G51</f>
        <v>VDPL05</v>
      </c>
      <c r="C28" t="str">
        <f>'RESUMEN TOTAL'!I51</f>
        <v>Ruta 36 y Abraham</v>
      </c>
      <c r="D28" s="30" t="str">
        <f>'RESUMEN TOTAL'!J51</f>
        <v>Domo</v>
      </c>
      <c r="E28" s="30" t="str">
        <f>'RESUMEN TOTAL'!K51</f>
        <v>PTO A FO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 t="str">
        <f>'RESUMEN TOTAL'!AS51</f>
        <v>APAGADO</v>
      </c>
      <c r="AG28" s="70" t="str">
        <f>'RESUMEN TOTAL'!AT51</f>
        <v>APAGADO</v>
      </c>
      <c r="AH28" s="70" t="str">
        <f>'RESUMEN TOTAL'!AU51</f>
        <v>APAGADO</v>
      </c>
      <c r="AI28" s="70" t="str">
        <f>'RESUMEN TOTAL'!AV51</f>
        <v>APAGADO</v>
      </c>
      <c r="AJ28" s="70" t="e">
        <f>'RESUMEN TOTAL'!#REF!</f>
        <v>#REF!</v>
      </c>
    </row>
    <row r="29" spans="1:36" x14ac:dyDescent="0.25">
      <c r="A29" t="str">
        <f>'RESUMEN TOTAL'!F52</f>
        <v>VILLA DEL PLATA</v>
      </c>
      <c r="B29" t="str">
        <f>'RESUMEN TOTAL'!G52</f>
        <v>VDPL04</v>
      </c>
      <c r="C29" t="str">
        <f>'RESUMEN TOTAL'!I52</f>
        <v>Neuquen y Diagonal Guemes</v>
      </c>
      <c r="D29" s="30" t="str">
        <f>'RESUMEN TOTAL'!J52</f>
        <v>Domo</v>
      </c>
      <c r="E29" s="30" t="str">
        <f>'RESUMEN TOTAL'!K52</f>
        <v>GPON</v>
      </c>
      <c r="F29" s="70" t="str">
        <f>'RESUMEN TOTAL'!S52</f>
        <v>APAGADO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 t="str">
        <f>'RESUMEN TOTAL'!X52</f>
        <v>APAGADO</v>
      </c>
      <c r="L29" s="70" t="str">
        <f>'RESUMEN TOTAL'!Y52</f>
        <v>APAGADO</v>
      </c>
      <c r="M29" s="70" t="str">
        <f>'RESUMEN TOTAL'!Z52</f>
        <v>APAGADO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 t="str">
        <f>'RESUMEN TOTAL'!AE52</f>
        <v>APAGADO</v>
      </c>
      <c r="S29" s="70" t="str">
        <f>'RESUMEN TOTAL'!AF52</f>
        <v>APAGADO</v>
      </c>
      <c r="T29" s="70" t="str">
        <f>'RESUMEN TOTAL'!AG52</f>
        <v>APAGADO</v>
      </c>
      <c r="U29" s="70" t="str">
        <f>'RESUMEN TOTAL'!AH52</f>
        <v>APAGADO</v>
      </c>
      <c r="V29" s="70" t="str">
        <f>'RESUMEN TOTAL'!AI52</f>
        <v>APAGADO</v>
      </c>
      <c r="W29" s="70">
        <f>'RESUMEN TOTAL'!AJ52</f>
        <v>0</v>
      </c>
      <c r="X29" s="70">
        <f>'RESUMEN TOTAL'!AK52</f>
        <v>0</v>
      </c>
      <c r="Y29" s="70" t="str">
        <f>'RESUMEN TOTAL'!AL52</f>
        <v>APAGADO</v>
      </c>
      <c r="Z29" s="70" t="str">
        <f>'RESUMEN TOTAL'!AM52</f>
        <v>APAGADO</v>
      </c>
      <c r="AA29" s="70" t="str">
        <f>'RESUMEN TOTAL'!AN52</f>
        <v>APAGADO</v>
      </c>
      <c r="AB29" s="70" t="str">
        <f>'RESUMEN TOTAL'!AO52</f>
        <v>APAGADO</v>
      </c>
      <c r="AC29" s="70" t="str">
        <f>'RESUMEN TOTAL'!AP52</f>
        <v>APAGADO</v>
      </c>
      <c r="AD29" s="70">
        <f>'RESUMEN TOTAL'!AQ52</f>
        <v>0</v>
      </c>
      <c r="AE29" s="70">
        <f>'RESUMEN TOTAL'!AR52</f>
        <v>0</v>
      </c>
      <c r="AF29" s="70" t="str">
        <f>'RESUMEN TOTAL'!AS52</f>
        <v>APAGADO</v>
      </c>
      <c r="AG29" s="70" t="str">
        <f>'RESUMEN TOTAL'!AT52</f>
        <v>APAGADO</v>
      </c>
      <c r="AH29" s="70" t="str">
        <f>'RESUMEN TOTAL'!AU52</f>
        <v>APAGADO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VILLA DEL PLATA</v>
      </c>
      <c r="B30" t="str">
        <f>'RESUMEN TOTAL'!G53</f>
        <v>VDPL03</v>
      </c>
      <c r="C30" t="str">
        <f>'RESUMEN TOTAL'!I53</f>
        <v>Neuquen y Alvarado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 t="str">
        <f>'RESUMEN TOTAL'!AG53</f>
        <v>APAGADO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VILLA DEL PLATA</v>
      </c>
      <c r="B31" t="str">
        <f>'RESUMEN TOTAL'!G54</f>
        <v>VDPL02</v>
      </c>
      <c r="C31" t="str">
        <f>'RESUMEN TOTAL'!I54</f>
        <v>Thevenet y Berutti</v>
      </c>
      <c r="D31" s="30" t="str">
        <f>'RESUMEN TOTAL'!J54</f>
        <v>Domo</v>
      </c>
      <c r="E31" s="30" t="str">
        <f>'RESUMEN TOTAL'!K54</f>
        <v>Fibra Optica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VILLA DEL PLATA</v>
      </c>
      <c r="B32" t="str">
        <f>'RESUMEN TOTAL'!G55</f>
        <v>VDPL01</v>
      </c>
      <c r="C32" t="str">
        <f>'RESUMEN TOTAL'!I55</f>
        <v>Abrahan y Delgado</v>
      </c>
      <c r="D32" s="30" t="str">
        <f>'RESUMEN TOTAL'!J55</f>
        <v>DOMO</v>
      </c>
      <c r="E32" s="30" t="str">
        <f>'RESUMEN TOTAL'!K55</f>
        <v>GPON</v>
      </c>
      <c r="F32" s="70" t="str">
        <f>'RESUMEN TOTAL'!S55</f>
        <v>APAGADO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 t="str">
        <f>'RESUMEN TOTAL'!X55</f>
        <v>APAGADO</v>
      </c>
      <c r="L32" s="70" t="str">
        <f>'RESUMEN TOTAL'!Y55</f>
        <v>APAGADO</v>
      </c>
      <c r="M32" s="70" t="str">
        <f>'RESUMEN TOTAL'!Z55</f>
        <v>APAGADO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 t="str">
        <f>'RESUMEN TOTAL'!AE55</f>
        <v>APAGADO</v>
      </c>
      <c r="S32" s="70" t="str">
        <f>'RESUMEN TOTAL'!AF55</f>
        <v>APAGADO</v>
      </c>
      <c r="T32" s="70" t="str">
        <f>'RESUMEN TOTAL'!AG55</f>
        <v>APAGADO</v>
      </c>
      <c r="U32" s="70" t="str">
        <f>'RESUMEN TOTAL'!AH55</f>
        <v>APAGADO</v>
      </c>
      <c r="V32" s="70" t="str">
        <f>'RESUMEN TOTAL'!AI55</f>
        <v>APAGADO</v>
      </c>
      <c r="W32" s="70">
        <f>'RESUMEN TOTAL'!AJ55</f>
        <v>0</v>
      </c>
      <c r="X32" s="70">
        <f>'RESUMEN TOTAL'!AK55</f>
        <v>0</v>
      </c>
      <c r="Y32" s="70" t="str">
        <f>'RESUMEN TOTAL'!AL55</f>
        <v>APAGADO</v>
      </c>
      <c r="Z32" s="70" t="str">
        <f>'RESUMEN TOTAL'!AM55</f>
        <v>APAGADO</v>
      </c>
      <c r="AA32" s="70" t="str">
        <f>'RESUMEN TOTAL'!AN55</f>
        <v>APAGADO</v>
      </c>
      <c r="AB32" s="70" t="str">
        <f>'RESUMEN TOTAL'!AO55</f>
        <v>APAGADO</v>
      </c>
      <c r="AC32" s="70" t="str">
        <f>'RESUMEN TOTAL'!AP55</f>
        <v>APAGADO</v>
      </c>
      <c r="AD32" s="70">
        <f>'RESUMEN TOTAL'!AQ55</f>
        <v>0</v>
      </c>
      <c r="AE32" s="70">
        <f>'RESUMEN TOTAL'!AR55</f>
        <v>0</v>
      </c>
      <c r="AF32" s="70" t="str">
        <f>'RESUMEN TOTAL'!AS55</f>
        <v>APAGADO</v>
      </c>
      <c r="AG32" s="70" t="str">
        <f>'RESUMEN TOTAL'!AT55</f>
        <v>APAGADO</v>
      </c>
      <c r="AH32" s="70" t="str">
        <f>'RESUMEN TOTAL'!AU55</f>
        <v>APAGADO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VILLA CIRIO</v>
      </c>
      <c r="B33" t="str">
        <f>'RESUMEN TOTAL'!G56</f>
        <v>VCIR01</v>
      </c>
      <c r="C33" t="str">
        <f>'RESUMEN TOTAL'!I56</f>
        <v>San Martin e Yrigoyen</v>
      </c>
      <c r="D33" s="30" t="str">
        <f>'RESUMEN TOTAL'!J56</f>
        <v>FIJA</v>
      </c>
      <c r="E33" s="30" t="str">
        <f>'RESUMEN TOTAL'!K56</f>
        <v>Fibra Optica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 t="str">
        <f>'RESUMEN TOTAL'!AP56</f>
        <v>APAGADO</v>
      </c>
      <c r="AD33" s="70">
        <f>'RESUMEN TOTAL'!AQ56</f>
        <v>0</v>
      </c>
      <c r="AE33" s="70">
        <f>'RESUMEN TOTAL'!AR56</f>
        <v>0</v>
      </c>
      <c r="AF33" s="70" t="str">
        <f>'RESUMEN TOTAL'!AS56</f>
        <v>APAGADO</v>
      </c>
      <c r="AG33" s="70" t="str">
        <f>'RESUMEN TOTAL'!AT56</f>
        <v>APAGADO</v>
      </c>
      <c r="AH33" s="70" t="str">
        <f>'RESUMEN TOTAL'!AU56</f>
        <v>APAGADO</v>
      </c>
      <c r="AI33" s="70" t="str">
        <f>'RESUMEN TOTAL'!AV56</f>
        <v>APAGADO</v>
      </c>
      <c r="AJ33" s="70" t="e">
        <f>'RESUMEN TOTAL'!#REF!</f>
        <v>#REF!</v>
      </c>
    </row>
    <row r="34" spans="1:36" x14ac:dyDescent="0.25">
      <c r="A34" t="str">
        <f>'RESUMEN TOTAL'!F57</f>
        <v>VILLA AURORA</v>
      </c>
      <c r="B34" t="str">
        <f>'RESUMEN TOTAL'!G57</f>
        <v>VAU08</v>
      </c>
      <c r="C34" t="str">
        <f>'RESUMEN TOTAL'!I57</f>
        <v>MONTEVERDE Y WASHINGTON</v>
      </c>
      <c r="D34" s="30" t="str">
        <f>'RESUMEN TOTAL'!J57</f>
        <v>DOMO</v>
      </c>
      <c r="E34" s="30" t="str">
        <f>'RESUMEN TOTAL'!K57</f>
        <v>Fibra Optica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 t="str">
        <f>'RESUMEN TOTAL'!AF57</f>
        <v>APAGADO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 t="str">
        <f>'RESUMEN TOTAL'!AO57</f>
        <v>APAGADO</v>
      </c>
      <c r="AC34" s="70" t="str">
        <f>'RESUMEN TOTAL'!AP57</f>
        <v>APAGADO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VILLA AURORA</v>
      </c>
      <c r="B35" t="str">
        <f>'RESUMEN TOTAL'!G58</f>
        <v>VAU06 (fija 2)</v>
      </c>
      <c r="C35" t="str">
        <f>'RESUMEN TOTAL'!I58</f>
        <v>GUIDO SPANO Y VICTORINO DE LA PLAZA</v>
      </c>
      <c r="D35" s="30" t="str">
        <f>'RESUMEN TOTAL'!J58</f>
        <v>Fija</v>
      </c>
      <c r="E35" s="30" t="str">
        <f>'RESUMEN TOTAL'!K58</f>
        <v>Fibra Optica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 t="str">
        <f>'RESUMEN TOTAL'!AF58</f>
        <v>APAGADO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 t="str">
        <f>'RESUMEN TOTAL'!AL58</f>
        <v>APAGADO</v>
      </c>
      <c r="Z35" s="70" t="str">
        <f>'RESUMEN TOTAL'!AM58</f>
        <v>APAGADO</v>
      </c>
      <c r="AA35" s="70" t="str">
        <f>'RESUMEN TOTAL'!AN58</f>
        <v>APAGADO</v>
      </c>
      <c r="AB35" s="70" t="str">
        <f>'RESUMEN TOTAL'!AO58</f>
        <v>APAGADO</v>
      </c>
      <c r="AC35" s="70" t="str">
        <f>'RESUMEN TOTAL'!AP58</f>
        <v>APAGADO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VILLA AURORA</v>
      </c>
      <c r="B36" t="str">
        <f>'RESUMEN TOTAL'!G59</f>
        <v>VAU05 (fija 1)</v>
      </c>
      <c r="C36" t="str">
        <f>'RESUMEN TOTAL'!I59</f>
        <v>GUIDO SPANO Y VICTORINO DE LA PLAZA</v>
      </c>
      <c r="D36" s="30" t="str">
        <f>'RESUMEN TOTAL'!J59</f>
        <v>Fija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 t="str">
        <f>'RESUMEN TOTAL'!AF59</f>
        <v>APAGADO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 t="str">
        <f>'RESUMEN TOTAL'!AL59</f>
        <v>APAGADO</v>
      </c>
      <c r="Z36" s="70" t="str">
        <f>'RESUMEN TOTAL'!AM59</f>
        <v>APAGADO</v>
      </c>
      <c r="AA36" s="70" t="str">
        <f>'RESUMEN TOTAL'!AN59</f>
        <v>APAGADO</v>
      </c>
      <c r="AB36" s="70" t="str">
        <f>'RESUMEN TOTAL'!AO59</f>
        <v>APAGADO</v>
      </c>
      <c r="AC36" s="70" t="str">
        <f>'RESUMEN TOTAL'!AP59</f>
        <v>APAGADO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VILLA AURORA</v>
      </c>
      <c r="B37" t="str">
        <f>'RESUMEN TOTAL'!G60</f>
        <v>VAU04 (fija 2)</v>
      </c>
      <c r="C37" t="str">
        <f>'RESUMEN TOTAL'!I60</f>
        <v>PIZZURNO Y NUESTRAS MALVINAS</v>
      </c>
      <c r="D37" s="30" t="str">
        <f>'RESUMEN TOTAL'!J60</f>
        <v>Fija</v>
      </c>
      <c r="E37" s="30" t="str">
        <f>'RESUMEN TOTAL'!K60</f>
        <v>Fibra Optica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 t="str">
        <f>'RESUMEN TOTAL'!AF60</f>
        <v>APAGADO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 t="str">
        <f>'RESUMEN TOTAL'!AO60</f>
        <v>APAGADO</v>
      </c>
      <c r="AC37" s="70" t="str">
        <f>'RESUMEN TOTAL'!AP60</f>
        <v>APAGADO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VILLA AURORA</v>
      </c>
      <c r="B38" t="str">
        <f>'RESUMEN TOTAL'!G61</f>
        <v>VAU03 (fija 1)</v>
      </c>
      <c r="C38" t="str">
        <f>'RESUMEN TOTAL'!I61</f>
        <v>PIZZURNO Y NUESTRAS MALVINAS</v>
      </c>
      <c r="D38" s="30" t="str">
        <f>'RESUMEN TOTAL'!J61</f>
        <v>Fija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 t="str">
        <f>'RESUMEN TOTAL'!AF61</f>
        <v>APAGADO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 t="str">
        <f>'RESUMEN TOTAL'!AO61</f>
        <v>APAGADO</v>
      </c>
      <c r="AC38" s="70" t="str">
        <f>'RESUMEN TOTAL'!AP61</f>
        <v>APAGADO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VILLA AURORA</v>
      </c>
      <c r="B39" t="str">
        <f>'RESUMEN TOTAL'!G62</f>
        <v>VAU 07</v>
      </c>
      <c r="C39" t="str">
        <f>'RESUMEN TOTAL'!I62</f>
        <v>VICTORINO DE LA PLAZA Y MONTEVERDE</v>
      </c>
      <c r="D39" s="30" t="str">
        <f>'RESUMEN TOTAL'!J62</f>
        <v>Domo</v>
      </c>
      <c r="E39" s="30" t="str">
        <f>'RESUMEN TOTAL'!K62</f>
        <v>Fibra Optica</v>
      </c>
      <c r="F39" s="70" t="str">
        <f>'RESUMEN TOTAL'!S62</f>
        <v>APAGADO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 t="str">
        <f>'RESUMEN TOTAL'!X62</f>
        <v>APAGADO</v>
      </c>
      <c r="L39" s="70" t="str">
        <f>'RESUMEN TOTAL'!Y62</f>
        <v>APAGADO</v>
      </c>
      <c r="M39" s="70" t="str">
        <f>'RESUMEN TOTAL'!Z62</f>
        <v>APAGADO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 t="str">
        <f>'RESUMEN TOTAL'!AE62</f>
        <v>APAGADO</v>
      </c>
      <c r="S39" s="70" t="str">
        <f>'RESUMEN TOTAL'!AF62</f>
        <v>APAGADO</v>
      </c>
      <c r="T39" s="70" t="str">
        <f>'RESUMEN TOTAL'!AG62</f>
        <v>APAGADO</v>
      </c>
      <c r="U39" s="70" t="str">
        <f>'RESUMEN TOTAL'!AH62</f>
        <v>APAGADO</v>
      </c>
      <c r="V39" s="70" t="str">
        <f>'RESUMEN TOTAL'!AI62</f>
        <v>APAGADO</v>
      </c>
      <c r="W39" s="70">
        <f>'RESUMEN TOTAL'!AJ62</f>
        <v>0</v>
      </c>
      <c r="X39" s="70">
        <f>'RESUMEN TOTAL'!AK62</f>
        <v>0</v>
      </c>
      <c r="Y39" s="70" t="str">
        <f>'RESUMEN TOTAL'!AL62</f>
        <v>APAGADO</v>
      </c>
      <c r="Z39" s="70" t="str">
        <f>'RESUMEN TOTAL'!AM62</f>
        <v>APAGADO</v>
      </c>
      <c r="AA39" s="70" t="str">
        <f>'RESUMEN TOTAL'!AN62</f>
        <v>APAGADO</v>
      </c>
      <c r="AB39" s="70" t="str">
        <f>'RESUMEN TOTAL'!AO62</f>
        <v>APAGADO</v>
      </c>
      <c r="AC39" s="70" t="str">
        <f>'RESUMEN TOTAL'!AP62</f>
        <v>APAGADO</v>
      </c>
      <c r="AD39" s="70">
        <f>'RESUMEN TOTAL'!AQ62</f>
        <v>0</v>
      </c>
      <c r="AE39" s="70">
        <f>'RESUMEN TOTAL'!AR62</f>
        <v>0</v>
      </c>
      <c r="AF39" s="70" t="str">
        <f>'RESUMEN TOTAL'!AS62</f>
        <v>APAGADO</v>
      </c>
      <c r="AG39" s="70" t="str">
        <f>'RESUMEN TOTAL'!AT62</f>
        <v>APAGADO</v>
      </c>
      <c r="AH39" s="70" t="str">
        <f>'RESUMEN TOTAL'!AU62</f>
        <v>APAGADO</v>
      </c>
      <c r="AI39" s="70" t="str">
        <f>'RESUMEN TOTAL'!AV62</f>
        <v>APAGADO</v>
      </c>
      <c r="AJ39" s="70" t="e">
        <f>'RESUMEN TOTAL'!#REF!</f>
        <v>#REF!</v>
      </c>
    </row>
    <row r="40" spans="1:36" x14ac:dyDescent="0.25">
      <c r="A40" t="str">
        <f>'RESUMEN TOTAL'!F63</f>
        <v>SAN EMILIO</v>
      </c>
      <c r="B40" t="str">
        <f>'RESUMEN TOTAL'!G63</f>
        <v>VAU 02</v>
      </c>
      <c r="C40" t="str">
        <f>'RESUMEN TOTAL'!I63</f>
        <v>San Martin y Lope de Vega</v>
      </c>
      <c r="D40" s="30" t="str">
        <f>'RESUMEN TOTAL'!J63</f>
        <v>Domo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 t="str">
        <f>'RESUMEN TOTAL'!AF63</f>
        <v>APAGADO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 t="str">
        <f>'RESUMEN TOTAL'!AO63</f>
        <v>APAGADO</v>
      </c>
      <c r="AC40" s="70" t="str">
        <f>'RESUMEN TOTAL'!AP63</f>
        <v>APAGADO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VILLA AURORA</v>
      </c>
      <c r="B41" t="str">
        <f>'RESUMEN TOTAL'!G64</f>
        <v>VAU 01</v>
      </c>
      <c r="C41" t="str">
        <f>'RESUMEN TOTAL'!I64</f>
        <v>San Martin y Monteverde</v>
      </c>
      <c r="D41" s="30" t="str">
        <f>'RESUMEN TOTAL'!J64</f>
        <v>Domo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 t="str">
        <f>'RESUMEN TOTAL'!AF64</f>
        <v>APAGADO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 t="str">
        <f>'RESUMEN TOTAL'!AO64</f>
        <v>APAGADO</v>
      </c>
      <c r="AC41" s="70" t="str">
        <f>'RESUMEN TOTAL'!AP64</f>
        <v>APAGADO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VILLA VATTEONE</v>
      </c>
      <c r="B42" t="str">
        <f>'RESUMEN TOTAL'!G65</f>
        <v>VAT32</v>
      </c>
      <c r="C42" t="str">
        <f>'RESUMEN TOTAL'!I65</f>
        <v>Corrientes y Republica</v>
      </c>
      <c r="D42" s="30" t="str">
        <f>'RESUMEN TOTAL'!J65</f>
        <v>DOMO</v>
      </c>
      <c r="E42" s="30" t="str">
        <f>'RESUMEN TOTAL'!K65</f>
        <v>GPON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VILLA VATTEONE</v>
      </c>
      <c r="B43" t="str">
        <f>'RESUMEN TOTAL'!G66</f>
        <v>VAT31</v>
      </c>
      <c r="C43" t="str">
        <f>'RESUMEN TOTAL'!I66</f>
        <v>Eva Perón y Republica</v>
      </c>
      <c r="D43" s="30" t="str">
        <f>'RESUMEN TOTAL'!J66</f>
        <v>Fija</v>
      </c>
      <c r="E43" s="30" t="str">
        <f>'RESUMEN TOTAL'!K66</f>
        <v>GPON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VILLA VATTEONE</v>
      </c>
      <c r="B44" t="str">
        <f>'RESUMEN TOTAL'!G67</f>
        <v>VAT30</v>
      </c>
      <c r="C44" t="str">
        <f>'RESUMEN TOTAL'!I67</f>
        <v>Vicente Lopez y General Paz</v>
      </c>
      <c r="D44" s="30" t="str">
        <f>'RESUMEN TOTAL'!J67</f>
        <v>DOMO</v>
      </c>
      <c r="E44" s="30" t="str">
        <f>'RESUMEN TOTAL'!K67</f>
        <v>GPON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VILLA VATTEONE CENTRO</v>
      </c>
      <c r="B45" t="str">
        <f>'RESUMEN TOTAL'!G68</f>
        <v>VAT24 (fija 2)</v>
      </c>
      <c r="C45" t="str">
        <f>'RESUMEN TOTAL'!I68</f>
        <v>EVA PERON Y "EL TUNEL" (BAJO NIVEL)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VILLA VATTEONE CENTRO</v>
      </c>
      <c r="B46" t="str">
        <f>'RESUMEN TOTAL'!G69</f>
        <v>VAT23 (fija 1)</v>
      </c>
      <c r="C46" t="str">
        <f>'RESUMEN TOTAL'!I69</f>
        <v>EVA PERON Y "EL TUNEL" (BAJO NIVEL)</v>
      </c>
      <c r="D46" s="30" t="str">
        <f>'RESUMEN TOTAL'!J69</f>
        <v>Fija</v>
      </c>
      <c r="E46" s="30" t="str">
        <f>'RESUMEN TOTAL'!K69</f>
        <v>Fibra Optica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VILLA VATTEONE CENTRO</v>
      </c>
      <c r="B47" t="str">
        <f>'RESUMEN TOTAL'!G70</f>
        <v>VAT19</v>
      </c>
      <c r="C47" t="str">
        <f>'RESUMEN TOTAL'!I70</f>
        <v>QUINTANA Y FONROUGE ( TUCUMAN )</v>
      </c>
      <c r="D47" s="30" t="str">
        <f>'RESUMEN TOTAL'!J70</f>
        <v>DOMO</v>
      </c>
      <c r="E47" s="30" t="str">
        <f>'RESUMEN TOTAL'!K70</f>
        <v>Radio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VILLA VATTEONE CENTRO</v>
      </c>
      <c r="B48" t="str">
        <f>'RESUMEN TOTAL'!G71</f>
        <v>VAT18</v>
      </c>
      <c r="C48" t="str">
        <f>'RESUMEN TOTAL'!I71</f>
        <v>LAVALLE Y FONROUGE</v>
      </c>
      <c r="D48" s="30" t="str">
        <f>'RESUMEN TOTAL'!J71</f>
        <v>DOMO</v>
      </c>
      <c r="E48" s="30" t="str">
        <f>'RESUMEN TOTAL'!K71</f>
        <v>PTO A FO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VILLA VATTEONE CENTRO</v>
      </c>
      <c r="B49" t="str">
        <f>'RESUMEN TOTAL'!G72</f>
        <v>VAT13</v>
      </c>
      <c r="C49" t="str">
        <f>'RESUMEN TOTAL'!I72</f>
        <v>Av.12 de Octubre y Belgrano</v>
      </c>
      <c r="D49" s="30" t="str">
        <f>'RESUMEN TOTAL'!J72</f>
        <v>Domo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VILLA VATTEONE</v>
      </c>
      <c r="B50" t="str">
        <f>'RESUMEN TOTAL'!G73</f>
        <v>VAT12</v>
      </c>
      <c r="C50" t="str">
        <f>'RESUMEN TOTAL'!I73</f>
        <v>12 DE OCTUBRE Y CHACO</v>
      </c>
      <c r="D50" s="30" t="str">
        <f>'RESUMEN TOTAL'!J73</f>
        <v>DOMO</v>
      </c>
      <c r="E50" s="30" t="str">
        <f>'RESUMEN TOTAL'!K73</f>
        <v>PTO A FO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 t="str">
        <f>'RESUMEN TOTAL'!X73</f>
        <v>APAGADO</v>
      </c>
      <c r="L50" s="70" t="str">
        <f>'RESUMEN TOTAL'!Y73</f>
        <v>APAGADO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VILLA VATTEONE</v>
      </c>
      <c r="B51" t="str">
        <f>'RESUMEN TOTAL'!G74</f>
        <v>VAT11</v>
      </c>
      <c r="C51" t="str">
        <f>'RESUMEN TOTAL'!I74</f>
        <v>Mainini y Montevideo</v>
      </c>
      <c r="D51" s="30" t="str">
        <f>'RESUMEN TOTAL'!J74</f>
        <v>Domo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 t="str">
        <f>'RESUMEN TOTAL'!AS74</f>
        <v>APAGADO</v>
      </c>
      <c r="AG51" s="70" t="str">
        <f>'RESUMEN TOTAL'!AT74</f>
        <v>APAGADO</v>
      </c>
      <c r="AH51" s="70" t="str">
        <f>'RESUMEN TOTAL'!AU74</f>
        <v>APAGADO</v>
      </c>
      <c r="AI51" s="70" t="str">
        <f>'RESUMEN TOTAL'!AV74</f>
        <v>APAGADO</v>
      </c>
      <c r="AJ51" s="70" t="e">
        <f>'RESUMEN TOTAL'!#REF!</f>
        <v>#REF!</v>
      </c>
    </row>
    <row r="52" spans="1:36" x14ac:dyDescent="0.25">
      <c r="A52" t="str">
        <f>'RESUMEN TOTAL'!F75</f>
        <v>VILLA VATTEONE</v>
      </c>
      <c r="B52" t="str">
        <f>'RESUMEN TOTAL'!G75</f>
        <v>VAT09</v>
      </c>
      <c r="C52" t="str">
        <f>'RESUMEN TOTAL'!I75</f>
        <v>Montevideo y Alsina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 t="str">
        <f>'RESUMEN TOTAL'!AO75</f>
        <v>APAGADO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VILLA VATTEONE</v>
      </c>
      <c r="B53" t="str">
        <f>'RESUMEN TOTAL'!G76</f>
        <v>VAT08</v>
      </c>
      <c r="C53" t="str">
        <f>'RESUMEN TOTAL'!I76</f>
        <v>12 de Octubre y Florida</v>
      </c>
      <c r="D53" s="30" t="str">
        <f>'RESUMEN TOTAL'!J76</f>
        <v>Domo</v>
      </c>
      <c r="E53" s="30" t="str">
        <f>'RESUMEN TOTAL'!K76</f>
        <v>GPON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VILLA VATTEONE CENTRO</v>
      </c>
      <c r="B54" t="str">
        <f>'RESUMEN TOTAL'!G77</f>
        <v>VAT07</v>
      </c>
      <c r="C54" t="str">
        <f>'RESUMEN TOTAL'!I77</f>
        <v>Eva Peron y Lavalle</v>
      </c>
      <c r="D54" s="30" t="str">
        <f>'RESUMEN TOTAL'!J77</f>
        <v>Domo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VILLA VATTEONE CENTRO</v>
      </c>
      <c r="B55" t="str">
        <f>'RESUMEN TOTAL'!G78</f>
        <v>VAT06</v>
      </c>
      <c r="C55" t="str">
        <f>'RESUMEN TOTAL'!I78</f>
        <v>Eva Peron y Pueyrredon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 t="str">
        <f>'RESUMEN TOTAL'!X78</f>
        <v>APAGADO</v>
      </c>
      <c r="L55" s="70" t="str">
        <f>'RESUMEN TOTAL'!Y78</f>
        <v>APAGADO</v>
      </c>
      <c r="M55" s="70" t="str">
        <f>'RESUMEN TOTAL'!Z78</f>
        <v>APAGADO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 t="str">
        <f>'RESUMEN TOTAL'!AE78</f>
        <v>APAGADO</v>
      </c>
      <c r="S55" s="70" t="str">
        <f>'RESUMEN TOTAL'!AF78</f>
        <v>APAGADO</v>
      </c>
      <c r="T55" s="70" t="str">
        <f>'RESUMEN TOTAL'!AG78</f>
        <v>APAGADO</v>
      </c>
      <c r="U55" s="70" t="str">
        <f>'RESUMEN TOTAL'!AH78</f>
        <v>APAGADO</v>
      </c>
      <c r="V55" s="70" t="str">
        <f>'RESUMEN TOTAL'!AI78</f>
        <v>APAGADO</v>
      </c>
      <c r="W55" s="70">
        <f>'RESUMEN TOTAL'!AJ78</f>
        <v>0</v>
      </c>
      <c r="X55" s="70">
        <f>'RESUMEN TOTAL'!AK78</f>
        <v>0</v>
      </c>
      <c r="Y55" s="70" t="str">
        <f>'RESUMEN TOTAL'!AL78</f>
        <v>APAGADO</v>
      </c>
      <c r="Z55" s="70" t="str">
        <f>'RESUMEN TOTAL'!AM78</f>
        <v>APAGADO</v>
      </c>
      <c r="AA55" s="70" t="str">
        <f>'RESUMEN TOTAL'!AN78</f>
        <v>APAGADO</v>
      </c>
      <c r="AB55" s="70" t="str">
        <f>'RESUMEN TOTAL'!AO78</f>
        <v>APAGADO</v>
      </c>
      <c r="AC55" s="70" t="str">
        <f>'RESUMEN TOTAL'!AP78</f>
        <v>APAGADO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 t="str">
        <f>'RESUMEN TOTAL'!AT78</f>
        <v>APAGADO</v>
      </c>
      <c r="AH55" s="70" t="str">
        <f>'RESUMEN TOTAL'!AU78</f>
        <v>APAGADO</v>
      </c>
      <c r="AI55" s="70" t="str">
        <f>'RESUMEN TOTAL'!AV78</f>
        <v>APAGADO</v>
      </c>
      <c r="AJ55" s="70" t="e">
        <f>'RESUMEN TOTAL'!#REF!</f>
        <v>#REF!</v>
      </c>
    </row>
    <row r="56" spans="1:36" x14ac:dyDescent="0.25">
      <c r="A56" t="str">
        <f>'RESUMEN TOTAL'!F79</f>
        <v>VILLA VATTEONE CENTRO</v>
      </c>
      <c r="B56" t="str">
        <f>'RESUMEN TOTAL'!G79</f>
        <v>VAT05</v>
      </c>
      <c r="C56" t="str">
        <f>'RESUMEN TOTAL'!I79</f>
        <v>Lavalle y Colombia</v>
      </c>
      <c r="D56" s="30" t="str">
        <f>'RESUMEN TOTAL'!J79</f>
        <v>Domo</v>
      </c>
      <c r="E56" s="30" t="str">
        <f>'RESUMEN TOTAL'!K79</f>
        <v>GPON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VILLA VATTEONE CENTRO</v>
      </c>
      <c r="B57" t="str">
        <f>'RESUMEN TOTAL'!G80</f>
        <v>VAT04</v>
      </c>
      <c r="C57" t="str">
        <f>'RESUMEN TOTAL'!I80</f>
        <v>Lavalle y Entre Rios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VILLA VATTEONE CENTRO</v>
      </c>
      <c r="B58" t="str">
        <f>'RESUMEN TOTAL'!G81</f>
        <v>VAT03</v>
      </c>
      <c r="C58" t="str">
        <f>'RESUMEN TOTAL'!I81</f>
        <v>Lavalle y Belgrano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VILLA VATTEONE CENTRO</v>
      </c>
      <c r="B59" t="str">
        <f>'RESUMEN TOTAL'!G82</f>
        <v>VAT02</v>
      </c>
      <c r="C59" t="str">
        <f>'RESUMEN TOTAL'!I82</f>
        <v>Eva Peron y 12 de Octubre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 t="str">
        <f>'RESUMEN TOTAL'!AS82</f>
        <v>APAGADO</v>
      </c>
      <c r="AG59" s="70" t="str">
        <f>'RESUMEN TOTAL'!AT82</f>
        <v>APAGADO</v>
      </c>
      <c r="AH59" s="70" t="str">
        <f>'RESUMEN TOTAL'!AU82</f>
        <v>APAGADO</v>
      </c>
      <c r="AI59" s="70" t="str">
        <f>'RESUMEN TOTAL'!AV82</f>
        <v>APAGADO</v>
      </c>
      <c r="AJ59" s="70" t="e">
        <f>'RESUMEN TOTAL'!#REF!</f>
        <v>#REF!</v>
      </c>
    </row>
    <row r="60" spans="1:36" x14ac:dyDescent="0.25">
      <c r="A60" t="str">
        <f>'RESUMEN TOTAL'!F83</f>
        <v>VILLA VATTEONE</v>
      </c>
      <c r="B60" t="str">
        <f>'RESUMEN TOTAL'!G83</f>
        <v>VAT01</v>
      </c>
      <c r="C60" t="str">
        <f>'RESUMEN TOTAL'!I83</f>
        <v>Montevideo y El Chañar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 t="str">
        <f>'RESUMEN TOTAL'!AS83</f>
        <v>APAGADO</v>
      </c>
      <c r="AG60" s="70" t="str">
        <f>'RESUMEN TOTAL'!AT83</f>
        <v>APAGADO</v>
      </c>
      <c r="AH60" s="70" t="str">
        <f>'RESUMEN TOTAL'!AU83</f>
        <v>APAGADO</v>
      </c>
      <c r="AI60" s="70" t="str">
        <f>'RESUMEN TOTAL'!AV83</f>
        <v>APAGADO</v>
      </c>
      <c r="AJ60" s="70" t="e">
        <f>'RESUMEN TOTAL'!#REF!</f>
        <v>#REF!</v>
      </c>
    </row>
    <row r="61" spans="1:36" x14ac:dyDescent="0.25">
      <c r="A61" t="str">
        <f>'RESUMEN TOTAL'!F84</f>
        <v>VILLA VATTEONE</v>
      </c>
      <c r="B61" t="str">
        <f>'RESUMEN TOTAL'!G84</f>
        <v>VAT 29</v>
      </c>
      <c r="C61" t="str">
        <f>'RESUMEN TOTAL'!I84</f>
        <v xml:space="preserve">Vicente Lopez y Tucuman </v>
      </c>
      <c r="D61" s="30" t="str">
        <f>'RESUMEN TOTAL'!J84</f>
        <v>DOMO</v>
      </c>
      <c r="E61" s="30" t="str">
        <f>'RESUMEN TOTAL'!K84</f>
        <v>GPON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VILLA VATTEONE</v>
      </c>
      <c r="B62" t="str">
        <f>'RESUMEN TOTAL'!G85</f>
        <v>VAT 28</v>
      </c>
      <c r="C62" t="str">
        <f>'RESUMEN TOTAL'!I85</f>
        <v>Mainini e/Montevideo y Uruuay</v>
      </c>
      <c r="D62" s="30" t="str">
        <f>'RESUMEN TOTAL'!J85</f>
        <v>fija</v>
      </c>
      <c r="E62" s="30" t="str">
        <f>'RESUMEN TOTAL'!K85</f>
        <v>Fibra Optica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 t="str">
        <f>'RESUMEN TOTAL'!AS85</f>
        <v>APAGADO</v>
      </c>
      <c r="AG62" s="70" t="str">
        <f>'RESUMEN TOTAL'!AT85</f>
        <v>APAGADO</v>
      </c>
      <c r="AH62" s="70" t="str">
        <f>'RESUMEN TOTAL'!AU85</f>
        <v>APAGADO</v>
      </c>
      <c r="AI62" s="70" t="str">
        <f>'RESUMEN TOTAL'!AV85</f>
        <v>APAGADO</v>
      </c>
      <c r="AJ62" s="70" t="e">
        <f>'RESUMEN TOTAL'!#REF!</f>
        <v>#REF!</v>
      </c>
    </row>
    <row r="63" spans="1:36" x14ac:dyDescent="0.25">
      <c r="A63" t="str">
        <f>'RESUMEN TOTAL'!F86</f>
        <v>VILLA VATTEONE</v>
      </c>
      <c r="B63" t="str">
        <f>'RESUMEN TOTAL'!G86</f>
        <v>VAT 27</v>
      </c>
      <c r="C63" t="str">
        <f>'RESUMEN TOTAL'!I86</f>
        <v>12 DE OCTUBRE Y ROSARIO</v>
      </c>
      <c r="D63" s="30" t="str">
        <f>'RESUMEN TOTAL'!J86</f>
        <v>DOMO</v>
      </c>
      <c r="E63" s="30" t="str">
        <f>'RESUMEN TOTAL'!K86</f>
        <v>GPON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VILLA VATTEONE CENTRO</v>
      </c>
      <c r="B64" t="str">
        <f>'RESUMEN TOTAL'!G87</f>
        <v>VAT 26</v>
      </c>
      <c r="C64" t="str">
        <f>'RESUMEN TOTAL'!I87</f>
        <v>Mainini y Uruguay</v>
      </c>
      <c r="D64" s="30" t="str">
        <f>'RESUMEN TOTAL'!J87</f>
        <v>fija</v>
      </c>
      <c r="E64" s="30" t="str">
        <f>'RESUMEN TOTAL'!K87</f>
        <v>Fibra Optica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 t="str">
        <f>'RESUMEN TOTAL'!AS87</f>
        <v>APAGADO</v>
      </c>
      <c r="AG64" s="70" t="str">
        <f>'RESUMEN TOTAL'!AT87</f>
        <v>APAGADO</v>
      </c>
      <c r="AH64" s="70" t="str">
        <f>'RESUMEN TOTAL'!AU87</f>
        <v>APAGADO</v>
      </c>
      <c r="AI64" s="70" t="str">
        <f>'RESUMEN TOTAL'!AV87</f>
        <v>APAGADO</v>
      </c>
      <c r="AJ64" s="70" t="e">
        <f>'RESUMEN TOTAL'!#REF!</f>
        <v>#REF!</v>
      </c>
    </row>
    <row r="65" spans="1:36" x14ac:dyDescent="0.25">
      <c r="A65" t="str">
        <f>'RESUMEN TOTAL'!F88</f>
        <v>VILLA VATTEONE CENTRO</v>
      </c>
      <c r="B65" t="str">
        <f>'RESUMEN TOTAL'!G88</f>
        <v>VAT 25</v>
      </c>
      <c r="C65" t="str">
        <f>'RESUMEN TOTAL'!I88</f>
        <v>Mainini y Uruguay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 t="str">
        <f>'RESUMEN TOTAL'!AS88</f>
        <v>APAGADO</v>
      </c>
      <c r="AG65" s="70" t="str">
        <f>'RESUMEN TOTAL'!AT88</f>
        <v>APAGADO</v>
      </c>
      <c r="AH65" s="70" t="str">
        <f>'RESUMEN TOTAL'!AU88</f>
        <v>APAGADO</v>
      </c>
      <c r="AI65" s="70" t="str">
        <f>'RESUMEN TOTAL'!AV88</f>
        <v>APAGADO</v>
      </c>
      <c r="AJ65" s="70" t="e">
        <f>'RESUMEN TOTAL'!#REF!</f>
        <v>#REF!</v>
      </c>
    </row>
    <row r="66" spans="1:36" x14ac:dyDescent="0.25">
      <c r="A66" t="str">
        <f>'RESUMEN TOTAL'!F89</f>
        <v>VILLA VATTEONE CENTRO</v>
      </c>
      <c r="B66" t="str">
        <f>'RESUMEN TOTAL'!G89</f>
        <v>VAT 22 (fija 2)</v>
      </c>
      <c r="C66" t="str">
        <f>'RESUMEN TOTAL'!I89</f>
        <v>QUINTANA E/ BELGRANO Y FONROUGE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VILLA VATTEONE CENTRO</v>
      </c>
      <c r="B67" t="str">
        <f>'RESUMEN TOTAL'!G90</f>
        <v>VAT 21 (fija 1)</v>
      </c>
      <c r="C67" t="str">
        <f>'RESUMEN TOTAL'!I90</f>
        <v>QUINTANA E/ BELGRANO Y FONROUGE</v>
      </c>
      <c r="D67" s="30" t="str">
        <f>'RESUMEN TOTAL'!J90</f>
        <v>Fija</v>
      </c>
      <c r="E67" s="30" t="str">
        <f>'RESUMEN TOTAL'!K90</f>
        <v>Fibra Optica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VILLA VATTEONE</v>
      </c>
      <c r="B68" t="str">
        <f>'RESUMEN TOTAL'!G91</f>
        <v>VAT 20</v>
      </c>
      <c r="C68" t="str">
        <f>'RESUMEN TOTAL'!I91</f>
        <v>URUGUAY Y PILCOMAYO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VILLA VATTEONE</v>
      </c>
      <c r="B69" t="str">
        <f>'RESUMEN TOTAL'!G92</f>
        <v>VAT 17</v>
      </c>
      <c r="C69" t="str">
        <f>'RESUMEN TOTAL'!I92</f>
        <v>CHAÑAR Y URUGUAY</v>
      </c>
      <c r="D69" s="30" t="str">
        <f>'RESUMEN TOTAL'!J92</f>
        <v>DOMO</v>
      </c>
      <c r="E69" s="30" t="str">
        <f>'RESUMEN TOTAL'!K92</f>
        <v>PTO A FO</v>
      </c>
      <c r="F69" s="70" t="str">
        <f>'RESUMEN TOTAL'!S92</f>
        <v>APAGADO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 t="str">
        <f>'RESUMEN TOTAL'!AH92</f>
        <v>APAGADO</v>
      </c>
      <c r="V69" s="70" t="str">
        <f>'RESUMEN TOTAL'!AI92</f>
        <v>APAGADO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 t="str">
        <f>'RESUMEN TOTAL'!AS92</f>
        <v>APAGADO</v>
      </c>
      <c r="AG69" s="70" t="str">
        <f>'RESUMEN TOTAL'!AT92</f>
        <v>APAGADO</v>
      </c>
      <c r="AH69" s="70" t="str">
        <f>'RESUMEN TOTAL'!AU92</f>
        <v>APAGADO</v>
      </c>
      <c r="AI69" s="70" t="str">
        <f>'RESUMEN TOTAL'!AV92</f>
        <v>APAGADO</v>
      </c>
      <c r="AJ69" s="70" t="e">
        <f>'RESUMEN TOTAL'!#REF!</f>
        <v>#REF!</v>
      </c>
    </row>
    <row r="70" spans="1:36" x14ac:dyDescent="0.25">
      <c r="A70" t="str">
        <f>'RESUMEN TOTAL'!F93</f>
        <v>VILLA VATTEONE</v>
      </c>
      <c r="B70" t="str">
        <f>'RESUMEN TOTAL'!G93</f>
        <v>VAT 16</v>
      </c>
      <c r="C70" t="str">
        <f>'RESUMEN TOTAL'!I93</f>
        <v>MONTEVIDEO Y CHACO</v>
      </c>
      <c r="D70" s="30" t="str">
        <f>'RESUMEN TOTAL'!J93</f>
        <v>DOMO</v>
      </c>
      <c r="E70" s="30" t="str">
        <f>'RESUMEN TOTAL'!K93</f>
        <v>PTO A FO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 t="str">
        <f>'RESUMEN TOTAL'!AE93</f>
        <v>APAGADO</v>
      </c>
      <c r="S70" s="70" t="str">
        <f>'RESUMEN TOTAL'!AF93</f>
        <v>APAGADO</v>
      </c>
      <c r="T70" s="70" t="str">
        <f>'RESUMEN TOTAL'!AG93</f>
        <v>APAGADO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 t="str">
        <f>'RESUMEN TOTAL'!AO93</f>
        <v>APAGADO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VILLA VATTEONE</v>
      </c>
      <c r="B71" t="str">
        <f>'RESUMEN TOTAL'!G94</f>
        <v>VAT 15</v>
      </c>
      <c r="C71" t="str">
        <f>'RESUMEN TOTAL'!I94</f>
        <v>CORRIENTES Y VICENTE LOPEZ</v>
      </c>
      <c r="D71" s="30" t="str">
        <f>'RESUMEN TOTAL'!J94</f>
        <v>DOMO</v>
      </c>
      <c r="E71" s="30" t="str">
        <f>'RESUMEN TOTAL'!K94</f>
        <v>PTO A FO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VILLA VATTEONE</v>
      </c>
      <c r="B72" t="str">
        <f>'RESUMEN TOTAL'!G95</f>
        <v>VAT 14</v>
      </c>
      <c r="C72" t="str">
        <f>'RESUMEN TOTAL'!I95</f>
        <v>FLORIDA Y MONTEVIDEO</v>
      </c>
      <c r="D72" s="30" t="str">
        <f>'RESUMEN TOTAL'!J95</f>
        <v>DOMO</v>
      </c>
      <c r="E72" s="30" t="str">
        <f>'RESUMEN TOTAL'!K95</f>
        <v>Fibra Optica</v>
      </c>
      <c r="F72" s="70" t="str">
        <f>'RESUMEN TOTAL'!S95</f>
        <v>APAGADO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 t="str">
        <f>'RESUMEN TOTAL'!X95</f>
        <v>APAGADO</v>
      </c>
      <c r="L72" s="70" t="str">
        <f>'RESUMEN TOTAL'!Y95</f>
        <v>APAGADO</v>
      </c>
      <c r="M72" s="70" t="str">
        <f>'RESUMEN TOTAL'!Z95</f>
        <v>APAGADO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 t="str">
        <f>'RESUMEN TOTAL'!AE95</f>
        <v>APAGADO</v>
      </c>
      <c r="S72" s="70" t="str">
        <f>'RESUMEN TOTAL'!AF95</f>
        <v>APAGADO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 t="str">
        <f>'RESUMEN TOTAL'!AS95</f>
        <v>APAGADO</v>
      </c>
      <c r="AG72" s="70" t="str">
        <f>'RESUMEN TOTAL'!AT95</f>
        <v>APAGADO</v>
      </c>
      <c r="AH72" s="70" t="str">
        <f>'RESUMEN TOTAL'!AU95</f>
        <v>APAGADO</v>
      </c>
      <c r="AI72" s="70" t="str">
        <f>'RESUMEN TOTAL'!AV95</f>
        <v>APAGADO</v>
      </c>
      <c r="AJ72" s="70" t="e">
        <f>'RESUMEN TOTAL'!#REF!</f>
        <v>#REF!</v>
      </c>
    </row>
    <row r="73" spans="1:36" x14ac:dyDescent="0.25">
      <c r="A73" t="str">
        <f>'RESUMEN TOTAL'!F96</f>
        <v>VILLA VATTEONE CENTRO</v>
      </c>
      <c r="B73" t="str">
        <f>'RESUMEN TOTAL'!G96</f>
        <v>VAT 10</v>
      </c>
      <c r="C73" t="str">
        <f>'RESUMEN TOTAL'!I96</f>
        <v>Belgrano y Quintana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VILLA ARGENTINA</v>
      </c>
      <c r="B74" t="str">
        <f>'RESUMEN TOTAL'!G97</f>
        <v>VAR14</v>
      </c>
      <c r="C74" t="str">
        <f>'RESUMEN TOTAL'!I97</f>
        <v>Pportela y 517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 t="str">
        <f>'RESUMEN TOTAL'!AO97</f>
        <v>APAGADO</v>
      </c>
      <c r="AC74" s="70" t="str">
        <f>'RESUMEN TOTAL'!AP97</f>
        <v>APAGADO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VILLA ARGENTINA</v>
      </c>
      <c r="B75" t="str">
        <f>'RESUMEN TOTAL'!G98</f>
        <v>VAR13</v>
      </c>
      <c r="C75" t="str">
        <f>'RESUMEN TOTAL'!I98</f>
        <v>Calle 527 y 532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VILLA ARGENTINA</v>
      </c>
      <c r="B76" t="str">
        <f>'RESUMEN TOTAL'!G99</f>
        <v>VAR12</v>
      </c>
      <c r="C76" t="str">
        <f>'RESUMEN TOTAL'!I99</f>
        <v>Calle 527 y Portela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 t="str">
        <f>'RESUMEN TOTAL'!Z99</f>
        <v>APAGADO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VILLA ARGENTINA</v>
      </c>
      <c r="B77" t="str">
        <f>'RESUMEN TOTAL'!G100</f>
        <v>VAR11 (fija 2)</v>
      </c>
      <c r="C77" t="str">
        <f>'RESUMEN TOTAL'!I100</f>
        <v>532 A Y 523</v>
      </c>
      <c r="D77" s="30" t="str">
        <f>'RESUMEN TOTAL'!J100</f>
        <v>Fija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VILLA ARGENTINA</v>
      </c>
      <c r="B78" t="str">
        <f>'RESUMEN TOTAL'!G101</f>
        <v>VAR10 (fija 1)</v>
      </c>
      <c r="C78" t="str">
        <f>'RESUMEN TOTAL'!I101</f>
        <v>532 A Y 523</v>
      </c>
      <c r="D78" s="30" t="str">
        <f>'RESUMEN TOTAL'!J101</f>
        <v>Fija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VILLA ARGENTINA</v>
      </c>
      <c r="B79" t="str">
        <f>'RESUMEN TOTAL'!G102</f>
        <v>VAR07</v>
      </c>
      <c r="C79" t="str">
        <f>'RESUMEN TOTAL'!I102</f>
        <v>DIAG. LOS TILOS Y 517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 t="str">
        <f>'RESUMEN TOTAL'!AO102</f>
        <v>APAGADO</v>
      </c>
      <c r="AC79" s="70" t="str">
        <f>'RESUMEN TOTAL'!AP102</f>
        <v>APAGADO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 t="str">
        <f>'RESUMEN TOTAL'!AV102</f>
        <v>APAGADO</v>
      </c>
      <c r="AJ79" s="70" t="e">
        <f>'RESUMEN TOTAL'!#REF!</f>
        <v>#REF!</v>
      </c>
    </row>
    <row r="80" spans="1:36" x14ac:dyDescent="0.25">
      <c r="A80" t="str">
        <f>'RESUMEN TOTAL'!F103</f>
        <v>VILLA ARGENTINA</v>
      </c>
      <c r="B80" t="str">
        <f>'RESUMEN TOTAL'!G103</f>
        <v>VAR06 (fija 2)</v>
      </c>
      <c r="C80" t="str">
        <f>'RESUMEN TOTAL'!I103</f>
        <v>511 E/ 544 Y 546</v>
      </c>
      <c r="D80" s="30" t="str">
        <f>'RESUMEN TOTAL'!J103</f>
        <v>Fija</v>
      </c>
      <c r="E80" s="30" t="str">
        <f>'RESUMEN TOTAL'!K103</f>
        <v>Radio</v>
      </c>
      <c r="F80" s="70" t="str">
        <f>'RESUMEN TOTAL'!S103</f>
        <v>APAGADO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VILLA ARGENTINA</v>
      </c>
      <c r="B81" t="str">
        <f>'RESUMEN TOTAL'!G104</f>
        <v>VAR05 (fija 1)</v>
      </c>
      <c r="C81" t="str">
        <f>'RESUMEN TOTAL'!I104</f>
        <v>511 E/ 544 Y 546</v>
      </c>
      <c r="D81" s="30" t="str">
        <f>'RESUMEN TOTAL'!J104</f>
        <v>Fija</v>
      </c>
      <c r="E81" s="30" t="str">
        <f>'RESUMEN TOTAL'!K104</f>
        <v>Radio</v>
      </c>
      <c r="F81" s="70" t="str">
        <f>'RESUMEN TOTAL'!S104</f>
        <v>APAGADO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VILLA ARGENTINA</v>
      </c>
      <c r="B82" t="str">
        <f>'RESUMEN TOTAL'!G105</f>
        <v>VAR04 (fija 2)</v>
      </c>
      <c r="C82" t="str">
        <f>'RESUMEN TOTAL'!I105</f>
        <v>509 y 546</v>
      </c>
      <c r="D82" s="30" t="str">
        <f>'RESUMEN TOTAL'!J105</f>
        <v>Fija</v>
      </c>
      <c r="E82" s="30" t="str">
        <f>'RESUMEN TOTAL'!K105</f>
        <v>Radio</v>
      </c>
      <c r="F82" s="70" t="str">
        <f>'RESUMEN TOTAL'!S105</f>
        <v>APAGADO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VILLA ARGENTINA</v>
      </c>
      <c r="B83" t="str">
        <f>'RESUMEN TOTAL'!G106</f>
        <v>VAR03 (fija 1)</v>
      </c>
      <c r="C83" t="str">
        <f>'RESUMEN TOTAL'!I106</f>
        <v>509 y 546</v>
      </c>
      <c r="D83" s="30" t="str">
        <f>'RESUMEN TOTAL'!J106</f>
        <v>Fija</v>
      </c>
      <c r="E83" s="30" t="str">
        <f>'RESUMEN TOTAL'!K106</f>
        <v>Radio</v>
      </c>
      <c r="F83" s="70" t="str">
        <f>'RESUMEN TOTAL'!S106</f>
        <v>APAGADO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VILLA ARGENTINA</v>
      </c>
      <c r="B84" t="str">
        <f>'RESUMEN TOTAL'!G107</f>
        <v>VAR 09 (fija 2)</v>
      </c>
      <c r="C84" t="str">
        <f>'RESUMEN TOTAL'!I107</f>
        <v>534 Y 523</v>
      </c>
      <c r="D84" s="30" t="str">
        <f>'RESUMEN TOTAL'!J107</f>
        <v>Fija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VILLA ARGENTINA</v>
      </c>
      <c r="B85" t="str">
        <f>'RESUMEN TOTAL'!G108</f>
        <v>VAR 08 (fija 1)</v>
      </c>
      <c r="C85" t="str">
        <f>'RESUMEN TOTAL'!I108</f>
        <v>534 Y 523</v>
      </c>
      <c r="D85" s="30" t="str">
        <f>'RESUMEN TOTAL'!J108</f>
        <v>Fija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VILLA ARGENTINA</v>
      </c>
      <c r="B86" t="str">
        <f>'RESUMEN TOTAL'!G109</f>
        <v>VAR 02</v>
      </c>
      <c r="C86" t="str">
        <f>'RESUMEN TOTAL'!I109</f>
        <v>DIAGONAL LOS TILOS Y 542</v>
      </c>
      <c r="D86" s="30" t="str">
        <f>'RESUMEN TOTAL'!J109</f>
        <v>DOMO</v>
      </c>
      <c r="E86" s="30" t="str">
        <f>'RESUMEN TOTAL'!K109</f>
        <v>Radio</v>
      </c>
      <c r="F86" s="70" t="str">
        <f>'RESUMEN TOTAL'!S109</f>
        <v>APAGADO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VILLA ARGENTINA</v>
      </c>
      <c r="B87" t="str">
        <f>'RESUMEN TOTAL'!G110</f>
        <v>VAR 01</v>
      </c>
      <c r="C87" t="str">
        <f>'RESUMEN TOTAL'!I110</f>
        <v>Calle 519 y 546</v>
      </c>
      <c r="D87" s="30" t="str">
        <f>'RESUMEN TOTAL'!J110</f>
        <v>Domo</v>
      </c>
      <c r="E87" s="30" t="str">
        <f>'RESUMEN TOTAL'!K110</f>
        <v>GPON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VILLA ANGELICA</v>
      </c>
      <c r="B88" t="str">
        <f>'RESUMEN TOTAL'!G111</f>
        <v>VANG20</v>
      </c>
      <c r="C88" t="str">
        <f>'RESUMEN TOTAL'!I111</f>
        <v>CURIE Y BRAILE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VILLA ANGELICA</v>
      </c>
      <c r="B89" t="str">
        <f>'RESUMEN TOTAL'!G112</f>
        <v>VANG19(fija 2)</v>
      </c>
      <c r="C89" t="str">
        <f>'RESUMEN TOTAL'!I112</f>
        <v xml:space="preserve">STORNI Ee/ESPOSOS CURIE Y SENZABELLO </v>
      </c>
      <c r="D89" s="30" t="str">
        <f>'RESUMEN TOTAL'!J112</f>
        <v>fija</v>
      </c>
      <c r="E89" s="30" t="str">
        <f>'RESUMEN TOTAL'!K112</f>
        <v>GPON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 t="str">
        <f>'RESUMEN TOTAL'!AF112</f>
        <v>APAGADO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VILLA ANGELICA</v>
      </c>
      <c r="B90" t="str">
        <f>'RESUMEN TOTAL'!G113</f>
        <v>VANG18(fija 1)</v>
      </c>
      <c r="C90" t="str">
        <f>'RESUMEN TOTAL'!I113</f>
        <v>STORNI e/ESPOSOS CURIE Y SENZABELLO</v>
      </c>
      <c r="D90" s="30" t="str">
        <f>'RESUMEN TOTAL'!J113</f>
        <v>fija</v>
      </c>
      <c r="E90" s="30" t="str">
        <f>'RESUMEN TOTAL'!K113</f>
        <v>GPON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 t="str">
        <f>'RESUMEN TOTAL'!AF113</f>
        <v>APAGADO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VILLA ANGELICA</v>
      </c>
      <c r="B91" t="str">
        <f>'RESUMEN TOTAL'!G114</f>
        <v>VANG17</v>
      </c>
      <c r="C91" t="str">
        <f>'RESUMEN TOTAL'!I114</f>
        <v xml:space="preserve">THEVENET Y AMEGHINO </v>
      </c>
      <c r="D91" s="30" t="str">
        <f>'RESUMEN TOTAL'!J114</f>
        <v>Domo</v>
      </c>
      <c r="E91" s="30" t="str">
        <f>'RESUMEN TOTAL'!K114</f>
        <v>GPON</v>
      </c>
      <c r="F91" s="70" t="str">
        <f>'RESUMEN TOTAL'!S114</f>
        <v>APAGADO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 t="str">
        <f>'RESUMEN TOTAL'!X114</f>
        <v>APAGADO</v>
      </c>
      <c r="L91" s="70" t="str">
        <f>'RESUMEN TOTAL'!Y114</f>
        <v>APAGADO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 t="str">
        <f>'RESUMEN TOTAL'!AS114</f>
        <v>APAGADO</v>
      </c>
      <c r="AG91" s="70">
        <f>'RESUMEN TOTAL'!AT114</f>
        <v>0</v>
      </c>
      <c r="AH91" s="70" t="str">
        <f>'RESUMEN TOTAL'!AU114</f>
        <v>APAGADO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VILLA ANGELICA</v>
      </c>
      <c r="B92" t="str">
        <f>'RESUMEN TOTAL'!G115</f>
        <v>VANG16</v>
      </c>
      <c r="C92" t="str">
        <f>'RESUMEN TOTAL'!I115</f>
        <v>SENZABELLO Y NECOCHEA</v>
      </c>
      <c r="D92" s="30" t="str">
        <f>'RESUMEN TOTAL'!J115</f>
        <v>DOMO</v>
      </c>
      <c r="E92" s="30" t="str">
        <f>'RESUMEN TOTAL'!K115</f>
        <v>GPON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 t="str">
        <f>'RESUMEN TOTAL'!AF115</f>
        <v>APAGADO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VILLA ANGELICA</v>
      </c>
      <c r="B93" t="str">
        <f>'RESUMEN TOTAL'!G116</f>
        <v>VANG15</v>
      </c>
      <c r="C93" t="str">
        <f>'RESUMEN TOTAL'!I116</f>
        <v xml:space="preserve">STORNI Y ESPOSOS CURIE </v>
      </c>
      <c r="D93" s="30" t="str">
        <f>'RESUMEN TOTAL'!J116</f>
        <v>DOMO</v>
      </c>
      <c r="E93" s="30" t="str">
        <f>'RESUMEN TOTAL'!K116</f>
        <v>GPON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 t="str">
        <f>'RESUMEN TOTAL'!AF116</f>
        <v>APAGADO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VILLA ANGELICA</v>
      </c>
      <c r="B94" t="str">
        <f>'RESUMEN TOTAL'!G117</f>
        <v>VANG14</v>
      </c>
      <c r="C94" t="str">
        <f>'RESUMEN TOTAL'!I117</f>
        <v>3120 E/THEVENET Y 158</v>
      </c>
      <c r="D94" s="30" t="str">
        <f>'RESUMEN TOTAL'!J117</f>
        <v>Fija</v>
      </c>
      <c r="E94" s="30" t="str">
        <f>'RESUMEN TOTAL'!K117</f>
        <v>Fibra Optica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VILLA ANGELICA</v>
      </c>
      <c r="B95" t="str">
        <f>'RESUMEN TOTAL'!G118</f>
        <v>VANG13</v>
      </c>
      <c r="C95" t="str">
        <f>'RESUMEN TOTAL'!I118</f>
        <v>TAPALQUE E/ BOLIVAR Y GORRITI</v>
      </c>
      <c r="D95" s="30" t="str">
        <f>'RESUMEN TOTAL'!J118</f>
        <v>Fija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VILLA ANGELICA</v>
      </c>
      <c r="B96" t="str">
        <f>'RESUMEN TOTAL'!G119</f>
        <v>VANG12</v>
      </c>
      <c r="C96" t="str">
        <f>'RESUMEN TOTAL'!I119</f>
        <v>TAPALQUE E/ BOLIVAR Y GORRITI</v>
      </c>
      <c r="D96" s="30" t="str">
        <f>'RESUMEN TOTAL'!J119</f>
        <v>Fija</v>
      </c>
      <c r="E96" s="30" t="str">
        <f>'RESUMEN TOTAL'!K119</f>
        <v>Fibra Optica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VILLA ANGELICA</v>
      </c>
      <c r="B97" t="str">
        <f>'RESUMEN TOTAL'!G120</f>
        <v>VANG11</v>
      </c>
      <c r="C97" t="str">
        <f>'RESUMEN TOTAL'!I120</f>
        <v>Senzabello y Braile</v>
      </c>
      <c r="D97" s="30" t="str">
        <f>'RESUMEN TOTAL'!J120</f>
        <v>fija</v>
      </c>
      <c r="E97" s="30" t="str">
        <f>'RESUMEN TOTAL'!K120</f>
        <v>Fibra Optica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 t="str">
        <f>'RESUMEN TOTAL'!AF120</f>
        <v>APAGADO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VILLA ANGELICA</v>
      </c>
      <c r="B98" t="str">
        <f>'RESUMEN TOTAL'!G121</f>
        <v>VANG10</v>
      </c>
      <c r="C98" t="str">
        <f>'RESUMEN TOTAL'!I121</f>
        <v>Senzabello y Braile</v>
      </c>
      <c r="D98" s="30" t="str">
        <f>'RESUMEN TOTAL'!J121</f>
        <v>fija</v>
      </c>
      <c r="E98" s="30" t="str">
        <f>'RESUMEN TOTAL'!K121</f>
        <v>GPON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 t="str">
        <f>'RESUMEN TOTAL'!AF121</f>
        <v>APAGADO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VILLA ANGELICA</v>
      </c>
      <c r="B99" t="str">
        <f>'RESUMEN TOTAL'!G122</f>
        <v>VANG08</v>
      </c>
      <c r="C99" t="str">
        <f>'RESUMEN TOTAL'!I122</f>
        <v>Calle 158 al 2200</v>
      </c>
      <c r="D99" s="30" t="str">
        <f>'RESUMEN TOTAL'!J122</f>
        <v>Domo</v>
      </c>
      <c r="E99" s="30" t="str">
        <f>'RESUMEN TOTAL'!K122</f>
        <v>PTO A FO</v>
      </c>
      <c r="F99" s="70" t="str">
        <f>'RESUMEN TOTAL'!S122</f>
        <v>APAGADO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 t="str">
        <f>'RESUMEN TOTAL'!X122</f>
        <v>APAGADO</v>
      </c>
      <c r="L99" s="70" t="str">
        <f>'RESUMEN TOTAL'!Y122</f>
        <v>APAGADO</v>
      </c>
      <c r="M99" s="70" t="str">
        <f>'RESUMEN TOTAL'!Z122</f>
        <v>APAGADO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 t="str">
        <f>'RESUMEN TOTAL'!AE122</f>
        <v>APAGADO</v>
      </c>
      <c r="S99" s="70" t="str">
        <f>'RESUMEN TOTAL'!AF122</f>
        <v>APAGADO</v>
      </c>
      <c r="T99" s="70" t="str">
        <f>'RESUMEN TOTAL'!AG122</f>
        <v>APAGADO</v>
      </c>
      <c r="U99" s="70" t="str">
        <f>'RESUMEN TOTAL'!AH122</f>
        <v>APAGADO</v>
      </c>
      <c r="V99" s="70" t="str">
        <f>'RESUMEN TOTAL'!AI122</f>
        <v>APAGADO</v>
      </c>
      <c r="W99" s="70">
        <f>'RESUMEN TOTAL'!AJ122</f>
        <v>0</v>
      </c>
      <c r="X99" s="70">
        <f>'RESUMEN TOTAL'!AK122</f>
        <v>0</v>
      </c>
      <c r="Y99" s="70" t="str">
        <f>'RESUMEN TOTAL'!AL122</f>
        <v>APAGADO</v>
      </c>
      <c r="Z99" s="70" t="str">
        <f>'RESUMEN TOTAL'!AM122</f>
        <v>APAGADO</v>
      </c>
      <c r="AA99" s="70" t="str">
        <f>'RESUMEN TOTAL'!AN122</f>
        <v>APAGADO</v>
      </c>
      <c r="AB99" s="70" t="str">
        <f>'RESUMEN TOTAL'!AO122</f>
        <v>APAGADO</v>
      </c>
      <c r="AC99" s="70" t="str">
        <f>'RESUMEN TOTAL'!AP122</f>
        <v>APAGADO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 t="str">
        <f>'RESUMEN TOTAL'!AT122</f>
        <v>APAGADO</v>
      </c>
      <c r="AH99" s="70" t="str">
        <f>'RESUMEN TOTAL'!AU122</f>
        <v>APAGADO</v>
      </c>
      <c r="AI99" s="70" t="str">
        <f>'RESUMEN TOTAL'!AV122</f>
        <v>APAGADO</v>
      </c>
      <c r="AJ99" s="70" t="e">
        <f>'RESUMEN TOTAL'!#REF!</f>
        <v>#REF!</v>
      </c>
    </row>
    <row r="100" spans="1:36" x14ac:dyDescent="0.25">
      <c r="A100" t="str">
        <f>'RESUMEN TOTAL'!F123</f>
        <v>VILLA ANGELICA</v>
      </c>
      <c r="B100" t="str">
        <f>'RESUMEN TOTAL'!G123</f>
        <v>VANG07</v>
      </c>
      <c r="C100" t="str">
        <f>'RESUMEN TOTAL'!I123</f>
        <v>Arenales y Thevenet</v>
      </c>
      <c r="D100" s="30" t="str">
        <f>'RESUMEN TOTAL'!J123</f>
        <v>Domo</v>
      </c>
      <c r="E100" s="30" t="str">
        <f>'RESUMEN TOTAL'!K123</f>
        <v>GPON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VILLA ANGELICA</v>
      </c>
      <c r="B101" t="str">
        <f>'RESUMEN TOTAL'!G124</f>
        <v>VANG06</v>
      </c>
      <c r="C101" t="str">
        <f>'RESUMEN TOTAL'!I124</f>
        <v>Arenales e/Thevenet y Calle 158</v>
      </c>
      <c r="D101" s="30" t="str">
        <f>'RESUMEN TOTAL'!J124</f>
        <v>DOMO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VILLA ANGELICA</v>
      </c>
      <c r="B102" t="str">
        <f>'RESUMEN TOTAL'!G125</f>
        <v>VANG05</v>
      </c>
      <c r="C102" t="str">
        <f>'RESUMEN TOTAL'!I125</f>
        <v>Storni y Thevenet</v>
      </c>
      <c r="D102" s="30" t="str">
        <f>'RESUMEN TOTAL'!J125</f>
        <v>Domo</v>
      </c>
      <c r="E102" s="30" t="str">
        <f>'RESUMEN TOTAL'!K125</f>
        <v>Fibra Optica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VILLA ANGELICA</v>
      </c>
      <c r="B103" t="str">
        <f>'RESUMEN TOTAL'!G126</f>
        <v>VANG04</v>
      </c>
      <c r="C103" t="str">
        <f>'RESUMEN TOTAL'!I126</f>
        <v>Storni e/Thevenet y Calle 158</v>
      </c>
      <c r="D103" s="30" t="str">
        <f>'RESUMEN TOTAL'!J126</f>
        <v>DOMO</v>
      </c>
      <c r="E103" s="30" t="str">
        <f>'RESUMEN TOTAL'!K126</f>
        <v>Fibra Optica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VILLA DEL PLATA</v>
      </c>
      <c r="B104" t="str">
        <f>'RESUMEN TOTAL'!G127</f>
        <v>VANG03</v>
      </c>
      <c r="C104" t="str">
        <f>'RESUMEN TOTAL'!I127</f>
        <v>Thevenet 1950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VILLA ANGELICA</v>
      </c>
      <c r="B105" t="str">
        <f>'RESUMEN TOTAL'!G128</f>
        <v>VANG02</v>
      </c>
      <c r="C105" t="str">
        <f>'RESUMEN TOTAL'!I128</f>
        <v>Thevenet y Ruta 36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 t="str">
        <f>'RESUMEN TOTAL'!AG128</f>
        <v>APAGADO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VILLA ANGELICA</v>
      </c>
      <c r="B106" t="str">
        <f>'RESUMEN TOTAL'!G129</f>
        <v>VANG01</v>
      </c>
      <c r="C106" t="str">
        <f>'RESUMEN TOTAL'!I129</f>
        <v>SENZABELLO Y REMDIOS DE ESCALADA</v>
      </c>
      <c r="D106" s="30" t="str">
        <f>'RESUMEN TOTAL'!J129</f>
        <v>Domo</v>
      </c>
      <c r="E106" s="30" t="str">
        <f>'RESUMEN TOTAL'!K129</f>
        <v>PTO A FO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 t="str">
        <f>'RESUMEN TOTAL'!AT129</f>
        <v>APAGADO</v>
      </c>
      <c r="AH106" s="70" t="str">
        <f>'RESUMEN TOTAL'!AU129</f>
        <v>APAGADO</v>
      </c>
      <c r="AI106" s="70" t="str">
        <f>'RESUMEN TOTAL'!AV129</f>
        <v>APAGADO</v>
      </c>
      <c r="AJ106" s="70" t="e">
        <f>'RESUMEN TOTAL'!#REF!</f>
        <v>#REF!</v>
      </c>
    </row>
    <row r="107" spans="1:36" x14ac:dyDescent="0.25">
      <c r="A107" t="str">
        <f>'RESUMEN TOTAL'!F130</f>
        <v>PRESIDENTE SARMIENTO</v>
      </c>
      <c r="B107" t="str">
        <f>'RESUMEN TOTAL'!G130</f>
        <v>VANG 09</v>
      </c>
      <c r="C107" t="str">
        <f>'RESUMEN TOTAL'!I130</f>
        <v>Ruta 36 y Senzabello</v>
      </c>
      <c r="D107" s="30" t="str">
        <f>'RESUMEN TOTAL'!J130</f>
        <v>Domo</v>
      </c>
      <c r="E107" s="30" t="str">
        <f>'RESUMEN TOTAL'!K130</f>
        <v>PTO A FO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 t="str">
        <f>'RESUMEN TOTAL'!AS130</f>
        <v>APAGADO</v>
      </c>
      <c r="AG107" s="70" t="str">
        <f>'RESUMEN TOTAL'!AT130</f>
        <v>APAGADO</v>
      </c>
      <c r="AH107" s="70" t="str">
        <f>'RESUMEN TOTAL'!AU130</f>
        <v>APAGADO</v>
      </c>
      <c r="AI107" s="70" t="str">
        <f>'RESUMEN TOTAL'!AV130</f>
        <v>APAGADO</v>
      </c>
      <c r="AJ107" s="70" t="e">
        <f>'RESUMEN TOTAL'!#REF!</f>
        <v>#REF!</v>
      </c>
    </row>
    <row r="108" spans="1:36" x14ac:dyDescent="0.25">
      <c r="A108">
        <f>'RESUMEN TOTAL'!F131</f>
        <v>0</v>
      </c>
      <c r="B108" t="str">
        <f>'RESUMEN TOTAL'!G131</f>
        <v>TDM01</v>
      </c>
      <c r="C108" t="str">
        <f>'RESUMEN TOTAL'!I131</f>
        <v xml:space="preserve">El malambo y  (417) La Tranquera </v>
      </c>
      <c r="D108" s="30" t="str">
        <f>'RESUMEN TOTAL'!J131</f>
        <v>Fija</v>
      </c>
      <c r="E108" s="30" t="str">
        <f>'RESUMEN TOTAL'!K131</f>
        <v>GPON</v>
      </c>
      <c r="F108" s="70" t="str">
        <f>'RESUMEN TOTAL'!S131</f>
        <v>APAGADO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 t="str">
        <f>'RESUMEN TOTAL'!AT131</f>
        <v>APAGADO</v>
      </c>
      <c r="AH108" s="70" t="str">
        <f>'RESUMEN TOTAL'!AU131</f>
        <v>APAGADO</v>
      </c>
      <c r="AI108" s="70" t="str">
        <f>'RESUMEN TOTAL'!AV131</f>
        <v>APAGADO</v>
      </c>
      <c r="AJ108" s="70" t="e">
        <f>'RESUMEN TOTAL'!#REF!</f>
        <v>#REF!</v>
      </c>
    </row>
    <row r="109" spans="1:36" x14ac:dyDescent="0.25">
      <c r="A109" t="str">
        <f>'RESUMEN TOTAL'!F132</f>
        <v>SANTO TOMAS</v>
      </c>
      <c r="B109" t="str">
        <f>'RESUMEN TOTAL'!G132</f>
        <v>STO01</v>
      </c>
      <c r="C109" t="str">
        <f>'RESUMEN TOTAL'!I132</f>
        <v>Tte. Gral Perón y La Paz</v>
      </c>
      <c r="D109" s="30" t="str">
        <f>'RESUMEN TOTAL'!J132</f>
        <v>DOMO</v>
      </c>
      <c r="E109" s="30" t="str">
        <f>'RESUMEN TOTAL'!K132</f>
        <v>GPON</v>
      </c>
      <c r="F109" s="70" t="str">
        <f>'RESUMEN TOTAL'!S132</f>
        <v>APAGADO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 t="str">
        <f>'RESUMEN TOTAL'!X132</f>
        <v>APAGADO</v>
      </c>
      <c r="L109" s="70" t="str">
        <f>'RESUMEN TOTAL'!Y132</f>
        <v>APAGADO</v>
      </c>
      <c r="M109" s="70" t="str">
        <f>'RESUMEN TOTAL'!Z132</f>
        <v>APAGADO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 t="str">
        <f>'RESUMEN TOTAL'!AE132</f>
        <v>APAGADO</v>
      </c>
      <c r="S109" s="70" t="str">
        <f>'RESUMEN TOTAL'!AF132</f>
        <v>APAGADO</v>
      </c>
      <c r="T109" s="70" t="str">
        <f>'RESUMEN TOTAL'!AG132</f>
        <v>APAGADO</v>
      </c>
      <c r="U109" s="70" t="str">
        <f>'RESUMEN TOTAL'!AH132</f>
        <v>APAGADO</v>
      </c>
      <c r="V109" s="70" t="str">
        <f>'RESUMEN TOTAL'!AI132</f>
        <v>APAGADO</v>
      </c>
      <c r="W109" s="70">
        <f>'RESUMEN TOTAL'!AJ132</f>
        <v>0</v>
      </c>
      <c r="X109" s="70">
        <f>'RESUMEN TOTAL'!AK132</f>
        <v>0</v>
      </c>
      <c r="Y109" s="70" t="str">
        <f>'RESUMEN TOTAL'!AL132</f>
        <v>APAGADO</v>
      </c>
      <c r="Z109" s="70" t="str">
        <f>'RESUMEN TOTAL'!AM132</f>
        <v>APAGADO</v>
      </c>
      <c r="AA109" s="70" t="str">
        <f>'RESUMEN TOTAL'!AN132</f>
        <v>APAGADO</v>
      </c>
      <c r="AB109" s="70" t="str">
        <f>'RESUMEN TOTAL'!AO132</f>
        <v>APAGADO</v>
      </c>
      <c r="AC109" s="70" t="str">
        <f>'RESUMEN TOTAL'!AP132</f>
        <v>APAGADO</v>
      </c>
      <c r="AD109" s="70">
        <f>'RESUMEN TOTAL'!AQ132</f>
        <v>0</v>
      </c>
      <c r="AE109" s="70">
        <f>'RESUMEN TOTAL'!AR132</f>
        <v>0</v>
      </c>
      <c r="AF109" s="70" t="str">
        <f>'RESUMEN TOTAL'!AS132</f>
        <v>APAGADO</v>
      </c>
      <c r="AG109" s="70" t="str">
        <f>'RESUMEN TOTAL'!AT132</f>
        <v>APAGADO</v>
      </c>
      <c r="AH109" s="70" t="str">
        <f>'RESUMEN TOTAL'!AU132</f>
        <v>APAGADO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SAN RUDECINDO</v>
      </c>
      <c r="B110" t="str">
        <f>'RESUMEN TOTAL'!G133</f>
        <v>SRU03</v>
      </c>
      <c r="C110" t="str">
        <f>'RESUMEN TOTAL'!I133</f>
        <v>SANTA SOFIA Y LUIS AGOTE</v>
      </c>
      <c r="D110" s="30" t="str">
        <f>'RESUMEN TOTAL'!J133</f>
        <v>DOMO</v>
      </c>
      <c r="E110" s="30" t="str">
        <f>'RESUMEN TOTAL'!K133</f>
        <v>GPON</v>
      </c>
      <c r="F110" s="70" t="str">
        <f>'RESUMEN TOTAL'!S133</f>
        <v>APAGADO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 t="str">
        <f>'RESUMEN TOTAL'!X133</f>
        <v>APAGADO</v>
      </c>
      <c r="L110" s="70" t="str">
        <f>'RESUMEN TOTAL'!Y133</f>
        <v>APAGADO</v>
      </c>
      <c r="M110" s="70" t="str">
        <f>'RESUMEN TOTAL'!Z133</f>
        <v>APAGADO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 t="str">
        <f>'RESUMEN TOTAL'!AE133</f>
        <v>APAGADO</v>
      </c>
      <c r="S110" s="70" t="str">
        <f>'RESUMEN TOTAL'!AF133</f>
        <v>APAGADO</v>
      </c>
      <c r="T110" s="70" t="str">
        <f>'RESUMEN TOTAL'!AG133</f>
        <v>APAGADO</v>
      </c>
      <c r="U110" s="70" t="str">
        <f>'RESUMEN TOTAL'!AH133</f>
        <v>APAGADO</v>
      </c>
      <c r="V110" s="70" t="str">
        <f>'RESUMEN TOTAL'!AI133</f>
        <v>APAGADO</v>
      </c>
      <c r="W110" s="70">
        <f>'RESUMEN TOTAL'!AJ133</f>
        <v>0</v>
      </c>
      <c r="X110" s="70">
        <f>'RESUMEN TOTAL'!AK133</f>
        <v>0</v>
      </c>
      <c r="Y110" s="70" t="str">
        <f>'RESUMEN TOTAL'!AL133</f>
        <v>APAGADO</v>
      </c>
      <c r="Z110" s="70" t="str">
        <f>'RESUMEN TOTAL'!AM133</f>
        <v>APAGADO</v>
      </c>
      <c r="AA110" s="70" t="str">
        <f>'RESUMEN TOTAL'!AN133</f>
        <v>APAGADO</v>
      </c>
      <c r="AB110" s="70" t="str">
        <f>'RESUMEN TOTAL'!AO133</f>
        <v>APAGADO</v>
      </c>
      <c r="AC110" s="70" t="str">
        <f>'RESUMEN TOTAL'!AP133</f>
        <v>APAGADO</v>
      </c>
      <c r="AD110" s="70">
        <f>'RESUMEN TOTAL'!AQ133</f>
        <v>0</v>
      </c>
      <c r="AE110" s="70">
        <f>'RESUMEN TOTAL'!AR133</f>
        <v>0</v>
      </c>
      <c r="AF110" s="70" t="str">
        <f>'RESUMEN TOTAL'!AS133</f>
        <v>APAGADO</v>
      </c>
      <c r="AG110" s="70" t="str">
        <f>'RESUMEN TOTAL'!AT133</f>
        <v>APAGADO</v>
      </c>
      <c r="AH110" s="70" t="str">
        <f>'RESUMEN TOTAL'!AU133</f>
        <v>APAGADO</v>
      </c>
      <c r="AI110" s="70" t="str">
        <f>'RESUMEN TOTAL'!AV133</f>
        <v>APAGADO</v>
      </c>
      <c r="AJ110" s="70" t="e">
        <f>'RESUMEN TOTAL'!#REF!</f>
        <v>#REF!</v>
      </c>
    </row>
    <row r="111" spans="1:36" x14ac:dyDescent="0.25">
      <c r="A111" t="str">
        <f>'RESUMEN TOTAL'!F148</f>
        <v>SANTA ROSA</v>
      </c>
      <c r="B111" t="str">
        <f>'RESUMEN TOTAL'!G148</f>
        <v>SRO10</v>
      </c>
      <c r="C111" t="str">
        <f>'RESUMEN TOTAL'!I148</f>
        <v>DINAMARCA Y MILAN</v>
      </c>
      <c r="D111" s="30" t="str">
        <f>'RESUMEN TOTAL'!J148</f>
        <v>DOMO</v>
      </c>
      <c r="E111" s="30" t="str">
        <f>'RESUMEN TOTAL'!K148</f>
        <v>Radio</v>
      </c>
      <c r="F111" s="70" t="str">
        <f>'RESUMEN TOTAL'!S148</f>
        <v>APAGADO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 t="str">
        <f>'RESUMEN TOTAL'!AH148</f>
        <v>APAGADO</v>
      </c>
      <c r="V111" s="70" t="str">
        <f>'RESUMEN TOTAL'!AI148</f>
        <v>APAGADO</v>
      </c>
      <c r="W111" s="70">
        <f>'RESUMEN TOTAL'!AJ148</f>
        <v>0</v>
      </c>
      <c r="X111" s="70">
        <f>'RESUMEN TOTAL'!AK148</f>
        <v>0</v>
      </c>
      <c r="Y111" s="70" t="str">
        <f>'RESUMEN TOTAL'!AL148</f>
        <v>APAGADO</v>
      </c>
      <c r="Z111" s="70" t="str">
        <f>'RESUMEN TOTAL'!AM148</f>
        <v>APAGADO</v>
      </c>
      <c r="AA111" s="70" t="str">
        <f>'RESUMEN TOTAL'!AN148</f>
        <v>APAGADO</v>
      </c>
      <c r="AB111" s="70" t="str">
        <f>'RESUMEN TOTAL'!AO148</f>
        <v>APAGADO</v>
      </c>
      <c r="AC111" s="70" t="str">
        <f>'RESUMEN TOTAL'!AP148</f>
        <v>APAGADO</v>
      </c>
      <c r="AD111" s="70">
        <f>'RESUMEN TOTAL'!AQ148</f>
        <v>0</v>
      </c>
      <c r="AE111" s="70">
        <f>'RESUMEN TOTAL'!AR148</f>
        <v>0</v>
      </c>
      <c r="AF111" s="70" t="str">
        <f>'RESUMEN TOTAL'!AS148</f>
        <v>APAGADO</v>
      </c>
      <c r="AG111" s="70" t="str">
        <f>'RESUMEN TOTAL'!AT148</f>
        <v>APAGADO</v>
      </c>
      <c r="AH111" s="70" t="str">
        <f>'RESUMEN TOTAL'!AU148</f>
        <v>APAGADO</v>
      </c>
      <c r="AI111" s="70" t="str">
        <f>'RESUMEN TOTAL'!AV148</f>
        <v>APAGADO</v>
      </c>
      <c r="AJ111" s="70" t="e">
        <f>'RESUMEN TOTAL'!#REF!</f>
        <v>#REF!</v>
      </c>
    </row>
    <row r="112" spans="1:36" x14ac:dyDescent="0.25">
      <c r="A112" t="str">
        <f>'RESUMEN TOTAL'!F149</f>
        <v>SANTA ROSA</v>
      </c>
      <c r="B112" t="str">
        <f>'RESUMEN TOTAL'!G149</f>
        <v>SRO09</v>
      </c>
      <c r="C112" t="str">
        <f>'RESUMEN TOTAL'!I149</f>
        <v>BUCAREST E/ ALEMANIA Y CAFFERATA</v>
      </c>
      <c r="D112" s="30" t="str">
        <f>'RESUMEN TOTAL'!J149</f>
        <v>DOMO</v>
      </c>
      <c r="E112" s="30" t="str">
        <f>'RESUMEN TOTAL'!K149</f>
        <v>Radio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SANTA ROSA</v>
      </c>
      <c r="B113" t="str">
        <f>'RESUMEN TOTAL'!G150</f>
        <v>SRO07</v>
      </c>
      <c r="C113" t="str">
        <f>'RESUMEN TOTAL'!I150</f>
        <v>NOVAK Y BELGICA</v>
      </c>
      <c r="D113" s="30" t="str">
        <f>'RESUMEN TOTAL'!J150</f>
        <v>Domo</v>
      </c>
      <c r="E113" s="30" t="str">
        <f>'RESUMEN TOTAL'!K150</f>
        <v>Fibra Optica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SANTA ROSA</v>
      </c>
      <c r="B114" t="str">
        <f>'RESUMEN TOTAL'!G151</f>
        <v>SRO06</v>
      </c>
      <c r="C114" t="str">
        <f>'RESUMEN TOTAL'!I151</f>
        <v>Novak y Bonn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 t="str">
        <f>'RESUMEN TOTAL'!F152</f>
        <v>SANTA ROSA</v>
      </c>
      <c r="B115" t="str">
        <f>'RESUMEN TOTAL'!G152</f>
        <v>SRO05</v>
      </c>
      <c r="C115" t="str">
        <f>'RESUMEN TOTAL'!I152</f>
        <v>CAFFERATA Y BONN</v>
      </c>
      <c r="D115" s="30" t="str">
        <f>'RESUMEN TOTAL'!J152</f>
        <v>DOMO</v>
      </c>
      <c r="E115" s="30" t="str">
        <f>'RESUMEN TOTAL'!K152</f>
        <v>Radio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SANTA ROSA</v>
      </c>
      <c r="B116" t="str">
        <f>'RESUMEN TOTAL'!G153</f>
        <v>SRO03</v>
      </c>
      <c r="C116" t="str">
        <f>'RESUMEN TOTAL'!I153</f>
        <v>Eva Peron y Paysandu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 t="str">
        <f>'RESUMEN TOTAL'!Z153</f>
        <v>APAGADO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ZONA RURAL SANTA ROSA</v>
      </c>
      <c r="B117" t="str">
        <f>'RESUMEN TOTAL'!G154</f>
        <v>SRO02</v>
      </c>
      <c r="C117" t="str">
        <f>'RESUMEN TOTAL'!I154</f>
        <v>Bruselas y Calle 647</v>
      </c>
      <c r="D117" s="30" t="str">
        <f>'RESUMEN TOTAL'!J154</f>
        <v>Domo</v>
      </c>
      <c r="E117" s="30" t="str">
        <f>'RESUMEN TOTAL'!K154</f>
        <v>PTO A FO</v>
      </c>
      <c r="F117" s="70" t="str">
        <f>'RESUMEN TOTAL'!S154</f>
        <v>APAGADO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 t="str">
        <f>'RESUMEN TOTAL'!X154</f>
        <v>APAGADO</v>
      </c>
      <c r="L117" s="70" t="str">
        <f>'RESUMEN TOTAL'!Y154</f>
        <v>APAGADO</v>
      </c>
      <c r="M117" s="70" t="str">
        <f>'RESUMEN TOTAL'!Z154</f>
        <v>APAGADO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SANTA ROSA</v>
      </c>
      <c r="B118" t="str">
        <f>'RESUMEN TOTAL'!G155</f>
        <v>SRO01</v>
      </c>
      <c r="C118" t="str">
        <f>'RESUMEN TOTAL'!I155</f>
        <v>Yugoslavia y MilÃ¡n</v>
      </c>
      <c r="D118" s="30" t="str">
        <f>'RESUMEN TOTAL'!J155</f>
        <v>Domo</v>
      </c>
      <c r="E118" s="30" t="str">
        <f>'RESUMEN TOTAL'!K155</f>
        <v>PTO A FO</v>
      </c>
      <c r="F118" s="70" t="str">
        <f>'RESUMEN TOTAL'!S155</f>
        <v>APAGADO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 t="str">
        <f>'RESUMEN TOTAL'!X155</f>
        <v>APAGADO</v>
      </c>
      <c r="L118" s="70" t="str">
        <f>'RESUMEN TOTAL'!Y155</f>
        <v>APAGADO</v>
      </c>
      <c r="M118" s="70" t="str">
        <f>'RESUMEN TOTAL'!Z155</f>
        <v>APAGADO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SANTA ROSA</v>
      </c>
      <c r="B119" t="str">
        <f>'RESUMEN TOTAL'!G157</f>
        <v>SRO 18 (fija 1)</v>
      </c>
      <c r="C119" t="str">
        <f>'RESUMEN TOTAL'!I157</f>
        <v>GRAN CANARIA Y BUDAPEST</v>
      </c>
      <c r="D119" s="30" t="str">
        <f>'RESUMEN TOTAL'!J157</f>
        <v>Fija</v>
      </c>
      <c r="E119" s="30" t="str">
        <f>'RESUMEN TOTAL'!K157</f>
        <v>Fibra Optica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ZONA RURAL SANTA ROSA</v>
      </c>
      <c r="B120" t="str">
        <f>'RESUMEN TOTAL'!G158</f>
        <v>SRO 14 (fija 2)</v>
      </c>
      <c r="C120" t="str">
        <f>'RESUMEN TOTAL'!I158</f>
        <v>BRUSELAS E/ GRECIA Y CHECOSLOVAQUIA</v>
      </c>
      <c r="D120" s="30" t="str">
        <f>'RESUMEN TOTAL'!J158</f>
        <v>Fija</v>
      </c>
      <c r="E120" s="30" t="str">
        <f>'RESUMEN TOTAL'!K158</f>
        <v>PTO A FO</v>
      </c>
      <c r="F120" s="70" t="str">
        <f>'RESUMEN TOTAL'!S158</f>
        <v>APAGADO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 t="str">
        <f>'RESUMEN TOTAL'!X158</f>
        <v>APAGADO</v>
      </c>
      <c r="L120" s="70" t="str">
        <f>'RESUMEN TOTAL'!Y158</f>
        <v>APAGADO</v>
      </c>
      <c r="M120" s="70" t="str">
        <f>'RESUMEN TOTAL'!Z158</f>
        <v>APAGADO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 t="str">
        <f>'RESUMEN TOTAL'!AE158</f>
        <v>APAGADO</v>
      </c>
      <c r="S120" s="70" t="str">
        <f>'RESUMEN TOTAL'!AF158</f>
        <v>APAGADO</v>
      </c>
      <c r="T120" s="70" t="str">
        <f>'RESUMEN TOTAL'!AG158</f>
        <v>APAGADO</v>
      </c>
      <c r="U120" s="70" t="str">
        <f>'RESUMEN TOTAL'!AH158</f>
        <v>APAGADO</v>
      </c>
      <c r="V120" s="70" t="str">
        <f>'RESUMEN TOTAL'!AI158</f>
        <v>APAGADO</v>
      </c>
      <c r="W120" s="70">
        <f>'RESUMEN TOTAL'!AJ158</f>
        <v>0</v>
      </c>
      <c r="X120" s="70">
        <f>'RESUMEN TOTAL'!AK158</f>
        <v>0</v>
      </c>
      <c r="Y120" s="70" t="str">
        <f>'RESUMEN TOTAL'!AL158</f>
        <v>APAGADO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ZONA RURAL SANTA ROSA</v>
      </c>
      <c r="B121" t="str">
        <f>'RESUMEN TOTAL'!G159</f>
        <v>SRO 13 (fija 1)</v>
      </c>
      <c r="C121" t="str">
        <f>'RESUMEN TOTAL'!I159</f>
        <v>BRUSELAS E/ GRECIA Y CHECOSLOVAQUIA</v>
      </c>
      <c r="D121" s="30" t="str">
        <f>'RESUMEN TOTAL'!J159</f>
        <v>Fija</v>
      </c>
      <c r="E121" s="30" t="str">
        <f>'RESUMEN TOTAL'!K159</f>
        <v>PTO A FO</v>
      </c>
      <c r="F121" s="70" t="str">
        <f>'RESUMEN TOTAL'!S159</f>
        <v>APAGADO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 t="str">
        <f>'RESUMEN TOTAL'!X159</f>
        <v>APAGADO</v>
      </c>
      <c r="L121" s="70" t="str">
        <f>'RESUMEN TOTAL'!Y159</f>
        <v>APAGADO</v>
      </c>
      <c r="M121" s="70" t="str">
        <f>'RESUMEN TOTAL'!Z159</f>
        <v>APAGADO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SANTA ROSA</v>
      </c>
      <c r="B122" t="str">
        <f>'RESUMEN TOTAL'!G160</f>
        <v>SRO 11</v>
      </c>
      <c r="C122" t="str">
        <f>'RESUMEN TOTAL'!I160</f>
        <v>MILAN Y MALLORCA</v>
      </c>
      <c r="D122" s="30" t="str">
        <f>'RESUMEN TOTAL'!J160</f>
        <v>DOMO</v>
      </c>
      <c r="E122" s="30" t="str">
        <f>'RESUMEN TOTAL'!K160</f>
        <v>Radio</v>
      </c>
      <c r="F122" s="70" t="str">
        <f>'RESUMEN TOTAL'!S160</f>
        <v>APAGADO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 t="str">
        <f>'RESUMEN TOTAL'!X160</f>
        <v>APAGADO</v>
      </c>
      <c r="L122" s="70" t="str">
        <f>'RESUMEN TOTAL'!Y160</f>
        <v>APAGADO</v>
      </c>
      <c r="M122" s="70" t="str">
        <f>'RESUMEN TOTAL'!Z160</f>
        <v>APAGADO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 t="str">
        <f>'RESUMEN TOTAL'!AE160</f>
        <v>APAGADO</v>
      </c>
      <c r="S122" s="70" t="str">
        <f>'RESUMEN TOTAL'!AF160</f>
        <v>APAGADO</v>
      </c>
      <c r="T122" s="70" t="str">
        <f>'RESUMEN TOTAL'!AG160</f>
        <v>APAGADO</v>
      </c>
      <c r="U122" s="70" t="str">
        <f>'RESUMEN TOTAL'!AH160</f>
        <v>APAGADO</v>
      </c>
      <c r="V122" s="70" t="str">
        <f>'RESUMEN TOTAL'!AI160</f>
        <v>APAGADO</v>
      </c>
      <c r="W122" s="70">
        <f>'RESUMEN TOTAL'!AJ160</f>
        <v>0</v>
      </c>
      <c r="X122" s="70">
        <f>'RESUMEN TOTAL'!AK160</f>
        <v>0</v>
      </c>
      <c r="Y122" s="70" t="str">
        <f>'RESUMEN TOTAL'!AL160</f>
        <v>APAGADO</v>
      </c>
      <c r="Z122" s="70" t="str">
        <f>'RESUMEN TOTAL'!AM160</f>
        <v>APAGADO</v>
      </c>
      <c r="AA122" s="70" t="str">
        <f>'RESUMEN TOTAL'!AN160</f>
        <v>APAGADO</v>
      </c>
      <c r="AB122" s="70" t="str">
        <f>'RESUMEN TOTAL'!AO160</f>
        <v>APAGADO</v>
      </c>
      <c r="AC122" s="70" t="str">
        <f>'RESUMEN TOTAL'!AP160</f>
        <v>APAGADO</v>
      </c>
      <c r="AD122" s="70">
        <f>'RESUMEN TOTAL'!AQ160</f>
        <v>0</v>
      </c>
      <c r="AE122" s="70">
        <f>'RESUMEN TOTAL'!AR160</f>
        <v>0</v>
      </c>
      <c r="AF122" s="70" t="str">
        <f>'RESUMEN TOTAL'!AS160</f>
        <v>APAGADO</v>
      </c>
      <c r="AG122" s="70" t="str">
        <f>'RESUMEN TOTAL'!AT160</f>
        <v>APAGADO</v>
      </c>
      <c r="AH122" s="70" t="str">
        <f>'RESUMEN TOTAL'!AU160</f>
        <v>APAGADO</v>
      </c>
      <c r="AI122" s="70" t="str">
        <f>'RESUMEN TOTAL'!AV160</f>
        <v>APAGADO</v>
      </c>
      <c r="AJ122" s="70" t="e">
        <f>'RESUMEN TOTAL'!#REF!</f>
        <v>#REF!</v>
      </c>
    </row>
    <row r="123" spans="1:36" x14ac:dyDescent="0.25">
      <c r="A123" t="str">
        <f>'RESUMEN TOTAL'!F161</f>
        <v>SANTA ROSA</v>
      </c>
      <c r="B123" t="str">
        <f>'RESUMEN TOTAL'!G161</f>
        <v>SRO 08</v>
      </c>
      <c r="C123" t="str">
        <f>'RESUMEN TOTAL'!I161</f>
        <v>NOVAK E/ DESSY Y BELGICA (POLIDEPORTIVO LA PATRIADA)</v>
      </c>
      <c r="D123" s="30" t="str">
        <f>'RESUMEN TOTAL'!J161</f>
        <v>Domo</v>
      </c>
      <c r="E123" s="30" t="str">
        <f>'RESUMEN TOTAL'!K161</f>
        <v>Fibra Optica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SANTA ROSA</v>
      </c>
      <c r="B124" t="str">
        <f>'RESUMEN TOTAL'!G162</f>
        <v>SRO 04</v>
      </c>
      <c r="C124" t="str">
        <f>'RESUMEN TOTAL'!I162</f>
        <v>Belgica y Andorra</v>
      </c>
      <c r="D124" s="30" t="str">
        <f>'RESUMEN TOTAL'!J162</f>
        <v>Domo</v>
      </c>
      <c r="E124" s="30" t="str">
        <f>'RESUMEN TOTAL'!K162</f>
        <v>GPON</v>
      </c>
      <c r="F124" s="70" t="str">
        <f>'RESUMEN TOTAL'!S162</f>
        <v>APAGADO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 t="str">
        <f>'RESUMEN TOTAL'!X162</f>
        <v>APAGADO</v>
      </c>
      <c r="L124" s="70" t="str">
        <f>'RESUMEN TOTAL'!Y162</f>
        <v>APAGADO</v>
      </c>
      <c r="M124" s="70" t="str">
        <f>'RESUMEN TOTAL'!Z162</f>
        <v>APAGADO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 t="str">
        <f>'RESUMEN TOTAL'!AE162</f>
        <v>APAGADO</v>
      </c>
      <c r="S124" s="70">
        <f>'RESUMEN TOTAL'!AF162</f>
        <v>0</v>
      </c>
      <c r="T124" s="70" t="str">
        <f>'RESUMEN TOTAL'!AG162</f>
        <v>APAGADO</v>
      </c>
      <c r="U124" s="70" t="str">
        <f>'RESUMEN TOTAL'!AH162</f>
        <v>APAGADO</v>
      </c>
      <c r="V124" s="70" t="str">
        <f>'RESUMEN TOTAL'!AI162</f>
        <v>APAGADO</v>
      </c>
      <c r="W124" s="70">
        <f>'RESUMEN TOTAL'!AJ162</f>
        <v>0</v>
      </c>
      <c r="X124" s="70">
        <f>'RESUMEN TOTAL'!AK162</f>
        <v>0</v>
      </c>
      <c r="Y124" s="70" t="str">
        <f>'RESUMEN TOTAL'!AL162</f>
        <v>APAGADO</v>
      </c>
      <c r="Z124" s="70" t="str">
        <f>'RESUMEN TOTAL'!AM162</f>
        <v>APAGADO</v>
      </c>
      <c r="AA124" s="70" t="str">
        <f>'RESUMEN TOTAL'!AN162</f>
        <v>APAGADO</v>
      </c>
      <c r="AB124" s="70" t="str">
        <f>'RESUMEN TOTAL'!AO162</f>
        <v>APAGADO</v>
      </c>
      <c r="AC124" s="70" t="str">
        <f>'RESUMEN TOTAL'!AP162</f>
        <v>APAGADO</v>
      </c>
      <c r="AD124" s="70">
        <f>'RESUMEN TOTAL'!AQ162</f>
        <v>0</v>
      </c>
      <c r="AE124" s="70">
        <f>'RESUMEN TOTAL'!AR162</f>
        <v>0</v>
      </c>
      <c r="AF124" s="70" t="str">
        <f>'RESUMEN TOTAL'!AS162</f>
        <v>APAGADO</v>
      </c>
      <c r="AG124" s="70" t="str">
        <f>'RESUMEN TOTAL'!AT162</f>
        <v>APAGADO</v>
      </c>
      <c r="AH124" s="70" t="str">
        <f>'RESUMEN TOTAL'!AU162</f>
        <v>APAGADO</v>
      </c>
      <c r="AI124" s="70" t="str">
        <f>'RESUMEN TOTAL'!AV162</f>
        <v>APAGADO</v>
      </c>
      <c r="AJ124" s="70" t="e">
        <f>'RESUMEN TOTAL'!#REF!</f>
        <v>#REF!</v>
      </c>
    </row>
    <row r="125" spans="1:36" x14ac:dyDescent="0.25">
      <c r="A125" t="str">
        <f>'RESUMEN TOTAL'!F163</f>
        <v>SAN NICOLAS</v>
      </c>
      <c r="B125" t="str">
        <f>'RESUMEN TOTAL'!G163</f>
        <v>SNI02 (fija 2)</v>
      </c>
      <c r="C125" t="str">
        <f>'RESUMEN TOTAL'!I163</f>
        <v>SARRATEA E/ EEUU DE A. Y AGRELO</v>
      </c>
      <c r="D125" s="30" t="str">
        <f>'RESUMEN TOTAL'!J163</f>
        <v>Fija</v>
      </c>
      <c r="E125" s="30" t="str">
        <f>'RESUMEN TOTAL'!K163</f>
        <v>Fibra Optica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 t="str">
        <f>'RESUMEN TOTAL'!Z163</f>
        <v>APAGADO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 t="str">
        <f>'RESUMEN TOTAL'!AF163</f>
        <v>APAGADO</v>
      </c>
      <c r="T125" s="70" t="str">
        <f>'RESUMEN TOTAL'!AG163</f>
        <v>APAGADO</v>
      </c>
      <c r="U125" s="70" t="str">
        <f>'RESUMEN TOTAL'!AH163</f>
        <v>APAGADO</v>
      </c>
      <c r="V125" s="70" t="str">
        <f>'RESUMEN TOTAL'!AI163</f>
        <v>APAGADO</v>
      </c>
      <c r="W125" s="70">
        <f>'RESUMEN TOTAL'!AJ163</f>
        <v>0</v>
      </c>
      <c r="X125" s="70">
        <f>'RESUMEN TOTAL'!AK163</f>
        <v>0</v>
      </c>
      <c r="Y125" s="70" t="str">
        <f>'RESUMEN TOTAL'!AL163</f>
        <v>APAGADO</v>
      </c>
      <c r="Z125" s="70" t="str">
        <f>'RESUMEN TOTAL'!AM163</f>
        <v>APAGADO</v>
      </c>
      <c r="AA125" s="70" t="str">
        <f>'RESUMEN TOTAL'!AN163</f>
        <v>APAGADO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SAN MARTIN</v>
      </c>
      <c r="B126" t="str">
        <f>'RESUMEN TOTAL'!G169</f>
        <v>SNA03</v>
      </c>
      <c r="C126" t="str">
        <f>'RESUMEN TOTAL'!I169</f>
        <v>Combate de los Pozos y Cantu</v>
      </c>
      <c r="D126" s="30" t="str">
        <f>'RESUMEN TOTAL'!J169</f>
        <v>fija</v>
      </c>
      <c r="E126" s="30" t="str">
        <f>'RESUMEN TOTAL'!K169</f>
        <v>GPON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SAN EMILIO</v>
      </c>
      <c r="B127" t="str">
        <f>'RESUMEN TOTAL'!G170</f>
        <v>SMAT01</v>
      </c>
      <c r="C127" t="str">
        <f>'RESUMEN TOTAL'!I170</f>
        <v xml:space="preserve">AV BOSQUES Y CANTU </v>
      </c>
      <c r="D127" s="30" t="str">
        <f>'RESUMEN TOTAL'!J170</f>
        <v>DOMO</v>
      </c>
      <c r="E127" s="30" t="str">
        <f>'RESUMEN TOTAL'!K170</f>
        <v>GPON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 t="str">
        <f>'RESUMEN TOTAL'!Z170</f>
        <v>APAGADO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 t="str">
        <f>'RESUMEN TOTAL'!AL170</f>
        <v>APAGADO</v>
      </c>
      <c r="Z127" s="70" t="str">
        <f>'RESUMEN TOTAL'!AM170</f>
        <v>APAGADO</v>
      </c>
      <c r="AA127" s="70" t="str">
        <f>'RESUMEN TOTAL'!AN170</f>
        <v>APAGADO</v>
      </c>
      <c r="AB127" s="70" t="str">
        <f>'RESUMEN TOTAL'!AO170</f>
        <v>APAGADO</v>
      </c>
      <c r="AC127" s="70" t="str">
        <f>'RESUMEN TOTAL'!AP170</f>
        <v>APAGADO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VILLA GENERAL SAN MARTIN</v>
      </c>
      <c r="B128" t="str">
        <f>'RESUMEN TOTAL'!G171</f>
        <v>SMA05</v>
      </c>
      <c r="C128" t="str">
        <f>'RESUMEN TOTAL'!I171</f>
        <v>MONTEVIDEO Y VILLEGAS</v>
      </c>
      <c r="D128" s="30" t="str">
        <f>'RESUMEN TOTAL'!J171</f>
        <v>DOMO</v>
      </c>
      <c r="E128" s="30" t="str">
        <f>'RESUMEN TOTAL'!K171</f>
        <v>PTO A FO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 t="str">
        <f>'RESUMEN TOTAL'!AE171</f>
        <v>APAGADO</v>
      </c>
      <c r="S128" s="70" t="str">
        <f>'RESUMEN TOTAL'!AF171</f>
        <v>APAGADO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 t="str">
        <f>'RESUMEN TOTAL'!AO171</f>
        <v>APAGADO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VILLA GENERAL SAN MARTIN</v>
      </c>
      <c r="B129" t="str">
        <f>'RESUMEN TOTAL'!G172</f>
        <v>SMA02</v>
      </c>
      <c r="C129" t="str">
        <f>'RESUMEN TOTAL'!I172</f>
        <v>Hudson y San Nicolas</v>
      </c>
      <c r="D129" s="30" t="str">
        <f>'RESUMEN TOTAL'!J172</f>
        <v>Domo</v>
      </c>
      <c r="E129" s="30" t="str">
        <f>'RESUMEN TOTAL'!K172</f>
        <v>GPON</v>
      </c>
      <c r="F129" s="70" t="str">
        <f>'RESUMEN TOTAL'!S172</f>
        <v>APAGADO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 t="str">
        <f>'RESUMEN TOTAL'!X172</f>
        <v>APAGADO</v>
      </c>
      <c r="L129" s="70" t="str">
        <f>'RESUMEN TOTAL'!Y172</f>
        <v>APAGADO</v>
      </c>
      <c r="M129" s="70" t="str">
        <f>'RESUMEN TOTAL'!Z172</f>
        <v>APAGADO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 t="str">
        <f>'RESUMEN TOTAL'!AE172</f>
        <v>APAGADO</v>
      </c>
      <c r="S129" s="70" t="str">
        <f>'RESUMEN TOTAL'!AF172</f>
        <v>APAGADO</v>
      </c>
      <c r="T129" s="70" t="str">
        <f>'RESUMEN TOTAL'!AG172</f>
        <v>APAGADO</v>
      </c>
      <c r="U129" s="70" t="str">
        <f>'RESUMEN TOTAL'!AH172</f>
        <v>APAGADO</v>
      </c>
      <c r="V129" s="70" t="str">
        <f>'RESUMEN TOTAL'!AI172</f>
        <v>APAGADO</v>
      </c>
      <c r="W129" s="70">
        <f>'RESUMEN TOTAL'!AJ172</f>
        <v>0</v>
      </c>
      <c r="X129" s="70">
        <f>'RESUMEN TOTAL'!AK172</f>
        <v>0</v>
      </c>
      <c r="Y129" s="70" t="str">
        <f>'RESUMEN TOTAL'!AL172</f>
        <v>APAGADO</v>
      </c>
      <c r="Z129" s="70" t="str">
        <f>'RESUMEN TOTAL'!AM172</f>
        <v>APAGADO</v>
      </c>
      <c r="AA129" s="70" t="str">
        <f>'RESUMEN TOTAL'!AN172</f>
        <v>APAGADO</v>
      </c>
      <c r="AB129" s="70" t="str">
        <f>'RESUMEN TOTAL'!AO172</f>
        <v>APAGADO</v>
      </c>
      <c r="AC129" s="70" t="str">
        <f>'RESUMEN TOTAL'!AP172</f>
        <v>APAGADO</v>
      </c>
      <c r="AD129" s="70">
        <f>'RESUMEN TOTAL'!AQ172</f>
        <v>0</v>
      </c>
      <c r="AE129" s="70">
        <f>'RESUMEN TOTAL'!AR172</f>
        <v>0</v>
      </c>
      <c r="AF129" s="70" t="str">
        <f>'RESUMEN TOTAL'!AS172</f>
        <v>APAGADO</v>
      </c>
      <c r="AG129" s="70" t="str">
        <f>'RESUMEN TOTAL'!AT172</f>
        <v>APAGADO</v>
      </c>
      <c r="AH129" s="70" t="str">
        <f>'RESUMEN TOTAL'!AU172</f>
        <v>APAGADO</v>
      </c>
      <c r="AI129" s="70" t="str">
        <f>'RESUMEN TOTAL'!AV172</f>
        <v>APAGADO</v>
      </c>
      <c r="AJ129" s="70" t="e">
        <f>'RESUMEN TOTAL'!#REF!</f>
        <v>#REF!</v>
      </c>
    </row>
    <row r="130" spans="1:36" x14ac:dyDescent="0.25">
      <c r="A130" t="str">
        <f>'RESUMEN TOTAL'!F175</f>
        <v>SAN MARTIN</v>
      </c>
      <c r="B130" t="str">
        <f>'RESUMEN TOTAL'!G175</f>
        <v>SMA 08</v>
      </c>
      <c r="C130" t="str">
        <f>'RESUMEN TOTAL'!I175</f>
        <v>12 De Octubre y H. Lagos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>
        <f>'RESUMEN TOTAL'!V175</f>
        <v>0</v>
      </c>
      <c r="J130" s="70">
        <f>'RESUMEN TOTAL'!W175</f>
        <v>0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VILLA GENERAL SAN MARTIN</v>
      </c>
      <c r="B131" t="str">
        <f>'RESUMEN TOTAL'!G176</f>
        <v>SMA 07</v>
      </c>
      <c r="C131" t="str">
        <f>'RESUMEN TOTAL'!I176</f>
        <v>AV. HUDSON Y RIO TURBIO</v>
      </c>
      <c r="D131" s="30" t="str">
        <f>'RESUMEN TOTAL'!J176</f>
        <v>DOMO</v>
      </c>
      <c r="E131" s="30" t="str">
        <f>'RESUMEN TOTAL'!K176</f>
        <v>GPON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>
        <f>'RESUMEN TOTAL'!V176</f>
        <v>0</v>
      </c>
      <c r="J131" s="70">
        <f>'RESUMEN TOTAL'!W176</f>
        <v>0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 t="str">
        <f>'RESUMEN TOTAL'!AE176</f>
        <v>APAGADO</v>
      </c>
      <c r="S131" s="70" t="str">
        <f>'RESUMEN TOTAL'!AF176</f>
        <v>APAGADO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 t="str">
        <f>'RESUMEN TOTAL'!AN176</f>
        <v>APAGADO</v>
      </c>
      <c r="AB131" s="70" t="str">
        <f>'RESUMEN TOTAL'!AO176</f>
        <v>APAGADO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 t="str">
        <f>'RESUMEN TOTAL'!AS176</f>
        <v>APAGADO</v>
      </c>
      <c r="AG131" s="70" t="str">
        <f>'RESUMEN TOTAL'!AT176</f>
        <v>APAGADO</v>
      </c>
      <c r="AH131" s="70">
        <f>'RESUMEN TOTAL'!AU176</f>
        <v>0</v>
      </c>
      <c r="AI131" s="70" t="str">
        <f>'RESUMEN TOTAL'!AV176</f>
        <v>APAGADO</v>
      </c>
      <c r="AJ131" s="70" t="e">
        <f>'RESUMEN TOTAL'!#REF!</f>
        <v>#REF!</v>
      </c>
    </row>
    <row r="132" spans="1:36" x14ac:dyDescent="0.25">
      <c r="A132" t="str">
        <f>'RESUMEN TOTAL'!F177</f>
        <v>VILLA GENERAL SAN MARTIN</v>
      </c>
      <c r="B132" t="str">
        <f>'RESUMEN TOTAL'!G177</f>
        <v>SMA 06</v>
      </c>
      <c r="C132" t="str">
        <f>'RESUMEN TOTAL'!I177</f>
        <v>AV. HUDSON Y RIO IGUAZU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VILLA GENERAL SAN MARTIN</v>
      </c>
      <c r="B133" t="str">
        <f>'RESUMEN TOTAL'!G178</f>
        <v>SMA 04</v>
      </c>
      <c r="C133" t="str">
        <f>'RESUMEN TOTAL'!I178</f>
        <v>HUDSON Y MONTEVIDEO</v>
      </c>
      <c r="D133" s="30" t="str">
        <f>'RESUMEN TOTAL'!J178</f>
        <v>FIJA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VILLA GENERAL SAN MARTIN</v>
      </c>
      <c r="B134" t="str">
        <f>'RESUMEN TOTAL'!G179</f>
        <v>SMA 03</v>
      </c>
      <c r="C134" t="str">
        <f>'RESUMEN TOTAL'!I179</f>
        <v>ROSARIO Y SAN NICOLAS</v>
      </c>
      <c r="D134" s="30" t="str">
        <f>'RESUMEN TOTAL'!J179</f>
        <v>Domo</v>
      </c>
      <c r="E134" s="30" t="str">
        <f>'RESUMEN TOTAL'!K179</f>
        <v>Radio</v>
      </c>
      <c r="F134" s="70" t="str">
        <f>'RESUMEN TOTAL'!S179</f>
        <v>APAGADO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 t="str">
        <f>'RESUMEN TOTAL'!X179</f>
        <v>APAGADO</v>
      </c>
      <c r="L134" s="70" t="str">
        <f>'RESUMEN TOTAL'!Y179</f>
        <v>APAGADO</v>
      </c>
      <c r="M134" s="70" t="str">
        <f>'RESUMEN TOTAL'!Z179</f>
        <v>APAGADO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 t="str">
        <f>'RESUMEN TOTAL'!AE179</f>
        <v>APAGADO</v>
      </c>
      <c r="S134" s="70" t="str">
        <f>'RESUMEN TOTAL'!AF179</f>
        <v>APAGADO</v>
      </c>
      <c r="T134" s="70" t="str">
        <f>'RESUMEN TOTAL'!AG179</f>
        <v>APAGADO</v>
      </c>
      <c r="U134" s="70" t="str">
        <f>'RESUMEN TOTAL'!AH179</f>
        <v>APAGADO</v>
      </c>
      <c r="V134" s="70" t="str">
        <f>'RESUMEN TOTAL'!AI179</f>
        <v>APAGADO</v>
      </c>
      <c r="W134" s="70">
        <f>'RESUMEN TOTAL'!AJ179</f>
        <v>0</v>
      </c>
      <c r="X134" s="70">
        <f>'RESUMEN TOTAL'!AK179</f>
        <v>0</v>
      </c>
      <c r="Y134" s="70" t="str">
        <f>'RESUMEN TOTAL'!AL179</f>
        <v>APAGADO</v>
      </c>
      <c r="Z134" s="70" t="str">
        <f>'RESUMEN TOTAL'!AM179</f>
        <v>APAGADO</v>
      </c>
      <c r="AA134" s="70" t="str">
        <f>'RESUMEN TOTAL'!AN179</f>
        <v>APAGADO</v>
      </c>
      <c r="AB134" s="70" t="str">
        <f>'RESUMEN TOTAL'!AO179</f>
        <v>APAGADO</v>
      </c>
      <c r="AC134" s="70" t="str">
        <f>'RESUMEN TOTAL'!AP179</f>
        <v>APAGADO</v>
      </c>
      <c r="AD134" s="70">
        <f>'RESUMEN TOTAL'!AQ179</f>
        <v>0</v>
      </c>
      <c r="AE134" s="70">
        <f>'RESUMEN TOTAL'!AR179</f>
        <v>0</v>
      </c>
      <c r="AF134" s="70" t="str">
        <f>'RESUMEN TOTAL'!AS179</f>
        <v>APAGADO</v>
      </c>
      <c r="AG134" s="70" t="str">
        <f>'RESUMEN TOTAL'!AT179</f>
        <v>APAGADO</v>
      </c>
      <c r="AH134" s="70" t="str">
        <f>'RESUMEN TOTAL'!AU179</f>
        <v>APAGADO</v>
      </c>
      <c r="AI134" s="70" t="str">
        <f>'RESUMEN TOTAL'!AV179</f>
        <v>APAGADO</v>
      </c>
      <c r="AJ134" s="70" t="e">
        <f>'RESUMEN TOTAL'!#REF!</f>
        <v>#REF!</v>
      </c>
    </row>
    <row r="135" spans="1:36" x14ac:dyDescent="0.25">
      <c r="A135" t="str">
        <f>'RESUMEN TOTAL'!F180</f>
        <v>SAN JUAN</v>
      </c>
      <c r="B135" t="str">
        <f>'RESUMEN TOTAL'!G180</f>
        <v>SJU04</v>
      </c>
      <c r="C135" t="str">
        <f>'RESUMEN TOTAL'!I180</f>
        <v>Ruta 36 y San Jose</v>
      </c>
      <c r="D135" s="30" t="str">
        <f>'RESUMEN TOTAL'!J180</f>
        <v>Domo</v>
      </c>
      <c r="E135" s="30" t="str">
        <f>'RESUMEN TOTAL'!K180</f>
        <v>GPON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JUAN</v>
      </c>
      <c r="B136" t="str">
        <f>'RESUMEN TOTAL'!G181</f>
        <v>SJU03</v>
      </c>
      <c r="C136" t="str">
        <f>'RESUMEN TOTAL'!I181</f>
        <v>Ruta 36 y Av.Bosques</v>
      </c>
      <c r="D136" s="30" t="str">
        <f>'RESUMEN TOTAL'!J181</f>
        <v>Domo</v>
      </c>
      <c r="E136" s="30" t="str">
        <f>'RESUMEN TOTAL'!K181</f>
        <v>GPON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JUAN</v>
      </c>
      <c r="B137" t="str">
        <f>'RESUMEN TOTAL'!G182</f>
        <v>SJU02</v>
      </c>
      <c r="C137" t="str">
        <f>'RESUMEN TOTAL'!I182</f>
        <v>Av Bosques y Touring Club</v>
      </c>
      <c r="D137" s="30" t="str">
        <f>'RESUMEN TOTAL'!J182</f>
        <v>Domo</v>
      </c>
      <c r="E137" s="30" t="str">
        <f>'RESUMEN TOTAL'!K182</f>
        <v>GPON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SAN JUAN</v>
      </c>
      <c r="B138" t="str">
        <f>'RESUMEN TOTAL'!G183</f>
        <v>SJU01</v>
      </c>
      <c r="C138" t="str">
        <f>'RESUMEN TOTAL'!I183</f>
        <v>Ruta 36 y Pte.Peron</v>
      </c>
      <c r="D138" s="30" t="str">
        <f>'RESUMEN TOTAL'!J183</f>
        <v>Domo</v>
      </c>
      <c r="E138" s="30" t="str">
        <f>'RESUMEN TOTAL'!K183</f>
        <v>GPON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SAN JORGE</v>
      </c>
      <c r="B139" t="str">
        <f>'RESUMEN TOTAL'!G184</f>
        <v>SJO14</v>
      </c>
      <c r="C139" t="str">
        <f>'RESUMEN TOTAL'!I184</f>
        <v>556 y 527</v>
      </c>
      <c r="D139" s="30" t="str">
        <f>'RESUMEN TOTAL'!J184</f>
        <v>Domo</v>
      </c>
      <c r="E139" s="30" t="str">
        <f>'RESUMEN TOTAL'!K184</f>
        <v>GPON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SAN JORGE</v>
      </c>
      <c r="B140" t="str">
        <f>'RESUMEN TOTAL'!G185</f>
        <v>SJO13</v>
      </c>
      <c r="C140" t="str">
        <f>'RESUMEN TOTAL'!I185</f>
        <v>554 Y 525</v>
      </c>
      <c r="D140" s="30" t="str">
        <f>'RESUMEN TOTAL'!J185</f>
        <v>Fija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SAN JORGE</v>
      </c>
      <c r="B141" t="str">
        <f>'RESUMEN TOTAL'!G186</f>
        <v>SJO12 (fija 1)</v>
      </c>
      <c r="C141" t="str">
        <f>'RESUMEN TOTAL'!I186</f>
        <v>554 Y 531</v>
      </c>
      <c r="D141" s="30" t="str">
        <f>'RESUMEN TOTAL'!J186</f>
        <v>Fija</v>
      </c>
      <c r="E141" s="30" t="str">
        <f>'RESUMEN TOTAL'!K186</f>
        <v>GPON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SAN JORGE</v>
      </c>
      <c r="B142" t="str">
        <f>'RESUMEN TOTAL'!G187</f>
        <v>SJO11 (fija 1)</v>
      </c>
      <c r="C142" t="str">
        <f>'RESUMEN TOTAL'!I187</f>
        <v>554 Y 531</v>
      </c>
      <c r="D142" s="30" t="str">
        <f>'RESUMEN TOTAL'!J187</f>
        <v>Fija</v>
      </c>
      <c r="E142" s="30" t="str">
        <f>'RESUMEN TOTAL'!K187</f>
        <v>GPON</v>
      </c>
      <c r="F142" s="70" t="str">
        <f>'RESUMEN TOTAL'!S187</f>
        <v>APAGADO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SAN JORGE</v>
      </c>
      <c r="B143" t="str">
        <f>'RESUMEN TOTAL'!G188</f>
        <v>SJO08 (fija 2)</v>
      </c>
      <c r="C143" t="str">
        <f>'RESUMEN TOTAL'!I188</f>
        <v>503 Y 556</v>
      </c>
      <c r="D143" s="30" t="str">
        <f>'RESUMEN TOTAL'!J188</f>
        <v>Fija</v>
      </c>
      <c r="E143" s="30" t="str">
        <f>'RESUMEN TOTAL'!K188</f>
        <v>GPON</v>
      </c>
      <c r="F143" s="70" t="str">
        <f>'RESUMEN TOTAL'!S188</f>
        <v>APAGADO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 t="str">
        <f>'RESUMEN TOTAL'!X188</f>
        <v>APAGADO</v>
      </c>
      <c r="L143" s="70">
        <f>'RESUMEN TOTAL'!Y188</f>
        <v>0</v>
      </c>
      <c r="M143" s="70" t="str">
        <f>'RESUMEN TOTAL'!Z188</f>
        <v>APAGADO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 t="str">
        <f>'RESUMEN TOTAL'!AE188</f>
        <v>APAGADO</v>
      </c>
      <c r="S143" s="70" t="str">
        <f>'RESUMEN TOTAL'!AF188</f>
        <v>APAGADO</v>
      </c>
      <c r="T143" s="70" t="str">
        <f>'RESUMEN TOTAL'!AG188</f>
        <v>APAGADO</v>
      </c>
      <c r="U143" s="70" t="str">
        <f>'RESUMEN TOTAL'!AH188</f>
        <v>APAGADO</v>
      </c>
      <c r="V143" s="70" t="str">
        <f>'RESUMEN TOTAL'!AI188</f>
        <v>APAGADO</v>
      </c>
      <c r="W143" s="70">
        <f>'RESUMEN TOTAL'!AJ188</f>
        <v>0</v>
      </c>
      <c r="X143" s="70">
        <f>'RESUMEN TOTAL'!AK188</f>
        <v>0</v>
      </c>
      <c r="Y143" s="70" t="str">
        <f>'RESUMEN TOTAL'!AL188</f>
        <v>APAGADO</v>
      </c>
      <c r="Z143" s="70" t="str">
        <f>'RESUMEN TOTAL'!AM188</f>
        <v>APAGADO</v>
      </c>
      <c r="AA143" s="70" t="str">
        <f>'RESUMEN TOTAL'!AN188</f>
        <v>APAGADO</v>
      </c>
      <c r="AB143" s="70" t="str">
        <f>'RESUMEN TOTAL'!AO188</f>
        <v>APAGADO</v>
      </c>
      <c r="AC143" s="70" t="str">
        <f>'RESUMEN TOTAL'!AP188</f>
        <v>APAGADO</v>
      </c>
      <c r="AD143" s="70">
        <f>'RESUMEN TOTAL'!AQ188</f>
        <v>0</v>
      </c>
      <c r="AE143" s="70">
        <f>'RESUMEN TOTAL'!AR188</f>
        <v>0</v>
      </c>
      <c r="AF143" s="70" t="str">
        <f>'RESUMEN TOTAL'!AS188</f>
        <v>APAGADO</v>
      </c>
      <c r="AG143" s="70" t="str">
        <f>'RESUMEN TOTAL'!AT188</f>
        <v>APAGADO</v>
      </c>
      <c r="AH143" s="70" t="str">
        <f>'RESUMEN TOTAL'!AU188</f>
        <v>APAGADO</v>
      </c>
      <c r="AI143" s="70" t="str">
        <f>'RESUMEN TOTAL'!AV188</f>
        <v>APAGADO</v>
      </c>
      <c r="AJ143" s="70" t="e">
        <f>'RESUMEN TOTAL'!#REF!</f>
        <v>#REF!</v>
      </c>
    </row>
    <row r="144" spans="1:36" x14ac:dyDescent="0.25">
      <c r="A144" t="str">
        <f>'RESUMEN TOTAL'!F189</f>
        <v>SAN JORGE</v>
      </c>
      <c r="B144" t="str">
        <f>'RESUMEN TOTAL'!G189</f>
        <v>SJO07 (fija 1)</v>
      </c>
      <c r="C144" t="str">
        <f>'RESUMEN TOTAL'!I189</f>
        <v>503 Y 556</v>
      </c>
      <c r="D144" s="30" t="str">
        <f>'RESUMEN TOTAL'!J189</f>
        <v>Fija</v>
      </c>
      <c r="E144" s="30" t="str">
        <f>'RESUMEN TOTAL'!K189</f>
        <v>GPON</v>
      </c>
      <c r="F144" s="70" t="str">
        <f>'RESUMEN TOTAL'!S189</f>
        <v>APAGADO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 t="str">
        <f>'RESUMEN TOTAL'!X189</f>
        <v>APAGADO</v>
      </c>
      <c r="L144" s="70" t="str">
        <f>'RESUMEN TOTAL'!Y189</f>
        <v>APAGADO</v>
      </c>
      <c r="M144" s="70" t="str">
        <f>'RESUMEN TOTAL'!Z189</f>
        <v>APAGADO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 t="str">
        <f>'RESUMEN TOTAL'!AE189</f>
        <v>APAGADO</v>
      </c>
      <c r="S144" s="70" t="str">
        <f>'RESUMEN TOTAL'!AF189</f>
        <v>APAGADO</v>
      </c>
      <c r="T144" s="70" t="str">
        <f>'RESUMEN TOTAL'!AG189</f>
        <v>APAGADO</v>
      </c>
      <c r="U144" s="70" t="str">
        <f>'RESUMEN TOTAL'!AH189</f>
        <v>APAGADO</v>
      </c>
      <c r="V144" s="70" t="str">
        <f>'RESUMEN TOTAL'!AI189</f>
        <v>APAGADO</v>
      </c>
      <c r="W144" s="70">
        <f>'RESUMEN TOTAL'!AJ189</f>
        <v>0</v>
      </c>
      <c r="X144" s="70">
        <f>'RESUMEN TOTAL'!AK189</f>
        <v>0</v>
      </c>
      <c r="Y144" s="70" t="str">
        <f>'RESUMEN TOTAL'!AL189</f>
        <v>APAGADO</v>
      </c>
      <c r="Z144" s="70" t="str">
        <f>'RESUMEN TOTAL'!AM189</f>
        <v>APAGADO</v>
      </c>
      <c r="AA144" s="70" t="str">
        <f>'RESUMEN TOTAL'!AN189</f>
        <v>APAGADO</v>
      </c>
      <c r="AB144" s="70" t="str">
        <f>'RESUMEN TOTAL'!AO189</f>
        <v>APAGADO</v>
      </c>
      <c r="AC144" s="70" t="str">
        <f>'RESUMEN TOTAL'!AP189</f>
        <v>APAGADO</v>
      </c>
      <c r="AD144" s="70">
        <f>'RESUMEN TOTAL'!AQ189</f>
        <v>0</v>
      </c>
      <c r="AE144" s="70">
        <f>'RESUMEN TOTAL'!AR189</f>
        <v>0</v>
      </c>
      <c r="AF144" s="70" t="str">
        <f>'RESUMEN TOTAL'!AS189</f>
        <v>APAGADO</v>
      </c>
      <c r="AG144" s="70" t="str">
        <f>'RESUMEN TOTAL'!AT189</f>
        <v>APAGADO</v>
      </c>
      <c r="AH144" s="70" t="str">
        <f>'RESUMEN TOTAL'!AU189</f>
        <v>APAGADO</v>
      </c>
      <c r="AI144" s="70" t="str">
        <f>'RESUMEN TOTAL'!AV189</f>
        <v>APAGADO</v>
      </c>
      <c r="AJ144" s="70" t="e">
        <f>'RESUMEN TOTAL'!#REF!</f>
        <v>#REF!</v>
      </c>
    </row>
    <row r="145" spans="1:36" x14ac:dyDescent="0.25">
      <c r="A145" t="str">
        <f>'RESUMEN TOTAL'!F190</f>
        <v>SAN JORGE</v>
      </c>
      <c r="B145" t="str">
        <f>'RESUMEN TOTAL'!G190</f>
        <v>SJO06 (fija 2)</v>
      </c>
      <c r="C145" t="str">
        <f>'RESUMEN TOTAL'!I190</f>
        <v>511 Y 560</v>
      </c>
      <c r="D145" s="30" t="str">
        <f>'RESUMEN TOTAL'!J190</f>
        <v>Fija</v>
      </c>
      <c r="E145" s="30" t="str">
        <f>'RESUMEN TOTAL'!K190</f>
        <v>Fibra Optica</v>
      </c>
      <c r="F145" s="70" t="str">
        <f>'RESUMEN TOTAL'!S190</f>
        <v>APAGADO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 t="str">
        <f>'RESUMEN TOTAL'!X190</f>
        <v>APAGADO</v>
      </c>
      <c r="L145" s="70" t="str">
        <f>'RESUMEN TOTAL'!Y190</f>
        <v>APAGADO</v>
      </c>
      <c r="M145" s="70" t="str">
        <f>'RESUMEN TOTAL'!Z190</f>
        <v>APAGADO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 t="str">
        <f>'RESUMEN TOTAL'!AE190</f>
        <v>APAGADO</v>
      </c>
      <c r="S145" s="70" t="str">
        <f>'RESUMEN TOTAL'!AF190</f>
        <v>APAGADO</v>
      </c>
      <c r="T145" s="70" t="str">
        <f>'RESUMEN TOTAL'!AG190</f>
        <v>APAGADO</v>
      </c>
      <c r="U145" s="70" t="str">
        <f>'RESUMEN TOTAL'!AH190</f>
        <v>APAGADO</v>
      </c>
      <c r="V145" s="70" t="str">
        <f>'RESUMEN TOTAL'!AI190</f>
        <v>APAGADO</v>
      </c>
      <c r="W145" s="70">
        <f>'RESUMEN TOTAL'!AJ190</f>
        <v>0</v>
      </c>
      <c r="X145" s="70">
        <f>'RESUMEN TOTAL'!AK190</f>
        <v>0</v>
      </c>
      <c r="Y145" s="70" t="str">
        <f>'RESUMEN TOTAL'!AL190</f>
        <v>APAGADO</v>
      </c>
      <c r="Z145" s="70" t="str">
        <f>'RESUMEN TOTAL'!AM190</f>
        <v>APAGADO</v>
      </c>
      <c r="AA145" s="70">
        <f>'RESUMEN TOTAL'!AN190</f>
        <v>0</v>
      </c>
      <c r="AB145" s="70" t="str">
        <f>'RESUMEN TOTAL'!AO190</f>
        <v>APAGADO</v>
      </c>
      <c r="AC145" s="70" t="str">
        <f>'RESUMEN TOTAL'!AP190</f>
        <v>APAGADO</v>
      </c>
      <c r="AD145" s="70">
        <f>'RESUMEN TOTAL'!AQ190</f>
        <v>0</v>
      </c>
      <c r="AE145" s="70">
        <f>'RESUMEN TOTAL'!AR190</f>
        <v>0</v>
      </c>
      <c r="AF145" s="70" t="str">
        <f>'RESUMEN TOTAL'!AS190</f>
        <v>APAGADO</v>
      </c>
      <c r="AG145" s="70" t="str">
        <f>'RESUMEN TOTAL'!AT190</f>
        <v>APAGADO</v>
      </c>
      <c r="AH145" s="70" t="str">
        <f>'RESUMEN TOTAL'!AU190</f>
        <v>APAGADO</v>
      </c>
      <c r="AI145" s="70" t="str">
        <f>'RESUMEN TOTAL'!AV190</f>
        <v>APAGADO</v>
      </c>
      <c r="AJ145" s="70" t="e">
        <f>'RESUMEN TOTAL'!#REF!</f>
        <v>#REF!</v>
      </c>
    </row>
    <row r="146" spans="1:36" x14ac:dyDescent="0.25">
      <c r="A146" t="str">
        <f>'RESUMEN TOTAL'!F197</f>
        <v>SAN JORGE</v>
      </c>
      <c r="B146" t="str">
        <f>'RESUMEN TOTAL'!G197</f>
        <v>SJO 03</v>
      </c>
      <c r="C146" t="str">
        <f>'RESUMEN TOTAL'!I197</f>
        <v>517 Y 580</v>
      </c>
      <c r="D146" s="30" t="str">
        <f>'RESUMEN TOTAL'!J197</f>
        <v>DOMO</v>
      </c>
      <c r="E146" s="30" t="str">
        <f>'RESUMEN TOTAL'!K197</f>
        <v>Radio</v>
      </c>
      <c r="F146" s="70" t="str">
        <f>'RESUMEN TOTAL'!S197</f>
        <v>APAGADO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 t="str">
        <f>'RESUMEN TOTAL'!X197</f>
        <v>APAGADO</v>
      </c>
      <c r="L146" s="70" t="str">
        <f>'RESUMEN TOTAL'!Y197</f>
        <v>APAGADO</v>
      </c>
      <c r="M146" s="70" t="str">
        <f>'RESUMEN TOTAL'!Z197</f>
        <v>APAGADO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 t="str">
        <f>'RESUMEN TOTAL'!AE197</f>
        <v>APAGADO</v>
      </c>
      <c r="S146" s="70" t="str">
        <f>'RESUMEN TOTAL'!AF197</f>
        <v>APAGADO</v>
      </c>
      <c r="T146" s="70" t="str">
        <f>'RESUMEN TOTAL'!AG197</f>
        <v>APAGADO</v>
      </c>
      <c r="U146" s="70" t="str">
        <f>'RESUMEN TOTAL'!AH197</f>
        <v>APAGADO</v>
      </c>
      <c r="V146" s="70" t="str">
        <f>'RESUMEN TOTAL'!AI197</f>
        <v>APAGADO</v>
      </c>
      <c r="W146" s="70">
        <f>'RESUMEN TOTAL'!AJ197</f>
        <v>0</v>
      </c>
      <c r="X146" s="70">
        <f>'RESUMEN TOTAL'!AK197</f>
        <v>0</v>
      </c>
      <c r="Y146" s="70" t="str">
        <f>'RESUMEN TOTAL'!AL197</f>
        <v>APAGADO</v>
      </c>
      <c r="Z146" s="70" t="str">
        <f>'RESUMEN TOTAL'!AM197</f>
        <v>APAGADO</v>
      </c>
      <c r="AA146" s="70" t="str">
        <f>'RESUMEN TOTAL'!AN197</f>
        <v>APAGADO</v>
      </c>
      <c r="AB146" s="70" t="str">
        <f>'RESUMEN TOTAL'!AO197</f>
        <v>APAGADO</v>
      </c>
      <c r="AC146" s="70" t="str">
        <f>'RESUMEN TOTAL'!AP197</f>
        <v>APAGADO</v>
      </c>
      <c r="AD146" s="70">
        <f>'RESUMEN TOTAL'!AQ197</f>
        <v>0</v>
      </c>
      <c r="AE146" s="70">
        <f>'RESUMEN TOTAL'!AR197</f>
        <v>0</v>
      </c>
      <c r="AF146" s="70" t="str">
        <f>'RESUMEN TOTAL'!AS197</f>
        <v>APAGADO</v>
      </c>
      <c r="AG146" s="70" t="str">
        <f>'RESUMEN TOTAL'!AT197</f>
        <v>APAGADO</v>
      </c>
      <c r="AH146" s="70" t="str">
        <f>'RESUMEN TOTAL'!AU197</f>
        <v>APAGADO</v>
      </c>
      <c r="AI146" s="70" t="str">
        <f>'RESUMEN TOTAL'!AV197</f>
        <v>APAGADO</v>
      </c>
      <c r="AJ146" s="70" t="e">
        <f>'RESUMEN TOTAL'!#REF!</f>
        <v>#REF!</v>
      </c>
    </row>
    <row r="147" spans="1:36" x14ac:dyDescent="0.25">
      <c r="A147" t="str">
        <f>'RESUMEN TOTAL'!F198</f>
        <v>LA SIRENA</v>
      </c>
      <c r="B147" t="str">
        <f>'RESUMEN TOTAL'!G198</f>
        <v>SIR12 (fija 2)</v>
      </c>
      <c r="C147" t="str">
        <f>'RESUMEN TOTAL'!I198</f>
        <v>LARREA Y GUARDIA NACIONAL</v>
      </c>
      <c r="D147" s="30" t="str">
        <f>'RESUMEN TOTAL'!J198</f>
        <v>Fija</v>
      </c>
      <c r="E147" s="30" t="str">
        <f>'RESUMEN TOTAL'!K198</f>
        <v>Fibra Optica</v>
      </c>
      <c r="F147" s="70" t="str">
        <f>'RESUMEN TOTAL'!S198</f>
        <v>APAGADO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 t="str">
        <f>'RESUMEN TOTAL'!X198</f>
        <v>APAGADO</v>
      </c>
      <c r="L147" s="70" t="str">
        <f>'RESUMEN TOTAL'!Y198</f>
        <v>APAGADO</v>
      </c>
      <c r="M147" s="70" t="str">
        <f>'RESUMEN TOTAL'!Z198</f>
        <v>APAGADO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 t="str">
        <f>'RESUMEN TOTAL'!AE198</f>
        <v>APAGADO</v>
      </c>
      <c r="S147" s="70" t="str">
        <f>'RESUMEN TOTAL'!AF198</f>
        <v>APAGADO</v>
      </c>
      <c r="T147" s="70" t="str">
        <f>'RESUMEN TOTAL'!AG198</f>
        <v>APAGADO</v>
      </c>
      <c r="U147" s="70" t="str">
        <f>'RESUMEN TOTAL'!AH198</f>
        <v>APAGADO</v>
      </c>
      <c r="V147" s="70" t="str">
        <f>'RESUMEN TOTAL'!AI198</f>
        <v>APAGADO</v>
      </c>
      <c r="W147" s="70">
        <f>'RESUMEN TOTAL'!AJ198</f>
        <v>0</v>
      </c>
      <c r="X147" s="70">
        <f>'RESUMEN TOTAL'!AK198</f>
        <v>0</v>
      </c>
      <c r="Y147" s="70" t="str">
        <f>'RESUMEN TOTAL'!AL198</f>
        <v>APAGADO</v>
      </c>
      <c r="Z147" s="70" t="str">
        <f>'RESUMEN TOTAL'!AM198</f>
        <v>APAGADO</v>
      </c>
      <c r="AA147" s="70" t="str">
        <f>'RESUMEN TOTAL'!AN198</f>
        <v>APAGADO</v>
      </c>
      <c r="AB147" s="70" t="str">
        <f>'RESUMEN TOTAL'!AO198</f>
        <v>APAGADO</v>
      </c>
      <c r="AC147" s="70" t="str">
        <f>'RESUMEN TOTAL'!AP198</f>
        <v>APAGADO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LA SIRENA</v>
      </c>
      <c r="B148" t="str">
        <f>'RESUMEN TOTAL'!G199</f>
        <v>SIR11 (fija 1)</v>
      </c>
      <c r="C148" t="str">
        <f>'RESUMEN TOTAL'!I199</f>
        <v>LARREA Y GUARDIA NACIONAL</v>
      </c>
      <c r="D148" s="30" t="str">
        <f>'RESUMEN TOTAL'!J199</f>
        <v>Fija</v>
      </c>
      <c r="E148" s="30" t="str">
        <f>'RESUMEN TOTAL'!K199</f>
        <v>Fibra Optica</v>
      </c>
      <c r="F148" s="70" t="str">
        <f>'RESUMEN TOTAL'!S199</f>
        <v>APAGADO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 t="str">
        <f>'RESUMEN TOTAL'!X199</f>
        <v>APAGADO</v>
      </c>
      <c r="L148" s="70" t="str">
        <f>'RESUMEN TOTAL'!Y199</f>
        <v>APAGADO</v>
      </c>
      <c r="M148" s="70" t="str">
        <f>'RESUMEN TOTAL'!Z199</f>
        <v>APAGADO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 t="str">
        <f>'RESUMEN TOTAL'!AE199</f>
        <v>APAGADO</v>
      </c>
      <c r="S148" s="70" t="str">
        <f>'RESUMEN TOTAL'!AF199</f>
        <v>APAGADO</v>
      </c>
      <c r="T148" s="70" t="str">
        <f>'RESUMEN TOTAL'!AG199</f>
        <v>APAGADO</v>
      </c>
      <c r="U148" s="70" t="str">
        <f>'RESUMEN TOTAL'!AH199</f>
        <v>APAGADO</v>
      </c>
      <c r="V148" s="70" t="str">
        <f>'RESUMEN TOTAL'!AI199</f>
        <v>APAGADO</v>
      </c>
      <c r="W148" s="70">
        <f>'RESUMEN TOTAL'!AJ199</f>
        <v>0</v>
      </c>
      <c r="X148" s="70">
        <f>'RESUMEN TOTAL'!AK199</f>
        <v>0</v>
      </c>
      <c r="Y148" s="70" t="str">
        <f>'RESUMEN TOTAL'!AL199</f>
        <v>APAGADO</v>
      </c>
      <c r="Z148" s="70" t="str">
        <f>'RESUMEN TOTAL'!AM199</f>
        <v>APAGADO</v>
      </c>
      <c r="AA148" s="70" t="str">
        <f>'RESUMEN TOTAL'!AN199</f>
        <v>APAGADO</v>
      </c>
      <c r="AB148" s="70" t="str">
        <f>'RESUMEN TOTAL'!AO199</f>
        <v>APAGADO</v>
      </c>
      <c r="AC148" s="70" t="str">
        <f>'RESUMEN TOTAL'!AP199</f>
        <v>APAGADO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LA SIRENA</v>
      </c>
      <c r="B149" t="str">
        <f>'RESUMEN TOTAL'!G200</f>
        <v>SIR10 (fija 2)</v>
      </c>
      <c r="C149" t="str">
        <f>'RESUMEN TOTAL'!I200</f>
        <v>GUIDO SPANO Y MORAN</v>
      </c>
      <c r="D149" s="30" t="str">
        <f>'RESUMEN TOTAL'!J200</f>
        <v>Fija</v>
      </c>
      <c r="E149" s="30" t="str">
        <f>'RESUMEN TOTAL'!K200</f>
        <v>Fibra Optica</v>
      </c>
      <c r="F149" s="70" t="str">
        <f>'RESUMEN TOTAL'!S200</f>
        <v>APAGADO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 t="str">
        <f>'RESUMEN TOTAL'!X200</f>
        <v>APAGADO</v>
      </c>
      <c r="L149" s="70" t="str">
        <f>'RESUMEN TOTAL'!Y200</f>
        <v>APAGADO</v>
      </c>
      <c r="M149" s="70" t="str">
        <f>'RESUMEN TOTAL'!Z200</f>
        <v>APAGADO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 t="str">
        <f>'RESUMEN TOTAL'!AE200</f>
        <v>APAGADO</v>
      </c>
      <c r="S149" s="70" t="str">
        <f>'RESUMEN TOTAL'!AF200</f>
        <v>APAGADO</v>
      </c>
      <c r="T149" s="70" t="str">
        <f>'RESUMEN TOTAL'!AG200</f>
        <v>APAGADO</v>
      </c>
      <c r="U149" s="70" t="str">
        <f>'RESUMEN TOTAL'!AH200</f>
        <v>APAGADO</v>
      </c>
      <c r="V149" s="70" t="str">
        <f>'RESUMEN TOTAL'!AI200</f>
        <v>APAGADO</v>
      </c>
      <c r="W149" s="70">
        <f>'RESUMEN TOTAL'!AJ200</f>
        <v>0</v>
      </c>
      <c r="X149" s="70">
        <f>'RESUMEN TOTAL'!AK200</f>
        <v>0</v>
      </c>
      <c r="Y149" s="70" t="str">
        <f>'RESUMEN TOTAL'!AL200</f>
        <v>APAGADO</v>
      </c>
      <c r="Z149" s="70" t="str">
        <f>'RESUMEN TOTAL'!AM200</f>
        <v>APAGADO</v>
      </c>
      <c r="AA149" s="70" t="str">
        <f>'RESUMEN TOTAL'!AN200</f>
        <v>APAGADO</v>
      </c>
      <c r="AB149" s="70" t="str">
        <f>'RESUMEN TOTAL'!AO200</f>
        <v>APAGADO</v>
      </c>
      <c r="AC149" s="70" t="str">
        <f>'RESUMEN TOTAL'!AP200</f>
        <v>APAGADO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LA SIRENA</v>
      </c>
      <c r="B150" t="str">
        <f>'RESUMEN TOTAL'!G201</f>
        <v>SIR09 (fija 1)</v>
      </c>
      <c r="C150" t="str">
        <f>'RESUMEN TOTAL'!I201</f>
        <v>GUIDO SPANO Y MORAN</v>
      </c>
      <c r="D150" s="30" t="str">
        <f>'RESUMEN TOTAL'!J201</f>
        <v>Fija</v>
      </c>
      <c r="E150" s="30" t="str">
        <f>'RESUMEN TOTAL'!K201</f>
        <v>Fibra Optica</v>
      </c>
      <c r="F150" s="70" t="str">
        <f>'RESUMEN TOTAL'!S201</f>
        <v>APAGADO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 t="str">
        <f>'RESUMEN TOTAL'!X201</f>
        <v>APAGADO</v>
      </c>
      <c r="L150" s="70" t="str">
        <f>'RESUMEN TOTAL'!Y201</f>
        <v>APAGADO</v>
      </c>
      <c r="M150" s="70" t="str">
        <f>'RESUMEN TOTAL'!Z201</f>
        <v>APAGADO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 t="str">
        <f>'RESUMEN TOTAL'!AE201</f>
        <v>APAGADO</v>
      </c>
      <c r="S150" s="70" t="str">
        <f>'RESUMEN TOTAL'!AF201</f>
        <v>APAGADO</v>
      </c>
      <c r="T150" s="70" t="str">
        <f>'RESUMEN TOTAL'!AG201</f>
        <v>APAGADO</v>
      </c>
      <c r="U150" s="70" t="str">
        <f>'RESUMEN TOTAL'!AH201</f>
        <v>APAGADO</v>
      </c>
      <c r="V150" s="70" t="str">
        <f>'RESUMEN TOTAL'!AI201</f>
        <v>APAGADO</v>
      </c>
      <c r="W150" s="70">
        <f>'RESUMEN TOTAL'!AJ201</f>
        <v>0</v>
      </c>
      <c r="X150" s="70">
        <f>'RESUMEN TOTAL'!AK201</f>
        <v>0</v>
      </c>
      <c r="Y150" s="70" t="str">
        <f>'RESUMEN TOTAL'!AL201</f>
        <v>APAGADO</v>
      </c>
      <c r="Z150" s="70" t="str">
        <f>'RESUMEN TOTAL'!AM201</f>
        <v>APAGADO</v>
      </c>
      <c r="AA150" s="70" t="str">
        <f>'RESUMEN TOTAL'!AN201</f>
        <v>APAGADO</v>
      </c>
      <c r="AB150" s="70" t="str">
        <f>'RESUMEN TOTAL'!AO201</f>
        <v>APAGADO</v>
      </c>
      <c r="AC150" s="70" t="str">
        <f>'RESUMEN TOTAL'!AP201</f>
        <v>APAGADO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VILLA AURORA</v>
      </c>
      <c r="B151" t="str">
        <f>'RESUMEN TOTAL'!G202</f>
        <v>SIR08 (fija 2)</v>
      </c>
      <c r="C151" t="str">
        <f>'RESUMEN TOTAL'!I202</f>
        <v>MONTEVERDE Y URIBURU</v>
      </c>
      <c r="D151" s="30" t="str">
        <f>'RESUMEN TOTAL'!J202</f>
        <v>Fija</v>
      </c>
      <c r="E151" s="30" t="str">
        <f>'RESUMEN TOTAL'!K202</f>
        <v>Fibra Optica</v>
      </c>
      <c r="F151" s="70" t="str">
        <f>'RESUMEN TOTAL'!S202</f>
        <v>APAGADO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 t="str">
        <f>'RESUMEN TOTAL'!X202</f>
        <v>APAGADO</v>
      </c>
      <c r="L151" s="70" t="str">
        <f>'RESUMEN TOTAL'!Y202</f>
        <v>APAGADO</v>
      </c>
      <c r="M151" s="70" t="str">
        <f>'RESUMEN TOTAL'!Z202</f>
        <v>APAGADO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 t="str">
        <f>'RESUMEN TOTAL'!AE202</f>
        <v>APAGADO</v>
      </c>
      <c r="S151" s="70" t="str">
        <f>'RESUMEN TOTAL'!AF202</f>
        <v>APAGADO</v>
      </c>
      <c r="T151" s="70" t="str">
        <f>'RESUMEN TOTAL'!AG202</f>
        <v>APAGADO</v>
      </c>
      <c r="U151" s="70" t="str">
        <f>'RESUMEN TOTAL'!AH202</f>
        <v>APAGADO</v>
      </c>
      <c r="V151" s="70" t="str">
        <f>'RESUMEN TOTAL'!AI202</f>
        <v>APAGADO</v>
      </c>
      <c r="W151" s="70">
        <f>'RESUMEN TOTAL'!AJ202</f>
        <v>0</v>
      </c>
      <c r="X151" s="70">
        <f>'RESUMEN TOTAL'!AK202</f>
        <v>0</v>
      </c>
      <c r="Y151" s="70" t="str">
        <f>'RESUMEN TOTAL'!AL202</f>
        <v>APAGADO</v>
      </c>
      <c r="Z151" s="70" t="str">
        <f>'RESUMEN TOTAL'!AM202</f>
        <v>APAGADO</v>
      </c>
      <c r="AA151" s="70" t="str">
        <f>'RESUMEN TOTAL'!AN202</f>
        <v>APAGADO</v>
      </c>
      <c r="AB151" s="70" t="str">
        <f>'RESUMEN TOTAL'!AO202</f>
        <v>APAGADO</v>
      </c>
      <c r="AC151" s="70" t="str">
        <f>'RESUMEN TOTAL'!AP202</f>
        <v>APAGADO</v>
      </c>
      <c r="AD151" s="70">
        <f>'RESUMEN TOTAL'!AQ202</f>
        <v>0</v>
      </c>
      <c r="AE151" s="70">
        <f>'RESUMEN TOTAL'!AR202</f>
        <v>0</v>
      </c>
      <c r="AF151" s="70" t="str">
        <f>'RESUMEN TOTAL'!AS202</f>
        <v>APAGADO</v>
      </c>
      <c r="AG151" s="70" t="str">
        <f>'RESUMEN TOTAL'!AT202</f>
        <v>APAGADO</v>
      </c>
      <c r="AH151" s="70" t="str">
        <f>'RESUMEN TOTAL'!AU202</f>
        <v>APAGADO</v>
      </c>
      <c r="AI151" s="70" t="str">
        <f>'RESUMEN TOTAL'!AV202</f>
        <v>APAGADO</v>
      </c>
      <c r="AJ151" s="70" t="e">
        <f>'RESUMEN TOTAL'!#REF!</f>
        <v>#REF!</v>
      </c>
    </row>
    <row r="152" spans="1:36" x14ac:dyDescent="0.25">
      <c r="A152" t="str">
        <f>'RESUMEN TOTAL'!F203</f>
        <v>VILLA AURORA</v>
      </c>
      <c r="B152" t="str">
        <f>'RESUMEN TOTAL'!G203</f>
        <v>SIR07 (fija 1)</v>
      </c>
      <c r="C152" t="str">
        <f>'RESUMEN TOTAL'!I203</f>
        <v>MONTEVERDE Y URIBURU</v>
      </c>
      <c r="D152" s="30" t="str">
        <f>'RESUMEN TOTAL'!J203</f>
        <v>Fija</v>
      </c>
      <c r="E152" s="30" t="str">
        <f>'RESUMEN TOTAL'!K203</f>
        <v>Fibra Optica</v>
      </c>
      <c r="F152" s="70" t="str">
        <f>'RESUMEN TOTAL'!S203</f>
        <v>APAGADO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 t="str">
        <f>'RESUMEN TOTAL'!X203</f>
        <v>APAGADO</v>
      </c>
      <c r="L152" s="70" t="str">
        <f>'RESUMEN TOTAL'!Y203</f>
        <v>APAGADO</v>
      </c>
      <c r="M152" s="70" t="str">
        <f>'RESUMEN TOTAL'!Z203</f>
        <v>APAGADO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 t="str">
        <f>'RESUMEN TOTAL'!AE203</f>
        <v>APAGADO</v>
      </c>
      <c r="S152" s="70" t="str">
        <f>'RESUMEN TOTAL'!AF203</f>
        <v>APAGADO</v>
      </c>
      <c r="T152" s="70" t="str">
        <f>'RESUMEN TOTAL'!AG203</f>
        <v>APAGADO</v>
      </c>
      <c r="U152" s="70" t="str">
        <f>'RESUMEN TOTAL'!AH203</f>
        <v>APAGADO</v>
      </c>
      <c r="V152" s="70" t="str">
        <f>'RESUMEN TOTAL'!AI203</f>
        <v>APAGADO</v>
      </c>
      <c r="W152" s="70">
        <f>'RESUMEN TOTAL'!AJ203</f>
        <v>0</v>
      </c>
      <c r="X152" s="70">
        <f>'RESUMEN TOTAL'!AK203</f>
        <v>0</v>
      </c>
      <c r="Y152" s="70" t="str">
        <f>'RESUMEN TOTAL'!AL203</f>
        <v>APAGADO</v>
      </c>
      <c r="Z152" s="70" t="str">
        <f>'RESUMEN TOTAL'!AM203</f>
        <v>APAGADO</v>
      </c>
      <c r="AA152" s="70" t="str">
        <f>'RESUMEN TOTAL'!AN203</f>
        <v>APAGADO</v>
      </c>
      <c r="AB152" s="70" t="str">
        <f>'RESUMEN TOTAL'!AO203</f>
        <v>APAGADO</v>
      </c>
      <c r="AC152" s="70" t="str">
        <f>'RESUMEN TOTAL'!AP203</f>
        <v>APAGADO</v>
      </c>
      <c r="AD152" s="70">
        <f>'RESUMEN TOTAL'!AQ203</f>
        <v>0</v>
      </c>
      <c r="AE152" s="70">
        <f>'RESUMEN TOTAL'!AR203</f>
        <v>0</v>
      </c>
      <c r="AF152" s="70" t="str">
        <f>'RESUMEN TOTAL'!AS203</f>
        <v>APAGADO</v>
      </c>
      <c r="AG152" s="70" t="str">
        <f>'RESUMEN TOTAL'!AT203</f>
        <v>APAGADO</v>
      </c>
      <c r="AH152" s="70" t="str">
        <f>'RESUMEN TOTAL'!AU203</f>
        <v>APAGADO</v>
      </c>
      <c r="AI152" s="70" t="str">
        <f>'RESUMEN TOTAL'!AV203</f>
        <v>APAGADO</v>
      </c>
      <c r="AJ152" s="70" t="e">
        <f>'RESUMEN TOTAL'!#REF!</f>
        <v>#REF!</v>
      </c>
    </row>
    <row r="153" spans="1:36" x14ac:dyDescent="0.25">
      <c r="A153" t="str">
        <f>'RESUMEN TOTAL'!F204</f>
        <v>LA SIRENA</v>
      </c>
      <c r="B153" t="str">
        <f>'RESUMEN TOTAL'!G204</f>
        <v>SIR01</v>
      </c>
      <c r="C153" t="str">
        <f>'RESUMEN TOTAL'!I204</f>
        <v>Moran y Calle 14</v>
      </c>
      <c r="D153" s="30" t="str">
        <f>'RESUMEN TOTAL'!J204</f>
        <v>DOMO</v>
      </c>
      <c r="E153" s="30" t="str">
        <f>'RESUMEN TOTAL'!K204</f>
        <v>Radio</v>
      </c>
      <c r="F153" s="70" t="str">
        <f>'RESUMEN TOTAL'!S204</f>
        <v>APAGADO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 t="str">
        <f>'RESUMEN TOTAL'!X204</f>
        <v>APAGADO</v>
      </c>
      <c r="L153" s="70" t="str">
        <f>'RESUMEN TOTAL'!Y204</f>
        <v>APAGADO</v>
      </c>
      <c r="M153" s="70" t="str">
        <f>'RESUMEN TOTAL'!Z204</f>
        <v>APAGADO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 t="str">
        <f>'RESUMEN TOTAL'!AE204</f>
        <v>APAGADO</v>
      </c>
      <c r="S153" s="70" t="str">
        <f>'RESUMEN TOTAL'!AF204</f>
        <v>APAGADO</v>
      </c>
      <c r="T153" s="70" t="str">
        <f>'RESUMEN TOTAL'!AG204</f>
        <v>APAGADO</v>
      </c>
      <c r="U153" s="70" t="str">
        <f>'RESUMEN TOTAL'!AH204</f>
        <v>APAGADO</v>
      </c>
      <c r="V153" s="70" t="str">
        <f>'RESUMEN TOTAL'!AI204</f>
        <v>APAGADO</v>
      </c>
      <c r="W153" s="70">
        <f>'RESUMEN TOTAL'!AJ204</f>
        <v>0</v>
      </c>
      <c r="X153" s="70">
        <f>'RESUMEN TOTAL'!AK204</f>
        <v>0</v>
      </c>
      <c r="Y153" s="70" t="str">
        <f>'RESUMEN TOTAL'!AL204</f>
        <v>APAGADO</v>
      </c>
      <c r="Z153" s="70" t="str">
        <f>'RESUMEN TOTAL'!AM204</f>
        <v>APAGADO</v>
      </c>
      <c r="AA153" s="70" t="str">
        <f>'RESUMEN TOTAL'!AN204</f>
        <v>APAGADO</v>
      </c>
      <c r="AB153" s="70" t="str">
        <f>'RESUMEN TOTAL'!AO204</f>
        <v>APAGADO</v>
      </c>
      <c r="AC153" s="70" t="str">
        <f>'RESUMEN TOTAL'!AP204</f>
        <v>APAGADO</v>
      </c>
      <c r="AD153" s="70">
        <f>'RESUMEN TOTAL'!AQ204</f>
        <v>0</v>
      </c>
      <c r="AE153" s="70">
        <f>'RESUMEN TOTAL'!AR204</f>
        <v>0</v>
      </c>
      <c r="AF153" s="70" t="str">
        <f>'RESUMEN TOTAL'!AS204</f>
        <v>APAGADO</v>
      </c>
      <c r="AG153" s="70" t="str">
        <f>'RESUMEN TOTAL'!AT204</f>
        <v>APAGADO</v>
      </c>
      <c r="AH153" s="70" t="str">
        <f>'RESUMEN TOTAL'!AU204</f>
        <v>APAGADO</v>
      </c>
      <c r="AI153" s="70" t="str">
        <f>'RESUMEN TOTAL'!AV204</f>
        <v>APAGADO</v>
      </c>
      <c r="AJ153" s="70" t="e">
        <f>'RESUMEN TOTAL'!#REF!</f>
        <v>#REF!</v>
      </c>
    </row>
    <row r="154" spans="1:36" x14ac:dyDescent="0.25">
      <c r="A154" t="str">
        <f>'RESUMEN TOTAL'!F205</f>
        <v>LA SIRENA</v>
      </c>
      <c r="B154" t="str">
        <f>'RESUMEN TOTAL'!G205</f>
        <v>SIR 20</v>
      </c>
      <c r="C154" t="str">
        <f>'RESUMEN TOTAL'!I205</f>
        <v>Darragueira y Monteverde</v>
      </c>
      <c r="D154" s="30" t="str">
        <f>'RESUMEN TOTAL'!J205</f>
        <v>Domo</v>
      </c>
      <c r="E154" s="30" t="str">
        <f>'RESUMEN TOTAL'!K205</f>
        <v>GPON</v>
      </c>
      <c r="F154" s="70" t="str">
        <f>'RESUMEN TOTAL'!S205</f>
        <v>APAGADO</v>
      </c>
      <c r="G154" s="70">
        <f>'RESUMEN TOTAL'!T205</f>
        <v>0</v>
      </c>
      <c r="H154" s="70">
        <f>'RESUMEN TOTAL'!U205</f>
        <v>0</v>
      </c>
      <c r="I154" s="70">
        <f>'RESUMEN TOTAL'!V205</f>
        <v>0</v>
      </c>
      <c r="J154" s="70">
        <f>'RESUMEN TOTAL'!W205</f>
        <v>0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 t="str">
        <f>'RESUMEN TOTAL'!AH205</f>
        <v>APAGADO</v>
      </c>
      <c r="V154" s="70" t="str">
        <f>'RESUMEN TOTAL'!AI205</f>
        <v>APAGADO</v>
      </c>
      <c r="W154" s="70">
        <f>'RESUMEN TOTAL'!AJ205</f>
        <v>0</v>
      </c>
      <c r="X154" s="70">
        <f>'RESUMEN TOTAL'!AK205</f>
        <v>0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 t="str">
        <f>'RESUMEN TOTAL'!AO205</f>
        <v>APAGADO</v>
      </c>
      <c r="AC154" s="70" t="str">
        <f>'RESUMEN TOTAL'!AP205</f>
        <v>APAGADO</v>
      </c>
      <c r="AD154" s="70">
        <f>'RESUMEN TOTAL'!AQ205</f>
        <v>0</v>
      </c>
      <c r="AE154" s="70">
        <f>'RESUMEN TOTAL'!AR205</f>
        <v>0</v>
      </c>
      <c r="AF154" s="70" t="str">
        <f>'RESUMEN TOTAL'!AS205</f>
        <v>APAGADO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 t="str">
        <f>'RESUMEN TOTAL'!F206</f>
        <v>LA SIRENA</v>
      </c>
      <c r="B155" t="str">
        <f>'RESUMEN TOTAL'!G206</f>
        <v>SIR 19</v>
      </c>
      <c r="C155" t="str">
        <f>'RESUMEN TOTAL'!I206</f>
        <v xml:space="preserve">AZARA Y NUESTRAS MALVINAS </v>
      </c>
      <c r="D155" s="30" t="str">
        <f>'RESUMEN TOTAL'!J206</f>
        <v>Domo</v>
      </c>
      <c r="E155" s="30" t="str">
        <f>'RESUMEN TOTAL'!K206</f>
        <v>Fibra Optica</v>
      </c>
      <c r="F155" s="70" t="str">
        <f>'RESUMEN TOTAL'!S206</f>
        <v>APAGADO</v>
      </c>
      <c r="G155" s="70">
        <f>'RESUMEN TOTAL'!T206</f>
        <v>0</v>
      </c>
      <c r="H155" s="70">
        <f>'RESUMEN TOTAL'!U206</f>
        <v>0</v>
      </c>
      <c r="I155" s="70">
        <f>'RESUMEN TOTAL'!V206</f>
        <v>0</v>
      </c>
      <c r="J155" s="70">
        <f>'RESUMEN TOTAL'!W206</f>
        <v>0</v>
      </c>
      <c r="K155" s="70" t="str">
        <f>'RESUMEN TOTAL'!X206</f>
        <v>APAGADO</v>
      </c>
      <c r="L155" s="70" t="str">
        <f>'RESUMEN TOTAL'!Y206</f>
        <v>APAGADO</v>
      </c>
      <c r="M155" s="70" t="str">
        <f>'RESUMEN TOTAL'!Z206</f>
        <v>APAGADO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 t="str">
        <f>'RESUMEN TOTAL'!AE206</f>
        <v>APAGADO</v>
      </c>
      <c r="S155" s="70" t="str">
        <f>'RESUMEN TOTAL'!AF206</f>
        <v>APAGADO</v>
      </c>
      <c r="T155" s="70" t="str">
        <f>'RESUMEN TOTAL'!AG206</f>
        <v>APAGADO</v>
      </c>
      <c r="U155" s="70" t="str">
        <f>'RESUMEN TOTAL'!AH206</f>
        <v>APAGADO</v>
      </c>
      <c r="V155" s="70" t="str">
        <f>'RESUMEN TOTAL'!AI206</f>
        <v>APAGADO</v>
      </c>
      <c r="W155" s="70">
        <f>'RESUMEN TOTAL'!AJ206</f>
        <v>0</v>
      </c>
      <c r="X155" s="70">
        <f>'RESUMEN TOTAL'!AK206</f>
        <v>0</v>
      </c>
      <c r="Y155" s="70" t="str">
        <f>'RESUMEN TOTAL'!AL206</f>
        <v>APAGADO</v>
      </c>
      <c r="Z155" s="70" t="str">
        <f>'RESUMEN TOTAL'!AM206</f>
        <v>APAGADO</v>
      </c>
      <c r="AA155" s="70" t="str">
        <f>'RESUMEN TOTAL'!AN206</f>
        <v>APAGADO</v>
      </c>
      <c r="AB155" s="70" t="str">
        <f>'RESUMEN TOTAL'!AO206</f>
        <v>APAGADO</v>
      </c>
      <c r="AC155" s="70" t="str">
        <f>'RESUMEN TOTAL'!AP206</f>
        <v>APAGADO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LA SIRENA</v>
      </c>
      <c r="B156" t="str">
        <f>'RESUMEN TOTAL'!G207</f>
        <v>SIR 18</v>
      </c>
      <c r="C156" t="str">
        <f>'RESUMEN TOTAL'!I207</f>
        <v>Las Heras y Finochietto</v>
      </c>
      <c r="D156" s="30" t="str">
        <f>'RESUMEN TOTAL'!J207</f>
        <v>Fija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LA SIRENA</v>
      </c>
      <c r="B157" t="str">
        <f>'RESUMEN TOTAL'!G208</f>
        <v>SIR 17</v>
      </c>
      <c r="C157" t="str">
        <f>'RESUMEN TOTAL'!I208</f>
        <v>Las Heras y Finochietto</v>
      </c>
      <c r="D157" s="30" t="str">
        <f>'RESUMEN TOTAL'!J208</f>
        <v>Fija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LA SIRENA</v>
      </c>
      <c r="B158" t="str">
        <f>'RESUMEN TOTAL'!G209</f>
        <v>SIR 16</v>
      </c>
      <c r="C158" t="str">
        <f>'RESUMEN TOTAL'!I209</f>
        <v>Las Heras y Finochietto</v>
      </c>
      <c r="D158" s="30" t="str">
        <f>'RESUMEN TOTAL'!J209</f>
        <v>Domo</v>
      </c>
      <c r="E158" s="30" t="str">
        <f>'RESUMEN TOTAL'!K209</f>
        <v>GPON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LA SIRENA</v>
      </c>
      <c r="B159" t="str">
        <f>'RESUMEN TOTAL'!G210</f>
        <v>SIR 15</v>
      </c>
      <c r="C159" t="str">
        <f>'RESUMEN TOTAL'!I210</f>
        <v>Monteverde y Azara</v>
      </c>
      <c r="D159" s="30" t="str">
        <f>'RESUMEN TOTAL'!J210</f>
        <v>Domo</v>
      </c>
      <c r="E159" s="30" t="str">
        <f>'RESUMEN TOTAL'!K210</f>
        <v>GPON</v>
      </c>
      <c r="F159" s="70" t="str">
        <f>'RESUMEN TOTAL'!S210</f>
        <v>APAGADO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 t="str">
        <f>'RESUMEN TOTAL'!X210</f>
        <v>APAGADO</v>
      </c>
      <c r="L159" s="70" t="str">
        <f>'RESUMEN TOTAL'!Y210</f>
        <v>APAGADO</v>
      </c>
      <c r="M159" s="70" t="str">
        <f>'RESUMEN TOTAL'!Z210</f>
        <v>APAGADO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 t="str">
        <f>'RESUMEN TOTAL'!AE210</f>
        <v>APAGADO</v>
      </c>
      <c r="S159" s="70" t="str">
        <f>'RESUMEN TOTAL'!AF210</f>
        <v>APAGADO</v>
      </c>
      <c r="T159" s="70" t="str">
        <f>'RESUMEN TOTAL'!AG210</f>
        <v>APAGADO</v>
      </c>
      <c r="U159" s="70" t="str">
        <f>'RESUMEN TOTAL'!AH210</f>
        <v>APAGADO</v>
      </c>
      <c r="V159" s="70" t="str">
        <f>'RESUMEN TOTAL'!AI210</f>
        <v>APAGADO</v>
      </c>
      <c r="W159" s="70">
        <f>'RESUMEN TOTAL'!AJ210</f>
        <v>0</v>
      </c>
      <c r="X159" s="70">
        <f>'RESUMEN TOTAL'!AK210</f>
        <v>0</v>
      </c>
      <c r="Y159" s="70" t="str">
        <f>'RESUMEN TOTAL'!AL210</f>
        <v>APAGADO</v>
      </c>
      <c r="Z159" s="70" t="str">
        <f>'RESUMEN TOTAL'!AM210</f>
        <v>APAGADO</v>
      </c>
      <c r="AA159" s="70" t="str">
        <f>'RESUMEN TOTAL'!AN210</f>
        <v>APAGADO</v>
      </c>
      <c r="AB159" s="70" t="str">
        <f>'RESUMEN TOTAL'!AO210</f>
        <v>APAGADO</v>
      </c>
      <c r="AC159" s="70" t="str">
        <f>'RESUMEN TOTAL'!AP210</f>
        <v>APAGADO</v>
      </c>
      <c r="AD159" s="70">
        <f>'RESUMEN TOTAL'!AQ210</f>
        <v>0</v>
      </c>
      <c r="AE159" s="70">
        <f>'RESUMEN TOTAL'!AR210</f>
        <v>0</v>
      </c>
      <c r="AF159" s="70" t="str">
        <f>'RESUMEN TOTAL'!AS210</f>
        <v>APAGADO</v>
      </c>
      <c r="AG159" s="70" t="str">
        <f>'RESUMEN TOTAL'!AT210</f>
        <v>APAGADO</v>
      </c>
      <c r="AH159" s="70" t="str">
        <f>'RESUMEN TOTAL'!AU210</f>
        <v>APAGADO</v>
      </c>
      <c r="AI159" s="70" t="str">
        <f>'RESUMEN TOTAL'!AV210</f>
        <v>APAGADO</v>
      </c>
      <c r="AJ159" s="70" t="e">
        <f>'RESUMEN TOTAL'!#REF!</f>
        <v>#REF!</v>
      </c>
    </row>
    <row r="160" spans="1:36" x14ac:dyDescent="0.25">
      <c r="A160" t="str">
        <f>'RESUMEN TOTAL'!F211</f>
        <v>LA SIRENA</v>
      </c>
      <c r="B160" t="str">
        <f>'RESUMEN TOTAL'!G211</f>
        <v>SIR 14</v>
      </c>
      <c r="C160" t="str">
        <f>'RESUMEN TOTAL'!I211</f>
        <v>MANUEL IGLESIAS Y PEDRAZA</v>
      </c>
      <c r="D160" s="30" t="str">
        <f>'RESUMEN TOTAL'!J211</f>
        <v>Domo</v>
      </c>
      <c r="E160" s="30" t="str">
        <f>'RESUMEN TOTAL'!K211</f>
        <v>Fibra Optica</v>
      </c>
      <c r="F160" s="70" t="str">
        <f>'RESUMEN TOTAL'!S211</f>
        <v>APAGADO</v>
      </c>
      <c r="G160" s="70">
        <f>'RESUMEN TOTAL'!T211</f>
        <v>0</v>
      </c>
      <c r="H160" s="70">
        <f>'RESUMEN TOTAL'!U211</f>
        <v>0</v>
      </c>
      <c r="I160" s="70">
        <f>'RESUMEN TOTAL'!V211</f>
        <v>0</v>
      </c>
      <c r="J160" s="70">
        <f>'RESUMEN TOTAL'!W211</f>
        <v>0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 t="str">
        <f>'RESUMEN TOTAL'!AE211</f>
        <v>APAGADO</v>
      </c>
      <c r="S160" s="70" t="str">
        <f>'RESUMEN TOTAL'!AF211</f>
        <v>APAGADO</v>
      </c>
      <c r="T160" s="70" t="str">
        <f>'RESUMEN TOTAL'!AG211</f>
        <v>APAGADO</v>
      </c>
      <c r="U160" s="70" t="str">
        <f>'RESUMEN TOTAL'!AH211</f>
        <v>APAGADO</v>
      </c>
      <c r="V160" s="70" t="str">
        <f>'RESUMEN TOTAL'!AI211</f>
        <v>APAGADO</v>
      </c>
      <c r="W160" s="70">
        <f>'RESUMEN TOTAL'!AJ211</f>
        <v>0</v>
      </c>
      <c r="X160" s="70">
        <f>'RESUMEN TOTAL'!AK211</f>
        <v>0</v>
      </c>
      <c r="Y160" s="70" t="str">
        <f>'RESUMEN TOTAL'!AL211</f>
        <v>APAGADO</v>
      </c>
      <c r="Z160" s="70" t="str">
        <f>'RESUMEN TOTAL'!AM211</f>
        <v>APAGADO</v>
      </c>
      <c r="AA160" s="70" t="str">
        <f>'RESUMEN TOTAL'!AN211</f>
        <v>APAGADO</v>
      </c>
      <c r="AB160" s="70" t="str">
        <f>'RESUMEN TOTAL'!AO211</f>
        <v>APAGADO</v>
      </c>
      <c r="AC160" s="70" t="str">
        <f>'RESUMEN TOTAL'!AP211</f>
        <v>APAGADO</v>
      </c>
      <c r="AD160" s="70">
        <f>'RESUMEN TOTAL'!AQ211</f>
        <v>0</v>
      </c>
      <c r="AE160" s="70">
        <f>'RESUMEN TOTAL'!AR211</f>
        <v>0</v>
      </c>
      <c r="AF160" s="70" t="str">
        <f>'RESUMEN TOTAL'!AS211</f>
        <v>APAGADO</v>
      </c>
      <c r="AG160" s="70" t="str">
        <f>'RESUMEN TOTAL'!AT211</f>
        <v>APAGADO</v>
      </c>
      <c r="AH160" s="70" t="str">
        <f>'RESUMEN TOTAL'!AU211</f>
        <v>APAGADO</v>
      </c>
      <c r="AI160" s="70" t="str">
        <f>'RESUMEN TOTAL'!AV211</f>
        <v>APAGADO</v>
      </c>
      <c r="AJ160" s="70" t="e">
        <f>'RESUMEN TOTAL'!#REF!</f>
        <v>#REF!</v>
      </c>
    </row>
    <row r="161" spans="1:36" x14ac:dyDescent="0.25">
      <c r="A161" t="str">
        <f>'RESUMEN TOTAL'!F212</f>
        <v>VILLA AURORA</v>
      </c>
      <c r="B161" t="str">
        <f>'RESUMEN TOTAL'!G212</f>
        <v>SIR 13</v>
      </c>
      <c r="C161" t="str">
        <f>'RESUMEN TOTAL'!I212</f>
        <v>AV MONTEVERDE Y URIBURU</v>
      </c>
      <c r="D161" s="30" t="str">
        <f>'RESUMEN TOTAL'!J212</f>
        <v>Domo</v>
      </c>
      <c r="E161" s="30" t="str">
        <f>'RESUMEN TOTAL'!K212</f>
        <v>Fibra Optica</v>
      </c>
      <c r="F161" s="70" t="str">
        <f>'RESUMEN TOTAL'!S212</f>
        <v>APAGADO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 t="str">
        <f>'RESUMEN TOTAL'!X212</f>
        <v>APAGADO</v>
      </c>
      <c r="L161" s="70" t="str">
        <f>'RESUMEN TOTAL'!Y212</f>
        <v>APAGADO</v>
      </c>
      <c r="M161" s="70" t="str">
        <f>'RESUMEN TOTAL'!Z212</f>
        <v>APAGADO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 t="str">
        <f>'RESUMEN TOTAL'!AE212</f>
        <v>APAGADO</v>
      </c>
      <c r="S161" s="70" t="str">
        <f>'RESUMEN TOTAL'!AF212</f>
        <v>APAGADO</v>
      </c>
      <c r="T161" s="70" t="str">
        <f>'RESUMEN TOTAL'!AG212</f>
        <v>APAGADO</v>
      </c>
      <c r="U161" s="70" t="str">
        <f>'RESUMEN TOTAL'!AH212</f>
        <v>APAGADO</v>
      </c>
      <c r="V161" s="70" t="str">
        <f>'RESUMEN TOTAL'!AI212</f>
        <v>APAGADO</v>
      </c>
      <c r="W161" s="70">
        <f>'RESUMEN TOTAL'!AJ212</f>
        <v>0</v>
      </c>
      <c r="X161" s="70">
        <f>'RESUMEN TOTAL'!AK212</f>
        <v>0</v>
      </c>
      <c r="Y161" s="70" t="str">
        <f>'RESUMEN TOTAL'!AL212</f>
        <v>APAGADO</v>
      </c>
      <c r="Z161" s="70" t="str">
        <f>'RESUMEN TOTAL'!AM212</f>
        <v>APAGADO</v>
      </c>
      <c r="AA161" s="70" t="str">
        <f>'RESUMEN TOTAL'!AN212</f>
        <v>APAGADO</v>
      </c>
      <c r="AB161" s="70" t="str">
        <f>'RESUMEN TOTAL'!AO212</f>
        <v>APAGADO</v>
      </c>
      <c r="AC161" s="70" t="str">
        <f>'RESUMEN TOTAL'!AP212</f>
        <v>APAGADO</v>
      </c>
      <c r="AD161" s="70">
        <f>'RESUMEN TOTAL'!AQ212</f>
        <v>0</v>
      </c>
      <c r="AE161" s="70">
        <f>'RESUMEN TOTAL'!AR212</f>
        <v>0</v>
      </c>
      <c r="AF161" s="70" t="str">
        <f>'RESUMEN TOTAL'!AS212</f>
        <v>APAGADO</v>
      </c>
      <c r="AG161" s="70" t="str">
        <f>'RESUMEN TOTAL'!AT212</f>
        <v>APAGADO</v>
      </c>
      <c r="AH161" s="70" t="str">
        <f>'RESUMEN TOTAL'!AU212</f>
        <v>APAGADO</v>
      </c>
      <c r="AI161" s="70" t="str">
        <f>'RESUMEN TOTAL'!AV212</f>
        <v>APAGADO</v>
      </c>
      <c r="AJ161" s="70" t="e">
        <f>'RESUMEN TOTAL'!#REF!</f>
        <v>#REF!</v>
      </c>
    </row>
    <row r="162" spans="1:36" x14ac:dyDescent="0.25">
      <c r="A162" t="str">
        <f>'RESUMEN TOTAL'!F213</f>
        <v>LA SIRENA</v>
      </c>
      <c r="B162" t="str">
        <f>'RESUMEN TOTAL'!G213</f>
        <v>SIR 06 (FIJA 02)</v>
      </c>
      <c r="C162" t="str">
        <f>'RESUMEN TOTAL'!I213</f>
        <v>AV. MONTEVERDE Y MORAN</v>
      </c>
      <c r="D162" s="30" t="str">
        <f>'RESUMEN TOTAL'!J213</f>
        <v>Fija</v>
      </c>
      <c r="E162" s="30" t="str">
        <f>'RESUMEN TOTAL'!K213</f>
        <v>Fibra Optica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>
        <f>'RESUMEN TOTAL'!V213</f>
        <v>0</v>
      </c>
      <c r="J162" s="70">
        <f>'RESUMEN TOTAL'!W213</f>
        <v>0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 t="str">
        <f>'RESUMEN TOTAL'!AH213</f>
        <v>APAGADO</v>
      </c>
      <c r="V162" s="70" t="str">
        <f>'RESUMEN TOTAL'!AI213</f>
        <v>APAGADO</v>
      </c>
      <c r="W162" s="70">
        <f>'RESUMEN TOTAL'!AJ213</f>
        <v>0</v>
      </c>
      <c r="X162" s="70">
        <f>'RESUMEN TOTAL'!AK213</f>
        <v>0</v>
      </c>
      <c r="Y162" s="70" t="str">
        <f>'RESUMEN TOTAL'!AL213</f>
        <v>APAGADO</v>
      </c>
      <c r="Z162" s="70" t="str">
        <f>'RESUMEN TOTAL'!AM213</f>
        <v>APAGADO</v>
      </c>
      <c r="AA162" s="70" t="str">
        <f>'RESUMEN TOTAL'!AN213</f>
        <v>APAGADO</v>
      </c>
      <c r="AB162" s="70" t="str">
        <f>'RESUMEN TOTAL'!AO213</f>
        <v>APAGADO</v>
      </c>
      <c r="AC162" s="70" t="str">
        <f>'RESUMEN TOTAL'!AP213</f>
        <v>APAGADO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LA SIRENA</v>
      </c>
      <c r="B163" t="str">
        <f>'RESUMEN TOTAL'!G214</f>
        <v>SIR 05 (FIJA 01)</v>
      </c>
      <c r="C163" t="str">
        <f>'RESUMEN TOTAL'!I214</f>
        <v>AV. MONTEVERDE Y MORAN</v>
      </c>
      <c r="D163" s="30" t="str">
        <f>'RESUMEN TOTAL'!J214</f>
        <v>Fija</v>
      </c>
      <c r="E163" s="30" t="str">
        <f>'RESUMEN TOTAL'!K214</f>
        <v>Fibra Optica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 t="str">
        <f>'RESUMEN TOTAL'!AE214</f>
        <v>APAGADO</v>
      </c>
      <c r="S163" s="70" t="str">
        <f>'RESUMEN TOTAL'!AF214</f>
        <v>APAGADO</v>
      </c>
      <c r="T163" s="70" t="str">
        <f>'RESUMEN TOTAL'!AG214</f>
        <v>APAGADO</v>
      </c>
      <c r="U163" s="70" t="str">
        <f>'RESUMEN TOTAL'!AH214</f>
        <v>APAGADO</v>
      </c>
      <c r="V163" s="70" t="str">
        <f>'RESUMEN TOTAL'!AI214</f>
        <v>APAGADO</v>
      </c>
      <c r="W163" s="70">
        <f>'RESUMEN TOTAL'!AJ214</f>
        <v>0</v>
      </c>
      <c r="X163" s="70">
        <f>'RESUMEN TOTAL'!AK214</f>
        <v>0</v>
      </c>
      <c r="Y163" s="70" t="str">
        <f>'RESUMEN TOTAL'!AL214</f>
        <v>APAGADO</v>
      </c>
      <c r="Z163" s="70" t="str">
        <f>'RESUMEN TOTAL'!AM214</f>
        <v>APAGADO</v>
      </c>
      <c r="AA163" s="70" t="str">
        <f>'RESUMEN TOTAL'!AN214</f>
        <v>APAGADO</v>
      </c>
      <c r="AB163" s="70" t="str">
        <f>'RESUMEN TOTAL'!AO214</f>
        <v>APAGADO</v>
      </c>
      <c r="AC163" s="70" t="str">
        <f>'RESUMEN TOTAL'!AP214</f>
        <v>APAGADO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LA SIRENA</v>
      </c>
      <c r="B164" t="str">
        <f>'RESUMEN TOTAL'!G215</f>
        <v>SIR 04</v>
      </c>
      <c r="C164" t="str">
        <f>'RESUMEN TOTAL'!I215</f>
        <v>AV. MONTEVERDE Y MORAN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 t="str">
        <f>'RESUMEN TOTAL'!AE215</f>
        <v>APAGADO</v>
      </c>
      <c r="S164" s="70" t="str">
        <f>'RESUMEN TOTAL'!AF215</f>
        <v>APAGADO</v>
      </c>
      <c r="T164" s="70" t="str">
        <f>'RESUMEN TOTAL'!AG215</f>
        <v>APAGADO</v>
      </c>
      <c r="U164" s="70" t="str">
        <f>'RESUMEN TOTAL'!AH215</f>
        <v>APAGADO</v>
      </c>
      <c r="V164" s="70" t="str">
        <f>'RESUMEN TOTAL'!AI215</f>
        <v>APAGADO</v>
      </c>
      <c r="W164" s="70">
        <f>'RESUMEN TOTAL'!AJ215</f>
        <v>0</v>
      </c>
      <c r="X164" s="70">
        <f>'RESUMEN TOTAL'!AK215</f>
        <v>0</v>
      </c>
      <c r="Y164" s="70" t="str">
        <f>'RESUMEN TOTAL'!AL215</f>
        <v>APAGADO</v>
      </c>
      <c r="Z164" s="70" t="str">
        <f>'RESUMEN TOTAL'!AM215</f>
        <v>APAGADO</v>
      </c>
      <c r="AA164" s="70" t="str">
        <f>'RESUMEN TOTAL'!AN215</f>
        <v>APAGADO</v>
      </c>
      <c r="AB164" s="70" t="str">
        <f>'RESUMEN TOTAL'!AO215</f>
        <v>APAGADO</v>
      </c>
      <c r="AC164" s="70" t="str">
        <f>'RESUMEN TOTAL'!AP215</f>
        <v>APAGADO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SAN EDUARDO</v>
      </c>
      <c r="B165" t="str">
        <f>'RESUMEN TOTAL'!G216</f>
        <v>SIR 03</v>
      </c>
      <c r="C165" t="str">
        <f>'RESUMEN TOTAL'!I216</f>
        <v>MONTES Y LONARDI</v>
      </c>
      <c r="D165" s="30" t="str">
        <f>'RESUMEN TOTAL'!J216</f>
        <v>DOMO</v>
      </c>
      <c r="E165" s="30" t="str">
        <f>'RESUMEN TOTAL'!K216</f>
        <v>Fibra Optica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SAN EDUARDO</v>
      </c>
      <c r="B166" t="str">
        <f>'RESUMEN TOTAL'!G217</f>
        <v>SIR 02</v>
      </c>
      <c r="C166" t="str">
        <f>'RESUMEN TOTAL'!I217</f>
        <v>Victorino de la Plaza y Argentina</v>
      </c>
      <c r="D166" s="30" t="str">
        <f>'RESUMEN TOTAL'!J217</f>
        <v>Domo</v>
      </c>
      <c r="E166" s="30" t="str">
        <f>'RESUMEN TOTAL'!K217</f>
        <v>GPON</v>
      </c>
      <c r="F166" s="70" t="str">
        <f>'RESUMEN TOTAL'!S217</f>
        <v>APAGADO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 t="str">
        <f>'RESUMEN TOTAL'!Y217</f>
        <v>APAGADO</v>
      </c>
      <c r="M166" s="70" t="str">
        <f>'RESUMEN TOTAL'!Z217</f>
        <v>APAGADO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 t="str">
        <f>'RESUMEN TOTAL'!AE217</f>
        <v>APAGADO</v>
      </c>
      <c r="S166" s="70" t="str">
        <f>'RESUMEN TOTAL'!AF217</f>
        <v>APAGADO</v>
      </c>
      <c r="T166" s="70" t="str">
        <f>'RESUMEN TOTAL'!AG217</f>
        <v>APAGADO</v>
      </c>
      <c r="U166" s="70" t="str">
        <f>'RESUMEN TOTAL'!AH217</f>
        <v>APAGADO</v>
      </c>
      <c r="V166" s="70" t="str">
        <f>'RESUMEN TOTAL'!AI217</f>
        <v>APAGADO</v>
      </c>
      <c r="W166" s="70">
        <f>'RESUMEN TOTAL'!AJ217</f>
        <v>0</v>
      </c>
      <c r="X166" s="70">
        <f>'RESUMEN TOTAL'!AK217</f>
        <v>0</v>
      </c>
      <c r="Y166" s="70" t="str">
        <f>'RESUMEN TOTAL'!AL217</f>
        <v>APAGADO</v>
      </c>
      <c r="Z166" s="70" t="str">
        <f>'RESUMEN TOTAL'!AM217</f>
        <v>APAGADO</v>
      </c>
      <c r="AA166" s="70" t="str">
        <f>'RESUMEN TOTAL'!AN217</f>
        <v>APAGADO</v>
      </c>
      <c r="AB166" s="70" t="str">
        <f>'RESUMEN TOTAL'!AO217</f>
        <v>APAGADO</v>
      </c>
      <c r="AC166" s="70" t="str">
        <f>'RESUMEN TOTAL'!AP217</f>
        <v>APAGADO</v>
      </c>
      <c r="AD166" s="70">
        <f>'RESUMEN TOTAL'!AQ217</f>
        <v>0</v>
      </c>
      <c r="AE166" s="70">
        <f>'RESUMEN TOTAL'!AR217</f>
        <v>0</v>
      </c>
      <c r="AF166" s="70" t="str">
        <f>'RESUMEN TOTAL'!AS217</f>
        <v>APAGADO</v>
      </c>
      <c r="AG166" s="70" t="str">
        <f>'RESUMEN TOTAL'!AT217</f>
        <v>APAGADO</v>
      </c>
      <c r="AH166" s="70" t="str">
        <f>'RESUMEN TOTAL'!AU217</f>
        <v>APAGADO</v>
      </c>
      <c r="AI166" s="70" t="str">
        <f>'RESUMEN TOTAL'!AV217</f>
        <v>APAGADO</v>
      </c>
      <c r="AJ166" s="70" t="e">
        <f>'RESUMEN TOTAL'!#REF!</f>
        <v>#REF!</v>
      </c>
    </row>
    <row r="167" spans="1:36" x14ac:dyDescent="0.25">
      <c r="A167" t="str">
        <f>'RESUMEN TOTAL'!F221</f>
        <v>SAN EMILIO</v>
      </c>
      <c r="B167" t="str">
        <f>'RESUMEN TOTAL'!G221</f>
        <v>SEMI01</v>
      </c>
      <c r="C167" t="str">
        <f>'RESUMEN TOTAL'!I221</f>
        <v>San Martin y Av. del Trabajo</v>
      </c>
      <c r="D167" s="30" t="str">
        <f>'RESUMEN TOTAL'!J221</f>
        <v>Domo</v>
      </c>
      <c r="E167" s="30" t="str">
        <f>'RESUMEN TOTAL'!K221</f>
        <v>Fibra Optica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>
        <f>'RESUMEN TOTAL'!V221</f>
        <v>0</v>
      </c>
      <c r="J167" s="70">
        <f>'RESUMEN TOTAL'!W221</f>
        <v>0</v>
      </c>
      <c r="K167" s="70">
        <f>'RESUMEN TOTAL'!X221</f>
        <v>0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 t="str">
        <f>'RESUMEN TOTAL'!AF221</f>
        <v>APAGADO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 t="str">
        <f>'RESUMEN TOTAL'!AO221</f>
        <v>APAGADO</v>
      </c>
      <c r="AC167" s="70" t="str">
        <f>'RESUMEN TOTAL'!AP221</f>
        <v>APAGADO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SAN EMILIO</v>
      </c>
      <c r="B168" t="str">
        <f>'RESUMEN TOTAL'!G222</f>
        <v>SEMI 02</v>
      </c>
      <c r="C168" t="str">
        <f>'RESUMEN TOTAL'!I222</f>
        <v>Cno. Gral. Belgrano y Francia</v>
      </c>
      <c r="D168" s="30" t="str">
        <f>'RESUMEN TOTAL'!J222</f>
        <v>Domo</v>
      </c>
      <c r="E168" s="30" t="str">
        <f>'RESUMEN TOTAL'!K222</f>
        <v>Fibra Optica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 t="str">
        <f>'RESUMEN TOTAL'!AI222</f>
        <v>APAGADO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SAN EDUARDO</v>
      </c>
      <c r="B169" t="str">
        <f>'RESUMEN TOTAL'!G223</f>
        <v>SEDU04</v>
      </c>
      <c r="C169" t="str">
        <f>'RESUMEN TOTAL'!I223</f>
        <v xml:space="preserve">San Martin Y Dans Rey </v>
      </c>
      <c r="D169" s="30" t="str">
        <f>'RESUMEN TOTAL'!J223</f>
        <v>Fija</v>
      </c>
      <c r="E169" s="30" t="str">
        <f>'RESUMEN TOTAL'!K223</f>
        <v>Fibra Optica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SAN EDUARDO</v>
      </c>
      <c r="B170" t="str">
        <f>'RESUMEN TOTAL'!G226</f>
        <v>SEDU01</v>
      </c>
      <c r="C170" t="str">
        <f>'RESUMEN TOTAL'!I226</f>
        <v>San Martin y Sperandio</v>
      </c>
      <c r="D170" s="30" t="str">
        <f>'RESUMEN TOTAL'!J226</f>
        <v>Domo</v>
      </c>
      <c r="E170" s="30" t="str">
        <f>'RESUMEN TOTAL'!K226</f>
        <v>Fibra Optica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 t="str">
        <f>'RESUMEN TOTAL'!AF226</f>
        <v>APAGADO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 t="str">
        <f>'RESUMEN TOTAL'!AO226</f>
        <v>APAGADO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 t="str">
        <f>'RESUMEN TOTAL'!AS226</f>
        <v>APAGADO</v>
      </c>
      <c r="AG170" s="70" t="str">
        <f>'RESUMEN TOTAL'!AT226</f>
        <v>APAGADO</v>
      </c>
      <c r="AH170" s="70" t="str">
        <f>'RESUMEN TOTAL'!AU226</f>
        <v>APAGADO</v>
      </c>
      <c r="AI170" s="70" t="str">
        <f>'RESUMEN TOTAL'!AV226</f>
        <v>APAGADO</v>
      </c>
      <c r="AJ170" s="70" t="e">
        <f>'RESUMEN TOTAL'!#REF!</f>
        <v>#REF!</v>
      </c>
    </row>
    <row r="171" spans="1:36" x14ac:dyDescent="0.25">
      <c r="A171" t="str">
        <f>'RESUMEN TOTAL'!F227</f>
        <v>PRESIDENTE SARMIENTO</v>
      </c>
      <c r="B171" t="str">
        <f>'RESUMEN TOTAL'!G227</f>
        <v>SAR01</v>
      </c>
      <c r="C171" t="str">
        <f>'RESUMEN TOTAL'!I227</f>
        <v>Storni Y Sanchez de Loria</v>
      </c>
      <c r="D171" s="30" t="str">
        <f>'RESUMEN TOTAL'!J227</f>
        <v>Domo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MONTE CUDINE</v>
      </c>
      <c r="B172" t="str">
        <f>'RESUMEN TOTAL'!G228</f>
        <v>SAR 15</v>
      </c>
      <c r="C172" t="str">
        <f>'RESUMEN TOTAL'!I228</f>
        <v xml:space="preserve">Clorinda y Magallanes </v>
      </c>
      <c r="D172" s="30" t="str">
        <f>'RESUMEN TOTAL'!J228</f>
        <v>Domo</v>
      </c>
      <c r="E172" s="30" t="str">
        <f>'RESUMEN TOTAL'!K228</f>
        <v>GPON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 t="str">
        <f>'RESUMEN TOTAL'!X228</f>
        <v>APAGADO</v>
      </c>
      <c r="L172" s="70" t="str">
        <f>'RESUMEN TOTAL'!Y228</f>
        <v>APAGADO</v>
      </c>
      <c r="M172" s="70" t="str">
        <f>'RESUMEN TOTAL'!Z228</f>
        <v>APAGADO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 t="str">
        <f>'RESUMEN TOTAL'!AF228</f>
        <v>APAGADO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MONTE CUDINE</v>
      </c>
      <c r="B173" t="str">
        <f>'RESUMEN TOTAL'!G229</f>
        <v>SAR 14</v>
      </c>
      <c r="C173" t="str">
        <f>'RESUMEN TOTAL'!I229</f>
        <v xml:space="preserve">Necochea e/Senzabello y Magallanes </v>
      </c>
      <c r="D173" s="30" t="str">
        <f>'RESUMEN TOTAL'!J229</f>
        <v>Fija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 t="str">
        <f>'RESUMEN TOTAL'!AF229</f>
        <v>APAGADO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MONTE CUDINE</v>
      </c>
      <c r="B174" t="str">
        <f>'RESUMEN TOTAL'!G230</f>
        <v>SAR 13</v>
      </c>
      <c r="C174" t="str">
        <f>'RESUMEN TOTAL'!I230</f>
        <v>Calchaqui y Rocha</v>
      </c>
      <c r="D174" s="30" t="str">
        <f>'RESUMEN TOTAL'!J230</f>
        <v>Fija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 t="str">
        <f>'RESUMEN TOTAL'!AE230</f>
        <v>APAGADO</v>
      </c>
      <c r="S174" s="70" t="str">
        <f>'RESUMEN TOTAL'!AF230</f>
        <v>APAGADO</v>
      </c>
      <c r="T174" s="70" t="str">
        <f>'RESUMEN TOTAL'!AG230</f>
        <v>APAGADO</v>
      </c>
      <c r="U174" s="70" t="str">
        <f>'RESUMEN TOTAL'!AH230</f>
        <v>APAGADO</v>
      </c>
      <c r="V174" s="70" t="str">
        <f>'RESUMEN TOTAL'!AI230</f>
        <v>APAGADO</v>
      </c>
      <c r="W174" s="70">
        <f>'RESUMEN TOTAL'!AJ230</f>
        <v>0</v>
      </c>
      <c r="X174" s="70">
        <f>'RESUMEN TOTAL'!AK230</f>
        <v>0</v>
      </c>
      <c r="Y174" s="70" t="str">
        <f>'RESUMEN TOTAL'!AL230</f>
        <v>APAGADO</v>
      </c>
      <c r="Z174" s="70" t="str">
        <f>'RESUMEN TOTAL'!AM230</f>
        <v>APAGADO</v>
      </c>
      <c r="AA174" s="70" t="str">
        <f>'RESUMEN TOTAL'!AN230</f>
        <v>APAGADO</v>
      </c>
      <c r="AB174" s="70" t="str">
        <f>'RESUMEN TOTAL'!AO230</f>
        <v>APAGADO</v>
      </c>
      <c r="AC174" s="70" t="str">
        <f>'RESUMEN TOTAL'!AP230</f>
        <v>APAGADO</v>
      </c>
      <c r="AD174" s="70">
        <f>'RESUMEN TOTAL'!AQ230</f>
        <v>0</v>
      </c>
      <c r="AE174" s="70">
        <f>'RESUMEN TOTAL'!AR230</f>
        <v>0</v>
      </c>
      <c r="AF174" s="70" t="str">
        <f>'RESUMEN TOTAL'!AS230</f>
        <v>APAGADO</v>
      </c>
      <c r="AG174" s="70" t="str">
        <f>'RESUMEN TOTAL'!AT230</f>
        <v>APAGADO</v>
      </c>
      <c r="AH174" s="70" t="str">
        <f>'RESUMEN TOTAL'!AU230</f>
        <v>APAGADO</v>
      </c>
      <c r="AI174" s="70" t="str">
        <f>'RESUMEN TOTAL'!AV230</f>
        <v>APAGADO</v>
      </c>
      <c r="AJ174" s="70" t="e">
        <f>'RESUMEN TOTAL'!#REF!</f>
        <v>#REF!</v>
      </c>
    </row>
    <row r="175" spans="1:36" x14ac:dyDescent="0.25">
      <c r="A175" t="str">
        <f>'RESUMEN TOTAL'!F231</f>
        <v>MONTE CUDINE</v>
      </c>
      <c r="B175" t="str">
        <f>'RESUMEN TOTAL'!G231</f>
        <v>SAR 12</v>
      </c>
      <c r="C175" t="str">
        <f>'RESUMEN TOTAL'!I231</f>
        <v>Arenales y Estrada</v>
      </c>
      <c r="D175" s="30" t="str">
        <f>'RESUMEN TOTAL'!J231</f>
        <v>Fija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>
        <f>'RESUMEN TOTAL'!V231</f>
        <v>0</v>
      </c>
      <c r="J175" s="70">
        <f>'RESUMEN TOTAL'!W231</f>
        <v>0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 t="str">
        <f>'RESUMEN TOTAL'!AF231</f>
        <v>APAGADO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PRESIDENTE SARMIENTO</v>
      </c>
      <c r="B176" t="str">
        <f>'RESUMEN TOTAL'!G236</f>
        <v>SAR 07</v>
      </c>
      <c r="C176" t="str">
        <f>'RESUMEN TOTAL'!I236</f>
        <v>Necochea y Lorenzini</v>
      </c>
      <c r="D176" s="30" t="str">
        <f>'RESUMEN TOTAL'!J236</f>
        <v>Fija</v>
      </c>
      <c r="E176" s="30" t="str">
        <f>'RESUMEN TOTAL'!K236</f>
        <v>Fibra Optica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PRESIDENTE SARMIENTO</v>
      </c>
      <c r="B177" t="str">
        <f>'RESUMEN TOTAL'!G237</f>
        <v>SAR 06</v>
      </c>
      <c r="C177" t="str">
        <f>'RESUMEN TOTAL'!I237</f>
        <v>Necochea y Lorenzini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PRESIDENTE SARMIENTO</v>
      </c>
      <c r="B178" t="str">
        <f>'RESUMEN TOTAL'!G238</f>
        <v>SAR 05</v>
      </c>
      <c r="C178" t="str">
        <f>'RESUMEN TOTAL'!I238</f>
        <v>ALVARADO Y ROCHA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PRESIDENTE SARMIENTO</v>
      </c>
      <c r="B179" t="str">
        <f>'RESUMEN TOTAL'!G240</f>
        <v>SAR 03 (fija 2)</v>
      </c>
      <c r="C179" t="str">
        <f>'RESUMEN TOTAL'!I240</f>
        <v>DARDO ROCHA Y GABRIELA MISTRAL</v>
      </c>
      <c r="D179" s="30" t="str">
        <f>'RESUMEN TOTAL'!J240</f>
        <v>Fija</v>
      </c>
      <c r="E179" s="30" t="str">
        <f>'RESUMEN TOTAL'!K240</f>
        <v>GPON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PRESIDENTE SARMIENTO</v>
      </c>
      <c r="B180" t="str">
        <f>'RESUMEN TOTAL'!G241</f>
        <v>SAR 02 (fija 1)</v>
      </c>
      <c r="C180" t="str">
        <f>'RESUMEN TOTAL'!I241</f>
        <v>DARDO ROCHA Y GABRIELA MISTRAL</v>
      </c>
      <c r="D180" s="30" t="str">
        <f>'RESUMEN TOTAL'!J241</f>
        <v>Fija</v>
      </c>
      <c r="E180" s="30" t="str">
        <f>'RESUMEN TOTAL'!K241</f>
        <v>GPON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SANTA ANA</v>
      </c>
      <c r="B181" t="str">
        <f>'RESUMEN TOTAL'!G242</f>
        <v>SAN01</v>
      </c>
      <c r="C181" t="str">
        <f>'RESUMEN TOTAL'!I242</f>
        <v>HUDSON Y SUIPACHA</v>
      </c>
      <c r="D181" s="30" t="str">
        <f>'RESUMEN TOTAL'!J242</f>
        <v>Fija 1</v>
      </c>
      <c r="E181" s="30" t="str">
        <f>'RESUMEN TOTAL'!K242</f>
        <v>GPON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SANTA ANA</v>
      </c>
      <c r="B182" t="str">
        <f>'RESUMEN TOTAL'!G243</f>
        <v>SAN 02</v>
      </c>
      <c r="C182" t="str">
        <f>'RESUMEN TOTAL'!I243</f>
        <v>HUDSON Y SUIPACHA</v>
      </c>
      <c r="D182" s="30" t="str">
        <f>'RESUMEN TOTAL'!J243</f>
        <v>Fija 2</v>
      </c>
      <c r="E182" s="30" t="str">
        <f>'RESUMEN TOTAL'!K243</f>
        <v>GPON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RICARDO ROJAS</v>
      </c>
      <c r="B183" t="str">
        <f>'RESUMEN TOTAL'!G244</f>
        <v>RRJ04 (fija 2)</v>
      </c>
      <c r="C183" t="str">
        <f>'RESUMEN TOTAL'!I244</f>
        <v>RUBEN DARIO E/ FADER Y DIAG. LOS POETAS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 t="str">
        <f>'RESUMEN TOTAL'!AS244</f>
        <v>APAGADO</v>
      </c>
      <c r="AG183" s="70" t="str">
        <f>'RESUMEN TOTAL'!AT244</f>
        <v>APAGADO</v>
      </c>
      <c r="AH183" s="70" t="str">
        <f>'RESUMEN TOTAL'!AU244</f>
        <v>APAGADO</v>
      </c>
      <c r="AI183" s="70" t="str">
        <f>'RESUMEN TOTAL'!AV244</f>
        <v>APAGADO</v>
      </c>
      <c r="AJ183" s="70" t="e">
        <f>'RESUMEN TOTAL'!#REF!</f>
        <v>#REF!</v>
      </c>
    </row>
    <row r="184" spans="1:36" x14ac:dyDescent="0.25">
      <c r="A184" t="str">
        <f>'RESUMEN TOTAL'!F245</f>
        <v>RICARDO ROJAS</v>
      </c>
      <c r="B184" t="str">
        <f>'RESUMEN TOTAL'!G245</f>
        <v>RRJ03 (fija 1)</v>
      </c>
      <c r="C184" t="str">
        <f>'RESUMEN TOTAL'!I245</f>
        <v>RUBEN DARIO E/ FADER Y DIAG. LOS POETAS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 t="str">
        <f>'RESUMEN TOTAL'!AS245</f>
        <v>APAGADO</v>
      </c>
      <c r="AG184" s="70" t="str">
        <f>'RESUMEN TOTAL'!AT245</f>
        <v>APAGADO</v>
      </c>
      <c r="AH184" s="70" t="str">
        <f>'RESUMEN TOTAL'!AU245</f>
        <v>APAGADO</v>
      </c>
      <c r="AI184" s="70" t="str">
        <f>'RESUMEN TOTAL'!AV245</f>
        <v>APAGADO</v>
      </c>
      <c r="AJ184" s="70" t="e">
        <f>'RESUMEN TOTAL'!#REF!</f>
        <v>#REF!</v>
      </c>
    </row>
    <row r="185" spans="1:36" x14ac:dyDescent="0.25">
      <c r="A185" t="str">
        <f>'RESUMEN TOTAL'!F246</f>
        <v>RICARDO ROJAS</v>
      </c>
      <c r="B185" t="str">
        <f>'RESUMEN TOTAL'!G246</f>
        <v>RRJ02</v>
      </c>
      <c r="C185" t="str">
        <f>'RESUMEN TOTAL'!I246</f>
        <v>AV. LUJAN Y DIAG. LOS POETAS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RICARDO ROJAS</v>
      </c>
      <c r="B186" t="str">
        <f>'RESUMEN TOTAL'!G247</f>
        <v>RRJ01</v>
      </c>
      <c r="C186" t="str">
        <f>'RESUMEN TOTAL'!I247</f>
        <v>AV. LUJAN Y BRAGADO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RICARDO ROJAS</v>
      </c>
      <c r="B187" t="str">
        <f>'RESUMEN TOTAL'!G248</f>
        <v>RRJ 16</v>
      </c>
      <c r="C187" t="str">
        <f>'RESUMEN TOTAL'!I248</f>
        <v>Constancio Vigil y Lujan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>
        <f>'RESUMEN TOTAL'!V248</f>
        <v>0</v>
      </c>
      <c r="J187" s="70">
        <f>'RESUMEN TOTAL'!W248</f>
        <v>0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 t="str">
        <f>'RESUMEN TOTAL'!AS248</f>
        <v>APAGADO</v>
      </c>
      <c r="AG187" s="70" t="str">
        <f>'RESUMEN TOTAL'!AT248</f>
        <v>APAGADO</v>
      </c>
      <c r="AH187" s="70" t="str">
        <f>'RESUMEN TOTAL'!AU248</f>
        <v>APAGADO</v>
      </c>
      <c r="AI187" s="70" t="str">
        <f>'RESUMEN TOTAL'!AV248</f>
        <v>APAGADO</v>
      </c>
      <c r="AJ187" s="70" t="e">
        <f>'RESUMEN TOTAL'!#REF!</f>
        <v>#REF!</v>
      </c>
    </row>
    <row r="188" spans="1:36" x14ac:dyDescent="0.25">
      <c r="A188" t="str">
        <f>'RESUMEN TOTAL'!F249</f>
        <v>RICARDO ROJAS</v>
      </c>
      <c r="B188" t="str">
        <f>'RESUMEN TOTAL'!G249</f>
        <v>RRJ 15</v>
      </c>
      <c r="C188" t="str">
        <f>'RESUMEN TOTAL'!I249</f>
        <v>Constancio Vigil y Ruta 36 fija</v>
      </c>
      <c r="D188" s="30" t="str">
        <f>'RESUMEN TOTAL'!J249</f>
        <v>Fija</v>
      </c>
      <c r="E188" s="30" t="str">
        <f>'RESUMEN TOTAL'!K249</f>
        <v>PTO A FO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 t="str">
        <f>'RESUMEN TOTAL'!AS249</f>
        <v>APAGADO</v>
      </c>
      <c r="AG188" s="70" t="str">
        <f>'RESUMEN TOTAL'!AT249</f>
        <v>APAGADO</v>
      </c>
      <c r="AH188" s="70" t="str">
        <f>'RESUMEN TOTAL'!AU249</f>
        <v>APAGADO</v>
      </c>
      <c r="AI188" s="70" t="str">
        <f>'RESUMEN TOTAL'!AV249</f>
        <v>APAGADO</v>
      </c>
      <c r="AJ188" s="70" t="e">
        <f>'RESUMEN TOTAL'!#REF!</f>
        <v>#REF!</v>
      </c>
    </row>
    <row r="189" spans="1:36" x14ac:dyDescent="0.25">
      <c r="A189" t="str">
        <f>'RESUMEN TOTAL'!F250</f>
        <v>RICARDO ROJAS</v>
      </c>
      <c r="B189" t="str">
        <f>'RESUMEN TOTAL'!G250</f>
        <v>RRJ 14</v>
      </c>
      <c r="C189" t="str">
        <f>'RESUMEN TOTAL'!I250</f>
        <v> Constancio Vigil y Ruta 36 Domo</v>
      </c>
      <c r="D189" s="30" t="str">
        <f>'RESUMEN TOTAL'!J250</f>
        <v>DOMO</v>
      </c>
      <c r="E189" s="30" t="str">
        <f>'RESUMEN TOTAL'!K250</f>
        <v>PTO A FO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>
        <f>'RESUMEN TOTAL'!V250</f>
        <v>0</v>
      </c>
      <c r="J189" s="70">
        <f>'RESUMEN TOTAL'!W250</f>
        <v>0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 t="str">
        <f>'RESUMEN TOTAL'!AS250</f>
        <v>APAGADO</v>
      </c>
      <c r="AG189" s="70" t="str">
        <f>'RESUMEN TOTAL'!AT250</f>
        <v>APAGADO</v>
      </c>
      <c r="AH189" s="70" t="str">
        <f>'RESUMEN TOTAL'!AU250</f>
        <v>APAGADO</v>
      </c>
      <c r="AI189" s="70" t="str">
        <f>'RESUMEN TOTAL'!AV250</f>
        <v>APAGADO</v>
      </c>
      <c r="AJ189" s="70" t="e">
        <f>'RESUMEN TOTAL'!#REF!</f>
        <v>#REF!</v>
      </c>
    </row>
    <row r="190" spans="1:36" x14ac:dyDescent="0.25">
      <c r="A190" t="str">
        <f>'RESUMEN TOTAL'!F251</f>
        <v>RICARDO ROJAS</v>
      </c>
      <c r="B190" t="str">
        <f>'RESUMEN TOTAL'!G251</f>
        <v>RRJ 13</v>
      </c>
      <c r="C190" t="str">
        <f>'RESUMEN TOTAL'!I251</f>
        <v>LUJAN Y DIAGONAL LOS POETAS</v>
      </c>
      <c r="D190" s="30" t="str">
        <f>'RESUMEN TOTAL'!J251</f>
        <v>Fija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>
        <f>'RESUMEN TOTAL'!V251</f>
        <v>0</v>
      </c>
      <c r="J190" s="70">
        <f>'RESUMEN TOTAL'!W251</f>
        <v>0</v>
      </c>
      <c r="K190" s="70">
        <f>'RESUMEN TOTAL'!X251</f>
        <v>0</v>
      </c>
      <c r="L190" s="70">
        <f>'RESUMEN TOTAL'!Y251</f>
        <v>0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RICARDO ROJAS</v>
      </c>
      <c r="B191" t="str">
        <f>'RESUMEN TOTAL'!G252</f>
        <v>RRJ 12</v>
      </c>
      <c r="C191" t="str">
        <f>'RESUMEN TOTAL'!I252</f>
        <v>FADER Y DIAGONAL LOS POETAS</v>
      </c>
      <c r="D191" s="30" t="str">
        <f>'RESUMEN TOTAL'!J252</f>
        <v>DOMO</v>
      </c>
      <c r="E191" s="30" t="str">
        <f>'RESUMEN TOTAL'!K252</f>
        <v>Fibra Optica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RICARDO ROJAS</v>
      </c>
      <c r="B192" t="str">
        <f>'RESUMEN TOTAL'!G253</f>
        <v>RRJ 11</v>
      </c>
      <c r="C192" t="str">
        <f>'RESUMEN TOTAL'!I253</f>
        <v>LUGONES Y OBLIGADO</v>
      </c>
      <c r="D192" s="30" t="str">
        <f>'RESUMEN TOTAL'!J253</f>
        <v>Domo</v>
      </c>
      <c r="E192" s="30" t="str">
        <f>'RESUMEN TOTAL'!K253</f>
        <v>Fibra Optica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>
        <f>'RESUMEN TOTAL'!V253</f>
        <v>0</v>
      </c>
      <c r="J192" s="70">
        <f>'RESUMEN TOTAL'!W253</f>
        <v>0</v>
      </c>
      <c r="K192" s="70">
        <f>'RESUMEN TOTAL'!X253</f>
        <v>0</v>
      </c>
      <c r="L192" s="70">
        <f>'RESUMEN TOTAL'!Y253</f>
        <v>0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 t="str">
        <f>'RESUMEN TOTAL'!AO253</f>
        <v>APAGADO</v>
      </c>
      <c r="AC192" s="70" t="str">
        <f>'RESUMEN TOTAL'!AP253</f>
        <v>APAGADO</v>
      </c>
      <c r="AD192" s="70">
        <f>'RESUMEN TOTAL'!AQ253</f>
        <v>0</v>
      </c>
      <c r="AE192" s="70">
        <f>'RESUMEN TOTAL'!AR253</f>
        <v>0</v>
      </c>
      <c r="AF192" s="70" t="str">
        <f>'RESUMEN TOTAL'!AS253</f>
        <v>APAGADO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RICARDO ROJAS</v>
      </c>
      <c r="B193" t="str">
        <f>'RESUMEN TOTAL'!G254</f>
        <v>RRJ 10</v>
      </c>
      <c r="C193" t="str">
        <f>'RESUMEN TOTAL'!I254</f>
        <v>LUGONES Y OBLIGADO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>
        <f>'RESUMEN TOTAL'!V254</f>
        <v>0</v>
      </c>
      <c r="J193" s="70">
        <f>'RESUMEN TOTAL'!W254</f>
        <v>0</v>
      </c>
      <c r="K193" s="70">
        <f>'RESUMEN TOTAL'!X254</f>
        <v>0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 t="str">
        <f>'RESUMEN TOTAL'!AO254</f>
        <v>APAGADO</v>
      </c>
      <c r="AC193" s="70" t="str">
        <f>'RESUMEN TOTAL'!AP254</f>
        <v>APAGADO</v>
      </c>
      <c r="AD193" s="70">
        <f>'RESUMEN TOTAL'!AQ254</f>
        <v>0</v>
      </c>
      <c r="AE193" s="70">
        <f>'RESUMEN TOTAL'!AR254</f>
        <v>0</v>
      </c>
      <c r="AF193" s="70" t="str">
        <f>'RESUMEN TOTAL'!AS254</f>
        <v>APAGADO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RICARDO ROJAS</v>
      </c>
      <c r="B194" t="str">
        <f>'RESUMEN TOTAL'!G255</f>
        <v>RRJ 09</v>
      </c>
      <c r="C194" t="str">
        <f>'RESUMEN TOTAL'!I255</f>
        <v>Constancio Vigil y Jose Ingeniero</v>
      </c>
      <c r="D194" s="30" t="str">
        <f>'RESUMEN TOTAL'!J255</f>
        <v>Domo</v>
      </c>
      <c r="E194" s="30" t="str">
        <f>'RESUMEN TOTAL'!K255</f>
        <v>Fibra Optica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>
        <f>'RESUMEN TOTAL'!V255</f>
        <v>0</v>
      </c>
      <c r="J194" s="70">
        <f>'RESUMEN TOTAL'!W255</f>
        <v>0</v>
      </c>
      <c r="K194" s="70" t="str">
        <f>'RESUMEN TOTAL'!X255</f>
        <v>APAGADO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 t="str">
        <f>'RESUMEN TOTAL'!AO255</f>
        <v>APAGADO</v>
      </c>
      <c r="AC194" s="70" t="str">
        <f>'RESUMEN TOTAL'!AP255</f>
        <v>APAGADO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RICARDO ROJAS</v>
      </c>
      <c r="B195" t="str">
        <f>'RESUMEN TOTAL'!G256</f>
        <v>RRJ 08</v>
      </c>
      <c r="C195" t="str">
        <f>'RESUMEN TOTAL'!I256</f>
        <v>Constancio Vigil y Pablo Podesta</v>
      </c>
      <c r="D195" s="30" t="str">
        <f>'RESUMEN TOTAL'!J256</f>
        <v>Domo</v>
      </c>
      <c r="E195" s="30" t="str">
        <f>'RESUMEN TOTAL'!K256</f>
        <v>Fibra Optica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RICARDO ROJAS</v>
      </c>
      <c r="B196" t="str">
        <f>'RESUMEN TOTAL'!G257</f>
        <v>RRJ 07</v>
      </c>
      <c r="C196" t="str">
        <f>'RESUMEN TOTAL'!I257</f>
        <v>Constancio Vigil y Estanislao del Campo</v>
      </c>
      <c r="D196" s="30" t="str">
        <f>'RESUMEN TOTAL'!J257</f>
        <v>Domo</v>
      </c>
      <c r="E196" s="30" t="str">
        <f>'RESUMEN TOTAL'!K257</f>
        <v>Fibra Optica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EL ROCIO</v>
      </c>
      <c r="B197" t="str">
        <f>'RESUMEN TOTAL'!G261</f>
        <v>ROT05</v>
      </c>
      <c r="C197" t="str">
        <f>'RESUMEN TOTAL'!I261</f>
        <v>Azurduy y Ezeiza</v>
      </c>
      <c r="D197" s="30" t="str">
        <f>'RESUMEN TOTAL'!J261</f>
        <v>DOMO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EL ROCIO</v>
      </c>
      <c r="B198" t="str">
        <f>'RESUMEN TOTAL'!G262</f>
        <v>ROT04</v>
      </c>
      <c r="C198" t="str">
        <f>'RESUMEN TOTAL'!I262</f>
        <v>CALCHAQUÍ Y AZURDUY FIJA 2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 t="str">
        <f>'RESUMEN TOTAL'!F263</f>
        <v>EL ROCIO</v>
      </c>
      <c r="B199" t="str">
        <f>'RESUMEN TOTAL'!G263</f>
        <v>ROT03</v>
      </c>
      <c r="C199" t="str">
        <f>'RESUMEN TOTAL'!I263</f>
        <v>CALCHAQUÍ Y AZURDUY FIJA 1</v>
      </c>
      <c r="D199" s="30" t="str">
        <f>'RESUMEN TOTAL'!J263</f>
        <v>Fija</v>
      </c>
      <c r="E199" s="30" t="str">
        <f>'RESUMEN TOTAL'!K263</f>
        <v>Fibra Optica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EL ROCIO</v>
      </c>
      <c r="B200" t="str">
        <f>'RESUMEN TOTAL'!G266</f>
        <v>RCO06 (fija 2)</v>
      </c>
      <c r="C200" t="str">
        <f>'RESUMEN TOTAL'!I266</f>
        <v>LOBOS Y CHASCOMUS</v>
      </c>
      <c r="D200" s="30" t="str">
        <f>'RESUMEN TOTAL'!J266</f>
        <v>FIJA</v>
      </c>
      <c r="E200" s="30" t="str">
        <f>'RESUMEN TOTAL'!K266</f>
        <v>Fibra Optica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 t="str">
        <f>'RESUMEN TOTAL'!X266</f>
        <v>APAGADO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EL ROCIO</v>
      </c>
      <c r="B201" t="str">
        <f>'RESUMEN TOTAL'!G267</f>
        <v>RCO05 (fija 1)</v>
      </c>
      <c r="C201" t="str">
        <f>'RESUMEN TOTAL'!I267</f>
        <v>LOBOS Y CHASCOMUS</v>
      </c>
      <c r="D201" s="30" t="str">
        <f>'RESUMEN TOTAL'!J267</f>
        <v>Fija</v>
      </c>
      <c r="E201" s="30" t="str">
        <f>'RESUMEN TOTAL'!K267</f>
        <v>Fibra Optica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 t="str">
        <f>'RESUMEN TOTAL'!X267</f>
        <v>APAGADO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EL ROCIO</v>
      </c>
      <c r="B202" t="str">
        <f>'RESUMEN TOTAL'!G268</f>
        <v>RCO04 (fija 2)</v>
      </c>
      <c r="C202" t="str">
        <f>'RESUMEN TOTAL'!I268</f>
        <v>OLAVARRIA Y CONCORDIA</v>
      </c>
      <c r="D202" s="30" t="str">
        <f>'RESUMEN TOTAL'!J268</f>
        <v>Fija</v>
      </c>
      <c r="E202" s="30" t="str">
        <f>'RESUMEN TOTAL'!K268</f>
        <v>Fibra Optica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 t="str">
        <f>'RESUMEN TOTAL'!X268</f>
        <v>APAGADO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 t="str">
        <f>'RESUMEN TOTAL'!AI268</f>
        <v>APAGADO</v>
      </c>
      <c r="W202" s="70">
        <f>'RESUMEN TOTAL'!AJ268</f>
        <v>0</v>
      </c>
      <c r="X202" s="70">
        <f>'RESUMEN TOTAL'!AK268</f>
        <v>0</v>
      </c>
      <c r="Y202" s="70" t="str">
        <f>'RESUMEN TOTAL'!AL268</f>
        <v>APAGADO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 t="str">
        <f>'RESUMEN TOTAL'!F269</f>
        <v>EL ROCIO</v>
      </c>
      <c r="B203" t="str">
        <f>'RESUMEN TOTAL'!G269</f>
        <v>RCO03 (fija 1)</v>
      </c>
      <c r="C203" t="str">
        <f>'RESUMEN TOTAL'!I269</f>
        <v>OLAVARRIA Y CONCORDIA</v>
      </c>
      <c r="D203" s="30" t="str">
        <f>'RESUMEN TOTAL'!J269</f>
        <v>Fija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 t="str">
        <f>'RESUMEN TOTAL'!X269</f>
        <v>APAGADO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 t="str">
        <f>'RESUMEN TOTAL'!AI269</f>
        <v>APAGADO</v>
      </c>
      <c r="W203" s="70">
        <f>'RESUMEN TOTAL'!AJ269</f>
        <v>0</v>
      </c>
      <c r="X203" s="70">
        <f>'RESUMEN TOTAL'!AK269</f>
        <v>0</v>
      </c>
      <c r="Y203" s="70" t="str">
        <f>'RESUMEN TOTAL'!AL269</f>
        <v>APAGADO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 t="str">
        <f>'RESUMEN TOTAL'!F270</f>
        <v>EL ROCIO</v>
      </c>
      <c r="B204" t="str">
        <f>'RESUMEN TOTAL'!G270</f>
        <v>RCO02</v>
      </c>
      <c r="C204" t="str">
        <f>'RESUMEN TOTAL'!I270</f>
        <v>AV. LUJAN Y BRANDSEN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>
        <f>'RESUMEN TOTAL'!V270</f>
        <v>0</v>
      </c>
      <c r="J204" s="70">
        <f>'RESUMEN TOTAL'!W270</f>
        <v>0</v>
      </c>
      <c r="K204" s="70" t="str">
        <f>'RESUMEN TOTAL'!X270</f>
        <v>APAGADO</v>
      </c>
      <c r="L204" s="70">
        <f>'RESUMEN TOTAL'!Y270</f>
        <v>0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EL ROCIO</v>
      </c>
      <c r="B205" t="str">
        <f>'RESUMEN TOTAL'!G271</f>
        <v>RCO 01</v>
      </c>
      <c r="C205" t="str">
        <f>'RESUMEN TOTAL'!I271</f>
        <v>AV. LUJAN Y LOBOS</v>
      </c>
      <c r="D205" s="30" t="str">
        <f>'RESUMEN TOTAL'!J271</f>
        <v>DOMO</v>
      </c>
      <c r="E205" s="30" t="str">
        <f>'RESUMEN TOTAL'!K271</f>
        <v>Fibra Optica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 t="str">
        <f>'RESUMEN TOTAL'!X271</f>
        <v>APAGADO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 t="str">
        <f>'RESUMEN TOTAL'!AS271</f>
        <v>APAGADO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VILLA ARGENTINA</v>
      </c>
      <c r="B206" t="str">
        <f>'RESUMEN TOTAL'!G272</f>
        <v>PUNTO SEGURO VILLA ARGENTINA INTERCOMUNICADOR</v>
      </c>
      <c r="C206" t="str">
        <f>'RESUMEN TOTAL'!I272</f>
        <v>CALLE 513 Y DIAG PORTELA</v>
      </c>
      <c r="D206" s="30" t="str">
        <f>'RESUMEN TOTAL'!J272</f>
        <v>Fija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 t="str">
        <f>'RESUMEN TOTAL'!AO272</f>
        <v>APAGADO</v>
      </c>
      <c r="AC206" s="70" t="str">
        <f>'RESUMEN TOTAL'!AP272</f>
        <v>APAGADO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VILLA ARGENTINA</v>
      </c>
      <c r="B207" t="str">
        <f>'RESUMEN TOTAL'!G273</f>
        <v>PUNTO SEGURO VILLA ARGENTINA fija</v>
      </c>
      <c r="C207" t="str">
        <f>'RESUMEN TOTAL'!I273</f>
        <v>CALLE 513 Y DIAG PORTELA</v>
      </c>
      <c r="D207" s="30" t="str">
        <f>'RESUMEN TOTAL'!J273</f>
        <v>Fija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 t="str">
        <f>'RESUMEN TOTAL'!AO273</f>
        <v>APAGADO</v>
      </c>
      <c r="AC207" s="70" t="str">
        <f>'RESUMEN TOTAL'!AP273</f>
        <v>APAGADO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VILLA ARGENTINA</v>
      </c>
      <c r="B208" t="str">
        <f>'RESUMEN TOTAL'!G274</f>
        <v>PUNTO SEGURO VILLA ARGENTINA domo</v>
      </c>
      <c r="C208" t="str">
        <f>'RESUMEN TOTAL'!I274</f>
        <v>CALLE 513 Y DIAG PORTELA</v>
      </c>
      <c r="D208" s="30" t="str">
        <f>'RESUMEN TOTAL'!J274</f>
        <v>Fija</v>
      </c>
      <c r="E208" s="30" t="str">
        <f>'RESUMEN TOTAL'!K274</f>
        <v>Fibra Optica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>
        <f>'RESUMEN TOTAL'!V274</f>
        <v>0</v>
      </c>
      <c r="J208" s="70">
        <f>'RESUMEN TOTAL'!W274</f>
        <v>0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 t="str">
        <f>'RESUMEN TOTAL'!AO274</f>
        <v>APAGADO</v>
      </c>
      <c r="AC208" s="70" t="str">
        <f>'RESUMEN TOTAL'!AP274</f>
        <v>APAGADO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ZONA RURAL SANTA ROSA</v>
      </c>
      <c r="B209" t="str">
        <f>'RESUMEN TOTAL'!G275</f>
        <v>PUNTO SEGURO SANTA ROSA INTERCOMUNICADOR</v>
      </c>
      <c r="C209" t="str">
        <f>'RESUMEN TOTAL'!I275</f>
        <v>Bruselas y sicilia</v>
      </c>
      <c r="D209" s="30" t="str">
        <f>'RESUMEN TOTAL'!J275</f>
        <v>Fija</v>
      </c>
      <c r="E209" s="30" t="str">
        <f>'RESUMEN TOTAL'!K275</f>
        <v>Fibra Optica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>
        <f>'RESUMEN TOTAL'!W275</f>
        <v>0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SAN RUDECINDO</v>
      </c>
      <c r="B210" t="str">
        <f>'RESUMEN TOTAL'!G276</f>
        <v>PUNTO SEGURO SAN RUDECINDO INTERCOMUNICADOR</v>
      </c>
      <c r="C210" t="str">
        <f>'RESUMEN TOTAL'!I276</f>
        <v>SABTA SOFIA Y ALVAR NUÃ‘EZ</v>
      </c>
      <c r="D210" s="30" t="str">
        <f>'RESUMEN TOTAL'!J276</f>
        <v>Domo</v>
      </c>
      <c r="E210" s="30" t="str">
        <f>'RESUMEN TOTAL'!K276</f>
        <v>GPON</v>
      </c>
      <c r="F210" s="70" t="str">
        <f>'RESUMEN TOTAL'!S276</f>
        <v>APAGADO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 t="str">
        <f>'RESUMEN TOTAL'!X276</f>
        <v>APAGADO</v>
      </c>
      <c r="L210" s="70" t="str">
        <f>'RESUMEN TOTAL'!Y276</f>
        <v>APAGADO</v>
      </c>
      <c r="M210" s="70" t="str">
        <f>'RESUMEN TOTAL'!Z276</f>
        <v>APAGADO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 t="str">
        <f>'RESUMEN TOTAL'!AE276</f>
        <v>APAGADO</v>
      </c>
      <c r="S210" s="70" t="str">
        <f>'RESUMEN TOTAL'!AF276</f>
        <v>APAGADO</v>
      </c>
      <c r="T210" s="70" t="str">
        <f>'RESUMEN TOTAL'!AG276</f>
        <v>APAGADO</v>
      </c>
      <c r="U210" s="70" t="str">
        <f>'RESUMEN TOTAL'!AH276</f>
        <v>APAGADO</v>
      </c>
      <c r="V210" s="70" t="str">
        <f>'RESUMEN TOTAL'!AI276</f>
        <v>APAGADO</v>
      </c>
      <c r="W210" s="70">
        <f>'RESUMEN TOTAL'!AJ276</f>
        <v>0</v>
      </c>
      <c r="X210" s="70">
        <f>'RESUMEN TOTAL'!AK276</f>
        <v>0</v>
      </c>
      <c r="Y210" s="70" t="str">
        <f>'RESUMEN TOTAL'!AL276</f>
        <v>APAGADO</v>
      </c>
      <c r="Z210" s="70" t="str">
        <f>'RESUMEN TOTAL'!AM276</f>
        <v>APAGADO</v>
      </c>
      <c r="AA210" s="70" t="str">
        <f>'RESUMEN TOTAL'!AN276</f>
        <v>APAGADO</v>
      </c>
      <c r="AB210" s="70" t="str">
        <f>'RESUMEN TOTAL'!AO276</f>
        <v>APAGADO</v>
      </c>
      <c r="AC210" s="70" t="str">
        <f>'RESUMEN TOTAL'!AP276</f>
        <v>APAGADO</v>
      </c>
      <c r="AD210" s="70">
        <f>'RESUMEN TOTAL'!AQ276</f>
        <v>0</v>
      </c>
      <c r="AE210" s="70">
        <f>'RESUMEN TOTAL'!AR276</f>
        <v>0</v>
      </c>
      <c r="AF210" s="70" t="str">
        <f>'RESUMEN TOTAL'!AS276</f>
        <v>APAGADO</v>
      </c>
      <c r="AG210" s="70" t="str">
        <f>'RESUMEN TOTAL'!AT276</f>
        <v>APAGADO</v>
      </c>
      <c r="AH210" s="70" t="str">
        <f>'RESUMEN TOTAL'!AU276</f>
        <v>APAGADO</v>
      </c>
      <c r="AI210" s="70" t="str">
        <f>'RESUMEN TOTAL'!AV276</f>
        <v>APAGADO</v>
      </c>
      <c r="AJ210" s="70" t="e">
        <f>'RESUMEN TOTAL'!#REF!</f>
        <v>#REF!</v>
      </c>
    </row>
    <row r="211" spans="1:36" x14ac:dyDescent="0.25">
      <c r="A211" t="str">
        <f>'RESUMEN TOTAL'!F277</f>
        <v>SAN RUDECINDO</v>
      </c>
      <c r="B211" t="str">
        <f>'RESUMEN TOTAL'!G277</f>
        <v>PUNTO SEGURO- SAN RUDECINDO (domo)</v>
      </c>
      <c r="C211" t="str">
        <f>'RESUMEN TOTAL'!I277</f>
        <v>SANTA SOFIA Y ALVAR NUÑEZ</v>
      </c>
      <c r="D211" s="30" t="str">
        <f>'RESUMEN TOTAL'!J277</f>
        <v>DOMO</v>
      </c>
      <c r="E211" s="30" t="str">
        <f>'RESUMEN TOTAL'!K277</f>
        <v>GPON</v>
      </c>
      <c r="F211" s="70" t="str">
        <f>'RESUMEN TOTAL'!S277</f>
        <v>APAGADO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 t="str">
        <f>'RESUMEN TOTAL'!X277</f>
        <v>APAGADO</v>
      </c>
      <c r="L211" s="70" t="str">
        <f>'RESUMEN TOTAL'!Y277</f>
        <v>APAGADO</v>
      </c>
      <c r="M211" s="70" t="str">
        <f>'RESUMEN TOTAL'!Z277</f>
        <v>APAGADO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 t="str">
        <f>'RESUMEN TOTAL'!AE277</f>
        <v>APAGADO</v>
      </c>
      <c r="S211" s="70" t="str">
        <f>'RESUMEN TOTAL'!AF277</f>
        <v>APAGADO</v>
      </c>
      <c r="T211" s="70" t="str">
        <f>'RESUMEN TOTAL'!AG277</f>
        <v>APAGADO</v>
      </c>
      <c r="U211" s="70" t="str">
        <f>'RESUMEN TOTAL'!AH277</f>
        <v>APAGADO</v>
      </c>
      <c r="V211" s="70" t="str">
        <f>'RESUMEN TOTAL'!AI277</f>
        <v>APAGADO</v>
      </c>
      <c r="W211" s="70">
        <f>'RESUMEN TOTAL'!AJ277</f>
        <v>0</v>
      </c>
      <c r="X211" s="70">
        <f>'RESUMEN TOTAL'!AK277</f>
        <v>0</v>
      </c>
      <c r="Y211" s="70" t="str">
        <f>'RESUMEN TOTAL'!AL277</f>
        <v>APAGADO</v>
      </c>
      <c r="Z211" s="70" t="str">
        <f>'RESUMEN TOTAL'!AM277</f>
        <v>APAGADO</v>
      </c>
      <c r="AA211" s="70" t="str">
        <f>'RESUMEN TOTAL'!AN277</f>
        <v>APAGADO</v>
      </c>
      <c r="AB211" s="70" t="str">
        <f>'RESUMEN TOTAL'!AO277</f>
        <v>APAGADO</v>
      </c>
      <c r="AC211" s="70" t="str">
        <f>'RESUMEN TOTAL'!AP277</f>
        <v>APAGADO</v>
      </c>
      <c r="AD211" s="70">
        <f>'RESUMEN TOTAL'!AQ277</f>
        <v>0</v>
      </c>
      <c r="AE211" s="70">
        <f>'RESUMEN TOTAL'!AR277</f>
        <v>0</v>
      </c>
      <c r="AF211" s="70" t="str">
        <f>'RESUMEN TOTAL'!AS277</f>
        <v>APAGADO</v>
      </c>
      <c r="AG211" s="70" t="str">
        <f>'RESUMEN TOTAL'!AT277</f>
        <v>APAGADO</v>
      </c>
      <c r="AH211" s="70" t="str">
        <f>'RESUMEN TOTAL'!AU277</f>
        <v>APAGADO</v>
      </c>
      <c r="AI211" s="70" t="str">
        <f>'RESUMEN TOTAL'!AV277</f>
        <v>APAGADO</v>
      </c>
      <c r="AJ211" s="70" t="e">
        <f>'RESUMEN TOTAL'!#REF!</f>
        <v>#REF!</v>
      </c>
    </row>
    <row r="212" spans="1:36" x14ac:dyDescent="0.25">
      <c r="A212" t="str">
        <f>'RESUMEN TOTAL'!F278</f>
        <v>SAN JORGE</v>
      </c>
      <c r="B212" t="str">
        <f>'RESUMEN TOTAL'!G278</f>
        <v>PUNTO SEGURO SAN JORGE INTERCOMUNICADOR</v>
      </c>
      <c r="C212" t="str">
        <f>'RESUMEN TOTAL'!I278</f>
        <v>CALLE 554 Y 523</v>
      </c>
      <c r="D212" s="30" t="str">
        <f>'RESUMEN TOTAL'!J278</f>
        <v>Fija</v>
      </c>
      <c r="E212" s="30" t="str">
        <f>'RESUMEN TOTAL'!K278</f>
        <v>GPON</v>
      </c>
      <c r="F212" s="70" t="str">
        <f>'RESUMEN TOTAL'!S278</f>
        <v>APAGADO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 t="str">
        <f>'RESUMEN TOTAL'!X278</f>
        <v>APAGADO</v>
      </c>
      <c r="L212" s="70" t="str">
        <f>'RESUMEN TOTAL'!Y278</f>
        <v>APAGADO</v>
      </c>
      <c r="M212" s="70" t="str">
        <f>'RESUMEN TOTAL'!Z278</f>
        <v>APAGADO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 t="str">
        <f>'RESUMEN TOTAL'!AE278</f>
        <v>APAGADO</v>
      </c>
      <c r="S212" s="70" t="str">
        <f>'RESUMEN TOTAL'!AF278</f>
        <v>APAGADO</v>
      </c>
      <c r="T212" s="70" t="str">
        <f>'RESUMEN TOTAL'!AG278</f>
        <v>APAGADO</v>
      </c>
      <c r="U212" s="70" t="str">
        <f>'RESUMEN TOTAL'!AH278</f>
        <v>APAGADO</v>
      </c>
      <c r="V212" s="70" t="str">
        <f>'RESUMEN TOTAL'!AI278</f>
        <v>APAGADO</v>
      </c>
      <c r="W212" s="70">
        <f>'RESUMEN TOTAL'!AJ278</f>
        <v>0</v>
      </c>
      <c r="X212" s="70">
        <f>'RESUMEN TOTAL'!AK278</f>
        <v>0</v>
      </c>
      <c r="Y212" s="70" t="str">
        <f>'RESUMEN TOTAL'!AL278</f>
        <v>APAGADO</v>
      </c>
      <c r="Z212" s="70" t="str">
        <f>'RESUMEN TOTAL'!AM278</f>
        <v>APAGADO</v>
      </c>
      <c r="AA212" s="70" t="str">
        <f>'RESUMEN TOTAL'!AN278</f>
        <v>APAGADO</v>
      </c>
      <c r="AB212" s="70" t="str">
        <f>'RESUMEN TOTAL'!AO278</f>
        <v>APAGADO</v>
      </c>
      <c r="AC212" s="70" t="str">
        <f>'RESUMEN TOTAL'!AP278</f>
        <v>APAGADO</v>
      </c>
      <c r="AD212" s="70">
        <f>'RESUMEN TOTAL'!AQ278</f>
        <v>0</v>
      </c>
      <c r="AE212" s="70">
        <f>'RESUMEN TOTAL'!AR278</f>
        <v>0</v>
      </c>
      <c r="AF212" s="70" t="str">
        <f>'RESUMEN TOTAL'!AS278</f>
        <v>APAGADO</v>
      </c>
      <c r="AG212" s="70" t="str">
        <f>'RESUMEN TOTAL'!AT278</f>
        <v>APAGADO</v>
      </c>
      <c r="AH212" s="70" t="str">
        <f>'RESUMEN TOTAL'!AU278</f>
        <v>APAGADO</v>
      </c>
      <c r="AI212" s="70" t="str">
        <f>'RESUMEN TOTAL'!AV278</f>
        <v>APAGADO</v>
      </c>
      <c r="AJ212" s="70" t="e">
        <f>'RESUMEN TOTAL'!#REF!</f>
        <v>#REF!</v>
      </c>
    </row>
    <row r="213" spans="1:36" x14ac:dyDescent="0.25">
      <c r="A213" t="str">
        <f>'RESUMEN TOTAL'!F279</f>
        <v>ZONA RURAL SANTA ROSA</v>
      </c>
      <c r="B213" t="str">
        <f>'RESUMEN TOTAL'!G279</f>
        <v>PUNTO SEGURO PICO DE ORO INTERCOMUNICADOR</v>
      </c>
      <c r="C213" t="str">
        <f>'RESUMEN TOTAL'!I279</f>
        <v>PISANI Y BULGARIA</v>
      </c>
      <c r="D213" s="30" t="str">
        <f>'RESUMEN TOTAL'!J279</f>
        <v>Domo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 t="str">
        <f>'RESUMEN TOTAL'!AS279</f>
        <v>APAGADO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LUJAN</v>
      </c>
      <c r="B214" t="str">
        <f>'RESUMEN TOTAL'!G280</f>
        <v>PUNTO SEGURO LUJAN INTERCOMUNICADOR</v>
      </c>
      <c r="C214" t="str">
        <f>'RESUMEN TOTAL'!I280</f>
        <v>DIAG LOS TILOS Y LOS ALGARROBOS</v>
      </c>
      <c r="D214" s="30" t="str">
        <f>'RESUMEN TOTAL'!J280</f>
        <v>Fija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LUJAN</v>
      </c>
      <c r="B215" t="str">
        <f>'RESUMEN TOTAL'!G281</f>
        <v>PUNTO SEGURO LUJAN (domo)</v>
      </c>
      <c r="C215" t="str">
        <f>'RESUMEN TOTAL'!I281</f>
        <v>DIAG. LOS TILOS Y LOS ALGARROBOS</v>
      </c>
      <c r="D215" s="30" t="str">
        <f>'RESUMEN TOTAL'!J281</f>
        <v>DOMO</v>
      </c>
      <c r="E215" s="30" t="str">
        <f>'RESUMEN TOTAL'!K281</f>
        <v>Fibra Optica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AGUSTIN RAMIREZ</v>
      </c>
      <c r="B216" t="str">
        <f>'RESUMEN TOTAL'!G282</f>
        <v>PUNTO SEGURO AGUSTIN RAMIREZ INTERCOMUNICADOR</v>
      </c>
      <c r="C216" t="str">
        <f>'RESUMEN TOTAL'!I282</f>
        <v>MALAMBO Y LA TRANQUERA</v>
      </c>
      <c r="D216" s="30" t="str">
        <f>'RESUMEN TOTAL'!J282</f>
        <v>Fija</v>
      </c>
      <c r="E216" s="30" t="str">
        <f>'RESUMEN TOTAL'!K282</f>
        <v>Fibra Optica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 t="str">
        <f>'RESUMEN TOTAL'!AE282</f>
        <v>APAGADO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ZONA RURAL SANTA ROSA</v>
      </c>
      <c r="B217" t="str">
        <f>'RESUMEN TOTAL'!G283</f>
        <v>PUNTO SEGURO - SANTA ROSA (fija)</v>
      </c>
      <c r="C217" t="str">
        <f>'RESUMEN TOTAL'!I283</f>
        <v>BRUSELAS Y SICILIA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SAN FRANCISCO ESTE (CHICO)</v>
      </c>
      <c r="B218" t="str">
        <f>'RESUMEN TOTAL'!G288</f>
        <v>PUNTO SEGURO - SAN FRANCISCO (domo)</v>
      </c>
      <c r="C218" t="str">
        <f>'RESUMEN TOTAL'!I288</f>
        <v>RP 53 Y 1332</v>
      </c>
      <c r="D218" s="30" t="str">
        <f>'RESUMEN TOTAL'!J288</f>
        <v>DOMO</v>
      </c>
      <c r="E218" s="30" t="str">
        <f>'RESUMEN TOTAL'!K288</f>
        <v>Fibra Optica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ZONA RURAL SANTA ROSA</v>
      </c>
      <c r="B219" t="str">
        <f>'RESUMEN TOTAL'!G289</f>
        <v>PUNTO SEGURO - PICO DE ORO (fija)</v>
      </c>
      <c r="C219" t="str">
        <f>'RESUMEN TOTAL'!I289</f>
        <v>PISANI Y BULGARIA</v>
      </c>
      <c r="D219" s="30" t="str">
        <f>'RESUMEN TOTAL'!J289</f>
        <v>Fija</v>
      </c>
      <c r="E219" s="30" t="str">
        <f>'RESUMEN TOTAL'!K289</f>
        <v>Fibra Optica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 t="str">
        <f>'RESUMEN TOTAL'!AS289</f>
        <v>APAGADO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ZONA RURAL SANTA ROSA</v>
      </c>
      <c r="B220" t="str">
        <f>'RESUMEN TOTAL'!G290</f>
        <v>PUNTO SEGURO - PICO DE ORO (domo)</v>
      </c>
      <c r="C220" t="str">
        <f>'RESUMEN TOTAL'!I290</f>
        <v>PISANI Y BULGARIA</v>
      </c>
      <c r="D220" s="30" t="str">
        <f>'RESUMEN TOTAL'!J290</f>
        <v>DOMO</v>
      </c>
      <c r="E220" s="30" t="str">
        <f>'RESUMEN TOTAL'!K290</f>
        <v>Fibra Optica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 t="str">
        <f>'RESUMEN TOTAL'!AS290</f>
        <v>APAGADO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LUJAN</v>
      </c>
      <c r="B221" t="str">
        <f>'RESUMEN TOTAL'!G291</f>
        <v>PUNTO SEGURO - LUJAN (fija)</v>
      </c>
      <c r="C221" t="str">
        <f>'RESUMEN TOTAL'!I291</f>
        <v>DIAG. LOS TILOS Y LOS ALGARROBOS</v>
      </c>
      <c r="D221" s="30" t="str">
        <f>'RESUMEN TOTAL'!J291</f>
        <v>Fija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>
        <f>'RESUMEN TOTAL'!V291</f>
        <v>0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INGENIERO ALLAN</v>
      </c>
      <c r="B222" t="str">
        <f>'RESUMEN TOTAL'!G292</f>
        <v>PUNTO SEGURO - ING. ALLAN (fija)</v>
      </c>
      <c r="C222" t="str">
        <f>'RESUMEN TOTAL'!I292</f>
        <v>DIAG. LOS YAGANES Y 1148</v>
      </c>
      <c r="D222" s="30" t="str">
        <f>'RESUMEN TOTAL'!J292</f>
        <v>Fija</v>
      </c>
      <c r="E222" s="30" t="str">
        <f>'RESUMEN TOTAL'!K292</f>
        <v>Fibra Optica</v>
      </c>
      <c r="F222" s="70" t="str">
        <f>'RESUMEN TOTAL'!S292</f>
        <v>APAGADO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 t="str">
        <f>'RESUMEN TOTAL'!X292</f>
        <v>APAGADO</v>
      </c>
      <c r="L222" s="70" t="str">
        <f>'RESUMEN TOTAL'!Y292</f>
        <v>APAGADO</v>
      </c>
      <c r="M222" s="70" t="str">
        <f>'RESUMEN TOTAL'!Z292</f>
        <v>APAGADO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 t="str">
        <f>'RESUMEN TOTAL'!AG292</f>
        <v>APAGADO</v>
      </c>
      <c r="U222" s="70" t="str">
        <f>'RESUMEN TOTAL'!AH292</f>
        <v>APAGADO</v>
      </c>
      <c r="V222" s="70" t="str">
        <f>'RESUMEN TOTAL'!AI292</f>
        <v>APAGADO</v>
      </c>
      <c r="W222" s="70">
        <f>'RESUMEN TOTAL'!AJ292</f>
        <v>0</v>
      </c>
      <c r="X222" s="70">
        <f>'RESUMEN TOTAL'!AK292</f>
        <v>0</v>
      </c>
      <c r="Y222" s="70" t="str">
        <f>'RESUMEN TOTAL'!AL292</f>
        <v>APAGADO</v>
      </c>
      <c r="Z222" s="70" t="str">
        <f>'RESUMEN TOTAL'!AM292</f>
        <v>APAGADO</v>
      </c>
      <c r="AA222" s="70" t="str">
        <f>'RESUMEN TOTAL'!AN292</f>
        <v>APAGADO</v>
      </c>
      <c r="AB222" s="70" t="str">
        <f>'RESUMEN TOTAL'!AO292</f>
        <v>APAGADO</v>
      </c>
      <c r="AC222" s="70" t="str">
        <f>'RESUMEN TOTAL'!AP292</f>
        <v>APAGADO</v>
      </c>
      <c r="AD222" s="70">
        <f>'RESUMEN TOTAL'!AQ292</f>
        <v>0</v>
      </c>
      <c r="AE222" s="70">
        <f>'RESUMEN TOTAL'!AR292</f>
        <v>0</v>
      </c>
      <c r="AF222" s="70" t="str">
        <f>'RESUMEN TOTAL'!AS292</f>
        <v>APAGADO</v>
      </c>
      <c r="AG222" s="70" t="str">
        <f>'RESUMEN TOTAL'!AT292</f>
        <v>APAGADO</v>
      </c>
      <c r="AH222" s="70" t="str">
        <f>'RESUMEN TOTAL'!AU292</f>
        <v>APAGADO</v>
      </c>
      <c r="AI222" s="70" t="str">
        <f>'RESUMEN TOTAL'!AV292</f>
        <v>APAGADO</v>
      </c>
      <c r="AJ222" s="70" t="e">
        <f>'RESUMEN TOTAL'!#REF!</f>
        <v>#REF!</v>
      </c>
    </row>
    <row r="223" spans="1:36" x14ac:dyDescent="0.25">
      <c r="A223" t="str">
        <f>'RESUMEN TOTAL'!F293</f>
        <v>INGENIERO ALLAN</v>
      </c>
      <c r="B223" t="str">
        <f>'RESUMEN TOTAL'!G293</f>
        <v>PUNTO SEGURO - ING. ALLAN (domo)</v>
      </c>
      <c r="C223" t="str">
        <f>'RESUMEN TOTAL'!I293</f>
        <v>DIAG. LOS YAGANES Y 1148</v>
      </c>
      <c r="D223" s="30" t="str">
        <f>'RESUMEN TOTAL'!J293</f>
        <v>DOMO</v>
      </c>
      <c r="E223" s="30" t="str">
        <f>'RESUMEN TOTAL'!K293</f>
        <v>Fibra Optica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 t="str">
        <f>'RESUMEN TOTAL'!AO293</f>
        <v>APAGADO</v>
      </c>
      <c r="AC223" s="70" t="str">
        <f>'RESUMEN TOTAL'!AP293</f>
        <v>APAGADO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INGENIERO ALLAN</v>
      </c>
      <c r="B224" t="str">
        <f>'RESUMEN TOTAL'!G294</f>
        <v>PUNTO SEGURO - ING ALLAN INTERCOMUNICADOR</v>
      </c>
      <c r="C224" t="str">
        <f>'RESUMEN TOTAL'!I294</f>
        <v>DIAG LOS YAGANES Y 1148</v>
      </c>
      <c r="D224" s="30" t="str">
        <f>'RESUMEN TOTAL'!J294</f>
        <v>Domo</v>
      </c>
      <c r="E224" s="30" t="str">
        <f>'RESUMEN TOTAL'!K294</f>
        <v>Fibra Optica</v>
      </c>
      <c r="F224" s="70" t="str">
        <f>'RESUMEN TOTAL'!S294</f>
        <v>APAGADO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 t="str">
        <f>'RESUMEN TOTAL'!X294</f>
        <v>APAGADO</v>
      </c>
      <c r="L224" s="70" t="str">
        <f>'RESUMEN TOTAL'!Y294</f>
        <v>APAGADO</v>
      </c>
      <c r="M224" s="70" t="str">
        <f>'RESUMEN TOTAL'!Z294</f>
        <v>APAGADO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 t="str">
        <f>'RESUMEN TOTAL'!AF294</f>
        <v>APAGADO</v>
      </c>
      <c r="T224" s="70" t="str">
        <f>'RESUMEN TOTAL'!AG294</f>
        <v>APAGADO</v>
      </c>
      <c r="U224" s="70" t="str">
        <f>'RESUMEN TOTAL'!AH294</f>
        <v>APAGADO</v>
      </c>
      <c r="V224" s="70" t="str">
        <f>'RESUMEN TOTAL'!AI294</f>
        <v>APAGADO</v>
      </c>
      <c r="W224" s="70">
        <f>'RESUMEN TOTAL'!AJ294</f>
        <v>0</v>
      </c>
      <c r="X224" s="70">
        <f>'RESUMEN TOTAL'!AK294</f>
        <v>0</v>
      </c>
      <c r="Y224" s="70" t="str">
        <f>'RESUMEN TOTAL'!AL294</f>
        <v>APAGADO</v>
      </c>
      <c r="Z224" s="70" t="str">
        <f>'RESUMEN TOTAL'!AM294</f>
        <v>APAGADO</v>
      </c>
      <c r="AA224" s="70" t="str">
        <f>'RESUMEN TOTAL'!AN294</f>
        <v>APAGADO</v>
      </c>
      <c r="AB224" s="70" t="str">
        <f>'RESUMEN TOTAL'!AO294</f>
        <v>APAGADO</v>
      </c>
      <c r="AC224" s="70" t="str">
        <f>'RESUMEN TOTAL'!AP294</f>
        <v>APAGADO</v>
      </c>
      <c r="AD224" s="70">
        <f>'RESUMEN TOTAL'!AQ294</f>
        <v>0</v>
      </c>
      <c r="AE224" s="70">
        <f>'RESUMEN TOTAL'!AR294</f>
        <v>0</v>
      </c>
      <c r="AF224" s="70" t="str">
        <f>'RESUMEN TOTAL'!AS294</f>
        <v>APAGADO</v>
      </c>
      <c r="AG224" s="70" t="str">
        <f>'RESUMEN TOTAL'!AT294</f>
        <v>APAGADO</v>
      </c>
      <c r="AH224" s="70" t="str">
        <f>'RESUMEN TOTAL'!AU294</f>
        <v>APAGADO</v>
      </c>
      <c r="AI224" s="70" t="str">
        <f>'RESUMEN TOTAL'!AV294</f>
        <v>APAGADO</v>
      </c>
      <c r="AJ224" s="70" t="e">
        <f>'RESUMEN TOTAL'!#REF!</f>
        <v>#REF!</v>
      </c>
    </row>
    <row r="225" spans="1:36" x14ac:dyDescent="0.25">
      <c r="A225" t="str">
        <f>'RESUMEN TOTAL'!F295</f>
        <v>EL PARQUE</v>
      </c>
      <c r="B225" t="str">
        <f>'RESUMEN TOTAL'!G295</f>
        <v>PUNTO SEGURO - EL PARQUE INTERCOMUNICADOR</v>
      </c>
      <c r="C225" t="str">
        <f>'RESUMEN TOTAL'!I295</f>
        <v>1282 Y 1201</v>
      </c>
      <c r="D225" s="30" t="str">
        <f>'RESUMEN TOTAL'!J295</f>
        <v>Fija</v>
      </c>
      <c r="E225" s="30" t="str">
        <f>'RESUMEN TOTAL'!K295</f>
        <v>Fibra Optica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 t="str">
        <f>'RESUMEN TOTAL'!AE295</f>
        <v>APAGADO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EL PARQUE</v>
      </c>
      <c r="B226" t="str">
        <f>'RESUMEN TOTAL'!G296</f>
        <v>PUNTO SEGURO - EL PARQUE (fija)</v>
      </c>
      <c r="C226" t="str">
        <f>'RESUMEN TOTAL'!I296</f>
        <v>CALLE 1282 Y 1201</v>
      </c>
      <c r="D226" s="30" t="str">
        <f>'RESUMEN TOTAL'!J296</f>
        <v>Fija</v>
      </c>
      <c r="E226" s="30" t="str">
        <f>'RESUMEN TOTAL'!K296</f>
        <v>Fibra Optica</v>
      </c>
      <c r="F226" s="70" t="str">
        <f>'RESUMEN TOTAL'!S296</f>
        <v>APAGADO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 t="str">
        <f>'RESUMEN TOTAL'!X296</f>
        <v>APAGADO</v>
      </c>
      <c r="L226" s="70" t="str">
        <f>'RESUMEN TOTAL'!Y296</f>
        <v>APAGADO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 t="str">
        <f>'RESUMEN TOTAL'!AE296</f>
        <v>APAGADO</v>
      </c>
      <c r="S226" s="70" t="str">
        <f>'RESUMEN TOTAL'!AF296</f>
        <v>APAGADO</v>
      </c>
      <c r="T226" s="70" t="str">
        <f>'RESUMEN TOTAL'!AG296</f>
        <v>APAGADO</v>
      </c>
      <c r="U226" s="70" t="str">
        <f>'RESUMEN TOTAL'!AH296</f>
        <v>APAGADO</v>
      </c>
      <c r="V226" s="70" t="str">
        <f>'RESUMEN TOTAL'!AI296</f>
        <v>APAGADO</v>
      </c>
      <c r="W226" s="70">
        <f>'RESUMEN TOTAL'!AJ296</f>
        <v>0</v>
      </c>
      <c r="X226" s="70">
        <f>'RESUMEN TOTAL'!AK296</f>
        <v>0</v>
      </c>
      <c r="Y226" s="70" t="str">
        <f>'RESUMEN TOTAL'!AL296</f>
        <v>APAGADO</v>
      </c>
      <c r="Z226" s="70" t="str">
        <f>'RESUMEN TOTAL'!AM296</f>
        <v>APAGADO</v>
      </c>
      <c r="AA226" s="70" t="str">
        <f>'RESUMEN TOTAL'!AN296</f>
        <v>APAGADO</v>
      </c>
      <c r="AB226" s="70" t="str">
        <f>'RESUMEN TOTAL'!AO296</f>
        <v>APAGADO</v>
      </c>
      <c r="AC226" s="70" t="str">
        <f>'RESUMEN TOTAL'!AP296</f>
        <v>APAGADO</v>
      </c>
      <c r="AD226" s="70">
        <f>'RESUMEN TOTAL'!AQ296</f>
        <v>0</v>
      </c>
      <c r="AE226" s="70">
        <f>'RESUMEN TOTAL'!AR296</f>
        <v>0</v>
      </c>
      <c r="AF226" s="70" t="str">
        <f>'RESUMEN TOTAL'!AS296</f>
        <v>APAGADO</v>
      </c>
      <c r="AG226" s="70" t="str">
        <f>'RESUMEN TOTAL'!AT296</f>
        <v>APAGADO</v>
      </c>
      <c r="AH226" s="70" t="str">
        <f>'RESUMEN TOTAL'!AU296</f>
        <v>APAGADO</v>
      </c>
      <c r="AI226" s="70" t="str">
        <f>'RESUMEN TOTAL'!AV296</f>
        <v>APAGADO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PCO05 (fija 2)</v>
      </c>
      <c r="C227" t="str">
        <f>'RESUMEN TOTAL'!I300</f>
        <v>BERNA Y POLONIA</v>
      </c>
      <c r="D227" s="30" t="str">
        <f>'RESUMEN TOTAL'!J300</f>
        <v>Fija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>
        <f>'RESUMEN TOTAL'!V300</f>
        <v>0</v>
      </c>
      <c r="J227" s="70">
        <f>'RESUMEN TOTAL'!W300</f>
        <v>0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 t="str">
        <f>'RESUMEN TOTAL'!AI300</f>
        <v>APAGADO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 t="str">
        <f>'RESUMEN TOTAL'!AO300</f>
        <v>APAGADO</v>
      </c>
      <c r="AC227" s="70" t="str">
        <f>'RESUMEN TOTAL'!AP300</f>
        <v>APAGADO</v>
      </c>
      <c r="AD227" s="70">
        <f>'RESUMEN TOTAL'!AQ300</f>
        <v>0</v>
      </c>
      <c r="AE227" s="70">
        <f>'RESUMEN TOTAL'!AR300</f>
        <v>0</v>
      </c>
      <c r="AF227" s="70" t="str">
        <f>'RESUMEN TOTAL'!AS300</f>
        <v>APAGADO</v>
      </c>
      <c r="AG227" s="70" t="str">
        <f>'RESUMEN TOTAL'!AT300</f>
        <v>APAGADO</v>
      </c>
      <c r="AH227" s="70" t="str">
        <f>'RESUMEN TOTAL'!AU300</f>
        <v>APAGADO</v>
      </c>
      <c r="AI227" s="70" t="str">
        <f>'RESUMEN TOTAL'!AV300</f>
        <v>APAGADO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PCO04 (fija 1)</v>
      </c>
      <c r="C228" t="str">
        <f>'RESUMEN TOTAL'!I301</f>
        <v>BERNA Y POLONIA</v>
      </c>
      <c r="D228" s="30" t="str">
        <f>'RESUMEN TOTAL'!J301</f>
        <v>Fija</v>
      </c>
      <c r="E228" s="30" t="str">
        <f>'RESUMEN TOTAL'!K301</f>
        <v>Fibra Optica</v>
      </c>
      <c r="F228" s="70" t="str">
        <f>'RESUMEN TOTAL'!S301</f>
        <v>APAGADO</v>
      </c>
      <c r="G228" s="70">
        <f>'RESUMEN TOTAL'!T301</f>
        <v>0</v>
      </c>
      <c r="H228" s="70">
        <f>'RESUMEN TOTAL'!U301</f>
        <v>0</v>
      </c>
      <c r="I228" s="70">
        <f>'RESUMEN TOTAL'!V301</f>
        <v>0</v>
      </c>
      <c r="J228" s="70">
        <f>'RESUMEN TOTAL'!W301</f>
        <v>0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 t="str">
        <f>'RESUMEN TOTAL'!AI301</f>
        <v>APAGADO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 t="str">
        <f>'RESUMEN TOTAL'!AO301</f>
        <v>APAGADO</v>
      </c>
      <c r="AC228" s="70" t="str">
        <f>'RESUMEN TOTAL'!AP301</f>
        <v>APAGADO</v>
      </c>
      <c r="AD228" s="70">
        <f>'RESUMEN TOTAL'!AQ301</f>
        <v>0</v>
      </c>
      <c r="AE228" s="70">
        <f>'RESUMEN TOTAL'!AR301</f>
        <v>0</v>
      </c>
      <c r="AF228" s="70" t="str">
        <f>'RESUMEN TOTAL'!AS301</f>
        <v>APAGADO</v>
      </c>
      <c r="AG228" s="70" t="str">
        <f>'RESUMEN TOTAL'!AT301</f>
        <v>APAGADO</v>
      </c>
      <c r="AH228" s="70" t="str">
        <f>'RESUMEN TOTAL'!AU301</f>
        <v>APAGADO</v>
      </c>
      <c r="AI228" s="70" t="str">
        <f>'RESUMEN TOTAL'!AV301</f>
        <v>APAGADO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 t="str">
        <f>'RESUMEN TOTAL'!S302</f>
        <v>APAGADO</v>
      </c>
      <c r="G229" s="70">
        <f>'RESUMEN TOTAL'!T302</f>
        <v>0</v>
      </c>
      <c r="H229" s="70">
        <f>'RESUMEN TOTAL'!U302</f>
        <v>0</v>
      </c>
      <c r="I229" s="70">
        <f>'RESUMEN TOTAL'!V302</f>
        <v>0</v>
      </c>
      <c r="J229" s="70">
        <f>'RESUMEN TOTAL'!W302</f>
        <v>0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 t="str">
        <f>'RESUMEN TOTAL'!AI302</f>
        <v>APAGADO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 t="str">
        <f>'RESUMEN TOTAL'!AO302</f>
        <v>APAGADO</v>
      </c>
      <c r="AC229" s="70" t="str">
        <f>'RESUMEN TOTAL'!AP302</f>
        <v>APAGADO</v>
      </c>
      <c r="AD229" s="70">
        <f>'RESUMEN TOTAL'!AQ302</f>
        <v>0</v>
      </c>
      <c r="AE229" s="70">
        <f>'RESUMEN TOTAL'!AR302</f>
        <v>0</v>
      </c>
      <c r="AF229" s="70" t="str">
        <f>'RESUMEN TOTAL'!AS302</f>
        <v>APAGADO</v>
      </c>
      <c r="AG229" s="70" t="str">
        <f>'RESUMEN TOTAL'!AT302</f>
        <v>APAGADO</v>
      </c>
      <c r="AH229" s="70" t="str">
        <f>'RESUMEN TOTAL'!AU302</f>
        <v>APAGADO</v>
      </c>
      <c r="AI229" s="70" t="str">
        <f>'RESUMEN TOTAL'!AV302</f>
        <v>APAGADO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PCO02 (fija 1)</v>
      </c>
      <c r="C230" t="str">
        <f>'RESUMEN TOTAL'!I303</f>
        <v>SICILIA E/ VIENA Y VARSOVIA</v>
      </c>
      <c r="D230" s="30" t="str">
        <f>'RESUMEN TOTAL'!J303</f>
        <v>Fija</v>
      </c>
      <c r="E230" s="30" t="str">
        <f>'RESUMEN TOTAL'!K303</f>
        <v>Fibra Optica</v>
      </c>
      <c r="F230" s="70" t="str">
        <f>'RESUMEN TOTAL'!S303</f>
        <v>APAGADO</v>
      </c>
      <c r="G230" s="70">
        <f>'RESUMEN TOTAL'!T303</f>
        <v>0</v>
      </c>
      <c r="H230" s="70">
        <f>'RESUMEN TOTAL'!U303</f>
        <v>0</v>
      </c>
      <c r="I230" s="70">
        <f>'RESUMEN TOTAL'!V303</f>
        <v>0</v>
      </c>
      <c r="J230" s="70">
        <f>'RESUMEN TOTAL'!W303</f>
        <v>0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 t="str">
        <f>'RESUMEN TOTAL'!AI303</f>
        <v>APAGADO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 t="str">
        <f>'RESUMEN TOTAL'!AO303</f>
        <v>APAGADO</v>
      </c>
      <c r="AC230" s="70" t="str">
        <f>'RESUMEN TOTAL'!AP303</f>
        <v>APAGADO</v>
      </c>
      <c r="AD230" s="70">
        <f>'RESUMEN TOTAL'!AQ303</f>
        <v>0</v>
      </c>
      <c r="AE230" s="70">
        <f>'RESUMEN TOTAL'!AR303</f>
        <v>0</v>
      </c>
      <c r="AF230" s="70" t="str">
        <f>'RESUMEN TOTAL'!AS303</f>
        <v>APAGADO</v>
      </c>
      <c r="AG230" s="70" t="str">
        <f>'RESUMEN TOTAL'!AT303</f>
        <v>APAGADO</v>
      </c>
      <c r="AH230" s="70" t="str">
        <f>'RESUMEN TOTAL'!AU303</f>
        <v>APAGADO</v>
      </c>
      <c r="AI230" s="70" t="str">
        <f>'RESUMEN TOTAL'!AV303</f>
        <v>APAGADO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 01</v>
      </c>
      <c r="C231" t="str">
        <f>'RESUMEN TOTAL'!I304</f>
        <v>CEMENTERIO</v>
      </c>
      <c r="D231" s="30" t="str">
        <f>'RESUMEN TOTAL'!J304</f>
        <v>DOMO</v>
      </c>
      <c r="E231" s="30" t="str">
        <f>'RESUMEN TOTAL'!K304</f>
        <v>Fibra Optica</v>
      </c>
      <c r="F231" s="70" t="str">
        <f>'RESUMEN TOTAL'!S304</f>
        <v>APAGADO</v>
      </c>
      <c r="G231" s="70">
        <f>'RESUMEN TOTAL'!T304</f>
        <v>0</v>
      </c>
      <c r="H231" s="70">
        <f>'RESUMEN TOTAL'!U304</f>
        <v>0</v>
      </c>
      <c r="I231" s="70">
        <f>'RESUMEN TOTAL'!V304</f>
        <v>0</v>
      </c>
      <c r="J231" s="70">
        <f>'RESUMEN TOTAL'!W304</f>
        <v>0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 t="str">
        <f>'RESUMEN TOTAL'!AI304</f>
        <v>APAGADO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 t="str">
        <f>'RESUMEN TOTAL'!AO304</f>
        <v>APAGADO</v>
      </c>
      <c r="AC231" s="70" t="str">
        <f>'RESUMEN TOTAL'!AP304</f>
        <v>APAGADO</v>
      </c>
      <c r="AD231" s="70">
        <f>'RESUMEN TOTAL'!AQ304</f>
        <v>0</v>
      </c>
      <c r="AE231" s="70">
        <f>'RESUMEN TOTAL'!AR304</f>
        <v>0</v>
      </c>
      <c r="AF231" s="70" t="str">
        <f>'RESUMEN TOTAL'!AS304</f>
        <v>APAGADO</v>
      </c>
      <c r="AG231" s="70" t="str">
        <f>'RESUMEN TOTAL'!AT304</f>
        <v>APAGADO</v>
      </c>
      <c r="AH231" s="70" t="str">
        <f>'RESUMEN TOTAL'!AU304</f>
        <v>APAGADO</v>
      </c>
      <c r="AI231" s="70" t="str">
        <f>'RESUMEN TOTAL'!AV304</f>
        <v>APAGADO</v>
      </c>
      <c r="AJ231" s="70" t="e">
        <f>'RESUMEN TOTAL'!#REF!</f>
        <v>#REF!</v>
      </c>
    </row>
    <row r="232" spans="1:36" x14ac:dyDescent="0.25">
      <c r="A232" t="str">
        <f>'RESUMEN TOTAL'!F305</f>
        <v>PRESIDENTE AVELLANEDA</v>
      </c>
      <c r="B232" t="str">
        <f>'RESUMEN TOTAL'!G305</f>
        <v>PAVE03</v>
      </c>
      <c r="C232" t="str">
        <f>'RESUMEN TOTAL'!I305</f>
        <v>Ptagones e Irala</v>
      </c>
      <c r="D232" s="30" t="str">
        <f>'RESUMEN TOTAL'!J305</f>
        <v>Domo</v>
      </c>
      <c r="E232" s="30" t="str">
        <f>'RESUMEN TOTAL'!K305</f>
        <v>GPON</v>
      </c>
      <c r="F232" s="70" t="str">
        <f>'RESUMEN TOTAL'!S305</f>
        <v>APAGADO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 t="str">
        <f>'RESUMEN TOTAL'!X305</f>
        <v>APAGADO</v>
      </c>
      <c r="L232" s="70" t="str">
        <f>'RESUMEN TOTAL'!Y305</f>
        <v>APAGADO</v>
      </c>
      <c r="M232" s="70" t="str">
        <f>'RESUMEN TOTAL'!Z305</f>
        <v>APAGADO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 t="str">
        <f>'RESUMEN TOTAL'!AE305</f>
        <v>APAGADO</v>
      </c>
      <c r="S232" s="70" t="str">
        <f>'RESUMEN TOTAL'!AF305</f>
        <v>APAGADO</v>
      </c>
      <c r="T232" s="70" t="str">
        <f>'RESUMEN TOTAL'!AG305</f>
        <v>APAGADO</v>
      </c>
      <c r="U232" s="70" t="str">
        <f>'RESUMEN TOTAL'!AH305</f>
        <v>APAGADO</v>
      </c>
      <c r="V232" s="70" t="str">
        <f>'RESUMEN TOTAL'!AI305</f>
        <v>APAGADO</v>
      </c>
      <c r="W232" s="70">
        <f>'RESUMEN TOTAL'!AJ305</f>
        <v>0</v>
      </c>
      <c r="X232" s="70">
        <f>'RESUMEN TOTAL'!AK305</f>
        <v>0</v>
      </c>
      <c r="Y232" s="70" t="str">
        <f>'RESUMEN TOTAL'!AL305</f>
        <v>APAGADO</v>
      </c>
      <c r="Z232" s="70" t="str">
        <f>'RESUMEN TOTAL'!AM305</f>
        <v>APAGADO</v>
      </c>
      <c r="AA232" s="70" t="str">
        <f>'RESUMEN TOTAL'!AN305</f>
        <v>APAGADO</v>
      </c>
      <c r="AB232" s="70" t="str">
        <f>'RESUMEN TOTAL'!AO305</f>
        <v>APAGADO</v>
      </c>
      <c r="AC232" s="70" t="str">
        <f>'RESUMEN TOTAL'!AP305</f>
        <v>APAGADO</v>
      </c>
      <c r="AD232" s="70">
        <f>'RESUMEN TOTAL'!AQ305</f>
        <v>0</v>
      </c>
      <c r="AE232" s="70">
        <f>'RESUMEN TOTAL'!AR305</f>
        <v>0</v>
      </c>
      <c r="AF232" s="70" t="str">
        <f>'RESUMEN TOTAL'!AS305</f>
        <v>APAGADO</v>
      </c>
      <c r="AG232" s="70" t="str">
        <f>'RESUMEN TOTAL'!AT305</f>
        <v>APAGADO</v>
      </c>
      <c r="AH232" s="70" t="str">
        <f>'RESUMEN TOTAL'!AU305</f>
        <v>APAGADO</v>
      </c>
      <c r="AI232" s="70" t="str">
        <f>'RESUMEN TOTAL'!AV305</f>
        <v>APAGADO</v>
      </c>
      <c r="AJ232" s="70" t="e">
        <f>'RESUMEN TOTAL'!#REF!</f>
        <v>#REF!</v>
      </c>
    </row>
    <row r="233" spans="1:36" x14ac:dyDescent="0.25">
      <c r="A233" t="str">
        <f>'RESUMEN TOTAL'!F306</f>
        <v>PRESIDENTE AVELLANEDA</v>
      </c>
      <c r="B233" t="str">
        <f>'RESUMEN TOTAL'!G306</f>
        <v>PAVE02</v>
      </c>
      <c r="C233" t="str">
        <f>'RESUMEN TOTAL'!I306</f>
        <v xml:space="preserve">Ramallo y Calingasta </v>
      </c>
      <c r="D233" s="30" t="str">
        <f>'RESUMEN TOTAL'!J306</f>
        <v>Domo</v>
      </c>
      <c r="E233" s="30" t="str">
        <f>'RESUMEN TOTAL'!K306</f>
        <v>GPON</v>
      </c>
      <c r="F233" s="70" t="str">
        <f>'RESUMEN TOTAL'!S306</f>
        <v>APAGADO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 t="str">
        <f>'RESUMEN TOTAL'!X306</f>
        <v>APAGADO</v>
      </c>
      <c r="L233" s="70" t="str">
        <f>'RESUMEN TOTAL'!Y306</f>
        <v>APAGADO</v>
      </c>
      <c r="M233" s="70" t="str">
        <f>'RESUMEN TOTAL'!Z306</f>
        <v>APAGADO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 t="str">
        <f>'RESUMEN TOTAL'!AE306</f>
        <v>APAGADO</v>
      </c>
      <c r="S233" s="70" t="str">
        <f>'RESUMEN TOTAL'!AF306</f>
        <v>APAGADO</v>
      </c>
      <c r="T233" s="70" t="str">
        <f>'RESUMEN TOTAL'!AG306</f>
        <v>APAGADO</v>
      </c>
      <c r="U233" s="70" t="str">
        <f>'RESUMEN TOTAL'!AH306</f>
        <v>APAGADO</v>
      </c>
      <c r="V233" s="70" t="str">
        <f>'RESUMEN TOTAL'!AI306</f>
        <v>APAGADO</v>
      </c>
      <c r="W233" s="70">
        <f>'RESUMEN TOTAL'!AJ306</f>
        <v>0</v>
      </c>
      <c r="X233" s="70">
        <f>'RESUMEN TOTAL'!AK306</f>
        <v>0</v>
      </c>
      <c r="Y233" s="70" t="str">
        <f>'RESUMEN TOTAL'!AL306</f>
        <v>APAGADO</v>
      </c>
      <c r="Z233" s="70" t="str">
        <f>'RESUMEN TOTAL'!AM306</f>
        <v>APAGADO</v>
      </c>
      <c r="AA233" s="70" t="str">
        <f>'RESUMEN TOTAL'!AN306</f>
        <v>APAGADO</v>
      </c>
      <c r="AB233" s="70" t="str">
        <f>'RESUMEN TOTAL'!AO306</f>
        <v>APAGADO</v>
      </c>
      <c r="AC233" s="70" t="str">
        <f>'RESUMEN TOTAL'!AP306</f>
        <v>APAGADO</v>
      </c>
      <c r="AD233" s="70">
        <f>'RESUMEN TOTAL'!AQ306</f>
        <v>0</v>
      </c>
      <c r="AE233" s="70">
        <f>'RESUMEN TOTAL'!AR306</f>
        <v>0</v>
      </c>
      <c r="AF233" s="70" t="str">
        <f>'RESUMEN TOTAL'!AS306</f>
        <v>APAGADO</v>
      </c>
      <c r="AG233" s="70" t="str">
        <f>'RESUMEN TOTAL'!AT306</f>
        <v>APAGADO</v>
      </c>
      <c r="AH233" s="70" t="str">
        <f>'RESUMEN TOTAL'!AU306</f>
        <v>APAGADO</v>
      </c>
      <c r="AI233" s="70" t="str">
        <f>'RESUMEN TOTAL'!AV306</f>
        <v>APAGADO</v>
      </c>
      <c r="AJ233" s="70" t="e">
        <f>'RESUMEN TOTAL'!#REF!</f>
        <v>#REF!</v>
      </c>
    </row>
    <row r="234" spans="1:36" x14ac:dyDescent="0.25">
      <c r="A234" t="str">
        <f>'RESUMEN TOTAL'!F307</f>
        <v>PRESIDENTE AVELLANEDA</v>
      </c>
      <c r="B234" t="str">
        <f>'RESUMEN TOTAL'!G307</f>
        <v>PAVE01</v>
      </c>
      <c r="C234" t="str">
        <f>'RESUMEN TOTAL'!I307</f>
        <v>Touring Club y Ramallo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>
        <f>'RESUMEN TOTAL'!V307</f>
        <v>0</v>
      </c>
      <c r="J234" s="70">
        <f>'RESUMEN TOTAL'!W307</f>
        <v>0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10 DE JULIO</v>
      </c>
      <c r="B235" t="str">
        <f>'RESUMEN TOTAL'!G308</f>
        <v>NJU12</v>
      </c>
      <c r="C235" t="str">
        <f>'RESUMEN TOTAL'!I308</f>
        <v>Bocuzzi y Rodo</v>
      </c>
      <c r="D235" s="30" t="str">
        <f>'RESUMEN TOTAL'!J308</f>
        <v>Domo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>
        <f>'RESUMEN TOTAL'!V308</f>
        <v>0</v>
      </c>
      <c r="J235" s="70">
        <f>'RESUMEN TOTAL'!W308</f>
        <v>0</v>
      </c>
      <c r="K235" s="70">
        <f>'RESUMEN TOTAL'!X308</f>
        <v>0</v>
      </c>
      <c r="L235" s="70">
        <f>'RESUMEN TOTAL'!Y308</f>
        <v>0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10 DE JULIO</v>
      </c>
      <c r="B236" t="str">
        <f>'RESUMEN TOTAL'!G309</f>
        <v>NJU11</v>
      </c>
      <c r="C236" t="str">
        <f>'RESUMEN TOTAL'!I309</f>
        <v>Tte:Peron y Chile</v>
      </c>
      <c r="D236" s="30" t="str">
        <f>'RESUMEN TOTAL'!J309</f>
        <v>Domo</v>
      </c>
      <c r="E236" s="30" t="str">
        <f>'RESUMEN TOTAL'!K309</f>
        <v>GPON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9 DE JULIO</v>
      </c>
      <c r="B237" t="str">
        <f>'RESUMEN TOTAL'!G310</f>
        <v>NJU10</v>
      </c>
      <c r="C237" t="str">
        <f>'RESUMEN TOTAL'!I310</f>
        <v>BOCUZZI Y BARO</v>
      </c>
      <c r="D237" s="30" t="str">
        <f>'RESUMEN TOTAL'!J310</f>
        <v>DOMO</v>
      </c>
      <c r="E237" s="30" t="str">
        <f>'RESUMEN TOTAL'!K310</f>
        <v>GPON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>
        <f>'RESUMEN TOTAL'!V310</f>
        <v>0</v>
      </c>
      <c r="J237" s="70">
        <f>'RESUMEN TOTAL'!W310</f>
        <v>0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 t="str">
        <f>'RESUMEN TOTAL'!AT310</f>
        <v>APAGADO</v>
      </c>
      <c r="AH237" s="70">
        <f>'RESUMEN TOTAL'!AU310</f>
        <v>0</v>
      </c>
      <c r="AI237" s="70" t="str">
        <f>'RESUMEN TOTAL'!AV310</f>
        <v>APAGADO</v>
      </c>
      <c r="AJ237" s="70" t="e">
        <f>'RESUMEN TOTAL'!#REF!</f>
        <v>#REF!</v>
      </c>
    </row>
    <row r="238" spans="1:36" x14ac:dyDescent="0.25">
      <c r="A238" t="str">
        <f>'RESUMEN TOTAL'!F311</f>
        <v>9 DE JULIO</v>
      </c>
      <c r="B238" t="str">
        <f>'RESUMEN TOTAL'!G311</f>
        <v>NJU09</v>
      </c>
      <c r="C238" t="str">
        <f>'RESUMEN TOTAL'!I311</f>
        <v>PARRILLO Y CONTRERAS</v>
      </c>
      <c r="D238" s="30" t="str">
        <f>'RESUMEN TOTAL'!J311</f>
        <v>DOMO</v>
      </c>
      <c r="E238" s="30" t="str">
        <f>'RESUMEN TOTAL'!K311</f>
        <v>GPON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 t="str">
        <f>'RESUMEN TOTAL'!AN311</f>
        <v>APAGADO</v>
      </c>
      <c r="AB238" s="70" t="str">
        <f>'RESUMEN TOTAL'!AO311</f>
        <v>APAGADO</v>
      </c>
      <c r="AC238" s="70" t="str">
        <f>'RESUMEN TOTAL'!AP311</f>
        <v>APAGADO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9 DE JULIO</v>
      </c>
      <c r="B239" t="str">
        <f>'RESUMEN TOTAL'!G312</f>
        <v>NJU07</v>
      </c>
      <c r="C239" t="str">
        <f>'RESUMEN TOTAL'!I312</f>
        <v>Gral. Juan Domingo Peron y Parrillo</v>
      </c>
      <c r="D239" s="30" t="str">
        <f>'RESUMEN TOTAL'!J312</f>
        <v>Domo</v>
      </c>
      <c r="E239" s="30" t="str">
        <f>'RESUMEN TOTAL'!K312</f>
        <v>Fibra Optica</v>
      </c>
      <c r="F239" s="70" t="str">
        <f>'RESUMEN TOTAL'!S312</f>
        <v>APAGADO</v>
      </c>
      <c r="G239" s="70">
        <f>'RESUMEN TOTAL'!T312</f>
        <v>0</v>
      </c>
      <c r="H239" s="70">
        <f>'RESUMEN TOTAL'!U312</f>
        <v>0</v>
      </c>
      <c r="I239" s="70">
        <f>'RESUMEN TOTAL'!V312</f>
        <v>0</v>
      </c>
      <c r="J239" s="70">
        <f>'RESUMEN TOTAL'!W312</f>
        <v>0</v>
      </c>
      <c r="K239" s="70">
        <f>'RESUMEN TOTAL'!X312</f>
        <v>0</v>
      </c>
      <c r="L239" s="70">
        <f>'RESUMEN TOTAL'!Y312</f>
        <v>0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CENTRO</v>
      </c>
      <c r="B240" t="str">
        <f>'RESUMEN TOTAL'!G313</f>
        <v>NJU06</v>
      </c>
      <c r="C240" t="str">
        <f>'RESUMEN TOTAL'!I313</f>
        <v>Sallares y Rodo</v>
      </c>
      <c r="D240" s="30" t="str">
        <f>'RESUMEN TOTAL'!J313</f>
        <v>Domo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 t="str">
        <f>'RESUMEN TOTAL'!Z313</f>
        <v>APAGADO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 t="str">
        <f>'RESUMEN TOTAL'!AT313</f>
        <v>APAGADO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ZEBALLOS CENTRO</v>
      </c>
      <c r="B241" t="str">
        <f>'RESUMEN TOTAL'!G314</f>
        <v>NJU05</v>
      </c>
      <c r="C241" t="str">
        <f>'RESUMEN TOTAL'!I314</f>
        <v>Ituzaingo y Alem</v>
      </c>
      <c r="D241" s="30" t="str">
        <f>'RESUMEN TOTAL'!J314</f>
        <v>Domo</v>
      </c>
      <c r="E241" s="30" t="str">
        <f>'RESUMEN TOTAL'!K314</f>
        <v>GPON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9 DE JULIO</v>
      </c>
      <c r="B242" t="str">
        <f>'RESUMEN TOTAL'!G315</f>
        <v>NJU04</v>
      </c>
      <c r="C242" t="str">
        <f>'RESUMEN TOTAL'!I315</f>
        <v>Ituzaingo y 214 A</v>
      </c>
      <c r="D242" s="30" t="str">
        <f>'RESUMEN TOTAL'!J315</f>
        <v>Domo</v>
      </c>
      <c r="E242" s="30" t="str">
        <f>'RESUMEN TOTAL'!K315</f>
        <v>GPON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 t="str">
        <f>'RESUMEN TOTAL'!AN315</f>
        <v>APAGADO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9 DE JULIO</v>
      </c>
      <c r="B243" t="str">
        <f>'RESUMEN TOTAL'!G316</f>
        <v>NJU03</v>
      </c>
      <c r="C243" t="str">
        <f>'RESUMEN TOTAL'!I316</f>
        <v>San Juan y Parrillo</v>
      </c>
      <c r="D243" s="30" t="str">
        <f>'RESUMEN TOTAL'!J316</f>
        <v>Domo</v>
      </c>
      <c r="E243" s="30" t="str">
        <f>'RESUMEN TOTAL'!K316</f>
        <v>PTO A FO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 t="str">
        <f>'RESUMEN TOTAL'!Z316</f>
        <v>APAGADO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 t="str">
        <f>'RESUMEN TOTAL'!AL316</f>
        <v>APAGADO</v>
      </c>
      <c r="Z243" s="70" t="str">
        <f>'RESUMEN TOTAL'!AM316</f>
        <v>APAGADO</v>
      </c>
      <c r="AA243" s="70" t="str">
        <f>'RESUMEN TOTAL'!AN316</f>
        <v>APAGADO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 t="str">
        <f>'RESUMEN TOTAL'!AS316</f>
        <v>APAGADO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9 DE JULIO</v>
      </c>
      <c r="B244" t="str">
        <f>'RESUMEN TOTAL'!G317</f>
        <v>NJU02</v>
      </c>
      <c r="C244" t="str">
        <f>'RESUMEN TOTAL'!I317</f>
        <v>Ituzaingo y Boccuzzi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>
        <f>'RESUMEN TOTAL'!V317</f>
        <v>0</v>
      </c>
      <c r="J244" s="70">
        <f>'RESUMEN TOTAL'!W317</f>
        <v>0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9 DE JULIO</v>
      </c>
      <c r="B245" t="str">
        <f>'RESUMEN TOTAL'!G318</f>
        <v>NJU 08</v>
      </c>
      <c r="C245" t="str">
        <f>'RESUMEN TOTAL'!I318</f>
        <v>BOCCUZZI Y O HIGGINS</v>
      </c>
      <c r="D245" s="30" t="str">
        <f>'RESUMEN TOTAL'!J318</f>
        <v>DOMO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9 DE JULIO</v>
      </c>
      <c r="B246" t="str">
        <f>'RESUMEN TOTAL'!G319</f>
        <v>NJU 01</v>
      </c>
      <c r="C246" t="str">
        <f>'RESUMEN TOTAL'!I319</f>
        <v>Sallares y Parrillo</v>
      </c>
      <c r="D246" s="30" t="str">
        <f>'RESUMEN TOTAL'!J319</f>
        <v>Domo</v>
      </c>
      <c r="E246" s="30" t="str">
        <f>'RESUMEN TOTAL'!K319</f>
        <v>Fibra Optica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>
        <f>'RESUMEN TOTAL'!V319</f>
        <v>0</v>
      </c>
      <c r="J246" s="70">
        <f>'RESUMEN TOTAL'!W319</f>
        <v>0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 t="str">
        <f>'RESUMEN TOTAL'!AT319</f>
        <v>APAGADO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GOBERNADOR MONTEVERDE</v>
      </c>
      <c r="B247" t="str">
        <f>'RESUMEN TOTAL'!G320</f>
        <v>MON06 Fija 2</v>
      </c>
      <c r="C247" t="str">
        <f>'RESUMEN TOTAL'!I320</f>
        <v xml:space="preserve">Solis y Guemes </v>
      </c>
      <c r="D247" s="30" t="str">
        <f>'RESUMEN TOTAL'!J320</f>
        <v>Fija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>
        <f>'RESUMEN TOTAL'!V320</f>
        <v>0</v>
      </c>
      <c r="J247" s="70">
        <f>'RESUMEN TOTAL'!W320</f>
        <v>0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GOBERNADOR MONTEVERDE</v>
      </c>
      <c r="B248" t="str">
        <f>'RESUMEN TOTAL'!G321</f>
        <v>MON05 Fija 1</v>
      </c>
      <c r="C248" t="str">
        <f>'RESUMEN TOTAL'!I321</f>
        <v xml:space="preserve">Solis y Guemes 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GOBERNADOR MONTEVERDE</v>
      </c>
      <c r="B249" t="str">
        <f>'RESUMEN TOTAL'!G322</f>
        <v>MON04</v>
      </c>
      <c r="C249" t="str">
        <f>'RESUMEN TOTAL'!I322</f>
        <v>Av. Yrigoyen y San Lorenzo</v>
      </c>
      <c r="D249" s="30" t="str">
        <f>'RESUMEN TOTAL'!J322</f>
        <v>Domo</v>
      </c>
      <c r="E249" s="30" t="str">
        <f>'RESUMEN TOTAL'!K322</f>
        <v>GPON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GOBERNADOR MONTEVERDE</v>
      </c>
      <c r="B250" t="str">
        <f>'RESUMEN TOTAL'!G323</f>
        <v>MON03</v>
      </c>
      <c r="C250" t="str">
        <f>'RESUMEN TOTAL'!I323</f>
        <v>Senzabello y Guemes</v>
      </c>
      <c r="D250" s="30" t="str">
        <f>'RESUMEN TOTAL'!J323</f>
        <v>Domo</v>
      </c>
      <c r="E250" s="30" t="str">
        <f>'RESUMEN TOTAL'!K323</f>
        <v>PTO A FO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 t="str">
        <f>'RESUMEN TOTAL'!AG323</f>
        <v>APAGADO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GOBERNADOR MONTEVERDE</v>
      </c>
      <c r="B251" t="str">
        <f>'RESUMEN TOTAL'!G324</f>
        <v>MON02</v>
      </c>
      <c r="C251" t="str">
        <f>'RESUMEN TOTAL'!I324</f>
        <v>Senzabello y Famatina</v>
      </c>
      <c r="D251" s="30" t="str">
        <f>'RESUMEN TOTAL'!J324</f>
        <v>Domo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 t="str">
        <f>'RESUMEN TOTAL'!AG324</f>
        <v>APAGADO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GOBERNADOR MONTEVERDE</v>
      </c>
      <c r="B252" t="str">
        <f>'RESUMEN TOTAL'!G325</f>
        <v>MON01</v>
      </c>
      <c r="C252" t="str">
        <f>'RESUMEN TOTAL'!I325</f>
        <v>San Martin y Patricias Argentinas</v>
      </c>
      <c r="D252" s="30" t="str">
        <f>'RESUMEN TOTAL'!J325</f>
        <v>Fija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EMILIO</v>
      </c>
      <c r="B253" t="str">
        <f>'RESUMEN TOTAL'!G326</f>
        <v>MFI06</v>
      </c>
      <c r="C253" t="str">
        <f>'RESUMEN TOTAL'!I326</f>
        <v>Con. Gral. Belgrano y Bombero Galarza</v>
      </c>
      <c r="D253" s="30" t="str">
        <f>'RESUMEN TOTAL'!J326</f>
        <v>DOMO</v>
      </c>
      <c r="E253" s="30" t="str">
        <f>'RESUMEN TOTAL'!K326</f>
        <v>PTO A FO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>
        <f>'RESUMEN TOTAL'!V326</f>
        <v>0</v>
      </c>
      <c r="J253" s="70">
        <f>'RESUMEN TOTAL'!W326</f>
        <v>0</v>
      </c>
      <c r="K253" s="70">
        <f>'RESUMEN TOTAL'!X326</f>
        <v>0</v>
      </c>
      <c r="L253" s="70">
        <f>'RESUMEN TOTAL'!Y326</f>
        <v>0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 t="str">
        <f>'RESUMEN TOTAL'!AE326</f>
        <v>APAGADO</v>
      </c>
      <c r="S253" s="70" t="str">
        <f>'RESUMEN TOTAL'!AF326</f>
        <v>APAGADO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 t="str">
        <f>'RESUMEN TOTAL'!AS326</f>
        <v>APAGADO</v>
      </c>
      <c r="AG253" s="70" t="str">
        <f>'RESUMEN TOTAL'!AT326</f>
        <v>APAGADO</v>
      </c>
      <c r="AH253" s="70" t="str">
        <f>'RESUMEN TOTAL'!AU326</f>
        <v>APAGADO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MARTIN FIERRO</v>
      </c>
      <c r="B254" t="str">
        <f>'RESUMEN TOTAL'!G327</f>
        <v>MFI04</v>
      </c>
      <c r="C254" t="str">
        <f>'RESUMEN TOTAL'!I327</f>
        <v>Calchaqui y balcarce</v>
      </c>
      <c r="D254" s="30" t="str">
        <f>'RESUMEN TOTAL'!J327</f>
        <v>Domo</v>
      </c>
      <c r="E254" s="30" t="str">
        <f>'RESUMEN TOTAL'!K327</f>
        <v>Fibra Optica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>
        <f>'RESUMEN TOTAL'!V327</f>
        <v>0</v>
      </c>
      <c r="J254" s="70">
        <f>'RESUMEN TOTAL'!W327</f>
        <v>0</v>
      </c>
      <c r="K254" s="70">
        <f>'RESUMEN TOTAL'!X327</f>
        <v>0</v>
      </c>
      <c r="L254" s="70">
        <f>'RESUMEN TOTAL'!Y327</f>
        <v>0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LOPEZ ROMERO</v>
      </c>
      <c r="B255" t="str">
        <f>'RESUMEN TOTAL'!G328</f>
        <v>MFI02</v>
      </c>
      <c r="C255" t="str">
        <f>'RESUMEN TOTAL'!I328</f>
        <v>Calchaqui y Balcarce</v>
      </c>
      <c r="D255" s="30" t="str">
        <f>'RESUMEN TOTAL'!J328</f>
        <v>Fija</v>
      </c>
      <c r="E255" s="30" t="str">
        <f>'RESUMEN TOTAL'!K328</f>
        <v>Fibra Optica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>
        <f>'RESUMEN TOTAL'!V328</f>
        <v>0</v>
      </c>
      <c r="J255" s="70">
        <f>'RESUMEN TOTAL'!W328</f>
        <v>0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MARTIN FIERRO</v>
      </c>
      <c r="B256" t="str">
        <f>'RESUMEN TOTAL'!G329</f>
        <v>MFI 08</v>
      </c>
      <c r="C256" t="str">
        <f>'RESUMEN TOTAL'!I329</f>
        <v>Braile y Batalla de Callao</v>
      </c>
      <c r="D256" s="30" t="str">
        <f>'RESUMEN TOTAL'!J329</f>
        <v>Domo</v>
      </c>
      <c r="E256" s="30" t="str">
        <f>'RESUMEN TOTAL'!K329</f>
        <v>PTO A FO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MARTIN FIERRO</v>
      </c>
      <c r="B257" t="str">
        <f>'RESUMEN TOTAL'!G330</f>
        <v>MFI 07</v>
      </c>
      <c r="C257" t="str">
        <f>'RESUMEN TOTAL'!I330</f>
        <v>Sargento Cabral y Carlos Gardel</v>
      </c>
      <c r="D257" s="30" t="str">
        <f>'RESUMEN TOTAL'!J330</f>
        <v>Domo</v>
      </c>
      <c r="E257" s="30" t="str">
        <f>'RESUMEN TOTAL'!K330</f>
        <v>GPON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 t="str">
        <f>'RESUMEN TOTAL'!AF330</f>
        <v>APAGADO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 t="str">
        <f>'RESUMEN TOTAL'!AO330</f>
        <v>APAGADO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 t="str">
        <f>'RESUMEN TOTAL'!AS330</f>
        <v>APAGADO</v>
      </c>
      <c r="AG257" s="70" t="str">
        <f>'RESUMEN TOTAL'!AT330</f>
        <v>APAGADO</v>
      </c>
      <c r="AH257" s="70" t="str">
        <f>'RESUMEN TOTAL'!AU330</f>
        <v>APAGADO</v>
      </c>
      <c r="AI257" s="70" t="str">
        <f>'RESUMEN TOTAL'!AV330</f>
        <v>APAGADO</v>
      </c>
      <c r="AJ257" s="70" t="e">
        <f>'RESUMEN TOTAL'!#REF!</f>
        <v>#REF!</v>
      </c>
    </row>
    <row r="258" spans="1:36" x14ac:dyDescent="0.25">
      <c r="A258" t="str">
        <f>'RESUMEN TOTAL'!F331</f>
        <v>SAN EMILIO</v>
      </c>
      <c r="B258" t="str">
        <f>'RESUMEN TOTAL'!G331</f>
        <v>MFI 05</v>
      </c>
      <c r="C258" t="str">
        <f>'RESUMEN TOTAL'!I331</f>
        <v>Cno. Gral. Belgrano y Guayaquil</v>
      </c>
      <c r="D258" s="30" t="str">
        <f>'RESUMEN TOTAL'!J331</f>
        <v>Domo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SAN EMILIO</v>
      </c>
      <c r="B259" t="str">
        <f>'RESUMEN TOTAL'!G332</f>
        <v>MFI 03</v>
      </c>
      <c r="C259" t="str">
        <f>'RESUMEN TOTAL'!I332</f>
        <v>Cno. Gral. Belgrano y Av. del Trabajo</v>
      </c>
      <c r="D259" s="30" t="str">
        <f>'RESUMEN TOTAL'!J332</f>
        <v>Domo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MARTIN FIERRO</v>
      </c>
      <c r="B260" t="str">
        <f>'RESUMEN TOTAL'!G333</f>
        <v>MFI 01</v>
      </c>
      <c r="C260" t="str">
        <f>'RESUMEN TOTAL'!I333</f>
        <v>Belgrano y Sgto. Cabral</v>
      </c>
      <c r="D260" s="30" t="str">
        <f>'RESUMEN TOTAL'!J333</f>
        <v>Fija</v>
      </c>
      <c r="E260" s="30" t="str">
        <f>'RESUMEN TOTAL'!K333</f>
        <v>GPON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>
        <f>'RESUMEN TOTAL'!F334</f>
        <v>0</v>
      </c>
      <c r="B261" t="str">
        <f>'RESUMEN TOTAL'!G334</f>
        <v>MCUD 02</v>
      </c>
      <c r="C261" t="str">
        <f>'RESUMEN TOTAL'!I334</f>
        <v>CALLE 115 A Y 158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 t="str">
        <f>'RESUMEN TOTAL'!AF334</f>
        <v>APAGADO</v>
      </c>
      <c r="T261" s="70" t="str">
        <f>'RESUMEN TOTAL'!AG334</f>
        <v>APAGADO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 t="str">
        <f>'RESUMEN TOTAL'!AS334</f>
        <v>APAGADO</v>
      </c>
      <c r="AG261" s="70" t="str">
        <f>'RESUMEN TOTAL'!AT334</f>
        <v>APAGADO</v>
      </c>
      <c r="AH261" s="70" t="str">
        <f>'RESUMEN TOTAL'!AU334</f>
        <v>APAGADO</v>
      </c>
      <c r="AI261" s="70" t="str">
        <f>'RESUMEN TOTAL'!AV334</f>
        <v>APAGADO</v>
      </c>
      <c r="AJ261" s="70" t="e">
        <f>'RESUMEN TOTAL'!#REF!</f>
        <v>#REF!</v>
      </c>
    </row>
    <row r="262" spans="1:36" x14ac:dyDescent="0.25">
      <c r="A262">
        <f>'RESUMEN TOTAL'!F335</f>
        <v>0</v>
      </c>
      <c r="B262" t="str">
        <f>'RESUMEN TOTAL'!G335</f>
        <v>MCUD 01</v>
      </c>
      <c r="C262" t="str">
        <f>'RESUMEN TOTAL'!I335</f>
        <v>TINOGASTA Y SAN LORENZO</v>
      </c>
      <c r="D262" s="30" t="str">
        <f>'RESUMEN TOTAL'!J335</f>
        <v>Domo</v>
      </c>
      <c r="E262" s="30" t="str">
        <f>'RESUMEN TOTAL'!K335</f>
        <v>Fibra Optica</v>
      </c>
      <c r="F262" s="70" t="str">
        <f>'RESUMEN TOTAL'!S335</f>
        <v>APAGADO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 t="str">
        <f>'RESUMEN TOTAL'!X335</f>
        <v>APAGADO</v>
      </c>
      <c r="L262" s="70" t="str">
        <f>'RESUMEN TOTAL'!Y335</f>
        <v>APAGADO</v>
      </c>
      <c r="M262" s="70" t="str">
        <f>'RESUMEN TOTAL'!Z335</f>
        <v>APAGADO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 t="str">
        <f>'RESUMEN TOTAL'!AE335</f>
        <v>APAGADO</v>
      </c>
      <c r="S262" s="70" t="str">
        <f>'RESUMEN TOTAL'!AF335</f>
        <v>APAGADO</v>
      </c>
      <c r="T262" s="70" t="str">
        <f>'RESUMEN TOTAL'!AG335</f>
        <v>APAGADO</v>
      </c>
      <c r="U262" s="70" t="str">
        <f>'RESUMEN TOTAL'!AH335</f>
        <v>APAGADO</v>
      </c>
      <c r="V262" s="70" t="str">
        <f>'RESUMEN TOTAL'!AI335</f>
        <v>APAGADO</v>
      </c>
      <c r="W262" s="70">
        <f>'RESUMEN TOTAL'!AJ335</f>
        <v>0</v>
      </c>
      <c r="X262" s="70">
        <f>'RESUMEN TOTAL'!AK335</f>
        <v>0</v>
      </c>
      <c r="Y262" s="70" t="str">
        <f>'RESUMEN TOTAL'!AL335</f>
        <v>APAGADO</v>
      </c>
      <c r="Z262" s="70" t="str">
        <f>'RESUMEN TOTAL'!AM335</f>
        <v>APAGADO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MAYOL</v>
      </c>
      <c r="B263" t="str">
        <f>'RESUMEN TOTAL'!G336</f>
        <v>MAY 04</v>
      </c>
      <c r="C263" t="str">
        <f>'RESUMEN TOTAL'!I336</f>
        <v>MAR CHIQUITA Y RIO JACHAL</v>
      </c>
      <c r="D263" s="30" t="str">
        <f>'RESUMEN TOTAL'!J336</f>
        <v>DOMO</v>
      </c>
      <c r="E263" s="30" t="str">
        <f>'RESUMEN TOTAL'!K336</f>
        <v>Radio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MAYOL</v>
      </c>
      <c r="B264" t="str">
        <f>'RESUMEN TOTAL'!G337</f>
        <v>MAY 03</v>
      </c>
      <c r="C264" t="str">
        <f>'RESUMEN TOTAL'!I337</f>
        <v>CHAÑAR Y SAN NICOLAS</v>
      </c>
      <c r="D264" s="30" t="str">
        <f>'RESUMEN TOTAL'!J337</f>
        <v>DOMO</v>
      </c>
      <c r="E264" s="30" t="str">
        <f>'RESUMEN TOTAL'!K337</f>
        <v>PTO A FO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>
        <f>'RESUMEN TOTAL'!F340</f>
        <v>0</v>
      </c>
      <c r="B265" t="str">
        <f>'RESUMEN TOTAL'!G338</f>
        <v>MAY 02</v>
      </c>
      <c r="C265" t="str">
        <f>'RESUMEN TOTAL'!I338</f>
        <v>EVA PERON Y MONTEVIDEO</v>
      </c>
      <c r="D265" s="30" t="str">
        <f>'RESUMEN TOTAL'!J338</f>
        <v>Domo</v>
      </c>
      <c r="E265" s="30" t="str">
        <f>'RESUMEN TOTAL'!K338</f>
        <v>GPON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MALVINAS</v>
      </c>
      <c r="B266" t="str">
        <f>'RESUMEN TOTAL'!G345</f>
        <v>MAL02</v>
      </c>
      <c r="C266" t="str">
        <f>'RESUMEN TOTAL'!I345</f>
        <v>Casuarinas y el cardenal</v>
      </c>
      <c r="D266" s="30" t="str">
        <f>'RESUMEN TOTAL'!J345</f>
        <v>Domo</v>
      </c>
      <c r="E266" s="30" t="str">
        <f>'RESUMEN TOTAL'!K345</f>
        <v>GPON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MALVINAS</v>
      </c>
      <c r="B267" t="str">
        <f>'RESUMEN TOTAL'!G346</f>
        <v>MAL01</v>
      </c>
      <c r="C267" t="str">
        <f>'RESUMEN TOTAL'!I346</f>
        <v>El zorzal y los laureles</v>
      </c>
      <c r="D267" s="30" t="str">
        <f>'RESUMEN TOTAL'!J346</f>
        <v>Domo</v>
      </c>
      <c r="E267" s="30" t="str">
        <f>'RESUMEN TOTAL'!K346</f>
        <v>GPON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LUJAN</v>
      </c>
      <c r="B268" t="str">
        <f>'RESUMEN TOTAL'!G347</f>
        <v>LUJ06</v>
      </c>
      <c r="C268" t="str">
        <f>'RESUMEN TOTAL'!I347</f>
        <v>LOS PINOS Y LA PALOMA</v>
      </c>
      <c r="D268" s="30" t="str">
        <f>'RESUMEN TOTAL'!J347</f>
        <v>DOMO</v>
      </c>
      <c r="E268" s="30" t="str">
        <f>'RESUMEN TOTAL'!K347</f>
        <v>GPON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LUJAN</v>
      </c>
      <c r="B269" t="str">
        <f>'RESUMEN TOTAL'!G348</f>
        <v>LUJ05</v>
      </c>
      <c r="C269" t="str">
        <f>'RESUMEN TOTAL'!I348</f>
        <v>LOS ALGARROBOS Y LA PALOMA</v>
      </c>
      <c r="D269" s="30" t="str">
        <f>'RESUMEN TOTAL'!J348</f>
        <v>DOMO</v>
      </c>
      <c r="E269" s="30" t="str">
        <f>'RESUMEN TOTAL'!K348</f>
        <v>GPON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LUJAN</v>
      </c>
      <c r="B270" t="str">
        <f>'RESUMEN TOTAL'!G349</f>
        <v>LUJ04</v>
      </c>
      <c r="C270" t="str">
        <f>'RESUMEN TOTAL'!I349</f>
        <v>LOS ALGARROBOS Y LA PALOMA</v>
      </c>
      <c r="D270" s="30" t="str">
        <f>'RESUMEN TOTAL'!J349</f>
        <v>Fija</v>
      </c>
      <c r="E270" s="30" t="str">
        <f>'RESUMEN TOTAL'!K349</f>
        <v>GPON</v>
      </c>
      <c r="F270" s="70" t="str">
        <f>'RESUMEN TOTAL'!S349</f>
        <v>APAGADO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 t="str">
        <f>'RESUMEN TOTAL'!X349</f>
        <v>APAGADO</v>
      </c>
      <c r="L270" s="70" t="str">
        <f>'RESUMEN TOTAL'!Y349</f>
        <v>APAGADO</v>
      </c>
      <c r="M270" s="70" t="str">
        <f>'RESUMEN TOTAL'!Z349</f>
        <v>APAGADO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 t="str">
        <f>'RESUMEN TOTAL'!AE349</f>
        <v>APAGADO</v>
      </c>
      <c r="S270" s="70" t="str">
        <f>'RESUMEN TOTAL'!AF349</f>
        <v>APAGADO</v>
      </c>
      <c r="T270" s="70" t="str">
        <f>'RESUMEN TOTAL'!AG349</f>
        <v>APAGADO</v>
      </c>
      <c r="U270" s="70" t="str">
        <f>'RESUMEN TOTAL'!AH349</f>
        <v>APAGADO</v>
      </c>
      <c r="V270" s="70" t="str">
        <f>'RESUMEN TOTAL'!AI349</f>
        <v>APAGADO</v>
      </c>
      <c r="W270" s="70">
        <f>'RESUMEN TOTAL'!AJ349</f>
        <v>0</v>
      </c>
      <c r="X270" s="70">
        <f>'RESUMEN TOTAL'!AK349</f>
        <v>0</v>
      </c>
      <c r="Y270" s="70" t="str">
        <f>'RESUMEN TOTAL'!AL349</f>
        <v>APAGADO</v>
      </c>
      <c r="Z270" s="70" t="str">
        <f>'RESUMEN TOTAL'!AM349</f>
        <v>APAGADO</v>
      </c>
      <c r="AA270" s="70" t="str">
        <f>'RESUMEN TOTAL'!AN349</f>
        <v>APAGADO</v>
      </c>
      <c r="AB270" s="70" t="str">
        <f>'RESUMEN TOTAL'!AO349</f>
        <v>APAGADO</v>
      </c>
      <c r="AC270" s="70" t="str">
        <f>'RESUMEN TOTAL'!AP349</f>
        <v>APAGADO</v>
      </c>
      <c r="AD270" s="70">
        <f>'RESUMEN TOTAL'!AQ349</f>
        <v>0</v>
      </c>
      <c r="AE270" s="70">
        <f>'RESUMEN TOTAL'!AR349</f>
        <v>0</v>
      </c>
      <c r="AF270" s="70" t="str">
        <f>'RESUMEN TOTAL'!AS349</f>
        <v>APAGADO</v>
      </c>
      <c r="AG270" s="70" t="str">
        <f>'RESUMEN TOTAL'!AT349</f>
        <v>APAGADO</v>
      </c>
      <c r="AH270" s="70" t="str">
        <f>'RESUMEN TOTAL'!AU349</f>
        <v>APAGADO</v>
      </c>
      <c r="AI270" s="70" t="str">
        <f>'RESUMEN TOTAL'!AV349</f>
        <v>APAGADO</v>
      </c>
      <c r="AJ270" s="70" t="e">
        <f>'RESUMEN TOTAL'!#REF!</f>
        <v>#REF!</v>
      </c>
    </row>
    <row r="271" spans="1:36" x14ac:dyDescent="0.25">
      <c r="A271" t="str">
        <f>'RESUMEN TOTAL'!F350</f>
        <v>LUJAN</v>
      </c>
      <c r="B271" t="str">
        <f>'RESUMEN TOTAL'!G350</f>
        <v>LUJ03</v>
      </c>
      <c r="C271" t="str">
        <f>'RESUMEN TOTAL'!I350</f>
        <v>LOS PINOS Y LOS TILOS</v>
      </c>
      <c r="D271" s="30" t="str">
        <f>'RESUMEN TOTAL'!J350</f>
        <v>DOMO</v>
      </c>
      <c r="E271" s="30" t="str">
        <f>'RESUMEN TOTAL'!K350</f>
        <v>Fibra Optica</v>
      </c>
      <c r="F271" s="70" t="str">
        <f>'RESUMEN TOTAL'!S350</f>
        <v>APAGADO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 t="str">
        <f>'RESUMEN TOTAL'!X350</f>
        <v>APAGADO</v>
      </c>
      <c r="L271" s="70" t="str">
        <f>'RESUMEN TOTAL'!Y350</f>
        <v>APAGADO</v>
      </c>
      <c r="M271" s="70" t="str">
        <f>'RESUMEN TOTAL'!Z350</f>
        <v>APAGADO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 t="str">
        <f>'RESUMEN TOTAL'!AE350</f>
        <v>APAGADO</v>
      </c>
      <c r="S271" s="70" t="str">
        <f>'RESUMEN TOTAL'!AF350</f>
        <v>APAGADO</v>
      </c>
      <c r="T271" s="70" t="str">
        <f>'RESUMEN TOTAL'!AG350</f>
        <v>APAGADO</v>
      </c>
      <c r="U271" s="70" t="str">
        <f>'RESUMEN TOTAL'!AH350</f>
        <v>APAGADO</v>
      </c>
      <c r="V271" s="70" t="str">
        <f>'RESUMEN TOTAL'!AI350</f>
        <v>APAGADO</v>
      </c>
      <c r="W271" s="70">
        <f>'RESUMEN TOTAL'!AJ350</f>
        <v>0</v>
      </c>
      <c r="X271" s="70">
        <f>'RESUMEN TOTAL'!AK350</f>
        <v>0</v>
      </c>
      <c r="Y271" s="70" t="str">
        <f>'RESUMEN TOTAL'!AL350</f>
        <v>APAGADO</v>
      </c>
      <c r="Z271" s="70" t="str">
        <f>'RESUMEN TOTAL'!AM350</f>
        <v>APAGADO</v>
      </c>
      <c r="AA271" s="70" t="str">
        <f>'RESUMEN TOTAL'!AN350</f>
        <v>APAGADO</v>
      </c>
      <c r="AB271" s="70" t="str">
        <f>'RESUMEN TOTAL'!AO350</f>
        <v>APAGADO</v>
      </c>
      <c r="AC271" s="70" t="str">
        <f>'RESUMEN TOTAL'!AP350</f>
        <v>APAGADO</v>
      </c>
      <c r="AD271" s="70">
        <f>'RESUMEN TOTAL'!AQ350</f>
        <v>0</v>
      </c>
      <c r="AE271" s="70">
        <f>'RESUMEN TOTAL'!AR350</f>
        <v>0</v>
      </c>
      <c r="AF271" s="70" t="str">
        <f>'RESUMEN TOTAL'!AS350</f>
        <v>APAGADO</v>
      </c>
      <c r="AG271" s="70" t="str">
        <f>'RESUMEN TOTAL'!AT350</f>
        <v>APAGADO</v>
      </c>
      <c r="AH271" s="70" t="str">
        <f>'RESUMEN TOTAL'!AU350</f>
        <v>APAGADO</v>
      </c>
      <c r="AI271" s="70" t="str">
        <f>'RESUMEN TOTAL'!AV350</f>
        <v>APAGADO</v>
      </c>
      <c r="AJ271" s="70" t="e">
        <f>'RESUMEN TOTAL'!#REF!</f>
        <v>#REF!</v>
      </c>
    </row>
    <row r="272" spans="1:36" x14ac:dyDescent="0.25">
      <c r="A272" t="str">
        <f>'RESUMEN TOTAL'!F351</f>
        <v>VILLA ARGENTINA</v>
      </c>
      <c r="B272" t="str">
        <f>'RESUMEN TOTAL'!G351</f>
        <v>LUJ 02</v>
      </c>
      <c r="C272" t="str">
        <f>'RESUMEN TOTAL'!I351</f>
        <v>DIAG. LOS TILOS Y 527</v>
      </c>
      <c r="D272" s="30" t="str">
        <f>'RESUMEN TOTAL'!J351</f>
        <v>DOMO</v>
      </c>
      <c r="E272" s="30" t="str">
        <f>'RESUMEN TOTAL'!K351</f>
        <v>PTO A FO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 t="str">
        <f>'RESUMEN TOTAL'!AO351</f>
        <v>APAGADO</v>
      </c>
      <c r="AC272" s="70" t="str">
        <f>'RESUMEN TOTAL'!AP351</f>
        <v>APAGADO</v>
      </c>
      <c r="AD272" s="70">
        <f>'RESUMEN TOTAL'!AQ351</f>
        <v>0</v>
      </c>
      <c r="AE272" s="70">
        <f>'RESUMEN TOTAL'!AR351</f>
        <v>0</v>
      </c>
      <c r="AF272" s="70" t="str">
        <f>'RESUMEN TOTAL'!AS351</f>
        <v>APAGADO</v>
      </c>
      <c r="AG272" s="70" t="str">
        <f>'RESUMEN TOTAL'!AT351</f>
        <v>APAGADO</v>
      </c>
      <c r="AH272" s="70" t="str">
        <f>'RESUMEN TOTAL'!AU351</f>
        <v>APAGADO</v>
      </c>
      <c r="AI272" s="70" t="str">
        <f>'RESUMEN TOTAL'!AV351</f>
        <v>APAGADO</v>
      </c>
      <c r="AJ272" s="70" t="e">
        <f>'RESUMEN TOTAL'!#REF!</f>
        <v>#REF!</v>
      </c>
    </row>
    <row r="273" spans="1:36" x14ac:dyDescent="0.25">
      <c r="A273" t="str">
        <f>'RESUMEN TOTAL'!F352</f>
        <v>LUJAN</v>
      </c>
      <c r="B273" t="str">
        <f>'RESUMEN TOTAL'!G352</f>
        <v>LUJ 01</v>
      </c>
      <c r="C273" t="str">
        <f>'RESUMEN TOTAL'!I352</f>
        <v>ñandu y Los Pinos</v>
      </c>
      <c r="D273" s="30" t="str">
        <f>'RESUMEN TOTAL'!J352</f>
        <v>Domo</v>
      </c>
      <c r="E273" s="30" t="str">
        <f>'RESUMEN TOTAL'!K352</f>
        <v>GPON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LOPEZ ROMERO</v>
      </c>
      <c r="B274" t="str">
        <f>'RESUMEN TOTAL'!G353</f>
        <v>LRO15</v>
      </c>
      <c r="C274" t="str">
        <f>'RESUMEN TOTAL'!I353</f>
        <v>BRAILE Y FINOCCHIETTO</v>
      </c>
      <c r="D274" s="30" t="str">
        <f>'RESUMEN TOTAL'!J353</f>
        <v>DOMO</v>
      </c>
      <c r="E274" s="30" t="str">
        <f>'RESUMEN TOTAL'!K353</f>
        <v>Fibra Optica</v>
      </c>
      <c r="F274" s="70" t="str">
        <f>'RESUMEN TOTAL'!S353</f>
        <v>APAGADO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 t="str">
        <f>'RESUMEN TOTAL'!X353</f>
        <v>APAGADO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 t="str">
        <f>'RESUMEN TOTAL'!AL353</f>
        <v>APAGADO</v>
      </c>
      <c r="Z274" s="70" t="str">
        <f>'RESUMEN TOTAL'!AM353</f>
        <v>APAGADO</v>
      </c>
      <c r="AA274" s="70">
        <f>'RESUMEN TOTAL'!AN353</f>
        <v>0</v>
      </c>
      <c r="AB274" s="70" t="str">
        <f>'RESUMEN TOTAL'!AO353</f>
        <v>APAGADO</v>
      </c>
      <c r="AC274" s="70" t="str">
        <f>'RESUMEN TOTAL'!AP353</f>
        <v>APAGADO</v>
      </c>
      <c r="AD274" s="70">
        <f>'RESUMEN TOTAL'!AQ353</f>
        <v>0</v>
      </c>
      <c r="AE274" s="70">
        <f>'RESUMEN TOTAL'!AR353</f>
        <v>0</v>
      </c>
      <c r="AF274" s="70" t="str">
        <f>'RESUMEN TOTAL'!AS353</f>
        <v>APAGADO</v>
      </c>
      <c r="AG274" s="70" t="str">
        <f>'RESUMEN TOTAL'!AT353</f>
        <v>APAGADO</v>
      </c>
      <c r="AH274" s="70" t="str">
        <f>'RESUMEN TOTAL'!AU353</f>
        <v>APAGADO</v>
      </c>
      <c r="AI274" s="70" t="str">
        <f>'RESUMEN TOTAL'!AV353</f>
        <v>APAGADO</v>
      </c>
      <c r="AJ274" s="70" t="e">
        <f>'RESUMEN TOTAL'!#REF!</f>
        <v>#REF!</v>
      </c>
    </row>
    <row r="275" spans="1:36" x14ac:dyDescent="0.25">
      <c r="A275" t="str">
        <f>'RESUMEN TOTAL'!F354</f>
        <v>LOPEZ ROMERO</v>
      </c>
      <c r="B275" t="str">
        <f>'RESUMEN TOTAL'!G354</f>
        <v>LRO14</v>
      </c>
      <c r="C275" t="str">
        <f>'RESUMEN TOTAL'!I354</f>
        <v>YRIGOYEN Y STORNI</v>
      </c>
      <c r="D275" s="30" t="str">
        <f>'RESUMEN TOTAL'!J354</f>
        <v>DOMO</v>
      </c>
      <c r="E275" s="30" t="str">
        <f>'RESUMEN TOTAL'!K354</f>
        <v>Fibra Optica</v>
      </c>
      <c r="F275" s="70" t="str">
        <f>'RESUMEN TOTAL'!S354</f>
        <v>APAGADO</v>
      </c>
      <c r="G275" s="70">
        <f>'RESUMEN TOTAL'!T354</f>
        <v>0</v>
      </c>
      <c r="H275" s="70">
        <f>'RESUMEN TOTAL'!U354</f>
        <v>0</v>
      </c>
      <c r="I275" s="70">
        <f>'RESUMEN TOTAL'!V354</f>
        <v>0</v>
      </c>
      <c r="J275" s="70">
        <f>'RESUMEN TOTAL'!W354</f>
        <v>0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 t="str">
        <f>'RESUMEN TOTAL'!AH354</f>
        <v>APAGADO</v>
      </c>
      <c r="V275" s="70" t="str">
        <f>'RESUMEN TOTAL'!AI354</f>
        <v>APAGADO</v>
      </c>
      <c r="W275" s="70">
        <f>'RESUMEN TOTAL'!AJ354</f>
        <v>0</v>
      </c>
      <c r="X275" s="70">
        <f>'RESUMEN TOTAL'!AK354</f>
        <v>0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 t="str">
        <f>'RESUMEN TOTAL'!AO354</f>
        <v>APAGADO</v>
      </c>
      <c r="AC275" s="70" t="str">
        <f>'RESUMEN TOTAL'!AP354</f>
        <v>APAGADO</v>
      </c>
      <c r="AD275" s="70">
        <f>'RESUMEN TOTAL'!AQ354</f>
        <v>0</v>
      </c>
      <c r="AE275" s="70">
        <f>'RESUMEN TOTAL'!AR354</f>
        <v>0</v>
      </c>
      <c r="AF275" s="70" t="str">
        <f>'RESUMEN TOTAL'!AS354</f>
        <v>APAGADO</v>
      </c>
      <c r="AG275" s="70" t="str">
        <f>'RESUMEN TOTAL'!AT354</f>
        <v>APAGADO</v>
      </c>
      <c r="AH275" s="70" t="str">
        <f>'RESUMEN TOTAL'!AU354</f>
        <v>APAGADO</v>
      </c>
      <c r="AI275" s="70" t="str">
        <f>'RESUMEN TOTAL'!AV354</f>
        <v>APAGADO</v>
      </c>
      <c r="AJ275" s="70" t="e">
        <f>'RESUMEN TOTAL'!#REF!</f>
        <v>#REF!</v>
      </c>
    </row>
    <row r="276" spans="1:36" x14ac:dyDescent="0.25">
      <c r="A276" t="str">
        <f>'RESUMEN TOTAL'!F355</f>
        <v>LOPEZ ROMERO</v>
      </c>
      <c r="B276" t="str">
        <f>'RESUMEN TOTAL'!G355</f>
        <v>LRO11</v>
      </c>
      <c r="C276" t="str">
        <f>'RESUMEN TOTAL'!I355</f>
        <v>Av. Yrigoyen y Braile</v>
      </c>
      <c r="D276" s="30" t="str">
        <f>'RESUMEN TOTAL'!J355</f>
        <v>Domo</v>
      </c>
      <c r="E276" s="30" t="str">
        <f>'RESUMEN TOTAL'!K355</f>
        <v>Fibra Optica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>
        <f>'RESUMEN TOTAL'!V355</f>
        <v>0</v>
      </c>
      <c r="J276" s="70">
        <f>'RESUMEN TOTAL'!W355</f>
        <v>0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LOPEZ ROMERO</v>
      </c>
      <c r="B277" t="str">
        <f>'RESUMEN TOTAL'!G356</f>
        <v>LRO08</v>
      </c>
      <c r="C277" t="str">
        <f>'RESUMEN TOTAL'!I356</f>
        <v>Remedios de Escalada y Finochieto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>
        <f>'RESUMEN TOTAL'!V356</f>
        <v>0</v>
      </c>
      <c r="J277" s="70">
        <f>'RESUMEN TOTAL'!W356</f>
        <v>0</v>
      </c>
      <c r="K277" s="70" t="str">
        <f>'RESUMEN TOTAL'!X356</f>
        <v>APAGADO</v>
      </c>
      <c r="L277" s="70" t="str">
        <f>'RESUMEN TOTAL'!Y356</f>
        <v>APAGADO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 t="str">
        <f>'RESUMEN TOTAL'!AO356</f>
        <v>APAGADO</v>
      </c>
      <c r="AC277" s="70" t="str">
        <f>'RESUMEN TOTAL'!AP356</f>
        <v>APAGADO</v>
      </c>
      <c r="AD277" s="70">
        <f>'RESUMEN TOTAL'!AQ356</f>
        <v>0</v>
      </c>
      <c r="AE277" s="70">
        <f>'RESUMEN TOTAL'!AR356</f>
        <v>0</v>
      </c>
      <c r="AF277" s="70" t="str">
        <f>'RESUMEN TOTAL'!AS356</f>
        <v>APAGADO</v>
      </c>
      <c r="AG277" s="70" t="str">
        <f>'RESUMEN TOTAL'!AT356</f>
        <v>APAGADO</v>
      </c>
      <c r="AH277" s="70" t="str">
        <f>'RESUMEN TOTAL'!AU356</f>
        <v>APAGADO</v>
      </c>
      <c r="AI277" s="70" t="str">
        <f>'RESUMEN TOTAL'!AV356</f>
        <v>APAGADO</v>
      </c>
      <c r="AJ277" s="70" t="e">
        <f>'RESUMEN TOTAL'!#REF!</f>
        <v>#REF!</v>
      </c>
    </row>
    <row r="278" spans="1:36" x14ac:dyDescent="0.25">
      <c r="A278" t="str">
        <f>'RESUMEN TOTAL'!F357</f>
        <v>LOPEZ ROMERO</v>
      </c>
      <c r="B278" t="str">
        <f>'RESUMEN TOTAL'!G357</f>
        <v>LRO07</v>
      </c>
      <c r="C278" t="str">
        <f>'RESUMEN TOTAL'!I357</f>
        <v>H. Irigoyen y Remedios de Escalada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PRESIDENTE SARMIENTO</v>
      </c>
      <c r="B279" t="str">
        <f>'RESUMEN TOTAL'!G361</f>
        <v>LRO02</v>
      </c>
      <c r="C279" t="str">
        <f>'RESUMEN TOTAL'!I361</f>
        <v>H. Irigoyen e Islas Orcadas</v>
      </c>
      <c r="D279" s="30" t="str">
        <f>'RESUMEN TOTAL'!J361</f>
        <v>Domo</v>
      </c>
      <c r="E279" s="30" t="str">
        <f>'RESUMEN TOTAL'!K361</f>
        <v>Fibra Optica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LOPEZ ROMERO</v>
      </c>
      <c r="B280" t="str">
        <f>'RESUMEN TOTAL'!G362</f>
        <v>LRO01</v>
      </c>
      <c r="C280" t="str">
        <f>'RESUMEN TOTAL'!I362</f>
        <v>H. IRIGOYEN Y BRAILE</v>
      </c>
      <c r="D280" s="30" t="str">
        <f>'RESUMEN TOTAL'!J362</f>
        <v>FIJA</v>
      </c>
      <c r="E280" s="30" t="str">
        <f>'RESUMEN TOTAL'!K362</f>
        <v>Fibra Optica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LOPEZ ROMERO</v>
      </c>
      <c r="B281" t="str">
        <f>'RESUMEN TOTAL'!G363</f>
        <v>LRO 13 (fija 2)</v>
      </c>
      <c r="C281" t="str">
        <f>'RESUMEN TOTAL'!I363</f>
        <v>LAS AMERICAS E/ BRAILLE Y ALVARADO</v>
      </c>
      <c r="D281" s="30" t="str">
        <f>'RESUMEN TOTAL'!J363</f>
        <v>Fija</v>
      </c>
      <c r="E281" s="30" t="str">
        <f>'RESUMEN TOTAL'!K363</f>
        <v>Fibra Optica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LOPEZ ROMERO</v>
      </c>
      <c r="B282" t="str">
        <f>'RESUMEN TOTAL'!G364</f>
        <v>LRO 12 (fija 1)</v>
      </c>
      <c r="C282" t="str">
        <f>'RESUMEN TOTAL'!I364</f>
        <v>LAS AMERICAS E/ BRAILLE Y ALVARADO</v>
      </c>
      <c r="D282" s="30" t="str">
        <f>'RESUMEN TOTAL'!J364</f>
        <v>Fija</v>
      </c>
      <c r="E282" s="30" t="str">
        <f>'RESUMEN TOTAL'!K364</f>
        <v>Fibra Optica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LOPEZ ROMERO</v>
      </c>
      <c r="B283" t="str">
        <f>'RESUMEN TOTAL'!G365</f>
        <v>LRO 10</v>
      </c>
      <c r="C283" t="str">
        <f>'RESUMEN TOTAL'!I365</f>
        <v>Con. Gral. Belgrano y Balcarce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LOPEZ ROMERO</v>
      </c>
      <c r="B284" t="str">
        <f>'RESUMEN TOTAL'!G366</f>
        <v>LRO 09</v>
      </c>
      <c r="C284" t="str">
        <f>'RESUMEN TOTAL'!I366</f>
        <v>Las Americas y Braile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LOPEZ ROMERO</v>
      </c>
      <c r="B285" t="str">
        <f>'RESUMEN TOTAL'!G367</f>
        <v>LRO 05</v>
      </c>
      <c r="C285" t="str">
        <f>'RESUMEN TOTAL'!I367</f>
        <v>Calchaqui y Las Americas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LOS PILARES</v>
      </c>
      <c r="B286" t="str">
        <f>'RESUMEN TOTAL'!G368</f>
        <v>LPR04</v>
      </c>
      <c r="C286" t="str">
        <f>'RESUMEN TOTAL'!I368</f>
        <v>Cacheuta y 1341</v>
      </c>
      <c r="D286" s="30" t="str">
        <f>'RESUMEN TOTAL'!J368</f>
        <v>DOMO</v>
      </c>
      <c r="E286" s="30" t="str">
        <f>'RESUMEN TOTAL'!K368</f>
        <v>GPON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LOS PILARES</v>
      </c>
      <c r="B287" t="str">
        <f>'RESUMEN TOTAL'!G369</f>
        <v>LPR03 (fija 2)</v>
      </c>
      <c r="C287" t="str">
        <f>'RESUMEN TOTAL'!I369</f>
        <v>EVA PERON Y CACHEUTA</v>
      </c>
      <c r="D287" s="30" t="str">
        <f>'RESUMEN TOTAL'!J369</f>
        <v>Fija</v>
      </c>
      <c r="E287" s="30" t="str">
        <f>'RESUMEN TOTAL'!K369</f>
        <v>GPON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 t="str">
        <f>'RESUMEN TOTAL'!X369</f>
        <v>APAGADO</v>
      </c>
      <c r="L287" s="70" t="str">
        <f>'RESUMEN TOTAL'!Y369</f>
        <v>APAGADO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LOS PILARES</v>
      </c>
      <c r="B288" t="str">
        <f>'RESUMEN TOTAL'!G370</f>
        <v>LPR02 (fija 1)</v>
      </c>
      <c r="C288" t="str">
        <f>'RESUMEN TOTAL'!I370</f>
        <v>EVA PERON Y CACHEUTA</v>
      </c>
      <c r="D288" s="30" t="str">
        <f>'RESUMEN TOTAL'!J370</f>
        <v>Fija</v>
      </c>
      <c r="E288" s="30" t="str">
        <f>'RESUMEN TOTAL'!K370</f>
        <v>GPON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 t="str">
        <f>'RESUMEN TOTAL'!X370</f>
        <v>APAGADO</v>
      </c>
      <c r="L288" s="70" t="str">
        <f>'RESUMEN TOTAL'!Y370</f>
        <v>APAGADO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LOS PILARES</v>
      </c>
      <c r="B289" t="str">
        <f>'RESUMEN TOTAL'!G371</f>
        <v>LPR 01</v>
      </c>
      <c r="C289" t="str">
        <f>'RESUMEN TOTAL'!I371</f>
        <v>EVA PERON E/ CACHEUTA Y 1406</v>
      </c>
      <c r="D289" s="30" t="str">
        <f>'RESUMEN TOTAL'!J371</f>
        <v>DOMO</v>
      </c>
      <c r="E289" s="30" t="str">
        <f>'RESUMEN TOTAL'!K371</f>
        <v>GPON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 t="str">
        <f>'RESUMEN TOTAL'!X371</f>
        <v>APAGADO</v>
      </c>
      <c r="L289" s="70" t="str">
        <f>'RESUMEN TOTAL'!Y371</f>
        <v>APAGADO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LA PILETA</v>
      </c>
      <c r="B290" t="str">
        <f>'RESUMEN TOTAL'!G372</f>
        <v>LPI08</v>
      </c>
      <c r="C290" t="str">
        <f>'RESUMEN TOTAL'!I372</f>
        <v>Agrelo y Newbery</v>
      </c>
      <c r="D290" s="30" t="str">
        <f>'RESUMEN TOTAL'!J372</f>
        <v>DOMO</v>
      </c>
      <c r="E290" s="30" t="str">
        <f>'RESUMEN TOTAL'!K372</f>
        <v>GPON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LA PILETA</v>
      </c>
      <c r="B291" t="str">
        <f>'RESUMEN TOTAL'!G373</f>
        <v>LPI07</v>
      </c>
      <c r="C291" t="str">
        <f>'RESUMEN TOTAL'!I373</f>
        <v xml:space="preserve">Velez Sarfield y Estados Unidos </v>
      </c>
      <c r="D291" s="30" t="str">
        <f>'RESUMEN TOTAL'!J373</f>
        <v>DOMO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 t="str">
        <f>'RESUMEN TOTAL'!AH373</f>
        <v>APAGADO</v>
      </c>
      <c r="V291" s="70" t="str">
        <f>'RESUMEN TOTAL'!AI373</f>
        <v>APAGADO</v>
      </c>
      <c r="W291" s="70">
        <f>'RESUMEN TOTAL'!AJ373</f>
        <v>0</v>
      </c>
      <c r="X291" s="70">
        <f>'RESUMEN TOTAL'!AK373</f>
        <v>0</v>
      </c>
      <c r="Y291" s="70" t="str">
        <f>'RESUMEN TOTAL'!AL373</f>
        <v>APAGADO</v>
      </c>
      <c r="Z291" s="70" t="str">
        <f>'RESUMEN TOTAL'!AM373</f>
        <v>APAGADO</v>
      </c>
      <c r="AA291" s="70" t="str">
        <f>'RESUMEN TOTAL'!AN373</f>
        <v>APAGADO</v>
      </c>
      <c r="AB291" s="70" t="str">
        <f>'RESUMEN TOTAL'!AO373</f>
        <v>APAGADO</v>
      </c>
      <c r="AC291" s="70" t="str">
        <f>'RESUMEN TOTAL'!AP373</f>
        <v>APAGADO</v>
      </c>
      <c r="AD291" s="70">
        <f>'RESUMEN TOTAL'!AQ373</f>
        <v>0</v>
      </c>
      <c r="AE291" s="70">
        <f>'RESUMEN TOTAL'!AR373</f>
        <v>0</v>
      </c>
      <c r="AF291" s="70" t="str">
        <f>'RESUMEN TOTAL'!AS373</f>
        <v>APAGADO</v>
      </c>
      <c r="AG291" s="70" t="str">
        <f>'RESUMEN TOTAL'!AT373</f>
        <v>APAGADO</v>
      </c>
      <c r="AH291" s="70" t="str">
        <f>'RESUMEN TOTAL'!AU373</f>
        <v>APAGADO</v>
      </c>
      <c r="AI291" s="70" t="str">
        <f>'RESUMEN TOTAL'!AV373</f>
        <v>APAGADO</v>
      </c>
      <c r="AJ291" s="70" t="e">
        <f>'RESUMEN TOTAL'!#REF!</f>
        <v>#REF!</v>
      </c>
    </row>
    <row r="292" spans="1:36" x14ac:dyDescent="0.25">
      <c r="A292" t="str">
        <f>'RESUMEN TOTAL'!F378</f>
        <v>CHACABUCO</v>
      </c>
      <c r="B292" t="str">
        <f>'RESUMEN TOTAL'!G378</f>
        <v>LPI02</v>
      </c>
      <c r="C292" t="str">
        <f>'RESUMEN TOTAL'!I378</f>
        <v>EE.UU y Ayacucho</v>
      </c>
      <c r="D292" s="30" t="str">
        <f>'RESUMEN TOTAL'!J378</f>
        <v>Domo</v>
      </c>
      <c r="E292" s="30" t="str">
        <f>'RESUMEN TOTAL'!K378</f>
        <v>GPON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>
        <f>'RESUMEN TOTAL'!V378</f>
        <v>0</v>
      </c>
      <c r="J292" s="70">
        <f>'RESUMEN TOTAL'!W378</f>
        <v>0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z</v>
      </c>
      <c r="B293" t="str">
        <f>'RESUMEN TOTAL'!G379</f>
        <v>LPI 01</v>
      </c>
      <c r="C293" t="str">
        <f>'RESUMEN TOTAL'!I379</f>
        <v>Maipu y Posadas</v>
      </c>
      <c r="D293" s="30" t="str">
        <f>'RESUMEN TOTAL'!J379</f>
        <v>Domo</v>
      </c>
      <c r="E293" s="30" t="str">
        <f>'RESUMEN TOTAL'!K379</f>
        <v>PTO A FO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LIBERTAD</v>
      </c>
      <c r="B294" t="str">
        <f>'RESUMEN TOTAL'!G380</f>
        <v>LIBER 02</v>
      </c>
      <c r="C294" t="str">
        <f>'RESUMEN TOTAL'!I380</f>
        <v>511 Y 574 FIJA 02</v>
      </c>
      <c r="D294" s="30" t="str">
        <f>'RESUMEN TOTAL'!J380</f>
        <v>Fija</v>
      </c>
      <c r="E294" s="30" t="str">
        <f>'RESUMEN TOTAL'!K380</f>
        <v>Radio</v>
      </c>
      <c r="F294" s="70" t="str">
        <f>'RESUMEN TOTAL'!S380</f>
        <v>APAGADO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LOMAS DE MONTEVERDE</v>
      </c>
      <c r="B295" t="str">
        <f>'RESUMEN TOTAL'!G382</f>
        <v>LDM 05</v>
      </c>
      <c r="C295" t="str">
        <f>'RESUMEN TOTAL'!I382</f>
        <v>Las Heras y Riobamba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LOMAS DE MONTEVERDE</v>
      </c>
      <c r="B296" t="str">
        <f>'RESUMEN TOTAL'!G383</f>
        <v>LDM 04</v>
      </c>
      <c r="C296" t="str">
        <f>'RESUMEN TOTAL'!I383</f>
        <v>PLAZA LOMAS DE MONTEVERDE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 t="str">
        <f>'RESUMEN TOTAL'!AS383</f>
        <v>APAGADO</v>
      </c>
      <c r="AG296" s="70" t="str">
        <f>'RESUMEN TOTAL'!AT383</f>
        <v>APAGADO</v>
      </c>
      <c r="AH296" s="70" t="str">
        <f>'RESUMEN TOTAL'!AU383</f>
        <v>APAGADO</v>
      </c>
      <c r="AI296" s="70" t="str">
        <f>'RESUMEN TOTAL'!AV383</f>
        <v>APAGADO</v>
      </c>
      <c r="AJ296" s="70" t="e">
        <f>'RESUMEN TOTAL'!#REF!</f>
        <v>#REF!</v>
      </c>
    </row>
    <row r="297" spans="1:36" x14ac:dyDescent="0.25">
      <c r="A297" t="str">
        <f>'RESUMEN TOTAL'!F384</f>
        <v>LOMAS DE MONTEVERDE</v>
      </c>
      <c r="B297" t="str">
        <f>'RESUMEN TOTAL'!G384</f>
        <v>LDM 03</v>
      </c>
      <c r="C297" t="str">
        <f>'RESUMEN TOTAL'!I384</f>
        <v>LAS HERAS Y FRANKLIN</v>
      </c>
      <c r="D297" s="30" t="str">
        <f>'RESUMEN TOTAL'!J384</f>
        <v>DOMO</v>
      </c>
      <c r="E297" s="30" t="str">
        <f>'RESUMEN TOTAL'!K384</f>
        <v>GPON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 t="str">
        <f>'RESUMEN TOTAL'!AS384</f>
        <v>APAGADO</v>
      </c>
      <c r="AG297" s="70" t="str">
        <f>'RESUMEN TOTAL'!AT384</f>
        <v>APAGADO</v>
      </c>
      <c r="AH297" s="70" t="str">
        <f>'RESUMEN TOTAL'!AU384</f>
        <v>APAGADO</v>
      </c>
      <c r="AI297" s="70" t="str">
        <f>'RESUMEN TOTAL'!AV384</f>
        <v>APAGADO</v>
      </c>
      <c r="AJ297" s="70" t="e">
        <f>'RESUMEN TOTAL'!#REF!</f>
        <v>#REF!</v>
      </c>
    </row>
    <row r="298" spans="1:36" x14ac:dyDescent="0.25">
      <c r="A298" t="str">
        <f>'RESUMEN TOTAL'!F385</f>
        <v>LOMAS DE MONTEVERDE</v>
      </c>
      <c r="B298" t="str">
        <f>'RESUMEN TOTAL'!G385</f>
        <v>LDM 02</v>
      </c>
      <c r="C298" t="str">
        <f>'RESUMEN TOTAL'!I385</f>
        <v>LAS HERAS Y EDISON</v>
      </c>
      <c r="D298" s="30" t="str">
        <f>'RESUMEN TOTAL'!J385</f>
        <v>DOMO</v>
      </c>
      <c r="E298" s="30" t="str">
        <f>'RESUMEN TOTAL'!K385</f>
        <v>GPON</v>
      </c>
      <c r="F298" s="70" t="str">
        <f>'RESUMEN TOTAL'!S385</f>
        <v>APAGADO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 t="str">
        <f>'RESUMEN TOTAL'!X385</f>
        <v>APAGADO</v>
      </c>
      <c r="L298" s="70" t="str">
        <f>'RESUMEN TOTAL'!Y385</f>
        <v>APAGADO</v>
      </c>
      <c r="M298" s="70" t="str">
        <f>'RESUMEN TOTAL'!Z385</f>
        <v>APAGADO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 t="str">
        <f>'RESUMEN TOTAL'!AE385</f>
        <v>APAGADO</v>
      </c>
      <c r="S298" s="70" t="str">
        <f>'RESUMEN TOTAL'!AF385</f>
        <v>APAGADO</v>
      </c>
      <c r="T298" s="70" t="str">
        <f>'RESUMEN TOTAL'!AG385</f>
        <v>APAGADO</v>
      </c>
      <c r="U298" s="70" t="str">
        <f>'RESUMEN TOTAL'!AH385</f>
        <v>APAGADO</v>
      </c>
      <c r="V298" s="70" t="str">
        <f>'RESUMEN TOTAL'!AI385</f>
        <v>APAGADO</v>
      </c>
      <c r="W298" s="70">
        <f>'RESUMEN TOTAL'!AJ385</f>
        <v>0</v>
      </c>
      <c r="X298" s="70">
        <f>'RESUMEN TOTAL'!AK385</f>
        <v>0</v>
      </c>
      <c r="Y298" s="70" t="str">
        <f>'RESUMEN TOTAL'!AL385</f>
        <v>APAGADO</v>
      </c>
      <c r="Z298" s="70" t="str">
        <f>'RESUMEN TOTAL'!AM385</f>
        <v>APAGADO</v>
      </c>
      <c r="AA298" s="70" t="str">
        <f>'RESUMEN TOTAL'!AN385</f>
        <v>APAGADO</v>
      </c>
      <c r="AB298" s="70" t="str">
        <f>'RESUMEN TOTAL'!AO385</f>
        <v>APAGADO</v>
      </c>
      <c r="AC298" s="70" t="str">
        <f>'RESUMEN TOTAL'!AP385</f>
        <v>APAGADO</v>
      </c>
      <c r="AD298" s="70">
        <f>'RESUMEN TOTAL'!AQ385</f>
        <v>0</v>
      </c>
      <c r="AE298" s="70">
        <f>'RESUMEN TOTAL'!AR385</f>
        <v>0</v>
      </c>
      <c r="AF298" s="70" t="str">
        <f>'RESUMEN TOTAL'!AS385</f>
        <v>APAGADO</v>
      </c>
      <c r="AG298" s="70" t="str">
        <f>'RESUMEN TOTAL'!AT385</f>
        <v>APAGADO</v>
      </c>
      <c r="AH298" s="70" t="str">
        <f>'RESUMEN TOTAL'!AU385</f>
        <v>APAGADO</v>
      </c>
      <c r="AI298" s="70" t="str">
        <f>'RESUMEN TOTAL'!AV385</f>
        <v>APAGADO</v>
      </c>
      <c r="AJ298" s="70" t="e">
        <f>'RESUMEN TOTAL'!#REF!</f>
        <v>#REF!</v>
      </c>
    </row>
    <row r="299" spans="1:36" x14ac:dyDescent="0.25">
      <c r="A299" t="str">
        <f>'RESUMEN TOTAL'!F386</f>
        <v>LOMAS DE MONTEVERDE</v>
      </c>
      <c r="B299" t="str">
        <f>'RESUMEN TOTAL'!G386</f>
        <v>LDM 01</v>
      </c>
      <c r="C299" t="str">
        <f>'RESUMEN TOTAL'!I386</f>
        <v>ILLIA Y BOUREL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 t="str">
        <f>'RESUMEN TOTAL'!Z386</f>
        <v>APAGADO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KM 26700 (JULIO A. COSTA)</v>
      </c>
      <c r="B300" t="str">
        <f>'RESUMEN TOTAL'!G387</f>
        <v>KM20</v>
      </c>
      <c r="C300" t="str">
        <f>'RESUMEN TOTAL'!I387</f>
        <v xml:space="preserve">Novak y Pagani </v>
      </c>
      <c r="D300" s="30" t="str">
        <f>'RESUMEN TOTAL'!J387</f>
        <v>Fija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>
        <f>'RESUMEN TOTAL'!V387</f>
        <v>0</v>
      </c>
      <c r="J300" s="70">
        <f>'RESUMEN TOTAL'!W387</f>
        <v>0</v>
      </c>
      <c r="K300" s="70">
        <f>'RESUMEN TOTAL'!X387</f>
        <v>0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KM 26700 (JULIO A. COSTA)</v>
      </c>
      <c r="B301" t="str">
        <f>'RESUMEN TOTAL'!G388</f>
        <v>KM19</v>
      </c>
      <c r="C301" t="str">
        <f>'RESUMEN TOTAL'!I388</f>
        <v>El Aljibe y El Zonda</v>
      </c>
      <c r="D301" s="30" t="str">
        <f>'RESUMEN TOTAL'!J388</f>
        <v>Fija</v>
      </c>
      <c r="E301" s="30" t="str">
        <f>'RESUMEN TOTAL'!K388</f>
        <v>GPON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>
        <f>'RESUMEN TOTAL'!X388</f>
        <v>0</v>
      </c>
      <c r="L301" s="70">
        <f>'RESUMEN TOTAL'!Y388</f>
        <v>0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KM 26700 (JULIO A. COSTA)</v>
      </c>
      <c r="B302" t="str">
        <f>'RESUMEN TOTAL'!G389</f>
        <v>KM11</v>
      </c>
      <c r="C302" t="str">
        <f>'RESUMEN TOTAL'!I389</f>
        <v>NOVAK Y EL OVERO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 t="str">
        <f>'RESUMEN TOTAL'!AE389</f>
        <v>APAGADO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KM 26700 (JULIO A. COSTA)</v>
      </c>
      <c r="B303" t="str">
        <f>'RESUMEN TOTAL'!G390</f>
        <v>KM09 / UPA 1</v>
      </c>
      <c r="C303" t="str">
        <f>'RESUMEN TOTAL'!I390</f>
        <v>NOVAK Y LA POSTA</v>
      </c>
      <c r="D303" s="30" t="str">
        <f>'RESUMEN TOTAL'!J390</f>
        <v>DOMO</v>
      </c>
      <c r="E303" s="30" t="str">
        <f>'RESUMEN TOTAL'!K390</f>
        <v>PTO A FO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 t="str">
        <f>'RESUMEN TOTAL'!AE390</f>
        <v>APAGADO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KM 26700 (JULIO A. COSTA)</v>
      </c>
      <c r="B304" t="str">
        <f>'RESUMEN TOTAL'!G391</f>
        <v>KM08 / UPA 03</v>
      </c>
      <c r="C304" t="str">
        <f>'RESUMEN TOTAL'!I391</f>
        <v>LOS CHARRUAS Y BLANDENGUES</v>
      </c>
      <c r="D304" s="30" t="str">
        <f>'RESUMEN TOTAL'!J391</f>
        <v>DOMO</v>
      </c>
      <c r="E304" s="30" t="str">
        <f>'RESUMEN TOTAL'!K391</f>
        <v>GPON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 t="str">
        <f>'RESUMEN TOTAL'!X391</f>
        <v>APAGADO</v>
      </c>
      <c r="L304" s="70" t="str">
        <f>'RESUMEN TOTAL'!Y391</f>
        <v>APAGADO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 t="str">
        <f>'RESUMEN TOTAL'!AE391</f>
        <v>APAGADO</v>
      </c>
      <c r="S304" s="70">
        <f>'RESUMEN TOTAL'!AF391</f>
        <v>0</v>
      </c>
      <c r="T304" s="70" t="str">
        <f>'RESUMEN TOTAL'!AG391</f>
        <v>APAGADO</v>
      </c>
      <c r="U304" s="70" t="str">
        <f>'RESUMEN TOTAL'!AH391</f>
        <v>APAGADO</v>
      </c>
      <c r="V304" s="70" t="str">
        <f>'RESUMEN TOTAL'!AI391</f>
        <v>APAGADO</v>
      </c>
      <c r="W304" s="70">
        <f>'RESUMEN TOTAL'!AJ391</f>
        <v>0</v>
      </c>
      <c r="X304" s="70">
        <f>'RESUMEN TOTAL'!AK391</f>
        <v>0</v>
      </c>
      <c r="Y304" s="70" t="str">
        <f>'RESUMEN TOTAL'!AL391</f>
        <v>APAGADO</v>
      </c>
      <c r="Z304" s="70" t="str">
        <f>'RESUMEN TOTAL'!AM391</f>
        <v>APAGADO</v>
      </c>
      <c r="AA304" s="70" t="str">
        <f>'RESUMEN TOTAL'!AN391</f>
        <v>APAGADO</v>
      </c>
      <c r="AB304" s="70" t="str">
        <f>'RESUMEN TOTAL'!AO391</f>
        <v>APAGADO</v>
      </c>
      <c r="AC304" s="70" t="str">
        <f>'RESUMEN TOTAL'!AP391</f>
        <v>APAGADO</v>
      </c>
      <c r="AD304" s="70">
        <f>'RESUMEN TOTAL'!AQ391</f>
        <v>0</v>
      </c>
      <c r="AE304" s="70">
        <f>'RESUMEN TOTAL'!AR391</f>
        <v>0</v>
      </c>
      <c r="AF304" s="70" t="str">
        <f>'RESUMEN TOTAL'!AS391</f>
        <v>APAGADO</v>
      </c>
      <c r="AG304" s="70" t="str">
        <f>'RESUMEN TOTAL'!AT391</f>
        <v>APAGADO</v>
      </c>
      <c r="AH304" s="70" t="str">
        <f>'RESUMEN TOTAL'!AU391</f>
        <v>APAGADO</v>
      </c>
      <c r="AI304" s="70" t="str">
        <f>'RESUMEN TOTAL'!AV391</f>
        <v>APAGADO</v>
      </c>
      <c r="AJ304" s="70" t="e">
        <f>'RESUMEN TOTAL'!#REF!</f>
        <v>#REF!</v>
      </c>
    </row>
    <row r="305" spans="1:36" x14ac:dyDescent="0.25">
      <c r="A305" t="str">
        <f>'RESUMEN TOTAL'!F392</f>
        <v>KM 26700 (JULIO A. COSTA)</v>
      </c>
      <c r="B305" t="str">
        <f>'RESUMEN TOTAL'!G392</f>
        <v>KM06</v>
      </c>
      <c r="C305" t="str">
        <f>'RESUMEN TOTAL'!I392</f>
        <v>El Ombu y La Cautiva</v>
      </c>
      <c r="D305" s="30" t="str">
        <f>'RESUMEN TOTAL'!J392</f>
        <v>DOMO</v>
      </c>
      <c r="E305" s="30" t="str">
        <f>'RESUMEN TOTAL'!K392</f>
        <v>GPON</v>
      </c>
      <c r="F305" s="70" t="str">
        <f>'RESUMEN TOTAL'!S392</f>
        <v>APAGADO</v>
      </c>
      <c r="G305" s="70">
        <f>'RESUMEN TOTAL'!T392</f>
        <v>0</v>
      </c>
      <c r="H305" s="70">
        <f>'RESUMEN TOTAL'!U392</f>
        <v>0</v>
      </c>
      <c r="I305" s="70">
        <f>'RESUMEN TOTAL'!V392</f>
        <v>0</v>
      </c>
      <c r="J305" s="70">
        <f>'RESUMEN TOTAL'!W392</f>
        <v>0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 t="str">
        <f>'RESUMEN TOTAL'!AH392</f>
        <v>APAGADO</v>
      </c>
      <c r="V305" s="70" t="str">
        <f>'RESUMEN TOTAL'!AI392</f>
        <v>APAGADO</v>
      </c>
      <c r="W305" s="70">
        <f>'RESUMEN TOTAL'!AJ392</f>
        <v>0</v>
      </c>
      <c r="X305" s="70">
        <f>'RESUMEN TOTAL'!AK392</f>
        <v>0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KM 26700 (JULIO A. COSTA)</v>
      </c>
      <c r="B306" t="str">
        <f>'RESUMEN TOTAL'!G393</f>
        <v>KM05</v>
      </c>
      <c r="C306" t="str">
        <f>'RESUMEN TOTAL'!I393</f>
        <v>El Ombu y Los Charruas</v>
      </c>
      <c r="D306" s="30" t="str">
        <f>'RESUMEN TOTAL'!J393</f>
        <v>Domo</v>
      </c>
      <c r="E306" s="30" t="str">
        <f>'RESUMEN TOTAL'!K393</f>
        <v>PTO A FO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>
        <f>'RESUMEN TOTAL'!V393</f>
        <v>0</v>
      </c>
      <c r="J306" s="70">
        <f>'RESUMEN TOTAL'!W393</f>
        <v>0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 t="str">
        <f>'RESUMEN TOTAL'!AG393</f>
        <v>APAGADO</v>
      </c>
      <c r="U306" s="70" t="str">
        <f>'RESUMEN TOTAL'!AH393</f>
        <v>APAGADO</v>
      </c>
      <c r="V306" s="70" t="str">
        <f>'RESUMEN TOTAL'!AI393</f>
        <v>APAGADO</v>
      </c>
      <c r="W306" s="70">
        <f>'RESUMEN TOTAL'!AJ393</f>
        <v>0</v>
      </c>
      <c r="X306" s="70">
        <f>'RESUMEN TOTAL'!AK393</f>
        <v>0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 t="str">
        <f>'RESUMEN TOTAL'!AO393</f>
        <v>APAGADO</v>
      </c>
      <c r="AC306" s="70" t="str">
        <f>'RESUMEN TOTAL'!AP393</f>
        <v>APAGADO</v>
      </c>
      <c r="AD306" s="70">
        <f>'RESUMEN TOTAL'!AQ393</f>
        <v>0</v>
      </c>
      <c r="AE306" s="70">
        <f>'RESUMEN TOTAL'!AR393</f>
        <v>0</v>
      </c>
      <c r="AF306" s="70" t="str">
        <f>'RESUMEN TOTAL'!AS393</f>
        <v>APAGADO</v>
      </c>
      <c r="AG306" s="70" t="str">
        <f>'RESUMEN TOTAL'!AT393</f>
        <v>APAGADO</v>
      </c>
      <c r="AH306" s="70" t="str">
        <f>'RESUMEN TOTAL'!AU393</f>
        <v>APAGADO</v>
      </c>
      <c r="AI306" s="70" t="str">
        <f>'RESUMEN TOTAL'!AV393</f>
        <v>APAGADO</v>
      </c>
      <c r="AJ306" s="70" t="e">
        <f>'RESUMEN TOTAL'!#REF!</f>
        <v>#REF!</v>
      </c>
    </row>
    <row r="307" spans="1:36" x14ac:dyDescent="0.25">
      <c r="A307" t="str">
        <f>'RESUMEN TOTAL'!F394</f>
        <v>KM 26700 (JULIO A. COSTA)</v>
      </c>
      <c r="B307" t="str">
        <f>'RESUMEN TOTAL'!G394</f>
        <v>KM04</v>
      </c>
      <c r="C307" t="str">
        <f>'RESUMEN TOTAL'!I394</f>
        <v>El Ombu y El Zonda</v>
      </c>
      <c r="D307" s="30" t="str">
        <f>'RESUMEN TOTAL'!J394</f>
        <v>Domo</v>
      </c>
      <c r="E307" s="30" t="str">
        <f>'RESUMEN TOTAL'!K394</f>
        <v>PTO A FO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>
        <f>'RESUMEN TOTAL'!V394</f>
        <v>0</v>
      </c>
      <c r="J307" s="70">
        <f>'RESUMEN TOTAL'!W394</f>
        <v>0</v>
      </c>
      <c r="K307" s="70" t="str">
        <f>'RESUMEN TOTAL'!X394</f>
        <v>APAGADO</v>
      </c>
      <c r="L307" s="70" t="str">
        <f>'RESUMEN TOTAL'!Y394</f>
        <v>APAGADO</v>
      </c>
      <c r="M307" s="70" t="str">
        <f>'RESUMEN TOTAL'!Z394</f>
        <v>APAGADO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 t="str">
        <f>'RESUMEN TOTAL'!AO394</f>
        <v>APAGADO</v>
      </c>
      <c r="AC307" s="70" t="str">
        <f>'RESUMEN TOTAL'!AP394</f>
        <v>APAGADO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KM 26700 (JULIO A. COSTA)</v>
      </c>
      <c r="B308" t="str">
        <f>'RESUMEN TOTAL'!G395</f>
        <v>KM03</v>
      </c>
      <c r="C308" t="str">
        <f>'RESUMEN TOTAL'!I395</f>
        <v>Novak y La Pulperia</v>
      </c>
      <c r="D308" s="30" t="str">
        <f>'RESUMEN TOTAL'!J395</f>
        <v>Domo</v>
      </c>
      <c r="E308" s="30" t="str">
        <f>'RESUMEN TOTAL'!K395</f>
        <v>PTO A FO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 t="str">
        <f>'RESUMEN TOTAL'!AE395</f>
        <v>APAGADO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CHACABUCO</v>
      </c>
      <c r="B309" t="str">
        <f>'RESUMEN TOTAL'!G396</f>
        <v>KM02</v>
      </c>
      <c r="C309" t="str">
        <f>'RESUMEN TOTAL'!I396</f>
        <v>Novak e/El Overo y el Mangrullo</v>
      </c>
      <c r="D309" s="30" t="str">
        <f>'RESUMEN TOTAL'!J396</f>
        <v>Domo</v>
      </c>
      <c r="E309" s="30" t="str">
        <f>'RESUMEN TOTAL'!K396</f>
        <v>GPON</v>
      </c>
      <c r="F309" s="70" t="str">
        <f>'RESUMEN TOTAL'!S396</f>
        <v>APAGADO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 t="str">
        <f>'RESUMEN TOTAL'!X396</f>
        <v>APAGADO</v>
      </c>
      <c r="L309" s="70" t="str">
        <f>'RESUMEN TOTAL'!Y396</f>
        <v>APAGADO</v>
      </c>
      <c r="M309" s="70" t="str">
        <f>'RESUMEN TOTAL'!Z396</f>
        <v>APAGADO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 t="str">
        <f>'RESUMEN TOTAL'!AE396</f>
        <v>APAGADO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 t="str">
        <f>'RESUMEN TOTAL'!AS396</f>
        <v>APAGADO</v>
      </c>
      <c r="AG309" s="70" t="str">
        <f>'RESUMEN TOTAL'!AT396</f>
        <v>APAGADO</v>
      </c>
      <c r="AH309" s="70" t="str">
        <f>'RESUMEN TOTAL'!AU396</f>
        <v>APAGADO</v>
      </c>
      <c r="AI309" s="70" t="str">
        <f>'RESUMEN TOTAL'!AV396</f>
        <v>APAGADO</v>
      </c>
      <c r="AJ309" s="70" t="e">
        <f>'RESUMEN TOTAL'!#REF!</f>
        <v>#REF!</v>
      </c>
    </row>
    <row r="310" spans="1:36" x14ac:dyDescent="0.25">
      <c r="A310" t="str">
        <f>'RESUMEN TOTAL'!F397</f>
        <v>VILLA ARGENTINA</v>
      </c>
      <c r="B310" t="str">
        <f>'RESUMEN TOTAL'!G397</f>
        <v>KM01</v>
      </c>
      <c r="C310" t="str">
        <f>'RESUMEN TOTAL'!I397</f>
        <v>Vias FFCC y La Pulperia</v>
      </c>
      <c r="D310" s="30" t="str">
        <f>'RESUMEN TOTAL'!J397</f>
        <v>DOMO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>
        <f>'RESUMEN TOTAL'!F398</f>
        <v>0</v>
      </c>
      <c r="B311" t="str">
        <f>'RESUMEN TOTAL'!G398</f>
        <v>KM 21</v>
      </c>
      <c r="C311" t="str">
        <f>'RESUMEN TOTAL'!I398</f>
        <v>EL PONCHO Y ARROYO LAS PIEDRAS</v>
      </c>
      <c r="D311" s="30">
        <f>'RESUMEN TOTAL'!J398</f>
        <v>0</v>
      </c>
      <c r="E311" s="30" t="str">
        <f>'RESUMEN TOTAL'!K398</f>
        <v>GPON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KM 26700 (JULIO A. COSTA)</v>
      </c>
      <c r="B312" t="str">
        <f>'RESUMEN TOTAL'!G399</f>
        <v>KM 18</v>
      </c>
      <c r="C312" t="str">
        <f>'RESUMEN TOTAL'!I399</f>
        <v>PULPERIA Y EL ALJIBE</v>
      </c>
      <c r="D312" s="30" t="str">
        <f>'RESUMEN TOTAL'!J399</f>
        <v>Domo</v>
      </c>
      <c r="E312" s="30" t="str">
        <f>'RESUMEN TOTAL'!K399</f>
        <v>GPON</v>
      </c>
      <c r="F312" s="70" t="str">
        <f>'RESUMEN TOTAL'!S399</f>
        <v>APAGADO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 t="str">
        <f>'RESUMEN TOTAL'!X399</f>
        <v>APAGADO</v>
      </c>
      <c r="L312" s="70" t="str">
        <f>'RESUMEN TOTAL'!Y399</f>
        <v>APAGADO</v>
      </c>
      <c r="M312" s="70" t="str">
        <f>'RESUMEN TOTAL'!Z399</f>
        <v>APAGADO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 t="str">
        <f>'RESUMEN TOTAL'!AE399</f>
        <v>APAGADO</v>
      </c>
      <c r="S312" s="70" t="str">
        <f>'RESUMEN TOTAL'!AF399</f>
        <v>APAGADO</v>
      </c>
      <c r="T312" s="70" t="str">
        <f>'RESUMEN TOTAL'!AG399</f>
        <v>APAGADO</v>
      </c>
      <c r="U312" s="70" t="str">
        <f>'RESUMEN TOTAL'!AH399</f>
        <v>APAGADO</v>
      </c>
      <c r="V312" s="70" t="str">
        <f>'RESUMEN TOTAL'!AI399</f>
        <v>APAGADO</v>
      </c>
      <c r="W312" s="70">
        <f>'RESUMEN TOTAL'!AJ399</f>
        <v>0</v>
      </c>
      <c r="X312" s="70">
        <f>'RESUMEN TOTAL'!AK399</f>
        <v>0</v>
      </c>
      <c r="Y312" s="70" t="str">
        <f>'RESUMEN TOTAL'!AL399</f>
        <v>APAGADO</v>
      </c>
      <c r="Z312" s="70">
        <f>'RESUMEN TOTAL'!AM399</f>
        <v>0</v>
      </c>
      <c r="AA312" s="70" t="str">
        <f>'RESUMEN TOTAL'!AN399</f>
        <v>APAGADO</v>
      </c>
      <c r="AB312" s="70" t="str">
        <f>'RESUMEN TOTAL'!AO399</f>
        <v>APAGADO</v>
      </c>
      <c r="AC312" s="70" t="str">
        <f>'RESUMEN TOTAL'!AP399</f>
        <v>APAGADO</v>
      </c>
      <c r="AD312" s="70">
        <f>'RESUMEN TOTAL'!AQ399</f>
        <v>0</v>
      </c>
      <c r="AE312" s="70">
        <f>'RESUMEN TOTAL'!AR399</f>
        <v>0</v>
      </c>
      <c r="AF312" s="70" t="str">
        <f>'RESUMEN TOTAL'!AS399</f>
        <v>APAGADO</v>
      </c>
      <c r="AG312" s="70" t="str">
        <f>'RESUMEN TOTAL'!AT399</f>
        <v>APAGADO</v>
      </c>
      <c r="AH312" s="70" t="str">
        <f>'RESUMEN TOTAL'!AU399</f>
        <v>APAGADO</v>
      </c>
      <c r="AI312" s="70" t="str">
        <f>'RESUMEN TOTAL'!AV399</f>
        <v>APAGADO</v>
      </c>
      <c r="AJ312" s="70" t="e">
        <f>'RESUMEN TOTAL'!#REF!</f>
        <v>#REF!</v>
      </c>
    </row>
    <row r="313" spans="1:36" x14ac:dyDescent="0.25">
      <c r="A313" t="str">
        <f>'RESUMEN TOTAL'!F400</f>
        <v>KM 26700 (JULIO A. COSTA)</v>
      </c>
      <c r="B313" t="str">
        <f>'RESUMEN TOTAL'!G400</f>
        <v>KM 17 (fija 2)</v>
      </c>
      <c r="C313" t="str">
        <f>'RESUMEN TOTAL'!I400</f>
        <v>EL GAUCHO Y MARTIN FIERRO</v>
      </c>
      <c r="D313" s="30" t="str">
        <f>'RESUMEN TOTAL'!J400</f>
        <v>Fija</v>
      </c>
      <c r="E313" s="30" t="str">
        <f>'RESUMEN TOTAL'!K400</f>
        <v>PTO A FO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>
        <f>'RESUMEN TOTAL'!V400</f>
        <v>0</v>
      </c>
      <c r="J313" s="70">
        <f>'RESUMEN TOTAL'!W400</f>
        <v>0</v>
      </c>
      <c r="K313" s="70">
        <f>'RESUMEN TOTAL'!X400</f>
        <v>0</v>
      </c>
      <c r="L313" s="70">
        <f>'RESUMEN TOTAL'!Y400</f>
        <v>0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KM 26700 (JULIO A. COSTA)</v>
      </c>
      <c r="B314" t="str">
        <f>'RESUMEN TOTAL'!G401</f>
        <v>KM 16 (fija 1)</v>
      </c>
      <c r="C314" t="str">
        <f>'RESUMEN TOTAL'!I401</f>
        <v>EL GAUCHO Y MARTIN FIERRO</v>
      </c>
      <c r="D314" s="30" t="str">
        <f>'RESUMEN TOTAL'!J401</f>
        <v>Fija</v>
      </c>
      <c r="E314" s="30" t="str">
        <f>'RESUMEN TOTAL'!K401</f>
        <v>PTO A FO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>
        <f>'RESUMEN TOTAL'!V401</f>
        <v>0</v>
      </c>
      <c r="J314" s="70">
        <f>'RESUMEN TOTAL'!W401</f>
        <v>0</v>
      </c>
      <c r="K314" s="70">
        <f>'RESUMEN TOTAL'!X401</f>
        <v>0</v>
      </c>
      <c r="L314" s="70">
        <f>'RESUMEN TOTAL'!Y401</f>
        <v>0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KM 26700 (JULIO A. COSTA)</v>
      </c>
      <c r="B315" t="str">
        <f>'RESUMEN TOTAL'!G402</f>
        <v>KM 15 (fija 2)</v>
      </c>
      <c r="C315" t="str">
        <f>'RESUMEN TOTAL'!I402</f>
        <v>EL GAUCHO Y EL ZONDA</v>
      </c>
      <c r="D315" s="30" t="str">
        <f>'RESUMEN TOTAL'!J402</f>
        <v>Fija</v>
      </c>
      <c r="E315" s="30" t="str">
        <f>'RESUMEN TOTAL'!K402</f>
        <v>PTO A FO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>
        <f>'RESUMEN TOTAL'!V402</f>
        <v>0</v>
      </c>
      <c r="J315" s="70">
        <f>'RESUMEN TOTAL'!W402</f>
        <v>0</v>
      </c>
      <c r="K315" s="70">
        <f>'RESUMEN TOTAL'!X402</f>
        <v>0</v>
      </c>
      <c r="L315" s="70">
        <f>'RESUMEN TOTAL'!Y402</f>
        <v>0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INFICO</v>
      </c>
      <c r="B316" t="str">
        <f>'RESUMEN TOTAL'!G408</f>
        <v>INF 01</v>
      </c>
      <c r="C316" t="str">
        <f>'RESUMEN TOTAL'!I408</f>
        <v>AV. HUDSON Y CARIBONI</v>
      </c>
      <c r="D316" s="30" t="str">
        <f>'RESUMEN TOTAL'!J408</f>
        <v>Domo</v>
      </c>
      <c r="E316" s="30" t="str">
        <f>'RESUMEN TOTAL'!K408</f>
        <v>Fibra Optica</v>
      </c>
      <c r="F316" s="70" t="str">
        <f>'RESUMEN TOTAL'!S408</f>
        <v>APAGADO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 t="str">
        <f>'RESUMEN TOTAL'!X408</f>
        <v>APAGADO</v>
      </c>
      <c r="L316" s="70" t="str">
        <f>'RESUMEN TOTAL'!Y408</f>
        <v>APAGADO</v>
      </c>
      <c r="M316" s="70" t="str">
        <f>'RESUMEN TOTAL'!Z408</f>
        <v>APAGADO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 t="str">
        <f>'RESUMEN TOTAL'!AE408</f>
        <v>APAGADO</v>
      </c>
      <c r="S316" s="70" t="str">
        <f>'RESUMEN TOTAL'!AF408</f>
        <v>APAGADO</v>
      </c>
      <c r="T316" s="70" t="str">
        <f>'RESUMEN TOTAL'!AG408</f>
        <v>APAGADO</v>
      </c>
      <c r="U316" s="70" t="str">
        <f>'RESUMEN TOTAL'!AH408</f>
        <v>APAGADO</v>
      </c>
      <c r="V316" s="70" t="str">
        <f>'RESUMEN TOTAL'!AI408</f>
        <v>APAGADO</v>
      </c>
      <c r="W316" s="70">
        <f>'RESUMEN TOTAL'!AJ408</f>
        <v>0</v>
      </c>
      <c r="X316" s="70">
        <f>'RESUMEN TOTAL'!AK408</f>
        <v>0</v>
      </c>
      <c r="Y316" s="70" t="str">
        <f>'RESUMEN TOTAL'!AL408</f>
        <v>APAGADO</v>
      </c>
      <c r="Z316" s="70" t="str">
        <f>'RESUMEN TOTAL'!AM408</f>
        <v>APAGADO</v>
      </c>
      <c r="AA316" s="70" t="str">
        <f>'RESUMEN TOTAL'!AN408</f>
        <v>APAGADO</v>
      </c>
      <c r="AB316" s="70" t="str">
        <f>'RESUMEN TOTAL'!AO408</f>
        <v>APAGADO</v>
      </c>
      <c r="AC316" s="70" t="str">
        <f>'RESUMEN TOTAL'!AP408</f>
        <v>APAGADO</v>
      </c>
      <c r="AD316" s="70">
        <f>'RESUMEN TOTAL'!AQ408</f>
        <v>0</v>
      </c>
      <c r="AE316" s="70">
        <f>'RESUMEN TOTAL'!AR408</f>
        <v>0</v>
      </c>
      <c r="AF316" s="70" t="str">
        <f>'RESUMEN TOTAL'!AS408</f>
        <v>APAGADO</v>
      </c>
      <c r="AG316" s="70" t="str">
        <f>'RESUMEN TOTAL'!AT408</f>
        <v>APAGADO</v>
      </c>
      <c r="AH316" s="70" t="str">
        <f>'RESUMEN TOTAL'!AU408</f>
        <v>APAGADO</v>
      </c>
      <c r="AI316" s="70" t="str">
        <f>'RESUMEN TOTAL'!AV408</f>
        <v>APAGADO</v>
      </c>
      <c r="AJ316" s="70" t="e">
        <f>'RESUMEN TOTAL'!#REF!</f>
        <v>#REF!</v>
      </c>
    </row>
    <row r="317" spans="1:36" x14ac:dyDescent="0.25">
      <c r="A317" t="str">
        <f>'RESUMEN TOTAL'!F409</f>
        <v>INGENIERO ALLAN</v>
      </c>
      <c r="B317" t="str">
        <f>'RESUMEN TOTAL'!G409</f>
        <v>INA 02</v>
      </c>
      <c r="C317" t="str">
        <f>'RESUMEN TOTAL'!I409</f>
        <v>1144 Y 1155</v>
      </c>
      <c r="D317" s="30" t="str">
        <f>'RESUMEN TOTAL'!J409</f>
        <v>DOMO</v>
      </c>
      <c r="E317" s="30" t="str">
        <f>'RESUMEN TOTAL'!K409</f>
        <v>Fibra Optica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INGENIERO ALLAN</v>
      </c>
      <c r="B318" t="str">
        <f>'RESUMEN TOTAL'!G410</f>
        <v>INA 01</v>
      </c>
      <c r="C318" t="str">
        <f>'RESUMEN TOTAL'!I410</f>
        <v>1138 Y 1155</v>
      </c>
      <c r="D318" s="30" t="str">
        <f>'RESUMEN TOTAL'!J410</f>
        <v>DOMO</v>
      </c>
      <c r="E318" s="30" t="str">
        <f>'RESUMEN TOTAL'!K410</f>
        <v>Fibra Optica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>
        <f>'RESUMEN TOTAL'!F411</f>
        <v>0</v>
      </c>
      <c r="B319" t="str">
        <f>'RESUMEN TOTAL'!G411</f>
        <v>FIAT01</v>
      </c>
      <c r="C319" t="str">
        <f>'RESUMEN TOTAL'!I411</f>
        <v>Eva Peron y 1404</v>
      </c>
      <c r="D319" s="30" t="str">
        <f>'RESUMEN TOTAL'!J411</f>
        <v>fija</v>
      </c>
      <c r="E319" s="30" t="str">
        <f>'RESUMEN TOTAL'!K411</f>
        <v>Gpon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LA ESMERALDA</v>
      </c>
      <c r="B320" t="str">
        <f>'RESUMEN TOTAL'!G412</f>
        <v>ESM22</v>
      </c>
      <c r="C320" t="str">
        <f>'RESUMEN TOTAL'!I412</f>
        <v>Serrano y Davinson</v>
      </c>
      <c r="D320" s="30" t="str">
        <f>'RESUMEN TOTAL'!J412</f>
        <v>Domo</v>
      </c>
      <c r="E320" s="30" t="str">
        <f>'RESUMEN TOTAL'!K412</f>
        <v>GPON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LA ESMERALDA</v>
      </c>
      <c r="B321" t="str">
        <f>'RESUMEN TOTAL'!G413</f>
        <v>ESM21</v>
      </c>
      <c r="C321" t="str">
        <f>'RESUMEN TOTAL'!I413</f>
        <v>Cabello Y Villar</v>
      </c>
      <c r="D321" s="30" t="str">
        <f>'RESUMEN TOTAL'!J413</f>
        <v>Domo</v>
      </c>
      <c r="E321" s="30" t="str">
        <f>'RESUMEN TOTAL'!K413</f>
        <v>GPON</v>
      </c>
      <c r="F321" s="70">
        <f>'RESUMEN TOTAL'!S413</f>
        <v>0</v>
      </c>
      <c r="G321" s="70">
        <f>'RESUMEN TOTAL'!T413</f>
        <v>0</v>
      </c>
      <c r="H321" s="70">
        <f>'RESUMEN TOTAL'!V413</f>
        <v>0</v>
      </c>
      <c r="I321" s="70">
        <v>0</v>
      </c>
      <c r="J321" s="70">
        <f>'RESUMEN TOTAL'!W413</f>
        <v>0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LA ESMERALDA</v>
      </c>
      <c r="B322" t="str">
        <f>'RESUMEN TOTAL'!G414</f>
        <v>ESM12 (fija 2)</v>
      </c>
      <c r="C322" t="str">
        <f>'RESUMEN TOTAL'!I414</f>
        <v>NOVAK Y LAMBARDI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>
        <f>'RESUMEN TOTAL'!V414</f>
        <v>0</v>
      </c>
      <c r="I322" s="70">
        <v>0</v>
      </c>
      <c r="J322" s="70">
        <f>'RESUMEN TOTAL'!W414</f>
        <v>0</v>
      </c>
      <c r="K322" s="70">
        <f>'RESUMEN TOTAL'!X414</f>
        <v>0</v>
      </c>
      <c r="L322" s="70">
        <f>'RESUMEN TOTAL'!Y414</f>
        <v>0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LA ESMERALDA</v>
      </c>
      <c r="B323" t="str">
        <f>'RESUMEN TOTAL'!G415</f>
        <v>ESM11 (fija 1)</v>
      </c>
      <c r="C323" t="str">
        <f>'RESUMEN TOTAL'!I415</f>
        <v>NOVAK Y LAMBARDI</v>
      </c>
      <c r="D323" s="30" t="str">
        <f>'RESUMEN TOTAL'!J415</f>
        <v>Fija</v>
      </c>
      <c r="E323" s="30" t="str">
        <f>'RESUMEN TOTAL'!K415</f>
        <v>Fibra Optica</v>
      </c>
      <c r="F323" s="70">
        <f>'RESUMEN TOTAL'!S415</f>
        <v>0</v>
      </c>
      <c r="G323" s="70">
        <f>'RESUMEN TOTAL'!T415</f>
        <v>0</v>
      </c>
      <c r="H323" s="70">
        <f>'RESUMEN TOTAL'!V415</f>
        <v>0</v>
      </c>
      <c r="I323" s="70">
        <v>0</v>
      </c>
      <c r="J323" s="70">
        <f>'RESUMEN TOTAL'!W415</f>
        <v>0</v>
      </c>
      <c r="K323" s="70">
        <f>'RESUMEN TOTAL'!X415</f>
        <v>0</v>
      </c>
      <c r="L323" s="70">
        <f>'RESUMEN TOTAL'!Y415</f>
        <v>0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LA ESMERALDA</v>
      </c>
      <c r="B324" t="str">
        <f>'RESUMEN TOTAL'!G416</f>
        <v>ESM10 (fija 2)</v>
      </c>
      <c r="C324" t="str">
        <f>'RESUMEN TOTAL'!I416</f>
        <v>EEUU Y CABELLO</v>
      </c>
      <c r="D324" s="30" t="str">
        <f>'RESUMEN TOTAL'!J416</f>
        <v>Fija</v>
      </c>
      <c r="E324" s="30" t="str">
        <f>'RESUMEN TOTAL'!K416</f>
        <v>Fibra Optica</v>
      </c>
      <c r="F324" s="70">
        <f>'RESUMEN TOTAL'!S416</f>
        <v>0</v>
      </c>
      <c r="G324" s="70">
        <f>'RESUMEN TOTAL'!T416</f>
        <v>0</v>
      </c>
      <c r="H324" s="70">
        <f>'RESUMEN TOTAL'!V416</f>
        <v>0</v>
      </c>
      <c r="I324" s="70">
        <v>0</v>
      </c>
      <c r="J324" s="70">
        <f>'RESUMEN TOTAL'!W416</f>
        <v>0</v>
      </c>
      <c r="K324" s="70">
        <f>'RESUMEN TOTAL'!X416</f>
        <v>0</v>
      </c>
      <c r="L324" s="70">
        <f>'RESUMEN TOTAL'!Y416</f>
        <v>0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LA ESMERALDA</v>
      </c>
      <c r="B325" t="str">
        <f>'RESUMEN TOTAL'!G417</f>
        <v>ESM09 (fija 1)</v>
      </c>
      <c r="C325" t="str">
        <f>'RESUMEN TOTAL'!I417</f>
        <v>EEUU Y CABELLO</v>
      </c>
      <c r="D325" s="30" t="str">
        <f>'RESUMEN TOTAL'!J417</f>
        <v>Fija</v>
      </c>
      <c r="E325" s="30" t="str">
        <f>'RESUMEN TOTAL'!K417</f>
        <v>Fibra Optica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JORGE</v>
      </c>
      <c r="B326" t="str">
        <f>'RESUMEN TOTAL'!G422</f>
        <v>ESM03</v>
      </c>
      <c r="C326" t="str">
        <f>'RESUMEN TOTAL'!I422</f>
        <v>Novak y Humahuaca</v>
      </c>
      <c r="D326" s="30" t="str">
        <f>'RESUMEN TOTAL'!J422</f>
        <v>DOMO</v>
      </c>
      <c r="E326" s="30" t="str">
        <f>'RESUMEN TOTAL'!K422</f>
        <v>PTO A FO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LA ESMERALDA</v>
      </c>
      <c r="B327" t="str">
        <f>'RESUMEN TOTAL'!G426</f>
        <v>ESM 18</v>
      </c>
      <c r="C327" t="str">
        <f>'RESUMEN TOTAL'!I426</f>
        <v>Belgicca y Cerdeña</v>
      </c>
      <c r="D327" s="30" t="str">
        <f>'RESUMEN TOTAL'!J426</f>
        <v>Domo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LA ESMERALDA</v>
      </c>
      <c r="B328" t="str">
        <f>'RESUMEN TOTAL'!G427</f>
        <v>ESM 17</v>
      </c>
      <c r="C328" t="str">
        <f>'RESUMEN TOTAL'!I427</f>
        <v>Plaza La Esmeralda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 t="str">
        <f>'RESUMEN TOTAL'!X427</f>
        <v>APAGADO</v>
      </c>
      <c r="L328" s="70" t="str">
        <f>'RESUMEN TOTAL'!Y427</f>
        <v>APAGADO</v>
      </c>
      <c r="M328" s="70" t="str">
        <f>'RESUMEN TOTAL'!Z427</f>
        <v>APAGADO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 t="str">
        <f>'RESUMEN TOTAL'!AE427</f>
        <v>APAGADO</v>
      </c>
      <c r="S328" s="70" t="str">
        <f>'RESUMEN TOTAL'!AF427</f>
        <v>APAGADO</v>
      </c>
      <c r="T328" s="70" t="str">
        <f>'RESUMEN TOTAL'!AG427</f>
        <v>APAGADO</v>
      </c>
      <c r="U328" s="70" t="str">
        <f>'RESUMEN TOTAL'!AH427</f>
        <v>APAGADO</v>
      </c>
      <c r="V328" s="70" t="str">
        <f>'RESUMEN TOTAL'!AI427</f>
        <v>APAGADO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LA ESMERALDA</v>
      </c>
      <c r="B329" t="str">
        <f>'RESUMEN TOTAL'!G428</f>
        <v>ESM 16</v>
      </c>
      <c r="C329" t="str">
        <f>'RESUMEN TOTAL'!I428</f>
        <v>Basualdo y Lieja</v>
      </c>
      <c r="D329" s="30" t="str">
        <f>'RESUMEN TOTAL'!J428</f>
        <v>Fija</v>
      </c>
      <c r="E329" s="30" t="str">
        <f>'RESUMEN TOTAL'!K428</f>
        <v>Fibra Optica</v>
      </c>
      <c r="F329" s="70" t="str">
        <f>'RESUMEN TOTAL'!S428</f>
        <v>APAGADO</v>
      </c>
      <c r="G329" s="70">
        <f>'RESUMEN TOTAL'!T428</f>
        <v>0</v>
      </c>
      <c r="H329" s="70">
        <f>'RESUMEN TOTAL'!U428</f>
        <v>0</v>
      </c>
      <c r="I329" s="70">
        <f>'RESUMEN TOTAL'!V428</f>
        <v>0</v>
      </c>
      <c r="J329" s="70">
        <f>'RESUMEN TOTAL'!W428</f>
        <v>0</v>
      </c>
      <c r="K329" s="70" t="str">
        <f>'RESUMEN TOTAL'!X428</f>
        <v>APAGADO</v>
      </c>
      <c r="L329" s="70" t="str">
        <f>'RESUMEN TOTAL'!Y428</f>
        <v>APAGADO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 t="str">
        <f>'RESUMEN TOTAL'!AH428</f>
        <v>APAGADO</v>
      </c>
      <c r="V329" s="70" t="str">
        <f>'RESUMEN TOTAL'!AI428</f>
        <v>APAGADO</v>
      </c>
      <c r="W329" s="70">
        <f>'RESUMEN TOTAL'!AJ428</f>
        <v>0</v>
      </c>
      <c r="X329" s="70">
        <f>'RESUMEN TOTAL'!AK428</f>
        <v>0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 t="str">
        <f>'RESUMEN TOTAL'!AO428</f>
        <v>APAGADO</v>
      </c>
      <c r="AC329" s="70" t="str">
        <f>'RESUMEN TOTAL'!AP428</f>
        <v>APAGADO</v>
      </c>
      <c r="AD329" s="70">
        <f>'RESUMEN TOTAL'!AQ428</f>
        <v>0</v>
      </c>
      <c r="AE329" s="70">
        <f>'RESUMEN TOTAL'!AR428</f>
        <v>0</v>
      </c>
      <c r="AF329" s="70" t="str">
        <f>'RESUMEN TOTAL'!AS428</f>
        <v>APAGADO</v>
      </c>
      <c r="AG329" s="70" t="str">
        <f>'RESUMEN TOTAL'!AT428</f>
        <v>APAGADO</v>
      </c>
      <c r="AH329" s="70" t="str">
        <f>'RESUMEN TOTAL'!AU428</f>
        <v>APAGADO</v>
      </c>
      <c r="AI329" s="70" t="str">
        <f>'RESUMEN TOTAL'!AV428</f>
        <v>APAGADO</v>
      </c>
      <c r="AJ329" s="70" t="e">
        <f>'RESUMEN TOTAL'!#REF!</f>
        <v>#REF!</v>
      </c>
    </row>
    <row r="330" spans="1:36" x14ac:dyDescent="0.25">
      <c r="A330" t="str">
        <f>'RESUMEN TOTAL'!F429</f>
        <v>LA ESMERALDA</v>
      </c>
      <c r="B330" t="str">
        <f>'RESUMEN TOTAL'!G429</f>
        <v>ESM 15</v>
      </c>
      <c r="C330" t="str">
        <f>'RESUMEN TOTAL'!I429</f>
        <v>Basualdo y Lieja</v>
      </c>
      <c r="D330" s="30" t="str">
        <f>'RESUMEN TOTAL'!J429</f>
        <v>Fija</v>
      </c>
      <c r="E330" s="30" t="str">
        <f>'RESUMEN TOTAL'!K429</f>
        <v>Fibra Optica</v>
      </c>
      <c r="F330" s="70" t="str">
        <f>'RESUMEN TOTAL'!S429</f>
        <v>APAGADO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 t="str">
        <f>'RESUMEN TOTAL'!X429</f>
        <v>APAGADO</v>
      </c>
      <c r="L330" s="70" t="str">
        <f>'RESUMEN TOTAL'!Y429</f>
        <v>APAGADO</v>
      </c>
      <c r="M330" s="70" t="str">
        <f>'RESUMEN TOTAL'!Z429</f>
        <v>APAGADO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 t="str">
        <f>'RESUMEN TOTAL'!AE429</f>
        <v>APAGADO</v>
      </c>
      <c r="S330" s="70" t="str">
        <f>'RESUMEN TOTAL'!AF429</f>
        <v>APAGADO</v>
      </c>
      <c r="T330" s="70" t="str">
        <f>'RESUMEN TOTAL'!AG429</f>
        <v>APAGADO</v>
      </c>
      <c r="U330" s="70" t="str">
        <f>'RESUMEN TOTAL'!AH429</f>
        <v>APAGADO</v>
      </c>
      <c r="V330" s="70" t="str">
        <f>'RESUMEN TOTAL'!AI429</f>
        <v>APAGADO</v>
      </c>
      <c r="W330" s="70">
        <f>'RESUMEN TOTAL'!AJ429</f>
        <v>0</v>
      </c>
      <c r="X330" s="70">
        <f>'RESUMEN TOTAL'!AK429</f>
        <v>0</v>
      </c>
      <c r="Y330" s="70" t="str">
        <f>'RESUMEN TOTAL'!AL429</f>
        <v>APAGADO</v>
      </c>
      <c r="Z330" s="70" t="str">
        <f>'RESUMEN TOTAL'!AM429</f>
        <v>APAGADO</v>
      </c>
      <c r="AA330" s="70" t="str">
        <f>'RESUMEN TOTAL'!AN429</f>
        <v>APAGADO</v>
      </c>
      <c r="AB330" s="70" t="str">
        <f>'RESUMEN TOTAL'!AO429</f>
        <v>APAGADO</v>
      </c>
      <c r="AC330" s="70" t="str">
        <f>'RESUMEN TOTAL'!AP429</f>
        <v>APAGADO</v>
      </c>
      <c r="AD330" s="70">
        <f>'RESUMEN TOTAL'!AQ429</f>
        <v>0</v>
      </c>
      <c r="AE330" s="70">
        <f>'RESUMEN TOTAL'!AR429</f>
        <v>0</v>
      </c>
      <c r="AF330" s="70" t="str">
        <f>'RESUMEN TOTAL'!AS429</f>
        <v>APAGADO</v>
      </c>
      <c r="AG330" s="70" t="str">
        <f>'RESUMEN TOTAL'!AT429</f>
        <v>APAGADO</v>
      </c>
      <c r="AH330" s="70" t="str">
        <f>'RESUMEN TOTAL'!AU429</f>
        <v>APAGADO</v>
      </c>
      <c r="AI330" s="70" t="str">
        <f>'RESUMEN TOTAL'!AV429</f>
        <v>APAGADO</v>
      </c>
      <c r="AJ330" s="70" t="e">
        <f>'RESUMEN TOTAL'!#REF!</f>
        <v>#REF!</v>
      </c>
    </row>
    <row r="331" spans="1:36" x14ac:dyDescent="0.25">
      <c r="A331" t="str">
        <f>'RESUMEN TOTAL'!F430</f>
        <v>LA ESMERALDA</v>
      </c>
      <c r="B331" t="str">
        <f>'RESUMEN TOTAL'!G430</f>
        <v>ESM 14</v>
      </c>
      <c r="C331" t="str">
        <f>'RESUMEN TOTAL'!I430</f>
        <v>Barzi y Serrano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 t="str">
        <f>'RESUMEN TOTAL'!AI430</f>
        <v>APAGADO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LA ESMERALDA</v>
      </c>
      <c r="B332" t="str">
        <f>'RESUMEN TOTAL'!G431</f>
        <v>ESM 13</v>
      </c>
      <c r="C332" t="str">
        <f>'RESUMEN TOTAL'!I431</f>
        <v>Barzi y Serrano</v>
      </c>
      <c r="D332" s="30" t="str">
        <f>'RESUMEN TOTAL'!J431</f>
        <v>fija</v>
      </c>
      <c r="E332" s="30" t="str">
        <f>'RESUMEN TOTAL'!K431</f>
        <v>Fibra Optica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 t="str">
        <f>'RESUMEN TOTAL'!AI431</f>
        <v>APAGADO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LA ESMERALDA</v>
      </c>
      <c r="B333" t="str">
        <f>'RESUMEN TOTAL'!G432</f>
        <v>ESM 08</v>
      </c>
      <c r="C333" t="str">
        <f>'RESUMEN TOTAL'!I432</f>
        <v>DAVINSON Y MORANCHEL</v>
      </c>
      <c r="D333" s="30" t="str">
        <f>'RESUMEN TOTAL'!J432</f>
        <v>FIJA</v>
      </c>
      <c r="E333" s="30" t="str">
        <f>'RESUMEN TOTAL'!K432</f>
        <v>Radio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>
        <f>'RESUMEN TOTAL'!V432</f>
        <v>0</v>
      </c>
      <c r="J333" s="70">
        <f>'RESUMEN TOTAL'!W432</f>
        <v>0</v>
      </c>
      <c r="K333" s="70">
        <f>'RESUMEN TOTAL'!X432</f>
        <v>0</v>
      </c>
      <c r="L333" s="70">
        <f>'RESUMEN TOTAL'!Y432</f>
        <v>0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EL PARQUE</v>
      </c>
      <c r="B334" t="str">
        <f>'RESUMEN TOTAL'!G433</f>
        <v>EPQ 06</v>
      </c>
      <c r="C334" t="str">
        <f>'RESUMEN TOTAL'!I433</f>
        <v xml:space="preserve">1282 Y EZEIZA </v>
      </c>
      <c r="D334" s="30" t="str">
        <f>'RESUMEN TOTAL'!J433</f>
        <v>DOMO</v>
      </c>
      <c r="E334" s="30" t="str">
        <f>'RESUMEN TOTAL'!K433</f>
        <v>Fibra Optica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 t="str">
        <f>'RESUMEN TOTAL'!AE433</f>
        <v>APAGADO</v>
      </c>
      <c r="S334" s="70" t="str">
        <f>'RESUMEN TOTAL'!AF433</f>
        <v>APAGADO</v>
      </c>
      <c r="T334" s="70" t="str">
        <f>'RESUMEN TOTAL'!AG433</f>
        <v>APAGADO</v>
      </c>
      <c r="U334" s="70" t="str">
        <f>'RESUMEN TOTAL'!AH433</f>
        <v>APAGADO</v>
      </c>
      <c r="V334" s="70" t="str">
        <f>'RESUMEN TOTAL'!AI433</f>
        <v>APAGADO</v>
      </c>
      <c r="W334" s="70">
        <f>'RESUMEN TOTAL'!AJ433</f>
        <v>0</v>
      </c>
      <c r="X334" s="70">
        <f>'RESUMEN TOTAL'!AK433</f>
        <v>0</v>
      </c>
      <c r="Y334" s="70" t="str">
        <f>'RESUMEN TOTAL'!AL433</f>
        <v>APAGADO</v>
      </c>
      <c r="Z334" s="70" t="str">
        <f>'RESUMEN TOTAL'!AM433</f>
        <v>APAGADO</v>
      </c>
      <c r="AA334" s="70" t="str">
        <f>'RESUMEN TOTAL'!AN433</f>
        <v>APAGADO</v>
      </c>
      <c r="AB334" s="70" t="str">
        <f>'RESUMEN TOTAL'!AO433</f>
        <v>APAGADO</v>
      </c>
      <c r="AC334" s="70" t="str">
        <f>'RESUMEN TOTAL'!AP433</f>
        <v>APAGADO</v>
      </c>
      <c r="AD334" s="70">
        <f>'RESUMEN TOTAL'!AQ433</f>
        <v>0</v>
      </c>
      <c r="AE334" s="70">
        <f>'RESUMEN TOTAL'!AR433</f>
        <v>0</v>
      </c>
      <c r="AF334" s="70" t="str">
        <f>'RESUMEN TOTAL'!AS433</f>
        <v>APAGADO</v>
      </c>
      <c r="AG334" s="70" t="str">
        <f>'RESUMEN TOTAL'!AT433</f>
        <v>APAGADO</v>
      </c>
      <c r="AH334" s="70" t="str">
        <f>'RESUMEN TOTAL'!AU433</f>
        <v>APAGADO</v>
      </c>
      <c r="AI334" s="70" t="str">
        <f>'RESUMEN TOTAL'!AV433</f>
        <v>APAGADO</v>
      </c>
      <c r="AJ334" s="70" t="e">
        <f>'RESUMEN TOTAL'!#REF!</f>
        <v>#REF!</v>
      </c>
    </row>
    <row r="335" spans="1:36" x14ac:dyDescent="0.25">
      <c r="A335" t="str">
        <f>'RESUMEN TOTAL'!F434</f>
        <v>EL PARQUE</v>
      </c>
      <c r="B335" t="str">
        <f>'RESUMEN TOTAL'!G434</f>
        <v>EPQ 05</v>
      </c>
      <c r="C335" t="str">
        <f>'RESUMEN TOTAL'!I434</f>
        <v>1282 Y 1201</v>
      </c>
      <c r="D335" s="30" t="str">
        <f>'RESUMEN TOTAL'!J434</f>
        <v>FIJA</v>
      </c>
      <c r="E335" s="30" t="str">
        <f>'RESUMEN TOTAL'!K434</f>
        <v>Fibra Optica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EL PARQUE</v>
      </c>
      <c r="B336" t="str">
        <f>'RESUMEN TOTAL'!G438</f>
        <v>EPQ 01</v>
      </c>
      <c r="C336" t="str">
        <f>'RESUMEN TOTAL'!I438</f>
        <v>1282 Y GRIERSON</v>
      </c>
      <c r="D336" s="30" t="str">
        <f>'RESUMEN TOTAL'!J438</f>
        <v>DOMO</v>
      </c>
      <c r="E336" s="30" t="str">
        <f>'RESUMEN TOTAL'!K438</f>
        <v>Fibra Optica</v>
      </c>
      <c r="F336" s="70" t="str">
        <f>'RESUMEN TOTAL'!S438</f>
        <v>APAGADO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 t="str">
        <f>'RESUMEN TOTAL'!X438</f>
        <v>APAGADO</v>
      </c>
      <c r="L336" s="70" t="str">
        <f>'RESUMEN TOTAL'!Y438</f>
        <v>APAGADO</v>
      </c>
      <c r="M336" s="70" t="str">
        <f>'RESUMEN TOTAL'!Z438</f>
        <v>APAGADO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 t="str">
        <f>'RESUMEN TOTAL'!AE438</f>
        <v>APAGADO</v>
      </c>
      <c r="S336" s="70" t="str">
        <f>'RESUMEN TOTAL'!AF438</f>
        <v>APAGADO</v>
      </c>
      <c r="T336" s="70" t="str">
        <f>'RESUMEN TOTAL'!AG438</f>
        <v>APAGADO</v>
      </c>
      <c r="U336" s="70" t="str">
        <f>'RESUMEN TOTAL'!AH438</f>
        <v>APAGADO</v>
      </c>
      <c r="V336" s="70" t="str">
        <f>'RESUMEN TOTAL'!AI438</f>
        <v>APAGADO</v>
      </c>
      <c r="W336" s="70">
        <f>'RESUMEN TOTAL'!AJ438</f>
        <v>0</v>
      </c>
      <c r="X336" s="70">
        <f>'RESUMEN TOTAL'!AK438</f>
        <v>0</v>
      </c>
      <c r="Y336" s="70" t="str">
        <f>'RESUMEN TOTAL'!AL438</f>
        <v>APAGADO</v>
      </c>
      <c r="Z336" s="70" t="str">
        <f>'RESUMEN TOTAL'!AM438</f>
        <v>APAGADO</v>
      </c>
      <c r="AA336" s="70" t="str">
        <f>'RESUMEN TOTAL'!AN438</f>
        <v>APAGADO</v>
      </c>
      <c r="AB336" s="70" t="str">
        <f>'RESUMEN TOTAL'!AO438</f>
        <v>APAGADO</v>
      </c>
      <c r="AC336" s="70" t="str">
        <f>'RESUMEN TOTAL'!AP438</f>
        <v>APAGADO</v>
      </c>
      <c r="AD336" s="70">
        <f>'RESUMEN TOTAL'!AQ438</f>
        <v>0</v>
      </c>
      <c r="AE336" s="70">
        <f>'RESUMEN TOTAL'!AR438</f>
        <v>0</v>
      </c>
      <c r="AF336" s="70" t="str">
        <f>'RESUMEN TOTAL'!AS438</f>
        <v>APAGADO</v>
      </c>
      <c r="AG336" s="70" t="str">
        <f>'RESUMEN TOTAL'!AT438</f>
        <v>APAGADO</v>
      </c>
      <c r="AH336" s="70" t="str">
        <f>'RESUMEN TOTAL'!AU438</f>
        <v>APAGADO</v>
      </c>
      <c r="AI336" s="70" t="str">
        <f>'RESUMEN TOTAL'!AV438</f>
        <v>APAGADO</v>
      </c>
      <c r="AJ336" s="70" t="e">
        <f>'RESUMEN TOTAL'!#REF!</f>
        <v>#REF!</v>
      </c>
    </row>
    <row r="337" spans="1:36" x14ac:dyDescent="0.25">
      <c r="A337" t="str">
        <f>'RESUMEN TOTAL'!F439</f>
        <v>DON ORIONE</v>
      </c>
      <c r="B337" t="str">
        <f>'RESUMEN TOTAL'!G439</f>
        <v>DORIO1</v>
      </c>
      <c r="C337" t="str">
        <f>'RESUMEN TOTAL'!I439</f>
        <v>AV Bosques Y Theran</v>
      </c>
      <c r="D337" s="30" t="str">
        <f>'RESUMEN TOTAL'!J439</f>
        <v>Domo</v>
      </c>
      <c r="E337" s="30" t="str">
        <f>'RESUMEN TOTAL'!K439</f>
        <v>GPON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 t="str">
        <f>'RESUMEN TOTAL'!Z439</f>
        <v>APAGADO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DON ORIONE</v>
      </c>
      <c r="B338" t="str">
        <f>'RESUMEN TOTAL'!G440</f>
        <v>DORI03</v>
      </c>
      <c r="C338" t="str">
        <f>'RESUMEN TOTAL'!I440</f>
        <v>Av Bosques y San Clemente</v>
      </c>
      <c r="D338" s="30" t="str">
        <f>'RESUMEN TOTAL'!J440</f>
        <v>DOMO</v>
      </c>
      <c r="E338" s="30" t="str">
        <f>'RESUMEN TOTAL'!K440</f>
        <v>GPON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DON ORIONE</v>
      </c>
      <c r="B339" t="str">
        <f>'RESUMEN TOTAL'!G441</f>
        <v>DORI02</v>
      </c>
      <c r="C339" t="str">
        <f>'RESUMEN TOTAL'!I441</f>
        <v>QUINQUELA MARTIN Y AV BOSQUES</v>
      </c>
      <c r="D339" s="30" t="str">
        <f>'RESUMEN TOTAL'!J441</f>
        <v>DOMO</v>
      </c>
      <c r="E339" s="30" t="str">
        <f>'RESUMEN TOTAL'!K441</f>
        <v>GPON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DON JOSE</v>
      </c>
      <c r="B340" t="str">
        <f>'RESUMEN TOTAL'!G442</f>
        <v>DJO01</v>
      </c>
      <c r="C340" t="str">
        <f>'RESUMEN TOTAL'!I442</f>
        <v>Monteverde y Donato Alvarez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>
        <f>'RESUMEN TOTAL'!V442</f>
        <v>0</v>
      </c>
      <c r="J340" s="70">
        <f>'RESUMEN TOTAL'!W442</f>
        <v>0</v>
      </c>
      <c r="K340" s="70">
        <f>'RESUMEN TOTAL'!X442</f>
        <v>0</v>
      </c>
      <c r="L340" s="70">
        <f>'RESUMEN TOTAL'!Y442</f>
        <v>0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DON JOSE</v>
      </c>
      <c r="B341" t="str">
        <f>'RESUMEN TOTAL'!G443</f>
        <v>DJO 05 (Fija 2)</v>
      </c>
      <c r="C341" t="str">
        <f>'RESUMEN TOTAL'!I443</f>
        <v>MONTEVERDE Y EL INDIO</v>
      </c>
      <c r="D341" s="30" t="str">
        <f>'RESUMEN TOTAL'!J443</f>
        <v>Fija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DON JOSE</v>
      </c>
      <c r="B342" t="str">
        <f>'RESUMEN TOTAL'!G444</f>
        <v>DJO 04 (Fija 1)</v>
      </c>
      <c r="C342" t="str">
        <f>'RESUMEN TOTAL'!I444</f>
        <v>MONTEVERDE Y EL INDIO</v>
      </c>
      <c r="D342" s="30" t="str">
        <f>'RESUMEN TOTAL'!J444</f>
        <v>Fija</v>
      </c>
      <c r="E342" s="30" t="str">
        <f>'RESUMEN TOTAL'!K444</f>
        <v>GPON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>
        <f>'RESUMEN TOTAL'!V444</f>
        <v>0</v>
      </c>
      <c r="J342" s="70">
        <f>'RESUMEN TOTAL'!W444</f>
        <v>0</v>
      </c>
      <c r="K342" s="70">
        <f>'RESUMEN TOTAL'!X444</f>
        <v>0</v>
      </c>
      <c r="L342" s="70">
        <f>'RESUMEN TOTAL'!Y444</f>
        <v>0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DON JOSE</v>
      </c>
      <c r="B343" t="str">
        <f>'RESUMEN TOTAL'!G445</f>
        <v>DJO 03 (fija 2)</v>
      </c>
      <c r="C343" t="str">
        <f>'RESUMEN TOTAL'!I445</f>
        <v>DONATO ALVAREZ Y EL APERO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DON JOSE</v>
      </c>
      <c r="B344" t="str">
        <f>'RESUMEN TOTAL'!G446</f>
        <v>DJO 02 (fija 1)</v>
      </c>
      <c r="C344" t="str">
        <f>'RESUMEN TOTAL'!I446</f>
        <v>DONATO ALVAREZ Y EL APERO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DON JOSE</v>
      </c>
      <c r="B345" t="str">
        <f>'RESUMEN TOTAL'!G447</f>
        <v>DJ O6</v>
      </c>
      <c r="C345" t="str">
        <f>'RESUMEN TOTAL'!I447</f>
        <v>Calle 414 y El Indio</v>
      </c>
      <c r="D345" s="30" t="str">
        <f>'RESUMEN TOTAL'!J447</f>
        <v>Fija</v>
      </c>
      <c r="E345" s="30" t="str">
        <f>'RESUMEN TOTAL'!K447</f>
        <v>PTO A FO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DON JOSE</v>
      </c>
      <c r="B346" t="str">
        <f>'RESUMEN TOTAL'!G448</f>
        <v>DJ 09</v>
      </c>
      <c r="C346" t="str">
        <f>'RESUMEN TOTAL'!I448</f>
        <v>El Malambo y la Aguada</v>
      </c>
      <c r="D346" s="30" t="str">
        <f>'RESUMEN TOTAL'!J448</f>
        <v>FIJA</v>
      </c>
      <c r="E346" s="30" t="str">
        <f>'RESUMEN TOTAL'!K448</f>
        <v>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DON JOSE</v>
      </c>
      <c r="B347" t="str">
        <f>'RESUMEN TOTAL'!G449</f>
        <v>DJ 08</v>
      </c>
      <c r="C347" t="str">
        <f>'RESUMEN TOTAL'!I449</f>
        <v>El Paisano y 441</v>
      </c>
      <c r="D347" s="30" t="str">
        <f>'RESUMEN TOTAL'!J449</f>
        <v>FIJA</v>
      </c>
      <c r="E347" s="30" t="str">
        <f>'RESUMEN TOTAL'!K449</f>
        <v>GPON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DON JOSE</v>
      </c>
      <c r="B348" t="str">
        <f>'RESUMEN TOTAL'!G450</f>
        <v>DJ 07</v>
      </c>
      <c r="C348" t="str">
        <f>'RESUMEN TOTAL'!I450</f>
        <v>Calle 414 y El Indio</v>
      </c>
      <c r="D348" s="30" t="str">
        <f>'RESUMEN TOTAL'!J450</f>
        <v>Fija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BOSQUES CENTRO</v>
      </c>
      <c r="B349" t="str">
        <f>'RESUMEN TOTAL'!G451</f>
        <v>CVA01</v>
      </c>
      <c r="C349" t="str">
        <f>'RESUMEN TOTAL'!I451</f>
        <v>CACHEUTA Y 1355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 t="str">
        <f>'RESUMEN TOTAL'!X451</f>
        <v>APAGADO</v>
      </c>
      <c r="L349" s="70" t="str">
        <f>'RESUMEN TOTAL'!Y451</f>
        <v>APAGADO</v>
      </c>
      <c r="M349" s="70" t="str">
        <f>'RESUMEN TOTAL'!Z451</f>
        <v>APAGADO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>
        <f>'RESUMEN TOTAL'!F452</f>
        <v>0</v>
      </c>
      <c r="B350" t="str">
        <f>'RESUMEN TOTAL'!G452</f>
        <v>COL 05</v>
      </c>
      <c r="C350" t="str">
        <f>'RESUMEN TOTAL'!I452</f>
        <v>PLAZA CALLE 604 A Y AUSTRIA</v>
      </c>
      <c r="D350" s="30" t="str">
        <f>'RESUMEN TOTAL'!J452</f>
        <v>DOMO</v>
      </c>
      <c r="E350" s="30" t="str">
        <f>'RESUMEN TOTAL'!K452</f>
        <v>GPON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LA COLORADA ESTE</v>
      </c>
      <c r="B351" t="str">
        <f>'RESUMEN TOTAL'!G453</f>
        <v>COL 04</v>
      </c>
      <c r="C351" t="str">
        <f>'RESUMEN TOTAL'!I453</f>
        <v>EVA PERON Y SAVIO</v>
      </c>
      <c r="D351" s="30" t="str">
        <f>'RESUMEN TOTAL'!J453</f>
        <v>Domo</v>
      </c>
      <c r="E351" s="30" t="str">
        <f>'RESUMEN TOTAL'!K453</f>
        <v>Fibra Optica</v>
      </c>
      <c r="F351" s="70" t="str">
        <f>'RESUMEN TOTAL'!S453</f>
        <v>APAGADO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 t="str">
        <f>'RESUMEN TOTAL'!AI453</f>
        <v>APAGADO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 t="str">
        <f>'RESUMEN TOTAL'!AO453</f>
        <v>APAGADO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 t="str">
        <f>'RESUMEN TOTAL'!AS453</f>
        <v>APAGADO</v>
      </c>
      <c r="AG351" s="70" t="str">
        <f>'RESUMEN TOTAL'!AT453</f>
        <v>APAGADO</v>
      </c>
      <c r="AH351" s="70" t="str">
        <f>'RESUMEN TOTAL'!AU453</f>
        <v>APAGADO</v>
      </c>
      <c r="AI351" s="70" t="str">
        <f>'RESUMEN TOTAL'!AV453</f>
        <v>APAGADO</v>
      </c>
      <c r="AJ351" s="70" t="e">
        <f>'RESUMEN TOTAL'!#REF!</f>
        <v>#REF!</v>
      </c>
    </row>
    <row r="352" spans="1:36" x14ac:dyDescent="0.25">
      <c r="A352" t="str">
        <f>'RESUMEN TOTAL'!F454</f>
        <v>LA COLORADA ESTE</v>
      </c>
      <c r="B352" t="str">
        <f>'RESUMEN TOTAL'!G454</f>
        <v>COL 03</v>
      </c>
      <c r="C352" t="str">
        <f>'RESUMEN TOTAL'!I454</f>
        <v>CARIBONI Y LA ANCIANIDAD</v>
      </c>
      <c r="D352" s="30" t="str">
        <f>'RESUMEN TOTAL'!J454</f>
        <v>DOMO</v>
      </c>
      <c r="E352" s="30" t="str">
        <f>'RESUMEN TOTAL'!K454</f>
        <v>Radio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 t="str">
        <f>'RESUMEN TOTAL'!AP454</f>
        <v>APAGADO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LA COLORADA ESTE</v>
      </c>
      <c r="B353" t="str">
        <f>'RESUMEN TOTAL'!G455</f>
        <v>COL 02</v>
      </c>
      <c r="C353" t="str">
        <f>'RESUMEN TOTAL'!I455</f>
        <v>Av. Eva Peron y Pompeya</v>
      </c>
      <c r="D353" s="30" t="str">
        <f>'RESUMEN TOTAL'!J455</f>
        <v>Domo</v>
      </c>
      <c r="E353" s="30" t="str">
        <f>'RESUMEN TOTAL'!K455</f>
        <v>PTO A FO</v>
      </c>
      <c r="F353" s="70" t="str">
        <f>'RESUMEN TOTAL'!S455</f>
        <v>APAGADO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 t="str">
        <f>'RESUMEN TOTAL'!X455</f>
        <v>APAGADO</v>
      </c>
      <c r="L353" s="70" t="str">
        <f>'RESUMEN TOTAL'!Y455</f>
        <v>APAGADO</v>
      </c>
      <c r="M353" s="70" t="str">
        <f>'RESUMEN TOTAL'!Z455</f>
        <v>APAGADO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 t="str">
        <f>'RESUMEN TOTAL'!AE455</f>
        <v>APAGADO</v>
      </c>
      <c r="S353" s="70" t="str">
        <f>'RESUMEN TOTAL'!AF455</f>
        <v>APAGADO</v>
      </c>
      <c r="T353" s="70" t="str">
        <f>'RESUMEN TOTAL'!AG455</f>
        <v>APAGADO</v>
      </c>
      <c r="U353" s="70" t="str">
        <f>'RESUMEN TOTAL'!AH455</f>
        <v>APAGADO</v>
      </c>
      <c r="V353" s="70" t="str">
        <f>'RESUMEN TOTAL'!AI455</f>
        <v>APAGADO</v>
      </c>
      <c r="W353" s="70">
        <f>'RESUMEN TOTAL'!AJ455</f>
        <v>0</v>
      </c>
      <c r="X353" s="70">
        <f>'RESUMEN TOTAL'!AK455</f>
        <v>0</v>
      </c>
      <c r="Y353" s="70" t="str">
        <f>'RESUMEN TOTAL'!AL455</f>
        <v>APAGADO</v>
      </c>
      <c r="Z353" s="70" t="str">
        <f>'RESUMEN TOTAL'!AM455</f>
        <v>APAGADO</v>
      </c>
      <c r="AA353" s="70">
        <f>'RESUMEN TOTAL'!AN455</f>
        <v>0</v>
      </c>
      <c r="AB353" s="70" t="str">
        <f>'RESUMEN TOTAL'!AO455</f>
        <v>APAGADO</v>
      </c>
      <c r="AC353" s="70" t="str">
        <f>'RESUMEN TOTAL'!AP455</f>
        <v>APAGADO</v>
      </c>
      <c r="AD353" s="70">
        <f>'RESUMEN TOTAL'!AQ455</f>
        <v>0</v>
      </c>
      <c r="AE353" s="70">
        <f>'RESUMEN TOTAL'!AR455</f>
        <v>0</v>
      </c>
      <c r="AF353" s="70" t="str">
        <f>'RESUMEN TOTAL'!AS455</f>
        <v>APAGADO</v>
      </c>
      <c r="AG353" s="70" t="str">
        <f>'RESUMEN TOTAL'!AT455</f>
        <v>APAGADO</v>
      </c>
      <c r="AH353" s="70" t="str">
        <f>'RESUMEN TOTAL'!AU455</f>
        <v>APAGADO</v>
      </c>
      <c r="AI353" s="70" t="str">
        <f>'RESUMEN TOTAL'!AV455</f>
        <v>APAGADO</v>
      </c>
      <c r="AJ353" s="70" t="e">
        <f>'RESUMEN TOTAL'!#REF!</f>
        <v>#REF!</v>
      </c>
    </row>
    <row r="354" spans="1:36" x14ac:dyDescent="0.25">
      <c r="A354" t="str">
        <f>'RESUMEN TOTAL'!F456</f>
        <v>VILLA MONICA NUEVA</v>
      </c>
      <c r="B354" t="str">
        <f>'RESUMEN TOTAL'!G456</f>
        <v>COL 01</v>
      </c>
      <c r="C354" t="str">
        <f>'RESUMEN TOTAL'!I456</f>
        <v>Eva Peron y Cariboni</v>
      </c>
      <c r="D354" s="30" t="str">
        <f>'RESUMEN TOTAL'!J456</f>
        <v>Domo</v>
      </c>
      <c r="E354" s="30" t="str">
        <f>'RESUMEN TOTAL'!K456</f>
        <v>Fibra Optica</v>
      </c>
      <c r="F354" s="70" t="str">
        <f>'RESUMEN TOTAL'!S456</f>
        <v>APAGADO</v>
      </c>
      <c r="G354" s="70">
        <f>'RESUMEN TOTAL'!T456</f>
        <v>0</v>
      </c>
      <c r="H354" s="70">
        <f>'RESUMEN TOTAL'!U456</f>
        <v>0</v>
      </c>
      <c r="I354" s="70">
        <f>'RESUMEN TOTAL'!V456</f>
        <v>0</v>
      </c>
      <c r="J354" s="70">
        <f>'RESUMEN TOTAL'!W456</f>
        <v>0</v>
      </c>
      <c r="K354" s="70">
        <f>'RESUMEN TOTAL'!X456</f>
        <v>0</v>
      </c>
      <c r="L354" s="70">
        <f>'RESUMEN TOTAL'!Y456</f>
        <v>0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 t="str">
        <f>'RESUMEN TOTAL'!AI456</f>
        <v>APAGADO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 t="str">
        <f>'RESUMEN TOTAL'!AO456</f>
        <v>APAGADO</v>
      </c>
      <c r="AC354" s="70" t="str">
        <f>'RESUMEN TOTAL'!AP456</f>
        <v>APAGADO</v>
      </c>
      <c r="AD354" s="70">
        <f>'RESUMEN TOTAL'!AQ456</f>
        <v>0</v>
      </c>
      <c r="AE354" s="70">
        <f>'RESUMEN TOTAL'!AR456</f>
        <v>0</v>
      </c>
      <c r="AF354" s="70" t="str">
        <f>'RESUMEN TOTAL'!AS456</f>
        <v>APAGADO</v>
      </c>
      <c r="AG354" s="70" t="str">
        <f>'RESUMEN TOTAL'!AT456</f>
        <v>APAGADO</v>
      </c>
      <c r="AH354" s="70" t="str">
        <f>'RESUMEN TOTAL'!AU456</f>
        <v>APAGADO</v>
      </c>
      <c r="AI354" s="70" t="str">
        <f>'RESUMEN TOTAL'!AV456</f>
        <v>APAGADO</v>
      </c>
      <c r="AJ354" s="70" t="e">
        <f>'RESUMEN TOTAL'!#REF!</f>
        <v>#REF!</v>
      </c>
    </row>
    <row r="355" spans="1:36" x14ac:dyDescent="0.25">
      <c r="A355" t="str">
        <f>'RESUMEN TOTAL'!F457</f>
        <v>CHACABUCO</v>
      </c>
      <c r="B355" t="str">
        <f>'RESUMEN TOTAL'!G457</f>
        <v>CHA04</v>
      </c>
      <c r="C355" t="str">
        <f>'RESUMEN TOTAL'!I457</f>
        <v>ESTADOS UNIDOS DE A. E ILLIA</v>
      </c>
      <c r="D355" s="30" t="str">
        <f>'RESUMEN TOTAL'!J457</f>
        <v>DOMO</v>
      </c>
      <c r="E355" s="30" t="str">
        <f>'RESUMEN TOTAL'!K457</f>
        <v>Fibra Optica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 t="str">
        <f>'RESUMEN TOTAL'!Z457</f>
        <v>APAGADO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 t="str">
        <f>'RESUMEN TOTAL'!AF457</f>
        <v>APAGADO</v>
      </c>
      <c r="T355" s="70" t="str">
        <f>'RESUMEN TOTAL'!AG457</f>
        <v>APAGADO</v>
      </c>
      <c r="U355" s="70" t="str">
        <f>'RESUMEN TOTAL'!AH457</f>
        <v>APAGADO</v>
      </c>
      <c r="V355" s="70" t="str">
        <f>'RESUMEN TOTAL'!AI457</f>
        <v>APAGADO</v>
      </c>
      <c r="W355" s="70">
        <f>'RESUMEN TOTAL'!AJ457</f>
        <v>0</v>
      </c>
      <c r="X355" s="70">
        <f>'RESUMEN TOTAL'!AK457</f>
        <v>0</v>
      </c>
      <c r="Y355" s="70" t="str">
        <f>'RESUMEN TOTAL'!AL457</f>
        <v>APAGADO</v>
      </c>
      <c r="Z355" s="70" t="str">
        <f>'RESUMEN TOTAL'!AM457</f>
        <v>APAGADO</v>
      </c>
      <c r="AA355" s="70" t="str">
        <f>'RESUMEN TOTAL'!AN457</f>
        <v>APAGADO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CHACABUCO</v>
      </c>
      <c r="B356" t="str">
        <f>'RESUMEN TOTAL'!G458</f>
        <v>CHA03</v>
      </c>
      <c r="C356" t="str">
        <f>'RESUMEN TOTAL'!I458</f>
        <v>MAIPU Y ALVAREZ THOMAS</v>
      </c>
      <c r="D356" s="30" t="str">
        <f>'RESUMEN TOTAL'!J458</f>
        <v>DOMO</v>
      </c>
      <c r="E356" s="30" t="str">
        <f>'RESUMEN TOTAL'!K458</f>
        <v>Fibra Optica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CHACABUCO</v>
      </c>
      <c r="B357" t="str">
        <f>'RESUMEN TOTAL'!G459</f>
        <v>CHA02</v>
      </c>
      <c r="C357" t="str">
        <f>'RESUMEN TOTAL'!I459</f>
        <v>Pte. Illia y Posadas</v>
      </c>
      <c r="D357" s="30" t="str">
        <f>'RESUMEN TOTAL'!J459</f>
        <v>Domo</v>
      </c>
      <c r="E357" s="30" t="str">
        <f>'RESUMEN TOTAL'!K459</f>
        <v>PTO A FO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 t="str">
        <f>'RESUMEN TOTAL'!Z459</f>
        <v>APAGADO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 t="str">
        <f>'RESUMEN TOTAL'!AF459</f>
        <v>APAGADO</v>
      </c>
      <c r="T357" s="70" t="str">
        <f>'RESUMEN TOTAL'!AG459</f>
        <v>APAGADO</v>
      </c>
      <c r="U357" s="70" t="str">
        <f>'RESUMEN TOTAL'!AH459</f>
        <v>APAGADO</v>
      </c>
      <c r="V357" s="70" t="str">
        <f>'RESUMEN TOTAL'!AI459</f>
        <v>APAGADO</v>
      </c>
      <c r="W357" s="70">
        <f>'RESUMEN TOTAL'!AJ459</f>
        <v>0</v>
      </c>
      <c r="X357" s="70">
        <f>'RESUMEN TOTAL'!AK459</f>
        <v>0</v>
      </c>
      <c r="Y357" s="70" t="str">
        <f>'RESUMEN TOTAL'!AL459</f>
        <v>APAGADO</v>
      </c>
      <c r="Z357" s="70" t="str">
        <f>'RESUMEN TOTAL'!AM459</f>
        <v>APAGADO</v>
      </c>
      <c r="AA357" s="70" t="str">
        <f>'RESUMEN TOTAL'!AN459</f>
        <v>APAGADO</v>
      </c>
      <c r="AB357" s="70" t="str">
        <f>'RESUMEN TOTAL'!AO459</f>
        <v>APAGADO</v>
      </c>
      <c r="AC357" s="70" t="str">
        <f>'RESUMEN TOTAL'!AP459</f>
        <v>APAGADO</v>
      </c>
      <c r="AD357" s="70">
        <f>'RESUMEN TOTAL'!AQ459</f>
        <v>0</v>
      </c>
      <c r="AE357" s="70">
        <f>'RESUMEN TOTAL'!AR459</f>
        <v>0</v>
      </c>
      <c r="AF357" s="70" t="str">
        <f>'RESUMEN TOTAL'!AS459</f>
        <v>APAGADO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 NICOLAS</v>
      </c>
      <c r="B358" t="str">
        <f>'RESUMEN TOTAL'!G460</f>
        <v>CHA01</v>
      </c>
      <c r="C358" t="str">
        <f>'RESUMEN TOTAL'!I460</f>
        <v>Novak y Pte Illia</v>
      </c>
      <c r="D358" s="30" t="str">
        <f>'RESUMEN TOTAL'!J460</f>
        <v>Domo</v>
      </c>
      <c r="E358" s="30" t="str">
        <f>'RESUMEN TOTAL'!K460</f>
        <v>PTO A FO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 t="str">
        <f>'RESUMEN TOTAL'!AE460</f>
        <v>APAGADO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CENTRO</v>
      </c>
      <c r="B359" t="str">
        <f>'RESUMEN TOTAL'!G461</f>
        <v>CEN99</v>
      </c>
      <c r="C359" t="str">
        <f>'RESUMEN TOTAL'!I461</f>
        <v>Castelli y Falucho</v>
      </c>
      <c r="D359" s="30" t="str">
        <f>'RESUMEN TOTAL'!J461</f>
        <v>Domo</v>
      </c>
      <c r="E359" s="30" t="str">
        <f>'RESUMEN TOTAL'!K461</f>
        <v>Fibra Optica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 t="str">
        <f>'RESUMEN TOTAL'!AG461</f>
        <v>APAGADO</v>
      </c>
      <c r="U359" s="70">
        <f>'RESUMEN TOTAL'!AH461</f>
        <v>0</v>
      </c>
      <c r="V359" s="70" t="str">
        <f>'RESUMEN TOTAL'!AI461</f>
        <v>APAGADO</v>
      </c>
      <c r="W359" s="70">
        <f>'RESUMEN TOTAL'!AJ461</f>
        <v>0</v>
      </c>
      <c r="X359" s="70">
        <f>'RESUMEN TOTAL'!AK461</f>
        <v>0</v>
      </c>
      <c r="Y359" s="70" t="str">
        <f>'RESUMEN TOTAL'!AL461</f>
        <v>APAGADO</v>
      </c>
      <c r="Z359" s="70" t="str">
        <f>'RESUMEN TOTAL'!AM461</f>
        <v>APAGADO</v>
      </c>
      <c r="AA359" s="70" t="str">
        <f>'RESUMEN TOTAL'!AN461</f>
        <v>APAGADO</v>
      </c>
      <c r="AB359" s="70" t="str">
        <f>'RESUMEN TOTAL'!AO461</f>
        <v>APAGADO</v>
      </c>
      <c r="AC359" s="70" t="str">
        <f>'RESUMEN TOTAL'!AP461</f>
        <v>APAGADO</v>
      </c>
      <c r="AD359" s="70">
        <f>'RESUMEN TOTAL'!AQ461</f>
        <v>0</v>
      </c>
      <c r="AE359" s="70">
        <f>'RESUMEN TOTAL'!AR461</f>
        <v>0</v>
      </c>
      <c r="AF359" s="70" t="str">
        <f>'RESUMEN TOTAL'!AS461</f>
        <v>APAGADO</v>
      </c>
      <c r="AG359" s="70" t="str">
        <f>'RESUMEN TOTAL'!AT461</f>
        <v>APAGADO</v>
      </c>
      <c r="AH359" s="70" t="str">
        <f>'RESUMEN TOTAL'!AU461</f>
        <v>APAGADO</v>
      </c>
      <c r="AI359" s="70" t="str">
        <f>'RESUMEN TOTAL'!AV461</f>
        <v>APAGADO</v>
      </c>
      <c r="AJ359" s="70" t="e">
        <f>'RESUMEN TOTAL'!#REF!</f>
        <v>#REF!</v>
      </c>
    </row>
    <row r="360" spans="1:36" x14ac:dyDescent="0.25">
      <c r="A360" t="str">
        <f>'RESUMEN TOTAL'!F462</f>
        <v>CENTRO</v>
      </c>
      <c r="B360" t="str">
        <f>'RESUMEN TOTAL'!G462</f>
        <v>CEN98</v>
      </c>
      <c r="C360" t="str">
        <f>'RESUMEN TOTAL'!I462</f>
        <v>España y Asunción</v>
      </c>
      <c r="D360" s="30" t="str">
        <f>'RESUMEN TOTAL'!J462</f>
        <v>Domo</v>
      </c>
      <c r="E360" s="30" t="str">
        <f>'RESUMEN TOTAL'!K462</f>
        <v>GPON</v>
      </c>
      <c r="F360" s="70" t="str">
        <f>'RESUMEN TOTAL'!S462</f>
        <v>APAGADO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 t="str">
        <f>'RESUMEN TOTAL'!AG462</f>
        <v>APAGADO</v>
      </c>
      <c r="U360" s="70" t="str">
        <f>'RESUMEN TOTAL'!AH462</f>
        <v>APAGADO</v>
      </c>
      <c r="V360" s="70" t="str">
        <f>'RESUMEN TOTAL'!AI462</f>
        <v>APAGADO</v>
      </c>
      <c r="W360" s="70">
        <f>'RESUMEN TOTAL'!AJ462</f>
        <v>0</v>
      </c>
      <c r="X360" s="70">
        <f>'RESUMEN TOTAL'!AK462</f>
        <v>0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CENTRO</v>
      </c>
      <c r="B361" t="str">
        <f>'RESUMEN TOTAL'!G469</f>
        <v xml:space="preserve">CEN91 </v>
      </c>
      <c r="C361" t="str">
        <f>'RESUMEN TOTAL'!I469</f>
        <v xml:space="preserve">Granaderos e/San martin y España </v>
      </c>
      <c r="D361" s="30" t="str">
        <f>'RESUMEN TOTAL'!J469</f>
        <v>Domo</v>
      </c>
      <c r="E361" s="30" t="str">
        <f>'RESUMEN TOTAL'!K469</f>
        <v>Fibra Optica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>
        <f>'RESUMEN TOTAL'!V469</f>
        <v>0</v>
      </c>
      <c r="J361" s="70">
        <f>'RESUMEN TOTAL'!W469</f>
        <v>0</v>
      </c>
      <c r="K361" s="70">
        <f>'RESUMEN TOTAL'!X469</f>
        <v>0</v>
      </c>
      <c r="L361" s="70">
        <f>'RESUMEN TOTAL'!Y469</f>
        <v>0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CENTRO</v>
      </c>
      <c r="B362" t="str">
        <f>'RESUMEN TOTAL'!G470</f>
        <v>CEN90 Fija 1</v>
      </c>
      <c r="C362" t="str">
        <f>'RESUMEN TOTAL'!I470</f>
        <v>GRANADEROS e/San Martin Y España</v>
      </c>
      <c r="D362" s="30" t="str">
        <f>'RESUMEN TOTAL'!J470</f>
        <v>Fija</v>
      </c>
      <c r="E362" s="30" t="str">
        <f>'RESUMEN TOTAL'!K470</f>
        <v>Fibra Optica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>
        <f>'RESUMEN TOTAL'!V470</f>
        <v>0</v>
      </c>
      <c r="J362" s="70">
        <f>'RESUMEN TOTAL'!W470</f>
        <v>0</v>
      </c>
      <c r="K362" s="70">
        <f>'RESUMEN TOTAL'!X470</f>
        <v>0</v>
      </c>
      <c r="L362" s="70">
        <f>'RESUMEN TOTAL'!Y470</f>
        <v>0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CENTRO</v>
      </c>
      <c r="B363" t="str">
        <f>'RESUMEN TOTAL'!G471</f>
        <v>CEN89</v>
      </c>
      <c r="C363" t="str">
        <f>'RESUMEN TOTAL'!I471</f>
        <v>Gutierrez e Ituzaingo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>
        <f>'RESUMEN TOTAL'!V471</f>
        <v>0</v>
      </c>
      <c r="J363" s="70">
        <f>'RESUMEN TOTAL'!W471</f>
        <v>0</v>
      </c>
      <c r="K363" s="70">
        <f>'RESUMEN TOTAL'!X471</f>
        <v>0</v>
      </c>
      <c r="L363" s="70">
        <f>'RESUMEN TOTAL'!Y471</f>
        <v>0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CENTRO</v>
      </c>
      <c r="B364" t="str">
        <f>'RESUMEN TOTAL'!G474</f>
        <v>CEN83</v>
      </c>
      <c r="C364" t="str">
        <f>'RESUMEN TOTAL'!I474</f>
        <v>RECONQUISTA Y 25 DE MAYO</v>
      </c>
      <c r="D364" s="30" t="str">
        <f>'RESUMEN TOTAL'!J474</f>
        <v>Domo</v>
      </c>
      <c r="E364" s="30" t="str">
        <f>'RESUMEN TOTAL'!K474</f>
        <v>GPON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>
        <f>'RESUMEN TOTAL'!V474</f>
        <v>0</v>
      </c>
      <c r="J364" s="70">
        <f>'RESUMEN TOTAL'!W474</f>
        <v>0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CENTRO</v>
      </c>
      <c r="B365" t="str">
        <f>'RESUMEN TOTAL'!G475</f>
        <v>CEN74</v>
      </c>
      <c r="C365" t="str">
        <f>'RESUMEN TOTAL'!I475</f>
        <v>Las Heras y Maipu</v>
      </c>
      <c r="D365" s="30" t="str">
        <f>'RESUMEN TOTAL'!J475</f>
        <v>Domo</v>
      </c>
      <c r="E365" s="30" t="str">
        <f>'RESUMEN TOTAL'!K475</f>
        <v>Fibra Optica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>
        <f>'RESUMEN TOTAL'!V475</f>
        <v>0</v>
      </c>
      <c r="J365" s="70">
        <f>'RESUMEN TOTAL'!W475</f>
        <v>0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 t="str">
        <f>'RESUMEN TOTAL'!AF475</f>
        <v>APAGADO</v>
      </c>
      <c r="T365" s="70" t="str">
        <f>'RESUMEN TOTAL'!AG475</f>
        <v>APAGADO</v>
      </c>
      <c r="U365" s="70" t="str">
        <f>'RESUMEN TOTAL'!AH475</f>
        <v>APAGADO</v>
      </c>
      <c r="V365" s="70" t="str">
        <f>'RESUMEN TOTAL'!AI475</f>
        <v>APAGADO</v>
      </c>
      <c r="W365" s="70">
        <f>'RESUMEN TOTAL'!AJ475</f>
        <v>0</v>
      </c>
      <c r="X365" s="70">
        <f>'RESUMEN TOTAL'!AK475</f>
        <v>0</v>
      </c>
      <c r="Y365" s="70" t="str">
        <f>'RESUMEN TOTAL'!AL475</f>
        <v>APAGADO</v>
      </c>
      <c r="Z365" s="70" t="str">
        <f>'RESUMEN TOTAL'!AM475</f>
        <v>APAGADO</v>
      </c>
      <c r="AA365" s="70" t="str">
        <f>'RESUMEN TOTAL'!AN475</f>
        <v>APAGADO</v>
      </c>
      <c r="AB365" s="70" t="str">
        <f>'RESUMEN TOTAL'!AO475</f>
        <v>APAGADO</v>
      </c>
      <c r="AC365" s="70" t="str">
        <f>'RESUMEN TOTAL'!AP475</f>
        <v>APAGADO</v>
      </c>
      <c r="AD365" s="70">
        <f>'RESUMEN TOTAL'!AQ475</f>
        <v>0</v>
      </c>
      <c r="AE365" s="70">
        <f>'RESUMEN TOTAL'!AR475</f>
        <v>0</v>
      </c>
      <c r="AF365" s="70" t="str">
        <f>'RESUMEN TOTAL'!AS475</f>
        <v>APAGADO</v>
      </c>
      <c r="AG365" s="70" t="str">
        <f>'RESUMEN TOTAL'!AT475</f>
        <v>APAGADO</v>
      </c>
      <c r="AH365" s="70" t="str">
        <f>'RESUMEN TOTAL'!AU475</f>
        <v>APAGADO</v>
      </c>
      <c r="AI365" s="70" t="str">
        <f>'RESUMEN TOTAL'!AV475</f>
        <v>APAGADO</v>
      </c>
      <c r="AJ365" s="70" t="e">
        <f>'RESUMEN TOTAL'!#REF!</f>
        <v>#REF!</v>
      </c>
    </row>
    <row r="366" spans="1:36" x14ac:dyDescent="0.25">
      <c r="A366" t="str">
        <f>'RESUMEN TOTAL'!F476</f>
        <v>CENTRO</v>
      </c>
      <c r="B366" t="str">
        <f>'RESUMEN TOTAL'!G476</f>
        <v>CEN73</v>
      </c>
      <c r="C366" t="str">
        <f>'RESUMEN TOTAL'!I476</f>
        <v>BOUREL Y DEFENSA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CENTRO</v>
      </c>
      <c r="B367" t="str">
        <f>'RESUMEN TOTAL'!G477</f>
        <v>CEN69</v>
      </c>
      <c r="C367" t="str">
        <f>'RESUMEN TOTAL'!I477</f>
        <v>RIVADAVIA Y BOUREL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CENTRO</v>
      </c>
      <c r="B368" t="str">
        <f>'RESUMEN TOTAL'!G478</f>
        <v>CEN68 (fija 2)</v>
      </c>
      <c r="C368" t="str">
        <f>'RESUMEN TOTAL'!I478</f>
        <v>9 DE JULIO Y BROWN</v>
      </c>
      <c r="D368" s="30" t="str">
        <f>'RESUMEN TOTAL'!J478</f>
        <v>Fija</v>
      </c>
      <c r="E368" s="30" t="str">
        <f>'RESUMEN TOTAL'!K478</f>
        <v>GPON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CENTRO</v>
      </c>
      <c r="B369" t="str">
        <f>'RESUMEN TOTAL'!G479</f>
        <v>CEN67 (fija 1)</v>
      </c>
      <c r="C369" t="str">
        <f>'RESUMEN TOTAL'!I479</f>
        <v>9 DE JULIO Y BROWN</v>
      </c>
      <c r="D369" s="30" t="str">
        <f>'RESUMEN TOTAL'!J479</f>
        <v>Fija</v>
      </c>
      <c r="E369" s="30" t="str">
        <f>'RESUMEN TOTAL'!K479</f>
        <v>GPON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CENTRO</v>
      </c>
      <c r="B370" t="str">
        <f>'RESUMEN TOTAL'!G480</f>
        <v>CEN66</v>
      </c>
      <c r="C370" t="str">
        <f>'RESUMEN TOTAL'!I480</f>
        <v>SAN MARTIN Y JUAN PERON</v>
      </c>
      <c r="D370" s="30" t="str">
        <f>'RESUMEN TOTAL'!J480</f>
        <v>FIJA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CENTRO</v>
      </c>
      <c r="B371" t="str">
        <f>'RESUMEN TOTAL'!G481</f>
        <v>CEN64</v>
      </c>
      <c r="C371" t="str">
        <f>'RESUMEN TOTAL'!I481</f>
        <v>SAN MARTIN Y BOCCUZZI</v>
      </c>
      <c r="D371" s="30" t="str">
        <f>'RESUMEN TOTAL'!J481</f>
        <v>FIJA</v>
      </c>
      <c r="E371" s="30" t="str">
        <f>'RESUMEN TOTAL'!K481</f>
        <v>Fibra Optica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CENTRO</v>
      </c>
      <c r="B372" t="str">
        <f>'RESUMEN TOTAL'!G482</f>
        <v>CEN63</v>
      </c>
      <c r="C372" t="str">
        <f>'RESUMEN TOTAL'!I482</f>
        <v>SAN MARTIN Y URQUIZA</v>
      </c>
      <c r="D372" s="30" t="str">
        <f>'RESUMEN TOTAL'!J482</f>
        <v>DOMO</v>
      </c>
      <c r="E372" s="30" t="str">
        <f>'RESUMEN TOTAL'!K482</f>
        <v>Fibra Optica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>
        <f>'RESUMEN TOTAL'!V482</f>
        <v>0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CENTRO</v>
      </c>
      <c r="B373" t="str">
        <f>'RESUMEN TOTAL'!G483</f>
        <v>CEN62</v>
      </c>
      <c r="C373" t="str">
        <f>'RESUMEN TOTAL'!I483</f>
        <v>ESPAÑA Y ALEM</v>
      </c>
      <c r="D373" s="30" t="str">
        <f>'RESUMEN TOTAL'!J483</f>
        <v>DOMO</v>
      </c>
      <c r="E373" s="30" t="str">
        <f>'RESUMEN TOTAL'!K483</f>
        <v>PTO A FO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 t="str">
        <f>'RESUMEN TOTAL'!Y483</f>
        <v>APAGADO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CENTRO</v>
      </c>
      <c r="B374" t="str">
        <f>'RESUMEN TOTAL'!G484</f>
        <v>CEN59</v>
      </c>
      <c r="C374" t="str">
        <f>'RESUMEN TOTAL'!I484</f>
        <v>CHACABUCO Y BOUREL</v>
      </c>
      <c r="D374" s="30" t="str">
        <f>'RESUMEN TOTAL'!J484</f>
        <v>DOMO</v>
      </c>
      <c r="E374" s="30" t="str">
        <f>'RESUMEN TOTAL'!K484</f>
        <v>GPON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CENTRO</v>
      </c>
      <c r="B375" t="str">
        <f>'RESUMEN TOTAL'!G485</f>
        <v>CEN52</v>
      </c>
      <c r="C375" t="str">
        <f>'RESUMEN TOTAL'!I485</f>
        <v>San Martin y Almafuerte (ex San Martin y Dorrego)</v>
      </c>
      <c r="D375" s="30" t="str">
        <f>'RESUMEN TOTAL'!J485</f>
        <v>DOMO</v>
      </c>
      <c r="E375" s="30" t="str">
        <f>'RESUMEN TOTAL'!K485</f>
        <v>GPON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CENTRO</v>
      </c>
      <c r="B376" t="str">
        <f>'RESUMEN TOTAL'!G486</f>
        <v>CEN49</v>
      </c>
      <c r="C376" t="str">
        <f>'RESUMEN TOTAL'!I486</f>
        <v>Av. San Martin y Florencio Sanchez</v>
      </c>
      <c r="D376" s="30" t="str">
        <f>'RESUMEN TOTAL'!J486</f>
        <v>Domo</v>
      </c>
      <c r="E376" s="30" t="str">
        <f>'RESUMEN TOTAL'!K486</f>
        <v>Fibra Optica</v>
      </c>
      <c r="F376" s="70" t="str">
        <f>'RESUMEN TOTAL'!S486</f>
        <v>APAGADO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 t="str">
        <f>'RESUMEN TOTAL'!X486</f>
        <v>APAGADO</v>
      </c>
      <c r="L376" s="70" t="str">
        <f>'RESUMEN TOTAL'!Y486</f>
        <v>APAGADO</v>
      </c>
      <c r="M376" s="70" t="str">
        <f>'RESUMEN TOTAL'!Z486</f>
        <v>APAGADO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 t="str">
        <f>'RESUMEN TOTAL'!AE486</f>
        <v>APAGADO</v>
      </c>
      <c r="S376" s="70" t="str">
        <f>'RESUMEN TOTAL'!AF486</f>
        <v>APAGADO</v>
      </c>
      <c r="T376" s="70" t="str">
        <f>'RESUMEN TOTAL'!AG486</f>
        <v>APAGADO</v>
      </c>
      <c r="U376" s="70" t="str">
        <f>'RESUMEN TOTAL'!AH486</f>
        <v>APAGADO</v>
      </c>
      <c r="V376" s="70" t="str">
        <f>'RESUMEN TOTAL'!AI486</f>
        <v>APAGADO</v>
      </c>
      <c r="W376" s="70">
        <f>'RESUMEN TOTAL'!AJ486</f>
        <v>0</v>
      </c>
      <c r="X376" s="70">
        <f>'RESUMEN TOTAL'!AK486</f>
        <v>0</v>
      </c>
      <c r="Y376" s="70" t="str">
        <f>'RESUMEN TOTAL'!AL486</f>
        <v>APAGADO</v>
      </c>
      <c r="Z376" s="70" t="str">
        <f>'RESUMEN TOTAL'!AM486</f>
        <v>APAGADO</v>
      </c>
      <c r="AA376" s="70" t="str">
        <f>'RESUMEN TOTAL'!AN486</f>
        <v>APAGADO</v>
      </c>
      <c r="AB376" s="70" t="str">
        <f>'RESUMEN TOTAL'!AO486</f>
        <v>APAGADO</v>
      </c>
      <c r="AC376" s="70" t="str">
        <f>'RESUMEN TOTAL'!AP486</f>
        <v>APAGADO</v>
      </c>
      <c r="AD376" s="70">
        <f>'RESUMEN TOTAL'!AQ486</f>
        <v>0</v>
      </c>
      <c r="AE376" s="70">
        <f>'RESUMEN TOTAL'!AR486</f>
        <v>0</v>
      </c>
      <c r="AF376" s="70" t="str">
        <f>'RESUMEN TOTAL'!AS486</f>
        <v>APAGADO</v>
      </c>
      <c r="AG376" s="70" t="str">
        <f>'RESUMEN TOTAL'!AT486</f>
        <v>APAGADO</v>
      </c>
      <c r="AH376" s="70" t="str">
        <f>'RESUMEN TOTAL'!AU486</f>
        <v>APAGADO</v>
      </c>
      <c r="AI376" s="70" t="str">
        <f>'RESUMEN TOTAL'!AV486</f>
        <v>APAGADO</v>
      </c>
      <c r="AJ376" s="70" t="e">
        <f>'RESUMEN TOTAL'!#REF!</f>
        <v>#REF!</v>
      </c>
    </row>
    <row r="377" spans="1:36" x14ac:dyDescent="0.25">
      <c r="A377" t="str">
        <f>'RESUMEN TOTAL'!F494</f>
        <v>CENTRO</v>
      </c>
      <c r="B377" t="str">
        <f>'RESUMEN TOTAL'!G494</f>
        <v>CEN41</v>
      </c>
      <c r="C377" t="str">
        <f>'RESUMEN TOTAL'!I494</f>
        <v>Contreras y Alberdi</v>
      </c>
      <c r="D377" s="30" t="str">
        <f>'RESUMEN TOTAL'!J494</f>
        <v>Domo</v>
      </c>
      <c r="E377" s="30" t="str">
        <f>'RESUMEN TOTAL'!K494</f>
        <v>Fibra Optica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 t="str">
        <f>'RESUMEN TOTAL'!Y494</f>
        <v>APAGADO</v>
      </c>
      <c r="M377" s="70" t="str">
        <f>'RESUMEN TOTAL'!Z494</f>
        <v>APAGADO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CENTRO</v>
      </c>
      <c r="B378" t="str">
        <f>'RESUMEN TOTAL'!G495</f>
        <v>CEN40</v>
      </c>
      <c r="C378" t="str">
        <f>'RESUMEN TOTAL'!I495</f>
        <v>Contreras y Monteagudo</v>
      </c>
      <c r="D378" s="30" t="str">
        <f>'RESUMEN TOTAL'!J495</f>
        <v>Domo</v>
      </c>
      <c r="E378" s="30" t="str">
        <f>'RESUMEN TOTAL'!K495</f>
        <v>Fibra Optica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 t="str">
        <f>'RESUMEN TOTAL'!Y495</f>
        <v>APAGADO</v>
      </c>
      <c r="M378" s="70" t="str">
        <f>'RESUMEN TOTAL'!Z495</f>
        <v>APAGADO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CENTRO</v>
      </c>
      <c r="B379" t="str">
        <f>'RESUMEN TOTAL'!G496</f>
        <v>CEN39</v>
      </c>
      <c r="C379" t="str">
        <f>'RESUMEN TOTAL'!I496</f>
        <v>San Martin y Alem</v>
      </c>
      <c r="D379" s="30" t="str">
        <f>'RESUMEN TOTAL'!J496</f>
        <v>Domo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 t="str">
        <f>'RESUMEN TOTAL'!Y496</f>
        <v>APAGADO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CENTRO</v>
      </c>
      <c r="B380" t="str">
        <f>'RESUMEN TOTAL'!G497</f>
        <v>CEN38</v>
      </c>
      <c r="C380" t="str">
        <f>'RESUMEN TOTAL'!I497</f>
        <v>Diagonal Constituyentes y Almafuerte</v>
      </c>
      <c r="D380" s="30" t="str">
        <f>'RESUMEN TOTAL'!J497</f>
        <v>Domo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 t="str">
        <f>'RESUMEN TOTAL'!AF497</f>
        <v>APAGADO</v>
      </c>
      <c r="T380" s="70" t="str">
        <f>'RESUMEN TOTAL'!AG497</f>
        <v>APAGADO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CENTRO</v>
      </c>
      <c r="B381" t="str">
        <f>'RESUMEN TOTAL'!G498</f>
        <v>CEN36</v>
      </c>
      <c r="C381" t="str">
        <f>'RESUMEN TOTAL'!I498</f>
        <v>España y 9 de Julio</v>
      </c>
      <c r="D381" s="30" t="str">
        <f>'RESUMEN TOTAL'!J498</f>
        <v>Domo</v>
      </c>
      <c r="E381" s="30" t="str">
        <f>'RESUMEN TOTAL'!K498</f>
        <v>Fibra Optica</v>
      </c>
      <c r="F381" s="70" t="str">
        <f>'RESUMEN TOTAL'!S498</f>
        <v>APAGADO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CENTRO</v>
      </c>
      <c r="B382" t="str">
        <f>'RESUMEN TOTAL'!G499</f>
        <v>CEN35</v>
      </c>
      <c r="C382" t="str">
        <f>'RESUMEN TOTAL'!I499</f>
        <v>España y Marmol</v>
      </c>
      <c r="D382" s="30" t="str">
        <f>'RESUMEN TOTAL'!J499</f>
        <v>Domo</v>
      </c>
      <c r="E382" s="30" t="str">
        <f>'RESUMEN TOTAL'!K499</f>
        <v>Fibra Optica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 t="str">
        <f>'RESUMEN TOTAL'!AG499</f>
        <v>APAGADO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CENTRO</v>
      </c>
      <c r="B383" t="str">
        <f>'RESUMEN TOTAL'!G500</f>
        <v>CEN34</v>
      </c>
      <c r="C383" t="str">
        <f>'RESUMEN TOTAL'!I500</f>
        <v>Peron y España</v>
      </c>
      <c r="D383" s="30" t="str">
        <f>'RESUMEN TOTAL'!J500</f>
        <v>Domo</v>
      </c>
      <c r="E383" s="30" t="str">
        <f>'RESUMEN TOTAL'!K500</f>
        <v>Fibra Optica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CENTRO</v>
      </c>
      <c r="B384" t="str">
        <f>'RESUMEN TOTAL'!G501</f>
        <v>CEN33</v>
      </c>
      <c r="C384" t="str">
        <f>'RESUMEN TOTAL'!I501</f>
        <v>Peron y Alberdi</v>
      </c>
      <c r="D384" s="30" t="str">
        <f>'RESUMEN TOTAL'!J501</f>
        <v>Domo</v>
      </c>
      <c r="E384" s="30" t="str">
        <f>'RESUMEN TOTAL'!K501</f>
        <v>Fibra Optica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CENTRO</v>
      </c>
      <c r="B385" t="str">
        <f>'RESUMEN TOTAL'!G502</f>
        <v>CEN32</v>
      </c>
      <c r="C385" t="str">
        <f>'RESUMEN TOTAL'!I502</f>
        <v>Aristobulo del Valle y España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CENTRO</v>
      </c>
      <c r="B386" t="str">
        <f>'RESUMEN TOTAL'!G503</f>
        <v>CEN31</v>
      </c>
      <c r="C386" t="str">
        <f>'RESUMEN TOTAL'!I503</f>
        <v>Mitre e/Monteagudo y Alberdi</v>
      </c>
      <c r="D386" s="30" t="str">
        <f>'RESUMEN TOTAL'!J503</f>
        <v>Domo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CENTRO</v>
      </c>
      <c r="B387" t="str">
        <f>'RESUMEN TOTAL'!G504</f>
        <v>CEN30</v>
      </c>
      <c r="C387" t="str">
        <f>'RESUMEN TOTAL'!I504</f>
        <v>Mitre y Pringles</v>
      </c>
      <c r="D387" s="30" t="str">
        <f>'RESUMEN TOTAL'!J504</f>
        <v>Domo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CENTRO</v>
      </c>
      <c r="B388" t="str">
        <f>'RESUMEN TOTAL'!G505</f>
        <v>CEN29</v>
      </c>
      <c r="C388" t="str">
        <f>'RESUMEN TOTAL'!I505</f>
        <v>Alberdi y San Juan</v>
      </c>
      <c r="D388" s="30" t="str">
        <f>'RESUMEN TOTAL'!J505</f>
        <v>Domo</v>
      </c>
      <c r="E388" s="30" t="str">
        <f>'RESUMEN TOTAL'!K505</f>
        <v>Fibra Optica</v>
      </c>
      <c r="F388" s="70" t="str">
        <f>'RESUMEN TOTAL'!S505</f>
        <v>APAGADO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 t="str">
        <f>'RESUMEN TOTAL'!Y505</f>
        <v>APAGADO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 t="str">
        <f>'RESUMEN TOTAL'!AE505</f>
        <v>APAGADO</v>
      </c>
      <c r="S388" s="70" t="str">
        <f>'RESUMEN TOTAL'!AF505</f>
        <v>APAGADO</v>
      </c>
      <c r="T388" s="70" t="str">
        <f>'RESUMEN TOTAL'!AG505</f>
        <v>APAGADO</v>
      </c>
      <c r="U388" s="70" t="str">
        <f>'RESUMEN TOTAL'!AH505</f>
        <v>APAGADO</v>
      </c>
      <c r="V388" s="70" t="str">
        <f>'RESUMEN TOTAL'!AI505</f>
        <v>APAGADO</v>
      </c>
      <c r="W388" s="70">
        <f>'RESUMEN TOTAL'!AJ505</f>
        <v>0</v>
      </c>
      <c r="X388" s="70">
        <f>'RESUMEN TOTAL'!AK505</f>
        <v>0</v>
      </c>
      <c r="Y388" s="70" t="str">
        <f>'RESUMEN TOTAL'!AL505</f>
        <v>APAGADO</v>
      </c>
      <c r="Z388" s="70" t="str">
        <f>'RESUMEN TOTAL'!AM505</f>
        <v>APAGADO</v>
      </c>
      <c r="AA388" s="70" t="str">
        <f>'RESUMEN TOTAL'!AN505</f>
        <v>APAGADO</v>
      </c>
      <c r="AB388" s="70" t="str">
        <f>'RESUMEN TOTAL'!AO505</f>
        <v>APAGADO</v>
      </c>
      <c r="AC388" s="70" t="str">
        <f>'RESUMEN TOTAL'!AP505</f>
        <v>APAGADO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 t="str">
        <f>'RESUMEN TOTAL'!AT505</f>
        <v>APAGADO</v>
      </c>
      <c r="AH388" s="70" t="str">
        <f>'RESUMEN TOTAL'!AU505</f>
        <v>APAGADO</v>
      </c>
      <c r="AI388" s="70" t="str">
        <f>'RESUMEN TOTAL'!AV505</f>
        <v>APAGADO</v>
      </c>
      <c r="AJ388" s="70" t="e">
        <f>'RESUMEN TOTAL'!#REF!</f>
        <v>#REF!</v>
      </c>
    </row>
    <row r="389" spans="1:36" x14ac:dyDescent="0.25">
      <c r="A389" t="str">
        <f>'RESUMEN TOTAL'!F506</f>
        <v>CENTRO</v>
      </c>
      <c r="B389" t="str">
        <f>'RESUMEN TOTAL'!G506</f>
        <v>CEN28</v>
      </c>
      <c r="C389" t="str">
        <f>'RESUMEN TOTAL'!I506</f>
        <v>Mitre y Alberdi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 t="str">
        <f>'RESUMEN TOTAL'!X506</f>
        <v>APAGADO</v>
      </c>
      <c r="L389" s="70" t="str">
        <f>'RESUMEN TOTAL'!Y506</f>
        <v>APAGADO</v>
      </c>
      <c r="M389" s="70" t="str">
        <f>'RESUMEN TOTAL'!Z506</f>
        <v>APAGADO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 t="str">
        <f>'RESUMEN TOTAL'!AE506</f>
        <v>APAGADO</v>
      </c>
      <c r="S389" s="70" t="str">
        <f>'RESUMEN TOTAL'!AF506</f>
        <v>APAGADO</v>
      </c>
      <c r="T389" s="70" t="str">
        <f>'RESUMEN TOTAL'!AG506</f>
        <v>APAGADO</v>
      </c>
      <c r="U389" s="70" t="str">
        <f>'RESUMEN TOTAL'!AH506</f>
        <v>APAGADO</v>
      </c>
      <c r="V389" s="70" t="str">
        <f>'RESUMEN TOTAL'!AI506</f>
        <v>APAGADO</v>
      </c>
      <c r="W389" s="70">
        <f>'RESUMEN TOTAL'!AJ506</f>
        <v>0</v>
      </c>
      <c r="X389" s="70">
        <f>'RESUMEN TOTAL'!AK506</f>
        <v>0</v>
      </c>
      <c r="Y389" s="70" t="str">
        <f>'RESUMEN TOTAL'!AL506</f>
        <v>APAGADO</v>
      </c>
      <c r="Z389" s="70" t="str">
        <f>'RESUMEN TOTAL'!AM506</f>
        <v>APAGADO</v>
      </c>
      <c r="AA389" s="70" t="str">
        <f>'RESUMEN TOTAL'!AN506</f>
        <v>APAGADO</v>
      </c>
      <c r="AB389" s="70" t="str">
        <f>'RESUMEN TOTAL'!AO506</f>
        <v>APAGADO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 t="str">
        <f>'RESUMEN TOTAL'!AS506</f>
        <v>APAGADO</v>
      </c>
      <c r="AG389" s="70" t="str">
        <f>'RESUMEN TOTAL'!AT506</f>
        <v>APAGADO</v>
      </c>
      <c r="AH389" s="70" t="str">
        <f>'RESUMEN TOTAL'!AU506</f>
        <v>APAGADO</v>
      </c>
      <c r="AI389" s="70" t="str">
        <f>'RESUMEN TOTAL'!AV506</f>
        <v>APAGADO</v>
      </c>
      <c r="AJ389" s="70" t="e">
        <f>'RESUMEN TOTAL'!#REF!</f>
        <v>#REF!</v>
      </c>
    </row>
    <row r="390" spans="1:36" x14ac:dyDescent="0.25">
      <c r="A390" t="str">
        <f>'RESUMEN TOTAL'!F507</f>
        <v>CENTRO</v>
      </c>
      <c r="B390" t="str">
        <f>'RESUMEN TOTAL'!G507</f>
        <v>CEN27</v>
      </c>
      <c r="C390" t="str">
        <f>'RESUMEN TOTAL'!I507</f>
        <v>San Juan y España</v>
      </c>
      <c r="D390" s="30" t="str">
        <f>'RESUMEN TOTAL'!J507</f>
        <v>Domo</v>
      </c>
      <c r="E390" s="30" t="str">
        <f>'RESUMEN TOTAL'!K507</f>
        <v>GPON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 t="str">
        <f>'RESUMEN TOTAL'!AE507</f>
        <v>APAGADO</v>
      </c>
      <c r="S390" s="70" t="str">
        <f>'RESUMEN TOTAL'!AF507</f>
        <v>APAGADO</v>
      </c>
      <c r="T390" s="70" t="str">
        <f>'RESUMEN TOTAL'!AG507</f>
        <v>APAGADO</v>
      </c>
      <c r="U390" s="70" t="str">
        <f>'RESUMEN TOTAL'!AH507</f>
        <v>APAGADO</v>
      </c>
      <c r="V390" s="70" t="str">
        <f>'RESUMEN TOTAL'!AI507</f>
        <v>APAGADO</v>
      </c>
      <c r="W390" s="70">
        <f>'RESUMEN TOTAL'!AJ507</f>
        <v>0</v>
      </c>
      <c r="X390" s="70">
        <f>'RESUMEN TOTAL'!AK507</f>
        <v>0</v>
      </c>
      <c r="Y390" s="70" t="str">
        <f>'RESUMEN TOTAL'!AL507</f>
        <v>APAGADO</v>
      </c>
      <c r="Z390" s="70" t="str">
        <f>'RESUMEN TOTAL'!AM507</f>
        <v>APAGADO</v>
      </c>
      <c r="AA390" s="70" t="str">
        <f>'RESUMEN TOTAL'!AN507</f>
        <v>APAGADO</v>
      </c>
      <c r="AB390" s="70" t="str">
        <f>'RESUMEN TOTAL'!AO507</f>
        <v>APAGADO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 t="str">
        <f>'RESUMEN TOTAL'!AS507</f>
        <v>APAGADO</v>
      </c>
      <c r="AG390" s="70" t="str">
        <f>'RESUMEN TOTAL'!AT507</f>
        <v>APAGADO</v>
      </c>
      <c r="AH390" s="70" t="str">
        <f>'RESUMEN TOTAL'!AU507</f>
        <v>APAGADO</v>
      </c>
      <c r="AI390" s="70" t="str">
        <f>'RESUMEN TOTAL'!AV507</f>
        <v>APAGADO</v>
      </c>
      <c r="AJ390" s="70" t="e">
        <f>'RESUMEN TOTAL'!#REF!</f>
        <v>#REF!</v>
      </c>
    </row>
    <row r="391" spans="1:36" x14ac:dyDescent="0.25">
      <c r="A391" t="str">
        <f>'RESUMEN TOTAL'!F508</f>
        <v>CENTRO</v>
      </c>
      <c r="B391" t="str">
        <f>'RESUMEN TOTAL'!G508</f>
        <v>CEN26</v>
      </c>
      <c r="C391" t="str">
        <f>'RESUMEN TOTAL'!I508</f>
        <v>Mitre y España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CENTRO</v>
      </c>
      <c r="B392" t="str">
        <f>'RESUMEN TOTAL'!G509</f>
        <v>CEN25</v>
      </c>
      <c r="C392" t="str">
        <f>'RESUMEN TOTAL'!I509</f>
        <v>SAN MARTIN Y 9 DE JULIO</v>
      </c>
      <c r="D392" s="30" t="str">
        <f>'RESUMEN TOTAL'!J509</f>
        <v>Domo</v>
      </c>
      <c r="E392" s="30" t="str">
        <f>'RESUMEN TOTAL'!K509</f>
        <v>Fibra Optica</v>
      </c>
      <c r="F392" s="70" t="str">
        <f>'RESUMEN TOTAL'!S509</f>
        <v>APAGADO</v>
      </c>
      <c r="G392" s="70">
        <f>'RESUMEN TOTAL'!T509</f>
        <v>0</v>
      </c>
      <c r="H392" s="70">
        <f>'RESUMEN TOTAL'!U509</f>
        <v>0</v>
      </c>
      <c r="I392" s="70">
        <f>'RESUMEN TOTAL'!V509</f>
        <v>0</v>
      </c>
      <c r="J392" s="70">
        <f>'RESUMEN TOTAL'!W509</f>
        <v>0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CENTRO</v>
      </c>
      <c r="B393" t="str">
        <f>'RESUMEN TOTAL'!G510</f>
        <v>CEN24</v>
      </c>
      <c r="C393" t="str">
        <f>'RESUMEN TOTAL'!I510</f>
        <v>Sallares y España</v>
      </c>
      <c r="D393" s="30" t="str">
        <f>'RESUMEN TOTAL'!J510</f>
        <v>Domo</v>
      </c>
      <c r="E393" s="30" t="str">
        <f>'RESUMEN TOTAL'!K510</f>
        <v>GPON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CENTRO</v>
      </c>
      <c r="B394" t="str">
        <f>'RESUMEN TOTAL'!G511</f>
        <v>CEN23</v>
      </c>
      <c r="C394" t="str">
        <f>'RESUMEN TOTAL'!I511</f>
        <v>Sallares y Monteagudo</v>
      </c>
      <c r="D394" s="30" t="str">
        <f>'RESUMEN TOTAL'!J511</f>
        <v>Domo</v>
      </c>
      <c r="E394" s="30" t="str">
        <f>'RESUMEN TOTAL'!K511</f>
        <v>Fibra Optica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CENTRO</v>
      </c>
      <c r="B395" t="str">
        <f>'RESUMEN TOTAL'!G512</f>
        <v>CEN22</v>
      </c>
      <c r="C395" t="str">
        <f>'RESUMEN TOTAL'!I512</f>
        <v>Las Heras y Chacabuco</v>
      </c>
      <c r="D395" s="30" t="str">
        <f>'RESUMEN TOTAL'!J512</f>
        <v>Domo</v>
      </c>
      <c r="E395" s="30" t="str">
        <f>'RESUMEN TOTAL'!K512</f>
        <v>GPON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>
        <f>'RESUMEN TOTAL'!V512</f>
        <v>0</v>
      </c>
      <c r="J395" s="70">
        <f>'RESUMEN TOTAL'!W512</f>
        <v>0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CENTRO</v>
      </c>
      <c r="B396" t="str">
        <f>'RESUMEN TOTAL'!G513</f>
        <v>CEN21</v>
      </c>
      <c r="C396" t="str">
        <f>'RESUMEN TOTAL'!I513</f>
        <v>Misiones y Urquiza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LOMAS DE MONTEVERDE</v>
      </c>
      <c r="B397" t="str">
        <f>'RESUMEN TOTAL'!G514</f>
        <v>CEN20</v>
      </c>
      <c r="C397" t="str">
        <f>'RESUMEN TOTAL'!I514</f>
        <v>Pte. Illia y Las Heras</v>
      </c>
      <c r="D397" s="30" t="str">
        <f>'RESUMEN TOTAL'!J514</f>
        <v>Domo</v>
      </c>
      <c r="E397" s="30" t="str">
        <f>'RESUMEN TOTAL'!K514</f>
        <v>GPON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 t="str">
        <f>'RESUMEN TOTAL'!Z514</f>
        <v>APAGADO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CENTRO</v>
      </c>
      <c r="B398" t="str">
        <f>'RESUMEN TOTAL'!G515</f>
        <v>CEN19</v>
      </c>
      <c r="C398" t="str">
        <f>'RESUMEN TOTAL'!I515</f>
        <v>Chacabuco y 25 de Mayo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CENTRO</v>
      </c>
      <c r="B399" t="str">
        <f>'RESUMEN TOTAL'!G516</f>
        <v>CEN18</v>
      </c>
      <c r="C399" t="str">
        <f>'RESUMEN TOTAL'!I516</f>
        <v>Monteagudo e/Mitre y Sallares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>
        <f>'RESUMEN TOTAL'!V516</f>
        <v>0</v>
      </c>
      <c r="J399" s="70">
        <f>'RESUMEN TOTAL'!W516</f>
        <v>0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CENTRO</v>
      </c>
      <c r="B400" t="str">
        <f>'RESUMEN TOTAL'!G517</f>
        <v>CEN17</v>
      </c>
      <c r="C400" t="str">
        <f>'RESUMEN TOTAL'!I517</f>
        <v>San Martin y Mitre</v>
      </c>
      <c r="D400" s="30" t="str">
        <f>'RESUMEN TOTAL'!J517</f>
        <v>Domo</v>
      </c>
      <c r="E400" s="30" t="str">
        <f>'RESUMEN TOTAL'!K517</f>
        <v>PTO A FO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>
        <f>'RESUMEN TOTAL'!V517</f>
        <v>0</v>
      </c>
      <c r="J400" s="70">
        <f>'RESUMEN TOTAL'!W517</f>
        <v>0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 t="str">
        <f>'RESUMEN TOTAL'!AO517</f>
        <v>APAGADO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CENTRO</v>
      </c>
      <c r="B401" t="str">
        <f>'RESUMEN TOTAL'!G518</f>
        <v>CEN16</v>
      </c>
      <c r="C401" t="str">
        <f>'RESUMEN TOTAL'!I518</f>
        <v>San Martin y Pte. Peron</v>
      </c>
      <c r="D401" s="30" t="str">
        <f>'RESUMEN TOTAL'!J518</f>
        <v>Fija</v>
      </c>
      <c r="E401" s="30" t="str">
        <f>'RESUMEN TOTAL'!K518</f>
        <v>Fibra Optica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CENTRO</v>
      </c>
      <c r="B402" t="str">
        <f>'RESUMEN TOTAL'!G519</f>
        <v>CEN15</v>
      </c>
      <c r="C402" t="str">
        <f>'RESUMEN TOTAL'!I519</f>
        <v>Alberdi y A.del Valle</v>
      </c>
      <c r="D402" s="30" t="str">
        <f>'RESUMEN TOTAL'!J519</f>
        <v>Domo</v>
      </c>
      <c r="E402" s="30" t="str">
        <f>'RESUMEN TOTAL'!K519</f>
        <v>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>
        <f>'RESUMEN TOTAL'!V519</f>
        <v>0</v>
      </c>
      <c r="J402" s="70">
        <f>'RESUMEN TOTAL'!W519</f>
        <v>0</v>
      </c>
      <c r="K402" s="70">
        <f>'RESUMEN TOTAL'!X519</f>
        <v>0</v>
      </c>
      <c r="L402" s="70">
        <f>'RESUMEN TOTAL'!Y519</f>
        <v>0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CENTRO</v>
      </c>
      <c r="B403" t="str">
        <f>'RESUMEN TOTAL'!G520</f>
        <v>CEN14</v>
      </c>
      <c r="C403" t="str">
        <f>'RESUMEN TOTAL'!I520</f>
        <v>Pte.Peron e/Pringles y Brown</v>
      </c>
      <c r="D403" s="30" t="str">
        <f>'RESUMEN TOTAL'!J520</f>
        <v>Domo</v>
      </c>
      <c r="E403" s="30" t="str">
        <f>'RESUMEN TOTAL'!K520</f>
        <v>Fibra Optica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CENTRO</v>
      </c>
      <c r="B404" t="str">
        <f>'RESUMEN TOTAL'!G521</f>
        <v>CEN11</v>
      </c>
      <c r="C404" t="str">
        <f>'RESUMEN TOTAL'!I521</f>
        <v>Monteagudo y Bocuzzi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>
        <f>'RESUMEN TOTAL'!V521</f>
        <v>0</v>
      </c>
      <c r="J404" s="70">
        <f>'RESUMEN TOTAL'!W521</f>
        <v>0</v>
      </c>
      <c r="K404" s="70">
        <f>'RESUMEN TOTAL'!X521</f>
        <v>0</v>
      </c>
      <c r="L404" s="70">
        <f>'RESUMEN TOTAL'!Y521</f>
        <v>0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CENTRO</v>
      </c>
      <c r="B405" t="str">
        <f>'RESUMEN TOTAL'!G522</f>
        <v>CEN100</v>
      </c>
      <c r="C405" t="str">
        <f>'RESUMEN TOTAL'!I522</f>
        <v>Monteagudo y Almafuerte</v>
      </c>
      <c r="D405" s="30" t="str">
        <f>'RESUMEN TOTAL'!J522</f>
        <v>Domo</v>
      </c>
      <c r="E405" s="30" t="str">
        <f>'RESUMEN TOTAL'!K522</f>
        <v>Fibra Optica</v>
      </c>
      <c r="F405" s="70" t="str">
        <f>'RESUMEN TOTAL'!S522</f>
        <v>APAGADO</v>
      </c>
      <c r="G405" s="70">
        <f>'RESUMEN TOTAL'!T522</f>
        <v>0</v>
      </c>
      <c r="H405" s="70">
        <f>'RESUMEN TOTAL'!U522</f>
        <v>0</v>
      </c>
      <c r="I405" s="70">
        <f>'RESUMEN TOTAL'!V522</f>
        <v>0</v>
      </c>
      <c r="J405" s="70">
        <f>'RESUMEN TOTAL'!W522</f>
        <v>0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 t="str">
        <f>'RESUMEN TOTAL'!AH522</f>
        <v>APAGADO</v>
      </c>
      <c r="V405" s="70" t="str">
        <f>'RESUMEN TOTAL'!AI522</f>
        <v>APAGADO</v>
      </c>
      <c r="W405" s="70">
        <f>'RESUMEN TOTAL'!AJ522</f>
        <v>0</v>
      </c>
      <c r="X405" s="70">
        <f>'RESUMEN TOTAL'!AK522</f>
        <v>0</v>
      </c>
      <c r="Y405" s="70" t="str">
        <f>'RESUMEN TOTAL'!AL522</f>
        <v>APAGADO</v>
      </c>
      <c r="Z405" s="70" t="str">
        <f>'RESUMEN TOTAL'!AM522</f>
        <v>APAGADO</v>
      </c>
      <c r="AA405" s="70" t="str">
        <f>'RESUMEN TOTAL'!AN522</f>
        <v>APAGADO</v>
      </c>
      <c r="AB405" s="70" t="str">
        <f>'RESUMEN TOTAL'!AO522</f>
        <v>APAGADO</v>
      </c>
      <c r="AC405" s="70" t="str">
        <f>'RESUMEN TOTAL'!AP522</f>
        <v>APAGADO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 t="str">
        <f>'RESUMEN TOTAL'!AT522</f>
        <v>APAGADO</v>
      </c>
      <c r="AH405" s="70" t="str">
        <f>'RESUMEN TOTAL'!AU522</f>
        <v>APAGADO</v>
      </c>
      <c r="AI405" s="70" t="str">
        <f>'RESUMEN TOTAL'!AV522</f>
        <v>APAGADO</v>
      </c>
      <c r="AJ405" s="70" t="e">
        <f>'RESUMEN TOTAL'!#REF!</f>
        <v>#REF!</v>
      </c>
    </row>
    <row r="406" spans="1:36" x14ac:dyDescent="0.25">
      <c r="A406" t="str">
        <f>'RESUMEN TOTAL'!F523</f>
        <v>CENTRO</v>
      </c>
      <c r="B406" t="str">
        <f>'RESUMEN TOTAL'!G523</f>
        <v>CEN10</v>
      </c>
      <c r="C406" t="str">
        <f>'RESUMEN TOTAL'!I523</f>
        <v>Monteagudo y Pte. Peron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CENTRO</v>
      </c>
      <c r="B407" t="str">
        <f>'RESUMEN TOTAL'!G524</f>
        <v>CEN09</v>
      </c>
      <c r="C407" t="str">
        <f>'RESUMEN TOTAL'!I524</f>
        <v>Chacabuco y 25 de Mayo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CENTRO</v>
      </c>
      <c r="B408" t="str">
        <f>'RESUMEN TOTAL'!G525</f>
        <v>CEN08</v>
      </c>
      <c r="C408" t="str">
        <f>'RESUMEN TOTAL'!I525</f>
        <v>San Martin y Pte.Peron</v>
      </c>
      <c r="D408" s="30" t="str">
        <f>'RESUMEN TOTAL'!J525</f>
        <v>Domo</v>
      </c>
      <c r="E408" s="30" t="str">
        <f>'RESUMEN TOTAL'!K525</f>
        <v>Fibra Optica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CENTRO</v>
      </c>
      <c r="B409" t="str">
        <f>'RESUMEN TOTAL'!G526</f>
        <v>CEN07</v>
      </c>
      <c r="C409" t="str">
        <f>'RESUMEN TOTAL'!I526</f>
        <v>San Martin y Guemes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>
        <f>'RESUMEN TOTAL'!V526</f>
        <v>0</v>
      </c>
      <c r="J409" s="70">
        <f>'RESUMEN TOTAL'!W526</f>
        <v>0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CENTRO</v>
      </c>
      <c r="B410" t="str">
        <f>'RESUMEN TOTAL'!G527</f>
        <v>CEN06</v>
      </c>
      <c r="C410" t="str">
        <f>'RESUMEN TOTAL'!I527</f>
        <v>Monteagudo y A.del Valle</v>
      </c>
      <c r="D410" s="30" t="str">
        <f>'RESUMEN TOTAL'!J527</f>
        <v>Fija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 t="str">
        <f>'RESUMEN TOTAL'!X527</f>
        <v>APAGADO</v>
      </c>
      <c r="L410" s="70" t="str">
        <f>'RESUMEN TOTAL'!Y527</f>
        <v>APAGADO</v>
      </c>
      <c r="M410" s="70" t="str">
        <f>'RESUMEN TOTAL'!Z527</f>
        <v>APAGADO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 t="str">
        <f>'RESUMEN TOTAL'!AE527</f>
        <v>APAGADO</v>
      </c>
      <c r="S410" s="70" t="str">
        <f>'RESUMEN TOTAL'!AF527</f>
        <v>APAGADO</v>
      </c>
      <c r="T410" s="70" t="str">
        <f>'RESUMEN TOTAL'!AG527</f>
        <v>APAGADO</v>
      </c>
      <c r="U410" s="70" t="str">
        <f>'RESUMEN TOTAL'!AH527</f>
        <v>APAGADO</v>
      </c>
      <c r="V410" s="70" t="str">
        <f>'RESUMEN TOTAL'!AI527</f>
        <v>APAGADO</v>
      </c>
      <c r="W410" s="70">
        <f>'RESUMEN TOTAL'!AJ527</f>
        <v>0</v>
      </c>
      <c r="X410" s="70">
        <f>'RESUMEN TOTAL'!AK527</f>
        <v>0</v>
      </c>
      <c r="Y410" s="70" t="str">
        <f>'RESUMEN TOTAL'!AL527</f>
        <v>APAGADO</v>
      </c>
      <c r="Z410" s="70" t="str">
        <f>'RESUMEN TOTAL'!AM527</f>
        <v>APAGADO</v>
      </c>
      <c r="AA410" s="70" t="str">
        <f>'RESUMEN TOTAL'!AN527</f>
        <v>APAGADO</v>
      </c>
      <c r="AB410" s="70" t="str">
        <f>'RESUMEN TOTAL'!AO527</f>
        <v>APAGADO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 t="str">
        <f>'RESUMEN TOTAL'!AS527</f>
        <v>APAGADO</v>
      </c>
      <c r="AG410" s="70" t="str">
        <f>'RESUMEN TOTAL'!AT527</f>
        <v>APAGADO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CENTRO</v>
      </c>
      <c r="B411" t="str">
        <f>'RESUMEN TOTAL'!G528</f>
        <v>CEN04</v>
      </c>
      <c r="C411" t="str">
        <f>'RESUMEN TOTAL'!I528</f>
        <v>San Martin y Contreras</v>
      </c>
      <c r="D411" s="30" t="str">
        <f>'RESUMEN TOTAL'!J528</f>
        <v>Domo</v>
      </c>
      <c r="E411" s="30" t="str">
        <f>'RESUMEN TOTAL'!K528</f>
        <v>Fibra Optica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 t="str">
        <f>'RESUMEN TOTAL'!Y528</f>
        <v>APAGADO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CENTRO</v>
      </c>
      <c r="B412" t="str">
        <f>'RESUMEN TOTAL'!G529</f>
        <v>CEN03</v>
      </c>
      <c r="C412" t="str">
        <f>'RESUMEN TOTAL'!I529</f>
        <v>San Martin y Sallares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 t="str">
        <f>'RESUMEN TOTAL'!AE529</f>
        <v>APAGADO</v>
      </c>
      <c r="S412" s="70" t="str">
        <f>'RESUMEN TOTAL'!AF529</f>
        <v>APAGADO</v>
      </c>
      <c r="T412" s="70" t="str">
        <f>'RESUMEN TOTAL'!AG529</f>
        <v>APAGADO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 t="str">
        <f>'RESUMEN TOTAL'!AO529</f>
        <v>APAGADO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CENTRO</v>
      </c>
      <c r="B413" t="str">
        <f>'RESUMEN TOTAL'!G530</f>
        <v>CEN02</v>
      </c>
      <c r="C413" t="str">
        <f>'RESUMEN TOTAL'!I530</f>
        <v>San Martin y Almafuerte</v>
      </c>
      <c r="D413" s="30" t="str">
        <f>'RESUMEN TOTAL'!J530</f>
        <v>Fija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>
        <f>'RESUMEN TOTAL'!V530</f>
        <v>0</v>
      </c>
      <c r="J413" s="70">
        <f>'RESUMEN TOTAL'!W530</f>
        <v>0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CENTRO</v>
      </c>
      <c r="B414" t="str">
        <f>'RESUMEN TOTAL'!G531</f>
        <v>CEN01</v>
      </c>
      <c r="C414" t="str">
        <f>'RESUMEN TOTAL'!I531</f>
        <v>San Martin y 9 de Julio</v>
      </c>
      <c r="D414" s="30" t="str">
        <f>'RESUMEN TOTAL'!J531</f>
        <v>Fija</v>
      </c>
      <c r="E414" s="30" t="str">
        <f>'RESUMEN TOTAL'!K531</f>
        <v>GPON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CENTRO</v>
      </c>
      <c r="B415" t="str">
        <f>'RESUMEN TOTAL'!G532</f>
        <v>CEN 86</v>
      </c>
      <c r="C415" t="str">
        <f>'RESUMEN TOTAL'!I532</f>
        <v>Monteagudo y Bocuzzi</v>
      </c>
      <c r="D415" s="30" t="str">
        <f>'RESUMEN TOTAL'!J532</f>
        <v>Fija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CENTRO</v>
      </c>
      <c r="B416" t="str">
        <f>'RESUMEN TOTAL'!G533</f>
        <v>CEN 85</v>
      </c>
      <c r="C416" t="str">
        <f>'RESUMEN TOTAL'!I533</f>
        <v>PTE PERON E/ PRINGLES Y BROWN</v>
      </c>
      <c r="D416" s="30" t="str">
        <f>'RESUMEN TOTAL'!J533</f>
        <v>Fija</v>
      </c>
      <c r="E416" s="30" t="str">
        <f>'RESUMEN TOTAL'!K533</f>
        <v>Fibra Optica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 t="str">
        <f>'RESUMEN TOTAL'!AF533</f>
        <v>APAGADO</v>
      </c>
      <c r="T416" s="70" t="str">
        <f>'RESUMEN TOTAL'!AG533</f>
        <v>APAGADO</v>
      </c>
      <c r="U416" s="70" t="str">
        <f>'RESUMEN TOTAL'!AH533</f>
        <v>APAGADO</v>
      </c>
      <c r="V416" s="70" t="str">
        <f>'RESUMEN TOTAL'!AI533</f>
        <v>APAGADO</v>
      </c>
      <c r="W416" s="70">
        <f>'RESUMEN TOTAL'!AJ533</f>
        <v>0</v>
      </c>
      <c r="X416" s="70">
        <f>'RESUMEN TOTAL'!AK533</f>
        <v>0</v>
      </c>
      <c r="Y416" s="70" t="str">
        <f>'RESUMEN TOTAL'!AL533</f>
        <v>APAGADO</v>
      </c>
      <c r="Z416" s="70" t="str">
        <f>'RESUMEN TOTAL'!AM533</f>
        <v>APAGADO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CENTRO</v>
      </c>
      <c r="B417" t="str">
        <f>'RESUMEN TOTAL'!G534</f>
        <v>CEN 84</v>
      </c>
      <c r="C417" t="str">
        <f>'RESUMEN TOTAL'!I534</f>
        <v>25 DE MAYO Y MAIPU</v>
      </c>
      <c r="D417" s="30" t="str">
        <f>'RESUMEN TOTAL'!J534</f>
        <v>Fija</v>
      </c>
      <c r="E417" s="30" t="str">
        <f>'RESUMEN TOTAL'!K534</f>
        <v>GPON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 t="str">
        <f>'RESUMEN TOTAL'!AL534</f>
        <v>APAGADO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CENTRO</v>
      </c>
      <c r="B418" t="str">
        <f>'RESUMEN TOTAL'!G540</f>
        <v>CEN 77</v>
      </c>
      <c r="C418" t="str">
        <f>'RESUMEN TOTAL'!I540</f>
        <v>Monteagudo e/ Mitre y Boccuzzi</v>
      </c>
      <c r="D418" s="30" t="str">
        <f>'RESUMEN TOTAL'!J540</f>
        <v>Fija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CENTRO</v>
      </c>
      <c r="B419" t="str">
        <f>'RESUMEN TOTAL'!G541</f>
        <v>CEN 76</v>
      </c>
      <c r="C419" t="str">
        <f>'RESUMEN TOTAL'!I541</f>
        <v>ESPAÑA E/MITRE Y BOCUZZI</v>
      </c>
      <c r="D419" s="30" t="str">
        <f>'RESUMEN TOTAL'!J541</f>
        <v>Fija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CENTRO</v>
      </c>
      <c r="B420" t="str">
        <f>'RESUMEN TOTAL'!G542</f>
        <v>CEN 75</v>
      </c>
      <c r="C420" t="str">
        <f>'RESUMEN TOTAL'!I542</f>
        <v>25 DE MAYO Y CASTELLI</v>
      </c>
      <c r="D420" s="30" t="str">
        <f>'RESUMEN TOTAL'!J542</f>
        <v>Domo</v>
      </c>
      <c r="E420" s="30" t="str">
        <f>'RESUMEN TOTAL'!K542</f>
        <v>GPON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>
        <f>'RESUMEN TOTAL'!V542</f>
        <v>0</v>
      </c>
      <c r="J420" s="70">
        <f>'RESUMEN TOTAL'!W542</f>
        <v>0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 t="str">
        <f>'RESUMEN TOTAL'!AT542</f>
        <v>APAGADO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CENTRO</v>
      </c>
      <c r="B421" t="str">
        <f>'RESUMEN TOTAL'!G543</f>
        <v>CEN 72</v>
      </c>
      <c r="C421" t="str">
        <f>'RESUMEN TOTAL'!I543</f>
        <v>MORENO Y 25 DE MAYO</v>
      </c>
      <c r="D421" s="30" t="str">
        <f>'RESUMEN TOTAL'!J543</f>
        <v>Domo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CENTRO</v>
      </c>
      <c r="B422" t="str">
        <f>'RESUMEN TOTAL'!G544</f>
        <v>CEN 71</v>
      </c>
      <c r="C422" t="str">
        <f>'RESUMEN TOTAL'!I544</f>
        <v>MORENO Y BOUREL</v>
      </c>
      <c r="D422" s="30" t="str">
        <f>'RESUMEN TOTAL'!J544</f>
        <v>Domo</v>
      </c>
      <c r="E422" s="30" t="str">
        <f>'RESUMEN TOTAL'!K544</f>
        <v>GPON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CENTRO</v>
      </c>
      <c r="B423" t="str">
        <f>'RESUMEN TOTAL'!G545</f>
        <v>CEN 70</v>
      </c>
      <c r="C423" t="str">
        <f>'RESUMEN TOTAL'!I545</f>
        <v>RIVADAVIA Y 25 MAYO</v>
      </c>
      <c r="D423" s="30" t="str">
        <f>'RESUMEN TOTAL'!J545</f>
        <v>Domo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CENTRO</v>
      </c>
      <c r="B424" t="str">
        <f>'RESUMEN TOTAL'!G546</f>
        <v>CEN 65</v>
      </c>
      <c r="C424" t="str">
        <f>'RESUMEN TOTAL'!I546</f>
        <v>SAN MARTIN Y JUAN PERON</v>
      </c>
      <c r="D424" s="30" t="str">
        <f>'RESUMEN TOTAL'!J546</f>
        <v>FIJA</v>
      </c>
      <c r="E424" s="30" t="str">
        <f>'RESUMEN TOTAL'!K546</f>
        <v>GPON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CENTRO</v>
      </c>
      <c r="B425" t="str">
        <f>'RESUMEN TOTAL'!G547</f>
        <v>CEN 61</v>
      </c>
      <c r="C425" t="str">
        <f>'RESUMEN TOTAL'!I547</f>
        <v>BOUREL Y MAIPU</v>
      </c>
      <c r="D425" s="30" t="str">
        <f>'RESUMEN TOTAL'!J547</f>
        <v>DOMO</v>
      </c>
      <c r="E425" s="30" t="str">
        <f>'RESUMEN TOTAL'!K547</f>
        <v>GPON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CENTRO</v>
      </c>
      <c r="B426" t="str">
        <f>'RESUMEN TOTAL'!G549</f>
        <v>CEN 58</v>
      </c>
      <c r="C426" t="str">
        <f>'RESUMEN TOTAL'!I549</f>
        <v>EEUU Y MORENO</v>
      </c>
      <c r="D426" s="30" t="str">
        <f>'RESUMEN TOTAL'!J549</f>
        <v>DOMO</v>
      </c>
      <c r="E426" s="30" t="str">
        <f>'RESUMEN TOTAL'!K549</f>
        <v>Fibra Optica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CENTRO</v>
      </c>
      <c r="B427" t="str">
        <f>'RESUMEN TOTAL'!G550</f>
        <v>CEN 57</v>
      </c>
      <c r="C427" t="str">
        <f>'RESUMEN TOTAL'!I550</f>
        <v>25 DE MAYO Y DORREGO</v>
      </c>
      <c r="D427" s="30" t="str">
        <f>'RESUMEN TOTAL'!J550</f>
        <v>DOMO</v>
      </c>
      <c r="E427" s="30" t="str">
        <f>'RESUMEN TOTAL'!K550</f>
        <v>GPON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CENTRO</v>
      </c>
      <c r="B428" t="str">
        <f>'RESUMEN TOTAL'!G551</f>
        <v>CEN 56</v>
      </c>
      <c r="C428" t="str">
        <f>'RESUMEN TOTAL'!I551</f>
        <v>Newbery y Falucho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>
        <f>'RESUMEN TOTAL'!V551</f>
        <v>0</v>
      </c>
      <c r="J428" s="70">
        <f>'RESUMEN TOTAL'!W551</f>
        <v>0</v>
      </c>
      <c r="K428" s="70">
        <f>'RESUMEN TOTAL'!X551</f>
        <v>0</v>
      </c>
      <c r="L428" s="70">
        <f>'RESUMEN TOTAL'!Y551</f>
        <v>0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CENTRO</v>
      </c>
      <c r="B429" t="str">
        <f>'RESUMEN TOTAL'!G552</f>
        <v>CEN 55</v>
      </c>
      <c r="C429" t="str">
        <f>'RESUMEN TOTAL'!I552</f>
        <v>BOUREL Y URQUIZA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CENTRO</v>
      </c>
      <c r="B430" t="str">
        <f>'RESUMEN TOTAL'!G553</f>
        <v>CEN 54</v>
      </c>
      <c r="C430" t="str">
        <f>'RESUMEN TOTAL'!I553</f>
        <v>GUTIERREZ Y PRINGLES</v>
      </c>
      <c r="D430" s="30" t="str">
        <f>'RESUMEN TOTAL'!J553</f>
        <v>Domo</v>
      </c>
      <c r="E430" s="30" t="str">
        <f>'RESUMEN TOTAL'!K553</f>
        <v>GPON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>
        <f>'RESUMEN TOTAL'!V553</f>
        <v>0</v>
      </c>
      <c r="J430" s="70">
        <f>'RESUMEN TOTAL'!W553</f>
        <v>0</v>
      </c>
      <c r="K430" s="70">
        <f>'RESUMEN TOTAL'!X553</f>
        <v>0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 t="str">
        <f>'RESUMEN TOTAL'!AH553</f>
        <v>APAGADO</v>
      </c>
      <c r="V430" s="70" t="str">
        <f>'RESUMEN TOTAL'!AI553</f>
        <v>APAGADO</v>
      </c>
      <c r="W430" s="70">
        <f>'RESUMEN TOTAL'!AJ553</f>
        <v>0</v>
      </c>
      <c r="X430" s="70">
        <f>'RESUMEN TOTAL'!AK553</f>
        <v>0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 t="str">
        <f>'RESUMEN TOTAL'!AO553</f>
        <v>APAGADO</v>
      </c>
      <c r="AC430" s="70" t="str">
        <f>'RESUMEN TOTAL'!AP553</f>
        <v>APAGADO</v>
      </c>
      <c r="AD430" s="70">
        <f>'RESUMEN TOTAL'!AQ553</f>
        <v>0</v>
      </c>
      <c r="AE430" s="70">
        <f>'RESUMEN TOTAL'!AR553</f>
        <v>0</v>
      </c>
      <c r="AF430" s="70" t="str">
        <f>'RESUMEN TOTAL'!AS553</f>
        <v>APAGADO</v>
      </c>
      <c r="AG430" s="70" t="str">
        <f>'RESUMEN TOTAL'!AT553</f>
        <v>APAGADO</v>
      </c>
      <c r="AH430" s="70" t="str">
        <f>'RESUMEN TOTAL'!AU553</f>
        <v>APAGADO</v>
      </c>
      <c r="AI430" s="70" t="str">
        <f>'RESUMEN TOTAL'!AV553</f>
        <v>APAGADO</v>
      </c>
      <c r="AJ430" s="70" t="e">
        <f>'RESUMEN TOTAL'!#REF!</f>
        <v>#REF!</v>
      </c>
    </row>
    <row r="431" spans="1:36" x14ac:dyDescent="0.25">
      <c r="A431" t="str">
        <f>'RESUMEN TOTAL'!F554</f>
        <v>CENTRO</v>
      </c>
      <c r="B431" t="str">
        <f>'RESUMEN TOTAL'!G554</f>
        <v>CEN 53</v>
      </c>
      <c r="C431" t="str">
        <f>'RESUMEN TOTAL'!I554</f>
        <v>GUTIERREZ Y BROWN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CENTRO</v>
      </c>
      <c r="B432" t="str">
        <f>'RESUMEN TOTAL'!G556</f>
        <v>CEN 50</v>
      </c>
      <c r="C432" t="str">
        <f>'RESUMEN TOTAL'!I556</f>
        <v>Av. San Martin y Newbery</v>
      </c>
      <c r="D432" s="30" t="str">
        <f>'RESUMEN TOTAL'!J556</f>
        <v>Domo</v>
      </c>
      <c r="E432" s="30" t="str">
        <f>'RESUMEN TOTAL'!K556</f>
        <v>GPON</v>
      </c>
      <c r="F432" s="70" t="str">
        <f>'RESUMEN TOTAL'!S556</f>
        <v>APAGADO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 t="str">
        <f>'RESUMEN TOTAL'!X556</f>
        <v>APAGADO</v>
      </c>
      <c r="L432" s="70" t="str">
        <f>'RESUMEN TOTAL'!Y556</f>
        <v>APAGADO</v>
      </c>
      <c r="M432" s="70" t="str">
        <f>'RESUMEN TOTAL'!Z556</f>
        <v>APAGADO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 t="str">
        <f>'RESUMEN TOTAL'!AG556</f>
        <v>APAGADO</v>
      </c>
      <c r="U432" s="70" t="str">
        <f>'RESUMEN TOTAL'!AH556</f>
        <v>APAGADO</v>
      </c>
      <c r="V432" s="70" t="str">
        <f>'RESUMEN TOTAL'!AI556</f>
        <v>APAGADO</v>
      </c>
      <c r="W432" s="70">
        <f>'RESUMEN TOTAL'!AJ556</f>
        <v>0</v>
      </c>
      <c r="X432" s="70">
        <f>'RESUMEN TOTAL'!AK556</f>
        <v>0</v>
      </c>
      <c r="Y432" s="70" t="str">
        <f>'RESUMEN TOTAL'!AL556</f>
        <v>APAGADO</v>
      </c>
      <c r="Z432" s="70" t="str">
        <f>'RESUMEN TOTAL'!AM556</f>
        <v>APAGADO</v>
      </c>
      <c r="AA432" s="70" t="str">
        <f>'RESUMEN TOTAL'!AN556</f>
        <v>APAGADO</v>
      </c>
      <c r="AB432" s="70" t="str">
        <f>'RESUMEN TOTAL'!AO556</f>
        <v>APAGADO</v>
      </c>
      <c r="AC432" s="70" t="str">
        <f>'RESUMEN TOTAL'!AP556</f>
        <v>APAGADO</v>
      </c>
      <c r="AD432" s="70">
        <f>'RESUMEN TOTAL'!AQ556</f>
        <v>0</v>
      </c>
      <c r="AE432" s="70">
        <f>'RESUMEN TOTAL'!AR556</f>
        <v>0</v>
      </c>
      <c r="AF432" s="70" t="str">
        <f>'RESUMEN TOTAL'!AS556</f>
        <v>APAGADO</v>
      </c>
      <c r="AG432" s="70" t="str">
        <f>'RESUMEN TOTAL'!AT556</f>
        <v>APAGADO</v>
      </c>
      <c r="AH432" s="70" t="str">
        <f>'RESUMEN TOTAL'!AU556</f>
        <v>APAGADO</v>
      </c>
      <c r="AI432" s="70" t="str">
        <f>'RESUMEN TOTAL'!AV556</f>
        <v>APAGADO</v>
      </c>
      <c r="AJ432" s="70" t="e">
        <f>'RESUMEN TOTAL'!#REF!</f>
        <v>#REF!</v>
      </c>
    </row>
    <row r="433" spans="1:36" x14ac:dyDescent="0.25">
      <c r="A433" t="str">
        <f>'RESUMEN TOTAL'!F557</f>
        <v>CENTRO</v>
      </c>
      <c r="B433" t="str">
        <f>'RESUMEN TOTAL'!G557</f>
        <v>CEN 37</v>
      </c>
      <c r="C433" t="str">
        <f>'RESUMEN TOTAL'!I557</f>
        <v>Diagonal Granaderos y Monteagudo</v>
      </c>
      <c r="D433" s="30" t="str">
        <f>'RESUMEN TOTAL'!J557</f>
        <v>Domo</v>
      </c>
      <c r="E433" s="30" t="str">
        <f>'RESUMEN TOTAL'!K557</f>
        <v>Fibra Optica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 t="str">
        <f>'RESUMEN TOTAL'!AF557</f>
        <v>APAGADO</v>
      </c>
      <c r="T433" s="70" t="str">
        <f>'RESUMEN TOTAL'!AG557</f>
        <v>APAGADO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CENTRO</v>
      </c>
      <c r="B434" t="str">
        <f>'RESUMEN TOTAL'!G558</f>
        <v>CEN 13</v>
      </c>
      <c r="C434" t="str">
        <f>'RESUMEN TOTAL'!I558</f>
        <v>25 de Mayo y Maipu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CENTRO</v>
      </c>
      <c r="B435" t="str">
        <f>'RESUMEN TOTAL'!G559</f>
        <v>CEN 12</v>
      </c>
      <c r="C435" t="str">
        <f>'RESUMEN TOTAL'!I559</f>
        <v>Monteagudo y Mitre</v>
      </c>
      <c r="D435" s="30" t="str">
        <f>'RESUMEN TOTAL'!J559</f>
        <v>Domo</v>
      </c>
      <c r="E435" s="30" t="str">
        <f>'RESUMEN TOTAL'!K559</f>
        <v>Fibra Optica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LA CAROLINA 2</v>
      </c>
      <c r="B436" t="str">
        <f>'RESUMEN TOTAL'!G563</f>
        <v>CAR06</v>
      </c>
      <c r="C436" t="str">
        <f>'RESUMEN TOTAL'!I563</f>
        <v>Azurduy Y Barracas</v>
      </c>
      <c r="D436" s="30" t="str">
        <f>'RESUMEN TOTAL'!J563</f>
        <v>Domo</v>
      </c>
      <c r="E436" s="30" t="str">
        <f>'RESUMEN TOTAL'!K563</f>
        <v>Fibra Optica</v>
      </c>
      <c r="F436" s="70" t="str">
        <f>'RESUMEN TOTAL'!S563</f>
        <v>APAGADO</v>
      </c>
      <c r="G436" s="70">
        <f>'RESUMEN TOTAL'!T563</f>
        <v>0</v>
      </c>
      <c r="H436" s="70">
        <f>'RESUMEN TOTAL'!U563</f>
        <v>0</v>
      </c>
      <c r="I436" s="70">
        <f>'RESUMEN TOTAL'!V563</f>
        <v>0</v>
      </c>
      <c r="J436" s="70">
        <f>'RESUMEN TOTAL'!W563</f>
        <v>0</v>
      </c>
      <c r="K436" s="70">
        <f>'RESUMEN TOTAL'!X563</f>
        <v>0</v>
      </c>
      <c r="L436" s="70">
        <f>'RESUMEN TOTAL'!Y563</f>
        <v>0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LA CAROLINA 2</v>
      </c>
      <c r="B437" t="str">
        <f>'RESUMEN TOTAL'!G564</f>
        <v>CAR05</v>
      </c>
      <c r="C437" t="str">
        <f>'RESUMEN TOTAL'!I564</f>
        <v>Hudson e/1362 Y 1356</v>
      </c>
      <c r="D437" s="30" t="str">
        <f>'RESUMEN TOTAL'!J564</f>
        <v>Domo</v>
      </c>
      <c r="E437" s="30" t="str">
        <f>'RESUMEN TOTAL'!K564</f>
        <v>Fibra Optica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LA CAROLINA 2</v>
      </c>
      <c r="B438" t="str">
        <f>'RESUMEN TOTAL'!G565</f>
        <v>CAR04(Fija2)</v>
      </c>
      <c r="C438" t="str">
        <f>'RESUMEN TOTAL'!I565</f>
        <v>Hudson e/1362 Y 1356</v>
      </c>
      <c r="D438" s="30" t="str">
        <f>'RESUMEN TOTAL'!J565</f>
        <v>Fija</v>
      </c>
      <c r="E438" s="30" t="str">
        <f>'RESUMEN TOTAL'!K565</f>
        <v>Fibra Optica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>
        <f>'RESUMEN TOTAL'!V565</f>
        <v>0</v>
      </c>
      <c r="J438" s="70">
        <f>'RESUMEN TOTAL'!W565</f>
        <v>0</v>
      </c>
      <c r="K438" s="70">
        <f>'RESUMEN TOTAL'!X565</f>
        <v>0</v>
      </c>
      <c r="L438" s="70">
        <f>'RESUMEN TOTAL'!Y565</f>
        <v>0</v>
      </c>
      <c r="M438" s="70">
        <f>'RESUMEN TOTAL'!Z565</f>
        <v>0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LA CAROLINA 2</v>
      </c>
      <c r="B439" t="str">
        <f>'RESUMEN TOTAL'!G566</f>
        <v>CAR03(Fija1)</v>
      </c>
      <c r="C439" t="str">
        <f>'RESUMEN TOTAL'!I566</f>
        <v>Hudson e/1362 Y 1356</v>
      </c>
      <c r="D439" s="30" t="str">
        <f>'RESUMEN TOTAL'!J566</f>
        <v>Fija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LA CAROLINA 2</v>
      </c>
      <c r="B440" t="str">
        <f>'RESUMEN TOTAL'!G567</f>
        <v>CAR02 (Fija 2)</v>
      </c>
      <c r="C440" t="str">
        <f>'RESUMEN TOTAL'!I567</f>
        <v>Azurduy y Vergara</v>
      </c>
      <c r="D440" s="30" t="str">
        <f>'RESUMEN TOTAL'!J567</f>
        <v>Fija</v>
      </c>
      <c r="E440" s="30" t="str">
        <f>'RESUMEN TOTAL'!K567</f>
        <v>Fibra Optica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>
        <f>'RESUMEN TOTAL'!V567</f>
        <v>0</v>
      </c>
      <c r="J440" s="70">
        <f>'RESUMEN TOTAL'!W567</f>
        <v>0</v>
      </c>
      <c r="K440" s="70">
        <f>'RESUMEN TOTAL'!X567</f>
        <v>0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BOSQUES CENTRO</v>
      </c>
      <c r="B441" t="str">
        <f>'RESUMEN TOTAL'!G569</f>
        <v>BOSQC 06</v>
      </c>
      <c r="C441" t="str">
        <f>'RESUMEN TOTAL'!I569</f>
        <v>LUIS AGOTE Y RUTA 36</v>
      </c>
      <c r="D441" s="30" t="str">
        <f>'RESUMEN TOTAL'!J569</f>
        <v>Fija</v>
      </c>
      <c r="E441" s="30" t="str">
        <f>'RESUMEN TOTAL'!K569</f>
        <v>PTO A FO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 t="str">
        <f>'RESUMEN TOTAL'!X569</f>
        <v>APAGADO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BOSQUES CENTRO</v>
      </c>
      <c r="B442" t="str">
        <f>'RESUMEN TOTAL'!G570</f>
        <v>BOSQC 05</v>
      </c>
      <c r="C442" t="str">
        <f>'RESUMEN TOTAL'!I570</f>
        <v>LUIS AGOTE Y RUTA 36</v>
      </c>
      <c r="D442" s="30" t="str">
        <f>'RESUMEN TOTAL'!J570</f>
        <v>Fija</v>
      </c>
      <c r="E442" s="30" t="str">
        <f>'RESUMEN TOTAL'!K570</f>
        <v>PTO A FO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BOSQUES CENTRO</v>
      </c>
      <c r="B443" t="str">
        <f>'RESUMEN TOTAL'!G571</f>
        <v>BOSQC 04</v>
      </c>
      <c r="C443" t="str">
        <f>'RESUMEN TOTAL'!I571</f>
        <v>BENAVENTE Y LUIS AGOTE</v>
      </c>
      <c r="D443" s="30" t="str">
        <f>'RESUMEN TOTAL'!J571</f>
        <v>Fija</v>
      </c>
      <c r="E443" s="30" t="str">
        <f>'RESUMEN TOTAL'!K571</f>
        <v>PTO A FO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>
        <f>'RESUMEN TOTAL'!V571</f>
        <v>0</v>
      </c>
      <c r="J443" s="70">
        <f>'RESUMEN TOTAL'!W571</f>
        <v>0</v>
      </c>
      <c r="K443" s="70" t="str">
        <f>'RESUMEN TOTAL'!X571</f>
        <v>APAGADO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BOSQUES CENTRO</v>
      </c>
      <c r="B444" t="str">
        <f>'RESUMEN TOTAL'!G572</f>
        <v>BOSQC 03</v>
      </c>
      <c r="C444" t="str">
        <f>'RESUMEN TOTAL'!I572</f>
        <v>BENAVENTE Y LUIS AGOTE</v>
      </c>
      <c r="D444" s="30" t="str">
        <f>'RESUMEN TOTAL'!J572</f>
        <v>Fija</v>
      </c>
      <c r="E444" s="30" t="str">
        <f>'RESUMEN TOTAL'!K572</f>
        <v>PTO A FO</v>
      </c>
      <c r="F444" s="70" t="str">
        <f>'RESUMEN TOTAL'!S572</f>
        <v>APAGADO</v>
      </c>
      <c r="G444" s="70">
        <f>'RESUMEN TOTAL'!T572</f>
        <v>0</v>
      </c>
      <c r="H444" s="70">
        <f>'RESUMEN TOTAL'!U572</f>
        <v>0</v>
      </c>
      <c r="I444" s="70">
        <f>'RESUMEN TOTAL'!V572</f>
        <v>0</v>
      </c>
      <c r="J444" s="70">
        <f>'RESUMEN TOTAL'!W572</f>
        <v>0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 t="str">
        <f>'RESUMEN TOTAL'!AE572</f>
        <v>APAGADO</v>
      </c>
      <c r="S444" s="70" t="str">
        <f>'RESUMEN TOTAL'!AF572</f>
        <v>APAGADO</v>
      </c>
      <c r="T444" s="70" t="str">
        <f>'RESUMEN TOTAL'!AG572</f>
        <v>APAGADO</v>
      </c>
      <c r="U444" s="70" t="str">
        <f>'RESUMEN TOTAL'!AH572</f>
        <v>APAGADO</v>
      </c>
      <c r="V444" s="70" t="str">
        <f>'RESUMEN TOTAL'!AI572</f>
        <v>APAGADO</v>
      </c>
      <c r="W444" s="70">
        <f>'RESUMEN TOTAL'!AJ572</f>
        <v>0</v>
      </c>
      <c r="X444" s="70">
        <f>'RESUMEN TOTAL'!AK572</f>
        <v>0</v>
      </c>
      <c r="Y444" s="70" t="str">
        <f>'RESUMEN TOTAL'!AL572</f>
        <v>APAGADO</v>
      </c>
      <c r="Z444" s="70" t="str">
        <f>'RESUMEN TOTAL'!AM572</f>
        <v>APAGADO</v>
      </c>
      <c r="AA444" s="70" t="str">
        <f>'RESUMEN TOTAL'!AN572</f>
        <v>APAGADO</v>
      </c>
      <c r="AB444" s="70" t="str">
        <f>'RESUMEN TOTAL'!AO572</f>
        <v>APAGADO</v>
      </c>
      <c r="AC444" s="70" t="str">
        <f>'RESUMEN TOTAL'!AP572</f>
        <v>APAGADO</v>
      </c>
      <c r="AD444" s="70">
        <f>'RESUMEN TOTAL'!AQ572</f>
        <v>0</v>
      </c>
      <c r="AE444" s="70">
        <f>'RESUMEN TOTAL'!AR572</f>
        <v>0</v>
      </c>
      <c r="AF444" s="70" t="str">
        <f>'RESUMEN TOTAL'!AS572</f>
        <v>APAGADO</v>
      </c>
      <c r="AG444" s="70" t="str">
        <f>'RESUMEN TOTAL'!AT572</f>
        <v>APAGADO</v>
      </c>
      <c r="AH444" s="70" t="str">
        <f>'RESUMEN TOTAL'!AU572</f>
        <v>APAGADO</v>
      </c>
      <c r="AI444" s="70" t="str">
        <f>'RESUMEN TOTAL'!AV572</f>
        <v>APAGADO</v>
      </c>
      <c r="AJ444" s="70" t="e">
        <f>'RESUMEN TOTAL'!#REF!</f>
        <v>#REF!</v>
      </c>
    </row>
    <row r="445" spans="1:36" x14ac:dyDescent="0.25">
      <c r="A445" t="str">
        <f>'RESUMEN TOTAL'!F573</f>
        <v>BOSQUES CENTRO</v>
      </c>
      <c r="B445" t="str">
        <f>'RESUMEN TOTAL'!G573</f>
        <v>BOSQC 02</v>
      </c>
      <c r="C445" t="str">
        <f>'RESUMEN TOTAL'!I573</f>
        <v>LUIS AGOTE E/DANUNCIO Y CAMPOAMOR</v>
      </c>
      <c r="D445" s="30" t="str">
        <f>'RESUMEN TOTAL'!J573</f>
        <v>Fija</v>
      </c>
      <c r="E445" s="30" t="str">
        <f>'RESUMEN TOTAL'!K573</f>
        <v>PTO A FO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>
        <f>'RESUMEN TOTAL'!V573</f>
        <v>0</v>
      </c>
      <c r="J445" s="70">
        <f>'RESUMEN TOTAL'!W573</f>
        <v>0</v>
      </c>
      <c r="K445" s="70" t="str">
        <f>'RESUMEN TOTAL'!X573</f>
        <v>APAGADO</v>
      </c>
      <c r="L445" s="70">
        <f>'RESUMEN TOTAL'!Y573</f>
        <v>0</v>
      </c>
      <c r="M445" s="70">
        <f>'RESUMEN TOTAL'!Z573</f>
        <v>0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BOSQUES CENTRO</v>
      </c>
      <c r="B446" t="str">
        <f>'RESUMEN TOTAL'!G574</f>
        <v>BOSQC 01</v>
      </c>
      <c r="C446" t="str">
        <f>'RESUMEN TOTAL'!I574</f>
        <v>LUIS AGOTE E/DANUNCIO Y CAMPOAMOR</v>
      </c>
      <c r="D446" s="30" t="str">
        <f>'RESUMEN TOTAL'!J574</f>
        <v>Fija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>
        <f>'RESUMEN TOTAL'!V574</f>
        <v>0</v>
      </c>
      <c r="J446" s="70">
        <f>'RESUMEN TOTAL'!W574</f>
        <v>0</v>
      </c>
      <c r="K446" s="70" t="str">
        <f>'RESUMEN TOTAL'!X574</f>
        <v>APAGADO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>
        <f>'RESUMEN TOTAL'!F575</f>
        <v>0</v>
      </c>
      <c r="B447" t="str">
        <f>'RESUMEN TOTAL'!G575</f>
        <v>BOSQ 12</v>
      </c>
      <c r="C447" t="str">
        <f>'RESUMEN TOTAL'!I575</f>
        <v>Colectora R.36 y San Antonio</v>
      </c>
      <c r="D447" s="30">
        <f>'RESUMEN TOTAL'!J575</f>
        <v>0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>
        <f>'RESUMEN TOTAL'!V575</f>
        <v>0</v>
      </c>
      <c r="J447" s="70">
        <f>'RESUMEN TOTAL'!W575</f>
        <v>0</v>
      </c>
      <c r="K447" s="70">
        <f>'RESUMEN TOTAL'!X575</f>
        <v>0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BOSQUES CENTRO</v>
      </c>
      <c r="B448" t="str">
        <f>'RESUMEN TOTAL'!G576</f>
        <v>BOSQ 11</v>
      </c>
      <c r="C448" t="str">
        <f>'RESUMEN TOTAL'!I576</f>
        <v>AV Bosques y Altagracia</v>
      </c>
      <c r="D448" s="30" t="str">
        <f>'RESUMEN TOTAL'!J576</f>
        <v>Domo</v>
      </c>
      <c r="E448" s="30" t="str">
        <f>'RESUMEN TOTAL'!K576</f>
        <v>GPON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>
        <f>'RESUMEN TOTAL'!V576</f>
        <v>0</v>
      </c>
      <c r="J448" s="70">
        <f>'RESUMEN TOTAL'!W576</f>
        <v>0</v>
      </c>
      <c r="K448" s="70">
        <f>'RESUMEN TOTAL'!X576</f>
        <v>0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BOSQUES CENTRO</v>
      </c>
      <c r="B449" t="str">
        <f>'RESUMEN TOTAL'!G577</f>
        <v>BOSQ 10</v>
      </c>
      <c r="C449" t="str">
        <f>'RESUMEN TOTAL'!I577</f>
        <v>D'Anuncio e/Lisandro de la Torre y J.B Justo</v>
      </c>
      <c r="D449" s="30" t="str">
        <f>'RESUMEN TOTAL'!J577</f>
        <v>Fija</v>
      </c>
      <c r="E449" s="30" t="str">
        <f>'RESUMEN TOTAL'!K577</f>
        <v>GPON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>
        <f>'RESUMEN TOTAL'!V577</f>
        <v>0</v>
      </c>
      <c r="J449" s="70">
        <f>'RESUMEN TOTAL'!W577</f>
        <v>0</v>
      </c>
      <c r="K449" s="70">
        <f>'RESUMEN TOTAL'!X577</f>
        <v>0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BOSQUES CENTRO</v>
      </c>
      <c r="B450" t="str">
        <f>'RESUMEN TOTAL'!G578</f>
        <v>BOSQ 09</v>
      </c>
      <c r="C450" t="str">
        <f>'RESUMEN TOTAL'!I578</f>
        <v>D'Anuncio e/Lisandro de la Torre y J.B Justo</v>
      </c>
      <c r="D450" s="30" t="str">
        <f>'RESUMEN TOTAL'!J578</f>
        <v>Fija</v>
      </c>
      <c r="E450" s="30" t="str">
        <f>'RESUMEN TOTAL'!K578</f>
        <v>GPON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>
        <f>'RESUMEN TOTAL'!V578</f>
        <v>0</v>
      </c>
      <c r="J450" s="70">
        <f>'RESUMEN TOTAL'!W578</f>
        <v>0</v>
      </c>
      <c r="K450" s="70">
        <f>'RESUMEN TOTAL'!X578</f>
        <v>0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BELGRANO</v>
      </c>
      <c r="B451" t="str">
        <f>'RESUMEN TOTAL'!G581</f>
        <v>BEL 02</v>
      </c>
      <c r="C451" t="str">
        <f>'RESUMEN TOTAL'!I581</f>
        <v>Guardia vieja y Fronteriz</v>
      </c>
      <c r="D451" s="30" t="str">
        <f>'RESUMEN TOTAL'!J581</f>
        <v>DOMO</v>
      </c>
      <c r="E451" s="30" t="str">
        <f>'RESUMEN TOTAL'!K581</f>
        <v>Fibra Optica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BELGRANO</v>
      </c>
      <c r="B452" t="str">
        <f>'RESUMEN TOTAL'!G582</f>
        <v>BEL 01</v>
      </c>
      <c r="C452" t="str">
        <f>'RESUMEN TOTAL'!I582</f>
        <v>San Martin y Dardo Rocha</v>
      </c>
      <c r="D452" s="30" t="str">
        <f>'RESUMEN TOTAL'!J582</f>
        <v>DOMO</v>
      </c>
      <c r="E452" s="30" t="str">
        <f>'RESUMEN TOTAL'!K582</f>
        <v>Fibra Optica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AGUSTIN RAMIREZ</v>
      </c>
      <c r="B453" t="str">
        <f>'RESUMEN TOTAL'!G583</f>
        <v>ARA 03</v>
      </c>
      <c r="C453" t="str">
        <f>'RESUMEN TOTAL'!I583</f>
        <v>437 Y La Tranquera</v>
      </c>
      <c r="D453" s="30" t="str">
        <f>'RESUMEN TOTAL'!J583</f>
        <v>Fija</v>
      </c>
      <c r="E453" s="30" t="str">
        <f>'RESUMEN TOTAL'!K583</f>
        <v>GPON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AGUSTIN RAMIREZ</v>
      </c>
      <c r="B454" t="str">
        <f>'RESUMEN TOTAL'!G584</f>
        <v>ARA 02</v>
      </c>
      <c r="C454" t="str">
        <f>'RESUMEN TOTAL'!I584</f>
        <v xml:space="preserve">El malambo y La Tranquera </v>
      </c>
      <c r="D454" s="30" t="str">
        <f>'RESUMEN TOTAL'!J584</f>
        <v>Fija</v>
      </c>
      <c r="E454" s="30" t="str">
        <f>'RESUMEN TOTAL'!K584</f>
        <v>GPON</v>
      </c>
      <c r="F454" s="70" t="str">
        <f>'RESUMEN TOTAL'!S584</f>
        <v>APAGADO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 t="str">
        <f>'RESUMEN TOTAL'!X584</f>
        <v>APAGADO</v>
      </c>
      <c r="L454" s="70" t="str">
        <f>'RESUMEN TOTAL'!Y584</f>
        <v>APAGADO</v>
      </c>
      <c r="M454" s="70" t="str">
        <f>'RESUMEN TOTAL'!Z584</f>
        <v>APAGADO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 t="str">
        <f>'RESUMEN TOTAL'!AE584</f>
        <v>APAGADO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AGUSTIN RAMIREZ</v>
      </c>
      <c r="B455" t="str">
        <f>'RESUMEN TOTAL'!G585</f>
        <v>ARA 01</v>
      </c>
      <c r="C455" t="str">
        <f>'RESUMEN TOTAL'!I585</f>
        <v>Malambo y Tranquera</v>
      </c>
      <c r="D455" s="30" t="str">
        <f>'RESUMEN TOTAL'!J585</f>
        <v>Domo</v>
      </c>
      <c r="E455" s="30" t="str">
        <f>'RESUMEN TOTAL'!K585</f>
        <v>Fibra Optica</v>
      </c>
      <c r="F455" s="70" t="str">
        <f>'RESUMEN TOTAL'!S585</f>
        <v>APAGADO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 t="str">
        <f>'RESUMEN TOTAL'!X585</f>
        <v>APAGADO</v>
      </c>
      <c r="L455" s="70" t="str">
        <f>'RESUMEN TOTAL'!Y585</f>
        <v>APAGADO</v>
      </c>
      <c r="M455" s="70" t="str">
        <f>'RESUMEN TOTAL'!Z585</f>
        <v>APAGADO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 t="str">
        <f>'RESUMEN TOTAL'!AE585</f>
        <v>APAGADO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ALTAMIRA</v>
      </c>
      <c r="B456" t="str">
        <f>'RESUMEN TOTAL'!G586</f>
        <v>ALT07</v>
      </c>
      <c r="C456" t="str">
        <f>'RESUMEN TOTAL'!I586</f>
        <v>AV. CALCHAQUI Y AV. DEL TRABAJO</v>
      </c>
      <c r="D456" s="30" t="str">
        <f>'RESUMEN TOTAL'!J586</f>
        <v>DOMO</v>
      </c>
      <c r="E456" s="30" t="str">
        <f>'RESUMEN TOTAL'!K586</f>
        <v>PTO A FO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ALTAMIRA</v>
      </c>
      <c r="B457" t="str">
        <f>'RESUMEN TOTAL'!G588</f>
        <v>ALT02</v>
      </c>
      <c r="C457" t="str">
        <f>'RESUMEN TOTAL'!I588</f>
        <v>Calchaqui y Lope de Vega</v>
      </c>
      <c r="D457" s="30" t="str">
        <f>'RESUMEN TOTAL'!J588</f>
        <v>Domo</v>
      </c>
      <c r="E457" s="30" t="str">
        <f>'RESUMEN TOTAL'!K588</f>
        <v>PTO A FO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ALTAMIRA</v>
      </c>
      <c r="B458" t="str">
        <f>'RESUMEN TOTAL'!G589</f>
        <v>ALT01</v>
      </c>
      <c r="C458" t="str">
        <f>'RESUMEN TOTAL'!I589</f>
        <v>Calchaqui y Sgto. Cabral</v>
      </c>
      <c r="D458" s="30" t="str">
        <f>'RESUMEN TOTAL'!J589</f>
        <v>Domo</v>
      </c>
      <c r="E458" s="30" t="str">
        <f>'RESUMEN TOTAL'!K589</f>
        <v>Fibra Optica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ALTAMIRA</v>
      </c>
      <c r="B459" t="str">
        <f>'RESUMEN TOTAL'!G590</f>
        <v>ALT 11</v>
      </c>
      <c r="C459" t="str">
        <f>'RESUMEN TOTAL'!I590</f>
        <v>CALCHAQUÍ Y GALARZA FIJA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ALTAMIRA</v>
      </c>
      <c r="B460" t="str">
        <f>'RESUMEN TOTAL'!G591</f>
        <v>ALT 10</v>
      </c>
      <c r="C460" t="str">
        <f>'RESUMEN TOTAL'!I591</f>
        <v>Calchaqui y Francia</v>
      </c>
      <c r="D460" s="30" t="str">
        <f>'RESUMEN TOTAL'!J591</f>
        <v>Domo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H3" sqref="AH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TOTAL'!H8:H627,"=BONOMO")</f>
        <v>308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TOTAL'!X8:X704,"=APAGADO",'RESUMEN TOTAL'!H8:H704,"=BONOMO")</f>
        <v>42</v>
      </c>
      <c r="L3" s="46">
        <f>COUNTIFS('RESUMEN TOTAL'!Y8:Y704,"=APAGADO",'RESUMEN TOTAL'!I8:I704,"=BONOMO")</f>
        <v>0</v>
      </c>
      <c r="M3" s="46">
        <v>0</v>
      </c>
      <c r="N3" s="46">
        <f>COUNTIFS('RESUMEN TOTAL'!AA8:AA704,"=APAGADO",'RESUMEN TOTAL'!H8:H704,"=BONOMO")</f>
        <v>0</v>
      </c>
      <c r="O3" s="46">
        <f>COUNTIFS('RESUMEN TOTAL'!AB8:AB704,"=APAGADO",'RESUMEN TOTAL'!H8:H704,"=BONOMO")</f>
        <v>0</v>
      </c>
      <c r="P3" s="46">
        <f>COUNTIFS('RESUMEN TOTAL'!AC8:AC704,"=APAGADO",'RESUMEN TOTAL'!H8:H704,"=BONOMO")</f>
        <v>0</v>
      </c>
      <c r="Q3" s="46">
        <f>COUNTIFS('RESUMEN TOTAL'!AD8:AD704,"=APAGADO",'RESUMEN TOTAL'!H8:H704,"=BONOMO")</f>
        <v>0</v>
      </c>
      <c r="R3" s="46">
        <f>COUNTIFS('RESUMEN TOTAL'!AE8:AE704,"=APAGADO",'RESUMEN TOTAL'!H8:H704,"=BONOMO")</f>
        <v>59</v>
      </c>
      <c r="S3" s="46">
        <f>COUNTIFS('RESUMEN TOTAL'!AF8:AF704,"=APAGADO",'RESUMEN TOTAL'!H8:H704,"=BONOMO")</f>
        <v>84</v>
      </c>
      <c r="T3" s="46">
        <f>COUNTIFS('RESUMEN TOTAL'!AG8:AG704,"=APAGADO",'RESUMEN TOTAL'!H8:H704,"=BONOMO")</f>
        <v>73</v>
      </c>
      <c r="U3" s="46">
        <f>COUNTIFS('RESUMEN TOTAL'!AH8:AH704,"=APAGADO",'RESUMEN TOTAL'!H8:H704,"=BONOMO")</f>
        <v>59</v>
      </c>
      <c r="V3" s="46">
        <f>COUNTIFS('RESUMEN TOTAL'!AI8:AI704,"=APAGADO",'RESUMEN TOTAL'!H8:H704,"=BONOMO")</f>
        <v>60</v>
      </c>
      <c r="W3" s="46">
        <f>COUNTIFS('RESUMEN TOTAL'!AJ8:AJ704,"=APAGADO",'RESUMEN TOTAL'!H8:H704,"=BONOMO")</f>
        <v>0</v>
      </c>
      <c r="X3" s="46">
        <f>COUNTIFS('RESUMEN TOTAL'!AK8:AK704,"=APAGADO",'RESUMEN TOTAL'!H8:H704,"=BONOMO")</f>
        <v>0</v>
      </c>
      <c r="Y3" s="46">
        <f>COUNTIFS('RESUMEN TOTAL'!AL8:AL704,"=APAGADO",'RESUMEN TOTAL'!H8:H704,"=BONOMO")</f>
        <v>66</v>
      </c>
      <c r="Z3" s="46">
        <f>COUNTIFS('RESUMEN TOTAL'!AM8:AM704,"=APAGADO",'RESUMEN TOTAL'!H8:H704,"=BONOMO")</f>
        <v>58</v>
      </c>
      <c r="AA3" s="46">
        <f>COUNTIFS('RESUMEN TOTAL'!AN8:AN704,"=APAGADO",'RESUMEN TOTAL'!H8:H704,"=BONOMO")</f>
        <v>58</v>
      </c>
      <c r="AB3" s="46">
        <f>COUNTIFS('RESUMEN TOTAL'!AO8:AO704,"=APAGADO",'RESUMEN TOTAL'!H8:H704,"=BONOMO")</f>
        <v>66</v>
      </c>
      <c r="AC3" s="46">
        <f>COUNTIFS('RESUMEN TOTAL'!AP8:AP704,"=APAGADO",'RESUMEN TOTAL'!H8:H704,"=BONOMO")</f>
        <v>60</v>
      </c>
      <c r="AD3" s="46">
        <f>COUNTIFS('RESUMEN TOTAL'!AQ8:AQ704,"=APAGADO",'RESUMEN TOTAL'!H8:H704,"=BONOMO")</f>
        <v>0</v>
      </c>
      <c r="AE3" s="46">
        <v>29</v>
      </c>
      <c r="AF3" s="46">
        <f>COUNTIFS('RESUMEN TOTAL'!AS8:AS704,"=APAGADO",'RESUMEN TOTAL'!H8:H704,"=BONOMO")</f>
        <v>48</v>
      </c>
      <c r="AG3" s="46">
        <f>COUNTIFS('RESUMEN TOTAL'!AT8:AT704,"=APAGADO",'RESUMEN TOTAL'!H8:H704,"=BONOMO")</f>
        <v>53</v>
      </c>
      <c r="AH3" s="46">
        <f>COUNTIFS('RESUMEN TOTAL'!AU8:AU704,"=APAGADO",'RESUMEN TOTAL'!I8:I704,"=BONOMO")</f>
        <v>0</v>
      </c>
      <c r="AI3" s="46">
        <v>48</v>
      </c>
      <c r="AJ3" s="46" t="e">
        <f>COUNTIFS('RESUMEN TOTAL'!#REF!,"=APAGADO",'RESUMEN TOTAL'!K8:K704,"=BONOMO")</f>
        <v>#REF!</v>
      </c>
    </row>
    <row r="4" spans="1:36" ht="16.5" thickTop="1" thickBot="1" x14ac:dyDescent="0.3">
      <c r="A4" s="48" t="s">
        <v>1053</v>
      </c>
      <c r="B4" s="41">
        <f>COUNTIFS('RESUMEN TOTAL'!H8:H627,"=COSEIDI")</f>
        <v>281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0.13636363636363635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0.19155844155844157</v>
      </c>
      <c r="S4" s="50">
        <f t="shared" si="0"/>
        <v>0.27272727272727271</v>
      </c>
      <c r="T4" s="50">
        <f t="shared" si="0"/>
        <v>0.23701298701298701</v>
      </c>
      <c r="U4" s="50">
        <f t="shared" si="0"/>
        <v>0.19155844155844157</v>
      </c>
      <c r="V4" s="50">
        <f t="shared" si="0"/>
        <v>0.19480519480519481</v>
      </c>
      <c r="W4" s="50">
        <v>0</v>
      </c>
      <c r="X4" s="50">
        <f t="shared" si="0"/>
        <v>0</v>
      </c>
      <c r="Y4" s="50">
        <f t="shared" si="0"/>
        <v>0.21428571428571427</v>
      </c>
      <c r="Z4" s="50">
        <f t="shared" si="0"/>
        <v>0.18831168831168832</v>
      </c>
      <c r="AA4" s="50">
        <f t="shared" si="0"/>
        <v>0.18831168831168832</v>
      </c>
      <c r="AB4" s="50">
        <f t="shared" si="0"/>
        <v>0.21428571428571427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0.15584415584415584</v>
      </c>
      <c r="AG4" s="50">
        <f t="shared" si="0"/>
        <v>0.17207792207792208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0</v>
      </c>
      <c r="K5" s="46">
        <f>COUNTIFS('RESUMEN TOTAL'!X10:X706,"=APAGADO",'RESUMEN TOTAL'!H10:H706,"=COSEIDI")</f>
        <v>65</v>
      </c>
      <c r="L5" s="46">
        <f>COUNTIFS('RESUMEN TOTAL'!Y10:Y706,"=APAGADO",'RESUMEN TOTAL'!H10:H706,"=COSEIDI")</f>
        <v>52</v>
      </c>
      <c r="M5" s="46">
        <v>0</v>
      </c>
      <c r="N5" s="46">
        <f>COUNTIFS('RESUMEN TOTAL'!AA10:AA706,"=APAGADO",'RESUMEN TOTAL'!H10:H706,"=COSEIDI")</f>
        <v>0</v>
      </c>
      <c r="O5" s="46">
        <f>COUNTIFS('RESUMEN TOTAL'!AB10:AB706,"=APAGADO",'RESUMEN TOTAL'!H10:H706,"=COSEIDI")</f>
        <v>0</v>
      </c>
      <c r="P5" s="46">
        <f>COUNTIFS('RESUMEN TOTAL'!AC10:AC706,"=APAGADO",'RESUMEN TOTAL'!H10:H706,"=COSEIDI")</f>
        <v>0</v>
      </c>
      <c r="Q5" s="46">
        <f>COUNTIFS('RESUMEN TOTAL'!AD10:AD706,"=APAGADO",'RESUMEN TOTAL'!H10:H706,"=COSEIDI")</f>
        <v>0</v>
      </c>
      <c r="R5" s="46">
        <f>COUNTIFS('RESUMEN TOTAL'!AE10:AE706,"=APAGADO",'RESUMEN TOTAL'!H10:H706,"=COSEIDI")</f>
        <v>47</v>
      </c>
      <c r="S5" s="46">
        <f>COUNTIFS('RESUMEN TOTAL'!AF10:AF706,"=APAGADO",'RESUMEN TOTAL'!H10:H706,"=COSEIDI")</f>
        <v>47</v>
      </c>
      <c r="T5" s="46">
        <v>0</v>
      </c>
      <c r="U5" s="46">
        <f>COUNTIFS('RESUMEN TOTAL'!AE10:AE706,"=APAGADO",'RESUMEN TOTAL'!H10:H706,"=COSEIDI")</f>
        <v>47</v>
      </c>
      <c r="V5" s="46">
        <f>COUNTIFS('RESUMEN TOTAL'!AI10:AI706,"=APAGADO",'RESUMEN TOTAL'!H10:H706,"=COSEIDI")</f>
        <v>65</v>
      </c>
      <c r="W5" s="46">
        <f>COUNTIFS('RESUMEN TOTAL'!AJ10:AJ706,"=APAGADO",'RESUMEN TOTAL'!H10:H706,"=COSEIDI")</f>
        <v>0</v>
      </c>
      <c r="X5" s="46">
        <f>COUNTIFS('RESUMEN TOTAL'!AK10:AK706,"=APAGADO",'RESUMEN TOTAL'!H10:H706,"=COSEIDI")</f>
        <v>0</v>
      </c>
      <c r="Y5" s="46">
        <f>COUNTIFS('RESUMEN TOTAL'!AL10:AL706,"=APAGADO",'RESUMEN TOTAL'!H10:H706,"=COSEIDI")</f>
        <v>46</v>
      </c>
      <c r="Z5" s="46">
        <f>COUNTIFS('RESUMEN TOTAL'!AM10:AM706,"=APAGADO",'RESUMEN TOTAL'!H10:H706,"=COSEIDI")</f>
        <v>41</v>
      </c>
      <c r="AA5" s="46">
        <f>COUNTIFS('RESUMEN TOTAL'!AN10:AN706,"=APAGADO",'RESUMEN TOTAL'!H10:H706,"=COSEIDI")</f>
        <v>40</v>
      </c>
      <c r="AB5" s="46">
        <f>COUNTIFS('RESUMEN TOTAL'!AO10:AO706,"=APAGADO",'RESUMEN TOTAL'!H10:H706,"=COSEIDI")</f>
        <v>68</v>
      </c>
      <c r="AC5" s="46">
        <f>COUNTIFS('RESUMEN TOTAL'!AP10:AP706,"=APAGADO",'RESUMEN TOTAL'!H10:H706,"=COSEIDI")</f>
        <v>64</v>
      </c>
      <c r="AD5" s="46">
        <f>COUNTIFS('RESUMEN TOTAL'!AQ10:AQ706,"=APAGADO",'RESUMEN TOTAL'!H10:H706,"=COSEIDI")</f>
        <v>0</v>
      </c>
      <c r="AE5" s="46">
        <f>COUNTIFS('RESUMEN TOTAL'!AR10:AR706,"=APAGADO",'RESUMEN TOTAL'!H10:H706,"=COSEIDI")</f>
        <v>0</v>
      </c>
      <c r="AF5" s="46">
        <f>COUNTIFS('RESUMEN TOTAL'!AS10:AS706,"=APAGADO",'RESUMEN TOTAL'!H10:H706,"=COSEIDI")</f>
        <v>74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0.23131672597864769</v>
      </c>
      <c r="L6" s="50">
        <f t="shared" si="1"/>
        <v>0.18505338078291814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0.16725978647686832</v>
      </c>
      <c r="S6" s="50">
        <f t="shared" si="1"/>
        <v>0.16725978647686832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0.16370106761565836</v>
      </c>
      <c r="Z6" s="50">
        <f t="shared" si="1"/>
        <v>0.14590747330960854</v>
      </c>
      <c r="AA6" s="50">
        <f t="shared" si="1"/>
        <v>0.14234875444839859</v>
      </c>
      <c r="AB6" s="50">
        <f t="shared" si="1"/>
        <v>0.24199288256227758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0.26334519572953735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15" zoomScaleNormal="100" workbookViewId="0">
      <selection activeCell="C330" sqref="C33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903</v>
      </c>
      <c r="D1" s="105" t="s">
        <v>1447</v>
      </c>
      <c r="E1" s="106" t="s">
        <v>904</v>
      </c>
    </row>
    <row r="2" spans="1:6" ht="15.6" customHeight="1" thickTop="1" x14ac:dyDescent="0.25">
      <c r="A2" s="75"/>
      <c r="B2" s="52" t="s">
        <v>1232</v>
      </c>
      <c r="C2" s="97">
        <f>CANTIDAD_DE_CAMARAS</f>
        <v>589</v>
      </c>
      <c r="D2" s="98"/>
      <c r="E2" s="103"/>
      <c r="F2" s="147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107</v>
      </c>
      <c r="D3" s="54"/>
      <c r="E3" s="55">
        <f>C3/C2</f>
        <v>0.18166383701188454</v>
      </c>
      <c r="F3" s="148"/>
    </row>
    <row r="4" spans="1:6" x14ac:dyDescent="0.25">
      <c r="A4" s="76"/>
      <c r="B4" s="53" t="s">
        <v>1233</v>
      </c>
      <c r="C4" s="67">
        <v>17</v>
      </c>
      <c r="D4" s="100">
        <f>C3-C4</f>
        <v>90</v>
      </c>
      <c r="E4" s="55">
        <f>D4/C2</f>
        <v>0.15280135823429541</v>
      </c>
      <c r="F4" s="148"/>
    </row>
    <row r="5" spans="1:6" x14ac:dyDescent="0.25">
      <c r="A5" s="76"/>
      <c r="B5" s="53" t="s">
        <v>1234</v>
      </c>
      <c r="C5" s="67">
        <v>11</v>
      </c>
      <c r="D5" s="100">
        <f>D4-C5</f>
        <v>79</v>
      </c>
      <c r="E5" s="55">
        <f>D5/C2</f>
        <v>0.13412563667232597</v>
      </c>
      <c r="F5" s="148"/>
    </row>
    <row r="6" spans="1:6" x14ac:dyDescent="0.25">
      <c r="A6" s="94" t="s">
        <v>1459</v>
      </c>
      <c r="B6" s="53" t="s">
        <v>15</v>
      </c>
      <c r="C6" s="91">
        <v>16</v>
      </c>
      <c r="D6" s="100">
        <f>D5-C6</f>
        <v>63</v>
      </c>
      <c r="E6" s="55">
        <f>D6/C2</f>
        <v>0.10696095076400679</v>
      </c>
      <c r="F6" s="148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48"/>
    </row>
    <row r="8" spans="1:6" ht="16.5" thickTop="1" thickBot="1" x14ac:dyDescent="0.3">
      <c r="A8" s="92"/>
      <c r="B8" s="108"/>
      <c r="C8" s="107" t="s">
        <v>903</v>
      </c>
      <c r="D8" s="93" t="s">
        <v>1447</v>
      </c>
      <c r="E8" s="99" t="s">
        <v>904</v>
      </c>
      <c r="F8" s="148"/>
    </row>
    <row r="9" spans="1:6" ht="15" customHeight="1" thickTop="1" thickBot="1" x14ac:dyDescent="0.3">
      <c r="A9" s="35" t="s">
        <v>1461</v>
      </c>
      <c r="B9" s="95" t="s">
        <v>1052</v>
      </c>
      <c r="C9" s="96">
        <v>307</v>
      </c>
      <c r="D9" s="112">
        <v>39</v>
      </c>
      <c r="E9" s="102">
        <f>D9/C9</f>
        <v>0.12703583061889251</v>
      </c>
      <c r="F9" s="148"/>
    </row>
    <row r="10" spans="1:6" ht="15.75" thickBot="1" x14ac:dyDescent="0.3">
      <c r="A10" t="s">
        <v>1461</v>
      </c>
      <c r="B10" s="109" t="s">
        <v>1053</v>
      </c>
      <c r="C10" s="110">
        <f>COSEIDIcam</f>
        <v>281</v>
      </c>
      <c r="D10" s="110">
        <v>68</v>
      </c>
      <c r="E10" s="111">
        <f>D10/C10</f>
        <v>0.24199288256227758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903</v>
      </c>
      <c r="D12" s="105" t="s">
        <v>1447</v>
      </c>
      <c r="E12" s="106" t="s">
        <v>904</v>
      </c>
    </row>
    <row r="13" spans="1:6" ht="15" customHeight="1" thickTop="1" x14ac:dyDescent="0.25">
      <c r="B13" s="52" t="s">
        <v>1232</v>
      </c>
      <c r="C13" s="97">
        <f>CANTIDAD_DE_CAMARAS</f>
        <v>589</v>
      </c>
      <c r="D13" s="98"/>
      <c r="E13" s="103"/>
      <c r="F13" s="147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0.14770797962648557</v>
      </c>
      <c r="F14" s="148"/>
    </row>
    <row r="15" spans="1:6" x14ac:dyDescent="0.25">
      <c r="B15" s="53" t="s">
        <v>1233</v>
      </c>
      <c r="C15" s="67">
        <v>3</v>
      </c>
      <c r="D15" s="100">
        <v>84</v>
      </c>
      <c r="E15" s="55">
        <f>D15/C13</f>
        <v>0.14261460101867574</v>
      </c>
      <c r="F15" s="148"/>
    </row>
    <row r="16" spans="1:6" x14ac:dyDescent="0.25">
      <c r="B16" s="53" t="s">
        <v>1234</v>
      </c>
      <c r="C16" s="67">
        <v>7</v>
      </c>
      <c r="D16" s="100">
        <v>77</v>
      </c>
      <c r="E16" s="55">
        <f>D16/C13</f>
        <v>0.13073005093378609</v>
      </c>
      <c r="F16" s="148"/>
    </row>
    <row r="17" spans="1:6" x14ac:dyDescent="0.25">
      <c r="A17" t="s">
        <v>1460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48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48"/>
    </row>
    <row r="19" spans="1:6" ht="16.5" thickTop="1" thickBot="1" x14ac:dyDescent="0.3">
      <c r="B19" s="108"/>
      <c r="C19" s="107" t="s">
        <v>903</v>
      </c>
      <c r="D19" s="93" t="s">
        <v>1447</v>
      </c>
      <c r="E19" s="99" t="s">
        <v>904</v>
      </c>
      <c r="F19" s="148"/>
    </row>
    <row r="20" spans="1:6" ht="16.5" thickTop="1" thickBot="1" x14ac:dyDescent="0.3">
      <c r="A20" t="s">
        <v>1462</v>
      </c>
      <c r="B20" s="95" t="s">
        <v>1052</v>
      </c>
      <c r="C20" s="96">
        <v>307</v>
      </c>
      <c r="D20" s="112">
        <v>32</v>
      </c>
      <c r="E20" s="102">
        <f>D20/C20</f>
        <v>0.10423452768729642</v>
      </c>
      <c r="F20" s="148"/>
    </row>
    <row r="21" spans="1:6" ht="15.75" thickBot="1" x14ac:dyDescent="0.3">
      <c r="A21" t="s">
        <v>1462</v>
      </c>
      <c r="B21" s="109" t="s">
        <v>1053</v>
      </c>
      <c r="C21" s="110">
        <f>COSEIDIcam</f>
        <v>281</v>
      </c>
      <c r="D21" s="110">
        <v>55</v>
      </c>
      <c r="E21" s="111">
        <f>D21/C21</f>
        <v>0.19572953736654805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903</v>
      </c>
      <c r="D23" s="105" t="s">
        <v>1447</v>
      </c>
      <c r="E23" s="106" t="s">
        <v>904</v>
      </c>
    </row>
    <row r="24" spans="1:6" ht="15.75" thickTop="1" x14ac:dyDescent="0.25">
      <c r="B24" s="52" t="s">
        <v>1232</v>
      </c>
      <c r="C24" s="97">
        <f>CANTIDAD_DE_CAMARAS</f>
        <v>589</v>
      </c>
      <c r="D24" s="98"/>
      <c r="E24" s="103"/>
      <c r="F24" s="147"/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48"/>
    </row>
    <row r="26" spans="1:6" x14ac:dyDescent="0.25">
      <c r="B26" s="53" t="s">
        <v>1233</v>
      </c>
      <c r="C26" s="67">
        <v>6</v>
      </c>
      <c r="D26" s="100">
        <f>C25-C26</f>
        <v>-6</v>
      </c>
      <c r="E26" s="55">
        <f>D26/C24</f>
        <v>-1.0186757215619695E-2</v>
      </c>
      <c r="F26" s="148"/>
    </row>
    <row r="27" spans="1:6" x14ac:dyDescent="0.25">
      <c r="B27" s="53" t="s">
        <v>1234</v>
      </c>
      <c r="C27" s="67">
        <v>7</v>
      </c>
      <c r="D27" s="100">
        <f>D26-C27</f>
        <v>-13</v>
      </c>
      <c r="E27" s="55">
        <f>D27/C24</f>
        <v>-2.2071307300509338E-2</v>
      </c>
      <c r="F27" s="148"/>
    </row>
    <row r="28" spans="1:6" x14ac:dyDescent="0.25">
      <c r="A28" t="s">
        <v>1453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48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48"/>
    </row>
    <row r="30" spans="1:6" ht="16.5" thickTop="1" thickBot="1" x14ac:dyDescent="0.3">
      <c r="B30" s="108"/>
      <c r="C30" s="107" t="s">
        <v>903</v>
      </c>
      <c r="D30" s="93" t="s">
        <v>1447</v>
      </c>
      <c r="E30" s="99" t="s">
        <v>904</v>
      </c>
      <c r="F30" s="148"/>
    </row>
    <row r="31" spans="1:6" ht="16.5" thickTop="1" thickBot="1" x14ac:dyDescent="0.3">
      <c r="B31" s="95" t="s">
        <v>1052</v>
      </c>
      <c r="C31" s="96">
        <v>307</v>
      </c>
      <c r="D31" s="112">
        <v>31</v>
      </c>
      <c r="E31" s="102">
        <f>D31/C31</f>
        <v>0.10097719869706841</v>
      </c>
      <c r="F31" s="148"/>
    </row>
    <row r="32" spans="1:6" ht="15.75" thickBot="1" x14ac:dyDescent="0.3">
      <c r="B32" s="109" t="s">
        <v>1053</v>
      </c>
      <c r="C32" s="110">
        <f>COSEIDIcam</f>
        <v>281</v>
      </c>
      <c r="D32" s="110">
        <v>52</v>
      </c>
      <c r="E32" s="111">
        <f>D32/C32</f>
        <v>0.18505338078291814</v>
      </c>
      <c r="F32" s="149"/>
    </row>
    <row r="33" spans="1:6" ht="16.5" thickTop="1" thickBot="1" x14ac:dyDescent="0.3"/>
    <row r="34" spans="1:6" ht="16.5" thickTop="1" thickBot="1" x14ac:dyDescent="0.3">
      <c r="C34" s="104" t="s">
        <v>903</v>
      </c>
      <c r="D34" s="105" t="s">
        <v>1447</v>
      </c>
      <c r="E34" s="106" t="s">
        <v>904</v>
      </c>
    </row>
    <row r="35" spans="1:6" ht="15.75" thickTop="1" x14ac:dyDescent="0.25">
      <c r="B35" s="52" t="s">
        <v>1232</v>
      </c>
      <c r="C35" s="97">
        <f>CANTIDAD_DE_CAMARAS</f>
        <v>589</v>
      </c>
      <c r="D35" s="98"/>
      <c r="E35" s="103"/>
      <c r="F35" s="147"/>
    </row>
    <row r="36" spans="1:6" x14ac:dyDescent="0.25">
      <c r="A36" t="s">
        <v>1452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48"/>
    </row>
    <row r="37" spans="1:6" x14ac:dyDescent="0.25">
      <c r="B37" s="53" t="s">
        <v>1233</v>
      </c>
      <c r="C37" s="67">
        <v>7</v>
      </c>
      <c r="D37" s="100">
        <f>C36-C37</f>
        <v>-7</v>
      </c>
      <c r="E37" s="55">
        <f>D37/C35</f>
        <v>-1.1884550084889643E-2</v>
      </c>
      <c r="F37" s="148"/>
    </row>
    <row r="38" spans="1:6" x14ac:dyDescent="0.25">
      <c r="B38" s="53" t="s">
        <v>1234</v>
      </c>
      <c r="C38" s="67">
        <v>7</v>
      </c>
      <c r="D38" s="100">
        <f>D37-C38</f>
        <v>-14</v>
      </c>
      <c r="E38" s="55">
        <f>D38/C35</f>
        <v>-2.3769100169779286E-2</v>
      </c>
      <c r="F38" s="148"/>
    </row>
    <row r="39" spans="1:6" x14ac:dyDescent="0.25">
      <c r="A39" t="s">
        <v>1452</v>
      </c>
      <c r="B39" s="53" t="s">
        <v>15</v>
      </c>
      <c r="C39" s="91">
        <v>6</v>
      </c>
      <c r="D39" s="100">
        <f>D38-C39</f>
        <v>-20</v>
      </c>
      <c r="E39" s="55">
        <f>D39/C35</f>
        <v>-3.3955857385398983E-2</v>
      </c>
      <c r="F39" s="148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48"/>
    </row>
    <row r="41" spans="1:6" ht="16.5" thickTop="1" thickBot="1" x14ac:dyDescent="0.3">
      <c r="B41" s="108"/>
      <c r="C41" s="107" t="s">
        <v>903</v>
      </c>
      <c r="D41" s="93" t="s">
        <v>1447</v>
      </c>
      <c r="E41" s="99" t="s">
        <v>904</v>
      </c>
      <c r="F41" s="148"/>
    </row>
    <row r="42" spans="1:6" ht="16.5" thickTop="1" thickBot="1" x14ac:dyDescent="0.3">
      <c r="B42" s="95" t="s">
        <v>1052</v>
      </c>
      <c r="C42" s="96">
        <v>307</v>
      </c>
      <c r="D42" s="112">
        <f>Hoja1!I3</f>
        <v>29</v>
      </c>
      <c r="E42" s="102">
        <f>D42/C42</f>
        <v>9.4462540716612378E-2</v>
      </c>
      <c r="F42" s="148"/>
    </row>
    <row r="43" spans="1:6" ht="15.75" thickBot="1" x14ac:dyDescent="0.3">
      <c r="B43" s="109" t="s">
        <v>1053</v>
      </c>
      <c r="C43" s="110">
        <f>COSEIDIcam</f>
        <v>281</v>
      </c>
      <c r="D43" s="110">
        <f>Hoja1!I5</f>
        <v>56</v>
      </c>
      <c r="E43" s="111">
        <f>D43/C43</f>
        <v>0.199288256227758</v>
      </c>
      <c r="F43" s="149"/>
    </row>
    <row r="44" spans="1:6" ht="16.5" thickTop="1" thickBot="1" x14ac:dyDescent="0.3"/>
    <row r="45" spans="1:6" ht="16.5" thickTop="1" thickBot="1" x14ac:dyDescent="0.3">
      <c r="C45" s="104" t="s">
        <v>903</v>
      </c>
      <c r="D45" s="105" t="s">
        <v>1447</v>
      </c>
      <c r="E45" s="106" t="s">
        <v>904</v>
      </c>
    </row>
    <row r="46" spans="1:6" ht="15.75" thickTop="1" x14ac:dyDescent="0.25">
      <c r="B46" s="52" t="s">
        <v>1232</v>
      </c>
      <c r="C46" s="97">
        <f>CANTIDAD_DE_CAMARAS</f>
        <v>589</v>
      </c>
      <c r="D46" s="98"/>
      <c r="E46" s="103"/>
      <c r="F46" s="147"/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48"/>
    </row>
    <row r="48" spans="1:6" x14ac:dyDescent="0.25">
      <c r="B48" s="53" t="s">
        <v>1233</v>
      </c>
      <c r="C48" s="67">
        <v>4</v>
      </c>
      <c r="D48" s="100">
        <f>C47-C48</f>
        <v>-4</v>
      </c>
      <c r="E48" s="55">
        <f>D48/C46</f>
        <v>-6.7911714770797962E-3</v>
      </c>
      <c r="F48" s="148"/>
    </row>
    <row r="49" spans="1:6" x14ac:dyDescent="0.25">
      <c r="B49" s="53" t="s">
        <v>1234</v>
      </c>
      <c r="C49" s="67">
        <v>8</v>
      </c>
      <c r="D49" s="100">
        <f>D48-C49</f>
        <v>-12</v>
      </c>
      <c r="E49" s="55">
        <f>D49/C46</f>
        <v>-2.037351443123939E-2</v>
      </c>
      <c r="F49" s="148"/>
    </row>
    <row r="50" spans="1:6" x14ac:dyDescent="0.25">
      <c r="A50" t="s">
        <v>1454</v>
      </c>
      <c r="B50" s="53" t="s">
        <v>15</v>
      </c>
      <c r="C50" s="91">
        <f>'RESUMEN TOTAL'!W5</f>
        <v>0</v>
      </c>
      <c r="D50" s="100">
        <f>D49-C50</f>
        <v>-12</v>
      </c>
      <c r="E50" s="55">
        <f>D50/C46</f>
        <v>-2.037351443123939E-2</v>
      </c>
      <c r="F50" s="148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48"/>
    </row>
    <row r="52" spans="1:6" ht="16.5" thickTop="1" thickBot="1" x14ac:dyDescent="0.3">
      <c r="B52" s="108"/>
      <c r="C52" s="107" t="s">
        <v>903</v>
      </c>
      <c r="D52" s="93" t="s">
        <v>1447</v>
      </c>
      <c r="E52" s="99" t="s">
        <v>904</v>
      </c>
      <c r="F52" s="148"/>
    </row>
    <row r="53" spans="1:6" ht="16.5" thickTop="1" thickBot="1" x14ac:dyDescent="0.3">
      <c r="B53" s="95" t="s">
        <v>1052</v>
      </c>
      <c r="C53" s="96">
        <v>307</v>
      </c>
      <c r="D53" s="112">
        <f>Hoja1!J3</f>
        <v>29</v>
      </c>
      <c r="E53" s="102">
        <f>D53/C53</f>
        <v>9.4462540716612378E-2</v>
      </c>
      <c r="F53" s="148"/>
    </row>
    <row r="54" spans="1:6" ht="15.75" thickBot="1" x14ac:dyDescent="0.3">
      <c r="B54" s="109" t="s">
        <v>1053</v>
      </c>
      <c r="C54" s="110">
        <f>COSEIDIcam</f>
        <v>281</v>
      </c>
      <c r="D54" s="110">
        <f>Hoja1!J5</f>
        <v>0</v>
      </c>
      <c r="E54" s="111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04" t="s">
        <v>903</v>
      </c>
      <c r="D56" s="105" t="s">
        <v>1447</v>
      </c>
      <c r="E56" s="106" t="s">
        <v>904</v>
      </c>
    </row>
    <row r="57" spans="1:6" ht="15.75" thickTop="1" x14ac:dyDescent="0.25">
      <c r="B57" s="52" t="s">
        <v>1232</v>
      </c>
      <c r="C57" s="97">
        <f>CANTIDAD_DE_CAMARAS</f>
        <v>589</v>
      </c>
      <c r="D57" s="98"/>
      <c r="E57" s="103"/>
      <c r="F57" s="147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107</v>
      </c>
      <c r="D58" s="54"/>
      <c r="E58" s="55">
        <f>C58/C57</f>
        <v>0.18166383701188454</v>
      </c>
      <c r="F58" s="148"/>
    </row>
    <row r="59" spans="1:6" x14ac:dyDescent="0.25">
      <c r="B59" s="53" t="s">
        <v>1233</v>
      </c>
      <c r="C59" s="67">
        <v>4</v>
      </c>
      <c r="D59" s="100">
        <f>C58-C59</f>
        <v>103</v>
      </c>
      <c r="E59" s="55">
        <f>D59/C57</f>
        <v>0.17487266553480477</v>
      </c>
      <c r="F59" s="148"/>
    </row>
    <row r="60" spans="1:6" x14ac:dyDescent="0.25">
      <c r="B60" s="53" t="s">
        <v>1234</v>
      </c>
      <c r="C60" s="67">
        <v>11</v>
      </c>
      <c r="D60" s="100">
        <f>D59-C60</f>
        <v>92</v>
      </c>
      <c r="E60" s="55">
        <f>D60/C57</f>
        <v>0.15619694397283532</v>
      </c>
      <c r="F60" s="148"/>
    </row>
    <row r="61" spans="1:6" x14ac:dyDescent="0.25">
      <c r="A61" t="s">
        <v>1455</v>
      </c>
      <c r="B61" s="53" t="s">
        <v>15</v>
      </c>
      <c r="C61" s="91">
        <v>6</v>
      </c>
      <c r="D61" s="100">
        <f>D60-C61</f>
        <v>86</v>
      </c>
      <c r="E61" s="55">
        <f>D61/C57</f>
        <v>0.14601018675721561</v>
      </c>
      <c r="F61" s="148"/>
    </row>
    <row r="62" spans="1:6" ht="15.75" thickBot="1" x14ac:dyDescent="0.3">
      <c r="B62" s="56"/>
      <c r="C62" s="128"/>
      <c r="D62" s="101"/>
      <c r="E62" s="74">
        <f>D62/C57</f>
        <v>0</v>
      </c>
      <c r="F62" s="148"/>
    </row>
    <row r="63" spans="1:6" ht="16.5" thickTop="1" thickBot="1" x14ac:dyDescent="0.3">
      <c r="B63" s="108"/>
      <c r="C63" s="107" t="s">
        <v>903</v>
      </c>
      <c r="D63" s="93" t="s">
        <v>1447</v>
      </c>
      <c r="E63" s="99" t="s">
        <v>904</v>
      </c>
      <c r="F63" s="148"/>
    </row>
    <row r="64" spans="1:6" ht="16.5" thickTop="1" thickBot="1" x14ac:dyDescent="0.3">
      <c r="B64" s="95" t="s">
        <v>1052</v>
      </c>
      <c r="C64" s="96">
        <v>307</v>
      </c>
      <c r="D64" s="112">
        <f>Hoja1!K3</f>
        <v>42</v>
      </c>
      <c r="E64" s="102">
        <f>D64/C64</f>
        <v>0.13680781758957655</v>
      </c>
      <c r="F64" s="148"/>
    </row>
    <row r="65" spans="1:6" ht="15.75" thickBot="1" x14ac:dyDescent="0.3">
      <c r="B65" s="109" t="s">
        <v>1053</v>
      </c>
      <c r="C65" s="110">
        <f>COSEIDIcam</f>
        <v>281</v>
      </c>
      <c r="D65" s="110">
        <f>Hoja1!K5</f>
        <v>65</v>
      </c>
      <c r="E65" s="111">
        <f>D65/C65</f>
        <v>0.23131672597864769</v>
      </c>
      <c r="F65" s="149"/>
    </row>
    <row r="66" spans="1:6" ht="16.5" thickTop="1" thickBot="1" x14ac:dyDescent="0.3"/>
    <row r="67" spans="1:6" ht="16.5" thickTop="1" thickBot="1" x14ac:dyDescent="0.3">
      <c r="C67" s="104" t="s">
        <v>903</v>
      </c>
      <c r="D67" s="105" t="s">
        <v>1447</v>
      </c>
      <c r="E67" s="106" t="s">
        <v>904</v>
      </c>
    </row>
    <row r="68" spans="1:6" ht="15.75" thickTop="1" x14ac:dyDescent="0.25">
      <c r="B68" s="52" t="s">
        <v>1232</v>
      </c>
      <c r="C68" s="97">
        <f>CANTIDAD_DE_CAMARAS</f>
        <v>589</v>
      </c>
      <c r="D68" s="98"/>
      <c r="E68" s="103"/>
      <c r="F68" s="147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101</v>
      </c>
      <c r="D69" s="54"/>
      <c r="E69" s="55">
        <f>C69/C68</f>
        <v>0.17147707979626486</v>
      </c>
      <c r="F69" s="148"/>
    </row>
    <row r="70" spans="1:6" x14ac:dyDescent="0.25">
      <c r="B70" s="53" t="s">
        <v>1233</v>
      </c>
      <c r="C70" s="67">
        <v>3</v>
      </c>
      <c r="D70" s="100">
        <f>C69-C70</f>
        <v>98</v>
      </c>
      <c r="E70" s="55">
        <f>D70/C68</f>
        <v>0.166383701188455</v>
      </c>
      <c r="F70" s="148"/>
    </row>
    <row r="71" spans="1:6" x14ac:dyDescent="0.25">
      <c r="B71" s="53" t="s">
        <v>1234</v>
      </c>
      <c r="C71" s="67">
        <v>11</v>
      </c>
      <c r="D71" s="100">
        <f>D70-C71</f>
        <v>87</v>
      </c>
      <c r="E71" s="55">
        <f>D71/C68</f>
        <v>0.14770797962648557</v>
      </c>
      <c r="F71" s="148"/>
    </row>
    <row r="72" spans="1:6" x14ac:dyDescent="0.25">
      <c r="A72" t="s">
        <v>1456</v>
      </c>
      <c r="B72" s="53" t="s">
        <v>15</v>
      </c>
      <c r="C72" s="91">
        <f>'RESUMEN TOTAL'!Y5</f>
        <v>6</v>
      </c>
      <c r="D72" s="100">
        <f>D71-C72</f>
        <v>81</v>
      </c>
      <c r="E72" s="55">
        <f>D72/C68</f>
        <v>0.13752122241086587</v>
      </c>
      <c r="F72" s="148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48"/>
    </row>
    <row r="74" spans="1:6" ht="16.5" thickTop="1" thickBot="1" x14ac:dyDescent="0.3">
      <c r="B74" s="108"/>
      <c r="C74" s="107" t="s">
        <v>903</v>
      </c>
      <c r="D74" s="93" t="s">
        <v>1447</v>
      </c>
      <c r="E74" s="99" t="s">
        <v>904</v>
      </c>
      <c r="F74" s="148"/>
    </row>
    <row r="75" spans="1:6" ht="16.5" thickTop="1" thickBot="1" x14ac:dyDescent="0.3">
      <c r="B75" s="95" t="s">
        <v>1052</v>
      </c>
      <c r="C75" s="96">
        <v>307</v>
      </c>
      <c r="D75" s="112">
        <v>49</v>
      </c>
      <c r="E75" s="102">
        <f>D75/C75</f>
        <v>0.15960912052117263</v>
      </c>
      <c r="F75" s="148"/>
    </row>
    <row r="76" spans="1:6" ht="15.75" thickBot="1" x14ac:dyDescent="0.3">
      <c r="B76" s="109" t="s">
        <v>1053</v>
      </c>
      <c r="C76" s="110">
        <f>COSEIDIcam</f>
        <v>281</v>
      </c>
      <c r="D76" s="110">
        <f>Hoja1!L5</f>
        <v>52</v>
      </c>
      <c r="E76" s="111">
        <f>D76/C76</f>
        <v>0.18505338078291814</v>
      </c>
      <c r="F76" s="149"/>
    </row>
    <row r="77" spans="1:6" ht="16.5" thickTop="1" thickBot="1" x14ac:dyDescent="0.3"/>
    <row r="78" spans="1:6" ht="16.5" thickTop="1" thickBot="1" x14ac:dyDescent="0.3">
      <c r="C78" s="104" t="s">
        <v>903</v>
      </c>
      <c r="D78" s="105" t="s">
        <v>1447</v>
      </c>
      <c r="E78" s="106" t="s">
        <v>904</v>
      </c>
    </row>
    <row r="79" spans="1:6" ht="15.75" thickTop="1" x14ac:dyDescent="0.25">
      <c r="B79" s="52" t="s">
        <v>1232</v>
      </c>
      <c r="C79" s="97">
        <f>CANTIDAD_DE_CAMARAS</f>
        <v>589</v>
      </c>
      <c r="D79" s="98"/>
      <c r="E79" s="103"/>
      <c r="F79" s="147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104</v>
      </c>
      <c r="D80" s="54"/>
      <c r="E80" s="55">
        <f>C80/C79</f>
        <v>0.1765704584040747</v>
      </c>
      <c r="F80" s="148"/>
    </row>
    <row r="81" spans="1:6" x14ac:dyDescent="0.25">
      <c r="B81" s="53" t="s">
        <v>1233</v>
      </c>
      <c r="C81" s="67">
        <v>7</v>
      </c>
      <c r="D81" s="100">
        <f>C80-C81</f>
        <v>97</v>
      </c>
      <c r="E81" s="55">
        <f>D81/C79</f>
        <v>0.16468590831918506</v>
      </c>
      <c r="F81" s="148"/>
    </row>
    <row r="82" spans="1:6" x14ac:dyDescent="0.25">
      <c r="B82" s="53" t="s">
        <v>1234</v>
      </c>
      <c r="C82" s="67">
        <v>10</v>
      </c>
      <c r="D82" s="100">
        <f>D81-C82</f>
        <v>87</v>
      </c>
      <c r="E82" s="55">
        <f>D82/C79</f>
        <v>0.14770797962648557</v>
      </c>
      <c r="F82" s="148"/>
    </row>
    <row r="83" spans="1:6" x14ac:dyDescent="0.25">
      <c r="A83" t="s">
        <v>1451</v>
      </c>
      <c r="B83" s="53" t="s">
        <v>15</v>
      </c>
      <c r="C83" s="91">
        <v>5</v>
      </c>
      <c r="D83" s="100">
        <f>D82-C83</f>
        <v>82</v>
      </c>
      <c r="E83" s="55">
        <f>D83/C79</f>
        <v>0.13921901528013583</v>
      </c>
      <c r="F83" s="148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48"/>
    </row>
    <row r="85" spans="1:6" ht="16.5" thickTop="1" thickBot="1" x14ac:dyDescent="0.3">
      <c r="B85" s="108"/>
      <c r="C85" s="107" t="s">
        <v>903</v>
      </c>
      <c r="D85" s="93" t="s">
        <v>1447</v>
      </c>
      <c r="E85" s="99" t="s">
        <v>904</v>
      </c>
      <c r="F85" s="148"/>
    </row>
    <row r="86" spans="1:6" ht="16.5" thickTop="1" thickBot="1" x14ac:dyDescent="0.3">
      <c r="B86" s="95" t="s">
        <v>1052</v>
      </c>
      <c r="C86" s="96">
        <v>307</v>
      </c>
      <c r="D86" s="112">
        <v>53</v>
      </c>
      <c r="E86" s="102">
        <f>D86/C86</f>
        <v>0.17263843648208468</v>
      </c>
      <c r="F86" s="148"/>
    </row>
    <row r="87" spans="1:6" ht="15.75" thickBot="1" x14ac:dyDescent="0.3">
      <c r="B87" s="109" t="s">
        <v>1053</v>
      </c>
      <c r="C87" s="110">
        <f>COSEIDIcam</f>
        <v>281</v>
      </c>
      <c r="D87" s="110">
        <v>51</v>
      </c>
      <c r="E87" s="111">
        <f>D87/C87</f>
        <v>0.18149466192170818</v>
      </c>
      <c r="F87" s="149"/>
    </row>
    <row r="88" spans="1:6" ht="16.5" thickTop="1" thickBot="1" x14ac:dyDescent="0.3"/>
    <row r="89" spans="1:6" ht="16.5" thickTop="1" thickBot="1" x14ac:dyDescent="0.3">
      <c r="C89" s="104" t="s">
        <v>903</v>
      </c>
      <c r="D89" s="105" t="s">
        <v>1447</v>
      </c>
      <c r="E89" s="106" t="s">
        <v>904</v>
      </c>
    </row>
    <row r="90" spans="1:6" ht="15.75" thickTop="1" x14ac:dyDescent="0.25">
      <c r="B90" s="52" t="s">
        <v>1232</v>
      </c>
      <c r="C90" s="97">
        <f>CANTIDAD_DE_CAMARAS</f>
        <v>589</v>
      </c>
      <c r="D90" s="98"/>
      <c r="E90" s="103"/>
      <c r="F90" s="147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48"/>
    </row>
    <row r="92" spans="1:6" x14ac:dyDescent="0.25">
      <c r="B92" s="53" t="s">
        <v>1233</v>
      </c>
      <c r="C92" s="67">
        <v>5</v>
      </c>
      <c r="D92" s="100">
        <f>C91-C92</f>
        <v>-5</v>
      </c>
      <c r="E92" s="55">
        <f>D92/C90</f>
        <v>-8.4889643463497456E-3</v>
      </c>
      <c r="F92" s="148"/>
    </row>
    <row r="93" spans="1:6" x14ac:dyDescent="0.25">
      <c r="B93" s="53" t="s">
        <v>1234</v>
      </c>
      <c r="C93" s="67">
        <v>6</v>
      </c>
      <c r="D93" s="100">
        <f>D92-C93</f>
        <v>-11</v>
      </c>
      <c r="E93" s="55">
        <f>D93/C90</f>
        <v>-1.8675721561969439E-2</v>
      </c>
      <c r="F93" s="148"/>
    </row>
    <row r="94" spans="1:6" x14ac:dyDescent="0.25">
      <c r="A94" t="s">
        <v>1457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48"/>
    </row>
    <row r="95" spans="1:6" ht="15.75" thickBot="1" x14ac:dyDescent="0.3">
      <c r="B95" s="56"/>
      <c r="C95" s="128"/>
      <c r="D95" s="101"/>
      <c r="E95" s="74">
        <f>D95/C90</f>
        <v>0</v>
      </c>
      <c r="F95" s="148"/>
    </row>
    <row r="96" spans="1:6" ht="16.5" thickTop="1" thickBot="1" x14ac:dyDescent="0.3">
      <c r="B96" s="108"/>
      <c r="C96" s="107" t="s">
        <v>903</v>
      </c>
      <c r="D96" s="93" t="s">
        <v>1447</v>
      </c>
      <c r="E96" s="99" t="s">
        <v>904</v>
      </c>
      <c r="F96" s="148"/>
    </row>
    <row r="97" spans="1:6" ht="16.5" thickTop="1" thickBot="1" x14ac:dyDescent="0.3">
      <c r="B97" s="95" t="s">
        <v>1052</v>
      </c>
      <c r="C97" s="96">
        <v>307</v>
      </c>
      <c r="D97" s="112">
        <f>Hoja1!N3</f>
        <v>0</v>
      </c>
      <c r="E97" s="102">
        <f>D97/C97</f>
        <v>0</v>
      </c>
      <c r="F97" s="148"/>
    </row>
    <row r="98" spans="1:6" ht="15.75" thickBot="1" x14ac:dyDescent="0.3">
      <c r="B98" s="109" t="s">
        <v>1053</v>
      </c>
      <c r="C98" s="110">
        <f>COSEIDIcam</f>
        <v>281</v>
      </c>
      <c r="D98" s="110">
        <f>Hoja1!N5</f>
        <v>0</v>
      </c>
      <c r="E98" s="111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04" t="s">
        <v>903</v>
      </c>
      <c r="D100" s="105" t="s">
        <v>1447</v>
      </c>
      <c r="E100" s="106" t="s">
        <v>904</v>
      </c>
    </row>
    <row r="101" spans="1:6" ht="15.75" thickTop="1" x14ac:dyDescent="0.25">
      <c r="B101" s="52" t="s">
        <v>1232</v>
      </c>
      <c r="C101" s="97">
        <f>CANTIDAD_DE_CAMARAS</f>
        <v>589</v>
      </c>
      <c r="D101" s="98"/>
      <c r="E101" s="103"/>
      <c r="F101" s="147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0.23938879456706283</v>
      </c>
      <c r="F102" s="148"/>
    </row>
    <row r="103" spans="1:6" x14ac:dyDescent="0.25">
      <c r="B103" s="53" t="s">
        <v>1233</v>
      </c>
      <c r="C103" s="67">
        <v>0</v>
      </c>
      <c r="D103" s="100">
        <f>C102-C103</f>
        <v>141</v>
      </c>
      <c r="E103" s="55">
        <f>D103/C101</f>
        <v>0.23938879456706283</v>
      </c>
      <c r="F103" s="148"/>
    </row>
    <row r="104" spans="1:6" x14ac:dyDescent="0.25">
      <c r="B104" s="53" t="s">
        <v>1234</v>
      </c>
      <c r="C104" s="67">
        <v>11</v>
      </c>
      <c r="D104" s="100">
        <f>D103-C104</f>
        <v>130</v>
      </c>
      <c r="E104" s="55">
        <f>D104/C101</f>
        <v>0.22071307300509338</v>
      </c>
      <c r="F104" s="148"/>
    </row>
    <row r="105" spans="1:6" x14ac:dyDescent="0.25">
      <c r="A105" t="s">
        <v>1458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48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48"/>
    </row>
    <row r="107" spans="1:6" ht="16.5" thickTop="1" thickBot="1" x14ac:dyDescent="0.3">
      <c r="B107" s="108"/>
      <c r="C107" s="107" t="s">
        <v>903</v>
      </c>
      <c r="D107" s="93" t="s">
        <v>1447</v>
      </c>
      <c r="E107" s="99" t="s">
        <v>904</v>
      </c>
      <c r="F107" s="148"/>
    </row>
    <row r="108" spans="1:6" ht="16.5" thickTop="1" thickBot="1" x14ac:dyDescent="0.3">
      <c r="B108" s="95" t="s">
        <v>1052</v>
      </c>
      <c r="C108" s="96">
        <v>307</v>
      </c>
      <c r="D108" s="112">
        <v>69</v>
      </c>
      <c r="E108" s="102">
        <f>D108/C108</f>
        <v>0.22475570032573289</v>
      </c>
      <c r="F108" s="148"/>
    </row>
    <row r="109" spans="1:6" ht="15.75" thickBot="1" x14ac:dyDescent="0.3">
      <c r="B109" s="109" t="s">
        <v>1053</v>
      </c>
      <c r="C109" s="110">
        <f>COSEIDIcam</f>
        <v>281</v>
      </c>
      <c r="D109" s="110">
        <v>72</v>
      </c>
      <c r="E109" s="111">
        <f>D109/C109</f>
        <v>0.25622775800711745</v>
      </c>
      <c r="F109" s="149"/>
    </row>
    <row r="110" spans="1:6" ht="16.5" thickTop="1" thickBot="1" x14ac:dyDescent="0.3"/>
    <row r="111" spans="1:6" ht="16.5" thickTop="1" thickBot="1" x14ac:dyDescent="0.3">
      <c r="C111" s="104" t="s">
        <v>903</v>
      </c>
      <c r="D111" s="105" t="s">
        <v>1447</v>
      </c>
      <c r="E111" s="106" t="s">
        <v>904</v>
      </c>
    </row>
    <row r="112" spans="1:6" ht="15.75" thickTop="1" x14ac:dyDescent="0.25">
      <c r="B112" s="52" t="s">
        <v>1232</v>
      </c>
      <c r="C112" s="97">
        <f>CANTIDAD_DE_CAMARAS</f>
        <v>589</v>
      </c>
      <c r="D112" s="98"/>
      <c r="E112" s="103"/>
      <c r="F112" s="147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48"/>
    </row>
    <row r="114" spans="2:6" x14ac:dyDescent="0.25">
      <c r="B114" s="53" t="s">
        <v>1233</v>
      </c>
      <c r="C114" s="67">
        <v>4</v>
      </c>
      <c r="D114" s="100">
        <f>C113-C114</f>
        <v>-4</v>
      </c>
      <c r="E114" s="55">
        <f>D114/C112</f>
        <v>-6.7911714770797962E-3</v>
      </c>
      <c r="F114" s="148"/>
    </row>
    <row r="115" spans="2:6" x14ac:dyDescent="0.25">
      <c r="B115" s="53" t="s">
        <v>1234</v>
      </c>
      <c r="C115" s="67">
        <v>7</v>
      </c>
      <c r="D115" s="100">
        <f>D114-C115</f>
        <v>-11</v>
      </c>
      <c r="E115" s="55">
        <f>D115/C112</f>
        <v>-1.8675721561969439E-2</v>
      </c>
      <c r="F115" s="148"/>
    </row>
    <row r="116" spans="2:6" x14ac:dyDescent="0.25">
      <c r="B116" s="53" t="s">
        <v>15</v>
      </c>
      <c r="C116" s="91">
        <v>5</v>
      </c>
      <c r="D116" s="100">
        <f>D115-C116</f>
        <v>-16</v>
      </c>
      <c r="E116" s="55">
        <f>D116/C112</f>
        <v>-2.7164685908319185E-2</v>
      </c>
      <c r="F116" s="148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48"/>
    </row>
    <row r="118" spans="2:6" ht="16.5" thickTop="1" thickBot="1" x14ac:dyDescent="0.3">
      <c r="B118" s="108"/>
      <c r="C118" s="107" t="s">
        <v>903</v>
      </c>
      <c r="D118" s="93" t="s">
        <v>1447</v>
      </c>
      <c r="E118" s="99" t="s">
        <v>904</v>
      </c>
      <c r="F118" s="148"/>
    </row>
    <row r="119" spans="2:6" ht="16.5" thickTop="1" thickBot="1" x14ac:dyDescent="0.3">
      <c r="B119" s="95" t="s">
        <v>1052</v>
      </c>
      <c r="C119" s="96">
        <v>307</v>
      </c>
      <c r="D119" s="112">
        <f>Hoja1!P3</f>
        <v>0</v>
      </c>
      <c r="E119" s="102">
        <f>D119/C119</f>
        <v>0</v>
      </c>
      <c r="F119" s="148"/>
    </row>
    <row r="120" spans="2:6" ht="15.75" thickBot="1" x14ac:dyDescent="0.3">
      <c r="B120" s="109" t="s">
        <v>1053</v>
      </c>
      <c r="C120" s="110">
        <f>COSEIDIcam</f>
        <v>281</v>
      </c>
      <c r="D120" s="110">
        <f>Hoja1!P5</f>
        <v>0</v>
      </c>
      <c r="E120" s="111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04" t="s">
        <v>903</v>
      </c>
      <c r="D122" s="105" t="s">
        <v>1447</v>
      </c>
      <c r="E122" s="106" t="s">
        <v>904</v>
      </c>
    </row>
    <row r="123" spans="2:6" ht="15.75" thickTop="1" x14ac:dyDescent="0.25">
      <c r="B123" s="52" t="s">
        <v>1232</v>
      </c>
      <c r="C123" s="97">
        <f>CANTIDAD_DE_CAMARAS</f>
        <v>589</v>
      </c>
      <c r="D123" s="98"/>
      <c r="E123" s="103"/>
      <c r="F123" s="147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48"/>
    </row>
    <row r="125" spans="2:6" x14ac:dyDescent="0.25">
      <c r="B125" s="53" t="s">
        <v>1233</v>
      </c>
      <c r="C125" s="67">
        <v>8</v>
      </c>
      <c r="D125" s="100">
        <f>C124-C125</f>
        <v>-8</v>
      </c>
      <c r="E125" s="55">
        <f>D125/C123</f>
        <v>-1.3582342954159592E-2</v>
      </c>
      <c r="F125" s="148"/>
    </row>
    <row r="126" spans="2:6" x14ac:dyDescent="0.25">
      <c r="B126" s="53" t="s">
        <v>1234</v>
      </c>
      <c r="C126" s="67">
        <v>8</v>
      </c>
      <c r="D126" s="100">
        <f>D125-C126</f>
        <v>-16</v>
      </c>
      <c r="E126" s="55">
        <f>D126/C123</f>
        <v>-2.7164685908319185E-2</v>
      </c>
      <c r="F126" s="148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48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48"/>
    </row>
    <row r="129" spans="2:6" ht="16.5" thickTop="1" thickBot="1" x14ac:dyDescent="0.3">
      <c r="B129" s="108"/>
      <c r="C129" s="107" t="s">
        <v>903</v>
      </c>
      <c r="D129" s="93" t="s">
        <v>1447</v>
      </c>
      <c r="E129" s="99" t="s">
        <v>904</v>
      </c>
      <c r="F129" s="148"/>
    </row>
    <row r="130" spans="2:6" ht="16.5" thickTop="1" thickBot="1" x14ac:dyDescent="0.3">
      <c r="B130" s="95" t="s">
        <v>1052</v>
      </c>
      <c r="C130" s="96">
        <v>307</v>
      </c>
      <c r="D130" s="112">
        <f>Hoja1!Q3</f>
        <v>0</v>
      </c>
      <c r="E130" s="102">
        <f>D130/C130</f>
        <v>0</v>
      </c>
      <c r="F130" s="148"/>
    </row>
    <row r="131" spans="2:6" ht="15.75" thickBot="1" x14ac:dyDescent="0.3">
      <c r="B131" s="109" t="s">
        <v>1053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04" t="s">
        <v>903</v>
      </c>
      <c r="D133" s="105" t="s">
        <v>1447</v>
      </c>
      <c r="E133" s="106" t="s">
        <v>904</v>
      </c>
    </row>
    <row r="134" spans="2:6" ht="15.75" thickTop="1" x14ac:dyDescent="0.25">
      <c r="B134" s="52" t="s">
        <v>1232</v>
      </c>
      <c r="C134" s="97">
        <f>CANTIDAD_DE_CAMARAS</f>
        <v>589</v>
      </c>
      <c r="D134" s="98"/>
      <c r="E134" s="103"/>
      <c r="F134" s="147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48"/>
    </row>
    <row r="136" spans="2:6" x14ac:dyDescent="0.25">
      <c r="B136" s="53" t="s">
        <v>1233</v>
      </c>
      <c r="C136" s="67">
        <v>0</v>
      </c>
      <c r="D136" s="100">
        <f>C135-C136</f>
        <v>134</v>
      </c>
      <c r="E136" s="55">
        <f>D136/C134</f>
        <v>0.22750424448217318</v>
      </c>
      <c r="F136" s="148"/>
    </row>
    <row r="137" spans="2:6" x14ac:dyDescent="0.25">
      <c r="B137" s="53" t="s">
        <v>1234</v>
      </c>
      <c r="C137" s="67">
        <v>11</v>
      </c>
      <c r="D137" s="100">
        <f>D136-C137</f>
        <v>123</v>
      </c>
      <c r="E137" s="55">
        <f>D137/C134</f>
        <v>0.20882852292020374</v>
      </c>
      <c r="F137" s="148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48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48"/>
    </row>
    <row r="140" spans="2:6" ht="16.5" thickTop="1" thickBot="1" x14ac:dyDescent="0.3">
      <c r="B140" s="108"/>
      <c r="C140" s="107" t="s">
        <v>903</v>
      </c>
      <c r="D140" s="93" t="s">
        <v>1447</v>
      </c>
      <c r="E140" s="99" t="s">
        <v>904</v>
      </c>
      <c r="F140" s="148"/>
    </row>
    <row r="141" spans="2:6" ht="16.5" thickTop="1" thickBot="1" x14ac:dyDescent="0.3">
      <c r="B141" s="95" t="s">
        <v>1052</v>
      </c>
      <c r="C141" s="96">
        <v>307</v>
      </c>
      <c r="D141" s="112">
        <v>61</v>
      </c>
      <c r="E141" s="102">
        <f>D141/C141</f>
        <v>0.1986970684039088</v>
      </c>
      <c r="F141" s="148"/>
    </row>
    <row r="142" spans="2:6" ht="15.75" thickBot="1" x14ac:dyDescent="0.3">
      <c r="B142" s="109" t="s">
        <v>1053</v>
      </c>
      <c r="C142" s="110">
        <f>COSEIDIcam</f>
        <v>281</v>
      </c>
      <c r="D142" s="110">
        <v>73</v>
      </c>
      <c r="E142" s="111">
        <f>D142/C142</f>
        <v>0.2597864768683274</v>
      </c>
      <c r="F142" s="149"/>
    </row>
    <row r="143" spans="2:6" ht="16.5" thickTop="1" thickBot="1" x14ac:dyDescent="0.3"/>
    <row r="144" spans="2:6" ht="16.5" thickTop="1" thickBot="1" x14ac:dyDescent="0.3">
      <c r="C144" s="104" t="s">
        <v>903</v>
      </c>
      <c r="D144" s="105" t="s">
        <v>1447</v>
      </c>
      <c r="E144" s="106" t="s">
        <v>904</v>
      </c>
    </row>
    <row r="145" spans="2:6" ht="15.75" thickTop="1" x14ac:dyDescent="0.25">
      <c r="B145" s="52" t="s">
        <v>1232</v>
      </c>
      <c r="C145" s="97">
        <f>CANTIDAD_DE_CAMARAS</f>
        <v>589</v>
      </c>
      <c r="D145" s="98"/>
      <c r="E145" s="103"/>
      <c r="F145" s="147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48"/>
    </row>
    <row r="147" spans="2:6" x14ac:dyDescent="0.25">
      <c r="B147" s="53" t="s">
        <v>1233</v>
      </c>
      <c r="C147" s="67">
        <v>0</v>
      </c>
      <c r="D147" s="100">
        <f>C146-C147</f>
        <v>131</v>
      </c>
      <c r="E147" s="55">
        <f>D147/C145</f>
        <v>0.22241086587436332</v>
      </c>
      <c r="F147" s="148"/>
    </row>
    <row r="148" spans="2:6" x14ac:dyDescent="0.25">
      <c r="B148" s="53" t="s">
        <v>1234</v>
      </c>
      <c r="C148" s="67">
        <v>11</v>
      </c>
      <c r="D148" s="100">
        <f>D147-C148</f>
        <v>120</v>
      </c>
      <c r="E148" s="55">
        <f>D148/C145</f>
        <v>0.2037351443123939</v>
      </c>
      <c r="F148" s="148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48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48"/>
    </row>
    <row r="151" spans="2:6" ht="16.5" thickTop="1" thickBot="1" x14ac:dyDescent="0.3">
      <c r="B151" s="108"/>
      <c r="C151" s="107" t="s">
        <v>903</v>
      </c>
      <c r="D151" s="93" t="s">
        <v>1447</v>
      </c>
      <c r="E151" s="99" t="s">
        <v>904</v>
      </c>
      <c r="F151" s="148"/>
    </row>
    <row r="152" spans="2:6" ht="16.5" thickTop="1" thickBot="1" x14ac:dyDescent="0.3">
      <c r="B152" s="95" t="s">
        <v>1052</v>
      </c>
      <c r="C152" s="96">
        <v>307</v>
      </c>
      <c r="D152" s="112">
        <v>84</v>
      </c>
      <c r="E152" s="102">
        <f>D152/C152</f>
        <v>0.2736156351791531</v>
      </c>
      <c r="F152" s="148"/>
    </row>
    <row r="153" spans="2:6" ht="15.75" thickBot="1" x14ac:dyDescent="0.3">
      <c r="B153" s="109" t="s">
        <v>1053</v>
      </c>
      <c r="C153" s="110">
        <f>COSEIDIcam</f>
        <v>281</v>
      </c>
      <c r="D153" s="110">
        <v>47</v>
      </c>
      <c r="E153" s="111">
        <f>D153/C153</f>
        <v>0.16725978647686832</v>
      </c>
      <c r="F153" s="149"/>
    </row>
    <row r="154" spans="2:6" ht="15" customHeight="1" thickTop="1" thickBot="1" x14ac:dyDescent="0.3"/>
    <row r="155" spans="2:6" ht="16.5" thickTop="1" thickBot="1" x14ac:dyDescent="0.3">
      <c r="C155" s="104" t="s">
        <v>903</v>
      </c>
      <c r="D155" s="105" t="s">
        <v>1447</v>
      </c>
      <c r="E155" s="106" t="s">
        <v>904</v>
      </c>
    </row>
    <row r="156" spans="2:6" ht="15.75" thickTop="1" x14ac:dyDescent="0.25">
      <c r="B156" s="52" t="s">
        <v>1232</v>
      </c>
      <c r="C156" s="97">
        <f>CANTIDAD_DE_CAMARAS</f>
        <v>589</v>
      </c>
      <c r="D156" s="98"/>
      <c r="E156" s="103"/>
      <c r="F156" s="147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0.2037351443123939</v>
      </c>
      <c r="F157" s="148"/>
    </row>
    <row r="158" spans="2:6" x14ac:dyDescent="0.25">
      <c r="B158" s="53" t="s">
        <v>1233</v>
      </c>
      <c r="C158" s="67">
        <v>9</v>
      </c>
      <c r="D158" s="100">
        <f>C157-C158</f>
        <v>111</v>
      </c>
      <c r="E158" s="55">
        <f>D158/C156</f>
        <v>0.18845500848896435</v>
      </c>
      <c r="F158" s="148"/>
    </row>
    <row r="159" spans="2:6" x14ac:dyDescent="0.25">
      <c r="B159" s="53" t="s">
        <v>1234</v>
      </c>
      <c r="C159" s="67">
        <v>12</v>
      </c>
      <c r="D159" s="100">
        <f>D158-C159</f>
        <v>99</v>
      </c>
      <c r="E159" s="55">
        <f>D159/C156</f>
        <v>0.16808149405772496</v>
      </c>
      <c r="F159" s="148"/>
    </row>
    <row r="160" spans="2:6" x14ac:dyDescent="0.25">
      <c r="B160" s="53" t="s">
        <v>15</v>
      </c>
      <c r="C160" s="91">
        <f>'RESUMEN TOTAL'!AG5</f>
        <v>5</v>
      </c>
      <c r="D160" s="100">
        <f>D159-C160</f>
        <v>94</v>
      </c>
      <c r="E160" s="55">
        <f>D160/C156</f>
        <v>0.15959252971137522</v>
      </c>
      <c r="F160" s="148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48"/>
    </row>
    <row r="162" spans="2:6" ht="16.5" thickTop="1" thickBot="1" x14ac:dyDescent="0.3">
      <c r="B162" s="108"/>
      <c r="C162" s="107" t="s">
        <v>903</v>
      </c>
      <c r="D162" s="93" t="s">
        <v>1447</v>
      </c>
      <c r="E162" s="99" t="s">
        <v>904</v>
      </c>
      <c r="F162" s="148"/>
    </row>
    <row r="163" spans="2:6" ht="16.5" thickTop="1" thickBot="1" x14ac:dyDescent="0.3">
      <c r="B163" s="95" t="s">
        <v>1052</v>
      </c>
      <c r="C163" s="96">
        <v>307</v>
      </c>
      <c r="D163" s="112">
        <f>Hoja1!T3</f>
        <v>73</v>
      </c>
      <c r="E163" s="102">
        <f>D163/C163</f>
        <v>0.23778501628664495</v>
      </c>
      <c r="F163" s="148"/>
    </row>
    <row r="164" spans="2:6" ht="15.75" thickBot="1" x14ac:dyDescent="0.3">
      <c r="B164" s="109" t="s">
        <v>1053</v>
      </c>
      <c r="C164" s="110">
        <f>COSEIDIcam</f>
        <v>281</v>
      </c>
      <c r="D164" s="110">
        <v>47</v>
      </c>
      <c r="E164" s="111">
        <f>D164/C164</f>
        <v>0.16725978647686832</v>
      </c>
      <c r="F164" s="149"/>
    </row>
    <row r="165" spans="2:6" ht="16.5" thickTop="1" thickBot="1" x14ac:dyDescent="0.3"/>
    <row r="166" spans="2:6" ht="16.5" thickTop="1" thickBot="1" x14ac:dyDescent="0.3">
      <c r="C166" s="104" t="s">
        <v>903</v>
      </c>
      <c r="D166" s="105" t="s">
        <v>1447</v>
      </c>
      <c r="E166" s="106" t="s">
        <v>904</v>
      </c>
    </row>
    <row r="167" spans="2:6" ht="15.75" thickTop="1" x14ac:dyDescent="0.25">
      <c r="B167" s="52" t="s">
        <v>1232</v>
      </c>
      <c r="C167" s="97">
        <f>CANTIDAD_DE_CAMARAS</f>
        <v>589</v>
      </c>
      <c r="D167" s="98"/>
      <c r="E167" s="103"/>
      <c r="F167" s="147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0.1765704584040747</v>
      </c>
      <c r="F168" s="148"/>
    </row>
    <row r="169" spans="2:6" x14ac:dyDescent="0.25">
      <c r="B169" s="53" t="s">
        <v>1233</v>
      </c>
      <c r="C169" s="67">
        <v>2</v>
      </c>
      <c r="D169" s="100">
        <f>C168-C169</f>
        <v>102</v>
      </c>
      <c r="E169" s="55">
        <f>D169/C167</f>
        <v>0.1731748726655348</v>
      </c>
      <c r="F169" s="148"/>
    </row>
    <row r="170" spans="2:6" x14ac:dyDescent="0.25">
      <c r="B170" s="53" t="s">
        <v>1234</v>
      </c>
      <c r="C170" s="67">
        <v>12</v>
      </c>
      <c r="D170" s="100">
        <f>D169-C170</f>
        <v>90</v>
      </c>
      <c r="E170" s="55">
        <f>D170/C167</f>
        <v>0.15280135823429541</v>
      </c>
      <c r="F170" s="148"/>
    </row>
    <row r="171" spans="2:6" x14ac:dyDescent="0.25">
      <c r="B171" s="53" t="s">
        <v>15</v>
      </c>
      <c r="C171" s="91">
        <v>5</v>
      </c>
      <c r="D171" s="100">
        <f>D170-C171</f>
        <v>85</v>
      </c>
      <c r="E171" s="55">
        <f>D171/C167</f>
        <v>0.14431239388794567</v>
      </c>
      <c r="F171" s="148"/>
    </row>
    <row r="172" spans="2:6" ht="15.75" thickBot="1" x14ac:dyDescent="0.3">
      <c r="B172" s="56"/>
      <c r="C172" s="128"/>
      <c r="D172" s="101">
        <f>D171-C172</f>
        <v>85</v>
      </c>
      <c r="E172" s="74">
        <f>D172/C167</f>
        <v>0.14431239388794567</v>
      </c>
      <c r="F172" s="148"/>
    </row>
    <row r="173" spans="2:6" ht="16.5" thickTop="1" thickBot="1" x14ac:dyDescent="0.3">
      <c r="B173" s="108"/>
      <c r="C173" s="107" t="s">
        <v>903</v>
      </c>
      <c r="D173" s="93" t="s">
        <v>1447</v>
      </c>
      <c r="E173" s="99" t="s">
        <v>904</v>
      </c>
      <c r="F173" s="148"/>
    </row>
    <row r="174" spans="2:6" ht="16.5" thickTop="1" thickBot="1" x14ac:dyDescent="0.3">
      <c r="B174" s="95" t="s">
        <v>1052</v>
      </c>
      <c r="C174" s="96">
        <v>307</v>
      </c>
      <c r="D174" s="112">
        <f>Hoja1!U3</f>
        <v>59</v>
      </c>
      <c r="E174" s="102">
        <f>D174/C174</f>
        <v>0.19218241042345277</v>
      </c>
      <c r="F174" s="148"/>
    </row>
    <row r="175" spans="2:6" ht="15.75" thickBot="1" x14ac:dyDescent="0.3">
      <c r="B175" s="109" t="s">
        <v>1053</v>
      </c>
      <c r="C175" s="110">
        <f>COSEIDIcam</f>
        <v>281</v>
      </c>
      <c r="D175" s="110">
        <v>40</v>
      </c>
      <c r="E175" s="111">
        <f>D175/C175</f>
        <v>0.14234875444839859</v>
      </c>
      <c r="F175" s="149"/>
    </row>
    <row r="176" spans="2:6" ht="16.5" thickTop="1" thickBot="1" x14ac:dyDescent="0.3"/>
    <row r="177" spans="2:6" ht="16.5" thickTop="1" thickBot="1" x14ac:dyDescent="0.3">
      <c r="C177" s="104" t="s">
        <v>903</v>
      </c>
      <c r="D177" s="105" t="s">
        <v>1447</v>
      </c>
      <c r="E177" s="106" t="s">
        <v>904</v>
      </c>
    </row>
    <row r="178" spans="2:6" ht="15.75" thickTop="1" x14ac:dyDescent="0.25">
      <c r="B178" s="52" t="s">
        <v>1232</v>
      </c>
      <c r="C178" s="97">
        <f>CANTIDAD_DE_CAMARAS</f>
        <v>589</v>
      </c>
      <c r="D178" s="98"/>
      <c r="E178" s="103"/>
      <c r="F178" s="147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0.21222410865874364</v>
      </c>
      <c r="F179" s="148"/>
    </row>
    <row r="180" spans="2:6" x14ac:dyDescent="0.25">
      <c r="B180" s="53" t="s">
        <v>1233</v>
      </c>
      <c r="C180" s="67">
        <v>20</v>
      </c>
      <c r="D180" s="100">
        <f>C179-C180</f>
        <v>105</v>
      </c>
      <c r="E180" s="55">
        <f>D180/C178</f>
        <v>0.17826825127334464</v>
      </c>
      <c r="F180" s="148"/>
    </row>
    <row r="181" spans="2:6" x14ac:dyDescent="0.25">
      <c r="B181" s="53" t="s">
        <v>1234</v>
      </c>
      <c r="C181" s="67">
        <v>12</v>
      </c>
      <c r="D181" s="100">
        <f>D180-C181</f>
        <v>93</v>
      </c>
      <c r="E181" s="55">
        <f>D181/C178</f>
        <v>0.15789473684210525</v>
      </c>
      <c r="F181" s="148"/>
    </row>
    <row r="182" spans="2:6" x14ac:dyDescent="0.25">
      <c r="B182" s="53" t="s">
        <v>15</v>
      </c>
      <c r="C182" s="91">
        <v>5</v>
      </c>
      <c r="D182" s="100">
        <f>D181-C182</f>
        <v>88</v>
      </c>
      <c r="E182" s="55">
        <f>D182/C178</f>
        <v>0.14940577249575551</v>
      </c>
      <c r="F182" s="148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48"/>
    </row>
    <row r="184" spans="2:6" ht="16.5" thickTop="1" thickBot="1" x14ac:dyDescent="0.3">
      <c r="B184" s="108"/>
      <c r="C184" s="107" t="s">
        <v>903</v>
      </c>
      <c r="D184" s="93" t="s">
        <v>1447</v>
      </c>
      <c r="E184" s="99" t="s">
        <v>904</v>
      </c>
      <c r="F184" s="148"/>
    </row>
    <row r="185" spans="2:6" ht="16.5" thickTop="1" thickBot="1" x14ac:dyDescent="0.3">
      <c r="B185" s="95" t="s">
        <v>1052</v>
      </c>
      <c r="C185" s="96">
        <v>307</v>
      </c>
      <c r="D185" s="112">
        <f>Hoja1!V3</f>
        <v>60</v>
      </c>
      <c r="E185" s="102">
        <f>D185/C185</f>
        <v>0.19543973941368079</v>
      </c>
      <c r="F185" s="148"/>
    </row>
    <row r="186" spans="2:6" ht="15.75" thickBot="1" x14ac:dyDescent="0.3">
      <c r="B186" s="109" t="s">
        <v>1053</v>
      </c>
      <c r="C186" s="110">
        <f>COSEIDIcam</f>
        <v>281</v>
      </c>
      <c r="D186" s="110">
        <f>Hoja1!V5</f>
        <v>65</v>
      </c>
      <c r="E186" s="111">
        <f>D186/C186</f>
        <v>0.23131672597864769</v>
      </c>
      <c r="F186" s="149"/>
    </row>
    <row r="187" spans="2:6" ht="16.5" thickTop="1" thickBot="1" x14ac:dyDescent="0.3"/>
    <row r="188" spans="2:6" ht="16.5" thickTop="1" thickBot="1" x14ac:dyDescent="0.3">
      <c r="C188" s="104" t="s">
        <v>903</v>
      </c>
      <c r="D188" s="105" t="s">
        <v>1447</v>
      </c>
      <c r="E188" s="106" t="s">
        <v>904</v>
      </c>
    </row>
    <row r="189" spans="2:6" ht="15.75" thickTop="1" x14ac:dyDescent="0.25">
      <c r="B189" s="52" t="s">
        <v>1232</v>
      </c>
      <c r="C189" s="97">
        <f>CANTIDAD_DE_CAMARAS</f>
        <v>589</v>
      </c>
      <c r="D189" s="98"/>
      <c r="E189" s="103"/>
      <c r="F189" s="147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48"/>
    </row>
    <row r="191" spans="2:6" x14ac:dyDescent="0.25">
      <c r="B191" s="53" t="s">
        <v>1233</v>
      </c>
      <c r="C191" s="67">
        <v>3</v>
      </c>
      <c r="D191" s="100">
        <f>C190-C191</f>
        <v>-3</v>
      </c>
      <c r="E191" s="55">
        <f>D191/C189</f>
        <v>-5.0933786078098476E-3</v>
      </c>
      <c r="F191" s="148"/>
    </row>
    <row r="192" spans="2:6" x14ac:dyDescent="0.25">
      <c r="B192" s="53" t="s">
        <v>1234</v>
      </c>
      <c r="C192" s="67">
        <v>8</v>
      </c>
      <c r="D192" s="100">
        <f>D191-C192</f>
        <v>-11</v>
      </c>
      <c r="E192" s="55">
        <f>D192/C189</f>
        <v>-1.8675721561969439E-2</v>
      </c>
      <c r="F192" s="148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48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48"/>
    </row>
    <row r="195" spans="2:6" ht="16.5" thickTop="1" thickBot="1" x14ac:dyDescent="0.3">
      <c r="B195" s="108"/>
      <c r="C195" s="107" t="s">
        <v>903</v>
      </c>
      <c r="D195" s="93" t="s">
        <v>1447</v>
      </c>
      <c r="E195" s="99" t="s">
        <v>904</v>
      </c>
      <c r="F195" s="148"/>
    </row>
    <row r="196" spans="2:6" ht="16.5" thickTop="1" thickBot="1" x14ac:dyDescent="0.3">
      <c r="B196" s="95" t="s">
        <v>1052</v>
      </c>
      <c r="C196" s="96">
        <v>307</v>
      </c>
      <c r="D196" s="112">
        <f>Hoja1!W3</f>
        <v>0</v>
      </c>
      <c r="E196" s="102">
        <f>D196/C196</f>
        <v>0</v>
      </c>
      <c r="F196" s="148"/>
    </row>
    <row r="197" spans="2:6" ht="15.75" thickBot="1" x14ac:dyDescent="0.3">
      <c r="B197" s="109" t="s">
        <v>1053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04" t="s">
        <v>903</v>
      </c>
      <c r="D199" s="105" t="s">
        <v>1447</v>
      </c>
      <c r="E199" s="106" t="s">
        <v>904</v>
      </c>
    </row>
    <row r="200" spans="2:6" ht="15.75" thickTop="1" x14ac:dyDescent="0.25">
      <c r="B200" s="52" t="s">
        <v>1232</v>
      </c>
      <c r="C200" s="97">
        <f>CANTIDAD_DE_CAMARAS</f>
        <v>589</v>
      </c>
      <c r="D200" s="98"/>
      <c r="E200" s="103"/>
      <c r="F200" s="147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48"/>
    </row>
    <row r="202" spans="2:6" x14ac:dyDescent="0.25">
      <c r="B202" s="53" t="s">
        <v>1233</v>
      </c>
      <c r="C202" s="67">
        <v>8</v>
      </c>
      <c r="D202" s="100">
        <f>C201-C202</f>
        <v>-8</v>
      </c>
      <c r="E202" s="55">
        <f>D202/C200</f>
        <v>-1.3582342954159592E-2</v>
      </c>
      <c r="F202" s="148"/>
    </row>
    <row r="203" spans="2:6" x14ac:dyDescent="0.25">
      <c r="B203" s="53" t="s">
        <v>1234</v>
      </c>
      <c r="C203" s="67">
        <v>8</v>
      </c>
      <c r="D203" s="100">
        <f>D202-C203</f>
        <v>-16</v>
      </c>
      <c r="E203" s="55">
        <f>D203/C200</f>
        <v>-2.7164685908319185E-2</v>
      </c>
      <c r="F203" s="148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48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48"/>
    </row>
    <row r="206" spans="2:6" ht="16.5" thickTop="1" thickBot="1" x14ac:dyDescent="0.3">
      <c r="B206" s="108"/>
      <c r="C206" s="107" t="s">
        <v>903</v>
      </c>
      <c r="D206" s="93" t="s">
        <v>1447</v>
      </c>
      <c r="E206" s="99" t="s">
        <v>904</v>
      </c>
      <c r="F206" s="148"/>
    </row>
    <row r="207" spans="2:6" ht="16.5" thickTop="1" thickBot="1" x14ac:dyDescent="0.3">
      <c r="B207" s="95" t="s">
        <v>1052</v>
      </c>
      <c r="C207" s="96">
        <v>307</v>
      </c>
      <c r="D207" s="112">
        <f>Hoja1!X3</f>
        <v>0</v>
      </c>
      <c r="E207" s="102">
        <f>D207/C207</f>
        <v>0</v>
      </c>
      <c r="F207" s="148"/>
    </row>
    <row r="208" spans="2:6" ht="15.75" thickBot="1" x14ac:dyDescent="0.3">
      <c r="B208" s="109" t="s">
        <v>1053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04" t="s">
        <v>903</v>
      </c>
      <c r="D210" s="105" t="s">
        <v>1447</v>
      </c>
      <c r="E210" s="106" t="s">
        <v>904</v>
      </c>
    </row>
    <row r="211" spans="2:6" ht="15.75" thickTop="1" x14ac:dyDescent="0.25">
      <c r="B211" s="52" t="s">
        <v>1232</v>
      </c>
      <c r="C211" s="97">
        <f>CANTIDAD_DE_CAMARAS</f>
        <v>589</v>
      </c>
      <c r="D211" s="98"/>
      <c r="E211" s="103"/>
      <c r="F211" s="147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0.19015280135823429</v>
      </c>
      <c r="F212" s="148"/>
    </row>
    <row r="213" spans="2:6" x14ac:dyDescent="0.25">
      <c r="B213" s="53" t="s">
        <v>1233</v>
      </c>
      <c r="C213" s="67">
        <v>9</v>
      </c>
      <c r="D213" s="100">
        <f>C212-C213</f>
        <v>103</v>
      </c>
      <c r="E213" s="55">
        <f>D213/C211</f>
        <v>0.17487266553480477</v>
      </c>
      <c r="F213" s="148"/>
    </row>
    <row r="214" spans="2:6" x14ac:dyDescent="0.25">
      <c r="B214" s="53" t="s">
        <v>1234</v>
      </c>
      <c r="C214" s="67">
        <v>12</v>
      </c>
      <c r="D214" s="100">
        <f>D213-C214</f>
        <v>91</v>
      </c>
      <c r="E214" s="55">
        <f>D214/C211</f>
        <v>0.15449915110356535</v>
      </c>
      <c r="F214" s="148"/>
    </row>
    <row r="215" spans="2:6" x14ac:dyDescent="0.25">
      <c r="B215" s="53" t="s">
        <v>15</v>
      </c>
      <c r="C215" s="91">
        <v>5</v>
      </c>
      <c r="D215" s="100">
        <f>D214-C215</f>
        <v>86</v>
      </c>
      <c r="E215" s="55">
        <f>D215/C211</f>
        <v>0.14601018675721561</v>
      </c>
      <c r="F215" s="148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48"/>
    </row>
    <row r="217" spans="2:6" ht="16.5" thickTop="1" thickBot="1" x14ac:dyDescent="0.3">
      <c r="B217" s="108"/>
      <c r="C217" s="107" t="s">
        <v>903</v>
      </c>
      <c r="D217" s="93" t="s">
        <v>1447</v>
      </c>
      <c r="E217" s="99" t="s">
        <v>904</v>
      </c>
      <c r="F217" s="148"/>
    </row>
    <row r="218" spans="2:6" ht="16.5" thickTop="1" thickBot="1" x14ac:dyDescent="0.3">
      <c r="B218" s="95" t="s">
        <v>1052</v>
      </c>
      <c r="C218" s="96">
        <v>307</v>
      </c>
      <c r="D218" s="112">
        <f>Hoja1!Y3</f>
        <v>66</v>
      </c>
      <c r="E218" s="102">
        <f>D218/C218</f>
        <v>0.21498371335504887</v>
      </c>
      <c r="F218" s="148"/>
    </row>
    <row r="219" spans="2:6" ht="15.75" thickBot="1" x14ac:dyDescent="0.3">
      <c r="B219" s="109" t="s">
        <v>1053</v>
      </c>
      <c r="C219" s="110">
        <f>COSEIDIcam</f>
        <v>281</v>
      </c>
      <c r="D219" s="110">
        <f>Hoja1!Y5</f>
        <v>46</v>
      </c>
      <c r="E219" s="111">
        <f>D219/C219</f>
        <v>0.16370106761565836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903</v>
      </c>
      <c r="D222" s="105" t="s">
        <v>1447</v>
      </c>
      <c r="E222" s="106" t="s">
        <v>904</v>
      </c>
    </row>
    <row r="223" spans="2:6" ht="15.75" thickTop="1" x14ac:dyDescent="0.25">
      <c r="B223" s="52" t="s">
        <v>1232</v>
      </c>
      <c r="C223" s="97">
        <f>CANTIDAD_DE_CAMARAS</f>
        <v>589</v>
      </c>
      <c r="D223" s="98"/>
      <c r="E223" s="103"/>
      <c r="F223" s="147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48"/>
    </row>
    <row r="225" spans="2:6" x14ac:dyDescent="0.25">
      <c r="B225" s="53" t="s">
        <v>1233</v>
      </c>
      <c r="C225" s="67">
        <v>3</v>
      </c>
      <c r="D225" s="100">
        <f>C224-C225</f>
        <v>96</v>
      </c>
      <c r="E225" s="55">
        <f>D225/C223</f>
        <v>0.16298811544991512</v>
      </c>
      <c r="F225" s="148"/>
    </row>
    <row r="226" spans="2:6" x14ac:dyDescent="0.25">
      <c r="B226" s="53" t="s">
        <v>1234</v>
      </c>
      <c r="C226" s="67">
        <v>12</v>
      </c>
      <c r="D226" s="100">
        <f>D225-C226</f>
        <v>84</v>
      </c>
      <c r="E226" s="55">
        <f>D226/C223</f>
        <v>0.14261460101867574</v>
      </c>
      <c r="F226" s="148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48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48"/>
    </row>
    <row r="229" spans="2:6" ht="16.5" thickTop="1" thickBot="1" x14ac:dyDescent="0.3">
      <c r="B229" s="108"/>
      <c r="C229" s="107" t="s">
        <v>903</v>
      </c>
      <c r="D229" s="93" t="s">
        <v>1447</v>
      </c>
      <c r="E229" s="99" t="s">
        <v>904</v>
      </c>
      <c r="F229" s="148"/>
    </row>
    <row r="230" spans="2:6" ht="16.5" thickTop="1" thickBot="1" x14ac:dyDescent="0.3">
      <c r="B230" s="95" t="s">
        <v>1052</v>
      </c>
      <c r="C230" s="96">
        <v>307</v>
      </c>
      <c r="D230" s="112">
        <v>58</v>
      </c>
      <c r="E230" s="102">
        <f>D230/C230</f>
        <v>0.18892508143322476</v>
      </c>
      <c r="F230" s="148"/>
    </row>
    <row r="231" spans="2:6" ht="15.75" thickBot="1" x14ac:dyDescent="0.3">
      <c r="B231" s="109" t="s">
        <v>1053</v>
      </c>
      <c r="C231" s="110">
        <f>COSEIDIcam</f>
        <v>281</v>
      </c>
      <c r="D231" s="110">
        <v>41</v>
      </c>
      <c r="E231" s="111">
        <f>D231/C231</f>
        <v>0.14590747330960854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903</v>
      </c>
      <c r="D234" s="105" t="s">
        <v>1447</v>
      </c>
      <c r="E234" s="106" t="s">
        <v>904</v>
      </c>
    </row>
    <row r="235" spans="2:6" ht="15.75" thickTop="1" x14ac:dyDescent="0.25">
      <c r="B235" s="52" t="s">
        <v>1232</v>
      </c>
      <c r="C235" s="97">
        <f>CANTIDAD_DE_CAMARAS</f>
        <v>589</v>
      </c>
      <c r="D235" s="98"/>
      <c r="E235" s="103"/>
      <c r="F235" s="147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48"/>
    </row>
    <row r="237" spans="2:6" x14ac:dyDescent="0.25">
      <c r="B237" s="53" t="s">
        <v>1233</v>
      </c>
      <c r="C237" s="67">
        <v>14</v>
      </c>
      <c r="D237" s="100">
        <f>C236-C237</f>
        <v>84</v>
      </c>
      <c r="E237" s="55">
        <f>D237/C235</f>
        <v>0.14261460101867574</v>
      </c>
      <c r="F237" s="148"/>
    </row>
    <row r="238" spans="2:6" x14ac:dyDescent="0.25">
      <c r="B238" s="53" t="s">
        <v>1234</v>
      </c>
      <c r="C238" s="67">
        <v>12</v>
      </c>
      <c r="D238" s="100">
        <f>D237-C238</f>
        <v>72</v>
      </c>
      <c r="E238" s="55">
        <f>D238/C235</f>
        <v>0.12224108658743633</v>
      </c>
      <c r="F238" s="148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48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48"/>
    </row>
    <row r="241" spans="2:6" ht="16.5" thickTop="1" thickBot="1" x14ac:dyDescent="0.3">
      <c r="B241" s="108"/>
      <c r="C241" s="107" t="s">
        <v>903</v>
      </c>
      <c r="D241" s="93" t="s">
        <v>1447</v>
      </c>
      <c r="E241" s="99" t="s">
        <v>904</v>
      </c>
      <c r="F241" s="148"/>
    </row>
    <row r="242" spans="2:6" ht="16.5" thickTop="1" thickBot="1" x14ac:dyDescent="0.3">
      <c r="B242" s="95" t="s">
        <v>1052</v>
      </c>
      <c r="C242" s="96">
        <v>307</v>
      </c>
      <c r="D242" s="112">
        <v>57</v>
      </c>
      <c r="E242" s="102">
        <f>D242/C242</f>
        <v>0.18566775244299674</v>
      </c>
      <c r="F242" s="148"/>
    </row>
    <row r="243" spans="2:6" ht="15.75" thickBot="1" x14ac:dyDescent="0.3">
      <c r="B243" s="109" t="s">
        <v>1053</v>
      </c>
      <c r="C243" s="110">
        <f>COSEIDIcam</f>
        <v>281</v>
      </c>
      <c r="D243" s="110">
        <v>41</v>
      </c>
      <c r="E243" s="111">
        <f>D243/C243</f>
        <v>0.14590747330960854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903</v>
      </c>
      <c r="D246" s="105" t="s">
        <v>1447</v>
      </c>
      <c r="E246" s="106" t="s">
        <v>904</v>
      </c>
    </row>
    <row r="247" spans="2:6" ht="15.75" thickTop="1" x14ac:dyDescent="0.25">
      <c r="B247" s="52" t="s">
        <v>1232</v>
      </c>
      <c r="C247" s="97">
        <f>CANTIDAD_DE_CAMARAS</f>
        <v>589</v>
      </c>
      <c r="D247" s="98"/>
      <c r="E247" s="103"/>
      <c r="F247" s="147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48"/>
    </row>
    <row r="249" spans="2:6" x14ac:dyDescent="0.25">
      <c r="B249" s="53" t="s">
        <v>1233</v>
      </c>
      <c r="C249" s="67">
        <v>9</v>
      </c>
      <c r="D249" s="100">
        <f>C248-C249</f>
        <v>115</v>
      </c>
      <c r="E249" s="55">
        <f>D249/C247</f>
        <v>0.19524617996604415</v>
      </c>
      <c r="F249" s="148"/>
    </row>
    <row r="250" spans="2:6" x14ac:dyDescent="0.25">
      <c r="B250" s="53" t="s">
        <v>1234</v>
      </c>
      <c r="C250" s="67">
        <v>12</v>
      </c>
      <c r="D250" s="100">
        <f>D249-C250</f>
        <v>103</v>
      </c>
      <c r="E250" s="55">
        <f>D250/C247</f>
        <v>0.17487266553480477</v>
      </c>
      <c r="F250" s="148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48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48"/>
    </row>
    <row r="253" spans="2:6" ht="16.5" thickTop="1" thickBot="1" x14ac:dyDescent="0.3">
      <c r="B253" s="108"/>
      <c r="C253" s="107" t="s">
        <v>903</v>
      </c>
      <c r="D253" s="93">
        <v>0</v>
      </c>
      <c r="E253" s="99" t="s">
        <v>904</v>
      </c>
      <c r="F253" s="148"/>
    </row>
    <row r="254" spans="2:6" ht="16.5" thickTop="1" thickBot="1" x14ac:dyDescent="0.3">
      <c r="B254" s="95" t="s">
        <v>1052</v>
      </c>
      <c r="C254" s="96">
        <v>307</v>
      </c>
      <c r="D254" s="112">
        <v>61</v>
      </c>
      <c r="E254" s="102">
        <f>D254/C254</f>
        <v>0.1986970684039088</v>
      </c>
      <c r="F254" s="148"/>
    </row>
    <row r="255" spans="2:6" ht="15.75" thickBot="1" x14ac:dyDescent="0.3">
      <c r="B255" s="109" t="s">
        <v>1053</v>
      </c>
      <c r="C255" s="110">
        <f>COSEIDIcam</f>
        <v>281</v>
      </c>
      <c r="D255" s="110">
        <v>63</v>
      </c>
      <c r="E255" s="111">
        <f>D255/C255</f>
        <v>0.22419928825622776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903</v>
      </c>
      <c r="D258" s="105" t="s">
        <v>1447</v>
      </c>
      <c r="E258" s="106" t="s">
        <v>904</v>
      </c>
    </row>
    <row r="259" spans="2:6" ht="15.75" thickTop="1" x14ac:dyDescent="0.25">
      <c r="B259" s="52" t="s">
        <v>1232</v>
      </c>
      <c r="C259" s="97">
        <f>CANTIDAD_DE_CAMARAS</f>
        <v>589</v>
      </c>
      <c r="D259" s="98"/>
      <c r="E259" s="103"/>
      <c r="F259" s="147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48"/>
    </row>
    <row r="261" spans="2:6" x14ac:dyDescent="0.25">
      <c r="B261" s="53" t="s">
        <v>1233</v>
      </c>
      <c r="C261" s="67">
        <v>7</v>
      </c>
      <c r="D261" s="100">
        <f>C260-C261</f>
        <v>109</v>
      </c>
      <c r="E261" s="55">
        <f>D261/C259</f>
        <v>0.18505942275042445</v>
      </c>
      <c r="F261" s="148"/>
    </row>
    <row r="262" spans="2:6" x14ac:dyDescent="0.25">
      <c r="B262" s="53" t="s">
        <v>1234</v>
      </c>
      <c r="C262" s="67">
        <v>12</v>
      </c>
      <c r="D262" s="100">
        <f>D261-C262</f>
        <v>97</v>
      </c>
      <c r="E262" s="55">
        <f>D262/C259</f>
        <v>0.16468590831918506</v>
      </c>
      <c r="F262" s="148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48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48"/>
    </row>
    <row r="265" spans="2:6" ht="16.5" thickTop="1" thickBot="1" x14ac:dyDescent="0.3">
      <c r="B265" s="108"/>
      <c r="C265" s="107" t="s">
        <v>903</v>
      </c>
      <c r="D265" s="93" t="s">
        <v>1447</v>
      </c>
      <c r="E265" s="99" t="s">
        <v>904</v>
      </c>
      <c r="F265" s="148"/>
    </row>
    <row r="266" spans="2:6" ht="16.5" thickTop="1" thickBot="1" x14ac:dyDescent="0.3">
      <c r="B266" s="95" t="s">
        <v>1052</v>
      </c>
      <c r="C266" s="96">
        <v>307</v>
      </c>
      <c r="D266" s="112">
        <v>57</v>
      </c>
      <c r="E266" s="102">
        <f>D266/C266</f>
        <v>0.18566775244299674</v>
      </c>
      <c r="F266" s="148"/>
    </row>
    <row r="267" spans="2:6" ht="15.75" thickBot="1" x14ac:dyDescent="0.3">
      <c r="B267" s="109" t="s">
        <v>1053</v>
      </c>
      <c r="C267" s="110">
        <f>COSEIDIcam</f>
        <v>281</v>
      </c>
      <c r="D267" s="110">
        <v>59</v>
      </c>
      <c r="E267" s="111">
        <f>D267/C267</f>
        <v>0.20996441281138789</v>
      </c>
      <c r="F267" s="149"/>
    </row>
    <row r="268" spans="2:6" ht="16.5" thickTop="1" thickBot="1" x14ac:dyDescent="0.3"/>
    <row r="269" spans="2:6" ht="16.5" thickTop="1" thickBot="1" x14ac:dyDescent="0.3">
      <c r="C269" s="104" t="s">
        <v>903</v>
      </c>
      <c r="D269" s="105" t="s">
        <v>1447</v>
      </c>
      <c r="E269" s="106" t="s">
        <v>904</v>
      </c>
    </row>
    <row r="270" spans="2:6" ht="15.75" thickTop="1" x14ac:dyDescent="0.25">
      <c r="B270" s="52" t="s">
        <v>1232</v>
      </c>
      <c r="C270" s="97">
        <f>CANTIDAD_DE_CAMARAS</f>
        <v>589</v>
      </c>
      <c r="D270" s="98"/>
      <c r="E270" s="103"/>
      <c r="F270" s="147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48"/>
    </row>
    <row r="272" spans="2:6" x14ac:dyDescent="0.25">
      <c r="B272" s="53" t="s">
        <v>1233</v>
      </c>
      <c r="C272" s="67">
        <v>6</v>
      </c>
      <c r="D272" s="100">
        <f>C271-C272</f>
        <v>-6</v>
      </c>
      <c r="E272" s="55">
        <f>D272/C270</f>
        <v>-1.0186757215619695E-2</v>
      </c>
      <c r="F272" s="148"/>
    </row>
    <row r="273" spans="2:6" x14ac:dyDescent="0.25">
      <c r="B273" s="53" t="s">
        <v>1234</v>
      </c>
      <c r="C273" s="67">
        <v>10</v>
      </c>
      <c r="D273" s="100">
        <f>D272-C273</f>
        <v>-16</v>
      </c>
      <c r="E273" s="55">
        <f>D273/C270</f>
        <v>-2.7164685908319185E-2</v>
      </c>
      <c r="F273" s="148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48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48"/>
    </row>
    <row r="276" spans="2:6" ht="16.5" thickTop="1" thickBot="1" x14ac:dyDescent="0.3">
      <c r="B276" s="108"/>
      <c r="C276" s="107" t="s">
        <v>903</v>
      </c>
      <c r="D276" s="93" t="s">
        <v>1447</v>
      </c>
      <c r="E276" s="99" t="s">
        <v>904</v>
      </c>
      <c r="F276" s="148"/>
    </row>
    <row r="277" spans="2:6" ht="16.5" thickTop="1" thickBot="1" x14ac:dyDescent="0.3">
      <c r="B277" s="95" t="s">
        <v>1052</v>
      </c>
      <c r="C277" s="96">
        <v>307</v>
      </c>
      <c r="D277" s="112">
        <f>Hoja1!AD3</f>
        <v>0</v>
      </c>
      <c r="E277" s="102">
        <f>D277/C277</f>
        <v>0</v>
      </c>
      <c r="F277" s="148"/>
    </row>
    <row r="278" spans="2:6" ht="15.75" thickBot="1" x14ac:dyDescent="0.3">
      <c r="B278" s="109" t="s">
        <v>1053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04" t="s">
        <v>903</v>
      </c>
      <c r="D280" s="105" t="s">
        <v>1447</v>
      </c>
      <c r="E280" s="106" t="s">
        <v>904</v>
      </c>
    </row>
    <row r="281" spans="2:6" ht="15.75" thickTop="1" x14ac:dyDescent="0.25">
      <c r="B281" s="52" t="s">
        <v>1232</v>
      </c>
      <c r="C281" s="97">
        <f>CANTIDAD_DE_CAMARAS</f>
        <v>589</v>
      </c>
      <c r="D281" s="98"/>
      <c r="E281" s="103"/>
      <c r="F281" s="147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48"/>
    </row>
    <row r="283" spans="2:6" x14ac:dyDescent="0.25">
      <c r="B283" s="53" t="s">
        <v>1233</v>
      </c>
      <c r="C283" s="67">
        <v>0</v>
      </c>
      <c r="D283" s="100">
        <f>C282-C283</f>
        <v>0</v>
      </c>
      <c r="E283" s="55">
        <f>D283/C281</f>
        <v>0</v>
      </c>
      <c r="F283" s="148"/>
    </row>
    <row r="284" spans="2:6" x14ac:dyDescent="0.25">
      <c r="B284" s="53" t="s">
        <v>1234</v>
      </c>
      <c r="C284" s="67">
        <v>10</v>
      </c>
      <c r="D284" s="100">
        <f>D283-C284</f>
        <v>-10</v>
      </c>
      <c r="E284" s="55">
        <f>D284/C281</f>
        <v>-1.6977928692699491E-2</v>
      </c>
      <c r="F284" s="148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48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48"/>
    </row>
    <row r="287" spans="2:6" ht="16.5" thickTop="1" thickBot="1" x14ac:dyDescent="0.3">
      <c r="B287" s="108"/>
      <c r="C287" s="107" t="s">
        <v>903</v>
      </c>
      <c r="D287" s="93" t="s">
        <v>1447</v>
      </c>
      <c r="E287" s="99" t="s">
        <v>904</v>
      </c>
      <c r="F287" s="148"/>
    </row>
    <row r="288" spans="2:6" ht="16.5" thickTop="1" thickBot="1" x14ac:dyDescent="0.3">
      <c r="B288" s="95" t="s">
        <v>1052</v>
      </c>
      <c r="C288" s="96">
        <v>307</v>
      </c>
      <c r="D288" s="112">
        <f>Hoja1!AE3</f>
        <v>29</v>
      </c>
      <c r="E288" s="102">
        <f>D288/C288</f>
        <v>9.4462540716612378E-2</v>
      </c>
      <c r="F288" s="148"/>
    </row>
    <row r="289" spans="2:6" ht="15.75" thickBot="1" x14ac:dyDescent="0.3">
      <c r="B289" s="109" t="s">
        <v>1053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04" t="s">
        <v>903</v>
      </c>
      <c r="D291" s="105" t="s">
        <v>1447</v>
      </c>
      <c r="E291" s="106" t="s">
        <v>904</v>
      </c>
    </row>
    <row r="292" spans="2:6" ht="15.75" thickTop="1" x14ac:dyDescent="0.25">
      <c r="B292" s="52" t="s">
        <v>1232</v>
      </c>
      <c r="C292" s="97">
        <f>CANTIDAD_DE_CAMARAS</f>
        <v>589</v>
      </c>
      <c r="D292" s="98"/>
      <c r="E292" s="103"/>
      <c r="F292" s="147">
        <v>46139</v>
      </c>
    </row>
    <row r="293" spans="2:6" x14ac:dyDescent="0.25">
      <c r="B293" s="53" t="s">
        <v>6</v>
      </c>
      <c r="C293" s="66">
        <f>'RESUMEN TOTAL'!AS3</f>
        <v>122</v>
      </c>
      <c r="D293" s="54"/>
      <c r="E293" s="55">
        <f>C293/C292</f>
        <v>0.2071307300509338</v>
      </c>
      <c r="F293" s="148"/>
    </row>
    <row r="294" spans="2:6" x14ac:dyDescent="0.25">
      <c r="B294" s="53" t="s">
        <v>1233</v>
      </c>
      <c r="C294" s="67">
        <v>9</v>
      </c>
      <c r="D294" s="100">
        <f>C293-C294</f>
        <v>113</v>
      </c>
      <c r="E294" s="55">
        <f>D294/C292</f>
        <v>0.19185059422750425</v>
      </c>
      <c r="F294" s="148"/>
    </row>
    <row r="295" spans="2:6" x14ac:dyDescent="0.25">
      <c r="B295" s="53" t="s">
        <v>1234</v>
      </c>
      <c r="C295" s="67">
        <v>12</v>
      </c>
      <c r="D295" s="100">
        <f>D294-C295</f>
        <v>101</v>
      </c>
      <c r="E295" s="55">
        <f>D295/C292</f>
        <v>0.17147707979626486</v>
      </c>
      <c r="F295" s="148"/>
    </row>
    <row r="296" spans="2:6" x14ac:dyDescent="0.25">
      <c r="B296" s="53" t="s">
        <v>15</v>
      </c>
      <c r="C296" s="91">
        <v>6</v>
      </c>
      <c r="D296" s="100">
        <f>D295-C296</f>
        <v>95</v>
      </c>
      <c r="E296" s="55">
        <f>D296/C292</f>
        <v>0.16129032258064516</v>
      </c>
      <c r="F296" s="148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48"/>
    </row>
    <row r="298" spans="2:6" ht="16.5" thickTop="1" thickBot="1" x14ac:dyDescent="0.3">
      <c r="B298" s="108"/>
      <c r="C298" s="107" t="s">
        <v>903</v>
      </c>
      <c r="D298" s="93" t="s">
        <v>1447</v>
      </c>
      <c r="E298" s="99" t="s">
        <v>904</v>
      </c>
      <c r="F298" s="148"/>
    </row>
    <row r="299" spans="2:6" ht="16.5" thickTop="1" thickBot="1" x14ac:dyDescent="0.3">
      <c r="B299" s="95" t="s">
        <v>1052</v>
      </c>
      <c r="C299" s="96">
        <v>307</v>
      </c>
      <c r="D299" s="112">
        <f>Hoja1!AF3</f>
        <v>48</v>
      </c>
      <c r="E299" s="102">
        <f>D299/C299</f>
        <v>0.15635179153094461</v>
      </c>
      <c r="F299" s="148"/>
    </row>
    <row r="300" spans="2:6" ht="15.75" thickBot="1" x14ac:dyDescent="0.3">
      <c r="B300" s="109" t="s">
        <v>1053</v>
      </c>
      <c r="C300" s="110">
        <f>COSEIDIcam</f>
        <v>281</v>
      </c>
      <c r="D300" s="110">
        <f>Hoja1!AF5</f>
        <v>74</v>
      </c>
      <c r="E300" s="111">
        <f>D300/C300</f>
        <v>0.26334519572953735</v>
      </c>
      <c r="F300" s="149"/>
    </row>
    <row r="301" spans="2:6" ht="16.5" thickTop="1" thickBot="1" x14ac:dyDescent="0.3"/>
    <row r="302" spans="2:6" ht="16.5" thickTop="1" thickBot="1" x14ac:dyDescent="0.3">
      <c r="C302" s="104" t="s">
        <v>903</v>
      </c>
      <c r="D302" s="105" t="s">
        <v>1447</v>
      </c>
      <c r="E302" s="106" t="s">
        <v>904</v>
      </c>
    </row>
    <row r="303" spans="2:6" ht="15.75" thickTop="1" x14ac:dyDescent="0.25">
      <c r="B303" s="52" t="s">
        <v>1232</v>
      </c>
      <c r="C303" s="97">
        <f>CANTIDAD_DE_CAMARAS</f>
        <v>589</v>
      </c>
      <c r="D303" s="98"/>
      <c r="E303" s="103"/>
      <c r="F303" s="147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48"/>
    </row>
    <row r="305" spans="2:6" x14ac:dyDescent="0.25">
      <c r="B305" s="53" t="s">
        <v>1233</v>
      </c>
      <c r="C305" s="67">
        <v>9</v>
      </c>
      <c r="D305" s="100">
        <f>C304-C305</f>
        <v>113</v>
      </c>
      <c r="E305" s="55">
        <f>D305/C303</f>
        <v>0.19185059422750425</v>
      </c>
      <c r="F305" s="148"/>
    </row>
    <row r="306" spans="2:6" x14ac:dyDescent="0.25">
      <c r="B306" s="53" t="s">
        <v>1234</v>
      </c>
      <c r="C306" s="67">
        <v>12</v>
      </c>
      <c r="D306" s="100">
        <f>D305-C306</f>
        <v>101</v>
      </c>
      <c r="E306" s="55">
        <f>D306/C303</f>
        <v>0.17147707979626486</v>
      </c>
      <c r="F306" s="148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48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48"/>
    </row>
    <row r="309" spans="2:6" ht="16.5" thickTop="1" thickBot="1" x14ac:dyDescent="0.3">
      <c r="B309" s="108"/>
      <c r="C309" s="107" t="s">
        <v>903</v>
      </c>
      <c r="D309" s="93" t="s">
        <v>1447</v>
      </c>
      <c r="E309" s="99" t="s">
        <v>904</v>
      </c>
      <c r="F309" s="148"/>
    </row>
    <row r="310" spans="2:6" ht="16.5" thickTop="1" thickBot="1" x14ac:dyDescent="0.3">
      <c r="B310" s="95" t="s">
        <v>1052</v>
      </c>
      <c r="C310" s="96">
        <v>307</v>
      </c>
      <c r="D310" s="112">
        <v>53</v>
      </c>
      <c r="E310" s="102">
        <f>D310/C310</f>
        <v>0.17263843648208468</v>
      </c>
      <c r="F310" s="148"/>
    </row>
    <row r="311" spans="2:6" ht="15.75" thickBot="1" x14ac:dyDescent="0.3">
      <c r="B311" s="109" t="s">
        <v>1053</v>
      </c>
      <c r="C311" s="110">
        <f>COSEIDIcam</f>
        <v>281</v>
      </c>
      <c r="D311" s="110">
        <v>69</v>
      </c>
      <c r="E311" s="111">
        <f>D311/C311</f>
        <v>0.24555160142348753</v>
      </c>
      <c r="F311" s="149"/>
    </row>
    <row r="312" spans="2:6" ht="16.5" thickTop="1" thickBot="1" x14ac:dyDescent="0.3"/>
    <row r="313" spans="2:6" ht="16.5" thickTop="1" thickBot="1" x14ac:dyDescent="0.3">
      <c r="C313" s="104" t="s">
        <v>903</v>
      </c>
      <c r="D313" s="105" t="s">
        <v>1447</v>
      </c>
      <c r="E313" s="106" t="s">
        <v>904</v>
      </c>
    </row>
    <row r="314" spans="2:6" ht="15.75" thickTop="1" x14ac:dyDescent="0.25">
      <c r="B314" s="52" t="s">
        <v>1232</v>
      </c>
      <c r="C314" s="97">
        <f>CANTIDAD_DE_CAMARAS</f>
        <v>589</v>
      </c>
      <c r="D314" s="98"/>
      <c r="E314" s="103"/>
      <c r="F314" s="147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48"/>
    </row>
    <row r="316" spans="2:6" x14ac:dyDescent="0.25">
      <c r="B316" s="53" t="s">
        <v>1233</v>
      </c>
      <c r="C316" s="67">
        <v>8</v>
      </c>
      <c r="D316" s="100">
        <f>C315-C316</f>
        <v>108</v>
      </c>
      <c r="E316" s="55">
        <f>D316/C314</f>
        <v>0.18336162988115451</v>
      </c>
      <c r="F316" s="148"/>
    </row>
    <row r="317" spans="2:6" x14ac:dyDescent="0.25">
      <c r="B317" s="53" t="s">
        <v>1234</v>
      </c>
      <c r="C317" s="67">
        <v>12</v>
      </c>
      <c r="D317" s="100">
        <f>D316-C318</f>
        <v>103</v>
      </c>
      <c r="E317" s="55">
        <f>D317/C314</f>
        <v>0.17487266553480477</v>
      </c>
      <c r="F317" s="148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48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48"/>
    </row>
    <row r="320" spans="2:6" ht="16.5" thickTop="1" thickBot="1" x14ac:dyDescent="0.3">
      <c r="B320" s="108"/>
      <c r="C320" s="107" t="s">
        <v>903</v>
      </c>
      <c r="D320" s="93" t="s">
        <v>1447</v>
      </c>
      <c r="E320" s="99" t="s">
        <v>904</v>
      </c>
      <c r="F320" s="148"/>
    </row>
    <row r="321" spans="2:6" ht="16.5" thickTop="1" thickBot="1" x14ac:dyDescent="0.3">
      <c r="B321" s="95" t="s">
        <v>1052</v>
      </c>
      <c r="C321" s="96">
        <v>307</v>
      </c>
      <c r="D321" s="112">
        <v>49</v>
      </c>
      <c r="E321" s="102">
        <f>D321/C321</f>
        <v>0.15960912052117263</v>
      </c>
      <c r="F321" s="148"/>
    </row>
    <row r="322" spans="2:6" ht="15.75" thickBot="1" x14ac:dyDescent="0.3">
      <c r="B322" s="109" t="s">
        <v>1053</v>
      </c>
      <c r="C322" s="110">
        <f>COSEIDIcam</f>
        <v>281</v>
      </c>
      <c r="D322" s="110">
        <v>67</v>
      </c>
      <c r="E322" s="102">
        <f>D322/C322</f>
        <v>0.23843416370106763</v>
      </c>
      <c r="F322" s="149"/>
    </row>
    <row r="323" spans="2:6" ht="16.5" thickTop="1" thickBot="1" x14ac:dyDescent="0.3"/>
    <row r="324" spans="2:6" ht="16.5" thickTop="1" thickBot="1" x14ac:dyDescent="0.3">
      <c r="C324" s="104" t="s">
        <v>903</v>
      </c>
      <c r="D324" s="105" t="s">
        <v>1447</v>
      </c>
      <c r="E324" s="106" t="s">
        <v>904</v>
      </c>
    </row>
    <row r="325" spans="2:6" ht="15.75" thickTop="1" x14ac:dyDescent="0.25">
      <c r="B325" s="52" t="s">
        <v>1232</v>
      </c>
      <c r="C325" s="97">
        <f>CANTIDAD_DE_CAMARAS</f>
        <v>589</v>
      </c>
      <c r="D325" s="98"/>
      <c r="E325" s="103"/>
      <c r="F325" s="147">
        <v>46142</v>
      </c>
    </row>
    <row r="326" spans="2:6" x14ac:dyDescent="0.25">
      <c r="B326" s="53" t="s">
        <v>6</v>
      </c>
      <c r="C326" s="66">
        <f>'RESUMEN TOTAL'!AV3</f>
        <v>113</v>
      </c>
      <c r="D326" s="54"/>
      <c r="E326" s="55">
        <f>C326/C325</f>
        <v>0.19185059422750425</v>
      </c>
      <c r="F326" s="148"/>
    </row>
    <row r="327" spans="2:6" x14ac:dyDescent="0.25">
      <c r="B327" s="53" t="s">
        <v>1233</v>
      </c>
      <c r="C327" s="67">
        <v>6</v>
      </c>
      <c r="D327" s="100">
        <f>C326-C327</f>
        <v>107</v>
      </c>
      <c r="E327" s="55">
        <f>D327/C325</f>
        <v>0.18166383701188454</v>
      </c>
      <c r="F327" s="148"/>
    </row>
    <row r="328" spans="2:6" x14ac:dyDescent="0.25">
      <c r="B328" s="53" t="s">
        <v>1234</v>
      </c>
      <c r="C328" s="67">
        <v>12</v>
      </c>
      <c r="D328" s="100">
        <f>D327-C328</f>
        <v>95</v>
      </c>
      <c r="E328" s="55">
        <f>D328/C325</f>
        <v>0.16129032258064516</v>
      </c>
      <c r="F328" s="148"/>
    </row>
    <row r="329" spans="2:6" x14ac:dyDescent="0.25">
      <c r="B329" s="53" t="s">
        <v>15</v>
      </c>
      <c r="C329" s="91">
        <v>5</v>
      </c>
      <c r="D329" s="100">
        <f>D328-C329</f>
        <v>90</v>
      </c>
      <c r="E329" s="55">
        <f>D329/C325</f>
        <v>0.15280135823429541</v>
      </c>
      <c r="F329" s="148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48"/>
    </row>
    <row r="331" spans="2:6" ht="16.5" thickTop="1" thickBot="1" x14ac:dyDescent="0.3">
      <c r="B331" s="108"/>
      <c r="C331" s="107" t="s">
        <v>903</v>
      </c>
      <c r="D331" s="93" t="s">
        <v>1447</v>
      </c>
      <c r="E331" s="99" t="s">
        <v>904</v>
      </c>
      <c r="F331" s="148"/>
    </row>
    <row r="332" spans="2:6" ht="16.5" thickTop="1" thickBot="1" x14ac:dyDescent="0.3">
      <c r="B332" s="95" t="s">
        <v>1052</v>
      </c>
      <c r="C332" s="96">
        <v>307</v>
      </c>
      <c r="D332" s="112">
        <v>48</v>
      </c>
      <c r="E332" s="102">
        <f>D332/C332</f>
        <v>0.15635179153094461</v>
      </c>
      <c r="F332" s="148"/>
    </row>
    <row r="333" spans="2:6" ht="15.75" thickBot="1" x14ac:dyDescent="0.3">
      <c r="B333" s="109" t="s">
        <v>1053</v>
      </c>
      <c r="C333" s="110">
        <f>COSEIDIcam</f>
        <v>281</v>
      </c>
      <c r="D333" s="110">
        <v>66</v>
      </c>
      <c r="E333" s="111">
        <f>D333/C333</f>
        <v>0.23487544483985764</v>
      </c>
      <c r="F333" s="149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903</v>
      </c>
      <c r="D336" s="105" t="s">
        <v>1447</v>
      </c>
      <c r="E336" s="106" t="s">
        <v>904</v>
      </c>
    </row>
    <row r="337" spans="2:6" ht="15.75" thickTop="1" x14ac:dyDescent="0.25">
      <c r="B337" s="52" t="s">
        <v>1232</v>
      </c>
      <c r="C337" s="97">
        <f>CANTIDAD_DE_CAMARAS</f>
        <v>589</v>
      </c>
      <c r="D337" s="98"/>
      <c r="E337" s="103"/>
      <c r="F337" s="147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8"/>
    </row>
    <row r="339" spans="2:6" x14ac:dyDescent="0.25">
      <c r="B339" s="53" t="s">
        <v>1233</v>
      </c>
      <c r="C339" s="67">
        <v>2</v>
      </c>
      <c r="D339" s="100" t="e">
        <f>C338-C339</f>
        <v>#REF!</v>
      </c>
      <c r="E339" s="55" t="e">
        <f>D339/C337</f>
        <v>#REF!</v>
      </c>
      <c r="F339" s="148"/>
    </row>
    <row r="340" spans="2:6" x14ac:dyDescent="0.25">
      <c r="B340" s="53" t="s">
        <v>1234</v>
      </c>
      <c r="C340" s="67">
        <v>11</v>
      </c>
      <c r="D340" s="100" t="e">
        <f>D339-C340</f>
        <v>#REF!</v>
      </c>
      <c r="E340" s="55" t="e">
        <f>D340/C337</f>
        <v>#REF!</v>
      </c>
      <c r="F340" s="148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48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48"/>
    </row>
    <row r="343" spans="2:6" ht="16.5" thickTop="1" thickBot="1" x14ac:dyDescent="0.3">
      <c r="B343" s="108"/>
      <c r="C343" s="107" t="s">
        <v>903</v>
      </c>
      <c r="D343" s="93" t="s">
        <v>1447</v>
      </c>
      <c r="E343" s="99" t="s">
        <v>904</v>
      </c>
      <c r="F343" s="148"/>
    </row>
    <row r="344" spans="2:6" ht="16.5" thickTop="1" thickBot="1" x14ac:dyDescent="0.3">
      <c r="B344" s="95" t="s">
        <v>1052</v>
      </c>
      <c r="C344" s="96">
        <v>307</v>
      </c>
      <c r="D344" s="112">
        <v>44</v>
      </c>
      <c r="E344" s="102">
        <f>D344/C344</f>
        <v>0.14332247557003258</v>
      </c>
      <c r="F344" s="148"/>
    </row>
    <row r="345" spans="2:6" ht="15.75" thickBot="1" x14ac:dyDescent="0.3">
      <c r="B345" s="109" t="s">
        <v>1053</v>
      </c>
      <c r="C345" s="110">
        <f>COSEIDIcam</f>
        <v>281</v>
      </c>
      <c r="D345" s="110">
        <v>77</v>
      </c>
      <c r="E345" s="111">
        <f>D345/C345</f>
        <v>0.27402135231316727</v>
      </c>
      <c r="F345" s="149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2026-05-04T18:41:18Z</dcterms:modified>
</cp:coreProperties>
</file>