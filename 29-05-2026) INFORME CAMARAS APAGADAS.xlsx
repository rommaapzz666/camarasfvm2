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241274A4-AD79-4B80-BFF2-B3DD3E232DB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<sst xmlns="http://schemas.openxmlformats.org/spreadsheetml/2006/main" count="7678" uniqueCount="2482">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</sst>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8"/>
  <sheetViews>
    <sheetView tabSelected="1" zoomScaleNormal="100" zoomScaleSheetLayoutView="100" workbookViewId="0">
      <pane xSplit="18" ySplit="7" topLeftCell="AT8" activePane="bottomRight" state="frozen"/>
      <selection activeCell="G1" sqref="G1"/>
      <selection pane="topRight" activeCell="S1" sqref="S1"/>
      <selection pane="bottomLeft" activeCell="G8" sqref="G8"/>
      <selection pane="bottomRight" activeCell="A37" sqref="A37:XFD3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6" style="30" customWidth="1"/>
    <col min="8" max="8" width="16.28515625" style="30" customWidth="1"/>
    <col min="9" max="9" width="32.8554687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0.11922503725782414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0.12703101920236337</v>
      </c>
      <c r="AS1" s="3">
        <f t="shared" si="1"/>
        <v>0.12444444444444444</v>
      </c>
      <c r="AT1" s="3">
        <f t="shared" si="1"/>
        <v>9.3558282208588958E-2</v>
      </c>
      <c r="AU1" s="3">
        <f>(AU3)/(AU2+AU3)</f>
        <v>9.4946401225114857E-2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80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86</v>
      </c>
      <c r="AS3" s="123">
        <f t="shared" si="3"/>
        <v>84</v>
      </c>
      <c r="AT3" s="123">
        <f t="shared" si="3"/>
        <v>61</v>
      </c>
      <c r="AU3" s="123">
        <f t="shared" si="3"/>
        <v>62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40</v>
      </c>
      <c r="W4" s="10">
        <f>COUNTIFS(W8:W706, "=APAGADO",K8:K706,"=Fibra Optica")</f>
        <v>39</v>
      </c>
      <c r="X4" s="10">
        <f>COUNTIFS(X8:X706, "=APAGADO",K8:K706,"=Fibra Optica")</f>
        <v>40</v>
      </c>
      <c r="Y4" s="10">
        <f>COUNTIFS(Y8:Y706, "=APAGADO",K8:K706,"=Fibra Optica")</f>
        <v>47</v>
      </c>
      <c r="Z4" s="10">
        <f>COUNTIFS(Z8:Z706, "=APAGADO",K8:K706,"=Fibra Optica")</f>
        <v>39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43</v>
      </c>
      <c r="AD4" s="10">
        <f>COUNTIFS(AD8:AD706, "=APAGADO",K8:K706,"=Fibra Optica")</f>
        <v>38</v>
      </c>
      <c r="AE4" s="10">
        <f>COUNTIFS(AE8:AE706, "=APAGADO",K8:K706,"=Fibra Optica")</f>
        <v>44</v>
      </c>
      <c r="AF4" s="10">
        <f>COUNTIFS(AF8:AF706, "=APAGADO",K8:K706,"=Fibra Optica")</f>
        <v>42</v>
      </c>
      <c r="AG4" s="10">
        <f>COUNTIFS(AG8:AG706, "=APAGADO",K8:K706,"=Fibra Optica")</f>
        <v>46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38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28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33</v>
      </c>
      <c r="AS4" s="10">
        <f>COUNTIFS(AS8:AS706, "=APAGADO",K8:K706,"=Fibra Optica")</f>
        <v>32</v>
      </c>
      <c r="AT4" s="10">
        <f>COUNTIFS(AT8:AT706, "=APAGADO",K8:K706,"=Fibra Optica")</f>
        <v>18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5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5</v>
      </c>
      <c r="AS5" s="127">
        <f>COUNTIFS(AS8:AS706, "=APAGADO",K8:K706,"=RADIO")</f>
        <v>5</v>
      </c>
      <c r="AT5" s="127">
        <f>COUNTIFS(AT8:AT706, "=APAGADO",K8:K706,"=RADIO")</f>
        <v>4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9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13</v>
      </c>
      <c r="AS6" s="10">
        <f>COUNTIFS(AS8:AS706, "=APAGADO",K8:K706,"=PTO A FO")</f>
        <v>13</v>
      </c>
      <c r="AT6" s="10">
        <f>COUNTIFS(AT8:AT706, "=APAGADO",K8:K706,"=PTO A FO")</f>
        <v>7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2438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2438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2438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2438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2221</v>
      </c>
      <c r="W11" s="70" t="s">
        <v>2221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2438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2221</v>
      </c>
      <c r="W12" s="70" t="s">
        <v>2221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2438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2438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2438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2437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2437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2437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18</v>
      </c>
      <c r="P22" s="136" t="s">
        <v>2267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2221</v>
      </c>
      <c r="Y22" s="70" t="s">
        <v>2221</v>
      </c>
      <c r="Z22" s="70" t="s">
        <v>2221</v>
      </c>
      <c r="AA22" s="70"/>
      <c r="AB22" s="70"/>
      <c r="AC22" s="70" t="s">
        <v>2221</v>
      </c>
      <c r="AD22" s="70" t="s">
        <v>2221</v>
      </c>
      <c r="AE22" s="70" t="s">
        <v>2221</v>
      </c>
      <c r="AF22" s="70" t="s">
        <v>2221</v>
      </c>
      <c r="AG22" s="70" t="s">
        <v>2221</v>
      </c>
      <c r="AH22" s="70"/>
      <c r="AI22" s="70"/>
      <c r="AJ22" s="70" t="s">
        <v>2221</v>
      </c>
      <c r="AK22" s="70" t="s">
        <v>2221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2221</v>
      </c>
      <c r="Y23" s="70" t="s">
        <v>2221</v>
      </c>
      <c r="Z23" s="70" t="s">
        <v>2221</v>
      </c>
      <c r="AA23" s="70"/>
      <c r="AB23" s="70"/>
      <c r="AC23" s="70" t="s">
        <v>2221</v>
      </c>
      <c r="AD23" s="70" t="s">
        <v>2221</v>
      </c>
      <c r="AE23" s="70" t="s">
        <v>2221</v>
      </c>
      <c r="AF23" s="70" t="s">
        <v>2221</v>
      </c>
      <c r="AG23" s="70" t="s">
        <v>2221</v>
      </c>
      <c r="AH23" s="70"/>
      <c r="AI23" s="70"/>
      <c r="AJ23" s="70" t="s">
        <v>2221</v>
      </c>
      <c r="AK23" s="70" t="s">
        <v>2221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2456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27</v>
      </c>
      <c r="P24" s="136" t="s">
        <v>1650</v>
      </c>
      <c r="Q24" s="131">
        <f t="shared" si="5"/>
        <v>1</v>
      </c>
      <c r="R24" s="132">
        <f t="shared" si="6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 t="s">
        <v>2221</v>
      </c>
      <c r="AU24" s="70"/>
      <c r="AV24" s="70"/>
      <c r="AW24" s="73"/>
    </row>
    <row r="25" spans="1:49" ht="15.75" thickBot="1" x14ac:dyDescent="0.3">
      <c r="E25" s="151" t="s">
        <v>2456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2456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2456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2456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 t="s">
        <v>2221</v>
      </c>
      <c r="AS29" s="70" t="s">
        <v>2221</v>
      </c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23</v>
      </c>
      <c r="P30" s="136" t="s">
        <v>1644</v>
      </c>
      <c r="Q30" s="31">
        <f t="shared" ref="Q30:Q61" si="8">COUNTIF(S30:AT30,"APAGADO")</f>
        <v>5</v>
      </c>
      <c r="R30" s="32">
        <f t="shared" ref="R30:R61" si="9">(O30)/(Q30+O30)</f>
        <v>0.8214285714285714</v>
      </c>
      <c r="S30" s="70"/>
      <c r="T30" s="70"/>
      <c r="U30" s="70"/>
      <c r="V30" s="70"/>
      <c r="W30" s="70"/>
      <c r="X30" s="70"/>
      <c r="Y30" s="70" t="s">
        <v>2221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2221</v>
      </c>
      <c r="AL30" s="70" t="s">
        <v>2221</v>
      </c>
      <c r="AM30" s="70"/>
      <c r="AN30" s="70"/>
      <c r="AO30" s="70"/>
      <c r="AP30" s="70"/>
      <c r="AQ30" s="70"/>
      <c r="AR30" s="70" t="s">
        <v>2221</v>
      </c>
      <c r="AS30" s="70" t="s">
        <v>2221</v>
      </c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23</v>
      </c>
      <c r="P31" s="136" t="s">
        <v>1645</v>
      </c>
      <c r="Q31" s="31">
        <f t="shared" si="8"/>
        <v>5</v>
      </c>
      <c r="R31" s="32">
        <f t="shared" si="9"/>
        <v>0.8214285714285714</v>
      </c>
      <c r="S31" s="70"/>
      <c r="T31" s="70"/>
      <c r="U31" s="70"/>
      <c r="V31" s="70"/>
      <c r="W31" s="70"/>
      <c r="X31" s="70"/>
      <c r="Y31" s="70" t="s">
        <v>2221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2221</v>
      </c>
      <c r="AL31" s="70" t="s">
        <v>2221</v>
      </c>
      <c r="AM31" s="70"/>
      <c r="AN31" s="70"/>
      <c r="AO31" s="70"/>
      <c r="AP31" s="70"/>
      <c r="AQ31" s="70"/>
      <c r="AR31" s="70" t="s">
        <v>2221</v>
      </c>
      <c r="AS31" s="70" t="s">
        <v>2221</v>
      </c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11</v>
      </c>
      <c r="P32" s="136" t="s">
        <v>1646</v>
      </c>
      <c r="Q32" s="31">
        <f t="shared" si="8"/>
        <v>17</v>
      </c>
      <c r="R32" s="32">
        <f t="shared" si="9"/>
        <v>0.39285714285714285</v>
      </c>
      <c r="S32" s="70"/>
      <c r="T32" s="70"/>
      <c r="U32" s="70"/>
      <c r="V32" s="70" t="s">
        <v>2221</v>
      </c>
      <c r="W32" s="70" t="s">
        <v>2221</v>
      </c>
      <c r="X32" s="70" t="s">
        <v>2221</v>
      </c>
      <c r="Y32" s="70" t="s">
        <v>2221</v>
      </c>
      <c r="Z32" s="70" t="s">
        <v>2221</v>
      </c>
      <c r="AA32" s="70"/>
      <c r="AB32" s="70"/>
      <c r="AC32" s="70" t="s">
        <v>2221</v>
      </c>
      <c r="AD32" s="70" t="s">
        <v>2221</v>
      </c>
      <c r="AE32" s="70" t="s">
        <v>2221</v>
      </c>
      <c r="AF32" s="70" t="s">
        <v>2221</v>
      </c>
      <c r="AG32" s="70" t="s">
        <v>2221</v>
      </c>
      <c r="AH32" s="70"/>
      <c r="AI32" s="70"/>
      <c r="AJ32" s="70" t="s">
        <v>2221</v>
      </c>
      <c r="AK32" s="70" t="s">
        <v>2221</v>
      </c>
      <c r="AL32" s="70" t="s">
        <v>2221</v>
      </c>
      <c r="AM32" s="70" t="s">
        <v>2221</v>
      </c>
      <c r="AN32" s="70" t="s">
        <v>2221</v>
      </c>
      <c r="AO32" s="70"/>
      <c r="AP32" s="70"/>
      <c r="AQ32" s="70"/>
      <c r="AR32" s="70" t="s">
        <v>2221</v>
      </c>
      <c r="AS32" s="70" t="s">
        <v>2221</v>
      </c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22</v>
      </c>
      <c r="P33" s="136" t="s">
        <v>1647</v>
      </c>
      <c r="Q33" s="31">
        <f t="shared" si="8"/>
        <v>6</v>
      </c>
      <c r="R33" s="32">
        <f t="shared" si="9"/>
        <v>0.7857142857142857</v>
      </c>
      <c r="S33" s="70"/>
      <c r="T33" s="70"/>
      <c r="U33" s="70"/>
      <c r="V33" s="70"/>
      <c r="W33" s="70"/>
      <c r="X33" s="70"/>
      <c r="Y33" s="70" t="s">
        <v>2221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2221</v>
      </c>
      <c r="AL33" s="70" t="s">
        <v>2221</v>
      </c>
      <c r="AM33" s="70"/>
      <c r="AN33" s="70" t="s">
        <v>2221</v>
      </c>
      <c r="AO33" s="70"/>
      <c r="AP33" s="70"/>
      <c r="AQ33" s="70"/>
      <c r="AR33" s="70" t="s">
        <v>2221</v>
      </c>
      <c r="AS33" s="70" t="s">
        <v>2221</v>
      </c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26</v>
      </c>
      <c r="P34" s="136" t="s">
        <v>1648</v>
      </c>
      <c r="Q34" s="31">
        <f t="shared" si="8"/>
        <v>2</v>
      </c>
      <c r="R34" s="32">
        <f t="shared" si="9"/>
        <v>0.9285714285714286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 t="s">
        <v>2221</v>
      </c>
      <c r="AS34" s="70" t="s">
        <v>2221</v>
      </c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26</v>
      </c>
      <c r="P35" s="136" t="s">
        <v>1649</v>
      </c>
      <c r="Q35" s="31">
        <f t="shared" si="8"/>
        <v>2</v>
      </c>
      <c r="R35" s="32">
        <f t="shared" si="9"/>
        <v>0.9285714285714286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 t="s">
        <v>2221</v>
      </c>
      <c r="AS35" s="70" t="s">
        <v>2221</v>
      </c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2455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2455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2455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2221</v>
      </c>
      <c r="AD44" s="70"/>
      <c r="AE44" s="70" t="s">
        <v>2221</v>
      </c>
      <c r="AF44" s="70" t="s">
        <v>2221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2457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2457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2221</v>
      </c>
      <c r="W48" s="70" t="s">
        <v>2221</v>
      </c>
      <c r="X48" s="70" t="s">
        <v>2221</v>
      </c>
      <c r="Y48" s="70" t="s">
        <v>2221</v>
      </c>
      <c r="Z48" s="70" t="s">
        <v>2221</v>
      </c>
      <c r="AA48" s="70"/>
      <c r="AB48" s="70"/>
      <c r="AC48" s="70" t="s">
        <v>2221</v>
      </c>
      <c r="AD48" s="70" t="s">
        <v>2221</v>
      </c>
      <c r="AE48" s="70" t="s">
        <v>2221</v>
      </c>
      <c r="AF48" s="70" t="s">
        <v>2221</v>
      </c>
      <c r="AG48" s="70" t="s">
        <v>2221</v>
      </c>
      <c r="AH48" s="70"/>
      <c r="AI48" s="70"/>
      <c r="AJ48" s="70" t="s">
        <v>2221</v>
      </c>
      <c r="AK48" s="70" t="s">
        <v>2221</v>
      </c>
      <c r="AL48" s="70" t="s">
        <v>2221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10</v>
      </c>
      <c r="P51" s="136" t="s">
        <v>1704</v>
      </c>
      <c r="Q51" s="131">
        <f t="shared" si="8"/>
        <v>18</v>
      </c>
      <c r="R51" s="132">
        <f t="shared" si="9"/>
        <v>0.35714285714285715</v>
      </c>
      <c r="S51" s="70"/>
      <c r="T51" s="70"/>
      <c r="U51" s="70"/>
      <c r="V51" s="70" t="s">
        <v>2221</v>
      </c>
      <c r="W51" s="70" t="s">
        <v>2221</v>
      </c>
      <c r="X51" s="70" t="s">
        <v>2221</v>
      </c>
      <c r="Y51" s="70" t="s">
        <v>2221</v>
      </c>
      <c r="Z51" s="70" t="s">
        <v>2221</v>
      </c>
      <c r="AA51" s="70"/>
      <c r="AB51" s="70"/>
      <c r="AC51" s="70" t="s">
        <v>2221</v>
      </c>
      <c r="AD51" s="70" t="s">
        <v>2221</v>
      </c>
      <c r="AE51" s="70" t="s">
        <v>2221</v>
      </c>
      <c r="AF51" s="70" t="s">
        <v>2221</v>
      </c>
      <c r="AG51" s="70" t="s">
        <v>2221</v>
      </c>
      <c r="AH51" s="70"/>
      <c r="AI51" s="70"/>
      <c r="AJ51" s="70" t="s">
        <v>2221</v>
      </c>
      <c r="AK51" s="70" t="s">
        <v>2221</v>
      </c>
      <c r="AL51" s="70" t="s">
        <v>2221</v>
      </c>
      <c r="AM51" s="70" t="s">
        <v>2221</v>
      </c>
      <c r="AN51" s="70" t="s">
        <v>2221</v>
      </c>
      <c r="AO51" s="70"/>
      <c r="AP51" s="70"/>
      <c r="AQ51" s="70"/>
      <c r="AR51" s="70" t="s">
        <v>2221</v>
      </c>
      <c r="AS51" s="70" t="s">
        <v>2221</v>
      </c>
      <c r="AT51" s="70" t="s">
        <v>2221</v>
      </c>
      <c r="AU51" s="70" t="s">
        <v>2221</v>
      </c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24</v>
      </c>
      <c r="P55" s="136" t="s">
        <v>1708</v>
      </c>
      <c r="Q55" s="31">
        <f t="shared" si="8"/>
        <v>4</v>
      </c>
      <c r="R55" s="32">
        <f t="shared" si="9"/>
        <v>0.8571428571428571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 t="s">
        <v>2221</v>
      </c>
      <c r="AO55" s="70"/>
      <c r="AP55" s="70"/>
      <c r="AQ55" s="70"/>
      <c r="AR55" s="70" t="s">
        <v>2221</v>
      </c>
      <c r="AS55" s="70" t="s">
        <v>2221</v>
      </c>
      <c r="AT55" s="70" t="s">
        <v>2221</v>
      </c>
      <c r="AU55" s="70" t="s">
        <v>2221</v>
      </c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2459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2221</v>
      </c>
      <c r="AG62" s="70"/>
      <c r="AH62" s="70"/>
      <c r="AI62" s="70"/>
      <c r="AJ62" s="70" t="s">
        <v>2221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2436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2221</v>
      </c>
      <c r="W69" s="70" t="s">
        <v>2221</v>
      </c>
      <c r="X69" s="70"/>
      <c r="Y69" s="70"/>
      <c r="Z69" s="70"/>
      <c r="AA69" s="70"/>
      <c r="AB69" s="70"/>
      <c r="AC69" s="70"/>
      <c r="AD69" s="70" t="s">
        <v>2221</v>
      </c>
      <c r="AE69" s="70"/>
      <c r="AF69" s="70"/>
      <c r="AG69" s="70" t="s">
        <v>2221</v>
      </c>
      <c r="AH69" s="70"/>
      <c r="AI69" s="70"/>
      <c r="AJ69" s="70" t="s">
        <v>2221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2221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22</v>
      </c>
      <c r="P71" s="136" t="s">
        <v>1734</v>
      </c>
      <c r="Q71" s="31">
        <f t="shared" si="11"/>
        <v>6</v>
      </c>
      <c r="R71" s="32">
        <f t="shared" si="12"/>
        <v>0.7857142857142857</v>
      </c>
      <c r="S71" s="70"/>
      <c r="T71" s="70"/>
      <c r="U71" s="70"/>
      <c r="V71" s="70"/>
      <c r="W71" s="70" t="s">
        <v>2221</v>
      </c>
      <c r="X71" s="70" t="s">
        <v>2221</v>
      </c>
      <c r="Y71" s="70" t="s">
        <v>2221</v>
      </c>
      <c r="Z71" s="70" t="s">
        <v>2221</v>
      </c>
      <c r="AA71" s="70"/>
      <c r="AB71" s="70"/>
      <c r="AC71" s="70" t="s">
        <v>2221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 t="s">
        <v>2221</v>
      </c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2458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2458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16</v>
      </c>
      <c r="P75" s="136" t="s">
        <v>2480</v>
      </c>
      <c r="Q75" s="31">
        <f t="shared" si="11"/>
        <v>12</v>
      </c>
      <c r="R75" s="32">
        <f t="shared" si="12"/>
        <v>0.5714285714285714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2221</v>
      </c>
      <c r="AD75" s="70" t="s">
        <v>2221</v>
      </c>
      <c r="AE75" s="70" t="s">
        <v>2221</v>
      </c>
      <c r="AF75" s="70" t="s">
        <v>2221</v>
      </c>
      <c r="AG75" s="70" t="s">
        <v>2221</v>
      </c>
      <c r="AH75" s="70"/>
      <c r="AI75" s="70"/>
      <c r="AJ75" s="70" t="s">
        <v>2221</v>
      </c>
      <c r="AK75" s="70" t="s">
        <v>2221</v>
      </c>
      <c r="AL75" s="70" t="s">
        <v>2221</v>
      </c>
      <c r="AM75" s="70" t="s">
        <v>2221</v>
      </c>
      <c r="AN75" s="70" t="s">
        <v>2221</v>
      </c>
      <c r="AO75" s="70"/>
      <c r="AP75" s="70"/>
      <c r="AQ75" s="70"/>
      <c r="AR75" s="70" t="s">
        <v>2221</v>
      </c>
      <c r="AS75" s="70" t="s">
        <v>2221</v>
      </c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13</v>
      </c>
      <c r="P77" s="136" t="s">
        <v>2433</v>
      </c>
      <c r="Q77" s="31">
        <f t="shared" si="11"/>
        <v>15</v>
      </c>
      <c r="R77" s="32">
        <f t="shared" si="12"/>
        <v>0.4642857142857143</v>
      </c>
      <c r="S77" s="70"/>
      <c r="T77" s="70"/>
      <c r="U77" s="70"/>
      <c r="V77" s="70" t="s">
        <v>2221</v>
      </c>
      <c r="W77" s="70"/>
      <c r="X77" s="70"/>
      <c r="Y77" s="70" t="s">
        <v>2221</v>
      </c>
      <c r="Z77" s="70" t="s">
        <v>2221</v>
      </c>
      <c r="AA77" s="70"/>
      <c r="AB77" s="70"/>
      <c r="AC77" s="70" t="s">
        <v>2221</v>
      </c>
      <c r="AD77" s="70"/>
      <c r="AE77" s="70" t="s">
        <v>2221</v>
      </c>
      <c r="AF77" s="70" t="s">
        <v>2221</v>
      </c>
      <c r="AG77" s="70" t="s">
        <v>2221</v>
      </c>
      <c r="AH77" s="70"/>
      <c r="AI77" s="70"/>
      <c r="AJ77" s="70" t="s">
        <v>2221</v>
      </c>
      <c r="AK77" s="70" t="s">
        <v>2221</v>
      </c>
      <c r="AL77" s="70" t="s">
        <v>2221</v>
      </c>
      <c r="AM77" s="70" t="s">
        <v>2221</v>
      </c>
      <c r="AN77" s="70" t="s">
        <v>2221</v>
      </c>
      <c r="AO77" s="70"/>
      <c r="AP77" s="70"/>
      <c r="AQ77" s="70"/>
      <c r="AR77" s="70" t="s">
        <v>2221</v>
      </c>
      <c r="AS77" s="70" t="s">
        <v>2221</v>
      </c>
      <c r="AT77" s="70" t="s">
        <v>2221</v>
      </c>
      <c r="AU77" s="70" t="s">
        <v>2221</v>
      </c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23</v>
      </c>
      <c r="P82" s="136" t="s">
        <v>2252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2221</v>
      </c>
      <c r="W82" s="70" t="s">
        <v>2221</v>
      </c>
      <c r="X82" s="70" t="s">
        <v>2221</v>
      </c>
      <c r="Y82" s="70" t="s">
        <v>2221</v>
      </c>
      <c r="Z82" s="70" t="s">
        <v>2221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2221</v>
      </c>
      <c r="AD87" s="70" t="s">
        <v>2221</v>
      </c>
      <c r="AE87" s="70" t="s">
        <v>2221</v>
      </c>
      <c r="AF87" s="70" t="s">
        <v>2221</v>
      </c>
      <c r="AG87" s="70" t="s">
        <v>2221</v>
      </c>
      <c r="AH87" s="70"/>
      <c r="AI87" s="70"/>
      <c r="AJ87" s="70" t="s">
        <v>2221</v>
      </c>
      <c r="AK87" s="70" t="s">
        <v>2221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10</v>
      </c>
      <c r="P92" s="136" t="s">
        <v>1673</v>
      </c>
      <c r="Q92" s="131">
        <f t="shared" si="11"/>
        <v>18</v>
      </c>
      <c r="R92" s="132">
        <f t="shared" si="12"/>
        <v>0.35714285714285715</v>
      </c>
      <c r="S92" s="70"/>
      <c r="T92" s="70"/>
      <c r="U92" s="70"/>
      <c r="V92" s="70" t="s">
        <v>2221</v>
      </c>
      <c r="W92" s="70" t="s">
        <v>2221</v>
      </c>
      <c r="X92" s="70" t="s">
        <v>2221</v>
      </c>
      <c r="Y92" s="70" t="s">
        <v>2221</v>
      </c>
      <c r="Z92" s="70" t="s">
        <v>2221</v>
      </c>
      <c r="AA92" s="70"/>
      <c r="AB92" s="70"/>
      <c r="AC92" s="70" t="s">
        <v>2221</v>
      </c>
      <c r="AD92" s="70" t="s">
        <v>2221</v>
      </c>
      <c r="AE92" s="70" t="s">
        <v>2221</v>
      </c>
      <c r="AF92" s="70" t="s">
        <v>2221</v>
      </c>
      <c r="AG92" s="70" t="s">
        <v>2221</v>
      </c>
      <c r="AH92" s="70"/>
      <c r="AI92" s="70"/>
      <c r="AJ92" s="70" t="s">
        <v>2221</v>
      </c>
      <c r="AK92" s="70" t="s">
        <v>2221</v>
      </c>
      <c r="AL92" s="70" t="s">
        <v>2221</v>
      </c>
      <c r="AM92" s="70" t="s">
        <v>2221</v>
      </c>
      <c r="AN92" s="70" t="s">
        <v>2221</v>
      </c>
      <c r="AO92" s="70"/>
      <c r="AP92" s="70"/>
      <c r="AQ92" s="70"/>
      <c r="AR92" s="70" t="s">
        <v>2221</v>
      </c>
      <c r="AS92" s="70" t="s">
        <v>2221</v>
      </c>
      <c r="AT92" s="70" t="s">
        <v>2221</v>
      </c>
      <c r="AU92" s="70" t="s">
        <v>2221</v>
      </c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2458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2221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15</v>
      </c>
      <c r="P110" s="136" t="s">
        <v>1691</v>
      </c>
      <c r="Q110" s="31">
        <f t="shared" si="14"/>
        <v>13</v>
      </c>
      <c r="R110" s="32">
        <f t="shared" si="15"/>
        <v>0.5357142857142857</v>
      </c>
      <c r="S110" s="70"/>
      <c r="T110" s="70"/>
      <c r="U110" s="70"/>
      <c r="V110" s="70"/>
      <c r="W110" s="70"/>
      <c r="X110" s="70" t="s">
        <v>2221</v>
      </c>
      <c r="Y110" s="70"/>
      <c r="Z110" s="70"/>
      <c r="AA110" s="70"/>
      <c r="AB110" s="70"/>
      <c r="AC110" s="70"/>
      <c r="AD110" s="70" t="s">
        <v>2221</v>
      </c>
      <c r="AE110" s="70" t="s">
        <v>2221</v>
      </c>
      <c r="AF110" s="70" t="s">
        <v>2221</v>
      </c>
      <c r="AG110" s="70" t="s">
        <v>2221</v>
      </c>
      <c r="AH110" s="70"/>
      <c r="AI110" s="70"/>
      <c r="AJ110" s="70" t="s">
        <v>2221</v>
      </c>
      <c r="AK110" s="70" t="s">
        <v>2221</v>
      </c>
      <c r="AL110" s="70" t="s">
        <v>2221</v>
      </c>
      <c r="AM110" s="70" t="s">
        <v>2221</v>
      </c>
      <c r="AN110" s="70" t="s">
        <v>2221</v>
      </c>
      <c r="AO110" s="70"/>
      <c r="AP110" s="70"/>
      <c r="AQ110" s="70"/>
      <c r="AR110" s="70" t="s">
        <v>2221</v>
      </c>
      <c r="AS110" s="70" t="s">
        <v>2221</v>
      </c>
      <c r="AT110" s="70" t="s">
        <v>2221</v>
      </c>
      <c r="AU110" s="70" t="s">
        <v>2221</v>
      </c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2221</v>
      </c>
      <c r="AF112" s="70"/>
      <c r="AG112" s="70"/>
      <c r="AH112" s="70"/>
      <c r="AI112" s="70"/>
      <c r="AJ112" s="70"/>
      <c r="AK112" s="70" t="s">
        <v>2221</v>
      </c>
      <c r="AL112" s="70" t="s">
        <v>2221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27</v>
      </c>
      <c r="P113" s="136" t="s">
        <v>1694</v>
      </c>
      <c r="Q113" s="31">
        <f t="shared" si="14"/>
        <v>1</v>
      </c>
      <c r="R113" s="32">
        <f t="shared" si="15"/>
        <v>0.9642857142857143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 t="s">
        <v>2221</v>
      </c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24</v>
      </c>
      <c r="P114" s="136" t="s">
        <v>1695</v>
      </c>
      <c r="Q114" s="31">
        <f t="shared" si="14"/>
        <v>4</v>
      </c>
      <c r="R114" s="32">
        <f t="shared" si="15"/>
        <v>0.8571428571428571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 t="s">
        <v>2221</v>
      </c>
      <c r="AO114" s="70"/>
      <c r="AP114" s="70"/>
      <c r="AQ114" s="70"/>
      <c r="AR114" s="70" t="s">
        <v>2221</v>
      </c>
      <c r="AS114" s="70" t="s">
        <v>2221</v>
      </c>
      <c r="AT114" s="70" t="s">
        <v>2221</v>
      </c>
      <c r="AU114" s="70" t="s">
        <v>2221</v>
      </c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24</v>
      </c>
      <c r="P115" s="136" t="s">
        <v>1696</v>
      </c>
      <c r="Q115" s="31">
        <f t="shared" si="14"/>
        <v>4</v>
      </c>
      <c r="R115" s="32">
        <f t="shared" si="15"/>
        <v>0.8571428571428571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 t="s">
        <v>2221</v>
      </c>
      <c r="AO115" s="70"/>
      <c r="AP115" s="70"/>
      <c r="AQ115" s="70"/>
      <c r="AR115" s="70" t="s">
        <v>2221</v>
      </c>
      <c r="AS115" s="70" t="s">
        <v>2221</v>
      </c>
      <c r="AT115" s="70" t="s">
        <v>2221</v>
      </c>
      <c r="AU115" s="70" t="s">
        <v>2221</v>
      </c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25</v>
      </c>
      <c r="P116" s="136" t="s">
        <v>1697</v>
      </c>
      <c r="Q116" s="31">
        <f t="shared" si="14"/>
        <v>3</v>
      </c>
      <c r="R116" s="32">
        <f t="shared" si="15"/>
        <v>0.8928571428571429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2221</v>
      </c>
      <c r="AK116" s="70"/>
      <c r="AL116" s="70"/>
      <c r="AM116" s="70"/>
      <c r="AN116" s="70"/>
      <c r="AO116" s="70"/>
      <c r="AP116" s="70"/>
      <c r="AQ116" s="70"/>
      <c r="AR116" s="70" t="s">
        <v>2221</v>
      </c>
      <c r="AS116" s="70" t="s">
        <v>2221</v>
      </c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11</v>
      </c>
      <c r="P118" s="136" t="s">
        <v>1699</v>
      </c>
      <c r="Q118" s="31">
        <f t="shared" si="14"/>
        <v>17</v>
      </c>
      <c r="R118" s="32">
        <f t="shared" si="15"/>
        <v>0.39285714285714285</v>
      </c>
      <c r="S118" s="70"/>
      <c r="T118" s="70"/>
      <c r="U118" s="70"/>
      <c r="V118" s="70" t="s">
        <v>2221</v>
      </c>
      <c r="W118" s="70" t="s">
        <v>2221</v>
      </c>
      <c r="X118" s="70" t="s">
        <v>2221</v>
      </c>
      <c r="Y118" s="70" t="s">
        <v>2221</v>
      </c>
      <c r="Z118" s="70" t="s">
        <v>2221</v>
      </c>
      <c r="AA118" s="70"/>
      <c r="AB118" s="70"/>
      <c r="AC118" s="70" t="s">
        <v>2221</v>
      </c>
      <c r="AD118" s="70" t="s">
        <v>2221</v>
      </c>
      <c r="AE118" s="70" t="s">
        <v>2221</v>
      </c>
      <c r="AF118" s="70" t="s">
        <v>2221</v>
      </c>
      <c r="AG118" s="70" t="s">
        <v>2221</v>
      </c>
      <c r="AH118" s="70"/>
      <c r="AI118" s="70"/>
      <c r="AJ118" s="70" t="s">
        <v>2221</v>
      </c>
      <c r="AK118" s="70" t="s">
        <v>2221</v>
      </c>
      <c r="AL118" s="70" t="s">
        <v>2221</v>
      </c>
      <c r="AM118" s="70" t="s">
        <v>2221</v>
      </c>
      <c r="AN118" s="70" t="s">
        <v>2221</v>
      </c>
      <c r="AO118" s="70"/>
      <c r="AP118" s="70"/>
      <c r="AQ118" s="70"/>
      <c r="AR118" s="70" t="s">
        <v>2221</v>
      </c>
      <c r="AS118" s="70" t="s">
        <v>2221</v>
      </c>
      <c r="AT118" s="70"/>
      <c r="AU118" s="70" t="s">
        <v>2221</v>
      </c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2458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2458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2459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2457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10</v>
      </c>
      <c r="P129" s="136" t="s">
        <v>1723</v>
      </c>
      <c r="Q129" s="31">
        <f t="shared" si="17"/>
        <v>18</v>
      </c>
      <c r="R129" s="32">
        <f t="shared" si="18"/>
        <v>0.35714285714285715</v>
      </c>
      <c r="S129" s="70"/>
      <c r="T129" s="70"/>
      <c r="U129" s="70"/>
      <c r="V129" s="70" t="s">
        <v>2221</v>
      </c>
      <c r="W129" s="70" t="s">
        <v>2221</v>
      </c>
      <c r="X129" s="70" t="s">
        <v>2221</v>
      </c>
      <c r="Y129" s="70" t="s">
        <v>2221</v>
      </c>
      <c r="Z129" s="70" t="s">
        <v>2221</v>
      </c>
      <c r="AA129" s="70"/>
      <c r="AB129" s="138"/>
      <c r="AC129" s="70" t="s">
        <v>2221</v>
      </c>
      <c r="AD129" s="70" t="s">
        <v>2221</v>
      </c>
      <c r="AE129" s="70" t="s">
        <v>2221</v>
      </c>
      <c r="AF129" s="70" t="s">
        <v>2221</v>
      </c>
      <c r="AG129" s="70" t="s">
        <v>2221</v>
      </c>
      <c r="AH129" s="70"/>
      <c r="AI129" s="70"/>
      <c r="AJ129" s="70" t="s">
        <v>2221</v>
      </c>
      <c r="AK129" s="70" t="s">
        <v>2221</v>
      </c>
      <c r="AL129" s="70" t="s">
        <v>2221</v>
      </c>
      <c r="AM129" s="70" t="s">
        <v>2221</v>
      </c>
      <c r="AN129" s="70" t="s">
        <v>2221</v>
      </c>
      <c r="AO129" s="70"/>
      <c r="AP129" s="70"/>
      <c r="AQ129" s="70"/>
      <c r="AR129" s="70" t="s">
        <v>2221</v>
      </c>
      <c r="AS129" s="70" t="s">
        <v>2221</v>
      </c>
      <c r="AT129" s="70" t="s">
        <v>2221</v>
      </c>
      <c r="AU129" s="70" t="s">
        <v>2221</v>
      </c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12</v>
      </c>
      <c r="P131" s="136" t="s">
        <v>1736</v>
      </c>
      <c r="Q131" s="131">
        <f t="shared" si="17"/>
        <v>16</v>
      </c>
      <c r="R131" s="132">
        <f t="shared" si="18"/>
        <v>0.42857142857142855</v>
      </c>
      <c r="S131" s="70"/>
      <c r="T131" s="70"/>
      <c r="U131" s="70"/>
      <c r="V131" s="70" t="s">
        <v>2221</v>
      </c>
      <c r="W131" s="70" t="s">
        <v>2221</v>
      </c>
      <c r="X131" s="70" t="s">
        <v>2221</v>
      </c>
      <c r="Y131" s="70" t="s">
        <v>2221</v>
      </c>
      <c r="Z131" s="70" t="s">
        <v>2221</v>
      </c>
      <c r="AA131" s="70"/>
      <c r="AB131" s="70"/>
      <c r="AC131" s="70" t="s">
        <v>2221</v>
      </c>
      <c r="AD131" s="70" t="s">
        <v>2221</v>
      </c>
      <c r="AE131" s="70" t="s">
        <v>2221</v>
      </c>
      <c r="AF131" s="70" t="s">
        <v>2221</v>
      </c>
      <c r="AG131" s="70" t="s">
        <v>2221</v>
      </c>
      <c r="AH131" s="70"/>
      <c r="AI131" s="70"/>
      <c r="AJ131" s="70" t="s">
        <v>2221</v>
      </c>
      <c r="AK131" s="70" t="s">
        <v>2221</v>
      </c>
      <c r="AL131" s="70" t="s">
        <v>2221</v>
      </c>
      <c r="AM131" s="70" t="s">
        <v>2221</v>
      </c>
      <c r="AN131" s="70" t="s">
        <v>2221</v>
      </c>
      <c r="AO131" s="70"/>
      <c r="AP131" s="70"/>
      <c r="AQ131" s="70"/>
      <c r="AR131" s="70" t="s">
        <v>2221</v>
      </c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2457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10</v>
      </c>
      <c r="P143" s="136" t="s">
        <v>2199</v>
      </c>
      <c r="Q143" s="131">
        <f t="shared" si="17"/>
        <v>18</v>
      </c>
      <c r="R143" s="132">
        <f t="shared" si="18"/>
        <v>0.35714285714285715</v>
      </c>
      <c r="S143" s="70"/>
      <c r="T143" s="70"/>
      <c r="U143" s="70"/>
      <c r="V143" s="70" t="s">
        <v>2221</v>
      </c>
      <c r="W143" s="70" t="s">
        <v>2221</v>
      </c>
      <c r="X143" s="70" t="s">
        <v>2221</v>
      </c>
      <c r="Y143" s="70" t="s">
        <v>2221</v>
      </c>
      <c r="Z143" s="70" t="s">
        <v>2221</v>
      </c>
      <c r="AA143" s="70"/>
      <c r="AB143" s="70"/>
      <c r="AC143" s="70" t="s">
        <v>2221</v>
      </c>
      <c r="AD143" s="70" t="s">
        <v>2221</v>
      </c>
      <c r="AE143" s="70" t="s">
        <v>2221</v>
      </c>
      <c r="AF143" s="70" t="s">
        <v>2221</v>
      </c>
      <c r="AG143" s="70" t="s">
        <v>2221</v>
      </c>
      <c r="AH143" s="70"/>
      <c r="AI143" s="70"/>
      <c r="AJ143" s="70" t="s">
        <v>2221</v>
      </c>
      <c r="AK143" s="70" t="s">
        <v>2221</v>
      </c>
      <c r="AL143" s="70" t="s">
        <v>2221</v>
      </c>
      <c r="AM143" s="70" t="s">
        <v>2221</v>
      </c>
      <c r="AN143" s="70" t="s">
        <v>2221</v>
      </c>
      <c r="AO143" s="70"/>
      <c r="AP143" s="70"/>
      <c r="AQ143" s="70"/>
      <c r="AR143" s="70" t="s">
        <v>2221</v>
      </c>
      <c r="AS143" s="70" t="s">
        <v>2221</v>
      </c>
      <c r="AT143" s="70" t="s">
        <v>2221</v>
      </c>
      <c r="AU143" s="70" t="s">
        <v>2221</v>
      </c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2221</v>
      </c>
      <c r="AG144" s="70" t="s">
        <v>2221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23</v>
      </c>
      <c r="P145" s="136"/>
      <c r="Q145" s="31">
        <f t="shared" si="17"/>
        <v>5</v>
      </c>
      <c r="R145" s="32">
        <f t="shared" si="18"/>
        <v>0.8214285714285714</v>
      </c>
      <c r="S145" s="70"/>
      <c r="T145" s="70"/>
      <c r="U145" s="70"/>
      <c r="V145" s="70"/>
      <c r="W145" s="70"/>
      <c r="X145" s="70" t="s">
        <v>2221</v>
      </c>
      <c r="Y145" s="70"/>
      <c r="Z145" s="70" t="s">
        <v>2221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2221</v>
      </c>
      <c r="AK145" s="70"/>
      <c r="AL145" s="70"/>
      <c r="AM145" s="70"/>
      <c r="AN145" s="70" t="s">
        <v>2221</v>
      </c>
      <c r="AO145" s="70"/>
      <c r="AP145" s="70"/>
      <c r="AQ145" s="70"/>
      <c r="AR145" s="70" t="s">
        <v>2221</v>
      </c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2221</v>
      </c>
      <c r="W148" s="70" t="s">
        <v>2221</v>
      </c>
      <c r="X148" s="70" t="s">
        <v>2221</v>
      </c>
      <c r="Y148" s="70" t="s">
        <v>2221</v>
      </c>
      <c r="Z148" s="70" t="s">
        <v>2221</v>
      </c>
      <c r="AA148" s="70"/>
      <c r="AB148" s="70"/>
      <c r="AC148" s="70" t="s">
        <v>2221</v>
      </c>
      <c r="AD148" s="70" t="s">
        <v>2221</v>
      </c>
      <c r="AE148" s="70" t="s">
        <v>2221</v>
      </c>
      <c r="AF148" s="70" t="s">
        <v>2221</v>
      </c>
      <c r="AG148" s="70" t="s">
        <v>2221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13</v>
      </c>
      <c r="P149" s="136" t="s">
        <v>1749</v>
      </c>
      <c r="Q149" s="31">
        <f t="shared" si="17"/>
        <v>15</v>
      </c>
      <c r="R149" s="32">
        <f t="shared" si="18"/>
        <v>0.4642857142857143</v>
      </c>
      <c r="S149" s="70"/>
      <c r="T149" s="70"/>
      <c r="U149" s="70"/>
      <c r="V149" s="70" t="s">
        <v>2221</v>
      </c>
      <c r="W149" s="70" t="s">
        <v>2221</v>
      </c>
      <c r="X149" s="70" t="s">
        <v>2221</v>
      </c>
      <c r="Y149" s="70" t="s">
        <v>2221</v>
      </c>
      <c r="Z149" s="70" t="s">
        <v>2221</v>
      </c>
      <c r="AA149" s="70"/>
      <c r="AB149" s="70"/>
      <c r="AC149" s="70" t="s">
        <v>2221</v>
      </c>
      <c r="AD149" s="70" t="s">
        <v>2221</v>
      </c>
      <c r="AE149" s="70" t="s">
        <v>2221</v>
      </c>
      <c r="AF149" s="70" t="s">
        <v>2221</v>
      </c>
      <c r="AG149" s="70" t="s">
        <v>2221</v>
      </c>
      <c r="AH149" s="70"/>
      <c r="AI149" s="70"/>
      <c r="AJ149" s="70"/>
      <c r="AK149" s="70" t="s">
        <v>2221</v>
      </c>
      <c r="AL149" s="70" t="s">
        <v>2221</v>
      </c>
      <c r="AM149" s="70"/>
      <c r="AN149" s="70"/>
      <c r="AO149" s="70"/>
      <c r="AP149" s="70"/>
      <c r="AQ149" s="70"/>
      <c r="AR149" s="70" t="s">
        <v>2221</v>
      </c>
      <c r="AS149" s="70" t="s">
        <v>2221</v>
      </c>
      <c r="AT149" s="70" t="s">
        <v>2221</v>
      </c>
      <c r="AU149" s="70" t="s">
        <v>2221</v>
      </c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2221</v>
      </c>
      <c r="AD150" s="70"/>
      <c r="AE150" s="70"/>
      <c r="AF150" s="70"/>
      <c r="AG150" s="70"/>
      <c r="AH150" s="70"/>
      <c r="AI150" s="70"/>
      <c r="AJ150" s="70" t="s">
        <v>2221</v>
      </c>
      <c r="AK150" s="70" t="s">
        <v>2221</v>
      </c>
      <c r="AL150" s="70" t="s">
        <v>2221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2221</v>
      </c>
      <c r="W151" s="70" t="s">
        <v>2221</v>
      </c>
      <c r="X151" s="70" t="s">
        <v>2221</v>
      </c>
      <c r="Y151" s="70" t="s">
        <v>2221</v>
      </c>
      <c r="Z151" s="70" t="s">
        <v>2221</v>
      </c>
      <c r="AA151" s="70"/>
      <c r="AB151" s="70"/>
      <c r="AC151" s="70" t="s">
        <v>2221</v>
      </c>
      <c r="AD151" s="70" t="s">
        <v>2221</v>
      </c>
      <c r="AE151" s="70" t="s">
        <v>2221</v>
      </c>
      <c r="AF151" s="70" t="s">
        <v>2221</v>
      </c>
      <c r="AG151" s="70" t="s">
        <v>2221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2114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2444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2443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2442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2441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2440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10</v>
      </c>
      <c r="P166" s="136" t="s">
        <v>1757</v>
      </c>
      <c r="Q166" s="31">
        <f t="shared" si="20"/>
        <v>18</v>
      </c>
      <c r="R166" s="32">
        <f t="shared" si="21"/>
        <v>0.35714285714285715</v>
      </c>
      <c r="S166" s="70"/>
      <c r="T166" s="70"/>
      <c r="U166" s="70"/>
      <c r="V166" s="70" t="s">
        <v>2221</v>
      </c>
      <c r="W166" s="70" t="s">
        <v>2221</v>
      </c>
      <c r="X166" s="70" t="s">
        <v>2221</v>
      </c>
      <c r="Y166" s="70" t="s">
        <v>2221</v>
      </c>
      <c r="Z166" s="70" t="s">
        <v>2221</v>
      </c>
      <c r="AA166" s="70"/>
      <c r="AB166" s="70"/>
      <c r="AC166" s="70" t="s">
        <v>2221</v>
      </c>
      <c r="AD166" s="70" t="s">
        <v>2221</v>
      </c>
      <c r="AE166" s="70" t="s">
        <v>2221</v>
      </c>
      <c r="AF166" s="70" t="s">
        <v>2221</v>
      </c>
      <c r="AG166" s="70" t="s">
        <v>2221</v>
      </c>
      <c r="AH166" s="70"/>
      <c r="AI166" s="70"/>
      <c r="AJ166" s="70" t="s">
        <v>2221</v>
      </c>
      <c r="AK166" s="70" t="s">
        <v>2221</v>
      </c>
      <c r="AL166" s="70" t="s">
        <v>2221</v>
      </c>
      <c r="AM166" s="70" t="s">
        <v>2221</v>
      </c>
      <c r="AN166" s="70" t="s">
        <v>2221</v>
      </c>
      <c r="AO166" s="70"/>
      <c r="AP166" s="70"/>
      <c r="AQ166" s="70"/>
      <c r="AR166" s="70" t="s">
        <v>2221</v>
      </c>
      <c r="AS166" s="70" t="s">
        <v>2221</v>
      </c>
      <c r="AT166" s="70" t="s">
        <v>2221</v>
      </c>
      <c r="AU166" s="70" t="s">
        <v>2221</v>
      </c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10</v>
      </c>
      <c r="P171" s="140" t="s">
        <v>1762</v>
      </c>
      <c r="Q171" s="139">
        <f t="shared" si="20"/>
        <v>18</v>
      </c>
      <c r="R171" s="141">
        <f t="shared" si="21"/>
        <v>0.35714285714285715</v>
      </c>
      <c r="S171" s="142"/>
      <c r="T171" s="142"/>
      <c r="U171" s="142"/>
      <c r="V171" s="70" t="s">
        <v>2221</v>
      </c>
      <c r="W171" s="70" t="s">
        <v>2221</v>
      </c>
      <c r="X171" s="70" t="s">
        <v>2221</v>
      </c>
      <c r="Y171" s="70" t="s">
        <v>2221</v>
      </c>
      <c r="Z171" s="70" t="s">
        <v>2221</v>
      </c>
      <c r="AA171" s="142"/>
      <c r="AB171" s="142"/>
      <c r="AC171" s="70" t="s">
        <v>2221</v>
      </c>
      <c r="AD171" s="70" t="s">
        <v>2221</v>
      </c>
      <c r="AE171" s="70" t="s">
        <v>2221</v>
      </c>
      <c r="AF171" s="70" t="s">
        <v>2221</v>
      </c>
      <c r="AG171" s="70" t="s">
        <v>2221</v>
      </c>
      <c r="AH171" s="70"/>
      <c r="AI171" s="70"/>
      <c r="AJ171" s="70" t="s">
        <v>2221</v>
      </c>
      <c r="AK171" s="70" t="s">
        <v>2221</v>
      </c>
      <c r="AL171" s="70" t="s">
        <v>2221</v>
      </c>
      <c r="AM171" s="70" t="s">
        <v>2221</v>
      </c>
      <c r="AN171" s="70" t="s">
        <v>2221</v>
      </c>
      <c r="AO171" s="70"/>
      <c r="AP171" s="70"/>
      <c r="AQ171" s="142"/>
      <c r="AR171" s="70" t="s">
        <v>2221</v>
      </c>
      <c r="AS171" s="70" t="s">
        <v>2221</v>
      </c>
      <c r="AT171" s="70" t="s">
        <v>2221</v>
      </c>
      <c r="AU171" s="70" t="s">
        <v>2221</v>
      </c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2453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2453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2452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10</v>
      </c>
      <c r="P175" s="136" t="s">
        <v>1775</v>
      </c>
      <c r="Q175" s="31">
        <f t="shared" si="20"/>
        <v>18</v>
      </c>
      <c r="R175" s="32">
        <f t="shared" si="21"/>
        <v>0.35714285714285715</v>
      </c>
      <c r="S175" s="70"/>
      <c r="T175" s="70"/>
      <c r="U175" s="70"/>
      <c r="V175" s="70" t="s">
        <v>2221</v>
      </c>
      <c r="W175" s="70" t="s">
        <v>2221</v>
      </c>
      <c r="X175" s="70" t="s">
        <v>2221</v>
      </c>
      <c r="Y175" s="70" t="s">
        <v>2221</v>
      </c>
      <c r="Z175" s="70" t="s">
        <v>2221</v>
      </c>
      <c r="AA175" s="70"/>
      <c r="AB175" s="70"/>
      <c r="AC175" s="70" t="s">
        <v>2221</v>
      </c>
      <c r="AD175" s="70" t="s">
        <v>2221</v>
      </c>
      <c r="AE175" s="70" t="s">
        <v>2221</v>
      </c>
      <c r="AF175" s="70" t="s">
        <v>2221</v>
      </c>
      <c r="AG175" s="70" t="s">
        <v>2221</v>
      </c>
      <c r="AH175" s="70"/>
      <c r="AI175" s="70"/>
      <c r="AJ175" s="70" t="s">
        <v>2221</v>
      </c>
      <c r="AK175" s="70" t="s">
        <v>2221</v>
      </c>
      <c r="AL175" s="70" t="s">
        <v>2221</v>
      </c>
      <c r="AM175" s="70" t="s">
        <v>2221</v>
      </c>
      <c r="AN175" s="70" t="s">
        <v>2221</v>
      </c>
      <c r="AO175" s="70"/>
      <c r="AP175" s="70"/>
      <c r="AQ175" s="70"/>
      <c r="AR175" s="70" t="s">
        <v>2221</v>
      </c>
      <c r="AS175" s="70" t="s">
        <v>2221</v>
      </c>
      <c r="AT175" s="70" t="s">
        <v>2221</v>
      </c>
      <c r="AU175" s="70" t="s">
        <v>2221</v>
      </c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10</v>
      </c>
      <c r="P176" s="136" t="s">
        <v>1776</v>
      </c>
      <c r="Q176" s="31">
        <f t="shared" si="20"/>
        <v>18</v>
      </c>
      <c r="R176" s="32">
        <f t="shared" si="21"/>
        <v>0.35714285714285715</v>
      </c>
      <c r="S176" s="70"/>
      <c r="T176" s="70"/>
      <c r="U176" s="70"/>
      <c r="V176" s="70" t="s">
        <v>2221</v>
      </c>
      <c r="W176" s="70" t="s">
        <v>2221</v>
      </c>
      <c r="X176" s="70" t="s">
        <v>2221</v>
      </c>
      <c r="Y176" s="70" t="s">
        <v>2221</v>
      </c>
      <c r="Z176" s="70" t="s">
        <v>2221</v>
      </c>
      <c r="AA176" s="70"/>
      <c r="AB176" s="70"/>
      <c r="AC176" s="70" t="s">
        <v>2221</v>
      </c>
      <c r="AD176" s="70" t="s">
        <v>2221</v>
      </c>
      <c r="AE176" s="70" t="s">
        <v>2221</v>
      </c>
      <c r="AF176" s="70" t="s">
        <v>2221</v>
      </c>
      <c r="AG176" s="70" t="s">
        <v>2221</v>
      </c>
      <c r="AH176" s="70"/>
      <c r="AI176" s="70"/>
      <c r="AJ176" s="70" t="s">
        <v>2221</v>
      </c>
      <c r="AK176" s="70" t="s">
        <v>2221</v>
      </c>
      <c r="AL176" s="70" t="s">
        <v>2221</v>
      </c>
      <c r="AM176" s="70" t="s">
        <v>2221</v>
      </c>
      <c r="AN176" s="70" t="s">
        <v>2221</v>
      </c>
      <c r="AO176" s="70"/>
      <c r="AP176" s="70"/>
      <c r="AQ176" s="70"/>
      <c r="AR176" s="70" t="s">
        <v>2221</v>
      </c>
      <c r="AS176" s="70" t="s">
        <v>2221</v>
      </c>
      <c r="AT176" s="70" t="s">
        <v>2221</v>
      </c>
      <c r="AU176" s="70" t="s">
        <v>2221</v>
      </c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2335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22</v>
      </c>
      <c r="P177" s="136" t="s">
        <v>2376</v>
      </c>
      <c r="Q177" s="31">
        <f t="shared" si="20"/>
        <v>6</v>
      </c>
      <c r="R177" s="32">
        <f t="shared" si="21"/>
        <v>0.7857142857142857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2221</v>
      </c>
      <c r="AK177" s="70" t="s">
        <v>2221</v>
      </c>
      <c r="AL177" s="70" t="s">
        <v>2221</v>
      </c>
      <c r="AM177" s="70" t="s">
        <v>2221</v>
      </c>
      <c r="AN177" s="70" t="s">
        <v>2221</v>
      </c>
      <c r="AO177" s="70"/>
      <c r="AP177" s="70"/>
      <c r="AQ177" s="70"/>
      <c r="AR177" s="70" t="s">
        <v>2221</v>
      </c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2221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2246</v>
      </c>
      <c r="H179" s="84" t="s">
        <v>1042</v>
      </c>
      <c r="I179" s="73" t="s">
        <v>2247</v>
      </c>
      <c r="J179" s="84" t="s">
        <v>1093</v>
      </c>
      <c r="K179" s="84" t="s">
        <v>1278</v>
      </c>
      <c r="L179" s="84"/>
      <c r="M179" s="84" t="s">
        <v>2248</v>
      </c>
      <c r="N179" s="84"/>
      <c r="O179" s="31">
        <f t="shared" si="19"/>
        <v>28</v>
      </c>
      <c r="P179" s="136" t="s">
        <v>2377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2332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2453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2335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2221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2221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2453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2332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2453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2367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2453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2120</v>
      </c>
      <c r="H191" s="84" t="s">
        <v>1042</v>
      </c>
      <c r="I191" s="73" t="s">
        <v>2121</v>
      </c>
      <c r="J191" s="84" t="s">
        <v>18</v>
      </c>
      <c r="K191" s="84" t="s">
        <v>1278</v>
      </c>
      <c r="L191" s="84"/>
      <c r="M191" s="84" t="s">
        <v>2122</v>
      </c>
      <c r="N191" s="84"/>
      <c r="O191" s="31">
        <f t="shared" si="22"/>
        <v>28</v>
      </c>
      <c r="P191" s="136" t="s">
        <v>2123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2332</v>
      </c>
      <c r="F192" s="73" t="s">
        <v>178</v>
      </c>
      <c r="G192" s="84" t="s">
        <v>2177</v>
      </c>
      <c r="H192" s="84" t="s">
        <v>1042</v>
      </c>
      <c r="I192" s="73" t="s">
        <v>2178</v>
      </c>
      <c r="J192" s="84" t="s">
        <v>18</v>
      </c>
      <c r="K192" s="84" t="s">
        <v>27</v>
      </c>
      <c r="L192" s="84"/>
      <c r="M192" s="84" t="s">
        <v>2275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2222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2347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2460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10</v>
      </c>
      <c r="P196" s="140"/>
      <c r="Q196" s="139">
        <f t="shared" si="23"/>
        <v>18</v>
      </c>
      <c r="R196" s="141">
        <f t="shared" si="24"/>
        <v>0.35714285714285715</v>
      </c>
      <c r="S196" s="142"/>
      <c r="T196" s="142"/>
      <c r="U196" s="142"/>
      <c r="V196" s="70" t="s">
        <v>2221</v>
      </c>
      <c r="W196" s="70" t="s">
        <v>2221</v>
      </c>
      <c r="X196" s="70" t="s">
        <v>2221</v>
      </c>
      <c r="Y196" s="70" t="s">
        <v>2221</v>
      </c>
      <c r="Z196" s="70" t="s">
        <v>2221</v>
      </c>
      <c r="AA196" s="142"/>
      <c r="AB196" s="142"/>
      <c r="AC196" s="70" t="s">
        <v>2221</v>
      </c>
      <c r="AD196" s="70" t="s">
        <v>2221</v>
      </c>
      <c r="AE196" s="70" t="s">
        <v>2221</v>
      </c>
      <c r="AF196" s="70" t="s">
        <v>2221</v>
      </c>
      <c r="AG196" s="70" t="s">
        <v>2221</v>
      </c>
      <c r="AH196" s="70"/>
      <c r="AI196" s="70"/>
      <c r="AJ196" s="70" t="s">
        <v>2221</v>
      </c>
      <c r="AK196" s="70" t="s">
        <v>2221</v>
      </c>
      <c r="AL196" s="70" t="s">
        <v>2221</v>
      </c>
      <c r="AM196" s="70" t="s">
        <v>2221</v>
      </c>
      <c r="AN196" s="70" t="s">
        <v>2221</v>
      </c>
      <c r="AO196" s="70"/>
      <c r="AP196" s="70"/>
      <c r="AQ196" s="142"/>
      <c r="AR196" s="70" t="s">
        <v>2221</v>
      </c>
      <c r="AS196" s="70" t="s">
        <v>2221</v>
      </c>
      <c r="AT196" s="70" t="s">
        <v>2221</v>
      </c>
      <c r="AU196" s="70" t="s">
        <v>2221</v>
      </c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2221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2221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2437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10</v>
      </c>
      <c r="P205" s="136" t="s">
        <v>1796</v>
      </c>
      <c r="Q205" s="131">
        <f t="shared" si="23"/>
        <v>18</v>
      </c>
      <c r="R205" s="132">
        <f t="shared" si="24"/>
        <v>0.35714285714285715</v>
      </c>
      <c r="S205" s="70"/>
      <c r="T205" s="70"/>
      <c r="U205" s="70"/>
      <c r="V205" s="70" t="s">
        <v>2221</v>
      </c>
      <c r="W205" s="70" t="s">
        <v>2221</v>
      </c>
      <c r="X205" s="70" t="s">
        <v>2221</v>
      </c>
      <c r="Y205" s="70" t="s">
        <v>2221</v>
      </c>
      <c r="Z205" s="70" t="s">
        <v>2221</v>
      </c>
      <c r="AA205" s="70"/>
      <c r="AB205" s="70"/>
      <c r="AC205" s="70" t="s">
        <v>2221</v>
      </c>
      <c r="AD205" s="70" t="s">
        <v>2221</v>
      </c>
      <c r="AE205" s="70" t="s">
        <v>2221</v>
      </c>
      <c r="AF205" s="70" t="s">
        <v>2221</v>
      </c>
      <c r="AG205" s="70" t="s">
        <v>2221</v>
      </c>
      <c r="AH205" s="70"/>
      <c r="AI205" s="70"/>
      <c r="AJ205" s="70" t="s">
        <v>2221</v>
      </c>
      <c r="AK205" s="70" t="s">
        <v>2221</v>
      </c>
      <c r="AL205" s="70" t="s">
        <v>2221</v>
      </c>
      <c r="AM205" s="70" t="s">
        <v>2221</v>
      </c>
      <c r="AN205" s="70" t="s">
        <v>2221</v>
      </c>
      <c r="AO205" s="70"/>
      <c r="AP205" s="70"/>
      <c r="AQ205" s="70"/>
      <c r="AR205" s="70" t="s">
        <v>2221</v>
      </c>
      <c r="AS205" s="70" t="s">
        <v>2221</v>
      </c>
      <c r="AT205" s="70" t="s">
        <v>2221</v>
      </c>
      <c r="AU205" s="70" t="s">
        <v>2221</v>
      </c>
      <c r="AV205" s="70"/>
    </row>
    <row r="206" spans="1:49" s="73" customFormat="1" ht="15.75" thickBot="1" x14ac:dyDescent="0.3">
      <c r="A206"/>
      <c r="B206"/>
      <c r="C206"/>
      <c r="D206"/>
      <c r="E206" s="151" t="s">
        <v>2437</v>
      </c>
      <c r="G206" s="73" t="s">
        <v>2349</v>
      </c>
      <c r="H206" s="73" t="s">
        <v>1041</v>
      </c>
      <c r="I206" s="73" t="s">
        <v>2351</v>
      </c>
      <c r="J206" s="84"/>
      <c r="K206" s="84" t="s">
        <v>1278</v>
      </c>
      <c r="M206" s="84" t="s">
        <v>2350</v>
      </c>
      <c r="N206" s="84"/>
      <c r="O206" s="131"/>
      <c r="P206" s="136" t="s">
        <v>2352</v>
      </c>
      <c r="Q206" s="131"/>
      <c r="R206" s="132"/>
      <c r="S206" s="70"/>
      <c r="T206" s="70"/>
      <c r="U206" s="70"/>
      <c r="V206" s="70" t="s">
        <v>2221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2437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2437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2437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2221</v>
      </c>
      <c r="AG209" s="70" t="s">
        <v>2221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2374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2276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2373</v>
      </c>
      <c r="C211"/>
      <c r="D211"/>
      <c r="E211" t="s">
        <v>2372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2277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2221</v>
      </c>
      <c r="W211" s="70" t="s">
        <v>2221</v>
      </c>
      <c r="X211" s="70" t="s">
        <v>2221</v>
      </c>
      <c r="Y211" s="70" t="s">
        <v>2221</v>
      </c>
      <c r="Z211" s="70" t="s">
        <v>2221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2437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2262</v>
      </c>
      <c r="N212" s="30"/>
      <c r="O212" s="31">
        <f t="shared" si="25"/>
        <v>28</v>
      </c>
      <c r="P212" s="136" t="s">
        <v>2378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2437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2221</v>
      </c>
      <c r="W213" s="70" t="s">
        <v>2221</v>
      </c>
      <c r="X213" s="70" t="s">
        <v>2221</v>
      </c>
      <c r="Y213" s="70" t="s">
        <v>2221</v>
      </c>
      <c r="Z213" s="70" t="s">
        <v>2221</v>
      </c>
      <c r="AA213" s="70"/>
      <c r="AB213" s="70"/>
      <c r="AC213" s="70" t="s">
        <v>2221</v>
      </c>
      <c r="AD213" s="70" t="s">
        <v>2221</v>
      </c>
      <c r="AE213" s="70" t="s">
        <v>2221</v>
      </c>
      <c r="AF213" s="70" t="s">
        <v>2221</v>
      </c>
      <c r="AG213" s="70" t="s">
        <v>2221</v>
      </c>
      <c r="AH213" s="70"/>
      <c r="AI213" s="70"/>
      <c r="AJ213" s="70"/>
      <c r="AK213" s="70"/>
      <c r="AL213" s="70"/>
      <c r="AM213" s="70" t="s">
        <v>2221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2437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2437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2221</v>
      </c>
      <c r="AG215" s="70" t="s">
        <v>2221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2437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2437</v>
      </c>
      <c r="F217" s="73" t="s">
        <v>206</v>
      </c>
      <c r="G217" s="73" t="s">
        <v>2155</v>
      </c>
      <c r="H217" s="73" t="s">
        <v>1041</v>
      </c>
      <c r="I217" s="73" t="s">
        <v>2156</v>
      </c>
      <c r="J217" s="84" t="s">
        <v>71</v>
      </c>
      <c r="K217" s="84" t="s">
        <v>1278</v>
      </c>
      <c r="M217" s="84" t="s">
        <v>2157</v>
      </c>
      <c r="N217" s="84"/>
      <c r="O217" s="131">
        <f t="shared" si="25"/>
        <v>28</v>
      </c>
      <c r="P217" s="136" t="s">
        <v>2158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2221</v>
      </c>
      <c r="W219" s="70" t="s">
        <v>2221</v>
      </c>
      <c r="X219" s="70" t="s">
        <v>2221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2270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2221</v>
      </c>
      <c r="W220" s="70" t="s">
        <v>2221</v>
      </c>
      <c r="X220" s="70" t="s">
        <v>2221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2367</v>
      </c>
      <c r="L221" s="30" t="s">
        <v>2368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2221</v>
      </c>
      <c r="W221" s="70" t="s">
        <v>2221</v>
      </c>
      <c r="X221" s="70" t="s">
        <v>2221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2209</v>
      </c>
      <c r="H222" t="s">
        <v>1041</v>
      </c>
      <c r="I222" t="s">
        <v>2210</v>
      </c>
      <c r="J222" s="30" t="s">
        <v>14</v>
      </c>
      <c r="K222" s="84" t="s">
        <v>1278</v>
      </c>
      <c r="L222" s="30"/>
      <c r="M222" s="30" t="s">
        <v>2211</v>
      </c>
      <c r="N222" s="30"/>
      <c r="O222" s="131">
        <f t="shared" si="25"/>
        <v>28</v>
      </c>
      <c r="P222" s="136" t="s">
        <v>2212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2379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2341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2278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2221</v>
      </c>
      <c r="AE226" s="70" t="s">
        <v>2221</v>
      </c>
      <c r="AF226" s="70" t="s">
        <v>2221</v>
      </c>
      <c r="AG226" s="70" t="s">
        <v>2221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2341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21</v>
      </c>
      <c r="P231" s="136" t="s">
        <v>2434</v>
      </c>
      <c r="Q231" s="131">
        <f t="shared" si="26"/>
        <v>7</v>
      </c>
      <c r="R231" s="132">
        <f t="shared" si="27"/>
        <v>0.75</v>
      </c>
      <c r="S231" s="70"/>
      <c r="T231" s="70"/>
      <c r="U231" s="70"/>
      <c r="V231" s="70" t="s">
        <v>2221</v>
      </c>
      <c r="W231" s="70" t="s">
        <v>2221</v>
      </c>
      <c r="X231" s="70" t="s">
        <v>2221</v>
      </c>
      <c r="Y231" s="70" t="s">
        <v>2221</v>
      </c>
      <c r="Z231" s="70" t="s">
        <v>2221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 t="s">
        <v>2221</v>
      </c>
      <c r="AT231" s="70" t="s">
        <v>2221</v>
      </c>
      <c r="AU231" s="70" t="s">
        <v>2221</v>
      </c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2223</v>
      </c>
      <c r="H232" s="73" t="s">
        <v>1041</v>
      </c>
      <c r="I232" s="73" t="s">
        <v>2224</v>
      </c>
      <c r="J232" s="84" t="s">
        <v>14</v>
      </c>
      <c r="K232" s="84" t="s">
        <v>1278</v>
      </c>
      <c r="L232" s="84"/>
      <c r="M232" s="84" t="s">
        <v>2279</v>
      </c>
      <c r="N232" s="84"/>
      <c r="O232" s="131">
        <f t="shared" si="25"/>
        <v>28</v>
      </c>
      <c r="P232" s="136" t="s">
        <v>2225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2217</v>
      </c>
      <c r="H236" s="73" t="s">
        <v>1042</v>
      </c>
      <c r="I236" s="73" t="s">
        <v>2218</v>
      </c>
      <c r="J236" s="84" t="s">
        <v>14</v>
      </c>
      <c r="K236" s="84" t="s">
        <v>1278</v>
      </c>
      <c r="L236" s="84"/>
      <c r="M236" s="84" t="s">
        <v>2280</v>
      </c>
      <c r="N236" s="84"/>
      <c r="O236" s="131">
        <f t="shared" si="25"/>
        <v>28</v>
      </c>
      <c r="P236" s="136" t="s">
        <v>2219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2327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27</v>
      </c>
      <c r="P246" s="136" t="s">
        <v>1820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 t="s">
        <v>2221</v>
      </c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2271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2221</v>
      </c>
      <c r="W248" s="70" t="s">
        <v>2221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2221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2454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10</v>
      </c>
      <c r="P250" s="136" t="s">
        <v>1824</v>
      </c>
      <c r="Q250" s="31">
        <f t="shared" si="29"/>
        <v>18</v>
      </c>
      <c r="R250" s="32">
        <f t="shared" si="30"/>
        <v>0.35714285714285715</v>
      </c>
      <c r="S250" s="70"/>
      <c r="T250" s="70"/>
      <c r="U250" s="70"/>
      <c r="V250" s="70" t="s">
        <v>2221</v>
      </c>
      <c r="W250" s="70" t="s">
        <v>2221</v>
      </c>
      <c r="X250" s="70" t="s">
        <v>2221</v>
      </c>
      <c r="Y250" s="70" t="s">
        <v>2221</v>
      </c>
      <c r="Z250" s="70" t="s">
        <v>2221</v>
      </c>
      <c r="AA250" s="70"/>
      <c r="AB250" s="70"/>
      <c r="AC250" s="70" t="s">
        <v>2221</v>
      </c>
      <c r="AD250" s="70" t="s">
        <v>2221</v>
      </c>
      <c r="AE250" s="70" t="s">
        <v>2221</v>
      </c>
      <c r="AF250" s="70" t="s">
        <v>2221</v>
      </c>
      <c r="AG250" s="70" t="s">
        <v>2221</v>
      </c>
      <c r="AH250" s="70"/>
      <c r="AI250" s="70"/>
      <c r="AJ250" s="70" t="s">
        <v>2221</v>
      </c>
      <c r="AK250" s="70" t="s">
        <v>2221</v>
      </c>
      <c r="AL250" s="70" t="s">
        <v>2221</v>
      </c>
      <c r="AM250" s="70" t="s">
        <v>2221</v>
      </c>
      <c r="AN250" s="70" t="s">
        <v>2221</v>
      </c>
      <c r="AO250" s="70"/>
      <c r="AP250" s="70"/>
      <c r="AQ250" s="70"/>
      <c r="AR250" s="70" t="s">
        <v>2221</v>
      </c>
      <c r="AS250" s="70" t="s">
        <v>2221</v>
      </c>
      <c r="AT250" s="70" t="s">
        <v>2221</v>
      </c>
      <c r="AU250" s="70" t="s">
        <v>2221</v>
      </c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2327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21</v>
      </c>
      <c r="P251" s="136" t="s">
        <v>1825</v>
      </c>
      <c r="Q251" s="31">
        <f t="shared" si="29"/>
        <v>7</v>
      </c>
      <c r="R251" s="32">
        <f t="shared" si="30"/>
        <v>0.75</v>
      </c>
      <c r="S251" s="70"/>
      <c r="T251" s="70"/>
      <c r="U251" s="70"/>
      <c r="V251" s="70" t="s">
        <v>2221</v>
      </c>
      <c r="W251" s="70" t="s">
        <v>2221</v>
      </c>
      <c r="X251" s="70" t="s">
        <v>2221</v>
      </c>
      <c r="Y251" s="70" t="s">
        <v>2221</v>
      </c>
      <c r="Z251" s="70"/>
      <c r="AA251" s="70"/>
      <c r="AB251" s="70"/>
      <c r="AC251" s="70"/>
      <c r="AD251" s="70"/>
      <c r="AE251" s="70"/>
      <c r="AF251" s="70"/>
      <c r="AG251" s="70" t="s">
        <v>2221</v>
      </c>
      <c r="AH251" s="70"/>
      <c r="AI251" s="70"/>
      <c r="AJ251" s="70" t="s">
        <v>2221</v>
      </c>
      <c r="AK251" s="70"/>
      <c r="AL251" s="70"/>
      <c r="AM251" s="70"/>
      <c r="AN251" s="70" t="s">
        <v>2221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2195</v>
      </c>
      <c r="N252" s="84"/>
      <c r="O252" s="31">
        <f t="shared" si="28"/>
        <v>28</v>
      </c>
      <c r="P252" s="136" t="s">
        <v>2304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2221</v>
      </c>
      <c r="W253" s="70" t="s">
        <v>2221</v>
      </c>
      <c r="X253" s="70" t="s">
        <v>2221</v>
      </c>
      <c r="Y253" s="70" t="s">
        <v>2221</v>
      </c>
      <c r="Z253" s="70" t="s">
        <v>2221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2463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10</v>
      </c>
      <c r="P254" s="140" t="s">
        <v>1826</v>
      </c>
      <c r="Q254" s="139">
        <f t="shared" si="29"/>
        <v>18</v>
      </c>
      <c r="R254" s="141">
        <f t="shared" si="30"/>
        <v>0.35714285714285715</v>
      </c>
      <c r="S254" s="142"/>
      <c r="T254" s="142"/>
      <c r="U254" s="142"/>
      <c r="V254" s="70" t="s">
        <v>2221</v>
      </c>
      <c r="W254" s="70" t="s">
        <v>2221</v>
      </c>
      <c r="X254" s="70" t="s">
        <v>2221</v>
      </c>
      <c r="Y254" s="70" t="s">
        <v>2221</v>
      </c>
      <c r="Z254" s="70" t="s">
        <v>2221</v>
      </c>
      <c r="AA254" s="142"/>
      <c r="AB254" s="142"/>
      <c r="AC254" s="70" t="s">
        <v>2221</v>
      </c>
      <c r="AD254" s="70" t="s">
        <v>2221</v>
      </c>
      <c r="AE254" s="70" t="s">
        <v>2221</v>
      </c>
      <c r="AF254" s="70" t="s">
        <v>2221</v>
      </c>
      <c r="AG254" s="70" t="s">
        <v>2221</v>
      </c>
      <c r="AH254" s="70"/>
      <c r="AI254" s="70"/>
      <c r="AJ254" s="70" t="s">
        <v>2221</v>
      </c>
      <c r="AK254" s="70" t="s">
        <v>2221</v>
      </c>
      <c r="AL254" s="70" t="s">
        <v>2221</v>
      </c>
      <c r="AM254" s="70" t="s">
        <v>2221</v>
      </c>
      <c r="AN254" s="70" t="s">
        <v>2221</v>
      </c>
      <c r="AO254" s="70"/>
      <c r="AP254" s="70"/>
      <c r="AQ254" s="142"/>
      <c r="AR254" s="70" t="s">
        <v>2221</v>
      </c>
      <c r="AS254" s="70" t="s">
        <v>2221</v>
      </c>
      <c r="AT254" s="70" t="s">
        <v>2221</v>
      </c>
      <c r="AU254" s="70" t="s">
        <v>2221</v>
      </c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2232</v>
      </c>
      <c r="H255" s="69" t="s">
        <v>1042</v>
      </c>
      <c r="I255" s="69" t="s">
        <v>2233</v>
      </c>
      <c r="J255" s="137" t="s">
        <v>71</v>
      </c>
      <c r="K255" s="137" t="s">
        <v>1278</v>
      </c>
      <c r="L255" s="137"/>
      <c r="M255" s="137" t="s">
        <v>2234</v>
      </c>
      <c r="N255" s="137"/>
      <c r="O255" s="139">
        <f t="shared" si="28"/>
        <v>10</v>
      </c>
      <c r="P255" s="140" t="s">
        <v>2235</v>
      </c>
      <c r="Q255" s="139">
        <f t="shared" si="29"/>
        <v>18</v>
      </c>
      <c r="R255" s="141">
        <f t="shared" si="30"/>
        <v>0.35714285714285715</v>
      </c>
      <c r="S255" s="142"/>
      <c r="T255" s="142"/>
      <c r="U255" s="142"/>
      <c r="V255" s="70" t="s">
        <v>2221</v>
      </c>
      <c r="W255" s="70" t="s">
        <v>2221</v>
      </c>
      <c r="X255" s="70" t="s">
        <v>2221</v>
      </c>
      <c r="Y255" s="70" t="s">
        <v>2221</v>
      </c>
      <c r="Z255" s="70" t="s">
        <v>2221</v>
      </c>
      <c r="AA255" s="142"/>
      <c r="AB255" s="142"/>
      <c r="AC255" s="70" t="s">
        <v>2221</v>
      </c>
      <c r="AD255" s="70" t="s">
        <v>2221</v>
      </c>
      <c r="AE255" s="70" t="s">
        <v>2221</v>
      </c>
      <c r="AF255" s="70" t="s">
        <v>2221</v>
      </c>
      <c r="AG255" s="70" t="s">
        <v>2221</v>
      </c>
      <c r="AH255" s="70"/>
      <c r="AI255" s="70"/>
      <c r="AJ255" s="70" t="s">
        <v>2221</v>
      </c>
      <c r="AK255" s="70" t="s">
        <v>2221</v>
      </c>
      <c r="AL255" s="70" t="s">
        <v>2221</v>
      </c>
      <c r="AM255" s="70" t="s">
        <v>2221</v>
      </c>
      <c r="AN255" s="70" t="s">
        <v>2221</v>
      </c>
      <c r="AO255" s="70"/>
      <c r="AP255" s="70"/>
      <c r="AQ255" s="142"/>
      <c r="AR255" s="70" t="s">
        <v>2221</v>
      </c>
      <c r="AS255" s="70" t="s">
        <v>2221</v>
      </c>
      <c r="AT255" s="70" t="s">
        <v>2221</v>
      </c>
      <c r="AU255" s="70" t="s">
        <v>2221</v>
      </c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2236</v>
      </c>
      <c r="H256" t="s">
        <v>1042</v>
      </c>
      <c r="I256" t="s">
        <v>2233</v>
      </c>
      <c r="J256" s="30" t="s">
        <v>14</v>
      </c>
      <c r="K256" s="84" t="s">
        <v>1278</v>
      </c>
      <c r="L256" s="30"/>
      <c r="M256" s="30" t="s">
        <v>2281</v>
      </c>
      <c r="N256" s="30"/>
      <c r="O256" s="31">
        <f t="shared" si="28"/>
        <v>27</v>
      </c>
      <c r="P256" s="136" t="s">
        <v>2393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2221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2237</v>
      </c>
      <c r="H257" t="s">
        <v>1042</v>
      </c>
      <c r="I257" t="s">
        <v>2238</v>
      </c>
      <c r="J257" s="30" t="s">
        <v>14</v>
      </c>
      <c r="K257" s="84" t="s">
        <v>1278</v>
      </c>
      <c r="L257" s="30"/>
      <c r="M257" s="30" t="s">
        <v>2321</v>
      </c>
      <c r="N257" s="30"/>
      <c r="O257" s="31">
        <f t="shared" si="28"/>
        <v>28</v>
      </c>
      <c r="P257" s="136" t="s">
        <v>2394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2160</v>
      </c>
      <c r="G258" t="s">
        <v>2161</v>
      </c>
      <c r="H258" t="s">
        <v>1042</v>
      </c>
      <c r="I258" t="s">
        <v>2162</v>
      </c>
      <c r="J258" s="30" t="s">
        <v>18</v>
      </c>
      <c r="K258" s="84" t="s">
        <v>1278</v>
      </c>
      <c r="L258" s="30"/>
      <c r="M258" s="30" t="s">
        <v>2282</v>
      </c>
      <c r="N258" s="30"/>
      <c r="O258" s="131">
        <f t="shared" si="28"/>
        <v>28</v>
      </c>
      <c r="P258" s="136" t="s">
        <v>2163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2160</v>
      </c>
      <c r="G259" t="s">
        <v>2164</v>
      </c>
      <c r="H259" t="s">
        <v>1042</v>
      </c>
      <c r="I259" t="s">
        <v>2165</v>
      </c>
      <c r="J259" s="30" t="s">
        <v>18</v>
      </c>
      <c r="K259" s="84" t="s">
        <v>1278</v>
      </c>
      <c r="L259" s="30"/>
      <c r="M259" s="30" t="s">
        <v>2283</v>
      </c>
      <c r="N259" s="30"/>
      <c r="O259" s="131">
        <f t="shared" si="28"/>
        <v>28</v>
      </c>
      <c r="P259" s="136" t="s">
        <v>2166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15</v>
      </c>
      <c r="P260" s="136" t="s">
        <v>2395</v>
      </c>
      <c r="Q260" s="31">
        <f t="shared" si="29"/>
        <v>13</v>
      </c>
      <c r="R260" s="32">
        <f t="shared" si="30"/>
        <v>0.5357142857142857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2221</v>
      </c>
      <c r="AD260" s="70" t="s">
        <v>2221</v>
      </c>
      <c r="AE260" s="70" t="s">
        <v>2221</v>
      </c>
      <c r="AF260" s="70" t="s">
        <v>2221</v>
      </c>
      <c r="AG260" s="70" t="s">
        <v>2221</v>
      </c>
      <c r="AH260" s="70"/>
      <c r="AI260" s="70"/>
      <c r="AJ260" s="70" t="s">
        <v>2221</v>
      </c>
      <c r="AK260" s="70" t="s">
        <v>2221</v>
      </c>
      <c r="AL260" s="70" t="s">
        <v>2221</v>
      </c>
      <c r="AM260" s="70" t="s">
        <v>2221</v>
      </c>
      <c r="AN260" s="70" t="s">
        <v>2221</v>
      </c>
      <c r="AO260" s="70"/>
      <c r="AP260" s="70"/>
      <c r="AQ260" s="70"/>
      <c r="AR260" s="70" t="s">
        <v>2221</v>
      </c>
      <c r="AS260" s="70" t="s">
        <v>2221</v>
      </c>
      <c r="AT260" s="70" t="s">
        <v>2221</v>
      </c>
      <c r="AU260" s="70" t="s">
        <v>2221</v>
      </c>
      <c r="AV260" s="70"/>
    </row>
    <row r="261" spans="1:49" ht="15.75" thickBot="1" x14ac:dyDescent="0.3">
      <c r="A261"/>
      <c r="B261"/>
      <c r="C261"/>
      <c r="D261"/>
      <c r="E261" t="s">
        <v>2347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950</v>
      </c>
      <c r="G262" t="s">
        <v>2316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2315</v>
      </c>
      <c r="H263" t="s">
        <v>1042</v>
      </c>
      <c r="I263" t="s">
        <v>2318</v>
      </c>
      <c r="J263" s="30" t="s">
        <v>45</v>
      </c>
      <c r="K263" s="30" t="s">
        <v>1278</v>
      </c>
      <c r="L263" s="30"/>
      <c r="M263" s="30" t="s">
        <v>2319</v>
      </c>
      <c r="N263" s="30"/>
      <c r="O263" s="31"/>
      <c r="P263" s="136" t="s">
        <v>2420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2317</v>
      </c>
      <c r="H264" t="s">
        <v>1042</v>
      </c>
      <c r="I264" t="s">
        <v>2318</v>
      </c>
      <c r="J264" s="30" t="s">
        <v>14</v>
      </c>
      <c r="K264" s="30" t="s">
        <v>1278</v>
      </c>
      <c r="L264" s="30"/>
      <c r="M264" s="30" t="s">
        <v>2320</v>
      </c>
      <c r="N264" s="30"/>
      <c r="O264" s="31"/>
      <c r="P264" s="136" t="s">
        <v>2396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2366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2366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12</v>
      </c>
      <c r="P270" s="136" t="s">
        <v>1833</v>
      </c>
      <c r="Q270" s="31">
        <f t="shared" si="32"/>
        <v>16</v>
      </c>
      <c r="R270" s="32">
        <f t="shared" si="33"/>
        <v>0.42857142857142855</v>
      </c>
      <c r="S270" s="70"/>
      <c r="T270" s="70"/>
      <c r="U270" s="70"/>
      <c r="V270" s="70" t="s">
        <v>2221</v>
      </c>
      <c r="W270" s="70" t="s">
        <v>2221</v>
      </c>
      <c r="X270" s="70" t="s">
        <v>2221</v>
      </c>
      <c r="Y270" s="70" t="s">
        <v>2221</v>
      </c>
      <c r="Z270" s="70" t="s">
        <v>2221</v>
      </c>
      <c r="AA270" s="70"/>
      <c r="AB270" s="70"/>
      <c r="AC270" s="70" t="s">
        <v>2221</v>
      </c>
      <c r="AD270" s="70" t="s">
        <v>2221</v>
      </c>
      <c r="AE270" s="70" t="s">
        <v>2221</v>
      </c>
      <c r="AF270" s="70" t="s">
        <v>2221</v>
      </c>
      <c r="AG270" s="70" t="s">
        <v>2221</v>
      </c>
      <c r="AH270" s="70"/>
      <c r="AI270" s="70"/>
      <c r="AJ270" s="70" t="s">
        <v>2221</v>
      </c>
      <c r="AK270" s="70" t="s">
        <v>2221</v>
      </c>
      <c r="AL270" s="70" t="s">
        <v>2221</v>
      </c>
      <c r="AM270" s="70" t="s">
        <v>2221</v>
      </c>
      <c r="AN270" s="70" t="s">
        <v>2221</v>
      </c>
      <c r="AO270" s="70"/>
      <c r="AP270" s="70"/>
      <c r="AQ270" s="70"/>
      <c r="AR270" s="70" t="s">
        <v>2221</v>
      </c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2438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2438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2439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2265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2221</v>
      </c>
      <c r="W274" s="70" t="s">
        <v>2221</v>
      </c>
      <c r="X274" s="70" t="s">
        <v>2221</v>
      </c>
      <c r="Y274" s="70" t="s">
        <v>2221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2221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2327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11</v>
      </c>
      <c r="P275" s="136" t="s">
        <v>1840</v>
      </c>
      <c r="Q275" s="31">
        <f t="shared" si="32"/>
        <v>17</v>
      </c>
      <c r="R275" s="32">
        <f t="shared" si="33"/>
        <v>0.39285714285714285</v>
      </c>
      <c r="S275" s="70"/>
      <c r="T275" s="70"/>
      <c r="U275" s="70"/>
      <c r="V275" s="70"/>
      <c r="W275" s="70" t="s">
        <v>2221</v>
      </c>
      <c r="X275" s="70" t="s">
        <v>2221</v>
      </c>
      <c r="Y275" s="70" t="s">
        <v>2221</v>
      </c>
      <c r="Z275" s="70" t="s">
        <v>2221</v>
      </c>
      <c r="AA275" s="70"/>
      <c r="AB275" s="70"/>
      <c r="AC275" s="70" t="s">
        <v>2221</v>
      </c>
      <c r="AD275" s="70" t="s">
        <v>2221</v>
      </c>
      <c r="AE275" s="70" t="s">
        <v>2221</v>
      </c>
      <c r="AF275" s="70" t="s">
        <v>2221</v>
      </c>
      <c r="AG275" s="70" t="s">
        <v>2221</v>
      </c>
      <c r="AH275" s="70"/>
      <c r="AI275" s="70"/>
      <c r="AJ275" s="70" t="s">
        <v>2221</v>
      </c>
      <c r="AK275" s="70" t="s">
        <v>2221</v>
      </c>
      <c r="AL275" s="70" t="s">
        <v>2221</v>
      </c>
      <c r="AM275" s="70" t="s">
        <v>2221</v>
      </c>
      <c r="AN275" s="70" t="s">
        <v>2221</v>
      </c>
      <c r="AO275" s="70"/>
      <c r="AP275" s="70"/>
      <c r="AQ275" s="70"/>
      <c r="AR275" s="70" t="s">
        <v>2221</v>
      </c>
      <c r="AS275" s="70" t="s">
        <v>2221</v>
      </c>
      <c r="AT275" s="70" t="s">
        <v>2221</v>
      </c>
      <c r="AU275" s="70" t="s">
        <v>2221</v>
      </c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2360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2265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2366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2263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2366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2265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2265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2331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2221</v>
      </c>
      <c r="W285" s="70" t="s">
        <v>2221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2221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2221</v>
      </c>
      <c r="AF289" s="70" t="s">
        <v>2221</v>
      </c>
      <c r="AG289" s="70" t="s">
        <v>2221</v>
      </c>
      <c r="AH289" s="70"/>
      <c r="AI289" s="70"/>
      <c r="AJ289" s="70" t="s">
        <v>2221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2221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2331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2221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2221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2221</v>
      </c>
      <c r="AD293" s="70" t="s">
        <v>2221</v>
      </c>
      <c r="AE293" s="70" t="s">
        <v>2221</v>
      </c>
      <c r="AF293" s="70" t="s">
        <v>2221</v>
      </c>
      <c r="AG293" s="70"/>
      <c r="AH293" s="70"/>
      <c r="AI293" s="70"/>
      <c r="AJ293" s="70" t="s">
        <v>2221</v>
      </c>
      <c r="AK293" s="70" t="s">
        <v>2221</v>
      </c>
      <c r="AL293" s="70" t="s">
        <v>2221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2221</v>
      </c>
      <c r="AD294" s="70"/>
      <c r="AE294" s="70" t="s">
        <v>2221</v>
      </c>
      <c r="AF294" s="70" t="s">
        <v>2221</v>
      </c>
      <c r="AG294" s="70" t="s">
        <v>2221</v>
      </c>
      <c r="AH294" s="70"/>
      <c r="AI294" s="70"/>
      <c r="AJ294" s="70" t="s">
        <v>2221</v>
      </c>
      <c r="AK294" s="70" t="s">
        <v>2221</v>
      </c>
      <c r="AL294" s="70" t="s">
        <v>2221</v>
      </c>
      <c r="AM294" s="70" t="s">
        <v>2221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2331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2145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2456</v>
      </c>
      <c r="F297" s="69" t="s">
        <v>2108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27</v>
      </c>
      <c r="P297" s="143" t="s">
        <v>1651</v>
      </c>
      <c r="Q297" s="139">
        <f t="shared" si="32"/>
        <v>1</v>
      </c>
      <c r="R297" s="141">
        <f t="shared" si="33"/>
        <v>0.9642857142857143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70" t="s">
        <v>2221</v>
      </c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2108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10</v>
      </c>
      <c r="P298" s="136" t="s">
        <v>2113</v>
      </c>
      <c r="Q298" s="131">
        <f t="shared" si="32"/>
        <v>18</v>
      </c>
      <c r="R298" s="132">
        <f t="shared" si="33"/>
        <v>0.35714285714285715</v>
      </c>
      <c r="S298" s="70"/>
      <c r="T298" s="70"/>
      <c r="U298" s="70"/>
      <c r="V298" s="70" t="s">
        <v>2221</v>
      </c>
      <c r="W298" s="70" t="s">
        <v>2221</v>
      </c>
      <c r="X298" s="70" t="s">
        <v>2221</v>
      </c>
      <c r="Y298" s="70" t="s">
        <v>2221</v>
      </c>
      <c r="Z298" s="70" t="s">
        <v>2221</v>
      </c>
      <c r="AA298" s="70"/>
      <c r="AB298" s="70"/>
      <c r="AC298" s="70" t="s">
        <v>2221</v>
      </c>
      <c r="AD298" s="70" t="s">
        <v>2221</v>
      </c>
      <c r="AE298" s="70" t="s">
        <v>2221</v>
      </c>
      <c r="AF298" s="70" t="s">
        <v>2221</v>
      </c>
      <c r="AG298" s="70" t="s">
        <v>2221</v>
      </c>
      <c r="AH298" s="70"/>
      <c r="AI298" s="70"/>
      <c r="AJ298" s="70" t="s">
        <v>2221</v>
      </c>
      <c r="AK298" s="70" t="s">
        <v>2221</v>
      </c>
      <c r="AL298" s="70" t="s">
        <v>2221</v>
      </c>
      <c r="AM298" s="70" t="s">
        <v>2221</v>
      </c>
      <c r="AN298" s="70" t="s">
        <v>2221</v>
      </c>
      <c r="AO298" s="70"/>
      <c r="AP298" s="70"/>
      <c r="AQ298" s="70"/>
      <c r="AR298" s="70" t="s">
        <v>2221</v>
      </c>
      <c r="AS298" s="70" t="s">
        <v>2221</v>
      </c>
      <c r="AT298" s="70" t="s">
        <v>2221</v>
      </c>
      <c r="AU298" s="70" t="s">
        <v>2221</v>
      </c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2108</v>
      </c>
      <c r="G299" s="84" t="s">
        <v>2105</v>
      </c>
      <c r="H299" s="73" t="s">
        <v>1042</v>
      </c>
      <c r="I299" s="73" t="s">
        <v>2106</v>
      </c>
      <c r="J299" s="84" t="s">
        <v>18</v>
      </c>
      <c r="K299" s="84" t="s">
        <v>1278</v>
      </c>
      <c r="L299" s="84"/>
      <c r="M299" s="84" t="s">
        <v>2272</v>
      </c>
      <c r="N299" s="84"/>
      <c r="O299" s="131">
        <f t="shared" si="31"/>
        <v>10</v>
      </c>
      <c r="P299" s="136" t="s">
        <v>2107</v>
      </c>
      <c r="Q299" s="131">
        <f t="shared" si="32"/>
        <v>18</v>
      </c>
      <c r="R299" s="132">
        <f t="shared" si="33"/>
        <v>0.35714285714285715</v>
      </c>
      <c r="S299" s="70"/>
      <c r="T299" s="70"/>
      <c r="U299" s="70"/>
      <c r="V299" s="70" t="s">
        <v>2221</v>
      </c>
      <c r="W299" s="70" t="s">
        <v>2221</v>
      </c>
      <c r="X299" s="70" t="s">
        <v>2221</v>
      </c>
      <c r="Y299" s="70" t="s">
        <v>2221</v>
      </c>
      <c r="Z299" s="70" t="s">
        <v>2221</v>
      </c>
      <c r="AA299" s="70"/>
      <c r="AB299" s="70"/>
      <c r="AC299" s="70" t="s">
        <v>2221</v>
      </c>
      <c r="AD299" s="70" t="s">
        <v>2221</v>
      </c>
      <c r="AE299" s="70" t="s">
        <v>2221</v>
      </c>
      <c r="AF299" s="70" t="s">
        <v>2221</v>
      </c>
      <c r="AG299" s="70" t="s">
        <v>2221</v>
      </c>
      <c r="AH299" s="70"/>
      <c r="AI299" s="70"/>
      <c r="AJ299" s="70" t="s">
        <v>2221</v>
      </c>
      <c r="AK299" s="70" t="s">
        <v>2221</v>
      </c>
      <c r="AL299" s="70" t="s">
        <v>2221</v>
      </c>
      <c r="AM299" s="70" t="s">
        <v>2221</v>
      </c>
      <c r="AN299" s="70" t="s">
        <v>2221</v>
      </c>
      <c r="AO299" s="70"/>
      <c r="AP299" s="70"/>
      <c r="AQ299" s="70"/>
      <c r="AR299" s="70" t="s">
        <v>2221</v>
      </c>
      <c r="AS299" s="70" t="s">
        <v>2221</v>
      </c>
      <c r="AT299" s="70" t="s">
        <v>2221</v>
      </c>
      <c r="AU299" s="70" t="s">
        <v>2221</v>
      </c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2334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2221</v>
      </c>
      <c r="W300" s="70" t="s">
        <v>2221</v>
      </c>
      <c r="X300" s="70" t="s">
        <v>2221</v>
      </c>
      <c r="Y300" s="70" t="s">
        <v>2221</v>
      </c>
      <c r="Z300" s="70" t="s">
        <v>2221</v>
      </c>
      <c r="AA300" s="70"/>
      <c r="AB300" s="70"/>
      <c r="AC300" s="70"/>
      <c r="AD300" s="70"/>
      <c r="AE300" s="70" t="s">
        <v>2221</v>
      </c>
      <c r="AF300" s="70" t="s">
        <v>2221</v>
      </c>
      <c r="AG300" s="70" t="s">
        <v>2221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2221</v>
      </c>
      <c r="W301" s="70" t="s">
        <v>2221</v>
      </c>
      <c r="X301" s="70" t="s">
        <v>2221</v>
      </c>
      <c r="Y301" s="70" t="s">
        <v>2221</v>
      </c>
      <c r="Z301" s="70" t="s">
        <v>2221</v>
      </c>
      <c r="AA301" s="70"/>
      <c r="AB301" s="70"/>
      <c r="AC301" s="70"/>
      <c r="AD301" s="70"/>
      <c r="AE301" s="70" t="s">
        <v>2221</v>
      </c>
      <c r="AF301" s="70" t="s">
        <v>2221</v>
      </c>
      <c r="AG301" s="70" t="s">
        <v>2221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2221</v>
      </c>
      <c r="W302" s="70" t="s">
        <v>2221</v>
      </c>
      <c r="X302" s="70" t="s">
        <v>2221</v>
      </c>
      <c r="Y302" s="70" t="s">
        <v>2221</v>
      </c>
      <c r="Z302" s="70" t="s">
        <v>2221</v>
      </c>
      <c r="AA302" s="70"/>
      <c r="AB302" s="70"/>
      <c r="AC302" s="70"/>
      <c r="AD302" s="70"/>
      <c r="AE302" s="70" t="s">
        <v>2221</v>
      </c>
      <c r="AF302" s="70" t="s">
        <v>2221</v>
      </c>
      <c r="AG302" s="70" t="s">
        <v>2221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2221</v>
      </c>
      <c r="W303" s="70" t="s">
        <v>2221</v>
      </c>
      <c r="X303" s="70" t="s">
        <v>2221</v>
      </c>
      <c r="Y303" s="70" t="s">
        <v>2221</v>
      </c>
      <c r="Z303" s="70" t="s">
        <v>2221</v>
      </c>
      <c r="AA303" s="70"/>
      <c r="AB303" s="70"/>
      <c r="AC303" s="70" t="s">
        <v>2221</v>
      </c>
      <c r="AD303" s="70" t="s">
        <v>2221</v>
      </c>
      <c r="AE303" s="70" t="s">
        <v>2221</v>
      </c>
      <c r="AF303" s="70" t="s">
        <v>2221</v>
      </c>
      <c r="AG303" s="70" t="s">
        <v>2221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2221</v>
      </c>
      <c r="W304" s="70" t="s">
        <v>2221</v>
      </c>
      <c r="X304" s="70" t="s">
        <v>2221</v>
      </c>
      <c r="Y304" s="70" t="s">
        <v>2221</v>
      </c>
      <c r="Z304" s="70" t="s">
        <v>2221</v>
      </c>
      <c r="AA304" s="70"/>
      <c r="AB304" s="70"/>
      <c r="AC304" s="70" t="s">
        <v>2221</v>
      </c>
      <c r="AD304" s="70" t="s">
        <v>2221</v>
      </c>
      <c r="AE304" s="70" t="s">
        <v>2221</v>
      </c>
      <c r="AF304" s="70" t="s">
        <v>2221</v>
      </c>
      <c r="AG304" s="70" t="s">
        <v>2221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2333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2347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2221</v>
      </c>
      <c r="W307" s="70" t="s">
        <v>2221</v>
      </c>
      <c r="X307" s="70" t="s">
        <v>2221</v>
      </c>
      <c r="Y307" s="70" t="s">
        <v>2221</v>
      </c>
      <c r="Z307" s="70" t="s">
        <v>2221</v>
      </c>
      <c r="AA307" s="70"/>
      <c r="AB307" s="70"/>
      <c r="AC307" s="70" t="s">
        <v>2221</v>
      </c>
      <c r="AD307" s="70" t="s">
        <v>2221</v>
      </c>
      <c r="AE307" s="70" t="s">
        <v>2221</v>
      </c>
      <c r="AF307" s="70" t="s">
        <v>2221</v>
      </c>
      <c r="AG307" s="70" t="s">
        <v>2221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7.25" customHeight="1" thickBot="1" x14ac:dyDescent="0.3">
      <c r="A308" s="69"/>
      <c r="B308" s="69"/>
      <c r="C308" s="69"/>
      <c r="D308" s="69"/>
      <c r="E308" t="s">
        <v>2347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10</v>
      </c>
      <c r="P308" s="140" t="s">
        <v>1866</v>
      </c>
      <c r="Q308" s="139">
        <f t="shared" si="32"/>
        <v>18</v>
      </c>
      <c r="R308" s="141">
        <f t="shared" si="33"/>
        <v>0.35714285714285715</v>
      </c>
      <c r="S308" s="142"/>
      <c r="T308" s="142"/>
      <c r="U308" s="142"/>
      <c r="V308" s="70" t="s">
        <v>2221</v>
      </c>
      <c r="W308" s="70" t="s">
        <v>2221</v>
      </c>
      <c r="X308" s="70" t="s">
        <v>2221</v>
      </c>
      <c r="Y308" s="70" t="s">
        <v>2221</v>
      </c>
      <c r="Z308" s="70" t="s">
        <v>2221</v>
      </c>
      <c r="AA308" s="142"/>
      <c r="AB308" s="142"/>
      <c r="AC308" s="70" t="s">
        <v>2221</v>
      </c>
      <c r="AD308" s="70" t="s">
        <v>2221</v>
      </c>
      <c r="AE308" s="70" t="s">
        <v>2221</v>
      </c>
      <c r="AF308" s="70" t="s">
        <v>2221</v>
      </c>
      <c r="AG308" s="70" t="s">
        <v>2221</v>
      </c>
      <c r="AH308" s="70"/>
      <c r="AI308" s="70"/>
      <c r="AJ308" s="70" t="s">
        <v>2221</v>
      </c>
      <c r="AK308" s="70" t="s">
        <v>2221</v>
      </c>
      <c r="AL308" s="70" t="s">
        <v>2221</v>
      </c>
      <c r="AM308" s="70" t="s">
        <v>2221</v>
      </c>
      <c r="AN308" s="70" t="s">
        <v>2221</v>
      </c>
      <c r="AO308" s="70"/>
      <c r="AP308" s="70"/>
      <c r="AQ308" s="142"/>
      <c r="AR308" s="70" t="s">
        <v>2221</v>
      </c>
      <c r="AS308" s="70" t="s">
        <v>2221</v>
      </c>
      <c r="AT308" s="70" t="s">
        <v>2221</v>
      </c>
      <c r="AU308" s="70" t="s">
        <v>2221</v>
      </c>
      <c r="AV308" s="70"/>
      <c r="AW308" s="73"/>
    </row>
    <row r="309" spans="1:49" s="69" customFormat="1" ht="16.5" customHeight="1" thickBot="1" x14ac:dyDescent="0.3">
      <c r="A309"/>
      <c r="B309"/>
      <c r="C309"/>
      <c r="D309"/>
      <c r="E309" t="s">
        <v>2347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26</v>
      </c>
      <c r="P309" s="136" t="s">
        <v>1867</v>
      </c>
      <c r="Q309" s="31">
        <f t="shared" si="32"/>
        <v>2</v>
      </c>
      <c r="R309" s="32">
        <f t="shared" si="33"/>
        <v>0.9285714285714286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 t="s">
        <v>2221</v>
      </c>
      <c r="AT309" s="70" t="s">
        <v>2221</v>
      </c>
      <c r="AU309" s="70" t="s">
        <v>2221</v>
      </c>
      <c r="AV309" s="70"/>
      <c r="AW309" s="73"/>
    </row>
    <row r="310" spans="1:49" ht="15.75" thickBot="1" x14ac:dyDescent="0.3">
      <c r="A310"/>
      <c r="B310"/>
      <c r="C310"/>
      <c r="D310"/>
      <c r="E310" t="s">
        <v>2347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2221</v>
      </c>
      <c r="W310" s="70" t="s">
        <v>2221</v>
      </c>
      <c r="X310" s="70" t="s">
        <v>2221</v>
      </c>
      <c r="Y310" s="70" t="s">
        <v>2221</v>
      </c>
      <c r="Z310" s="70" t="s">
        <v>2221</v>
      </c>
      <c r="AA310" s="70"/>
      <c r="AB310" s="70"/>
      <c r="AC310" s="70" t="s">
        <v>2221</v>
      </c>
      <c r="AD310" s="70" t="s">
        <v>2221</v>
      </c>
      <c r="AE310" s="70" t="s">
        <v>2221</v>
      </c>
      <c r="AF310" s="70" t="s">
        <v>2221</v>
      </c>
      <c r="AG310" s="70" t="s">
        <v>2221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2221</v>
      </c>
      <c r="W312" s="70" t="s">
        <v>2221</v>
      </c>
      <c r="X312" s="70" t="s">
        <v>2221</v>
      </c>
      <c r="Y312" s="70" t="s">
        <v>2221</v>
      </c>
      <c r="Z312" s="70" t="s">
        <v>2221</v>
      </c>
      <c r="AA312" s="70"/>
      <c r="AB312" s="70"/>
      <c r="AC312" s="70" t="s">
        <v>2221</v>
      </c>
      <c r="AD312" s="70" t="s">
        <v>2221</v>
      </c>
      <c r="AE312" s="70" t="s">
        <v>2221</v>
      </c>
      <c r="AF312" s="70" t="s">
        <v>2221</v>
      </c>
      <c r="AG312" s="70" t="s">
        <v>2221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2445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2221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2334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2463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2446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10</v>
      </c>
      <c r="P317" s="136" t="s">
        <v>1877</v>
      </c>
      <c r="Q317" s="131">
        <f t="shared" si="32"/>
        <v>18</v>
      </c>
      <c r="R317" s="132">
        <f t="shared" si="33"/>
        <v>0.35714285714285715</v>
      </c>
      <c r="S317" s="70"/>
      <c r="T317" s="70"/>
      <c r="U317" s="70"/>
      <c r="V317" s="70" t="s">
        <v>2221</v>
      </c>
      <c r="W317" s="70" t="s">
        <v>2221</v>
      </c>
      <c r="X317" s="70" t="s">
        <v>2221</v>
      </c>
      <c r="Y317" s="70" t="s">
        <v>2221</v>
      </c>
      <c r="Z317" s="70" t="s">
        <v>2221</v>
      </c>
      <c r="AA317" s="70"/>
      <c r="AB317" s="70"/>
      <c r="AC317" s="70" t="s">
        <v>2221</v>
      </c>
      <c r="AD317" s="70" t="s">
        <v>2221</v>
      </c>
      <c r="AE317" s="70" t="s">
        <v>2221</v>
      </c>
      <c r="AF317" s="70" t="s">
        <v>2221</v>
      </c>
      <c r="AG317" s="70" t="s">
        <v>2221</v>
      </c>
      <c r="AH317" s="70"/>
      <c r="AI317" s="70"/>
      <c r="AJ317" s="70" t="s">
        <v>2221</v>
      </c>
      <c r="AK317" s="70" t="s">
        <v>2221</v>
      </c>
      <c r="AL317" s="70" t="s">
        <v>2221</v>
      </c>
      <c r="AM317" s="70" t="s">
        <v>2221</v>
      </c>
      <c r="AN317" s="70" t="s">
        <v>2221</v>
      </c>
      <c r="AO317" s="70"/>
      <c r="AP317" s="70"/>
      <c r="AQ317" s="70"/>
      <c r="AR317" s="70" t="s">
        <v>2221</v>
      </c>
      <c r="AS317" s="70" t="s">
        <v>2221</v>
      </c>
      <c r="AT317" s="70" t="s">
        <v>2221</v>
      </c>
      <c r="AU317" s="70" t="s">
        <v>2221</v>
      </c>
      <c r="AV317" s="70"/>
    </row>
    <row r="318" spans="1:49" ht="15.75" thickBot="1" x14ac:dyDescent="0.3">
      <c r="A318"/>
      <c r="B318"/>
      <c r="C318"/>
      <c r="D318"/>
      <c r="E318" t="s">
        <v>2446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2104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10</v>
      </c>
      <c r="P319" s="136" t="s">
        <v>2146</v>
      </c>
      <c r="Q319" s="131">
        <f t="shared" si="32"/>
        <v>18</v>
      </c>
      <c r="R319" s="132">
        <f t="shared" si="33"/>
        <v>0.35714285714285715</v>
      </c>
      <c r="S319" s="70"/>
      <c r="T319" s="70"/>
      <c r="U319" s="70"/>
      <c r="V319" s="70" t="s">
        <v>2221</v>
      </c>
      <c r="W319" s="70" t="s">
        <v>2221</v>
      </c>
      <c r="X319" s="70" t="s">
        <v>2221</v>
      </c>
      <c r="Y319" s="70" t="s">
        <v>2221</v>
      </c>
      <c r="Z319" s="70" t="s">
        <v>2221</v>
      </c>
      <c r="AA319" s="70"/>
      <c r="AB319" s="70"/>
      <c r="AC319" s="70" t="s">
        <v>2221</v>
      </c>
      <c r="AD319" s="70" t="s">
        <v>2221</v>
      </c>
      <c r="AE319" s="70" t="s">
        <v>2221</v>
      </c>
      <c r="AF319" s="70" t="s">
        <v>2221</v>
      </c>
      <c r="AG319" s="70" t="s">
        <v>2221</v>
      </c>
      <c r="AH319" s="70"/>
      <c r="AI319" s="70"/>
      <c r="AJ319" s="70" t="s">
        <v>2221</v>
      </c>
      <c r="AK319" s="70" t="s">
        <v>2221</v>
      </c>
      <c r="AL319" s="70" t="s">
        <v>2221</v>
      </c>
      <c r="AM319" s="70" t="s">
        <v>2221</v>
      </c>
      <c r="AN319" s="70" t="s">
        <v>2221</v>
      </c>
      <c r="AO319" s="70"/>
      <c r="AP319" s="70"/>
      <c r="AQ319" s="70"/>
      <c r="AR319" s="70" t="s">
        <v>2221</v>
      </c>
      <c r="AS319" s="70" t="s">
        <v>2221</v>
      </c>
      <c r="AT319" s="70" t="s">
        <v>2221</v>
      </c>
      <c r="AU319" s="70" t="s">
        <v>2221</v>
      </c>
      <c r="AV319" s="70"/>
    </row>
    <row r="320" spans="1:49" s="69" customFormat="1" ht="15.75" thickBot="1" x14ac:dyDescent="0.3">
      <c r="A320"/>
      <c r="B320"/>
      <c r="C320"/>
      <c r="D320"/>
      <c r="E320" t="s">
        <v>2445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19</v>
      </c>
      <c r="P320" s="136" t="s">
        <v>1881</v>
      </c>
      <c r="Q320" s="31">
        <f t="shared" si="32"/>
        <v>9</v>
      </c>
      <c r="R320" s="32">
        <f t="shared" si="33"/>
        <v>0.6785714285714286</v>
      </c>
      <c r="S320" s="70"/>
      <c r="T320" s="70"/>
      <c r="U320" s="70"/>
      <c r="V320" s="70" t="s">
        <v>2221</v>
      </c>
      <c r="W320" s="70" t="s">
        <v>2221</v>
      </c>
      <c r="X320" s="70"/>
      <c r="Y320" s="70" t="s">
        <v>2221</v>
      </c>
      <c r="Z320" s="70"/>
      <c r="AA320" s="70"/>
      <c r="AB320" s="70"/>
      <c r="AC320" s="70"/>
      <c r="AD320" s="70" t="s">
        <v>2221</v>
      </c>
      <c r="AE320" s="70" t="s">
        <v>2221</v>
      </c>
      <c r="AF320" s="70"/>
      <c r="AG320" s="70"/>
      <c r="AH320" s="70"/>
      <c r="AI320" s="70"/>
      <c r="AJ320" s="70" t="s">
        <v>2221</v>
      </c>
      <c r="AK320" s="70" t="s">
        <v>2221</v>
      </c>
      <c r="AL320" s="70" t="s">
        <v>2221</v>
      </c>
      <c r="AM320" s="70"/>
      <c r="AN320" s="70" t="s">
        <v>2221</v>
      </c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2445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2221</v>
      </c>
      <c r="AK321" s="70" t="s">
        <v>2221</v>
      </c>
      <c r="AL321" s="70" t="s">
        <v>2221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2333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2445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2221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2445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2221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2334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2446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10</v>
      </c>
      <c r="P326" s="136" t="s">
        <v>1878</v>
      </c>
      <c r="Q326" s="31">
        <f t="shared" si="32"/>
        <v>18</v>
      </c>
      <c r="R326" s="32">
        <f t="shared" si="33"/>
        <v>0.35714285714285715</v>
      </c>
      <c r="S326" s="70"/>
      <c r="T326" s="70"/>
      <c r="U326" s="70"/>
      <c r="V326" s="70" t="s">
        <v>2221</v>
      </c>
      <c r="W326" s="70" t="s">
        <v>2221</v>
      </c>
      <c r="X326" s="70" t="s">
        <v>2221</v>
      </c>
      <c r="Y326" s="70" t="s">
        <v>2221</v>
      </c>
      <c r="Z326" s="70" t="s">
        <v>2221</v>
      </c>
      <c r="AA326" s="70"/>
      <c r="AB326" s="70"/>
      <c r="AC326" s="70" t="s">
        <v>2221</v>
      </c>
      <c r="AD326" s="70" t="s">
        <v>2221</v>
      </c>
      <c r="AE326" s="70" t="s">
        <v>2221</v>
      </c>
      <c r="AF326" s="70" t="s">
        <v>2221</v>
      </c>
      <c r="AG326" s="70" t="s">
        <v>2221</v>
      </c>
      <c r="AH326" s="70"/>
      <c r="AI326" s="70"/>
      <c r="AJ326" s="70" t="s">
        <v>2221</v>
      </c>
      <c r="AK326" s="70" t="s">
        <v>2221</v>
      </c>
      <c r="AL326" s="70" t="s">
        <v>2221</v>
      </c>
      <c r="AM326" s="70" t="s">
        <v>2221</v>
      </c>
      <c r="AN326" s="70" t="s">
        <v>2221</v>
      </c>
      <c r="AO326" s="70"/>
      <c r="AP326" s="70"/>
      <c r="AQ326" s="70"/>
      <c r="AR326" s="70" t="s">
        <v>2221</v>
      </c>
      <c r="AS326" s="70" t="s">
        <v>2221</v>
      </c>
      <c r="AT326" s="70" t="s">
        <v>2221</v>
      </c>
      <c r="AU326" s="70" t="s">
        <v>2221</v>
      </c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10</v>
      </c>
      <c r="P327" s="136" t="s">
        <v>1879</v>
      </c>
      <c r="Q327" s="131">
        <f t="shared" si="32"/>
        <v>18</v>
      </c>
      <c r="R327" s="132">
        <f t="shared" si="33"/>
        <v>0.35714285714285715</v>
      </c>
      <c r="S327" s="70"/>
      <c r="T327" s="70"/>
      <c r="U327" s="70"/>
      <c r="V327" s="70" t="s">
        <v>2221</v>
      </c>
      <c r="W327" s="70" t="s">
        <v>2221</v>
      </c>
      <c r="X327" s="70" t="s">
        <v>2221</v>
      </c>
      <c r="Y327" s="70" t="s">
        <v>2221</v>
      </c>
      <c r="Z327" s="70" t="s">
        <v>2221</v>
      </c>
      <c r="AA327" s="70"/>
      <c r="AB327" s="70"/>
      <c r="AC327" s="70" t="s">
        <v>2221</v>
      </c>
      <c r="AD327" s="70" t="s">
        <v>2221</v>
      </c>
      <c r="AE327" s="70" t="s">
        <v>2221</v>
      </c>
      <c r="AF327" s="70" t="s">
        <v>2221</v>
      </c>
      <c r="AG327" s="70" t="s">
        <v>2221</v>
      </c>
      <c r="AH327" s="70"/>
      <c r="AI327" s="70"/>
      <c r="AJ327" s="70" t="s">
        <v>2221</v>
      </c>
      <c r="AK327" s="70" t="s">
        <v>2221</v>
      </c>
      <c r="AL327" s="70" t="s">
        <v>2221</v>
      </c>
      <c r="AM327" s="70" t="s">
        <v>2221</v>
      </c>
      <c r="AN327" s="70" t="s">
        <v>2221</v>
      </c>
      <c r="AO327" s="70"/>
      <c r="AP327" s="70"/>
      <c r="AQ327" s="70"/>
      <c r="AR327" s="70" t="s">
        <v>2221</v>
      </c>
      <c r="AS327" s="70" t="s">
        <v>2221</v>
      </c>
      <c r="AT327" s="70" t="s">
        <v>2221</v>
      </c>
      <c r="AU327" s="70" t="s">
        <v>2221</v>
      </c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10</v>
      </c>
      <c r="P328" s="136" t="s">
        <v>1880</v>
      </c>
      <c r="Q328" s="131">
        <f t="shared" si="32"/>
        <v>18</v>
      </c>
      <c r="R328" s="132">
        <f t="shared" si="33"/>
        <v>0.35714285714285715</v>
      </c>
      <c r="S328" s="70"/>
      <c r="T328" s="70"/>
      <c r="U328" s="70"/>
      <c r="V328" s="70" t="s">
        <v>2221</v>
      </c>
      <c r="W328" s="70" t="s">
        <v>2221</v>
      </c>
      <c r="X328" s="70" t="s">
        <v>2221</v>
      </c>
      <c r="Y328" s="70" t="s">
        <v>2221</v>
      </c>
      <c r="Z328" s="70" t="s">
        <v>2221</v>
      </c>
      <c r="AA328" s="70"/>
      <c r="AB328" s="71"/>
      <c r="AC328" s="70" t="s">
        <v>2221</v>
      </c>
      <c r="AD328" s="70" t="s">
        <v>2221</v>
      </c>
      <c r="AE328" s="70" t="s">
        <v>2221</v>
      </c>
      <c r="AF328" s="70" t="s">
        <v>2221</v>
      </c>
      <c r="AG328" s="70" t="s">
        <v>2221</v>
      </c>
      <c r="AH328" s="70"/>
      <c r="AI328" s="70"/>
      <c r="AJ328" s="70" t="s">
        <v>2221</v>
      </c>
      <c r="AK328" s="70" t="s">
        <v>2221</v>
      </c>
      <c r="AL328" s="70" t="s">
        <v>2221</v>
      </c>
      <c r="AM328" s="70" t="s">
        <v>2221</v>
      </c>
      <c r="AN328" s="70" t="s">
        <v>2221</v>
      </c>
      <c r="AO328" s="70"/>
      <c r="AP328" s="70"/>
      <c r="AQ328" s="70"/>
      <c r="AR328" s="70" t="s">
        <v>2221</v>
      </c>
      <c r="AS328" s="70" t="s">
        <v>2221</v>
      </c>
      <c r="AT328" s="70" t="s">
        <v>2221</v>
      </c>
      <c r="AU328" s="70" t="s">
        <v>2221</v>
      </c>
      <c r="AV328" s="70"/>
    </row>
    <row r="329" spans="1:49" ht="15.75" thickBot="1" x14ac:dyDescent="0.3">
      <c r="A329"/>
      <c r="B329"/>
      <c r="C329"/>
      <c r="D329"/>
      <c r="E329" t="s">
        <v>2445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2221</v>
      </c>
      <c r="AK329" s="70" t="s">
        <v>2221</v>
      </c>
      <c r="AL329" s="70" t="s">
        <v>2221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2373</v>
      </c>
      <c r="C330"/>
      <c r="D330"/>
      <c r="E330" t="s">
        <v>2372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2221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2347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2221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2221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2221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2361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10</v>
      </c>
      <c r="P339" s="136" t="s">
        <v>1893</v>
      </c>
      <c r="Q339" s="31">
        <f t="shared" si="35"/>
        <v>18</v>
      </c>
      <c r="R339" s="32">
        <f t="shared" si="36"/>
        <v>0.35714285714285715</v>
      </c>
      <c r="S339" s="70"/>
      <c r="T339" s="70"/>
      <c r="U339" s="70"/>
      <c r="V339" s="70" t="s">
        <v>2221</v>
      </c>
      <c r="W339" s="70" t="s">
        <v>2221</v>
      </c>
      <c r="X339" s="70" t="s">
        <v>2221</v>
      </c>
      <c r="Y339" s="70" t="s">
        <v>2221</v>
      </c>
      <c r="Z339" s="70" t="s">
        <v>2221</v>
      </c>
      <c r="AA339" s="70"/>
      <c r="AB339" s="70"/>
      <c r="AC339" s="70" t="s">
        <v>2221</v>
      </c>
      <c r="AD339" s="70" t="s">
        <v>2221</v>
      </c>
      <c r="AE339" s="70" t="s">
        <v>2221</v>
      </c>
      <c r="AF339" s="70" t="s">
        <v>2221</v>
      </c>
      <c r="AG339" s="70" t="s">
        <v>2221</v>
      </c>
      <c r="AH339" s="70"/>
      <c r="AI339" s="70"/>
      <c r="AJ339" s="70" t="s">
        <v>2221</v>
      </c>
      <c r="AK339" s="70" t="s">
        <v>2221</v>
      </c>
      <c r="AL339" s="70" t="s">
        <v>2221</v>
      </c>
      <c r="AM339" s="70" t="s">
        <v>2221</v>
      </c>
      <c r="AN339" s="70" t="s">
        <v>2221</v>
      </c>
      <c r="AO339" s="70"/>
      <c r="AP339" s="70"/>
      <c r="AQ339" s="70"/>
      <c r="AR339" s="70" t="s">
        <v>2221</v>
      </c>
      <c r="AS339" s="70" t="s">
        <v>2221</v>
      </c>
      <c r="AT339" s="70" t="s">
        <v>2221</v>
      </c>
      <c r="AU339" s="70" t="s">
        <v>2221</v>
      </c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2221</v>
      </c>
      <c r="AD340" s="70"/>
      <c r="AE340" s="70"/>
      <c r="AF340" s="70"/>
      <c r="AG340" s="70" t="s">
        <v>2221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2221</v>
      </c>
      <c r="AD341" s="70"/>
      <c r="AE341" s="70"/>
      <c r="AF341" s="70"/>
      <c r="AG341" s="70" t="s">
        <v>2221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2221</v>
      </c>
      <c r="AD342" s="70"/>
      <c r="AE342" s="70"/>
      <c r="AF342" s="70"/>
      <c r="AG342" s="70" t="s">
        <v>2221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2193</v>
      </c>
      <c r="H343" t="s">
        <v>1042</v>
      </c>
      <c r="I343" s="68" t="s">
        <v>2179</v>
      </c>
      <c r="J343" s="84" t="s">
        <v>14</v>
      </c>
      <c r="K343" s="30" t="s">
        <v>27</v>
      </c>
      <c r="L343" s="30"/>
      <c r="M343" s="30" t="s">
        <v>2194</v>
      </c>
      <c r="N343" s="30"/>
      <c r="O343" s="31">
        <f t="shared" si="34"/>
        <v>26</v>
      </c>
      <c r="P343" s="136" t="s">
        <v>2180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2221</v>
      </c>
      <c r="AD343" s="70"/>
      <c r="AE343" s="70"/>
      <c r="AF343" s="70"/>
      <c r="AG343" s="70" t="s">
        <v>2221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2181</v>
      </c>
      <c r="H344" t="s">
        <v>1042</v>
      </c>
      <c r="I344" s="68" t="s">
        <v>2182</v>
      </c>
      <c r="J344" s="84" t="s">
        <v>14</v>
      </c>
      <c r="K344" s="30" t="s">
        <v>27</v>
      </c>
      <c r="L344" s="30"/>
      <c r="M344" s="30" t="s">
        <v>2284</v>
      </c>
      <c r="N344" s="30"/>
      <c r="O344" s="31">
        <f t="shared" si="34"/>
        <v>26</v>
      </c>
      <c r="P344" s="136" t="s">
        <v>2183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2221</v>
      </c>
      <c r="AD344" s="70"/>
      <c r="AE344" s="70"/>
      <c r="AF344" s="70"/>
      <c r="AG344" s="70" t="s">
        <v>2221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2347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2347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24</v>
      </c>
      <c r="P346" s="136" t="s">
        <v>1902</v>
      </c>
      <c r="Q346" s="31">
        <f t="shared" si="35"/>
        <v>4</v>
      </c>
      <c r="R346" s="32">
        <f t="shared" si="36"/>
        <v>0.8571428571428571</v>
      </c>
      <c r="S346" s="70"/>
      <c r="T346" s="70"/>
      <c r="U346" s="70"/>
      <c r="V346" s="70"/>
      <c r="W346" s="70"/>
      <c r="X346" s="70"/>
      <c r="Y346" s="70" t="s">
        <v>2221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2221</v>
      </c>
      <c r="AL346" s="70"/>
      <c r="AM346" s="70"/>
      <c r="AN346" s="70"/>
      <c r="AO346" s="70"/>
      <c r="AP346" s="70"/>
      <c r="AQ346" s="70"/>
      <c r="AR346" s="70" t="s">
        <v>2221</v>
      </c>
      <c r="AS346" s="70" t="s">
        <v>2221</v>
      </c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26</v>
      </c>
      <c r="P347" s="136" t="s">
        <v>1903</v>
      </c>
      <c r="Q347" s="31">
        <f t="shared" si="35"/>
        <v>2</v>
      </c>
      <c r="R347" s="32">
        <f t="shared" si="36"/>
        <v>0.9285714285714286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 t="s">
        <v>2221</v>
      </c>
      <c r="AS347" s="70" t="s">
        <v>2221</v>
      </c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25</v>
      </c>
      <c r="P348" s="136" t="s">
        <v>1904</v>
      </c>
      <c r="Q348" s="31">
        <f t="shared" si="35"/>
        <v>3</v>
      </c>
      <c r="R348" s="32">
        <f t="shared" si="36"/>
        <v>0.8928571428571429</v>
      </c>
      <c r="S348" s="70"/>
      <c r="T348" s="70"/>
      <c r="U348" s="70"/>
      <c r="V348" s="70"/>
      <c r="W348" s="70"/>
      <c r="X348" s="70"/>
      <c r="Y348" s="70" t="s">
        <v>2221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 t="s">
        <v>2221</v>
      </c>
      <c r="AS348" s="70" t="s">
        <v>2221</v>
      </c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25</v>
      </c>
      <c r="P349" s="136" t="s">
        <v>1905</v>
      </c>
      <c r="Q349" s="31">
        <f t="shared" si="35"/>
        <v>3</v>
      </c>
      <c r="R349" s="32">
        <f t="shared" si="36"/>
        <v>0.8928571428571429</v>
      </c>
      <c r="S349" s="70"/>
      <c r="T349" s="70"/>
      <c r="U349" s="70"/>
      <c r="V349" s="70"/>
      <c r="W349" s="70"/>
      <c r="X349" s="70"/>
      <c r="Y349" s="70" t="s">
        <v>2221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 t="s">
        <v>2221</v>
      </c>
      <c r="AS349" s="70" t="s">
        <v>2221</v>
      </c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27</v>
      </c>
      <c r="P350" s="136" t="s">
        <v>1906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 t="s">
        <v>2221</v>
      </c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27</v>
      </c>
      <c r="P351" s="136" t="s">
        <v>1907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 t="s">
        <v>2221</v>
      </c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10</v>
      </c>
      <c r="P354" s="136"/>
      <c r="Q354" s="31">
        <f t="shared" si="35"/>
        <v>18</v>
      </c>
      <c r="R354" s="32">
        <f t="shared" si="36"/>
        <v>0.35714285714285715</v>
      </c>
      <c r="S354" s="70"/>
      <c r="T354" s="70"/>
      <c r="U354" s="70"/>
      <c r="V354" s="70" t="s">
        <v>2221</v>
      </c>
      <c r="W354" s="70" t="s">
        <v>2221</v>
      </c>
      <c r="X354" s="70" t="s">
        <v>2221</v>
      </c>
      <c r="Y354" s="70" t="s">
        <v>2221</v>
      </c>
      <c r="Z354" s="70" t="s">
        <v>2221</v>
      </c>
      <c r="AA354" s="70"/>
      <c r="AB354" s="70"/>
      <c r="AC354" s="70" t="s">
        <v>2221</v>
      </c>
      <c r="AD354" s="70" t="s">
        <v>2221</v>
      </c>
      <c r="AE354" s="70" t="s">
        <v>2221</v>
      </c>
      <c r="AF354" s="70" t="s">
        <v>2221</v>
      </c>
      <c r="AG354" s="70" t="s">
        <v>2221</v>
      </c>
      <c r="AH354" s="70"/>
      <c r="AI354" s="70"/>
      <c r="AJ354" s="70" t="s">
        <v>2221</v>
      </c>
      <c r="AK354" s="70" t="s">
        <v>2221</v>
      </c>
      <c r="AL354" s="70" t="s">
        <v>2221</v>
      </c>
      <c r="AM354" s="70" t="s">
        <v>2221</v>
      </c>
      <c r="AN354" s="70" t="s">
        <v>2221</v>
      </c>
      <c r="AO354" s="70"/>
      <c r="AP354" s="70"/>
      <c r="AQ354" s="70"/>
      <c r="AR354" s="70" t="s">
        <v>2221</v>
      </c>
      <c r="AS354" s="70" t="s">
        <v>2221</v>
      </c>
      <c r="AT354" s="70" t="s">
        <v>2221</v>
      </c>
      <c r="AU354" s="70" t="s">
        <v>2221</v>
      </c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10</v>
      </c>
      <c r="P355" s="136"/>
      <c r="Q355" s="31">
        <f t="shared" si="35"/>
        <v>18</v>
      </c>
      <c r="R355" s="32">
        <f t="shared" si="36"/>
        <v>0.35714285714285715</v>
      </c>
      <c r="S355" s="70"/>
      <c r="T355" s="70"/>
      <c r="U355" s="70"/>
      <c r="V355" s="70" t="s">
        <v>2221</v>
      </c>
      <c r="W355" s="70" t="s">
        <v>2221</v>
      </c>
      <c r="X355" s="70" t="s">
        <v>2221</v>
      </c>
      <c r="Y355" s="70" t="s">
        <v>2221</v>
      </c>
      <c r="Z355" s="70" t="s">
        <v>2221</v>
      </c>
      <c r="AA355" s="70"/>
      <c r="AB355" s="70"/>
      <c r="AC355" s="70" t="s">
        <v>2221</v>
      </c>
      <c r="AD355" s="70" t="s">
        <v>2221</v>
      </c>
      <c r="AE355" s="70" t="s">
        <v>2221</v>
      </c>
      <c r="AF355" s="70" t="s">
        <v>2221</v>
      </c>
      <c r="AG355" s="70" t="s">
        <v>2221</v>
      </c>
      <c r="AH355" s="70"/>
      <c r="AI355" s="70"/>
      <c r="AJ355" s="70" t="s">
        <v>2221</v>
      </c>
      <c r="AK355" s="70" t="s">
        <v>2221</v>
      </c>
      <c r="AL355" s="70" t="s">
        <v>2221</v>
      </c>
      <c r="AM355" s="70" t="s">
        <v>2221</v>
      </c>
      <c r="AN355" s="70" t="s">
        <v>2221</v>
      </c>
      <c r="AO355" s="70"/>
      <c r="AP355" s="70"/>
      <c r="AQ355" s="70"/>
      <c r="AR355" s="70" t="s">
        <v>2221</v>
      </c>
      <c r="AS355" s="70" t="s">
        <v>2221</v>
      </c>
      <c r="AT355" s="70" t="s">
        <v>2221</v>
      </c>
      <c r="AU355" s="70" t="s">
        <v>2221</v>
      </c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10</v>
      </c>
      <c r="P356" s="136" t="s">
        <v>1910</v>
      </c>
      <c r="Q356" s="31">
        <f t="shared" si="35"/>
        <v>18</v>
      </c>
      <c r="R356" s="32">
        <f t="shared" si="36"/>
        <v>0.35714285714285715</v>
      </c>
      <c r="S356" s="70"/>
      <c r="T356" s="70"/>
      <c r="U356" s="70"/>
      <c r="V356" s="70" t="s">
        <v>2221</v>
      </c>
      <c r="W356" s="70" t="s">
        <v>2221</v>
      </c>
      <c r="X356" s="70" t="s">
        <v>2221</v>
      </c>
      <c r="Y356" s="70" t="s">
        <v>2221</v>
      </c>
      <c r="Z356" s="70" t="s">
        <v>2221</v>
      </c>
      <c r="AA356" s="70"/>
      <c r="AB356" s="70"/>
      <c r="AC356" s="70" t="s">
        <v>2221</v>
      </c>
      <c r="AD356" s="70" t="s">
        <v>2221</v>
      </c>
      <c r="AE356" s="70" t="s">
        <v>2221</v>
      </c>
      <c r="AF356" s="70" t="s">
        <v>2221</v>
      </c>
      <c r="AG356" s="70" t="s">
        <v>2221</v>
      </c>
      <c r="AH356" s="70"/>
      <c r="AI356" s="70"/>
      <c r="AJ356" s="70" t="s">
        <v>2221</v>
      </c>
      <c r="AK356" s="70" t="s">
        <v>2221</v>
      </c>
      <c r="AL356" s="70" t="s">
        <v>2221</v>
      </c>
      <c r="AM356" s="70" t="s">
        <v>2221</v>
      </c>
      <c r="AN356" s="70" t="s">
        <v>2221</v>
      </c>
      <c r="AO356" s="70"/>
      <c r="AP356" s="70"/>
      <c r="AQ356" s="70"/>
      <c r="AR356" s="70" t="s">
        <v>2221</v>
      </c>
      <c r="AS356" s="70" t="s">
        <v>2221</v>
      </c>
      <c r="AT356" s="70" t="s">
        <v>2221</v>
      </c>
      <c r="AU356" s="70" t="s">
        <v>2221</v>
      </c>
      <c r="AV356" s="70"/>
    </row>
    <row r="357" spans="1:49" ht="15.75" thickBot="1" x14ac:dyDescent="0.3">
      <c r="A357"/>
      <c r="B357"/>
      <c r="C357"/>
      <c r="D357"/>
      <c r="E357" t="s">
        <v>2347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10</v>
      </c>
      <c r="P359" s="136" t="s">
        <v>1899</v>
      </c>
      <c r="Q359" s="31">
        <f t="shared" si="35"/>
        <v>18</v>
      </c>
      <c r="R359" s="32">
        <f t="shared" si="36"/>
        <v>0.35714285714285715</v>
      </c>
      <c r="S359" s="70"/>
      <c r="T359" s="70"/>
      <c r="U359" s="70"/>
      <c r="V359" s="70" t="s">
        <v>2221</v>
      </c>
      <c r="W359" s="70" t="s">
        <v>2221</v>
      </c>
      <c r="X359" s="70" t="s">
        <v>2221</v>
      </c>
      <c r="Y359" s="70" t="s">
        <v>2221</v>
      </c>
      <c r="Z359" s="70" t="s">
        <v>2221</v>
      </c>
      <c r="AA359" s="70"/>
      <c r="AB359" s="70"/>
      <c r="AC359" s="70" t="s">
        <v>2221</v>
      </c>
      <c r="AD359" s="70" t="s">
        <v>2221</v>
      </c>
      <c r="AE359" s="70" t="s">
        <v>2221</v>
      </c>
      <c r="AF359" s="70" t="s">
        <v>2221</v>
      </c>
      <c r="AG359" s="70" t="s">
        <v>2221</v>
      </c>
      <c r="AH359" s="70"/>
      <c r="AI359" s="70"/>
      <c r="AJ359" s="70" t="s">
        <v>2221</v>
      </c>
      <c r="AK359" s="70" t="s">
        <v>2221</v>
      </c>
      <c r="AL359" s="70" t="s">
        <v>2221</v>
      </c>
      <c r="AM359" s="70" t="s">
        <v>2221</v>
      </c>
      <c r="AN359" s="70" t="s">
        <v>2221</v>
      </c>
      <c r="AO359" s="70"/>
      <c r="AP359" s="70"/>
      <c r="AQ359" s="70"/>
      <c r="AR359" s="70" t="s">
        <v>2221</v>
      </c>
      <c r="AS359" s="70" t="s">
        <v>2221</v>
      </c>
      <c r="AT359" s="70" t="s">
        <v>2221</v>
      </c>
      <c r="AU359" s="70" t="s">
        <v>2221</v>
      </c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10</v>
      </c>
      <c r="P360" s="136" t="s">
        <v>1900</v>
      </c>
      <c r="Q360" s="31">
        <f t="shared" si="35"/>
        <v>18</v>
      </c>
      <c r="R360" s="32">
        <f t="shared" si="36"/>
        <v>0.35714285714285715</v>
      </c>
      <c r="S360" s="70"/>
      <c r="T360" s="70"/>
      <c r="U360" s="70"/>
      <c r="V360" s="70" t="s">
        <v>2221</v>
      </c>
      <c r="W360" s="70" t="s">
        <v>2221</v>
      </c>
      <c r="X360" s="70" t="s">
        <v>2221</v>
      </c>
      <c r="Y360" s="70" t="s">
        <v>2221</v>
      </c>
      <c r="Z360" s="70" t="s">
        <v>2221</v>
      </c>
      <c r="AA360" s="70"/>
      <c r="AB360" s="70"/>
      <c r="AC360" s="70" t="s">
        <v>2221</v>
      </c>
      <c r="AD360" s="70" t="s">
        <v>2221</v>
      </c>
      <c r="AE360" s="70" t="s">
        <v>2221</v>
      </c>
      <c r="AF360" s="70" t="s">
        <v>2221</v>
      </c>
      <c r="AG360" s="70" t="s">
        <v>2221</v>
      </c>
      <c r="AH360" s="70"/>
      <c r="AI360" s="70"/>
      <c r="AJ360" s="70" t="s">
        <v>2221</v>
      </c>
      <c r="AK360" s="70" t="s">
        <v>2221</v>
      </c>
      <c r="AL360" s="70" t="s">
        <v>2221</v>
      </c>
      <c r="AM360" s="70" t="s">
        <v>2221</v>
      </c>
      <c r="AN360" s="70" t="s">
        <v>2221</v>
      </c>
      <c r="AO360" s="70"/>
      <c r="AP360" s="70"/>
      <c r="AQ360" s="70"/>
      <c r="AR360" s="70" t="s">
        <v>2221</v>
      </c>
      <c r="AS360" s="70" t="s">
        <v>2221</v>
      </c>
      <c r="AT360" s="70" t="s">
        <v>2221</v>
      </c>
      <c r="AU360" s="70" t="s">
        <v>2221</v>
      </c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2399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2327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2176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2285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2366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10</v>
      </c>
      <c r="P374" s="136" t="s">
        <v>1923</v>
      </c>
      <c r="Q374" s="31">
        <f t="shared" si="35"/>
        <v>18</v>
      </c>
      <c r="R374" s="32">
        <f t="shared" si="36"/>
        <v>0.35714285714285715</v>
      </c>
      <c r="S374" s="70"/>
      <c r="T374" s="70"/>
      <c r="U374" s="70"/>
      <c r="V374" s="70" t="s">
        <v>2221</v>
      </c>
      <c r="W374" s="70" t="s">
        <v>2221</v>
      </c>
      <c r="X374" s="70" t="s">
        <v>2221</v>
      </c>
      <c r="Y374" s="70" t="s">
        <v>2221</v>
      </c>
      <c r="Z374" s="70" t="s">
        <v>2221</v>
      </c>
      <c r="AA374" s="70"/>
      <c r="AB374" s="70"/>
      <c r="AC374" s="70" t="s">
        <v>2221</v>
      </c>
      <c r="AD374" s="70" t="s">
        <v>2221</v>
      </c>
      <c r="AE374" s="70" t="s">
        <v>2221</v>
      </c>
      <c r="AF374" s="70" t="s">
        <v>2221</v>
      </c>
      <c r="AG374" s="70" t="s">
        <v>2221</v>
      </c>
      <c r="AH374" s="70"/>
      <c r="AI374" s="70"/>
      <c r="AJ374" s="70" t="s">
        <v>2221</v>
      </c>
      <c r="AK374" s="70" t="s">
        <v>2221</v>
      </c>
      <c r="AL374" s="70" t="s">
        <v>2221</v>
      </c>
      <c r="AM374" s="70" t="s">
        <v>2221</v>
      </c>
      <c r="AN374" s="70" t="s">
        <v>2221</v>
      </c>
      <c r="AO374" s="70"/>
      <c r="AP374" s="70"/>
      <c r="AQ374" s="70"/>
      <c r="AR374" s="70" t="s">
        <v>2221</v>
      </c>
      <c r="AS374" s="70" t="s">
        <v>2221</v>
      </c>
      <c r="AT374" s="70" t="s">
        <v>2221</v>
      </c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2099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2327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2360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2265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2221</v>
      </c>
      <c r="W378" s="70" t="s">
        <v>2221</v>
      </c>
      <c r="X378" s="70" t="s">
        <v>2221</v>
      </c>
      <c r="Y378" s="70" t="s">
        <v>2221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2461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2461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2461</v>
      </c>
      <c r="F381" s="73" t="s">
        <v>371</v>
      </c>
      <c r="G381" s="73" t="s">
        <v>2126</v>
      </c>
      <c r="H381" s="73" t="s">
        <v>1041</v>
      </c>
      <c r="I381" s="73" t="s">
        <v>2127</v>
      </c>
      <c r="J381" s="84" t="s">
        <v>71</v>
      </c>
      <c r="K381" s="30" t="s">
        <v>1278</v>
      </c>
      <c r="L381"/>
      <c r="M381" s="84" t="s">
        <v>2128</v>
      </c>
      <c r="N381" s="84" t="s">
        <v>2265</v>
      </c>
      <c r="O381" s="131">
        <f t="shared" si="34"/>
        <v>28</v>
      </c>
      <c r="P381" s="136" t="s">
        <v>2129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2438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2360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2265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2265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2265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2265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2265</v>
      </c>
      <c r="O387" s="131">
        <f t="shared" si="34"/>
        <v>20</v>
      </c>
      <c r="P387" s="136" t="s">
        <v>2266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2221</v>
      </c>
      <c r="W387" s="70" t="s">
        <v>2221</v>
      </c>
      <c r="X387" s="70" t="s">
        <v>2221</v>
      </c>
      <c r="Y387" s="70"/>
      <c r="Z387" s="70"/>
      <c r="AA387" s="70"/>
      <c r="AB387" s="70"/>
      <c r="AC387" s="70" t="s">
        <v>2221</v>
      </c>
      <c r="AD387" s="70" t="s">
        <v>2221</v>
      </c>
      <c r="AE387" s="70" t="s">
        <v>2221</v>
      </c>
      <c r="AF387" s="70" t="s">
        <v>2221</v>
      </c>
      <c r="AG387" s="70" t="s">
        <v>2221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2363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2221</v>
      </c>
      <c r="Y388" s="70" t="s">
        <v>2221</v>
      </c>
      <c r="Z388" s="70" t="s">
        <v>2221</v>
      </c>
      <c r="AA388" s="87"/>
      <c r="AB388" s="87"/>
      <c r="AC388" s="70" t="s">
        <v>2221</v>
      </c>
      <c r="AD388" s="70" t="s">
        <v>2221</v>
      </c>
      <c r="AE388" s="70" t="s">
        <v>2221</v>
      </c>
      <c r="AF388" s="70" t="s">
        <v>2221</v>
      </c>
      <c r="AG388" s="70" t="s">
        <v>2221</v>
      </c>
      <c r="AH388" s="87"/>
      <c r="AI388" s="87"/>
      <c r="AJ388" s="70" t="s">
        <v>2221</v>
      </c>
      <c r="AK388" s="70" t="s">
        <v>2221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2360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2265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2265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2265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2360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2265</v>
      </c>
      <c r="O392" s="139">
        <f t="shared" si="34"/>
        <v>10</v>
      </c>
      <c r="P392" s="140" t="s">
        <v>1942</v>
      </c>
      <c r="Q392" s="139">
        <f t="shared" si="35"/>
        <v>18</v>
      </c>
      <c r="R392" s="141">
        <f t="shared" si="36"/>
        <v>0.35714285714285715</v>
      </c>
      <c r="S392" s="142"/>
      <c r="T392" s="142"/>
      <c r="U392" s="142"/>
      <c r="V392" s="70" t="s">
        <v>2221</v>
      </c>
      <c r="W392" s="70" t="s">
        <v>2221</v>
      </c>
      <c r="X392" s="70" t="s">
        <v>2221</v>
      </c>
      <c r="Y392" s="70" t="s">
        <v>2221</v>
      </c>
      <c r="Z392" s="70" t="s">
        <v>2221</v>
      </c>
      <c r="AA392" s="142"/>
      <c r="AB392" s="142"/>
      <c r="AC392" s="70" t="s">
        <v>2221</v>
      </c>
      <c r="AD392" s="70" t="s">
        <v>2221</v>
      </c>
      <c r="AE392" s="70" t="s">
        <v>2221</v>
      </c>
      <c r="AF392" s="70" t="s">
        <v>2221</v>
      </c>
      <c r="AG392" s="70" t="s">
        <v>2221</v>
      </c>
      <c r="AH392" s="70"/>
      <c r="AI392" s="70"/>
      <c r="AJ392" s="70" t="s">
        <v>2221</v>
      </c>
      <c r="AK392" s="70" t="s">
        <v>2221</v>
      </c>
      <c r="AL392" s="70" t="s">
        <v>2221</v>
      </c>
      <c r="AM392" s="70" t="s">
        <v>2221</v>
      </c>
      <c r="AN392" s="70" t="s">
        <v>2221</v>
      </c>
      <c r="AO392" s="70"/>
      <c r="AP392" s="70"/>
      <c r="AQ392" s="142"/>
      <c r="AR392" s="70" t="s">
        <v>2221</v>
      </c>
      <c r="AS392" s="70" t="s">
        <v>2221</v>
      </c>
      <c r="AT392" s="70" t="s">
        <v>2221</v>
      </c>
      <c r="AU392" s="70" t="s">
        <v>2221</v>
      </c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389</v>
      </c>
      <c r="G393" t="s">
        <v>885</v>
      </c>
      <c r="H393" t="s">
        <v>1041</v>
      </c>
      <c r="I393" t="s">
        <v>886</v>
      </c>
      <c r="J393" s="30" t="s">
        <v>18</v>
      </c>
      <c r="K393" s="30" t="s">
        <v>27</v>
      </c>
      <c r="L393" s="30"/>
      <c r="M393" s="30" t="s">
        <v>892</v>
      </c>
      <c r="N393" s="30" t="s">
        <v>2265</v>
      </c>
      <c r="O393" s="31">
        <f t="shared" ref="O393:O456" si="37">COUNTIF(S393:AT393,"")</f>
        <v>11</v>
      </c>
      <c r="P393" s="143" t="s">
        <v>1943</v>
      </c>
      <c r="Q393" s="31">
        <f t="shared" ref="Q393:Q456" si="38">COUNTIF(S393:AT393,"APAGADO")</f>
        <v>17</v>
      </c>
      <c r="R393" s="158">
        <f t="shared" ref="R393:R456" si="39">(O393)/(Q393+O393)</f>
        <v>0.39285714285714285</v>
      </c>
      <c r="S393" s="138"/>
      <c r="T393" s="138"/>
      <c r="U393" s="138"/>
      <c r="V393" s="138" t="s">
        <v>2221</v>
      </c>
      <c r="W393" s="138" t="s">
        <v>2221</v>
      </c>
      <c r="X393" s="138" t="s">
        <v>2221</v>
      </c>
      <c r="Y393" s="138" t="s">
        <v>2221</v>
      </c>
      <c r="Z393" s="138" t="s">
        <v>2221</v>
      </c>
      <c r="AA393" s="138"/>
      <c r="AB393" s="138"/>
      <c r="AC393" s="138" t="s">
        <v>2221</v>
      </c>
      <c r="AD393" s="138" t="s">
        <v>2221</v>
      </c>
      <c r="AE393" s="138" t="s">
        <v>2221</v>
      </c>
      <c r="AF393" s="138" t="s">
        <v>2221</v>
      </c>
      <c r="AG393" s="138" t="s">
        <v>2221</v>
      </c>
      <c r="AH393" s="138"/>
      <c r="AI393" s="138"/>
      <c r="AJ393" s="138" t="s">
        <v>2221</v>
      </c>
      <c r="AK393" s="138" t="s">
        <v>2221</v>
      </c>
      <c r="AL393" s="138" t="s">
        <v>2221</v>
      </c>
      <c r="AM393" s="138" t="s">
        <v>2221</v>
      </c>
      <c r="AN393" s="138" t="s">
        <v>2221</v>
      </c>
      <c r="AO393" s="138"/>
      <c r="AP393" s="138"/>
      <c r="AQ393" s="138"/>
      <c r="AR393" s="138" t="s">
        <v>2221</v>
      </c>
      <c r="AS393" s="138" t="s">
        <v>2221</v>
      </c>
      <c r="AT393" s="138"/>
      <c r="AU393" s="138"/>
      <c r="AV393" s="138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2265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2221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2286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2360</v>
      </c>
      <c r="F398" t="s">
        <v>389</v>
      </c>
      <c r="G398" t="s">
        <v>1597</v>
      </c>
      <c r="H398" t="s">
        <v>1041</v>
      </c>
      <c r="I398" t="s">
        <v>2255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2402</v>
      </c>
      <c r="Q398" s="136" t="s">
        <v>2403</v>
      </c>
      <c r="R398" s="136" t="s">
        <v>2404</v>
      </c>
      <c r="S398" s="136" t="s">
        <v>2405</v>
      </c>
      <c r="T398" s="136" t="s">
        <v>2406</v>
      </c>
      <c r="U398" s="136" t="s">
        <v>2407</v>
      </c>
      <c r="V398" s="136" t="s">
        <v>2408</v>
      </c>
      <c r="W398" s="136" t="s">
        <v>2409</v>
      </c>
      <c r="X398" s="136" t="s">
        <v>2410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2215</v>
      </c>
      <c r="H399" t="s">
        <v>1041</v>
      </c>
      <c r="I399" t="s">
        <v>2216</v>
      </c>
      <c r="J399" s="30" t="s">
        <v>18</v>
      </c>
      <c r="K399" s="84" t="s">
        <v>1278</v>
      </c>
      <c r="L399" s="30"/>
      <c r="M399" s="84" t="s">
        <v>2287</v>
      </c>
      <c r="N399" s="84"/>
      <c r="O399" s="31">
        <f t="shared" si="37"/>
        <v>28</v>
      </c>
      <c r="P399" s="136" t="s">
        <v>2411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10</v>
      </c>
      <c r="P400" s="136"/>
      <c r="Q400" s="31">
        <f t="shared" si="38"/>
        <v>18</v>
      </c>
      <c r="R400" s="32">
        <f t="shared" si="39"/>
        <v>0.35714285714285715</v>
      </c>
      <c r="S400" s="70"/>
      <c r="T400" s="70"/>
      <c r="U400" s="70"/>
      <c r="V400" s="70" t="s">
        <v>2221</v>
      </c>
      <c r="W400" s="70" t="s">
        <v>2221</v>
      </c>
      <c r="X400" s="70" t="s">
        <v>2221</v>
      </c>
      <c r="Y400" s="70" t="s">
        <v>2221</v>
      </c>
      <c r="Z400" s="70" t="s">
        <v>2221</v>
      </c>
      <c r="AA400" s="70"/>
      <c r="AB400" s="70"/>
      <c r="AC400" s="70" t="s">
        <v>2221</v>
      </c>
      <c r="AD400" s="70" t="s">
        <v>2221</v>
      </c>
      <c r="AE400" s="70" t="s">
        <v>2221</v>
      </c>
      <c r="AF400" s="70" t="s">
        <v>2221</v>
      </c>
      <c r="AG400" s="70" t="s">
        <v>2221</v>
      </c>
      <c r="AH400" s="70"/>
      <c r="AI400" s="70"/>
      <c r="AJ400" s="70" t="s">
        <v>2221</v>
      </c>
      <c r="AK400" s="70" t="s">
        <v>2221</v>
      </c>
      <c r="AL400" s="70" t="s">
        <v>2221</v>
      </c>
      <c r="AM400" s="70" t="s">
        <v>2221</v>
      </c>
      <c r="AN400" s="70" t="s">
        <v>2221</v>
      </c>
      <c r="AO400" s="70"/>
      <c r="AP400" s="70"/>
      <c r="AQ400" s="90"/>
      <c r="AR400" s="70" t="s">
        <v>2221</v>
      </c>
      <c r="AS400" s="70" t="s">
        <v>2221</v>
      </c>
      <c r="AT400" s="70" t="s">
        <v>2221</v>
      </c>
      <c r="AU400" s="70" t="s">
        <v>2221</v>
      </c>
      <c r="AV400" s="70"/>
      <c r="AW400"/>
    </row>
    <row r="401" spans="1:49" ht="15.75" thickBot="1" x14ac:dyDescent="0.3">
      <c r="A401" s="69">
        <v>1</v>
      </c>
      <c r="B401" s="69">
        <v>18</v>
      </c>
      <c r="C401" s="69"/>
      <c r="D401" s="69"/>
      <c r="E401" s="69" t="s">
        <v>2360</v>
      </c>
      <c r="F401" s="69" t="s">
        <v>396</v>
      </c>
      <c r="G401" t="s">
        <v>397</v>
      </c>
      <c r="H401" t="s">
        <v>1041</v>
      </c>
      <c r="I401" t="s">
        <v>398</v>
      </c>
      <c r="J401" s="30" t="s">
        <v>71</v>
      </c>
      <c r="K401" s="30" t="s">
        <v>27</v>
      </c>
      <c r="L401" s="137"/>
      <c r="M401" s="30" t="s">
        <v>774</v>
      </c>
      <c r="N401" s="137" t="s">
        <v>2265</v>
      </c>
      <c r="O401" s="139">
        <f t="shared" si="37"/>
        <v>12</v>
      </c>
      <c r="P401" s="143" t="s">
        <v>1936</v>
      </c>
      <c r="Q401" s="139">
        <f t="shared" si="38"/>
        <v>16</v>
      </c>
      <c r="R401" s="141">
        <f t="shared" si="39"/>
        <v>0.42857142857142855</v>
      </c>
      <c r="S401" s="138"/>
      <c r="T401" s="138"/>
      <c r="U401" s="138"/>
      <c r="V401" s="138" t="s">
        <v>2221</v>
      </c>
      <c r="W401" s="138" t="s">
        <v>2221</v>
      </c>
      <c r="X401" s="138" t="s">
        <v>2221</v>
      </c>
      <c r="Y401" s="138" t="s">
        <v>2221</v>
      </c>
      <c r="Z401" s="138" t="s">
        <v>2221</v>
      </c>
      <c r="AA401" s="138"/>
      <c r="AB401" s="138"/>
      <c r="AC401" s="138" t="s">
        <v>2221</v>
      </c>
      <c r="AD401" s="138" t="s">
        <v>2221</v>
      </c>
      <c r="AE401" s="138" t="s">
        <v>2221</v>
      </c>
      <c r="AF401" s="138" t="s">
        <v>2221</v>
      </c>
      <c r="AG401" s="138"/>
      <c r="AH401" s="138"/>
      <c r="AI401" s="138"/>
      <c r="AJ401" s="138" t="s">
        <v>2221</v>
      </c>
      <c r="AK401" s="138" t="s">
        <v>2221</v>
      </c>
      <c r="AL401" s="138" t="s">
        <v>2221</v>
      </c>
      <c r="AM401" s="138" t="s">
        <v>2221</v>
      </c>
      <c r="AN401" s="138" t="s">
        <v>2221</v>
      </c>
      <c r="AO401" s="138"/>
      <c r="AP401" s="138"/>
      <c r="AQ401" s="138"/>
      <c r="AR401" s="138" t="s">
        <v>2221</v>
      </c>
      <c r="AS401" s="138" t="s">
        <v>2221</v>
      </c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399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775</v>
      </c>
      <c r="N402" s="137" t="s">
        <v>2265</v>
      </c>
      <c r="O402" s="139">
        <f t="shared" si="37"/>
        <v>12</v>
      </c>
      <c r="P402" s="143" t="s">
        <v>1937</v>
      </c>
      <c r="Q402" s="139">
        <f t="shared" si="38"/>
        <v>16</v>
      </c>
      <c r="R402" s="141">
        <f t="shared" si="39"/>
        <v>0.42857142857142855</v>
      </c>
      <c r="S402" s="138"/>
      <c r="T402" s="138"/>
      <c r="U402" s="138"/>
      <c r="V402" s="138" t="s">
        <v>2221</v>
      </c>
      <c r="W402" s="138" t="s">
        <v>2221</v>
      </c>
      <c r="X402" s="138" t="s">
        <v>2221</v>
      </c>
      <c r="Y402" s="138" t="s">
        <v>2221</v>
      </c>
      <c r="Z402" s="138" t="s">
        <v>2221</v>
      </c>
      <c r="AA402" s="138"/>
      <c r="AB402" s="138"/>
      <c r="AC402" s="138" t="s">
        <v>2221</v>
      </c>
      <c r="AD402" s="138" t="s">
        <v>2221</v>
      </c>
      <c r="AE402" s="138" t="s">
        <v>2221</v>
      </c>
      <c r="AF402" s="138" t="s">
        <v>2221</v>
      </c>
      <c r="AG402" s="138"/>
      <c r="AH402" s="138"/>
      <c r="AI402" s="138"/>
      <c r="AJ402" s="138" t="s">
        <v>2221</v>
      </c>
      <c r="AK402" s="138" t="s">
        <v>2221</v>
      </c>
      <c r="AL402" s="138" t="s">
        <v>2221</v>
      </c>
      <c r="AM402" s="138" t="s">
        <v>2221</v>
      </c>
      <c r="AN402" s="138" t="s">
        <v>2221</v>
      </c>
      <c r="AO402" s="138"/>
      <c r="AP402" s="138"/>
      <c r="AQ402" s="138"/>
      <c r="AR402" s="138" t="s">
        <v>2221</v>
      </c>
      <c r="AS402" s="138" t="s">
        <v>2221</v>
      </c>
      <c r="AT402" s="138"/>
      <c r="AU402" s="138"/>
      <c r="AV402" s="138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2360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2265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2265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2265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2265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10</v>
      </c>
      <c r="P407" s="140"/>
      <c r="Q407" s="139">
        <f t="shared" si="38"/>
        <v>18</v>
      </c>
      <c r="R407" s="141">
        <f t="shared" si="39"/>
        <v>0.35714285714285715</v>
      </c>
      <c r="S407" s="142"/>
      <c r="T407" s="142"/>
      <c r="U407" s="142"/>
      <c r="V407" s="71" t="s">
        <v>2221</v>
      </c>
      <c r="W407" s="71" t="s">
        <v>2221</v>
      </c>
      <c r="X407" s="70" t="s">
        <v>2221</v>
      </c>
      <c r="Y407" s="70" t="s">
        <v>2221</v>
      </c>
      <c r="Z407" s="70" t="s">
        <v>2221</v>
      </c>
      <c r="AA407" s="148"/>
      <c r="AB407" s="148"/>
      <c r="AC407" s="70" t="s">
        <v>2221</v>
      </c>
      <c r="AD407" s="70" t="s">
        <v>2221</v>
      </c>
      <c r="AE407" s="70" t="s">
        <v>2221</v>
      </c>
      <c r="AF407" s="70" t="s">
        <v>2221</v>
      </c>
      <c r="AG407" s="70" t="s">
        <v>2221</v>
      </c>
      <c r="AH407" s="70"/>
      <c r="AI407" s="70"/>
      <c r="AJ407" s="70" t="s">
        <v>2221</v>
      </c>
      <c r="AK407" s="70" t="s">
        <v>2221</v>
      </c>
      <c r="AL407" s="70" t="s">
        <v>2221</v>
      </c>
      <c r="AM407" s="70" t="s">
        <v>2221</v>
      </c>
      <c r="AN407" s="70" t="s">
        <v>2221</v>
      </c>
      <c r="AO407" s="70"/>
      <c r="AP407" s="70"/>
      <c r="AQ407" s="148"/>
      <c r="AR407" s="70" t="s">
        <v>2221</v>
      </c>
      <c r="AS407" s="70" t="s">
        <v>2221</v>
      </c>
      <c r="AT407" s="70" t="s">
        <v>2221</v>
      </c>
      <c r="AU407" s="70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2221</v>
      </c>
      <c r="AK408" s="70" t="s">
        <v>2221</v>
      </c>
      <c r="AL408" s="70" t="s">
        <v>2221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27</v>
      </c>
      <c r="P411" s="136" t="s">
        <v>1949</v>
      </c>
      <c r="Q411" s="85">
        <f t="shared" si="38"/>
        <v>1</v>
      </c>
      <c r="R411" s="86">
        <f t="shared" si="39"/>
        <v>0.9642857142857143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70" t="s">
        <v>2221</v>
      </c>
      <c r="AU411" s="70" t="s">
        <v>2221</v>
      </c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2445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2367</v>
      </c>
      <c r="L413" s="30"/>
      <c r="M413" s="30" t="s">
        <v>783</v>
      </c>
      <c r="N413" s="30"/>
      <c r="O413" s="31">
        <f t="shared" si="37"/>
        <v>10</v>
      </c>
      <c r="P413" s="136" t="s">
        <v>1950</v>
      </c>
      <c r="Q413" s="31">
        <f t="shared" si="38"/>
        <v>18</v>
      </c>
      <c r="R413" s="32">
        <f t="shared" si="39"/>
        <v>0.35714285714285715</v>
      </c>
      <c r="S413" s="70"/>
      <c r="T413" s="70"/>
      <c r="U413" s="70"/>
      <c r="V413" s="70" t="s">
        <v>2221</v>
      </c>
      <c r="W413" s="70" t="s">
        <v>2221</v>
      </c>
      <c r="X413" s="70" t="s">
        <v>2221</v>
      </c>
      <c r="Y413" s="70" t="s">
        <v>2221</v>
      </c>
      <c r="Z413" s="70" t="s">
        <v>2221</v>
      </c>
      <c r="AA413" s="70"/>
      <c r="AB413" s="70"/>
      <c r="AC413" s="70" t="s">
        <v>2221</v>
      </c>
      <c r="AD413" s="70" t="s">
        <v>2221</v>
      </c>
      <c r="AE413" s="70" t="s">
        <v>2221</v>
      </c>
      <c r="AF413" s="70" t="s">
        <v>2221</v>
      </c>
      <c r="AG413" s="70" t="s">
        <v>2221</v>
      </c>
      <c r="AH413" s="70"/>
      <c r="AI413" s="70"/>
      <c r="AJ413" s="70" t="s">
        <v>2221</v>
      </c>
      <c r="AK413" s="70" t="s">
        <v>2221</v>
      </c>
      <c r="AL413" s="70" t="s">
        <v>2221</v>
      </c>
      <c r="AM413" s="70" t="s">
        <v>2221</v>
      </c>
      <c r="AN413" s="70" t="s">
        <v>2221</v>
      </c>
      <c r="AO413" s="70"/>
      <c r="AP413" s="70"/>
      <c r="AQ413" s="70"/>
      <c r="AR413" s="70" t="s">
        <v>2221</v>
      </c>
      <c r="AS413" s="70" t="s">
        <v>2221</v>
      </c>
      <c r="AT413" s="70" t="s">
        <v>2221</v>
      </c>
      <c r="AU413" s="70" t="s">
        <v>2221</v>
      </c>
      <c r="AV413" s="70"/>
    </row>
    <row r="414" spans="1:49" ht="15.75" thickBot="1" x14ac:dyDescent="0.3">
      <c r="A414"/>
      <c r="B414"/>
      <c r="C414"/>
      <c r="D414"/>
      <c r="E414" s="151" t="s">
        <v>2445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784</v>
      </c>
      <c r="N414" s="30"/>
      <c r="O414" s="31">
        <f t="shared" si="37"/>
        <v>10</v>
      </c>
      <c r="P414" s="136" t="s">
        <v>1951</v>
      </c>
      <c r="Q414" s="31">
        <f t="shared" si="38"/>
        <v>18</v>
      </c>
      <c r="R414" s="32">
        <f t="shared" si="39"/>
        <v>0.35714285714285715</v>
      </c>
      <c r="S414" s="70"/>
      <c r="T414" s="70"/>
      <c r="U414" s="70"/>
      <c r="V414" s="70" t="s">
        <v>2221</v>
      </c>
      <c r="W414" s="70" t="s">
        <v>2221</v>
      </c>
      <c r="X414" s="70" t="s">
        <v>2221</v>
      </c>
      <c r="Y414" s="70" t="s">
        <v>2221</v>
      </c>
      <c r="Z414" s="70" t="s">
        <v>2221</v>
      </c>
      <c r="AA414" s="70"/>
      <c r="AB414" s="70"/>
      <c r="AC414" s="70" t="s">
        <v>2221</v>
      </c>
      <c r="AD414" s="70" t="s">
        <v>2221</v>
      </c>
      <c r="AE414" s="70" t="s">
        <v>2221</v>
      </c>
      <c r="AF414" s="70" t="s">
        <v>2221</v>
      </c>
      <c r="AG414" s="70" t="s">
        <v>2221</v>
      </c>
      <c r="AH414" s="70"/>
      <c r="AI414" s="70"/>
      <c r="AJ414" s="70" t="s">
        <v>2221</v>
      </c>
      <c r="AK414" s="70" t="s">
        <v>2221</v>
      </c>
      <c r="AL414" s="70" t="s">
        <v>2221</v>
      </c>
      <c r="AM414" s="70" t="s">
        <v>2221</v>
      </c>
      <c r="AN414" s="70" t="s">
        <v>2221</v>
      </c>
      <c r="AO414" s="70"/>
      <c r="AP414" s="70"/>
      <c r="AQ414" s="70"/>
      <c r="AR414" s="70" t="s">
        <v>2221</v>
      </c>
      <c r="AS414" s="70" t="s">
        <v>2221</v>
      </c>
      <c r="AT414" s="70" t="s">
        <v>2221</v>
      </c>
      <c r="AU414" s="70" t="s">
        <v>2221</v>
      </c>
      <c r="AV414" s="70"/>
    </row>
    <row r="415" spans="1:49" ht="15.75" thickBot="1" x14ac:dyDescent="0.3">
      <c r="A415"/>
      <c r="B415"/>
      <c r="C415"/>
      <c r="D415"/>
      <c r="E415" s="151" t="s">
        <v>2445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2221</v>
      </c>
      <c r="W415" s="70" t="s">
        <v>2221</v>
      </c>
      <c r="X415" s="70" t="s">
        <v>2221</v>
      </c>
      <c r="Y415" s="70" t="s">
        <v>2221</v>
      </c>
      <c r="Z415" s="70" t="s">
        <v>2221</v>
      </c>
      <c r="AA415" s="70"/>
      <c r="AB415" s="70"/>
      <c r="AC415" s="70" t="s">
        <v>2221</v>
      </c>
      <c r="AD415" s="70" t="s">
        <v>2221</v>
      </c>
      <c r="AE415" s="70" t="s">
        <v>2221</v>
      </c>
      <c r="AF415" s="70" t="s">
        <v>2221</v>
      </c>
      <c r="AG415" s="70" t="s">
        <v>2221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2445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2221</v>
      </c>
      <c r="W416" s="70" t="s">
        <v>2221</v>
      </c>
      <c r="X416" s="70" t="s">
        <v>2221</v>
      </c>
      <c r="Y416" s="70" t="s">
        <v>2221</v>
      </c>
      <c r="Z416" s="70" t="s">
        <v>2221</v>
      </c>
      <c r="AA416" s="70"/>
      <c r="AB416" s="70"/>
      <c r="AC416" s="70" t="s">
        <v>2221</v>
      </c>
      <c r="AD416" s="70" t="s">
        <v>2221</v>
      </c>
      <c r="AE416" s="70" t="s">
        <v>2221</v>
      </c>
      <c r="AF416" s="70" t="s">
        <v>2221</v>
      </c>
      <c r="AG416" s="70" t="s">
        <v>2221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2300</v>
      </c>
      <c r="N417" s="84"/>
      <c r="O417" s="131">
        <f t="shared" si="37"/>
        <v>28</v>
      </c>
      <c r="P417" s="136" t="s">
        <v>2302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2301</v>
      </c>
      <c r="N418" s="84"/>
      <c r="O418" s="131">
        <f t="shared" si="37"/>
        <v>28</v>
      </c>
      <c r="P418" s="136" t="s">
        <v>2303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2100</v>
      </c>
      <c r="H420" s="73" t="s">
        <v>1042</v>
      </c>
      <c r="I420" s="73" t="s">
        <v>2101</v>
      </c>
      <c r="J420" s="89" t="s">
        <v>18</v>
      </c>
      <c r="K420" s="84" t="s">
        <v>1278</v>
      </c>
      <c r="L420" s="84"/>
      <c r="M420" s="84" t="s">
        <v>2288</v>
      </c>
      <c r="N420" s="84"/>
      <c r="O420" s="131">
        <f t="shared" si="37"/>
        <v>24</v>
      </c>
      <c r="P420" s="136" t="s">
        <v>2102</v>
      </c>
      <c r="Q420" s="131">
        <f t="shared" si="38"/>
        <v>4</v>
      </c>
      <c r="R420" s="132">
        <f t="shared" si="39"/>
        <v>0.8571428571428571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2221</v>
      </c>
      <c r="AE420" s="70" t="s">
        <v>2221</v>
      </c>
      <c r="AF420" s="70"/>
      <c r="AG420" s="70"/>
      <c r="AH420" s="70"/>
      <c r="AI420" s="70"/>
      <c r="AJ420" s="70"/>
      <c r="AK420" s="70"/>
      <c r="AL420" s="70"/>
      <c r="AM420" s="70"/>
      <c r="AN420" s="70" t="s">
        <v>2221</v>
      </c>
      <c r="AO420" s="70"/>
      <c r="AP420" s="70"/>
      <c r="AQ420" s="70"/>
      <c r="AR420" s="70" t="s">
        <v>2221</v>
      </c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2208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2149</v>
      </c>
      <c r="N421" s="84"/>
      <c r="O421" s="31">
        <f t="shared" si="37"/>
        <v>28</v>
      </c>
      <c r="P421" s="136" t="s">
        <v>2150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2208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2221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2208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2204</v>
      </c>
      <c r="H424" s="73" t="s">
        <v>1042</v>
      </c>
      <c r="I424" s="73" t="s">
        <v>2205</v>
      </c>
      <c r="J424" s="89" t="s">
        <v>18</v>
      </c>
      <c r="K424" s="84" t="s">
        <v>1278</v>
      </c>
      <c r="L424" s="84"/>
      <c r="M424" s="84" t="s">
        <v>2206</v>
      </c>
      <c r="N424" s="84"/>
      <c r="O424" s="131">
        <f t="shared" si="37"/>
        <v>28</v>
      </c>
      <c r="P424" s="136" t="s">
        <v>2207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10</v>
      </c>
      <c r="P425" s="136"/>
      <c r="Q425" s="31">
        <f t="shared" si="38"/>
        <v>18</v>
      </c>
      <c r="R425" s="32">
        <f t="shared" si="39"/>
        <v>0.35714285714285715</v>
      </c>
      <c r="S425" s="70"/>
      <c r="T425" s="70"/>
      <c r="U425" s="71"/>
      <c r="V425" s="71" t="s">
        <v>2221</v>
      </c>
      <c r="W425" s="71" t="s">
        <v>2221</v>
      </c>
      <c r="X425" s="70" t="s">
        <v>2221</v>
      </c>
      <c r="Y425" s="70" t="s">
        <v>2221</v>
      </c>
      <c r="Z425" s="70" t="s">
        <v>2221</v>
      </c>
      <c r="AA425" s="71"/>
      <c r="AB425" s="71"/>
      <c r="AC425" s="70" t="s">
        <v>2221</v>
      </c>
      <c r="AD425" s="70" t="s">
        <v>2221</v>
      </c>
      <c r="AE425" s="70" t="s">
        <v>2221</v>
      </c>
      <c r="AF425" s="70" t="s">
        <v>2221</v>
      </c>
      <c r="AG425" s="70" t="s">
        <v>2221</v>
      </c>
      <c r="AH425" s="71"/>
      <c r="AI425" s="71"/>
      <c r="AJ425" s="70" t="s">
        <v>2221</v>
      </c>
      <c r="AK425" s="70" t="s">
        <v>2221</v>
      </c>
      <c r="AL425" s="70" t="s">
        <v>2221</v>
      </c>
      <c r="AM425" s="70" t="s">
        <v>2221</v>
      </c>
      <c r="AN425" s="70" t="s">
        <v>2221</v>
      </c>
      <c r="AO425" s="71"/>
      <c r="AP425" s="71"/>
      <c r="AQ425" s="149"/>
      <c r="AR425" s="70" t="s">
        <v>2221</v>
      </c>
      <c r="AS425" s="70" t="s">
        <v>2221</v>
      </c>
      <c r="AT425" s="70" t="s">
        <v>2221</v>
      </c>
      <c r="AU425" s="70" t="s">
        <v>2221</v>
      </c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2221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2347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15</v>
      </c>
      <c r="P428" s="136" t="s">
        <v>1960</v>
      </c>
      <c r="Q428" s="131">
        <f t="shared" si="38"/>
        <v>13</v>
      </c>
      <c r="R428" s="132">
        <f t="shared" si="39"/>
        <v>0.5357142857142857</v>
      </c>
      <c r="S428" s="70"/>
      <c r="T428" s="70"/>
      <c r="U428" s="70"/>
      <c r="V428" s="70" t="s">
        <v>2221</v>
      </c>
      <c r="W428" s="70"/>
      <c r="X428" s="70"/>
      <c r="Y428" s="70"/>
      <c r="Z428" s="70" t="s">
        <v>2221</v>
      </c>
      <c r="AA428" s="70"/>
      <c r="AB428" s="70"/>
      <c r="AC428" s="70" t="s">
        <v>2221</v>
      </c>
      <c r="AD428" s="70" t="s">
        <v>2221</v>
      </c>
      <c r="AE428" s="70" t="s">
        <v>2221</v>
      </c>
      <c r="AF428" s="70" t="s">
        <v>2221</v>
      </c>
      <c r="AG428" s="70" t="s">
        <v>2221</v>
      </c>
      <c r="AH428" s="70"/>
      <c r="AI428" s="70"/>
      <c r="AJ428" s="70" t="s">
        <v>2221</v>
      </c>
      <c r="AK428" s="70" t="s">
        <v>2221</v>
      </c>
      <c r="AL428" s="70" t="s">
        <v>2221</v>
      </c>
      <c r="AM428" s="70" t="s">
        <v>2221</v>
      </c>
      <c r="AN428" s="70" t="s">
        <v>2221</v>
      </c>
      <c r="AO428" s="70"/>
      <c r="AP428" s="70"/>
      <c r="AQ428" s="70"/>
      <c r="AR428" s="70" t="s">
        <v>2221</v>
      </c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2460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2367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2460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10</v>
      </c>
      <c r="P432" s="136" t="s">
        <v>1957</v>
      </c>
      <c r="Q432" s="131">
        <f t="shared" si="38"/>
        <v>18</v>
      </c>
      <c r="R432" s="132">
        <f t="shared" si="39"/>
        <v>0.35714285714285715</v>
      </c>
      <c r="S432" s="70"/>
      <c r="T432" s="70"/>
      <c r="U432" s="70"/>
      <c r="V432" s="70" t="s">
        <v>2221</v>
      </c>
      <c r="W432" s="70" t="s">
        <v>2221</v>
      </c>
      <c r="X432" s="70" t="s">
        <v>2221</v>
      </c>
      <c r="Y432" s="70" t="s">
        <v>2221</v>
      </c>
      <c r="Z432" s="70" t="s">
        <v>2221</v>
      </c>
      <c r="AA432" s="70"/>
      <c r="AB432" s="70"/>
      <c r="AC432" s="70" t="s">
        <v>2221</v>
      </c>
      <c r="AD432" s="70" t="s">
        <v>2221</v>
      </c>
      <c r="AE432" s="70" t="s">
        <v>2221</v>
      </c>
      <c r="AF432" s="70" t="s">
        <v>2221</v>
      </c>
      <c r="AG432" s="70" t="s">
        <v>2221</v>
      </c>
      <c r="AH432" s="70"/>
      <c r="AI432" s="70"/>
      <c r="AJ432" s="70" t="s">
        <v>2221</v>
      </c>
      <c r="AK432" s="70" t="s">
        <v>2221</v>
      </c>
      <c r="AL432" s="70" t="s">
        <v>2221</v>
      </c>
      <c r="AM432" s="70" t="s">
        <v>2221</v>
      </c>
      <c r="AN432" s="70" t="s">
        <v>2221</v>
      </c>
      <c r="AO432" s="70"/>
      <c r="AP432" s="70"/>
      <c r="AQ432" s="70"/>
      <c r="AR432" s="70" t="s">
        <v>2221</v>
      </c>
      <c r="AS432" s="70" t="s">
        <v>2221</v>
      </c>
      <c r="AT432" s="70" t="s">
        <v>2221</v>
      </c>
      <c r="AU432" s="70" t="s">
        <v>2221</v>
      </c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26</v>
      </c>
      <c r="P434" s="136" t="s">
        <v>1931</v>
      </c>
      <c r="Q434" s="31">
        <f t="shared" si="38"/>
        <v>2</v>
      </c>
      <c r="R434" s="32">
        <f t="shared" si="39"/>
        <v>0.9285714285714286</v>
      </c>
      <c r="S434" s="70"/>
      <c r="T434" s="70"/>
      <c r="U434" s="70"/>
      <c r="V434" s="70"/>
      <c r="W434" s="70"/>
      <c r="X434" s="70"/>
      <c r="Y434" s="70"/>
      <c r="Z434" s="70" t="s">
        <v>2221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 t="s">
        <v>2221</v>
      </c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2190</v>
      </c>
      <c r="H437" s="73" t="s">
        <v>1042</v>
      </c>
      <c r="I437" s="73" t="s">
        <v>2191</v>
      </c>
      <c r="J437" s="84" t="s">
        <v>1093</v>
      </c>
      <c r="K437" s="84" t="s">
        <v>1278</v>
      </c>
      <c r="L437" s="84"/>
      <c r="M437" s="84" t="s">
        <v>2289</v>
      </c>
      <c r="N437" s="84"/>
      <c r="O437" s="31">
        <f t="shared" si="37"/>
        <v>28</v>
      </c>
      <c r="P437" s="136" t="s">
        <v>2421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10</v>
      </c>
      <c r="P442" s="136" t="s">
        <v>1972</v>
      </c>
      <c r="Q442" s="131">
        <f t="shared" si="38"/>
        <v>18</v>
      </c>
      <c r="R442" s="132">
        <f t="shared" si="39"/>
        <v>0.35714285714285715</v>
      </c>
      <c r="S442" s="70"/>
      <c r="T442" s="70"/>
      <c r="U442" s="70"/>
      <c r="V442" s="70" t="s">
        <v>2221</v>
      </c>
      <c r="W442" s="70" t="s">
        <v>2221</v>
      </c>
      <c r="X442" s="70" t="s">
        <v>2221</v>
      </c>
      <c r="Y442" s="70" t="s">
        <v>2221</v>
      </c>
      <c r="Z442" s="70" t="s">
        <v>2221</v>
      </c>
      <c r="AA442" s="70"/>
      <c r="AB442" s="70"/>
      <c r="AC442" s="70" t="s">
        <v>2221</v>
      </c>
      <c r="AD442" s="70" t="s">
        <v>2221</v>
      </c>
      <c r="AE442" s="70" t="s">
        <v>2221</v>
      </c>
      <c r="AF442" s="70" t="s">
        <v>2221</v>
      </c>
      <c r="AG442" s="70" t="s">
        <v>2221</v>
      </c>
      <c r="AH442" s="70"/>
      <c r="AI442" s="70"/>
      <c r="AJ442" s="70" t="s">
        <v>2221</v>
      </c>
      <c r="AK442" s="70" t="s">
        <v>2221</v>
      </c>
      <c r="AL442" s="70" t="s">
        <v>2221</v>
      </c>
      <c r="AM442" s="70" t="s">
        <v>2221</v>
      </c>
      <c r="AN442" s="70" t="s">
        <v>2221</v>
      </c>
      <c r="AO442" s="70"/>
      <c r="AP442" s="70"/>
      <c r="AQ442" s="70"/>
      <c r="AR442" s="70" t="s">
        <v>2221</v>
      </c>
      <c r="AS442" s="70" t="s">
        <v>2221</v>
      </c>
      <c r="AT442" s="70" t="s">
        <v>2221</v>
      </c>
      <c r="AU442" s="70" t="s">
        <v>2221</v>
      </c>
      <c r="AV442" s="70"/>
    </row>
    <row r="443" spans="1:49" ht="15.75" thickBot="1" x14ac:dyDescent="0.3">
      <c r="A443"/>
      <c r="B443"/>
      <c r="C443"/>
      <c r="D443"/>
      <c r="E443" s="151" t="s">
        <v>2459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2221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10</v>
      </c>
      <c r="P444" s="140"/>
      <c r="Q444" s="139">
        <f t="shared" si="38"/>
        <v>18</v>
      </c>
      <c r="R444" s="141">
        <f t="shared" si="39"/>
        <v>0.35714285714285715</v>
      </c>
      <c r="S444" s="142"/>
      <c r="T444" s="142"/>
      <c r="U444" s="142"/>
      <c r="V444" s="70" t="s">
        <v>2221</v>
      </c>
      <c r="W444" s="70" t="s">
        <v>2221</v>
      </c>
      <c r="X444" s="70" t="s">
        <v>2221</v>
      </c>
      <c r="Y444" s="70" t="s">
        <v>2221</v>
      </c>
      <c r="Z444" s="70" t="s">
        <v>2221</v>
      </c>
      <c r="AA444" s="142"/>
      <c r="AB444" s="142"/>
      <c r="AC444" s="70" t="s">
        <v>2221</v>
      </c>
      <c r="AD444" s="70" t="s">
        <v>2221</v>
      </c>
      <c r="AE444" s="70" t="s">
        <v>2221</v>
      </c>
      <c r="AF444" s="70" t="s">
        <v>2221</v>
      </c>
      <c r="AG444" s="70" t="s">
        <v>2221</v>
      </c>
      <c r="AH444" s="70"/>
      <c r="AI444" s="70"/>
      <c r="AJ444" s="70" t="s">
        <v>2221</v>
      </c>
      <c r="AK444" s="70" t="s">
        <v>2221</v>
      </c>
      <c r="AL444" s="70" t="s">
        <v>2221</v>
      </c>
      <c r="AM444" s="70" t="s">
        <v>2221</v>
      </c>
      <c r="AN444" s="70" t="s">
        <v>2221</v>
      </c>
      <c r="AO444" s="70"/>
      <c r="AP444" s="70"/>
      <c r="AQ444" s="142"/>
      <c r="AR444" s="70" t="s">
        <v>2221</v>
      </c>
      <c r="AS444" s="70" t="s">
        <v>2221</v>
      </c>
      <c r="AT444" s="70" t="s">
        <v>2221</v>
      </c>
      <c r="AU444" s="70" t="s">
        <v>2221</v>
      </c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2445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2367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2221</v>
      </c>
      <c r="AK445" s="70" t="s">
        <v>2221</v>
      </c>
      <c r="AL445" s="70" t="s">
        <v>2221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2445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2221</v>
      </c>
      <c r="AK446" s="70" t="s">
        <v>2221</v>
      </c>
      <c r="AL446" s="70" t="s">
        <v>2221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2445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2367</v>
      </c>
      <c r="L447" s="30" t="s">
        <v>2369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2221</v>
      </c>
      <c r="AK447" s="70" t="s">
        <v>2221</v>
      </c>
      <c r="AL447" s="70" t="s">
        <v>2221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2445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2221</v>
      </c>
      <c r="AK448" s="70" t="s">
        <v>2221</v>
      </c>
      <c r="AL448" s="70" t="s">
        <v>2221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2447</v>
      </c>
      <c r="F449" t="s">
        <v>442</v>
      </c>
      <c r="G449" t="s">
        <v>451</v>
      </c>
      <c r="H449" t="s">
        <v>1042</v>
      </c>
      <c r="I449" t="s">
        <v>2370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2221</v>
      </c>
      <c r="AK449" s="70" t="s">
        <v>2221</v>
      </c>
      <c r="AL449" s="70" t="s">
        <v>2221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2445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2365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2221</v>
      </c>
      <c r="AK450" s="70" t="s">
        <v>2221</v>
      </c>
      <c r="AL450" s="70" t="s">
        <v>2221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2463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2448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2453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2221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2453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2449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2416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2450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11</v>
      </c>
      <c r="P456" s="140"/>
      <c r="Q456" s="139">
        <f t="shared" si="38"/>
        <v>17</v>
      </c>
      <c r="R456" s="141">
        <f t="shared" si="39"/>
        <v>0.39285714285714285</v>
      </c>
      <c r="S456" s="142"/>
      <c r="T456" s="142"/>
      <c r="U456" s="142"/>
      <c r="V456" s="70" t="s">
        <v>2221</v>
      </c>
      <c r="W456" s="70" t="s">
        <v>2221</v>
      </c>
      <c r="X456" s="70" t="s">
        <v>2221</v>
      </c>
      <c r="Y456" s="70" t="s">
        <v>2221</v>
      </c>
      <c r="Z456" s="70" t="s">
        <v>2221</v>
      </c>
      <c r="AA456" s="142"/>
      <c r="AB456" s="142"/>
      <c r="AC456" s="70" t="s">
        <v>2221</v>
      </c>
      <c r="AD456" s="70" t="s">
        <v>2221</v>
      </c>
      <c r="AE456" s="70" t="s">
        <v>2221</v>
      </c>
      <c r="AF456" s="70" t="s">
        <v>2221</v>
      </c>
      <c r="AG456" s="70" t="s">
        <v>2221</v>
      </c>
      <c r="AH456" s="70"/>
      <c r="AI456" s="70"/>
      <c r="AJ456" s="70" t="s">
        <v>2221</v>
      </c>
      <c r="AK456" s="70" t="s">
        <v>2221</v>
      </c>
      <c r="AL456" s="70" t="s">
        <v>2221</v>
      </c>
      <c r="AM456" s="70" t="s">
        <v>2221</v>
      </c>
      <c r="AN456" s="70" t="s">
        <v>2221</v>
      </c>
      <c r="AO456" s="70"/>
      <c r="AP456" s="70"/>
      <c r="AQ456" s="142"/>
      <c r="AR456" s="70" t="s">
        <v>2221</v>
      </c>
      <c r="AS456" s="70" t="s">
        <v>2221</v>
      </c>
      <c r="AT456" s="70"/>
      <c r="AU456" s="70" t="s">
        <v>2221</v>
      </c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2451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2417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2453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2453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2453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2453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2221</v>
      </c>
      <c r="AL461" s="70" t="s">
        <v>2221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2453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2221</v>
      </c>
      <c r="AL462" s="70" t="s">
        <v>2221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2453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2418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2453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2419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2453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2422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2453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2423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2453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2453</v>
      </c>
      <c r="F468" s="73" t="s">
        <v>1569</v>
      </c>
      <c r="G468" s="73" t="s">
        <v>2124</v>
      </c>
      <c r="H468" s="73" t="s">
        <v>1042</v>
      </c>
      <c r="I468" s="135" t="s">
        <v>2125</v>
      </c>
      <c r="J468" s="84"/>
      <c r="K468" s="84" t="s">
        <v>1278</v>
      </c>
      <c r="L468" s="84"/>
      <c r="M468" s="84" t="s">
        <v>2290</v>
      </c>
      <c r="N468" s="84"/>
      <c r="O468" s="31">
        <f t="shared" si="40"/>
        <v>24</v>
      </c>
      <c r="P468" s="136" t="s">
        <v>2425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2221</v>
      </c>
      <c r="AK468" s="70" t="s">
        <v>2221</v>
      </c>
      <c r="AL468" s="70" t="s">
        <v>2221</v>
      </c>
      <c r="AM468" s="70" t="s">
        <v>2221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10</v>
      </c>
      <c r="P469" s="136" t="s">
        <v>1985</v>
      </c>
      <c r="Q469" s="131">
        <f t="shared" si="41"/>
        <v>18</v>
      </c>
      <c r="R469" s="132">
        <f t="shared" si="42"/>
        <v>0.35714285714285715</v>
      </c>
      <c r="S469" s="70"/>
      <c r="T469" s="70"/>
      <c r="U469" s="70"/>
      <c r="V469" s="70" t="s">
        <v>2221</v>
      </c>
      <c r="W469" s="70" t="s">
        <v>2221</v>
      </c>
      <c r="X469" s="70" t="s">
        <v>2221</v>
      </c>
      <c r="Y469" s="70" t="s">
        <v>2221</v>
      </c>
      <c r="Z469" s="70" t="s">
        <v>2221</v>
      </c>
      <c r="AA469" s="70"/>
      <c r="AB469" s="70"/>
      <c r="AC469" s="70" t="s">
        <v>2221</v>
      </c>
      <c r="AD469" s="70" t="s">
        <v>2221</v>
      </c>
      <c r="AE469" s="70" t="s">
        <v>2221</v>
      </c>
      <c r="AF469" s="70" t="s">
        <v>2221</v>
      </c>
      <c r="AG469" s="70" t="s">
        <v>2221</v>
      </c>
      <c r="AH469" s="70"/>
      <c r="AI469" s="70"/>
      <c r="AJ469" s="70" t="s">
        <v>2221</v>
      </c>
      <c r="AK469" s="70" t="s">
        <v>2221</v>
      </c>
      <c r="AL469" s="70" t="s">
        <v>2221</v>
      </c>
      <c r="AM469" s="70" t="s">
        <v>2221</v>
      </c>
      <c r="AN469" s="70" t="s">
        <v>2221</v>
      </c>
      <c r="AO469" s="70"/>
      <c r="AP469" s="70"/>
      <c r="AQ469" s="70"/>
      <c r="AR469" s="70" t="s">
        <v>2221</v>
      </c>
      <c r="AS469" s="70" t="s">
        <v>2221</v>
      </c>
      <c r="AT469" s="70" t="s">
        <v>2221</v>
      </c>
      <c r="AU469" s="70" t="s">
        <v>2221</v>
      </c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10</v>
      </c>
      <c r="P470" s="136" t="s">
        <v>1986</v>
      </c>
      <c r="Q470" s="131">
        <f t="shared" si="41"/>
        <v>18</v>
      </c>
      <c r="R470" s="132">
        <f t="shared" si="42"/>
        <v>0.35714285714285715</v>
      </c>
      <c r="S470" s="70"/>
      <c r="T470" s="70"/>
      <c r="U470" s="70"/>
      <c r="V470" s="70" t="s">
        <v>2221</v>
      </c>
      <c r="W470" s="70" t="s">
        <v>2221</v>
      </c>
      <c r="X470" s="70" t="s">
        <v>2221</v>
      </c>
      <c r="Y470" s="70" t="s">
        <v>2221</v>
      </c>
      <c r="Z470" s="70" t="s">
        <v>2221</v>
      </c>
      <c r="AA470" s="70"/>
      <c r="AB470" s="70"/>
      <c r="AC470" s="70" t="s">
        <v>2221</v>
      </c>
      <c r="AD470" s="70" t="s">
        <v>2221</v>
      </c>
      <c r="AE470" s="70" t="s">
        <v>2221</v>
      </c>
      <c r="AF470" s="70" t="s">
        <v>2221</v>
      </c>
      <c r="AG470" s="70" t="s">
        <v>2221</v>
      </c>
      <c r="AH470" s="70"/>
      <c r="AI470" s="70"/>
      <c r="AJ470" s="70" t="s">
        <v>2221</v>
      </c>
      <c r="AK470" s="70" t="s">
        <v>2221</v>
      </c>
      <c r="AL470" s="70" t="s">
        <v>2221</v>
      </c>
      <c r="AM470" s="70" t="s">
        <v>2221</v>
      </c>
      <c r="AN470" s="70" t="s">
        <v>2221</v>
      </c>
      <c r="AO470" s="70"/>
      <c r="AP470" s="70"/>
      <c r="AQ470" s="70"/>
      <c r="AR470" s="70" t="s">
        <v>2221</v>
      </c>
      <c r="AS470" s="70" t="s">
        <v>2221</v>
      </c>
      <c r="AT470" s="70" t="s">
        <v>2221</v>
      </c>
      <c r="AU470" s="70" t="s">
        <v>2221</v>
      </c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10</v>
      </c>
      <c r="P471" s="136"/>
      <c r="Q471" s="131">
        <f t="shared" si="41"/>
        <v>18</v>
      </c>
      <c r="R471" s="132">
        <f t="shared" si="42"/>
        <v>0.35714285714285715</v>
      </c>
      <c r="S471" s="70"/>
      <c r="T471" s="70"/>
      <c r="U471" s="70"/>
      <c r="V471" s="70" t="s">
        <v>2221</v>
      </c>
      <c r="W471" s="70" t="s">
        <v>2221</v>
      </c>
      <c r="X471" s="70" t="s">
        <v>2221</v>
      </c>
      <c r="Y471" s="70" t="s">
        <v>2221</v>
      </c>
      <c r="Z471" s="70" t="s">
        <v>2221</v>
      </c>
      <c r="AA471" s="70"/>
      <c r="AB471" s="70"/>
      <c r="AC471" s="70" t="s">
        <v>2221</v>
      </c>
      <c r="AD471" s="70" t="s">
        <v>2221</v>
      </c>
      <c r="AE471" s="70" t="s">
        <v>2221</v>
      </c>
      <c r="AF471" s="70" t="s">
        <v>2221</v>
      </c>
      <c r="AG471" s="70" t="s">
        <v>2221</v>
      </c>
      <c r="AH471" s="70"/>
      <c r="AI471" s="70"/>
      <c r="AJ471" s="70" t="s">
        <v>2221</v>
      </c>
      <c r="AK471" s="70" t="s">
        <v>2221</v>
      </c>
      <c r="AL471" s="70" t="s">
        <v>2221</v>
      </c>
      <c r="AM471" s="70" t="s">
        <v>2221</v>
      </c>
      <c r="AN471" s="70" t="s">
        <v>2221</v>
      </c>
      <c r="AO471" s="70"/>
      <c r="AP471" s="70"/>
      <c r="AQ471" s="70"/>
      <c r="AR471" s="70" t="s">
        <v>2221</v>
      </c>
      <c r="AS471" s="70" t="s">
        <v>2221</v>
      </c>
      <c r="AT471" s="70" t="s">
        <v>2221</v>
      </c>
      <c r="AU471" s="70" t="s">
        <v>2221</v>
      </c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2096</v>
      </c>
      <c r="H472" t="s">
        <v>1041</v>
      </c>
      <c r="I472" s="73" t="s">
        <v>2097</v>
      </c>
      <c r="J472" s="84" t="s">
        <v>14</v>
      </c>
      <c r="K472" s="84" t="s">
        <v>1278</v>
      </c>
      <c r="L472" s="84"/>
      <c r="M472" s="84" t="s">
        <v>2291</v>
      </c>
      <c r="N472" s="84"/>
      <c r="O472" s="131">
        <f t="shared" si="40"/>
        <v>28</v>
      </c>
      <c r="P472" s="136" t="s">
        <v>2098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2220</v>
      </c>
      <c r="H473" t="s">
        <v>1041</v>
      </c>
      <c r="I473" s="73" t="s">
        <v>2239</v>
      </c>
      <c r="J473" s="84" t="s">
        <v>71</v>
      </c>
      <c r="K473" s="84" t="s">
        <v>1278</v>
      </c>
      <c r="L473" s="84"/>
      <c r="M473" s="84" t="s">
        <v>2299</v>
      </c>
      <c r="N473" s="84"/>
      <c r="O473" s="131">
        <f t="shared" si="40"/>
        <v>10</v>
      </c>
      <c r="P473" s="136"/>
      <c r="Q473" s="131">
        <f t="shared" si="41"/>
        <v>18</v>
      </c>
      <c r="R473" s="132">
        <f t="shared" si="42"/>
        <v>0.35714285714285715</v>
      </c>
      <c r="S473" s="70"/>
      <c r="T473" s="70"/>
      <c r="U473" s="70"/>
      <c r="V473" s="70" t="s">
        <v>2221</v>
      </c>
      <c r="W473" s="70" t="s">
        <v>2221</v>
      </c>
      <c r="X473" s="70" t="s">
        <v>2221</v>
      </c>
      <c r="Y473" s="70" t="s">
        <v>2221</v>
      </c>
      <c r="Z473" s="70" t="s">
        <v>2221</v>
      </c>
      <c r="AA473" s="70"/>
      <c r="AB473" s="70"/>
      <c r="AC473" s="70" t="s">
        <v>2221</v>
      </c>
      <c r="AD473" s="70" t="s">
        <v>2221</v>
      </c>
      <c r="AE473" s="70" t="s">
        <v>2221</v>
      </c>
      <c r="AF473" s="70" t="s">
        <v>2221</v>
      </c>
      <c r="AG473" s="70" t="s">
        <v>2221</v>
      </c>
      <c r="AH473" s="70"/>
      <c r="AI473" s="70"/>
      <c r="AJ473" s="70" t="s">
        <v>2221</v>
      </c>
      <c r="AK473" s="70" t="s">
        <v>2221</v>
      </c>
      <c r="AL473" s="70" t="s">
        <v>2221</v>
      </c>
      <c r="AM473" s="70" t="s">
        <v>2221</v>
      </c>
      <c r="AN473" s="70" t="s">
        <v>2221</v>
      </c>
      <c r="AO473" s="70"/>
      <c r="AP473" s="70"/>
      <c r="AQ473" s="70"/>
      <c r="AR473" s="70" t="s">
        <v>2221</v>
      </c>
      <c r="AS473" s="70" t="s">
        <v>2221</v>
      </c>
      <c r="AT473" s="70" t="s">
        <v>2221</v>
      </c>
      <c r="AU473" s="70" t="s">
        <v>2221</v>
      </c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2221</v>
      </c>
      <c r="W474" s="70" t="s">
        <v>2221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2327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2221</v>
      </c>
      <c r="W475" s="70" t="s">
        <v>2221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2336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2337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2337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2462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2337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2221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2371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2338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2337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2116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2117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2221</v>
      </c>
      <c r="W490" s="70" t="s">
        <v>2221</v>
      </c>
      <c r="X490" s="70" t="s">
        <v>2221</v>
      </c>
      <c r="Y490" s="70" t="s">
        <v>2221</v>
      </c>
      <c r="Z490" s="70" t="s">
        <v>2221</v>
      </c>
      <c r="AA490" s="87"/>
      <c r="AB490" s="87"/>
      <c r="AC490" s="70" t="s">
        <v>2221</v>
      </c>
      <c r="AD490" s="70" t="s">
        <v>2221</v>
      </c>
      <c r="AE490" s="70" t="s">
        <v>2221</v>
      </c>
      <c r="AF490" s="70" t="s">
        <v>2221</v>
      </c>
      <c r="AG490" s="70" t="s">
        <v>2221</v>
      </c>
      <c r="AH490" s="87"/>
      <c r="AI490" s="87"/>
      <c r="AJ490" s="70" t="s">
        <v>2221</v>
      </c>
      <c r="AK490" s="70" t="s">
        <v>2221</v>
      </c>
      <c r="AL490" s="70" t="s">
        <v>2221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2118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2119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2230</v>
      </c>
      <c r="H493" s="73" t="s">
        <v>1041</v>
      </c>
      <c r="I493" s="135" t="s">
        <v>2231</v>
      </c>
      <c r="J493" s="30" t="s">
        <v>14</v>
      </c>
      <c r="K493" s="73" t="s">
        <v>1278</v>
      </c>
      <c r="M493" s="84" t="s">
        <v>2253</v>
      </c>
      <c r="N493" s="84"/>
      <c r="O493" s="85">
        <f t="shared" si="40"/>
        <v>19</v>
      </c>
      <c r="P493" s="136" t="s">
        <v>2254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2221</v>
      </c>
      <c r="AA493" s="87"/>
      <c r="AB493" s="87"/>
      <c r="AC493" s="70" t="s">
        <v>2221</v>
      </c>
      <c r="AD493" s="70" t="s">
        <v>2221</v>
      </c>
      <c r="AE493" s="70" t="s">
        <v>2221</v>
      </c>
      <c r="AF493" s="70" t="s">
        <v>2221</v>
      </c>
      <c r="AG493" s="70" t="s">
        <v>2221</v>
      </c>
      <c r="AH493" s="87"/>
      <c r="AI493" s="87"/>
      <c r="AJ493" s="70" t="s">
        <v>2221</v>
      </c>
      <c r="AK493" s="70" t="s">
        <v>2221</v>
      </c>
      <c r="AL493" s="70" t="s">
        <v>2221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2426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2372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2427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2428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2221</v>
      </c>
      <c r="Y499" s="70" t="s">
        <v>2221</v>
      </c>
      <c r="Z499" s="70"/>
      <c r="AA499" s="70"/>
      <c r="AB499" s="70"/>
      <c r="AC499" s="70"/>
      <c r="AD499" s="70"/>
      <c r="AE499" s="70" t="s">
        <v>2221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2429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2374</v>
      </c>
      <c r="C502"/>
      <c r="D502"/>
      <c r="E502" t="s">
        <v>2372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2372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2374</v>
      </c>
      <c r="C507"/>
      <c r="D507"/>
      <c r="E507" t="s">
        <v>2372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2332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2459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2365</v>
      </c>
      <c r="L509" s="30"/>
      <c r="M509" s="30" t="s">
        <v>841</v>
      </c>
      <c r="N509" s="30"/>
      <c r="O509" s="31">
        <f t="shared" si="40"/>
        <v>15</v>
      </c>
      <c r="P509" s="136" t="s">
        <v>2024</v>
      </c>
      <c r="Q509" s="31">
        <f t="shared" si="41"/>
        <v>13</v>
      </c>
      <c r="R509" s="32">
        <f t="shared" si="42"/>
        <v>0.5357142857142857</v>
      </c>
      <c r="S509" s="70"/>
      <c r="T509" s="70"/>
      <c r="U509" s="70"/>
      <c r="V509" s="70" t="s">
        <v>2221</v>
      </c>
      <c r="W509" s="70" t="s">
        <v>2221</v>
      </c>
      <c r="X509" s="70" t="s">
        <v>2221</v>
      </c>
      <c r="Y509" s="70" t="s">
        <v>2221</v>
      </c>
      <c r="Z509" s="70"/>
      <c r="AA509" s="70"/>
      <c r="AB509" s="70"/>
      <c r="AC509" s="70"/>
      <c r="AD509" s="70" t="s">
        <v>2221</v>
      </c>
      <c r="AE509" s="70" t="s">
        <v>2221</v>
      </c>
      <c r="AF509" s="70" t="s">
        <v>2221</v>
      </c>
      <c r="AG509" s="70" t="s">
        <v>2221</v>
      </c>
      <c r="AH509" s="70"/>
      <c r="AI509" s="70"/>
      <c r="AJ509" s="70" t="s">
        <v>2221</v>
      </c>
      <c r="AK509" s="70" t="s">
        <v>2221</v>
      </c>
      <c r="AL509" s="70" t="s">
        <v>2221</v>
      </c>
      <c r="AM509" s="70" t="s">
        <v>2221</v>
      </c>
      <c r="AN509" s="70" t="s">
        <v>2221</v>
      </c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2332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2221</v>
      </c>
      <c r="W512" s="70" t="s">
        <v>2221</v>
      </c>
      <c r="X512" s="70" t="s">
        <v>2221</v>
      </c>
      <c r="Y512" s="70" t="s">
        <v>2221</v>
      </c>
      <c r="Z512" s="70"/>
      <c r="AA512" s="70"/>
      <c r="AB512" s="70"/>
      <c r="AC512" s="70"/>
      <c r="AD512" s="70" t="s">
        <v>2221</v>
      </c>
      <c r="AE512" s="70" t="s">
        <v>2221</v>
      </c>
      <c r="AF512" s="70" t="s">
        <v>2221</v>
      </c>
      <c r="AG512" s="70" t="s">
        <v>2221</v>
      </c>
      <c r="AH512" s="70"/>
      <c r="AI512" s="70"/>
      <c r="AJ512" s="70" t="s">
        <v>2221</v>
      </c>
      <c r="AK512" s="70" t="s">
        <v>2221</v>
      </c>
      <c r="AL512" s="70" t="s">
        <v>2221</v>
      </c>
      <c r="AM512" s="70" t="s">
        <v>2221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2332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2459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2367</v>
      </c>
      <c r="L516" s="30"/>
      <c r="M516" s="30" t="s">
        <v>1125</v>
      </c>
      <c r="N516" s="30"/>
      <c r="O516" s="31">
        <f t="shared" si="40"/>
        <v>15</v>
      </c>
      <c r="P516" s="136" t="s">
        <v>2034</v>
      </c>
      <c r="Q516" s="31">
        <f t="shared" si="41"/>
        <v>13</v>
      </c>
      <c r="R516" s="32">
        <f t="shared" si="42"/>
        <v>0.5357142857142857</v>
      </c>
      <c r="S516" s="70"/>
      <c r="T516" s="70"/>
      <c r="U516" s="70"/>
      <c r="V516" s="70" t="s">
        <v>2221</v>
      </c>
      <c r="W516" s="70" t="s">
        <v>2221</v>
      </c>
      <c r="X516" s="70" t="s">
        <v>2221</v>
      </c>
      <c r="Y516" s="70" t="s">
        <v>2221</v>
      </c>
      <c r="Z516" s="70"/>
      <c r="AA516" s="70"/>
      <c r="AB516" s="70"/>
      <c r="AC516" s="70"/>
      <c r="AD516" s="70" t="s">
        <v>2221</v>
      </c>
      <c r="AE516" s="70" t="s">
        <v>2221</v>
      </c>
      <c r="AF516" s="70" t="s">
        <v>2221</v>
      </c>
      <c r="AG516" s="70" t="s">
        <v>2221</v>
      </c>
      <c r="AH516" s="70"/>
      <c r="AI516" s="70"/>
      <c r="AJ516" s="70" t="s">
        <v>2221</v>
      </c>
      <c r="AK516" s="70" t="s">
        <v>2221</v>
      </c>
      <c r="AL516" s="70" t="s">
        <v>2221</v>
      </c>
      <c r="AM516" s="70" t="s">
        <v>2221</v>
      </c>
      <c r="AN516" s="70" t="s">
        <v>2221</v>
      </c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2459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2367</v>
      </c>
      <c r="L517" s="30"/>
      <c r="M517" s="30" t="s">
        <v>1126</v>
      </c>
      <c r="N517" s="30"/>
      <c r="O517" s="31">
        <f t="shared" si="40"/>
        <v>15</v>
      </c>
      <c r="P517" s="136" t="s">
        <v>2035</v>
      </c>
      <c r="Q517" s="31">
        <f t="shared" si="41"/>
        <v>13</v>
      </c>
      <c r="R517" s="32">
        <f t="shared" si="42"/>
        <v>0.5357142857142857</v>
      </c>
      <c r="S517" s="70"/>
      <c r="T517" s="70"/>
      <c r="U517" s="70"/>
      <c r="V517" s="70" t="s">
        <v>2221</v>
      </c>
      <c r="W517" s="70" t="s">
        <v>2221</v>
      </c>
      <c r="X517" s="70" t="s">
        <v>2221</v>
      </c>
      <c r="Y517" s="70" t="s">
        <v>2221</v>
      </c>
      <c r="Z517" s="70"/>
      <c r="AA517" s="70"/>
      <c r="AB517" s="70"/>
      <c r="AC517" s="70"/>
      <c r="AD517" s="70" t="s">
        <v>2221</v>
      </c>
      <c r="AE517" s="70" t="s">
        <v>2221</v>
      </c>
      <c r="AF517" s="70" t="s">
        <v>2221</v>
      </c>
      <c r="AG517" s="70" t="s">
        <v>2221</v>
      </c>
      <c r="AH517" s="70"/>
      <c r="AI517" s="70"/>
      <c r="AJ517" s="70" t="s">
        <v>2221</v>
      </c>
      <c r="AK517" s="70" t="s">
        <v>2221</v>
      </c>
      <c r="AL517" s="70" t="s">
        <v>2221</v>
      </c>
      <c r="AM517" s="70" t="s">
        <v>2221</v>
      </c>
      <c r="AN517" s="70" t="s">
        <v>2221</v>
      </c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2459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2367</v>
      </c>
      <c r="L519" s="30"/>
      <c r="M519" s="30" t="s">
        <v>1504</v>
      </c>
      <c r="N519" s="30"/>
      <c r="O519" s="131">
        <f t="shared" si="40"/>
        <v>15</v>
      </c>
      <c r="P519" s="136" t="s">
        <v>2037</v>
      </c>
      <c r="Q519" s="131">
        <f t="shared" si="41"/>
        <v>13</v>
      </c>
      <c r="R519" s="132">
        <f t="shared" si="42"/>
        <v>0.5357142857142857</v>
      </c>
      <c r="S519" s="70"/>
      <c r="T519" s="70"/>
      <c r="U519" s="70"/>
      <c r="V519" s="70" t="s">
        <v>2221</v>
      </c>
      <c r="W519" s="70" t="s">
        <v>2221</v>
      </c>
      <c r="X519" s="70" t="s">
        <v>2221</v>
      </c>
      <c r="Y519" s="70" t="s">
        <v>2221</v>
      </c>
      <c r="Z519" s="70"/>
      <c r="AA519" s="70"/>
      <c r="AB519" s="70"/>
      <c r="AC519" s="70"/>
      <c r="AD519" s="70" t="s">
        <v>2221</v>
      </c>
      <c r="AE519" s="70" t="s">
        <v>2221</v>
      </c>
      <c r="AF519" s="70" t="s">
        <v>2221</v>
      </c>
      <c r="AG519" s="70" t="s">
        <v>2221</v>
      </c>
      <c r="AH519" s="70"/>
      <c r="AI519" s="70"/>
      <c r="AJ519" s="70" t="s">
        <v>2221</v>
      </c>
      <c r="AK519" s="70" t="s">
        <v>2221</v>
      </c>
      <c r="AL519" s="70" t="s">
        <v>2221</v>
      </c>
      <c r="AM519" s="70" t="s">
        <v>2221</v>
      </c>
      <c r="AN519" s="70" t="s">
        <v>2221</v>
      </c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2221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2459</v>
      </c>
      <c r="F521" t="s">
        <v>505</v>
      </c>
      <c r="G521" t="s">
        <v>513</v>
      </c>
      <c r="H521" t="s">
        <v>1042</v>
      </c>
      <c r="I521" t="s">
        <v>2192</v>
      </c>
      <c r="J521" s="30" t="s">
        <v>18</v>
      </c>
      <c r="K521" s="30" t="s">
        <v>2367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2221</v>
      </c>
      <c r="W521" s="70" t="s">
        <v>2221</v>
      </c>
      <c r="X521" s="70" t="s">
        <v>2221</v>
      </c>
      <c r="Y521" s="70" t="s">
        <v>2221</v>
      </c>
      <c r="Z521" s="70"/>
      <c r="AA521" s="70"/>
      <c r="AB521" s="70"/>
      <c r="AC521" s="70"/>
      <c r="AD521" s="70" t="s">
        <v>2221</v>
      </c>
      <c r="AE521" s="70" t="s">
        <v>2221</v>
      </c>
      <c r="AF521" s="70" t="s">
        <v>2221</v>
      </c>
      <c r="AG521" s="70" t="s">
        <v>2221</v>
      </c>
      <c r="AH521" s="70"/>
      <c r="AI521" s="70"/>
      <c r="AJ521" s="70" t="s">
        <v>2221</v>
      </c>
      <c r="AK521" s="70" t="s">
        <v>2221</v>
      </c>
      <c r="AL521" s="70" t="s">
        <v>2221</v>
      </c>
      <c r="AM521" s="70" t="s">
        <v>2221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2221</v>
      </c>
      <c r="W522" s="70" t="s">
        <v>2221</v>
      </c>
      <c r="X522" s="70" t="s">
        <v>2221</v>
      </c>
      <c r="Y522" s="70" t="s">
        <v>2221</v>
      </c>
      <c r="Z522" s="70"/>
      <c r="AA522" s="70"/>
      <c r="AB522" s="70"/>
      <c r="AC522" s="70"/>
      <c r="AD522" s="70" t="s">
        <v>2221</v>
      </c>
      <c r="AE522" s="70" t="s">
        <v>2221</v>
      </c>
      <c r="AF522" s="70" t="s">
        <v>2221</v>
      </c>
      <c r="AG522" s="70" t="s">
        <v>2221</v>
      </c>
      <c r="AH522" s="70"/>
      <c r="AI522" s="70"/>
      <c r="AJ522" s="70" t="s">
        <v>2221</v>
      </c>
      <c r="AK522" s="70" t="s">
        <v>2221</v>
      </c>
      <c r="AL522" s="70" t="s">
        <v>2221</v>
      </c>
      <c r="AM522" s="70" t="s">
        <v>2221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2332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2221</v>
      </c>
      <c r="W526" s="70" t="s">
        <v>2221</v>
      </c>
      <c r="X526" s="70" t="s">
        <v>2221</v>
      </c>
      <c r="Y526" s="70" t="s">
        <v>2221</v>
      </c>
      <c r="Z526" s="70" t="s">
        <v>2221</v>
      </c>
      <c r="AA526" s="70"/>
      <c r="AB526" s="70"/>
      <c r="AC526" s="70" t="s">
        <v>2221</v>
      </c>
      <c r="AD526" s="70" t="s">
        <v>2221</v>
      </c>
      <c r="AE526" s="70" t="s">
        <v>2221</v>
      </c>
      <c r="AF526" s="70" t="s">
        <v>2221</v>
      </c>
      <c r="AG526" s="70" t="s">
        <v>2221</v>
      </c>
      <c r="AH526" s="70"/>
      <c r="AI526" s="70"/>
      <c r="AJ526" s="70" t="s">
        <v>2221</v>
      </c>
      <c r="AK526" s="70" t="s">
        <v>2221</v>
      </c>
      <c r="AL526" s="70" t="s">
        <v>2221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2459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2367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 t="s">
        <v>2221</v>
      </c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15</v>
      </c>
      <c r="P530" s="136" t="s">
        <v>2021</v>
      </c>
      <c r="Q530" s="31">
        <f t="shared" si="44"/>
        <v>13</v>
      </c>
      <c r="R530" s="32">
        <f t="shared" si="45"/>
        <v>0.5357142857142857</v>
      </c>
      <c r="S530" s="70"/>
      <c r="T530" s="70"/>
      <c r="U530" s="70"/>
      <c r="V530" s="70" t="s">
        <v>2221</v>
      </c>
      <c r="W530" s="70" t="s">
        <v>2221</v>
      </c>
      <c r="X530" s="70" t="s">
        <v>2221</v>
      </c>
      <c r="Y530" s="70" t="s">
        <v>2221</v>
      </c>
      <c r="Z530" s="70"/>
      <c r="AA530" s="70"/>
      <c r="AB530" s="70"/>
      <c r="AC530" s="70"/>
      <c r="AD530" s="70" t="s">
        <v>2221</v>
      </c>
      <c r="AE530" s="70" t="s">
        <v>2221</v>
      </c>
      <c r="AF530" s="70" t="s">
        <v>2221</v>
      </c>
      <c r="AG530" s="70" t="s">
        <v>2221</v>
      </c>
      <c r="AH530" s="70"/>
      <c r="AI530" s="70"/>
      <c r="AJ530" s="70" t="s">
        <v>2221</v>
      </c>
      <c r="AK530" s="70" t="s">
        <v>2221</v>
      </c>
      <c r="AL530" s="70" t="s">
        <v>2221</v>
      </c>
      <c r="AM530" s="70" t="s">
        <v>2221</v>
      </c>
      <c r="AN530" s="70" t="s">
        <v>2221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26</v>
      </c>
      <c r="P531" s="136" t="s">
        <v>2022</v>
      </c>
      <c r="Q531" s="31">
        <f t="shared" si="44"/>
        <v>2</v>
      </c>
      <c r="R531" s="32">
        <f t="shared" si="45"/>
        <v>0.9285714285714286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 t="s">
        <v>2221</v>
      </c>
      <c r="AO531" s="70"/>
      <c r="AP531" s="70"/>
      <c r="AQ531" s="70"/>
      <c r="AR531" s="70"/>
      <c r="AS531" s="70" t="s">
        <v>2221</v>
      </c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2459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2365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2221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 t="s">
        <v>2221</v>
      </c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2332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2459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2367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2221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2459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2170</v>
      </c>
      <c r="H538" s="84" t="s">
        <v>1042</v>
      </c>
      <c r="I538" s="73" t="s">
        <v>2171</v>
      </c>
      <c r="J538" s="30" t="s">
        <v>71</v>
      </c>
      <c r="K538" s="84" t="s">
        <v>1278</v>
      </c>
      <c r="L538" s="84"/>
      <c r="M538" s="84" t="s">
        <v>2292</v>
      </c>
      <c r="N538" s="84"/>
      <c r="O538" s="131">
        <f t="shared" si="43"/>
        <v>27</v>
      </c>
      <c r="P538" s="136" t="s">
        <v>2172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2221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 t="s">
        <v>2221</v>
      </c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2173</v>
      </c>
      <c r="H539" s="84" t="s">
        <v>1042</v>
      </c>
      <c r="I539" s="73" t="s">
        <v>2174</v>
      </c>
      <c r="J539" s="84" t="s">
        <v>14</v>
      </c>
      <c r="K539" s="84" t="s">
        <v>1278</v>
      </c>
      <c r="L539" s="84"/>
      <c r="M539" s="84" t="s">
        <v>2293</v>
      </c>
      <c r="N539" s="84"/>
      <c r="O539" s="131">
        <f t="shared" si="43"/>
        <v>28</v>
      </c>
      <c r="P539" s="136" t="s">
        <v>2175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2360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2265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2265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2360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2265</v>
      </c>
      <c r="O542" s="31">
        <f t="shared" si="43"/>
        <v>11</v>
      </c>
      <c r="P542" s="136" t="s">
        <v>2479</v>
      </c>
      <c r="Q542" s="31">
        <f t="shared" si="44"/>
        <v>17</v>
      </c>
      <c r="R542" s="32">
        <f t="shared" si="45"/>
        <v>0.39285714285714285</v>
      </c>
      <c r="S542" s="70"/>
      <c r="T542" s="70"/>
      <c r="U542" s="70"/>
      <c r="V542" s="70" t="s">
        <v>2221</v>
      </c>
      <c r="W542" s="70" t="s">
        <v>2221</v>
      </c>
      <c r="X542" s="70" t="s">
        <v>2221</v>
      </c>
      <c r="Y542" s="70" t="s">
        <v>2221</v>
      </c>
      <c r="Z542" s="70" t="s">
        <v>2221</v>
      </c>
      <c r="AA542" s="70"/>
      <c r="AB542" s="70"/>
      <c r="AC542" s="70" t="s">
        <v>2221</v>
      </c>
      <c r="AD542" s="70" t="s">
        <v>2221</v>
      </c>
      <c r="AE542" s="70" t="s">
        <v>2221</v>
      </c>
      <c r="AF542" s="70" t="s">
        <v>2221</v>
      </c>
      <c r="AG542" s="70" t="s">
        <v>2221</v>
      </c>
      <c r="AH542" s="70"/>
      <c r="AI542" s="70"/>
      <c r="AJ542" s="70" t="s">
        <v>2221</v>
      </c>
      <c r="AK542" s="70" t="s">
        <v>2221</v>
      </c>
      <c r="AL542" s="70" t="s">
        <v>2221</v>
      </c>
      <c r="AM542" s="70" t="s">
        <v>2221</v>
      </c>
      <c r="AN542" s="70" t="s">
        <v>2221</v>
      </c>
      <c r="AO542" s="70"/>
      <c r="AP542" s="70"/>
      <c r="AQ542" s="70"/>
      <c r="AR542" s="70" t="s">
        <v>2221</v>
      </c>
      <c r="AS542" s="70" t="s">
        <v>2221</v>
      </c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2360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2265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2221</v>
      </c>
      <c r="AD543" s="70" t="s">
        <v>2221</v>
      </c>
      <c r="AE543" s="70" t="s">
        <v>2221</v>
      </c>
      <c r="AF543" s="70" t="s">
        <v>2221</v>
      </c>
      <c r="AG543" s="70" t="s">
        <v>2221</v>
      </c>
      <c r="AH543" s="70"/>
      <c r="AI543" s="70"/>
      <c r="AJ543" s="70" t="s">
        <v>2221</v>
      </c>
      <c r="AK543" s="70" t="s">
        <v>2221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2265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2221</v>
      </c>
      <c r="AD544" s="70" t="s">
        <v>2221</v>
      </c>
      <c r="AE544" s="70" t="s">
        <v>2221</v>
      </c>
      <c r="AF544" s="70" t="s">
        <v>2221</v>
      </c>
      <c r="AG544" s="70" t="s">
        <v>2221</v>
      </c>
      <c r="AH544" s="70"/>
      <c r="AI544" s="70"/>
      <c r="AJ544" s="70" t="s">
        <v>2221</v>
      </c>
      <c r="AK544" s="70" t="s">
        <v>2221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2265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2265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2360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2265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2461</v>
      </c>
      <c r="F548" t="s">
        <v>376</v>
      </c>
      <c r="G548" s="30" t="s">
        <v>2130</v>
      </c>
      <c r="H548" s="73" t="s">
        <v>1041</v>
      </c>
      <c r="I548" t="s">
        <v>2131</v>
      </c>
      <c r="J548" s="84" t="s">
        <v>45</v>
      </c>
      <c r="K548" s="30" t="s">
        <v>2367</v>
      </c>
      <c r="L548" s="30"/>
      <c r="M548" s="30" t="s">
        <v>2132</v>
      </c>
      <c r="N548" s="30" t="s">
        <v>2265</v>
      </c>
      <c r="O548" s="31">
        <f t="shared" si="43"/>
        <v>18</v>
      </c>
      <c r="P548" s="136" t="s">
        <v>2133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2221</v>
      </c>
      <c r="W548" s="70" t="s">
        <v>2221</v>
      </c>
      <c r="X548" s="70" t="s">
        <v>2221</v>
      </c>
      <c r="Y548" s="70" t="s">
        <v>2221</v>
      </c>
      <c r="Z548" s="70" t="s">
        <v>2221</v>
      </c>
      <c r="AA548" s="70"/>
      <c r="AB548" s="70"/>
      <c r="AC548" s="70" t="s">
        <v>2221</v>
      </c>
      <c r="AD548" s="70" t="s">
        <v>2221</v>
      </c>
      <c r="AE548" s="70" t="s">
        <v>2221</v>
      </c>
      <c r="AF548" s="70" t="s">
        <v>2221</v>
      </c>
      <c r="AG548" s="70" t="s">
        <v>2221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2435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10</v>
      </c>
      <c r="P551" s="136" t="s">
        <v>2049</v>
      </c>
      <c r="Q551" s="131">
        <f t="shared" si="44"/>
        <v>18</v>
      </c>
      <c r="R551" s="132">
        <f t="shared" si="45"/>
        <v>0.35714285714285715</v>
      </c>
      <c r="S551" s="70"/>
      <c r="T551" s="70"/>
      <c r="U551" s="70"/>
      <c r="V551" s="70" t="s">
        <v>2221</v>
      </c>
      <c r="W551" s="70" t="s">
        <v>2221</v>
      </c>
      <c r="X551" s="70" t="s">
        <v>2221</v>
      </c>
      <c r="Y551" s="70" t="s">
        <v>2221</v>
      </c>
      <c r="Z551" s="70" t="s">
        <v>2221</v>
      </c>
      <c r="AA551" s="70"/>
      <c r="AB551" s="70"/>
      <c r="AC551" s="70" t="s">
        <v>2221</v>
      </c>
      <c r="AD551" s="70" t="s">
        <v>2221</v>
      </c>
      <c r="AE551" s="70" t="s">
        <v>2221</v>
      </c>
      <c r="AF551" s="70" t="s">
        <v>2221</v>
      </c>
      <c r="AG551" s="70" t="s">
        <v>2221</v>
      </c>
      <c r="AH551" s="70"/>
      <c r="AI551" s="70"/>
      <c r="AJ551" s="70" t="s">
        <v>2221</v>
      </c>
      <c r="AK551" s="70" t="s">
        <v>2221</v>
      </c>
      <c r="AL551" s="70" t="s">
        <v>2221</v>
      </c>
      <c r="AM551" s="70" t="s">
        <v>2221</v>
      </c>
      <c r="AN551" s="70" t="s">
        <v>2221</v>
      </c>
      <c r="AO551" s="70"/>
      <c r="AP551" s="70"/>
      <c r="AQ551" s="70"/>
      <c r="AR551" s="70" t="s">
        <v>2221</v>
      </c>
      <c r="AS551" s="70" t="s">
        <v>2221</v>
      </c>
      <c r="AT551" s="70" t="s">
        <v>2221</v>
      </c>
      <c r="AU551" s="70" t="s">
        <v>2221</v>
      </c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2336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10</v>
      </c>
      <c r="P553" s="136" t="s">
        <v>2051</v>
      </c>
      <c r="Q553" s="31">
        <f t="shared" si="44"/>
        <v>18</v>
      </c>
      <c r="R553" s="32">
        <f t="shared" si="45"/>
        <v>0.35714285714285715</v>
      </c>
      <c r="S553" s="70"/>
      <c r="T553" s="70"/>
      <c r="U553" s="70"/>
      <c r="V553" s="70" t="s">
        <v>2221</v>
      </c>
      <c r="W553" s="70" t="s">
        <v>2221</v>
      </c>
      <c r="X553" s="70" t="s">
        <v>2221</v>
      </c>
      <c r="Y553" s="70" t="s">
        <v>2221</v>
      </c>
      <c r="Z553" s="70" t="s">
        <v>2221</v>
      </c>
      <c r="AA553" s="70"/>
      <c r="AB553" s="70"/>
      <c r="AC553" s="70" t="s">
        <v>2221</v>
      </c>
      <c r="AD553" s="70" t="s">
        <v>2221</v>
      </c>
      <c r="AE553" s="70" t="s">
        <v>2221</v>
      </c>
      <c r="AF553" s="70" t="s">
        <v>2221</v>
      </c>
      <c r="AG553" s="70" t="s">
        <v>2221</v>
      </c>
      <c r="AH553" s="70"/>
      <c r="AI553" s="70"/>
      <c r="AJ553" s="70" t="s">
        <v>2221</v>
      </c>
      <c r="AK553" s="70" t="s">
        <v>2221</v>
      </c>
      <c r="AL553" s="70" t="s">
        <v>2221</v>
      </c>
      <c r="AM553" s="70" t="s">
        <v>2221</v>
      </c>
      <c r="AN553" s="70" t="s">
        <v>2221</v>
      </c>
      <c r="AO553" s="70"/>
      <c r="AP553" s="70"/>
      <c r="AQ553" s="70"/>
      <c r="AR553" s="70" t="s">
        <v>2221</v>
      </c>
      <c r="AS553" s="70" t="s">
        <v>2221</v>
      </c>
      <c r="AT553" s="70" t="s">
        <v>2221</v>
      </c>
      <c r="AU553" s="70" t="s">
        <v>2221</v>
      </c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2147</v>
      </c>
      <c r="J555" s="84" t="s">
        <v>14</v>
      </c>
      <c r="K555" s="84" t="s">
        <v>1278</v>
      </c>
      <c r="L555" s="30"/>
      <c r="M555" s="30" t="s">
        <v>2294</v>
      </c>
      <c r="N555" s="30"/>
      <c r="O555" s="31">
        <f t="shared" si="43"/>
        <v>12</v>
      </c>
      <c r="P555" s="136" t="s">
        <v>2148</v>
      </c>
      <c r="Q555" s="31">
        <f t="shared" si="44"/>
        <v>16</v>
      </c>
      <c r="R555" s="32">
        <f t="shared" si="45"/>
        <v>0.42857142857142855</v>
      </c>
      <c r="S555" s="70"/>
      <c r="T555" s="70"/>
      <c r="U555" s="70"/>
      <c r="V555" s="70" t="s">
        <v>2221</v>
      </c>
      <c r="W555" s="70" t="s">
        <v>2221</v>
      </c>
      <c r="X555" s="70" t="s">
        <v>2221</v>
      </c>
      <c r="Y555" s="70" t="s">
        <v>2221</v>
      </c>
      <c r="Z555" s="70" t="s">
        <v>2221</v>
      </c>
      <c r="AA555" s="70"/>
      <c r="AB555" s="70"/>
      <c r="AC555" s="70" t="s">
        <v>2221</v>
      </c>
      <c r="AD555" s="70" t="s">
        <v>2221</v>
      </c>
      <c r="AE555" s="70" t="s">
        <v>2221</v>
      </c>
      <c r="AF555" s="70" t="s">
        <v>2221</v>
      </c>
      <c r="AG555" s="70" t="s">
        <v>2221</v>
      </c>
      <c r="AH555" s="70"/>
      <c r="AI555" s="70"/>
      <c r="AJ555" s="70" t="s">
        <v>2221</v>
      </c>
      <c r="AK555" s="70" t="s">
        <v>2221</v>
      </c>
      <c r="AL555" s="70" t="s">
        <v>2221</v>
      </c>
      <c r="AM555" s="70" t="s">
        <v>2221</v>
      </c>
      <c r="AN555" s="70" t="s">
        <v>2221</v>
      </c>
      <c r="AO555" s="70"/>
      <c r="AP555" s="70"/>
      <c r="AQ555" s="70"/>
      <c r="AR555" s="70" t="s">
        <v>2221</v>
      </c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2089</v>
      </c>
      <c r="H556" t="s">
        <v>1041</v>
      </c>
      <c r="I556" s="73" t="s">
        <v>2090</v>
      </c>
      <c r="J556" s="84" t="s">
        <v>14</v>
      </c>
      <c r="K556" s="84" t="s">
        <v>1278</v>
      </c>
      <c r="L556" s="30"/>
      <c r="M556" s="30" t="s">
        <v>2295</v>
      </c>
      <c r="N556" s="30"/>
      <c r="O556" s="31">
        <f t="shared" si="43"/>
        <v>26</v>
      </c>
      <c r="P556" s="136" t="s">
        <v>2091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2221</v>
      </c>
      <c r="AF556" s="70" t="s">
        <v>2221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2094</v>
      </c>
      <c r="G557" s="73" t="s">
        <v>2092</v>
      </c>
      <c r="H557" t="s">
        <v>1041</v>
      </c>
      <c r="I557" s="73" t="s">
        <v>2093</v>
      </c>
      <c r="J557" s="84" t="s">
        <v>14</v>
      </c>
      <c r="K557" s="84" t="s">
        <v>1278</v>
      </c>
      <c r="L557" s="84"/>
      <c r="M557" s="84" t="s">
        <v>2296</v>
      </c>
      <c r="N557" s="84"/>
      <c r="O557" s="131">
        <f t="shared" si="43"/>
        <v>25</v>
      </c>
      <c r="P557" s="136" t="s">
        <v>2095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2221</v>
      </c>
      <c r="AL557" s="70" t="s">
        <v>2221</v>
      </c>
      <c r="AM557" s="70" t="s">
        <v>2221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27</v>
      </c>
      <c r="P558" s="136" t="s">
        <v>2053</v>
      </c>
      <c r="Q558" s="131">
        <f t="shared" si="44"/>
        <v>1</v>
      </c>
      <c r="R558" s="132">
        <f t="shared" si="45"/>
        <v>0.9642857142857143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 t="s">
        <v>2221</v>
      </c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2455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2137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2481</v>
      </c>
      <c r="J563" s="30" t="s">
        <v>14</v>
      </c>
      <c r="K563" s="84" t="s">
        <v>1278</v>
      </c>
      <c r="L563" s="84"/>
      <c r="M563" s="84" t="s">
        <v>2086</v>
      </c>
      <c r="N563" s="84"/>
      <c r="O563" s="131">
        <f t="shared" si="43"/>
        <v>10</v>
      </c>
      <c r="P563" s="136"/>
      <c r="Q563" s="131">
        <f t="shared" si="44"/>
        <v>18</v>
      </c>
      <c r="R563" s="132">
        <f t="shared" si="45"/>
        <v>0.35714285714285715</v>
      </c>
      <c r="S563" s="70"/>
      <c r="T563" s="70"/>
      <c r="U563" s="70"/>
      <c r="V563" s="70" t="s">
        <v>2221</v>
      </c>
      <c r="W563" s="70" t="s">
        <v>2221</v>
      </c>
      <c r="X563" s="70" t="s">
        <v>2221</v>
      </c>
      <c r="Y563" s="70" t="s">
        <v>2221</v>
      </c>
      <c r="Z563" s="70" t="s">
        <v>2221</v>
      </c>
      <c r="AA563" s="70"/>
      <c r="AB563" s="70"/>
      <c r="AC563" s="70" t="s">
        <v>2221</v>
      </c>
      <c r="AD563" s="70" t="s">
        <v>2221</v>
      </c>
      <c r="AE563" s="70" t="s">
        <v>2221</v>
      </c>
      <c r="AF563" s="70" t="s">
        <v>2221</v>
      </c>
      <c r="AG563" s="70" t="s">
        <v>2221</v>
      </c>
      <c r="AH563" s="70"/>
      <c r="AI563" s="70"/>
      <c r="AJ563" s="70" t="s">
        <v>2221</v>
      </c>
      <c r="AK563" s="70" t="s">
        <v>2221</v>
      </c>
      <c r="AL563" s="70" t="s">
        <v>2221</v>
      </c>
      <c r="AM563" s="70" t="s">
        <v>2221</v>
      </c>
      <c r="AN563" s="70" t="s">
        <v>2221</v>
      </c>
      <c r="AO563" s="70"/>
      <c r="AP563" s="70"/>
      <c r="AQ563" s="70"/>
      <c r="AR563" s="70" t="s">
        <v>2221</v>
      </c>
      <c r="AS563" s="70" t="s">
        <v>2221</v>
      </c>
      <c r="AT563" s="70" t="s">
        <v>2221</v>
      </c>
      <c r="AU563" s="70" t="s">
        <v>2221</v>
      </c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/>
      <c r="G565" s="73" t="s">
        <v>2475</v>
      </c>
      <c r="H565" s="73" t="s">
        <v>1042</v>
      </c>
      <c r="I565" s="73" t="s">
        <v>2476</v>
      </c>
      <c r="J565" s="84" t="s">
        <v>14</v>
      </c>
      <c r="K565" s="84" t="s">
        <v>1278</v>
      </c>
      <c r="L565" s="84"/>
      <c r="M565" s="84" t="s">
        <v>2477</v>
      </c>
      <c r="N565" s="84"/>
      <c r="O565" s="131"/>
      <c r="P565" s="136" t="s">
        <v>2478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 t="s">
        <v>2468</v>
      </c>
      <c r="B566" t="s">
        <v>73</v>
      </c>
      <c r="C566" t="s">
        <v>2469</v>
      </c>
      <c r="D566" t="s">
        <v>610</v>
      </c>
      <c r="E566" s="156" t="s">
        <v>2470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10</v>
      </c>
      <c r="P566" s="136" t="s">
        <v>2134</v>
      </c>
      <c r="Q566" s="31">
        <f t="shared" si="44"/>
        <v>18</v>
      </c>
      <c r="R566" s="32">
        <f t="shared" si="45"/>
        <v>0.35714285714285715</v>
      </c>
      <c r="S566" s="70"/>
      <c r="T566" s="70"/>
      <c r="U566" s="70"/>
      <c r="V566" s="70" t="s">
        <v>2221</v>
      </c>
      <c r="W566" s="70" t="s">
        <v>2221</v>
      </c>
      <c r="X566" s="70" t="s">
        <v>2221</v>
      </c>
      <c r="Y566" s="70" t="s">
        <v>2221</v>
      </c>
      <c r="Z566" s="70" t="s">
        <v>2221</v>
      </c>
      <c r="AA566" s="70"/>
      <c r="AB566" s="70"/>
      <c r="AC566" s="70" t="s">
        <v>2221</v>
      </c>
      <c r="AD566" s="70" t="s">
        <v>2221</v>
      </c>
      <c r="AE566" s="70" t="s">
        <v>2221</v>
      </c>
      <c r="AF566" s="70" t="s">
        <v>2221</v>
      </c>
      <c r="AG566" s="70" t="s">
        <v>2221</v>
      </c>
      <c r="AH566" s="70"/>
      <c r="AI566" s="70"/>
      <c r="AJ566" s="70" t="s">
        <v>2221</v>
      </c>
      <c r="AK566" s="70" t="s">
        <v>2221</v>
      </c>
      <c r="AL566" s="70" t="s">
        <v>2221</v>
      </c>
      <c r="AM566" s="70" t="s">
        <v>2221</v>
      </c>
      <c r="AN566" s="70" t="s">
        <v>2221</v>
      </c>
      <c r="AO566" s="70"/>
      <c r="AP566" s="70"/>
      <c r="AQ566" s="70"/>
      <c r="AR566" s="70" t="s">
        <v>2221</v>
      </c>
      <c r="AS566" s="70" t="s">
        <v>2221</v>
      </c>
      <c r="AT566" s="70" t="s">
        <v>2221</v>
      </c>
      <c r="AU566" s="70" t="s">
        <v>2221</v>
      </c>
      <c r="AV566" s="70"/>
      <c r="AW566" s="73"/>
    </row>
    <row r="567" spans="1:49" ht="15.75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2471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2367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thickBot="1" x14ac:dyDescent="0.3">
      <c r="A568" t="s">
        <v>126</v>
      </c>
      <c r="B568" t="s">
        <v>127</v>
      </c>
      <c r="C568" t="s">
        <v>2469</v>
      </c>
      <c r="D568" t="s">
        <v>643</v>
      </c>
      <c r="E568" t="s">
        <v>2471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11</v>
      </c>
      <c r="P568" s="136" t="s">
        <v>2135</v>
      </c>
      <c r="Q568" s="31">
        <f t="shared" si="44"/>
        <v>17</v>
      </c>
      <c r="R568" s="32">
        <f t="shared" si="45"/>
        <v>0.39285714285714285</v>
      </c>
      <c r="S568" s="70"/>
      <c r="T568" s="70"/>
      <c r="U568" s="70"/>
      <c r="V568" s="70" t="s">
        <v>2221</v>
      </c>
      <c r="W568" s="70" t="s">
        <v>2221</v>
      </c>
      <c r="X568" s="70" t="s">
        <v>2221</v>
      </c>
      <c r="Y568" s="70" t="s">
        <v>2221</v>
      </c>
      <c r="Z568" s="70" t="s">
        <v>2221</v>
      </c>
      <c r="AA568" s="70"/>
      <c r="AB568" s="70"/>
      <c r="AC568" s="70" t="s">
        <v>2221</v>
      </c>
      <c r="AD568" s="70" t="s">
        <v>2221</v>
      </c>
      <c r="AE568" s="70" t="s">
        <v>2221</v>
      </c>
      <c r="AF568" s="70" t="s">
        <v>2221</v>
      </c>
      <c r="AG568" s="70" t="s">
        <v>2221</v>
      </c>
      <c r="AH568" s="70"/>
      <c r="AI568" s="70"/>
      <c r="AJ568" s="70"/>
      <c r="AK568" s="70" t="s">
        <v>2221</v>
      </c>
      <c r="AL568" s="70" t="s">
        <v>2221</v>
      </c>
      <c r="AM568" s="70" t="s">
        <v>2221</v>
      </c>
      <c r="AN568" s="70" t="s">
        <v>2221</v>
      </c>
      <c r="AO568" s="70"/>
      <c r="AP568" s="70"/>
      <c r="AQ568" s="70"/>
      <c r="AR568" s="70" t="s">
        <v>2221</v>
      </c>
      <c r="AS568" s="70" t="s">
        <v>2221</v>
      </c>
      <c r="AT568" s="70" t="s">
        <v>2221</v>
      </c>
      <c r="AU568" s="70" t="s">
        <v>2221</v>
      </c>
      <c r="AV568" s="70"/>
    </row>
    <row r="569" spans="1:49" s="73" customFormat="1" ht="15.75" thickBot="1" x14ac:dyDescent="0.3">
      <c r="A569" t="s">
        <v>137</v>
      </c>
      <c r="B569" t="s">
        <v>138</v>
      </c>
      <c r="C569" t="s">
        <v>2469</v>
      </c>
      <c r="D569" t="s">
        <v>1432</v>
      </c>
      <c r="E569" s="126" t="s">
        <v>2472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2367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2471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153</v>
      </c>
      <c r="B571" t="s">
        <v>154</v>
      </c>
      <c r="C571" t="s">
        <v>2469</v>
      </c>
      <c r="D571" t="s">
        <v>667</v>
      </c>
      <c r="E571" s="157" t="s">
        <v>2473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2471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2221</v>
      </c>
      <c r="W572" s="70" t="s">
        <v>2221</v>
      </c>
      <c r="X572" s="70" t="s">
        <v>2221</v>
      </c>
      <c r="Y572" s="70" t="s">
        <v>2221</v>
      </c>
      <c r="Z572" s="70" t="s">
        <v>2221</v>
      </c>
      <c r="AA572" s="70"/>
      <c r="AB572" s="70"/>
      <c r="AC572" s="70" t="s">
        <v>2221</v>
      </c>
      <c r="AD572" s="70" t="s">
        <v>2221</v>
      </c>
      <c r="AE572" s="70" t="s">
        <v>2221</v>
      </c>
      <c r="AF572" s="70" t="s">
        <v>2221</v>
      </c>
      <c r="AG572" s="70" t="s">
        <v>2221</v>
      </c>
      <c r="AH572" s="70"/>
      <c r="AI572" s="70"/>
      <c r="AJ572" s="70" t="s">
        <v>2221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2196</v>
      </c>
      <c r="B573" t="s">
        <v>2197</v>
      </c>
      <c r="C573" t="s">
        <v>2469</v>
      </c>
      <c r="D573" t="s">
        <v>2198</v>
      </c>
      <c r="E573" s="157" t="s">
        <v>2473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2221</v>
      </c>
      <c r="W573" s="70" t="s">
        <v>2221</v>
      </c>
      <c r="X573" s="70" t="s">
        <v>2221</v>
      </c>
      <c r="Y573" s="70" t="s">
        <v>2221</v>
      </c>
      <c r="Z573" s="70" t="s">
        <v>2221</v>
      </c>
      <c r="AA573" s="70"/>
      <c r="AB573" s="70"/>
      <c r="AC573" s="70" t="s">
        <v>2221</v>
      </c>
      <c r="AD573" s="70" t="s">
        <v>2221</v>
      </c>
      <c r="AE573" s="70" t="s">
        <v>2221</v>
      </c>
      <c r="AF573" s="70" t="s">
        <v>2221</v>
      </c>
      <c r="AG573" s="70" t="s">
        <v>2221</v>
      </c>
      <c r="AH573" s="70"/>
      <c r="AI573" s="70"/>
      <c r="AJ573" s="70" t="s">
        <v>2221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2471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2221</v>
      </c>
      <c r="W574" s="70" t="s">
        <v>2221</v>
      </c>
      <c r="X574" s="70" t="s">
        <v>2221</v>
      </c>
      <c r="Y574" s="70" t="s">
        <v>2221</v>
      </c>
      <c r="Z574" s="70" t="s">
        <v>2221</v>
      </c>
      <c r="AA574" s="70"/>
      <c r="AB574" s="70"/>
      <c r="AC574" s="70" t="s">
        <v>2221</v>
      </c>
      <c r="AD574" s="70" t="s">
        <v>2221</v>
      </c>
      <c r="AE574" s="70" t="s">
        <v>2221</v>
      </c>
      <c r="AF574" s="70" t="s">
        <v>2221</v>
      </c>
      <c r="AG574" s="70" t="s">
        <v>2221</v>
      </c>
      <c r="AH574" s="70"/>
      <c r="AI574" s="70"/>
      <c r="AJ574" s="70" t="s">
        <v>2221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2473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10</v>
      </c>
      <c r="P575" s="136" t="s">
        <v>2063</v>
      </c>
      <c r="Q575" s="31">
        <f t="shared" si="44"/>
        <v>18</v>
      </c>
      <c r="R575" s="32">
        <f t="shared" si="45"/>
        <v>0.35714285714285715</v>
      </c>
      <c r="S575" s="70"/>
      <c r="T575" s="70"/>
      <c r="U575" s="70"/>
      <c r="V575" s="70" t="s">
        <v>2221</v>
      </c>
      <c r="W575" s="70" t="s">
        <v>2221</v>
      </c>
      <c r="X575" s="70" t="s">
        <v>2221</v>
      </c>
      <c r="Y575" s="70" t="s">
        <v>2221</v>
      </c>
      <c r="Z575" s="70" t="s">
        <v>2221</v>
      </c>
      <c r="AA575" s="70"/>
      <c r="AB575" s="70"/>
      <c r="AC575" s="70" t="s">
        <v>2221</v>
      </c>
      <c r="AD575" s="70" t="s">
        <v>2221</v>
      </c>
      <c r="AE575" s="70" t="s">
        <v>2221</v>
      </c>
      <c r="AF575" s="70" t="s">
        <v>2221</v>
      </c>
      <c r="AG575" s="70" t="s">
        <v>2221</v>
      </c>
      <c r="AH575" s="70"/>
      <c r="AI575" s="70"/>
      <c r="AJ575" s="70" t="s">
        <v>2221</v>
      </c>
      <c r="AK575" s="70" t="s">
        <v>2221</v>
      </c>
      <c r="AL575" s="70" t="s">
        <v>2221</v>
      </c>
      <c r="AM575" s="70" t="s">
        <v>2221</v>
      </c>
      <c r="AN575" s="70" t="s">
        <v>2221</v>
      </c>
      <c r="AO575" s="70"/>
      <c r="AP575" s="70"/>
      <c r="AQ575" s="70"/>
      <c r="AR575" s="70" t="s">
        <v>2221</v>
      </c>
      <c r="AS575" s="70" t="s">
        <v>2221</v>
      </c>
      <c r="AT575" s="70" t="s">
        <v>2221</v>
      </c>
      <c r="AU575" s="70" t="s">
        <v>2221</v>
      </c>
      <c r="AV575" s="70"/>
      <c r="AW575" s="73"/>
    </row>
    <row r="576" spans="1:49" ht="15.75" thickBot="1" x14ac:dyDescent="0.3">
      <c r="A576" t="s">
        <v>270</v>
      </c>
      <c r="B576" t="s">
        <v>271</v>
      </c>
      <c r="C576" t="s">
        <v>2469</v>
      </c>
      <c r="D576" t="s">
        <v>711</v>
      </c>
      <c r="E576" s="157" t="s">
        <v>2473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1278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2221</v>
      </c>
      <c r="W576" s="70" t="s">
        <v>2221</v>
      </c>
      <c r="X576" s="70" t="s">
        <v>2221</v>
      </c>
      <c r="Y576" s="70" t="s">
        <v>2221</v>
      </c>
      <c r="Z576" s="70" t="s">
        <v>2221</v>
      </c>
      <c r="AA576" s="70"/>
      <c r="AB576" s="70"/>
      <c r="AC576" s="70" t="s">
        <v>2221</v>
      </c>
      <c r="AD576" s="70" t="s">
        <v>2221</v>
      </c>
      <c r="AE576" s="70" t="s">
        <v>2221</v>
      </c>
      <c r="AF576" s="70" t="s">
        <v>2221</v>
      </c>
      <c r="AG576" s="70" t="s">
        <v>2221</v>
      </c>
      <c r="AH576" s="70"/>
      <c r="AI576" s="70"/>
      <c r="AJ576" s="70" t="s">
        <v>2221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 t="s">
        <v>1293</v>
      </c>
      <c r="B577" t="s">
        <v>1296</v>
      </c>
      <c r="C577" t="s">
        <v>2469</v>
      </c>
      <c r="D577" t="s">
        <v>1308</v>
      </c>
      <c r="E577" s="157" t="s">
        <v>2473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1278</v>
      </c>
      <c r="L577" s="30"/>
      <c r="M577" s="30" t="s">
        <v>873</v>
      </c>
      <c r="N577" s="30"/>
      <c r="O577" s="31">
        <f t="shared" si="43"/>
        <v>15</v>
      </c>
      <c r="P577" s="136" t="s">
        <v>2066</v>
      </c>
      <c r="Q577" s="31">
        <f t="shared" si="44"/>
        <v>13</v>
      </c>
      <c r="R577" s="32">
        <f t="shared" si="45"/>
        <v>0.5357142857142857</v>
      </c>
      <c r="S577" s="70"/>
      <c r="T577" s="70"/>
      <c r="U577" s="70"/>
      <c r="V577" s="70" t="s">
        <v>2221</v>
      </c>
      <c r="W577" s="70" t="s">
        <v>2221</v>
      </c>
      <c r="X577" s="70" t="s">
        <v>2221</v>
      </c>
      <c r="Y577" s="70" t="s">
        <v>2221</v>
      </c>
      <c r="Z577" s="70" t="s">
        <v>2221</v>
      </c>
      <c r="AA577" s="70"/>
      <c r="AB577" s="70"/>
      <c r="AC577" s="70" t="s">
        <v>2221</v>
      </c>
      <c r="AD577" s="70" t="s">
        <v>2221</v>
      </c>
      <c r="AE577" s="70" t="s">
        <v>2221</v>
      </c>
      <c r="AF577" s="70" t="s">
        <v>2221</v>
      </c>
      <c r="AG577" s="70" t="s">
        <v>2221</v>
      </c>
      <c r="AH577" s="70"/>
      <c r="AI577" s="70"/>
      <c r="AJ577" s="70" t="s">
        <v>2221</v>
      </c>
      <c r="AK577" s="70"/>
      <c r="AL577" s="70"/>
      <c r="AM577" s="70"/>
      <c r="AN577" s="70"/>
      <c r="AO577" s="70"/>
      <c r="AP577" s="70"/>
      <c r="AQ577" s="70"/>
      <c r="AR577" s="70" t="s">
        <v>2221</v>
      </c>
      <c r="AS577" s="70" t="s">
        <v>2221</v>
      </c>
      <c r="AT577" s="70"/>
      <c r="AU577" s="70"/>
      <c r="AV577" s="70"/>
    </row>
    <row r="578" spans="1:49" ht="15.75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2471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2221</v>
      </c>
      <c r="W578" s="70" t="s">
        <v>2221</v>
      </c>
      <c r="X578" s="70" t="s">
        <v>2221</v>
      </c>
      <c r="Y578" s="70" t="s">
        <v>2221</v>
      </c>
      <c r="Z578" s="70" t="s">
        <v>2221</v>
      </c>
      <c r="AA578" s="70"/>
      <c r="AB578" s="70"/>
      <c r="AC578" s="70" t="s">
        <v>2221</v>
      </c>
      <c r="AD578" s="70" t="s">
        <v>2221</v>
      </c>
      <c r="AE578" s="70" t="s">
        <v>2221</v>
      </c>
      <c r="AF578" s="70" t="s">
        <v>2221</v>
      </c>
      <c r="AG578" s="70" t="s">
        <v>2221</v>
      </c>
      <c r="AH578" s="70"/>
      <c r="AI578" s="70"/>
      <c r="AJ578" s="70" t="s">
        <v>2221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2471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874</v>
      </c>
      <c r="N579" s="30"/>
      <c r="O579" s="31">
        <f t="shared" si="43"/>
        <v>15</v>
      </c>
      <c r="P579" s="136" t="s">
        <v>2067</v>
      </c>
      <c r="Q579" s="31">
        <f t="shared" si="44"/>
        <v>13</v>
      </c>
      <c r="R579" s="32">
        <f t="shared" si="45"/>
        <v>0.5357142857142857</v>
      </c>
      <c r="S579" s="70"/>
      <c r="T579" s="70"/>
      <c r="U579" s="70"/>
      <c r="V579" s="70" t="s">
        <v>2221</v>
      </c>
      <c r="W579" s="70" t="s">
        <v>2221</v>
      </c>
      <c r="X579" s="70" t="s">
        <v>2221</v>
      </c>
      <c r="Y579" s="70" t="s">
        <v>2221</v>
      </c>
      <c r="Z579" s="70" t="s">
        <v>2221</v>
      </c>
      <c r="AA579" s="70"/>
      <c r="AB579" s="70"/>
      <c r="AC579" s="70" t="s">
        <v>2221</v>
      </c>
      <c r="AD579" s="70" t="s">
        <v>2221</v>
      </c>
      <c r="AE579" s="70" t="s">
        <v>2221</v>
      </c>
      <c r="AF579" s="70" t="s">
        <v>2221</v>
      </c>
      <c r="AG579" s="70" t="s">
        <v>2221</v>
      </c>
      <c r="AH579" s="70"/>
      <c r="AI579" s="70"/>
      <c r="AJ579" s="70" t="s">
        <v>2221</v>
      </c>
      <c r="AK579" s="70"/>
      <c r="AL579" s="70"/>
      <c r="AM579" s="70"/>
      <c r="AN579" s="70"/>
      <c r="AO579" s="70"/>
      <c r="AP579" s="70"/>
      <c r="AQ579" s="70"/>
      <c r="AR579" s="70" t="s">
        <v>2221</v>
      </c>
      <c r="AS579" s="70" t="s">
        <v>2221</v>
      </c>
      <c r="AT579" s="70"/>
      <c r="AU579" s="70"/>
      <c r="AV579" s="70"/>
      <c r="AW579"/>
    </row>
    <row r="580" spans="1:49" s="73" customFormat="1" ht="15.75" thickBot="1" x14ac:dyDescent="0.3">
      <c r="A580" t="s">
        <v>312</v>
      </c>
      <c r="B580" t="s">
        <v>313</v>
      </c>
      <c r="C580" t="s">
        <v>2469</v>
      </c>
      <c r="D580" t="s">
        <v>725</v>
      </c>
      <c r="E580" t="s">
        <v>2471</v>
      </c>
      <c r="F580" t="s">
        <v>573</v>
      </c>
      <c r="G580" t="s">
        <v>2464</v>
      </c>
      <c r="H580" t="s">
        <v>1042</v>
      </c>
      <c r="I580" t="s">
        <v>2465</v>
      </c>
      <c r="J580" s="30" t="s">
        <v>14</v>
      </c>
      <c r="K580" s="30" t="s">
        <v>1278</v>
      </c>
      <c r="L580" s="30"/>
      <c r="M580" s="30" t="s">
        <v>2466</v>
      </c>
      <c r="N580" s="155"/>
      <c r="O580" s="153">
        <f t="shared" si="43"/>
        <v>28</v>
      </c>
      <c r="P580" s="154" t="s">
        <v>2467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2471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2151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1312</v>
      </c>
      <c r="B582" t="s">
        <v>1313</v>
      </c>
      <c r="C582" t="s">
        <v>2469</v>
      </c>
      <c r="D582" t="s">
        <v>1323</v>
      </c>
      <c r="E582" s="157" t="s">
        <v>2473</v>
      </c>
      <c r="F582" s="73" t="s">
        <v>578</v>
      </c>
      <c r="G582" s="73" t="s">
        <v>2200</v>
      </c>
      <c r="H582" s="73" t="s">
        <v>1042</v>
      </c>
      <c r="I582" s="73" t="s">
        <v>2201</v>
      </c>
      <c r="J582" s="84" t="s">
        <v>14</v>
      </c>
      <c r="K582" s="84" t="s">
        <v>1278</v>
      </c>
      <c r="L582" s="84"/>
      <c r="M582" s="84" t="s">
        <v>2202</v>
      </c>
      <c r="N582" s="84"/>
      <c r="O582" s="131">
        <f t="shared" si="43"/>
        <v>28</v>
      </c>
      <c r="P582" s="136" t="s">
        <v>2203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2473</v>
      </c>
      <c r="F583" s="73" t="s">
        <v>578</v>
      </c>
      <c r="G583" s="73" t="s">
        <v>2213</v>
      </c>
      <c r="H583" s="73" t="s">
        <v>1042</v>
      </c>
      <c r="I583" s="73" t="s">
        <v>2214</v>
      </c>
      <c r="J583" s="84" t="s">
        <v>14</v>
      </c>
      <c r="K583" s="84" t="s">
        <v>1278</v>
      </c>
      <c r="L583" s="84"/>
      <c r="M583" s="84" t="s">
        <v>2297</v>
      </c>
      <c r="N583" s="84"/>
      <c r="O583" s="131">
        <f t="shared" si="43"/>
        <v>28</v>
      </c>
      <c r="P583" s="136" t="s">
        <v>2432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2471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2153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s="69" t="s">
        <v>397</v>
      </c>
      <c r="B585" s="69" t="s">
        <v>398</v>
      </c>
      <c r="C585" s="69" t="s">
        <v>2469</v>
      </c>
      <c r="D585" s="69" t="s">
        <v>774</v>
      </c>
      <c r="E585" s="69" t="s">
        <v>2471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 s="69" t="s">
        <v>399</v>
      </c>
      <c r="B586" s="69" t="s">
        <v>398</v>
      </c>
      <c r="C586" s="69" t="s">
        <v>2469</v>
      </c>
      <c r="D586" s="69" t="s">
        <v>775</v>
      </c>
      <c r="E586" s="69" t="s">
        <v>2471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883</v>
      </c>
      <c r="B587" s="69" t="s">
        <v>884</v>
      </c>
      <c r="C587" s="69" t="s">
        <v>2469</v>
      </c>
      <c r="D587" s="69" t="s">
        <v>891</v>
      </c>
      <c r="E587" s="69" t="s">
        <v>2471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885</v>
      </c>
      <c r="B588" s="69" t="s">
        <v>886</v>
      </c>
      <c r="C588" s="69" t="s">
        <v>2469</v>
      </c>
      <c r="D588" s="69" t="s">
        <v>892</v>
      </c>
      <c r="E588" s="69" t="s">
        <v>2471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13</v>
      </c>
      <c r="P588" s="136" t="s">
        <v>2070</v>
      </c>
      <c r="Q588" s="31">
        <f t="shared" si="47"/>
        <v>15</v>
      </c>
      <c r="R588" s="32">
        <f t="shared" si="48"/>
        <v>0.4642857142857143</v>
      </c>
      <c r="S588" s="70"/>
      <c r="T588" s="70"/>
      <c r="U588" s="70"/>
      <c r="V588" s="70"/>
      <c r="W588" s="70"/>
      <c r="X588" s="70"/>
      <c r="Y588" s="70" t="s">
        <v>2221</v>
      </c>
      <c r="Z588" s="70" t="s">
        <v>2221</v>
      </c>
      <c r="AA588" s="70"/>
      <c r="AB588" s="70"/>
      <c r="AC588" s="70" t="s">
        <v>2221</v>
      </c>
      <c r="AD588" s="70" t="s">
        <v>2221</v>
      </c>
      <c r="AE588" s="70" t="s">
        <v>2221</v>
      </c>
      <c r="AF588" s="70" t="s">
        <v>2221</v>
      </c>
      <c r="AG588" s="70" t="s">
        <v>2221</v>
      </c>
      <c r="AH588" s="70"/>
      <c r="AI588" s="70"/>
      <c r="AJ588" s="70" t="s">
        <v>2221</v>
      </c>
      <c r="AK588" s="70" t="s">
        <v>2221</v>
      </c>
      <c r="AL588" s="70" t="s">
        <v>2221</v>
      </c>
      <c r="AM588" s="70" t="s">
        <v>2221</v>
      </c>
      <c r="AN588" s="70" t="s">
        <v>2221</v>
      </c>
      <c r="AO588" s="70"/>
      <c r="AP588" s="70"/>
      <c r="AQ588" s="70"/>
      <c r="AR588" s="70" t="s">
        <v>2221</v>
      </c>
      <c r="AS588" s="70" t="s">
        <v>2221</v>
      </c>
      <c r="AT588" s="70" t="s">
        <v>2221</v>
      </c>
      <c r="AU588" s="70" t="s">
        <v>2221</v>
      </c>
      <c r="AV588" s="70"/>
    </row>
    <row r="589" spans="1:49" ht="15.75" thickBot="1" x14ac:dyDescent="0.3">
      <c r="A589" t="s">
        <v>2220</v>
      </c>
      <c r="B589" t="s">
        <v>2239</v>
      </c>
      <c r="C589" t="s">
        <v>2474</v>
      </c>
      <c r="D589" t="s">
        <v>2299</v>
      </c>
      <c r="E589" t="s">
        <v>2471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2152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2473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2470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1289</v>
      </c>
      <c r="B592" t="s">
        <v>2147</v>
      </c>
      <c r="C592" t="s">
        <v>1278</v>
      </c>
      <c r="D592" t="s">
        <v>2294</v>
      </c>
      <c r="E592" s="157" t="s">
        <v>2473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 s="151" t="s">
        <v>2460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2298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2226</v>
      </c>
      <c r="H595" s="73" t="s">
        <v>1041</v>
      </c>
      <c r="I595" s="73" t="s">
        <v>2227</v>
      </c>
      <c r="J595" s="84" t="s">
        <v>14</v>
      </c>
      <c r="K595" s="84" t="s">
        <v>1278</v>
      </c>
      <c r="L595" s="84"/>
      <c r="M595" s="84" t="s">
        <v>2228</v>
      </c>
      <c r="N595" s="84"/>
      <c r="O595" s="131">
        <f t="shared" si="46"/>
        <v>28</v>
      </c>
      <c r="P595" s="136" t="s">
        <v>2229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1" t="s">
        <v>2460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customHeight="1" x14ac:dyDescent="0.25">
      <c r="A599">
        <v>6</v>
      </c>
      <c r="B599">
        <v>12</v>
      </c>
      <c r="C599"/>
      <c r="D599"/>
      <c r="E599" t="s">
        <v>2334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x14ac:dyDescent="0.25">
      <c r="A600">
        <v>6</v>
      </c>
      <c r="B600">
        <v>12</v>
      </c>
      <c r="C600"/>
      <c r="D600"/>
      <c r="E600" t="s">
        <v>2334</v>
      </c>
      <c r="P600" s="136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  <c r="S604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/>
      <c r="B607"/>
      <c r="E607" s="151" t="s">
        <v>2463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2332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191" priority="3315" operator="equal">
      <formula>$H$281</formula>
    </cfRule>
  </conditionalFormatting>
  <conditionalFormatting sqref="H1:H599">
    <cfRule type="cellIs" dxfId="190" priority="648" operator="equal">
      <formula>"IPCOMS"</formula>
    </cfRule>
  </conditionalFormatting>
  <conditionalFormatting sqref="H280:H599">
    <cfRule type="cellIs" dxfId="189" priority="651" operator="equal">
      <formula>$H$300</formula>
    </cfRule>
  </conditionalFormatting>
  <conditionalFormatting sqref="H580:H599">
    <cfRule type="cellIs" dxfId="188" priority="652" operator="equal">
      <formula>$H$281</formula>
    </cfRule>
  </conditionalFormatting>
  <conditionalFormatting sqref="I20:I21 I164:I165 I224:I225 I260 I284:I287 I297:I299 I403:I407 I419:I421 I424:I425 H681:H1048576">
    <cfRule type="cellIs" dxfId="187" priority="2860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186" priority="3314" operator="equal">
      <formula>$H$300</formula>
    </cfRule>
  </conditionalFormatting>
  <conditionalFormatting sqref="J1:J569 J585:J599 J681:J1048576">
    <cfRule type="containsText" dxfId="185" priority="3321" operator="containsText" text="domo">
      <formula>NOT(ISERROR(SEARCH("domo",J1)))</formula>
    </cfRule>
    <cfRule type="containsText" dxfId="184" priority="3320" operator="containsText" text="fija">
      <formula>NOT(ISERROR(SEARCH("fija",J1)))</formula>
    </cfRule>
  </conditionalFormatting>
  <conditionalFormatting sqref="J34:J35 J162:N232 J236:N401">
    <cfRule type="containsText" dxfId="183" priority="2788" operator="containsText" text="Radio">
      <formula>NOT(ISERROR(SEARCH("Radio",J34)))</formula>
    </cfRule>
  </conditionalFormatting>
  <conditionalFormatting sqref="J135:J148 L148:N148">
    <cfRule type="containsText" dxfId="182" priority="2802" operator="containsText" text="Radio">
      <formula>NOT(ISERROR(SEARCH("Radio",J135)))</formula>
    </cfRule>
  </conditionalFormatting>
  <conditionalFormatting sqref="J403:J407">
    <cfRule type="containsText" dxfId="181" priority="2821" operator="containsText" text="Radio">
      <formula>NOT(ISERROR(SEARCH("Radio",J403)))</formula>
    </cfRule>
  </conditionalFormatting>
  <conditionalFormatting sqref="J571">
    <cfRule type="containsText" dxfId="180" priority="3263" operator="containsText" text="Radio">
      <formula>NOT(ISERROR(SEARCH("Radio",J571)))</formula>
    </cfRule>
    <cfRule type="containsText" dxfId="179" priority="3262" operator="containsText" text="domo">
      <formula>NOT(ISERROR(SEARCH("domo",J571)))</formula>
    </cfRule>
    <cfRule type="containsText" dxfId="178" priority="3261" operator="containsText" text="fija">
      <formula>NOT(ISERROR(SEARCH("fija",J571)))</formula>
    </cfRule>
  </conditionalFormatting>
  <conditionalFormatting sqref="J571:J572">
    <cfRule type="containsText" dxfId="177" priority="3256" operator="containsText" text="fija">
      <formula>NOT(ISERROR(SEARCH("fija",J571)))</formula>
    </cfRule>
    <cfRule type="containsText" dxfId="176" priority="3257" operator="containsText" text="domo">
      <formula>NOT(ISERROR(SEARCH("domo",J571)))</formula>
    </cfRule>
  </conditionalFormatting>
  <conditionalFormatting sqref="J572">
    <cfRule type="containsText" dxfId="175" priority="3258" operator="containsText" text="Radio">
      <formula>NOT(ISERROR(SEARCH("Radio",J572)))</formula>
    </cfRule>
    <cfRule type="containsText" dxfId="174" priority="3255" operator="containsText" text="domo">
      <formula>NOT(ISERROR(SEARCH("domo",J572)))</formula>
    </cfRule>
    <cfRule type="containsText" dxfId="173" priority="3254" operator="containsText" text="fija">
      <formula>NOT(ISERROR(SEARCH("fija",J572)))</formula>
    </cfRule>
  </conditionalFormatting>
  <conditionalFormatting sqref="J575">
    <cfRule type="containsText" dxfId="172" priority="3252" operator="containsText" text="domo">
      <formula>NOT(ISERROR(SEARCH("domo",J575)))</formula>
    </cfRule>
    <cfRule type="containsText" dxfId="171" priority="3253" operator="containsText" text="Radio">
      <formula>NOT(ISERROR(SEARCH("Radio",J575)))</formula>
    </cfRule>
    <cfRule type="containsText" dxfId="170" priority="3251" operator="containsText" text="fija">
      <formula>NOT(ISERROR(SEARCH("fija",J575)))</formula>
    </cfRule>
  </conditionalFormatting>
  <conditionalFormatting sqref="J575:J576">
    <cfRule type="containsText" dxfId="169" priority="3247" operator="containsText" text="domo">
      <formula>NOT(ISERROR(SEARCH("domo",J575)))</formula>
    </cfRule>
    <cfRule type="containsText" dxfId="168" priority="3246" operator="containsText" text="fija">
      <formula>NOT(ISERROR(SEARCH("fija",J575)))</formula>
    </cfRule>
  </conditionalFormatting>
  <conditionalFormatting sqref="J576 J48:N134 K135:K136 J234:K235 J402:K402 K403:K407 J408:N423 J424:K425 J426:N569 J681:N1048576 J585:N599 M402:N402 L402:L407">
    <cfRule type="containsText" dxfId="167" priority="3248" operator="containsText" text="Radio">
      <formula>NOT(ISERROR(SEARCH("Radio",J48)))</formula>
    </cfRule>
  </conditionalFormatting>
  <conditionalFormatting sqref="J576:J577">
    <cfRule type="containsText" dxfId="166" priority="3241" operator="containsText" text="fija">
      <formula>NOT(ISERROR(SEARCH("fija",J576)))</formula>
    </cfRule>
    <cfRule type="containsText" dxfId="165" priority="3242" operator="containsText" text="domo">
      <formula>NOT(ISERROR(SEARCH("domo",J576)))</formula>
    </cfRule>
  </conditionalFormatting>
  <conditionalFormatting sqref="J577">
    <cfRule type="containsText" dxfId="164" priority="3243" operator="containsText" text="Radio">
      <formula>NOT(ISERROR(SEARCH("Radio",J577)))</formula>
    </cfRule>
  </conditionalFormatting>
  <conditionalFormatting sqref="J577:J578">
    <cfRule type="containsText" dxfId="163" priority="3236" operator="containsText" text="fija">
      <formula>NOT(ISERROR(SEARCH("fija",J577)))</formula>
    </cfRule>
    <cfRule type="containsText" dxfId="162" priority="3237" operator="containsText" text="domo">
      <formula>NOT(ISERROR(SEARCH("domo",J577)))</formula>
    </cfRule>
  </conditionalFormatting>
  <conditionalFormatting sqref="J578">
    <cfRule type="containsText" dxfId="161" priority="3234" operator="containsText" text="fija">
      <formula>NOT(ISERROR(SEARCH("fija",J578)))</formula>
    </cfRule>
    <cfRule type="containsText" dxfId="160" priority="3235" operator="containsText" text="domo">
      <formula>NOT(ISERROR(SEARCH("domo",J578)))</formula>
    </cfRule>
    <cfRule type="containsText" dxfId="159" priority="3238" operator="containsText" text="Radio">
      <formula>NOT(ISERROR(SEARCH("Radio",J578)))</formula>
    </cfRule>
  </conditionalFormatting>
  <conditionalFormatting sqref="J580">
    <cfRule type="cellIs" dxfId="158" priority="653" operator="equal">
      <formula>$J$10</formula>
    </cfRule>
  </conditionalFormatting>
  <conditionalFormatting sqref="J581:J599 J1:J579 J681:J1048576">
    <cfRule type="cellIs" dxfId="157" priority="3316" operator="equal">
      <formula>$J$10</formula>
    </cfRule>
  </conditionalFormatting>
  <conditionalFormatting sqref="J583">
    <cfRule type="containsText" dxfId="156" priority="3532" operator="containsText" text="fija">
      <formula>NOT(ISERROR(SEARCH("fija",J583)))</formula>
    </cfRule>
    <cfRule type="containsText" dxfId="155" priority="3533" operator="containsText" text="domo">
      <formula>NOT(ISERROR(SEARCH("domo",J583)))</formula>
    </cfRule>
  </conditionalFormatting>
  <conditionalFormatting sqref="J586:J589">
    <cfRule type="containsText" dxfId="154" priority="3264" operator="containsText" text="fija">
      <formula>NOT(ISERROR(SEARCH("fija",J586)))</formula>
    </cfRule>
    <cfRule type="containsText" dxfId="153" priority="3265" operator="containsText" text="domo">
      <formula>NOT(ISERROR(SEARCH("domo",J586)))</formula>
    </cfRule>
  </conditionalFormatting>
  <conditionalFormatting sqref="J233:K233">
    <cfRule type="containsText" dxfId="152" priority="2823" operator="containsText" text="Radio">
      <formula>NOT(ISERROR(SEARCH("Radio",J233)))</formula>
    </cfRule>
  </conditionalFormatting>
  <conditionalFormatting sqref="J37:L47">
    <cfRule type="containsText" dxfId="151" priority="2793" operator="containsText" text="Radio">
      <formula>NOT(ISERROR(SEARCH("Radio",J37)))</formula>
    </cfRule>
  </conditionalFormatting>
  <conditionalFormatting sqref="J1:N36">
    <cfRule type="containsText" dxfId="150" priority="2858" operator="containsText" text="Radio">
      <formula>NOT(ISERROR(SEARCH("Radio",J1)))</formula>
    </cfRule>
  </conditionalFormatting>
  <conditionalFormatting sqref="J149:N161">
    <cfRule type="containsText" dxfId="149" priority="2796" operator="containsText" text="Radio">
      <formula>NOT(ISERROR(SEARCH("Radio",J149)))</formula>
    </cfRule>
  </conditionalFormatting>
  <conditionalFormatting sqref="J583:N583 K584">
    <cfRule type="containsText" dxfId="148" priority="3789" operator="containsText" text="Radio">
      <formula>NOT(ISERROR(SEARCH("Radio",J583)))</formula>
    </cfRule>
  </conditionalFormatting>
  <conditionalFormatting sqref="K1:K136 K162:K579 K681:K1048576">
    <cfRule type="cellIs" dxfId="147" priority="2861" operator="equal">
      <formula>"GPON"</formula>
    </cfRule>
    <cfRule type="cellIs" dxfId="146" priority="2862" operator="equal">
      <formula>"GPON"</formula>
    </cfRule>
  </conditionalFormatting>
  <conditionalFormatting sqref="K139">
    <cfRule type="cellIs" dxfId="145" priority="2850" operator="equal">
      <formula>"GPON"</formula>
    </cfRule>
    <cfRule type="containsText" dxfId="144" priority="2851" operator="containsText" text="Radio">
      <formula>NOT(ISERROR(SEARCH("Radio",K139)))</formula>
    </cfRule>
    <cfRule type="cellIs" dxfId="143" priority="2854" operator="equal">
      <formula>"PTP A FO"</formula>
    </cfRule>
    <cfRule type="cellIs" dxfId="142" priority="2853" operator="equal">
      <formula>"PTP A FO"</formula>
    </cfRule>
    <cfRule type="cellIs" dxfId="141" priority="2849" operator="equal">
      <formula>"GPON"</formula>
    </cfRule>
    <cfRule type="cellIs" dxfId="140" priority="2852" operator="equal">
      <formula>$K$13</formula>
    </cfRule>
  </conditionalFormatting>
  <conditionalFormatting sqref="K142:K149">
    <cfRule type="cellIs" dxfId="139" priority="2827" operator="equal">
      <formula>$K$13</formula>
    </cfRule>
    <cfRule type="cellIs" dxfId="138" priority="2829" operator="equal">
      <formula>"PTP A FO"</formula>
    </cfRule>
    <cfRule type="cellIs" dxfId="137" priority="2828" operator="equal">
      <formula>"PTP A FO"</formula>
    </cfRule>
    <cfRule type="containsText" dxfId="136" priority="2826" operator="containsText" text="Radio">
      <formula>NOT(ISERROR(SEARCH("Radio",K142)))</formula>
    </cfRule>
  </conditionalFormatting>
  <conditionalFormatting sqref="K142:K161">
    <cfRule type="cellIs" dxfId="135" priority="2794" operator="equal">
      <formula>"GPON"</formula>
    </cfRule>
    <cfRule type="cellIs" dxfId="134" priority="2795" operator="equal">
      <formula>"GPON"</formula>
    </cfRule>
  </conditionalFormatting>
  <conditionalFormatting sqref="K146:K147">
    <cfRule type="cellIs" dxfId="133" priority="2791" operator="equal">
      <formula>"PTP A FO"</formula>
    </cfRule>
    <cfRule type="cellIs" dxfId="132" priority="2792" operator="equal">
      <formula>"PTP A FO"</formula>
    </cfRule>
    <cfRule type="containsText" dxfId="131" priority="2789" operator="containsText" text="Radio">
      <formula>NOT(ISERROR(SEARCH("Radio",K146)))</formula>
    </cfRule>
    <cfRule type="cellIs" dxfId="130" priority="2790" operator="equal">
      <formula>$K$13</formula>
    </cfRule>
  </conditionalFormatting>
  <conditionalFormatting sqref="K233:K235">
    <cfRule type="cellIs" dxfId="129" priority="2842" operator="equal">
      <formula>"PTP A FO"</formula>
    </cfRule>
    <cfRule type="cellIs" dxfId="128" priority="2841" operator="equal">
      <formula>"PTP A FO"</formula>
    </cfRule>
    <cfRule type="cellIs" dxfId="127" priority="2840" operator="equal">
      <formula>$K$13</formula>
    </cfRule>
  </conditionalFormatting>
  <conditionalFormatting sqref="K234:K235">
    <cfRule type="cellIs" dxfId="126" priority="2838" operator="equal">
      <formula>"PTP A FO"</formula>
    </cfRule>
    <cfRule type="cellIs" dxfId="125" priority="2837" operator="equal">
      <formula>"PTP A FO"</formula>
    </cfRule>
    <cfRule type="cellIs" dxfId="124" priority="2836" operator="equal">
      <formula>$K$13</formula>
    </cfRule>
  </conditionalFormatting>
  <conditionalFormatting sqref="K424:K425">
    <cfRule type="containsText" dxfId="123" priority="2845" operator="containsText" text="Radio">
      <formula>NOT(ISERROR(SEARCH("Radio",K424)))</formula>
    </cfRule>
    <cfRule type="cellIs" dxfId="122" priority="2848" operator="equal">
      <formula>"PTP A FO"</formula>
    </cfRule>
    <cfRule type="cellIs" dxfId="121" priority="2847" operator="equal">
      <formula>"PTP A FO"</formula>
    </cfRule>
    <cfRule type="cellIs" dxfId="120" priority="2846" operator="equal">
      <formula>$K$13</formula>
    </cfRule>
  </conditionalFormatting>
  <conditionalFormatting sqref="K570">
    <cfRule type="cellIs" dxfId="119" priority="2912" operator="equal">
      <formula>"PTP A FO"</formula>
    </cfRule>
    <cfRule type="containsText" dxfId="118" priority="2911" operator="containsText" text="Radio">
      <formula>NOT(ISERROR(SEARCH("Radio",K570)))</formula>
    </cfRule>
  </conditionalFormatting>
  <conditionalFormatting sqref="K580:K599">
    <cfRule type="cellIs" dxfId="117" priority="649" operator="equal">
      <formula>"GPON"</formula>
    </cfRule>
    <cfRule type="cellIs" dxfId="116" priority="650" operator="equal">
      <formula>"GPON"</formula>
    </cfRule>
  </conditionalFormatting>
  <conditionalFormatting sqref="K1:L134 K135:K136 K162:L232 K236:L423 K424:K425 K426:L569 K583:L583 K584 K585:L599 K681:L1048576">
    <cfRule type="cellIs" dxfId="115" priority="3513" operator="equal">
      <formula>"PTP A FO"</formula>
    </cfRule>
  </conditionalFormatting>
  <conditionalFormatting sqref="K1:L134 K135:K136 K162:L232 K236:L423 K424:K425 K426:L579 K581:L599 K681:L1048576">
    <cfRule type="cellIs" dxfId="114" priority="3318" operator="equal">
      <formula>"PTP A FO"</formula>
    </cfRule>
  </conditionalFormatting>
  <conditionalFormatting sqref="K1:L134 K135:K136 K236:L423 K424:K425 K426:L579 K581:L599 K681:L1048576 K162:L232">
    <cfRule type="cellIs" dxfId="113" priority="3317" operator="equal">
      <formula>$K$13</formula>
    </cfRule>
  </conditionalFormatting>
  <conditionalFormatting sqref="K149:L161">
    <cfRule type="cellIs" dxfId="112" priority="2797" operator="equal">
      <formula>$K$13</formula>
    </cfRule>
    <cfRule type="cellIs" dxfId="111" priority="2798" operator="equal">
      <formula>"PTP A FO"</formula>
    </cfRule>
    <cfRule type="cellIs" dxfId="110" priority="2799" operator="equal">
      <formula>"PTP A FO"</formula>
    </cfRule>
  </conditionalFormatting>
  <conditionalFormatting sqref="K580:L580">
    <cfRule type="cellIs" dxfId="109" priority="654" operator="equal">
      <formula>$K$13</formula>
    </cfRule>
    <cfRule type="cellIs" dxfId="108" priority="655" operator="equal">
      <formula>"PTP A FO"</formula>
    </cfRule>
  </conditionalFormatting>
  <conditionalFormatting sqref="L148">
    <cfRule type="cellIs" dxfId="107" priority="2803" operator="equal">
      <formula>$K$13</formula>
    </cfRule>
    <cfRule type="cellIs" dxfId="106" priority="2804" operator="equal">
      <formula>"PTP A FO"</formula>
    </cfRule>
    <cfRule type="cellIs" dxfId="105" priority="2805" operator="equal">
      <formula>"PTP A FO"</formula>
    </cfRule>
  </conditionalFormatting>
  <conditionalFormatting sqref="R7:R397 R399:R599">
    <cfRule type="cellIs" dxfId="104" priority="3748" operator="lessThan">
      <formula>0.8</formula>
    </cfRule>
    <cfRule type="cellIs" dxfId="103" priority="3749" operator="greaterThan">
      <formula>0.8</formula>
    </cfRule>
  </conditionalFormatting>
  <conditionalFormatting sqref="S37:W38">
    <cfRule type="cellIs" dxfId="102" priority="1607" operator="equal">
      <formula>"APAGADO"</formula>
    </cfRule>
  </conditionalFormatting>
  <conditionalFormatting sqref="S426:W426 Y426:AV426">
    <cfRule type="cellIs" dxfId="101" priority="1546" operator="equal">
      <formula>"APAGADO"</formula>
    </cfRule>
  </conditionalFormatting>
  <conditionalFormatting sqref="S326:Z328">
    <cfRule type="cellIs" dxfId="100" priority="1151" operator="equal">
      <formula>"APAGADO"</formula>
    </cfRule>
  </conditionalFormatting>
  <conditionalFormatting sqref="S121:AA121">
    <cfRule type="cellIs" dxfId="99" priority="1639" operator="equal">
      <formula>"APAGADO"</formula>
    </cfRule>
  </conditionalFormatting>
  <conditionalFormatting sqref="S39:AT94">
    <cfRule type="cellIs" dxfId="98" priority="104" operator="equal">
      <formula>"APAGADO"</formula>
    </cfRule>
  </conditionalFormatting>
  <conditionalFormatting sqref="S96:AT120">
    <cfRule type="cellIs" dxfId="97" priority="106" operator="equal">
      <formula>"APAGADO"</formula>
    </cfRule>
  </conditionalFormatting>
  <conditionalFormatting sqref="S329:AT351">
    <cfRule type="cellIs" dxfId="96" priority="85" operator="equal">
      <formula>"APAGADO"</formula>
    </cfRule>
  </conditionalFormatting>
  <conditionalFormatting sqref="S353:AT397">
    <cfRule type="cellIs" dxfId="95" priority="78" operator="equal">
      <formula>"APAGADO"</formula>
    </cfRule>
  </conditionalFormatting>
  <conditionalFormatting sqref="S399:AT402">
    <cfRule type="cellIs" dxfId="94" priority="77" operator="equal">
      <formula>"APAGADO"</formula>
    </cfRule>
  </conditionalFormatting>
  <conditionalFormatting sqref="S8:AV36">
    <cfRule type="cellIs" dxfId="93" priority="1893" operator="equal">
      <formula>"APAGADO"</formula>
    </cfRule>
  </conditionalFormatting>
  <conditionalFormatting sqref="S122:AV232">
    <cfRule type="cellIs" dxfId="92" priority="33" operator="equal">
      <formula>"APAGADO"</formula>
    </cfRule>
  </conditionalFormatting>
  <conditionalFormatting sqref="S236:AV325">
    <cfRule type="cellIs" dxfId="91" priority="5" operator="equal">
      <formula>"APAGADO"</formula>
    </cfRule>
  </conditionalFormatting>
  <conditionalFormatting sqref="S409:AV416">
    <cfRule type="cellIs" dxfId="90" priority="15" operator="equal">
      <formula>"APAGADO"</formula>
    </cfRule>
  </conditionalFormatting>
  <conditionalFormatting sqref="S427:AV599">
    <cfRule type="cellIs" dxfId="89" priority="10" operator="equal">
      <formula>"APAGADO"</formula>
    </cfRule>
  </conditionalFormatting>
  <conditionalFormatting sqref="S681:AV757 AC681:AN1048576">
    <cfRule type="cellIs" dxfId="88" priority="2895" operator="equal">
      <formula>"apagado"</formula>
    </cfRule>
  </conditionalFormatting>
  <conditionalFormatting sqref="S681:AV1048576">
    <cfRule type="containsText" dxfId="87" priority="3445" operator="containsText" text="Caida">
      <formula>NOT(ISERROR(SEARCH("Caida",S681)))</formula>
    </cfRule>
    <cfRule type="notContainsText" dxfId="86" priority="3778" operator="notContains" text="Caida">
      <formula>ISERROR(SEARCH("Caida",S681))</formula>
    </cfRule>
  </conditionalFormatting>
  <conditionalFormatting sqref="U681:U1200">
    <cfRule type="cellIs" dxfId="85" priority="3100" operator="greaterThan">
      <formula>0.8</formula>
    </cfRule>
    <cfRule type="cellIs" dxfId="84" priority="3077" operator="greaterThan">
      <formula>0.8</formula>
    </cfRule>
    <cfRule type="cellIs" dxfId="83" priority="3076" operator="lessThan">
      <formula>0.8</formula>
    </cfRule>
    <cfRule type="containsText" dxfId="82" priority="3075" operator="containsText" text="Caida">
      <formula>NOT(ISERROR(SEARCH("Caida",U681)))</formula>
    </cfRule>
    <cfRule type="notContainsText" dxfId="81" priority="3074" operator="notContains" text="Caida">
      <formula>ISERROR(SEARCH("Caida",U681))</formula>
    </cfRule>
    <cfRule type="cellIs" dxfId="80" priority="3204" operator="equal">
      <formula>"APAGADO"</formula>
    </cfRule>
  </conditionalFormatting>
  <conditionalFormatting sqref="U681:U1048576">
    <cfRule type="cellIs" dxfId="79" priority="3094" operator="equal">
      <formula>$U$16</formula>
    </cfRule>
  </conditionalFormatting>
  <conditionalFormatting sqref="U417:AV423">
    <cfRule type="cellIs" dxfId="78" priority="195" operator="equal">
      <formula>"APAGADO"</formula>
    </cfRule>
  </conditionalFormatting>
  <conditionalFormatting sqref="V234:W234">
    <cfRule type="cellIs" dxfId="77" priority="1619" operator="equal">
      <formula>"APAGADO"</formula>
    </cfRule>
  </conditionalFormatting>
  <conditionalFormatting sqref="V408:AG408">
    <cfRule type="cellIs" dxfId="76" priority="1587" operator="equal">
      <formula>"APAGADO"</formula>
    </cfRule>
  </conditionalFormatting>
  <conditionalFormatting sqref="X425:X426">
    <cfRule type="cellIs" dxfId="75" priority="1475" operator="equal">
      <formula>"APAGADO"</formula>
    </cfRule>
  </conditionalFormatting>
  <conditionalFormatting sqref="X406:Z407">
    <cfRule type="cellIs" dxfId="74" priority="1194" operator="equal">
      <formula>"APAGADO"</formula>
    </cfRule>
  </conditionalFormatting>
  <conditionalFormatting sqref="X37:AJ37 S95:AM95 AO95:AT95 AF233:AF235 AA328 S352:AH352 AJ352:AT352 T403:U403 S403:S408 T404:T407 U404:U408 S408:T408 S417:T425 AO681:AV1048576">
    <cfRule type="cellIs" dxfId="73" priority="2894" operator="equal">
      <formula>"APAGADO"</formula>
    </cfRule>
  </conditionalFormatting>
  <conditionalFormatting sqref="X38:AK38">
    <cfRule type="cellIs" dxfId="72" priority="2671" operator="equal">
      <formula>"APAGADO"</formula>
    </cfRule>
  </conditionalFormatting>
  <conditionalFormatting sqref="Y425:Z425">
    <cfRule type="cellIs" dxfId="71" priority="1188" operator="equal">
      <formula>"APAGADO"</formula>
    </cfRule>
  </conditionalFormatting>
  <conditionalFormatting sqref="Y398:AT398">
    <cfRule type="cellIs" dxfId="70" priority="1195" operator="equal">
      <formula>"APAGADO"</formula>
    </cfRule>
  </conditionalFormatting>
  <conditionalFormatting sqref="AA326:AB327">
    <cfRule type="cellIs" dxfId="69" priority="1538" operator="equal">
      <formula>"APAGADO"</formula>
    </cfRule>
  </conditionalFormatting>
  <conditionalFormatting sqref="AC407:AG407">
    <cfRule type="cellIs" dxfId="68" priority="708" operator="equal">
      <formula>"APAGADO"</formula>
    </cfRule>
  </conditionalFormatting>
  <conditionalFormatting sqref="AC425:AG425">
    <cfRule type="cellIs" dxfId="67" priority="707" operator="equal">
      <formula>"APAGADO"</formula>
    </cfRule>
  </conditionalFormatting>
  <conditionalFormatting sqref="AC121:AV121">
    <cfRule type="cellIs" dxfId="66" priority="1807" operator="equal">
      <formula>"APAGADO"</formula>
    </cfRule>
  </conditionalFormatting>
  <conditionalFormatting sqref="AC326:AV328">
    <cfRule type="cellIs" dxfId="65" priority="2" operator="equal">
      <formula>"APAGADO"</formula>
    </cfRule>
  </conditionalFormatting>
  <conditionalFormatting sqref="AD406:AG406">
    <cfRule type="cellIs" dxfId="64" priority="1007" operator="equal">
      <formula>"APAGADO"</formula>
    </cfRule>
  </conditionalFormatting>
  <conditionalFormatting sqref="AH234:AI234">
    <cfRule type="cellIs" dxfId="63" priority="2676" operator="equal">
      <formula>"APAGADO"</formula>
    </cfRule>
  </conditionalFormatting>
  <conditionalFormatting sqref="AH406:AI408">
    <cfRule type="cellIs" dxfId="62" priority="2640" operator="equal">
      <formula>"APAGADO"</formula>
    </cfRule>
  </conditionalFormatting>
  <conditionalFormatting sqref="AJ425:AN425">
    <cfRule type="cellIs" dxfId="61" priority="270" operator="equal">
      <formula>"APAGADO"</formula>
    </cfRule>
  </conditionalFormatting>
  <conditionalFormatting sqref="AJ407:AP407">
    <cfRule type="cellIs" dxfId="60" priority="275" operator="equal">
      <formula>"APAGADO"</formula>
    </cfRule>
  </conditionalFormatting>
  <conditionalFormatting sqref="AJ408:AU408">
    <cfRule type="cellIs" dxfId="59" priority="435" operator="equal">
      <formula>"APAGADO"</formula>
    </cfRule>
  </conditionalFormatting>
  <conditionalFormatting sqref="AL234:AP234">
    <cfRule type="cellIs" dxfId="58" priority="2217" operator="equal">
      <formula>"APAGADO"</formula>
    </cfRule>
  </conditionalFormatting>
  <conditionalFormatting sqref="AL406:AP406">
    <cfRule type="cellIs" dxfId="57" priority="2198" operator="equal">
      <formula>"APAGADO"</formula>
    </cfRule>
  </conditionalFormatting>
  <conditionalFormatting sqref="AL37:AV38">
    <cfRule type="cellIs" dxfId="56" priority="1814" operator="equal">
      <formula>"APAGADO"</formula>
    </cfRule>
  </conditionalFormatting>
  <conditionalFormatting sqref="AR407:AU407">
    <cfRule type="cellIs" dxfId="55" priority="18" operator="equal">
      <formula>"APAGADO"</formula>
    </cfRule>
  </conditionalFormatting>
  <conditionalFormatting sqref="AR425:AU425">
    <cfRule type="cellIs" dxfId="54" priority="9" operator="equal">
      <formula>"APAGADO"</formula>
    </cfRule>
  </conditionalFormatting>
  <conditionalFormatting sqref="AR234:AV234">
    <cfRule type="cellIs" dxfId="53" priority="1788" operator="equal">
      <formula>"APAGADO"</formula>
    </cfRule>
  </conditionalFormatting>
  <conditionalFormatting sqref="AU39:AV120">
    <cfRule type="cellIs" dxfId="52" priority="43" operator="equal">
      <formula>"APAGADO"</formula>
    </cfRule>
  </conditionalFormatting>
  <conditionalFormatting sqref="AU329:AV402">
    <cfRule type="cellIs" dxfId="51" priority="1" operator="equal">
      <formula>"APAGADO"</formula>
    </cfRule>
  </conditionalFormatting>
  <conditionalFormatting sqref="AV406:AV408">
    <cfRule type="cellIs" dxfId="50" priority="1756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 t="str">
        <f>'RESUMEN TOTAL'!AT24</f>
        <v>APAGADO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 t="str">
        <f>'RESUMEN TOTAL'!AR29</f>
        <v>APAGADO</v>
      </c>
      <c r="AF24" s="70" t="str">
        <f>'RESUMEN TOTAL'!AS29</f>
        <v>APAGADO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 t="str">
        <f>'RESUMEN TOTAL'!AR51</f>
        <v>APAGADO</v>
      </c>
      <c r="AF28" s="70" t="str">
        <f>'RESUMEN TOTAL'!AS51</f>
        <v>APAGADO</v>
      </c>
      <c r="AG28" s="70" t="str">
        <f>'RESUMEN TOTAL'!AT51</f>
        <v>APAGADO</v>
      </c>
      <c r="AH28" s="70" t="str">
        <f>'RESUMEN TOTAL'!AU51</f>
        <v>APAGADO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 t="str">
        <f>'RESUMEN TOTAL'!AN55</f>
        <v>APAGADO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 t="str">
        <f>'RESUMEN TOTAL'!AR55</f>
        <v>APAGADO</v>
      </c>
      <c r="AF32" s="70" t="str">
        <f>'RESUMEN TOTAL'!AS55</f>
        <v>APAGADO</v>
      </c>
      <c r="AG32" s="70" t="str">
        <f>'RESUMEN TOTAL'!AT55</f>
        <v>APAGADO</v>
      </c>
      <c r="AH32" s="70" t="str">
        <f>'RESUMEN TOTAL'!AU55</f>
        <v>APAGADO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 t="str">
        <f>'RESUMEN TOTAL'!AR71</f>
        <v>APAGADO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 t="str">
        <f>'RESUMEN TOTAL'!AR75</f>
        <v>APAGADO</v>
      </c>
      <c r="AF52" s="70" t="str">
        <f>'RESUMEN TOTAL'!AS75</f>
        <v>APAGADO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 t="str">
        <f>'RESUMEN TOTAL'!AS77</f>
        <v>APAGADO</v>
      </c>
      <c r="AG54" s="70" t="str">
        <f>'RESUMEN TOTAL'!AT77</f>
        <v>APAGADO</v>
      </c>
      <c r="AH54" s="70" t="str">
        <f>'RESUMEN TOTAL'!AU77</f>
        <v>APAGADO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 t="str">
        <f>'RESUMEN TOTAL'!AN92</f>
        <v>APAGADO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 t="str">
        <f>'RESUMEN TOTAL'!AR92</f>
        <v>APAGADO</v>
      </c>
      <c r="AF69" s="70" t="str">
        <f>'RESUMEN TOTAL'!AS92</f>
        <v>APAGADO</v>
      </c>
      <c r="AG69" s="70" t="str">
        <f>'RESUMEN TOTAL'!AT92</f>
        <v>APAGADO</v>
      </c>
      <c r="AH69" s="70" t="str">
        <f>'RESUMEN TOTAL'!AU92</f>
        <v>APAGADO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 t="str">
        <f>'RESUMEN TOTAL'!AS110</f>
        <v>APAGADO</v>
      </c>
      <c r="AG87" s="70" t="str">
        <f>'RESUMEN TOTAL'!AT110</f>
        <v>APAGADO</v>
      </c>
      <c r="AH87" s="70" t="str">
        <f>'RESUMEN TOTAL'!AU110</f>
        <v>APAGADO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 t="str">
        <f>'RESUMEN TOTAL'!AR113</f>
        <v>APAGADO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 t="str">
        <f>'RESUMEN TOTAL'!AN114</f>
        <v>APAGADO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 t="str">
        <f>'RESUMEN TOTAL'!AR114</f>
        <v>APAGADO</v>
      </c>
      <c r="AF91" s="70" t="str">
        <f>'RESUMEN TOTAL'!AS114</f>
        <v>APAGADO</v>
      </c>
      <c r="AG91" s="70" t="str">
        <f>'RESUMEN TOTAL'!AT114</f>
        <v>APAGADO</v>
      </c>
      <c r="AH91" s="70" t="str">
        <f>'RESUMEN TOTAL'!AU114</f>
        <v>APAGADO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 t="str">
        <f>'RESUMEN TOTAL'!AN115</f>
        <v>APAGADO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 t="str">
        <f>'RESUMEN TOTAL'!AR115</f>
        <v>APAGADO</v>
      </c>
      <c r="AF92" s="70" t="str">
        <f>'RESUMEN TOTAL'!AS115</f>
        <v>APAGADO</v>
      </c>
      <c r="AG92" s="70" t="str">
        <f>'RESUMEN TOTAL'!AT115</f>
        <v>APAGADO</v>
      </c>
      <c r="AH92" s="70" t="str">
        <f>'RESUMEN TOTAL'!AU115</f>
        <v>APAGADO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 t="str">
        <f>'RESUMEN TOTAL'!AR116</f>
        <v>APAGADO</v>
      </c>
      <c r="AF93" s="70" t="str">
        <f>'RESUMEN TOTAL'!AS116</f>
        <v>APAGADO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 t="str">
        <f>'RESUMEN TOTAL'!AN118</f>
        <v>APAGADO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 t="str">
        <f>'RESUMEN TOTAL'!AR118</f>
        <v>APAGADO</v>
      </c>
      <c r="AF95" s="70" t="str">
        <f>'RESUMEN TOTAL'!AS118</f>
        <v>APAGADO</v>
      </c>
      <c r="AG95" s="70">
        <f>'RESUMEN TOTAL'!AT118</f>
        <v>0</v>
      </c>
      <c r="AH95" s="70" t="str">
        <f>'RESUMEN TOTAL'!AU118</f>
        <v>APAGADO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 t="str">
        <f>'RESUMEN TOTAL'!AR129</f>
        <v>APAGADO</v>
      </c>
      <c r="AF106" s="70" t="str">
        <f>'RESUMEN TOTAL'!AS129</f>
        <v>APAGADO</v>
      </c>
      <c r="AG106" s="70" t="str">
        <f>'RESUMEN TOTAL'!AT129</f>
        <v>APAGADO</v>
      </c>
      <c r="AH106" s="70" t="str">
        <f>'RESUMEN TOTAL'!AU129</f>
        <v>APAGADO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 t="str">
        <f>'RESUMEN TOTAL'!AS149</f>
        <v>APAGADO</v>
      </c>
      <c r="AG112" s="70" t="str">
        <f>'RESUMEN TOTAL'!AT149</f>
        <v>APAGADO</v>
      </c>
      <c r="AH112" s="70" t="str">
        <f>'RESUMEN TOTAL'!AU149</f>
        <v>APAGADO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 t="str">
        <f>'RESUMEN TOTAL'!AS171</f>
        <v>APAGADO</v>
      </c>
      <c r="AG128" s="70" t="str">
        <f>'RESUMEN TOTAL'!AT171</f>
        <v>APAGADO</v>
      </c>
      <c r="AH128" s="70" t="str">
        <f>'RESUMEN TOTAL'!AU171</f>
        <v>APAGADO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 t="str">
        <f>'RESUMEN TOTAL'!AN175</f>
        <v>APAGADO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 t="str">
        <f>'RESUMEN TOTAL'!AR175</f>
        <v>APAGADO</v>
      </c>
      <c r="AF130" s="70" t="str">
        <f>'RESUMEN TOTAL'!AS175</f>
        <v>APAGADO</v>
      </c>
      <c r="AG130" s="70" t="str">
        <f>'RESUMEN TOTAL'!AT175</f>
        <v>APAGADO</v>
      </c>
      <c r="AH130" s="70" t="str">
        <f>'RESUMEN TOTAL'!AU175</f>
        <v>APAGADO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 t="str">
        <f>'RESUMEN TOTAL'!AN176</f>
        <v>APAGADO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 t="str">
        <f>'RESUMEN TOTAL'!AR176</f>
        <v>APAGADO</v>
      </c>
      <c r="AF131" s="70" t="str">
        <f>'RESUMEN TOTAL'!AS176</f>
        <v>APAGADO</v>
      </c>
      <c r="AG131" s="70" t="str">
        <f>'RESUMEN TOTAL'!AT176</f>
        <v>APAGADO</v>
      </c>
      <c r="AH131" s="70" t="str">
        <f>'RESUMEN TOTAL'!AU176</f>
        <v>APAGADO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 t="str">
        <f>'RESUMEN TOTAL'!AN177</f>
        <v>APAGADO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 t="str">
        <f>'RESUMEN TOTAL'!AR177</f>
        <v>APAGADO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 t="str">
        <f>'RESUMEN TOTAL'!AR205</f>
        <v>APAGADO</v>
      </c>
      <c r="AF154" s="70" t="str">
        <f>'RESUMEN TOTAL'!AS205</f>
        <v>APAGADO</v>
      </c>
      <c r="AG154" s="70" t="str">
        <f>'RESUMEN TOTAL'!AT205</f>
        <v>APAGADO</v>
      </c>
      <c r="AH154" s="70" t="str">
        <f>'RESUMEN TOTAL'!AU205</f>
        <v>APAGADO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 t="str">
        <f>'RESUMEN TOTAL'!AS231</f>
        <v>APAGADO</v>
      </c>
      <c r="AG175" s="70" t="str">
        <f>'RESUMEN TOTAL'!AT231</f>
        <v>APAGADO</v>
      </c>
      <c r="AH175" s="70" t="str">
        <f>'RESUMEN TOTAL'!AU231</f>
        <v>APAGADO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 t="str">
        <f>'RESUMEN TOTAL'!AN246</f>
        <v>APAGADO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 t="str">
        <f>'RESUMEN TOTAL'!AN250</f>
        <v>APAGADO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 t="str">
        <f>'RESUMEN TOTAL'!AR250</f>
        <v>APAGADO</v>
      </c>
      <c r="AF189" s="70" t="str">
        <f>'RESUMEN TOTAL'!AS250</f>
        <v>APAGADO</v>
      </c>
      <c r="AG189" s="70" t="str">
        <f>'RESUMEN TOTAL'!AT250</f>
        <v>APAGADO</v>
      </c>
      <c r="AH189" s="70" t="str">
        <f>'RESUMEN TOTAL'!AU250</f>
        <v>APAGADO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 t="str">
        <f>'RESUMEN TOTAL'!AN251</f>
        <v>APAGADO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 t="str">
        <f>'RESUMEN TOTAL'!AN254</f>
        <v>APAGADO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 t="str">
        <f>'RESUMEN TOTAL'!AR254</f>
        <v>APAGADO</v>
      </c>
      <c r="AF193" s="70" t="str">
        <f>'RESUMEN TOTAL'!AS254</f>
        <v>APAGADO</v>
      </c>
      <c r="AG193" s="70" t="str">
        <f>'RESUMEN TOTAL'!AT254</f>
        <v>APAGADO</v>
      </c>
      <c r="AH193" s="70" t="str">
        <f>'RESUMEN TOTAL'!AU254</f>
        <v>APAGADO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 t="str">
        <f>'RESUMEN TOTAL'!AR255</f>
        <v>APAGADO</v>
      </c>
      <c r="AF194" s="70" t="str">
        <f>'RESUMEN TOTAL'!AS255</f>
        <v>APAGADO</v>
      </c>
      <c r="AG194" s="70" t="str">
        <f>'RESUMEN TOTAL'!AT255</f>
        <v>APAGADO</v>
      </c>
      <c r="AH194" s="70" t="str">
        <f>'RESUMEN TOTAL'!AU255</f>
        <v>APAGADO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 t="str">
        <f>'RESUMEN TOTAL'!AN270</f>
        <v>APAGADO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 t="str">
        <f>'RESUMEN TOTAL'!AR270</f>
        <v>APAGADO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 t="str">
        <f>'RESUMEN TOTAL'!AN275</f>
        <v>APAGADO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 t="str">
        <f>'RESUMEN TOTAL'!AR275</f>
        <v>APAGADO</v>
      </c>
      <c r="AF209" s="70" t="str">
        <f>'RESUMEN TOTAL'!AS275</f>
        <v>APAGADO</v>
      </c>
      <c r="AG209" s="70" t="str">
        <f>'RESUMEN TOTAL'!AT275</f>
        <v>APAGADO</v>
      </c>
      <c r="AH209" s="70" t="str">
        <f>'RESUMEN TOTAL'!AU275</f>
        <v>APAGADO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 t="str">
        <f>'RESUMEN TOTAL'!AR308</f>
        <v>APAGADO</v>
      </c>
      <c r="AF235" s="70" t="str">
        <f>'RESUMEN TOTAL'!AS308</f>
        <v>APAGADO</v>
      </c>
      <c r="AG235" s="70" t="str">
        <f>'RESUMEN TOTAL'!AT308</f>
        <v>APAGADO</v>
      </c>
      <c r="AH235" s="70" t="str">
        <f>'RESUMEN TOTAL'!AU308</f>
        <v>APAGADO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 t="str">
        <f>'RESUMEN TOTAL'!AS309</f>
        <v>APAGADO</v>
      </c>
      <c r="AG236" s="70" t="str">
        <f>'RESUMEN TOTAL'!AT309</f>
        <v>APAGADO</v>
      </c>
      <c r="AH236" s="70" t="str">
        <f>'RESUMEN TOTAL'!AU309</f>
        <v>APAGADO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 t="str">
        <f>'RESUMEN TOTAL'!AN317</f>
        <v>APAGADO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 t="str">
        <f>'RESUMEN TOTAL'!AR317</f>
        <v>APAGADO</v>
      </c>
      <c r="AF244" s="70" t="str">
        <f>'RESUMEN TOTAL'!AS317</f>
        <v>APAGADO</v>
      </c>
      <c r="AG244" s="70" t="str">
        <f>'RESUMEN TOTAL'!AT317</f>
        <v>APAGADO</v>
      </c>
      <c r="AH244" s="70" t="str">
        <f>'RESUMEN TOTAL'!AU317</f>
        <v>APAGADO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 t="str">
        <f>'RESUMEN TOTAL'!AN319</f>
        <v>APAGADO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 t="str">
        <f>'RESUMEN TOTAL'!AR319</f>
        <v>APAGADO</v>
      </c>
      <c r="AF246" s="70" t="str">
        <f>'RESUMEN TOTAL'!AS319</f>
        <v>APAGADO</v>
      </c>
      <c r="AG246" s="70" t="str">
        <f>'RESUMEN TOTAL'!AT319</f>
        <v>APAGADO</v>
      </c>
      <c r="AH246" s="70" t="str">
        <f>'RESUMEN TOTAL'!AU319</f>
        <v>APAGADO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 t="str">
        <f>'RESUMEN TOTAL'!AN320</f>
        <v>APAGADO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 t="str">
        <f>'RESUMEN TOTAL'!AR326</f>
        <v>APAGADO</v>
      </c>
      <c r="AF253" s="70" t="str">
        <f>'RESUMEN TOTAL'!AS326</f>
        <v>APAGADO</v>
      </c>
      <c r="AG253" s="70" t="str">
        <f>'RESUMEN TOTAL'!AT326</f>
        <v>APAGADO</v>
      </c>
      <c r="AH253" s="70" t="str">
        <f>'RESUMEN TOTAL'!AU326</f>
        <v>APAGADO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 t="str">
        <f>'RESUMEN TOTAL'!AR327</f>
        <v>APAGADO</v>
      </c>
      <c r="AF254" s="70" t="str">
        <f>'RESUMEN TOTAL'!AS327</f>
        <v>APAGADO</v>
      </c>
      <c r="AG254" s="70" t="str">
        <f>'RESUMEN TOTAL'!AT327</f>
        <v>APAGADO</v>
      </c>
      <c r="AH254" s="70" t="str">
        <f>'RESUMEN TOTAL'!AU327</f>
        <v>APAGADO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 t="str">
        <f>'RESUMEN TOTAL'!AN328</f>
        <v>APAGADO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 t="str">
        <f>'RESUMEN TOTAL'!AR328</f>
        <v>APAGADO</v>
      </c>
      <c r="AF255" s="70" t="str">
        <f>'RESUMEN TOTAL'!AS328</f>
        <v>APAGADO</v>
      </c>
      <c r="AG255" s="70" t="str">
        <f>'RESUMEN TOTAL'!AT328</f>
        <v>APAGADO</v>
      </c>
      <c r="AH255" s="70" t="str">
        <f>'RESUMEN TOTAL'!AU328</f>
        <v>APAGADO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 t="str">
        <f>'RESUMEN TOTAL'!AR346</f>
        <v>APAGADO</v>
      </c>
      <c r="AF267" s="70" t="str">
        <f>'RESUMEN TOTAL'!AS346</f>
        <v>APAGADO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 t="str">
        <f>'RESUMEN TOTAL'!AR347</f>
        <v>APAGADO</v>
      </c>
      <c r="AF268" s="70" t="str">
        <f>'RESUMEN TOTAL'!AS347</f>
        <v>APAGADO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 t="str">
        <f>'RESUMEN TOTAL'!AR348</f>
        <v>APAGADO</v>
      </c>
      <c r="AF269" s="70" t="str">
        <f>'RESUMEN TOTAL'!AS348</f>
        <v>APAGADO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 t="str">
        <f>'RESUMEN TOTAL'!AR349</f>
        <v>APAGADO</v>
      </c>
      <c r="AF270" s="70" t="str">
        <f>'RESUMEN TOTAL'!AS349</f>
        <v>APAGADO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 t="str">
        <f>'RESUMEN TOTAL'!AS350</f>
        <v>APAGADO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 t="str">
        <f>'RESUMEN TOTAL'!AS351</f>
        <v>APAGADO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 t="str">
        <f>'RESUMEN TOTAL'!AR354</f>
        <v>APAGADO</v>
      </c>
      <c r="AF275" s="70" t="str">
        <f>'RESUMEN TOTAL'!AS354</f>
        <v>APAGADO</v>
      </c>
      <c r="AG275" s="70" t="str">
        <f>'RESUMEN TOTAL'!AT354</f>
        <v>APAGADO</v>
      </c>
      <c r="AH275" s="70" t="str">
        <f>'RESUMEN TOTAL'!AU354</f>
        <v>APAGADO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 t="str">
        <f>'RESUMEN TOTAL'!AN355</f>
        <v>APAGADO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 t="str">
        <f>'RESUMEN TOTAL'!AR355</f>
        <v>APAGADO</v>
      </c>
      <c r="AF276" s="70" t="str">
        <f>'RESUMEN TOTAL'!AS355</f>
        <v>APAGADO</v>
      </c>
      <c r="AG276" s="70" t="str">
        <f>'RESUMEN TOTAL'!AT355</f>
        <v>APAGADO</v>
      </c>
      <c r="AH276" s="70" t="str">
        <f>'RESUMEN TOTAL'!AU355</f>
        <v>APAGADO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 t="str">
        <f>'RESUMEN TOTAL'!AR356</f>
        <v>APAGADO</v>
      </c>
      <c r="AF277" s="70" t="str">
        <f>'RESUMEN TOTAL'!AS356</f>
        <v>APAGADO</v>
      </c>
      <c r="AG277" s="70" t="str">
        <f>'RESUMEN TOTAL'!AT356</f>
        <v>APAGADO</v>
      </c>
      <c r="AH277" s="70" t="str">
        <f>'RESUMEN TOTAL'!AU356</f>
        <v>APAGADO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 t="str">
        <f>'RESUMEN TOTAL'!AR392</f>
        <v>APAGADO</v>
      </c>
      <c r="AF305" s="70" t="str">
        <f>'RESUMEN TOTAL'!AS392</f>
        <v>APAGADO</v>
      </c>
      <c r="AG305" s="70" t="str">
        <f>'RESUMEN TOTAL'!AT392</f>
        <v>APAGADO</v>
      </c>
      <c r="AH305" s="70" t="str">
        <f>'RESUMEN TOTAL'!AU392</f>
        <v>APAGADO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 t="str">
        <f>'RESUMEN TOTAL'!AR393</f>
        <v>APAGADO</v>
      </c>
      <c r="AF306" s="70" t="str">
        <f>'RESUMEN TOTAL'!AS393</f>
        <v>APAGADO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 t="str">
        <f>'RESUMEN TOTAL'!AR400</f>
        <v>APAGADO</v>
      </c>
      <c r="AF313" s="70" t="str">
        <f>'RESUMEN TOTAL'!AS400</f>
        <v>APAGADO</v>
      </c>
      <c r="AG313" s="70" t="str">
        <f>'RESUMEN TOTAL'!AT400</f>
        <v>APAGADO</v>
      </c>
      <c r="AH313" s="70" t="str">
        <f>'RESUMEN TOTAL'!AU400</f>
        <v>APAGADO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 t="str">
        <f>'RESUMEN TOTAL'!AR401</f>
        <v>APAGADO</v>
      </c>
      <c r="AF314" s="70" t="str">
        <f>'RESUMEN TOTAL'!AS401</f>
        <v>APAGADO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 t="str">
        <f>'RESUMEN TOTAL'!AR402</f>
        <v>APAGADO</v>
      </c>
      <c r="AF315" s="70" t="str">
        <f>'RESUMEN TOTAL'!AS402</f>
        <v>APAGADO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 t="str">
        <f>'RESUMEN TOTAL'!AT411</f>
        <v>APAGADO</v>
      </c>
      <c r="AH319" s="70" t="str">
        <f>'RESUMEN TOTAL'!AU411</f>
        <v>APAGADO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 t="str">
        <f>'RESUMEN TOTAL'!AN413</f>
        <v>APAGADO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 t="str">
        <f>'RESUMEN TOTAL'!AR413</f>
        <v>APAGADO</v>
      </c>
      <c r="AF321" s="70" t="str">
        <f>'RESUMEN TOTAL'!AS413</f>
        <v>APAGADO</v>
      </c>
      <c r="AG321" s="70" t="str">
        <f>'RESUMEN TOTAL'!AT413</f>
        <v>APAGADO</v>
      </c>
      <c r="AH321" s="70" t="str">
        <f>'RESUMEN TOTAL'!AU413</f>
        <v>APAGADO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 t="str">
        <f>'RESUMEN TOTAL'!AR414</f>
        <v>APAGADO</v>
      </c>
      <c r="AF322" s="70" t="str">
        <f>'RESUMEN TOTAL'!AS414</f>
        <v>APAGADO</v>
      </c>
      <c r="AG322" s="70" t="str">
        <f>'RESUMEN TOTAL'!AT414</f>
        <v>APAGADO</v>
      </c>
      <c r="AH322" s="70" t="str">
        <f>'RESUMEN TOTAL'!AU414</f>
        <v>APAGADO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 t="str">
        <f>'RESUMEN TOTAL'!AR428</f>
        <v>APAGADO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 t="str">
        <f>'RESUMEN TOTAL'!AN432</f>
        <v>APAGADO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 t="str">
        <f>'RESUMEN TOTAL'!AR432</f>
        <v>APAGADO</v>
      </c>
      <c r="AF333" s="70" t="str">
        <f>'RESUMEN TOTAL'!AS432</f>
        <v>APAGADO</v>
      </c>
      <c r="AG333" s="70" t="str">
        <f>'RESUMEN TOTAL'!AT432</f>
        <v>APAGADO</v>
      </c>
      <c r="AH333" s="70" t="str">
        <f>'RESUMEN TOTAL'!AU432</f>
        <v>APAGADO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 t="str">
        <f>'RESUMEN TOTAL'!AS434</f>
        <v>APAGADO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 t="str">
        <f>'RESUMEN TOTAL'!AN442</f>
        <v>APAGADO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 t="str">
        <f>'RESUMEN TOTAL'!AR442</f>
        <v>APAGADO</v>
      </c>
      <c r="AF340" s="70" t="str">
        <f>'RESUMEN TOTAL'!AS442</f>
        <v>APAGADO</v>
      </c>
      <c r="AG340" s="70" t="str">
        <f>'RESUMEN TOTAL'!AT442</f>
        <v>APAGADO</v>
      </c>
      <c r="AH340" s="70" t="str">
        <f>'RESUMEN TOTAL'!AU442</f>
        <v>APAGADO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 t="str">
        <f>'RESUMEN TOTAL'!AN444</f>
        <v>APAGADO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 t="str">
        <f>'RESUMEN TOTAL'!AR444</f>
        <v>APAGADO</v>
      </c>
      <c r="AF342" s="70" t="str">
        <f>'RESUMEN TOTAL'!AS444</f>
        <v>APAGADO</v>
      </c>
      <c r="AG342" s="70" t="str">
        <f>'RESUMEN TOTAL'!AT444</f>
        <v>APAGADO</v>
      </c>
      <c r="AH342" s="70" t="str">
        <f>'RESUMEN TOTAL'!AU444</f>
        <v>APAGADO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 t="str">
        <f>'RESUMEN TOTAL'!AN456</f>
        <v>APAGADO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 t="str">
        <f>'RESUMEN TOTAL'!AR456</f>
        <v>APAGADO</v>
      </c>
      <c r="AF354" s="70" t="str">
        <f>'RESUMEN TOTAL'!AS456</f>
        <v>APAGADO</v>
      </c>
      <c r="AG354" s="70">
        <f>'RESUMEN TOTAL'!AT456</f>
        <v>0</v>
      </c>
      <c r="AH354" s="70" t="str">
        <f>'RESUMEN TOTAL'!AU456</f>
        <v>APAGADO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 t="str">
        <f>'RESUMEN TOTAL'!AR469</f>
        <v>APAGADO</v>
      </c>
      <c r="AF361" s="70" t="str">
        <f>'RESUMEN TOTAL'!AS469</f>
        <v>APAGADO</v>
      </c>
      <c r="AG361" s="70" t="str">
        <f>'RESUMEN TOTAL'!AT469</f>
        <v>APAGADO</v>
      </c>
      <c r="AH361" s="70" t="str">
        <f>'RESUMEN TOTAL'!AU469</f>
        <v>APAGADO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 t="str">
        <f>'RESUMEN TOTAL'!AR470</f>
        <v>APAGADO</v>
      </c>
      <c r="AF362" s="70" t="str">
        <f>'RESUMEN TOTAL'!AS470</f>
        <v>APAGADO</v>
      </c>
      <c r="AG362" s="70" t="str">
        <f>'RESUMEN TOTAL'!AT470</f>
        <v>APAGADO</v>
      </c>
      <c r="AH362" s="70" t="str">
        <f>'RESUMEN TOTAL'!AU470</f>
        <v>APAGADO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 t="str">
        <f>'RESUMEN TOTAL'!AR471</f>
        <v>APAGADO</v>
      </c>
      <c r="AF363" s="70" t="str">
        <f>'RESUMEN TOTAL'!AS471</f>
        <v>APAGADO</v>
      </c>
      <c r="AG363" s="70" t="str">
        <f>'RESUMEN TOTAL'!AT471</f>
        <v>APAGADO</v>
      </c>
      <c r="AH363" s="70" t="str">
        <f>'RESUMEN TOTAL'!AU471</f>
        <v>APAGADO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 t="str">
        <f>'RESUMEN TOTAL'!AN509</f>
        <v>APAGADO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 t="str">
        <f>'RESUMEN TOTAL'!AN516</f>
        <v>APAGADO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 t="str">
        <f>'RESUMEN TOTAL'!AN517</f>
        <v>APAGADO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 t="str">
        <f>'RESUMEN TOTAL'!AN519</f>
        <v>APAGADO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 t="str">
        <f>'RESUMEN TOTAL'!AU528</f>
        <v>APAGADO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 t="str">
        <f>'RESUMEN TOTAL'!AN530</f>
        <v>APAGADO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 t="str">
        <f>'RESUMEN TOTAL'!AN531</f>
        <v>APAGADO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 t="str">
        <f>'RESUMEN TOTAL'!AS531</f>
        <v>APAGADO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 t="str">
        <f>'RESUMEN TOTAL'!AU532</f>
        <v>APAGADO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 t="str">
        <f>'RESUMEN TOTAL'!AN542</f>
        <v>APAGADO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 t="str">
        <f>'RESUMEN TOTAL'!AR542</f>
        <v>APAGADO</v>
      </c>
      <c r="AF420" s="70" t="str">
        <f>'RESUMEN TOTAL'!AS542</f>
        <v>APAGADO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 t="str">
        <f>'RESUMEN TOTAL'!AR551</f>
        <v>APAGADO</v>
      </c>
      <c r="AF428" s="70" t="str">
        <f>'RESUMEN TOTAL'!AS551</f>
        <v>APAGADO</v>
      </c>
      <c r="AG428" s="70" t="str">
        <f>'RESUMEN TOTAL'!AT551</f>
        <v>APAGADO</v>
      </c>
      <c r="AH428" s="70" t="str">
        <f>'RESUMEN TOTAL'!AU551</f>
        <v>APAGADO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 t="str">
        <f>'RESUMEN TOTAL'!AR553</f>
        <v>APAGADO</v>
      </c>
      <c r="AF430" s="70" t="str">
        <f>'RESUMEN TOTAL'!AS553</f>
        <v>APAGADO</v>
      </c>
      <c r="AG430" s="70" t="str">
        <f>'RESUMEN TOTAL'!AT553</f>
        <v>APAGADO</v>
      </c>
      <c r="AH430" s="70" t="str">
        <f>'RESUMEN TOTAL'!AU553</f>
        <v>APAGADO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 t="str">
        <f>'RESUMEN TOTAL'!AS558</f>
        <v>APAGADO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Hudson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 t="str">
        <f>'RESUMEN TOTAL'!AR563</f>
        <v>APAGADO</v>
      </c>
      <c r="AF436" s="70" t="str">
        <f>'RESUMEN TOTAL'!AS563</f>
        <v>APAGADO</v>
      </c>
      <c r="AG436" s="70" t="str">
        <f>'RESUMEN TOTAL'!AT563</f>
        <v>APAGADO</v>
      </c>
      <c r="AH436" s="70" t="str">
        <f>'RESUMEN TOTAL'!AU563</f>
        <v>APAGADO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 t="str">
        <f>'RESUMEN TOTAL'!AN566</f>
        <v>APAGADO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 t="str">
        <f>'RESUMEN TOTAL'!AR566</f>
        <v>APAGADO</v>
      </c>
      <c r="AF438" s="70" t="str">
        <f>'RESUMEN TOTAL'!AS566</f>
        <v>APAGADO</v>
      </c>
      <c r="AG438" s="70" t="str">
        <f>'RESUMEN TOTAL'!AT566</f>
        <v>APAGADO</v>
      </c>
      <c r="AH438" s="70" t="str">
        <f>'RESUMEN TOTAL'!AU566</f>
        <v>APAGADO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 t="str">
        <f>'RESUMEN TOTAL'!AN568</f>
        <v>APAGADO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 t="str">
        <f>'RESUMEN TOTAL'!AR568</f>
        <v>APAGADO</v>
      </c>
      <c r="AF440" s="70" t="str">
        <f>'RESUMEN TOTAL'!AS568</f>
        <v>APAGADO</v>
      </c>
      <c r="AG440" s="70" t="str">
        <f>'RESUMEN TOTAL'!AT568</f>
        <v>APAGADO</v>
      </c>
      <c r="AH440" s="70" t="str">
        <f>'RESUMEN TOTAL'!AU568</f>
        <v>APAGADO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 t="str">
        <f>'RESUMEN TOTAL'!AN575</f>
        <v>APAGADO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 t="str">
        <f>'RESUMEN TOTAL'!AR575</f>
        <v>APAGADO</v>
      </c>
      <c r="AF446" s="70" t="str">
        <f>'RESUMEN TOTAL'!AS575</f>
        <v>APAGADO</v>
      </c>
      <c r="AG446" s="70" t="str">
        <f>'RESUMEN TOTAL'!AT575</f>
        <v>APAGADO</v>
      </c>
      <c r="AH446" s="70" t="str">
        <f>'RESUMEN TOTAL'!AU575</f>
        <v>APAGADO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GPON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GPON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 t="str">
        <f>'RESUMEN TOTAL'!AR577</f>
        <v>APAGADO</v>
      </c>
      <c r="AF448" s="70" t="str">
        <f>'RESUMEN TOTAL'!AS577</f>
        <v>APAGADO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GPON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GPON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 t="str">
        <f>'RESUMEN TOTAL'!AR579</f>
        <v>APAGADO</v>
      </c>
      <c r="AF450" s="70" t="str">
        <f>'RESUMEN TOTAL'!AS579</f>
        <v>APAGADO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 t="str">
        <f>'RESUMEN TOTAL'!AN588</f>
        <v>APAGADO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 t="str">
        <f>'RESUMEN TOTAL'!AR588</f>
        <v>APAGADO</v>
      </c>
      <c r="AF456" s="70" t="str">
        <f>'RESUMEN TOTAL'!AS588</f>
        <v>APAGADO</v>
      </c>
      <c r="AG456" s="70" t="str">
        <f>'RESUMEN TOTAL'!AT588</f>
        <v>APAGADO</v>
      </c>
      <c r="AH456" s="70" t="str">
        <f>'RESUMEN TOTAL'!AU588</f>
        <v>APAGADO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03" zoomScaleNormal="100" workbookViewId="0">
      <selection activeCell="C319" sqref="C31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9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60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60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60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9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60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60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9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60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60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60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9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60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60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86</v>
      </c>
      <c r="D282" s="54"/>
      <c r="E282" s="55">
        <f>C282/C281</f>
        <v>0.1455160744500846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79</v>
      </c>
      <c r="E283" s="55">
        <f>D283/C281</f>
        <v>0.13367174280879865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67</v>
      </c>
      <c r="E284" s="55">
        <f>D284/C281</f>
        <v>0.11336717428087986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62</v>
      </c>
      <c r="E285" s="55">
        <f>D285/C281</f>
        <v>0.10490693739424704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283</v>
      </c>
      <c r="D289" s="110">
        <v>54</v>
      </c>
      <c r="E289" s="111">
        <f>D289/C289</f>
        <v>0.19081272084805653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84</v>
      </c>
      <c r="D293" s="54"/>
      <c r="E293" s="55">
        <f>C293/C292</f>
        <v>0.14213197969543148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76</v>
      </c>
      <c r="E294" s="55">
        <f>D294/C292</f>
        <v>0.12859560067681894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64</v>
      </c>
      <c r="E295" s="55">
        <f>D295/C292</f>
        <v>0.10829103214890017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59</v>
      </c>
      <c r="E296" s="55">
        <f>D296/C292</f>
        <v>9.9830795262267347E-2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283</v>
      </c>
      <c r="D300" s="110">
        <v>57</v>
      </c>
      <c r="E300" s="111">
        <f>D300/C300</f>
        <v>0.20141342756183744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0.10490693739424704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9.475465313028765E-2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7.952622673434856E-2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7.1065989847715741E-2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283</v>
      </c>
      <c r="D311" s="110">
        <v>42</v>
      </c>
      <c r="E311" s="111">
        <f>D311/C311</f>
        <v>0.14840989399293286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0.10490693739424704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9.9830795262267347E-2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9.3062605752961089E-2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8.6294416243654817E-2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283</v>
      </c>
      <c r="D322" s="110">
        <v>42</v>
      </c>
      <c r="E322" s="102">
        <f>D322/C322</f>
        <v>0.14840989399293286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2026-05-29T19:52:52Z</dcterms:modified>
</cp:coreProperties>
</file>