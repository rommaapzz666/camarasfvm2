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0E909972-DA57-481B-A182-14D13915AA51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24" l="1"/>
  <c r="D148" i="24"/>
  <c r="D147" i="24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C186" i="24"/>
  <c r="C333" i="24"/>
  <c r="E333" i="24" s="1"/>
  <c r="C32" i="24"/>
  <c r="E32" i="24" s="1"/>
  <c r="C54" i="24"/>
  <c r="C76" i="24"/>
  <c r="C98" i="24"/>
  <c r="C120" i="24"/>
  <c r="E120" i="24" s="1"/>
  <c r="C164" i="24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D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64" i="24" l="1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<sst xmlns="http://schemas.openxmlformats.org/spreadsheetml/2006/main" count="5584" uniqueCount="2343">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</sst>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 applyAlignment="1">
      <alignment horizontal="left"/>
    </xf>
    <xf numFmtId="0" fontId="0" fillId="0" borderId="0" xfId="0" applyFill="1"/>
    <xf numFmtId="0" fontId="8" fillId="0" borderId="14" xfId="0" applyFont="1" applyFill="1" applyBorder="1"/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002"/>
  <sheetViews>
    <sheetView topLeftCell="B1" zoomScaleNormal="100" zoomScaleSheetLayoutView="100" workbookViewId="0">
      <pane ySplit="7" topLeftCell="A581" activePane="bottomLeft" state="frozen"/>
      <selection activeCell="B1" sqref="B1"/>
      <selection pane="bottomLeft" activeCell="B593" sqref="B593"/>
    </sheetView>
  </sheetViews>
  <sheetFormatPr baseColWidth="10" defaultColWidth="11.5703125" defaultRowHeight="15" x14ac:dyDescent="0.25"/>
  <cols>
    <col min="1" max="1" width="17.28515625" hidden="1" customWidth="1"/>
    <col min="2" max="2" width="39.140625" style="30" customWidth="1"/>
    <col min="3" max="3" width="15.85546875" style="30" customWidth="1"/>
    <col min="4" max="4" width="36.42578125" customWidth="1"/>
    <col min="5" max="5" width="7.7109375" style="61" customWidth="1"/>
    <col min="6" max="6" width="16.85546875" style="65" customWidth="1"/>
    <col min="7" max="7" width="24" style="65" hidden="1" customWidth="1"/>
    <col min="8" max="8" width="13.42578125" style="65" customWidth="1"/>
    <col min="9" max="9" width="10.85546875" style="65" hidden="1" customWidth="1"/>
    <col min="10" max="10" width="31.85546875" hidden="1" customWidth="1"/>
    <col min="11" max="11" width="21.140625" customWidth="1"/>
    <col min="12" max="12" width="22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bestFit="1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/>
      <c r="AB1" s="3">
        <f t="shared" ref="AB1:AO1" si="1">(AB3)/(AB2+AB3)</f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3">CANTIDAD_DE_CAMARAS</f>
        <v>586</v>
      </c>
      <c r="O2" s="7">
        <f t="shared" si="3"/>
        <v>586</v>
      </c>
      <c r="P2" s="7">
        <f t="shared" si="3"/>
        <v>586</v>
      </c>
      <c r="Q2" s="7">
        <f t="shared" si="3"/>
        <v>586</v>
      </c>
      <c r="R2" s="7">
        <f t="shared" si="3"/>
        <v>586</v>
      </c>
      <c r="S2" s="7">
        <f t="shared" si="3"/>
        <v>586</v>
      </c>
      <c r="T2" s="7">
        <f t="shared" si="3"/>
        <v>586</v>
      </c>
      <c r="U2" s="7">
        <f t="shared" si="3"/>
        <v>586</v>
      </c>
      <c r="V2" s="7">
        <f t="shared" si="3"/>
        <v>586</v>
      </c>
      <c r="W2" s="7">
        <f t="shared" si="3"/>
        <v>586</v>
      </c>
      <c r="X2" s="7">
        <f t="shared" si="3"/>
        <v>586</v>
      </c>
      <c r="Y2" s="7">
        <f t="shared" si="3"/>
        <v>586</v>
      </c>
      <c r="Z2" s="7">
        <f t="shared" si="3"/>
        <v>586</v>
      </c>
      <c r="AA2" s="7">
        <f t="shared" si="3"/>
        <v>586</v>
      </c>
      <c r="AB2" s="7">
        <f t="shared" si="3"/>
        <v>586</v>
      </c>
      <c r="AC2" s="7">
        <f t="shared" si="3"/>
        <v>586</v>
      </c>
      <c r="AD2" s="7">
        <f t="shared" si="3"/>
        <v>586</v>
      </c>
      <c r="AE2" s="7">
        <f t="shared" si="3"/>
        <v>586</v>
      </c>
      <c r="AF2" s="7">
        <f t="shared" si="3"/>
        <v>586</v>
      </c>
      <c r="AG2" s="7">
        <f t="shared" si="3"/>
        <v>586</v>
      </c>
      <c r="AH2" s="7">
        <f t="shared" si="3"/>
        <v>586</v>
      </c>
      <c r="AI2" s="7">
        <f t="shared" si="3"/>
        <v>586</v>
      </c>
      <c r="AJ2" s="7">
        <f t="shared" si="3"/>
        <v>586</v>
      </c>
      <c r="AK2" s="7">
        <f t="shared" si="3"/>
        <v>586</v>
      </c>
      <c r="AL2" s="7">
        <f t="shared" si="3"/>
        <v>586</v>
      </c>
      <c r="AM2" s="7">
        <f t="shared" si="3"/>
        <v>586</v>
      </c>
      <c r="AN2" s="7">
        <f t="shared" si="3"/>
        <v>586</v>
      </c>
      <c r="AO2" s="7">
        <f t="shared" si="3"/>
        <v>586</v>
      </c>
      <c r="AP2" s="7">
        <f t="shared" si="3"/>
        <v>586</v>
      </c>
      <c r="AQ2" s="7">
        <f t="shared" si="3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4">COUNTIF(N7:N746, "apagado")</f>
        <v>107</v>
      </c>
      <c r="O3" s="124">
        <f t="shared" si="4"/>
        <v>0</v>
      </c>
      <c r="P3" s="124">
        <f t="shared" si="4"/>
        <v>0</v>
      </c>
      <c r="Q3" s="124">
        <f t="shared" si="4"/>
        <v>0</v>
      </c>
      <c r="R3" s="124">
        <f t="shared" si="4"/>
        <v>0</v>
      </c>
      <c r="S3" s="124">
        <f t="shared" si="4"/>
        <v>107</v>
      </c>
      <c r="T3" s="124">
        <f t="shared" si="4"/>
        <v>101</v>
      </c>
      <c r="U3" s="124">
        <f t="shared" si="4"/>
        <v>104</v>
      </c>
      <c r="V3" s="124">
        <f t="shared" si="4"/>
        <v>0</v>
      </c>
      <c r="W3" s="124">
        <f t="shared" si="4"/>
        <v>0</v>
      </c>
      <c r="X3" s="124">
        <f t="shared" si="4"/>
        <v>0</v>
      </c>
      <c r="Y3" s="124">
        <f t="shared" si="4"/>
        <v>0</v>
      </c>
      <c r="Z3" s="124">
        <f t="shared" si="4"/>
        <v>0</v>
      </c>
      <c r="AA3" s="124">
        <f t="shared" si="4"/>
        <v>0</v>
      </c>
      <c r="AB3" s="124">
        <f t="shared" si="4"/>
        <v>0</v>
      </c>
      <c r="AC3" s="124">
        <f t="shared" si="4"/>
        <v>0</v>
      </c>
      <c r="AD3" s="124">
        <f t="shared" si="4"/>
        <v>0</v>
      </c>
      <c r="AE3" s="124">
        <f t="shared" si="4"/>
        <v>0</v>
      </c>
      <c r="AF3" s="124">
        <f t="shared" si="4"/>
        <v>0</v>
      </c>
      <c r="AG3" s="124">
        <f t="shared" si="4"/>
        <v>0</v>
      </c>
      <c r="AH3" s="124">
        <f t="shared" si="4"/>
        <v>0</v>
      </c>
      <c r="AI3" s="124">
        <f t="shared" si="4"/>
        <v>0</v>
      </c>
      <c r="AJ3" s="124">
        <f t="shared" si="4"/>
        <v>0</v>
      </c>
      <c r="AK3" s="124">
        <f t="shared" si="4"/>
        <v>0</v>
      </c>
      <c r="AL3" s="124">
        <f t="shared" si="4"/>
        <v>0</v>
      </c>
      <c r="AM3" s="124">
        <f t="shared" si="4"/>
        <v>0</v>
      </c>
      <c r="AN3" s="124">
        <f t="shared" si="4"/>
        <v>0</v>
      </c>
      <c r="AO3" s="124">
        <f t="shared" si="4"/>
        <v>0</v>
      </c>
      <c r="AP3" s="124">
        <f t="shared" si="4"/>
        <v>0</v>
      </c>
      <c r="AQ3" s="124">
        <f t="shared" si="4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0</v>
      </c>
      <c r="AA4" s="10">
        <f>COUNTIFS(AA8:AA700, "=APAGADO",F8:F700,"=Fibra Optica")</f>
        <v>0</v>
      </c>
      <c r="AB4" s="10">
        <f>COUNTIFS(AB8:AB700, "=APAGADO",F8:F700,"=Fibra Optica")</f>
        <v>0</v>
      </c>
      <c r="AC4" s="10">
        <f>COUNTIFS(AC8:AC700, "=APAGADO",F8:F700,"=Fibra Optica")</f>
        <v>0</v>
      </c>
      <c r="AD4" s="10">
        <f>COUNTIFS(AD8:AD700, "=APAGADO",F8:F700,"=Fibra Optica")</f>
        <v>0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0</v>
      </c>
      <c r="AA5" s="128">
        <f>COUNTIFS(AA8:AA700, "=APAGADO",F8:F700,"=RADIO")</f>
        <v>0</v>
      </c>
      <c r="AB5" s="128">
        <f>COUNTIFS(AB8:AB700, "=APAGADO",F8:F700,"=RADIO")</f>
        <v>0</v>
      </c>
      <c r="AC5" s="128">
        <f>COUNTIFS(AC8:AC700, "=APAGADO",F8:F700,"=RADIO")</f>
        <v>0</v>
      </c>
      <c r="AD5" s="128">
        <f>COUNTIFS(AD8:AD700, "=APAGADO",F8:F700,"=RADIO")</f>
        <v>0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0</v>
      </c>
      <c r="AH5" s="128">
        <f>COUNTIFS(AH8:AH700, "=APAGADO",F8:F700,"=RADIO")</f>
        <v>0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0</v>
      </c>
      <c r="AA6" s="10">
        <f>COUNTIFS(AA8:AA700, "=APAGADO",F8:F700,"=PTO A FO")</f>
        <v>0</v>
      </c>
      <c r="AB6" s="10">
        <f>COUNTIFS(AB8:AB700, "=APAGADO",F8:F700,"=PTO A FO")</f>
        <v>0</v>
      </c>
      <c r="AC6" s="10">
        <f>COUNTIFS(AC8:AC700, "=APAGADO",F8:F700,"=PTO A FO")</f>
        <v>0</v>
      </c>
      <c r="AD6" s="10">
        <f>COUNTIFS(AD8:AD700, "=APAGADO",F8:F700,"=PTO A FO")</f>
        <v>0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0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8.7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/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5.75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5">COUNTIF(N8:AO8,"")</f>
        <v>28</v>
      </c>
      <c r="K8" s="137" t="s">
        <v>1647</v>
      </c>
      <c r="L8" s="31">
        <f t="shared" ref="L8:L86" si="6">COUNTIF(N8:AO8,"APAGADO")</f>
        <v>0</v>
      </c>
      <c r="M8" s="32">
        <f t="shared" ref="M8:M86" si="7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5"/>
        <v>28</v>
      </c>
      <c r="K9" s="137" t="s">
        <v>1648</v>
      </c>
      <c r="L9" s="31">
        <f t="shared" si="6"/>
        <v>0</v>
      </c>
      <c r="M9" s="32">
        <f t="shared" si="7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5"/>
        <v>28</v>
      </c>
      <c r="K10" s="137" t="s">
        <v>1649</v>
      </c>
      <c r="L10" s="132">
        <f t="shared" si="6"/>
        <v>0</v>
      </c>
      <c r="M10" s="133">
        <f t="shared" si="7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5"/>
        <v>28</v>
      </c>
      <c r="K11" s="137" t="s">
        <v>1650</v>
      </c>
      <c r="L11" s="132">
        <f t="shared" si="6"/>
        <v>0</v>
      </c>
      <c r="M11" s="133">
        <f t="shared" si="7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5"/>
        <v>28</v>
      </c>
      <c r="K12" s="137" t="s">
        <v>1651</v>
      </c>
      <c r="L12" s="132">
        <f t="shared" si="6"/>
        <v>0</v>
      </c>
      <c r="M12" s="133">
        <f t="shared" si="7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5"/>
        <v>28</v>
      </c>
      <c r="K13" s="137" t="s">
        <v>1652</v>
      </c>
      <c r="L13" s="132">
        <f t="shared" si="6"/>
        <v>0</v>
      </c>
      <c r="M13" s="133">
        <f t="shared" si="7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5"/>
        <v>28</v>
      </c>
      <c r="K14" s="137" t="s">
        <v>1653</v>
      </c>
      <c r="L14" s="31">
        <f t="shared" si="6"/>
        <v>0</v>
      </c>
      <c r="M14" s="32">
        <f t="shared" si="7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5"/>
        <v>28</v>
      </c>
      <c r="K15" s="137" t="s">
        <v>1654</v>
      </c>
      <c r="L15" s="31">
        <f t="shared" si="6"/>
        <v>0</v>
      </c>
      <c r="M15" s="32">
        <f t="shared" si="7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5"/>
        <v>28</v>
      </c>
      <c r="K16" s="137" t="s">
        <v>1655</v>
      </c>
      <c r="L16" s="31">
        <f t="shared" si="6"/>
        <v>0</v>
      </c>
      <c r="M16" s="32">
        <f t="shared" si="7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5"/>
        <v>28</v>
      </c>
      <c r="K17" s="137" t="s">
        <v>1656</v>
      </c>
      <c r="L17" s="132">
        <f t="shared" si="6"/>
        <v>0</v>
      </c>
      <c r="M17" s="133">
        <f t="shared" si="7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5"/>
        <v>28</v>
      </c>
      <c r="K18" s="137" t="s">
        <v>2130</v>
      </c>
      <c r="L18" s="31">
        <f t="shared" si="6"/>
        <v>0</v>
      </c>
      <c r="M18" s="32">
        <f t="shared" si="7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5"/>
        <v>24</v>
      </c>
      <c r="K19" s="137" t="s">
        <v>1657</v>
      </c>
      <c r="L19" s="31">
        <f t="shared" si="6"/>
        <v>4</v>
      </c>
      <c r="M19" s="32">
        <f t="shared" si="7"/>
        <v>0.8571428571428571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/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5"/>
        <v>24</v>
      </c>
      <c r="K20" s="137" t="s">
        <v>1658</v>
      </c>
      <c r="L20" s="31">
        <f t="shared" si="6"/>
        <v>4</v>
      </c>
      <c r="M20" s="32">
        <f t="shared" si="7"/>
        <v>0.8571428571428571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/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5"/>
        <v>28</v>
      </c>
      <c r="K21" s="137" t="s">
        <v>1659</v>
      </c>
      <c r="L21" s="31">
        <f t="shared" si="6"/>
        <v>0</v>
      </c>
      <c r="M21" s="32">
        <f t="shared" si="7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5"/>
        <v>28</v>
      </c>
      <c r="K22" s="137" t="s">
        <v>2288</v>
      </c>
      <c r="L22" s="31">
        <f t="shared" si="6"/>
        <v>0</v>
      </c>
      <c r="M22" s="32">
        <f t="shared" si="7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5"/>
        <v>28</v>
      </c>
      <c r="K23" s="137" t="s">
        <v>1660</v>
      </c>
      <c r="L23" s="31">
        <f t="shared" si="6"/>
        <v>0</v>
      </c>
      <c r="M23" s="32">
        <f t="shared" si="7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5"/>
        <v>27</v>
      </c>
      <c r="K24" s="137" t="s">
        <v>1661</v>
      </c>
      <c r="L24" s="31">
        <f t="shared" si="6"/>
        <v>1</v>
      </c>
      <c r="M24" s="32">
        <f t="shared" si="7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5"/>
        <v>27</v>
      </c>
      <c r="K25" s="137" t="s">
        <v>1662</v>
      </c>
      <c r="L25" s="31">
        <f t="shared" si="6"/>
        <v>1</v>
      </c>
      <c r="M25" s="32">
        <f t="shared" si="7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5"/>
        <v>24</v>
      </c>
      <c r="K26" s="137" t="s">
        <v>1663</v>
      </c>
      <c r="L26" s="31">
        <f t="shared" si="6"/>
        <v>4</v>
      </c>
      <c r="M26" s="32">
        <f t="shared" si="7"/>
        <v>0.8571428571428571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5"/>
        <v>27</v>
      </c>
      <c r="K27" s="137" t="s">
        <v>1664</v>
      </c>
      <c r="L27" s="31">
        <f t="shared" si="6"/>
        <v>1</v>
      </c>
      <c r="M27" s="32">
        <f t="shared" si="7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5"/>
        <v>28</v>
      </c>
      <c r="K28" s="137" t="s">
        <v>1665</v>
      </c>
      <c r="L28" s="31">
        <f t="shared" si="6"/>
        <v>0</v>
      </c>
      <c r="M28" s="32">
        <f t="shared" si="7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5"/>
        <v>27</v>
      </c>
      <c r="K29" s="137" t="s">
        <v>1666</v>
      </c>
      <c r="L29" s="31">
        <f t="shared" si="6"/>
        <v>1</v>
      </c>
      <c r="M29" s="32">
        <f t="shared" si="7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5"/>
        <v>28</v>
      </c>
      <c r="K30" s="137" t="s">
        <v>1667</v>
      </c>
      <c r="L30" s="132">
        <f t="shared" si="6"/>
        <v>0</v>
      </c>
      <c r="M30" s="133">
        <f t="shared" si="7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5"/>
        <v>28</v>
      </c>
      <c r="K31" s="137" t="s">
        <v>2131</v>
      </c>
      <c r="L31" s="132">
        <f t="shared" si="6"/>
        <v>0</v>
      </c>
      <c r="M31" s="133">
        <f t="shared" si="7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5"/>
        <v>28</v>
      </c>
      <c r="K32" s="137" t="s">
        <v>2132</v>
      </c>
      <c r="L32" s="132">
        <f t="shared" si="6"/>
        <v>0</v>
      </c>
      <c r="M32" s="133">
        <f t="shared" si="7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5"/>
        <v>28</v>
      </c>
      <c r="K33" s="137" t="s">
        <v>2133</v>
      </c>
      <c r="L33" s="132">
        <f t="shared" si="6"/>
        <v>0</v>
      </c>
      <c r="M33" s="133">
        <f t="shared" si="7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5"/>
        <v>28</v>
      </c>
      <c r="K34" s="137" t="s">
        <v>2263</v>
      </c>
      <c r="L34" s="132">
        <f t="shared" si="6"/>
        <v>0</v>
      </c>
      <c r="M34" s="133">
        <f t="shared" si="7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49" customFormat="1" ht="15.75" thickBot="1" x14ac:dyDescent="0.3">
      <c r="A35" s="69" t="s">
        <v>2129</v>
      </c>
      <c r="B35" s="148" t="s">
        <v>1340</v>
      </c>
      <c r="C35" s="149" t="s">
        <v>1055</v>
      </c>
      <c r="D35" s="149" t="s">
        <v>1341</v>
      </c>
      <c r="E35" s="148" t="s">
        <v>18</v>
      </c>
      <c r="F35" s="148" t="s">
        <v>27</v>
      </c>
      <c r="G35" s="138"/>
      <c r="H35" s="148" t="s">
        <v>1431</v>
      </c>
      <c r="I35" s="138"/>
      <c r="J35" s="141">
        <f t="shared" si="5"/>
        <v>28</v>
      </c>
      <c r="K35" s="150" t="s">
        <v>1668</v>
      </c>
      <c r="L35" s="141">
        <f t="shared" si="6"/>
        <v>0</v>
      </c>
      <c r="M35" s="143">
        <f t="shared" si="7"/>
        <v>1</v>
      </c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</row>
    <row r="36" spans="1:43" s="73" customFormat="1" ht="15.75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5"/>
        <v>24</v>
      </c>
      <c r="K36" s="137" t="s">
        <v>2134</v>
      </c>
      <c r="L36" s="132">
        <f t="shared" si="6"/>
        <v>4</v>
      </c>
      <c r="M36" s="133">
        <f t="shared" si="7"/>
        <v>0.8571428571428571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139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5"/>
        <v>24</v>
      </c>
      <c r="K37" s="137" t="s">
        <v>2128</v>
      </c>
      <c r="L37" s="132">
        <f t="shared" si="6"/>
        <v>4</v>
      </c>
      <c r="M37" s="133">
        <f t="shared" si="7"/>
        <v>0.8571428571428571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5"/>
        <v>25</v>
      </c>
      <c r="K38" s="137" t="s">
        <v>2135</v>
      </c>
      <c r="L38" s="132">
        <f t="shared" si="6"/>
        <v>3</v>
      </c>
      <c r="M38" s="133">
        <f t="shared" si="7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5"/>
        <v>28</v>
      </c>
      <c r="K39" s="137" t="s">
        <v>1669</v>
      </c>
      <c r="L39" s="31">
        <f t="shared" si="6"/>
        <v>0</v>
      </c>
      <c r="M39" s="32">
        <f t="shared" si="7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5"/>
        <v>28</v>
      </c>
      <c r="K40" s="137" t="s">
        <v>1670</v>
      </c>
      <c r="L40" s="31">
        <f t="shared" si="6"/>
        <v>0</v>
      </c>
      <c r="M40" s="32">
        <f t="shared" si="7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5"/>
        <v>28</v>
      </c>
      <c r="K41" s="137" t="s">
        <v>2136</v>
      </c>
      <c r="L41" s="31">
        <f t="shared" si="6"/>
        <v>0</v>
      </c>
      <c r="M41" s="32">
        <f t="shared" si="7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5"/>
        <v>28</v>
      </c>
      <c r="K42" s="137" t="s">
        <v>2160</v>
      </c>
      <c r="L42" s="31">
        <f t="shared" si="6"/>
        <v>0</v>
      </c>
      <c r="M42" s="32">
        <f t="shared" si="7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5"/>
        <v>28</v>
      </c>
      <c r="K43" s="137" t="s">
        <v>2161</v>
      </c>
      <c r="L43" s="31">
        <f t="shared" si="6"/>
        <v>0</v>
      </c>
      <c r="M43" s="32">
        <f t="shared" si="7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5"/>
        <v>27</v>
      </c>
      <c r="K44" s="137" t="s">
        <v>2162</v>
      </c>
      <c r="L44" s="31">
        <f t="shared" si="6"/>
        <v>1</v>
      </c>
      <c r="M44" s="32">
        <f t="shared" si="7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5"/>
        <v>28</v>
      </c>
      <c r="K45" s="137" t="s">
        <v>2206</v>
      </c>
      <c r="L45" s="31">
        <f t="shared" si="6"/>
        <v>0</v>
      </c>
      <c r="M45" s="32">
        <f t="shared" si="7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5"/>
        <v>28</v>
      </c>
      <c r="K46" s="137" t="s">
        <v>2210</v>
      </c>
      <c r="L46" s="31">
        <f t="shared" si="6"/>
        <v>0</v>
      </c>
      <c r="M46" s="32">
        <f t="shared" si="7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5"/>
        <v>28</v>
      </c>
      <c r="K47" s="137" t="s">
        <v>1671</v>
      </c>
      <c r="L47" s="31">
        <f t="shared" si="6"/>
        <v>0</v>
      </c>
      <c r="M47" s="32">
        <f t="shared" si="7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5"/>
        <v>28</v>
      </c>
      <c r="K48" s="137" t="s">
        <v>1672</v>
      </c>
      <c r="L48" s="31">
        <f t="shared" si="6"/>
        <v>0</v>
      </c>
      <c r="M48" s="32">
        <f t="shared" si="7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5"/>
        <v>28</v>
      </c>
      <c r="K49" s="137" t="s">
        <v>1673</v>
      </c>
      <c r="L49" s="31">
        <f t="shared" si="6"/>
        <v>0</v>
      </c>
      <c r="M49" s="32">
        <f t="shared" si="7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5"/>
        <v>27</v>
      </c>
      <c r="K50" s="137" t="s">
        <v>1674</v>
      </c>
      <c r="L50" s="31">
        <f t="shared" si="6"/>
        <v>1</v>
      </c>
      <c r="M50" s="32">
        <f t="shared" si="7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5"/>
        <v>28</v>
      </c>
      <c r="K51" s="137" t="s">
        <v>1675</v>
      </c>
      <c r="L51" s="31">
        <f t="shared" si="6"/>
        <v>0</v>
      </c>
      <c r="M51" s="32">
        <f t="shared" si="7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5"/>
        <v>25</v>
      </c>
      <c r="K52" s="137"/>
      <c r="L52" s="31">
        <f t="shared" si="6"/>
        <v>3</v>
      </c>
      <c r="M52" s="32">
        <f t="shared" si="7"/>
        <v>0.8928571428571429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5"/>
        <v>28</v>
      </c>
      <c r="K53" s="137" t="s">
        <v>1676</v>
      </c>
      <c r="L53" s="31">
        <f t="shared" si="6"/>
        <v>0</v>
      </c>
      <c r="M53" s="32">
        <f t="shared" si="7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5"/>
        <v>28</v>
      </c>
      <c r="K54" s="137" t="s">
        <v>1677</v>
      </c>
      <c r="L54" s="31">
        <f t="shared" si="6"/>
        <v>0</v>
      </c>
      <c r="M54" s="32">
        <f t="shared" si="7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5"/>
        <v>28</v>
      </c>
      <c r="K55" s="137" t="s">
        <v>1678</v>
      </c>
      <c r="L55" s="31">
        <f t="shared" si="6"/>
        <v>0</v>
      </c>
      <c r="M55" s="32">
        <f t="shared" si="7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5"/>
        <v>28</v>
      </c>
      <c r="K56" s="137" t="s">
        <v>1679</v>
      </c>
      <c r="L56" s="31">
        <f t="shared" si="6"/>
        <v>0</v>
      </c>
      <c r="M56" s="32">
        <f t="shared" si="7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5"/>
        <v>28</v>
      </c>
      <c r="K57" s="137" t="s">
        <v>1680</v>
      </c>
      <c r="L57" s="31">
        <f t="shared" si="6"/>
        <v>0</v>
      </c>
      <c r="M57" s="32">
        <f t="shared" si="7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5"/>
        <v>28</v>
      </c>
      <c r="K58" s="137" t="s">
        <v>1681</v>
      </c>
      <c r="L58" s="31">
        <f t="shared" si="6"/>
        <v>0</v>
      </c>
      <c r="M58" s="32">
        <f t="shared" si="7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5"/>
        <v>28</v>
      </c>
      <c r="K59" s="137" t="s">
        <v>1682</v>
      </c>
      <c r="L59" s="132">
        <f t="shared" si="6"/>
        <v>0</v>
      </c>
      <c r="M59" s="133">
        <f t="shared" si="7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5"/>
        <v>28</v>
      </c>
      <c r="K60" s="137" t="s">
        <v>1683</v>
      </c>
      <c r="L60" s="31">
        <f t="shared" si="6"/>
        <v>0</v>
      </c>
      <c r="M60" s="32">
        <f t="shared" si="7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5"/>
        <v>28</v>
      </c>
      <c r="K61" s="137" t="s">
        <v>1684</v>
      </c>
      <c r="L61" s="132">
        <f t="shared" si="6"/>
        <v>0</v>
      </c>
      <c r="M61" s="133">
        <f t="shared" si="7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5"/>
        <v>28</v>
      </c>
      <c r="K62" s="137" t="s">
        <v>1685</v>
      </c>
      <c r="L62" s="31">
        <f t="shared" si="6"/>
        <v>0</v>
      </c>
      <c r="M62" s="32">
        <f t="shared" si="7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5"/>
        <v>28</v>
      </c>
      <c r="K63" s="137" t="s">
        <v>1686</v>
      </c>
      <c r="L63" s="31">
        <f t="shared" si="6"/>
        <v>0</v>
      </c>
      <c r="M63" s="32">
        <f t="shared" si="7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5"/>
        <v>28</v>
      </c>
      <c r="K64" s="137" t="s">
        <v>1687</v>
      </c>
      <c r="L64" s="31">
        <f t="shared" si="6"/>
        <v>0</v>
      </c>
      <c r="M64" s="32">
        <f t="shared" si="7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5"/>
        <v>28</v>
      </c>
      <c r="K65" s="137" t="s">
        <v>1688</v>
      </c>
      <c r="L65" s="31">
        <f t="shared" si="6"/>
        <v>0</v>
      </c>
      <c r="M65" s="32">
        <f t="shared" si="7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5"/>
        <v>27</v>
      </c>
      <c r="K66" s="137" t="s">
        <v>1689</v>
      </c>
      <c r="L66" s="132">
        <f t="shared" si="6"/>
        <v>1</v>
      </c>
      <c r="M66" s="133">
        <f t="shared" si="7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5"/>
        <v>28</v>
      </c>
      <c r="K67" s="137" t="s">
        <v>2326</v>
      </c>
      <c r="L67" s="31">
        <f t="shared" si="6"/>
        <v>0</v>
      </c>
      <c r="M67" s="32">
        <f t="shared" si="7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5"/>
        <v>28</v>
      </c>
      <c r="K68" s="137" t="s">
        <v>1690</v>
      </c>
      <c r="L68" s="132">
        <f t="shared" si="6"/>
        <v>0</v>
      </c>
      <c r="M68" s="133">
        <f t="shared" si="7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5"/>
        <v>28</v>
      </c>
      <c r="K69" s="137" t="s">
        <v>1691</v>
      </c>
      <c r="L69" s="31">
        <f t="shared" si="6"/>
        <v>0</v>
      </c>
      <c r="M69" s="32">
        <f t="shared" si="7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5"/>
        <v>28</v>
      </c>
      <c r="K70" s="137" t="s">
        <v>1692</v>
      </c>
      <c r="L70" s="31">
        <f t="shared" si="6"/>
        <v>0</v>
      </c>
      <c r="M70" s="32">
        <f t="shared" si="7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5"/>
        <v>27</v>
      </c>
      <c r="K71" s="137" t="s">
        <v>1693</v>
      </c>
      <c r="L71" s="31">
        <f t="shared" si="6"/>
        <v>1</v>
      </c>
      <c r="M71" s="32">
        <f t="shared" si="7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5"/>
        <v>28</v>
      </c>
      <c r="K72" s="137" t="s">
        <v>1694</v>
      </c>
      <c r="L72" s="31">
        <f t="shared" si="6"/>
        <v>0</v>
      </c>
      <c r="M72" s="32">
        <f t="shared" si="7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5"/>
        <v>28</v>
      </c>
      <c r="K73" s="137" t="s">
        <v>1695</v>
      </c>
      <c r="L73" s="31">
        <f t="shared" si="6"/>
        <v>0</v>
      </c>
      <c r="M73" s="32">
        <f t="shared" si="7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5"/>
        <v>25</v>
      </c>
      <c r="K74" s="137" t="s">
        <v>1696</v>
      </c>
      <c r="L74" s="31">
        <f t="shared" si="6"/>
        <v>3</v>
      </c>
      <c r="M74" s="32">
        <f t="shared" si="7"/>
        <v>0.8928571428571429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5"/>
        <v>26</v>
      </c>
      <c r="K75" s="137" t="s">
        <v>1697</v>
      </c>
      <c r="L75" s="31">
        <f t="shared" si="6"/>
        <v>2</v>
      </c>
      <c r="M75" s="32">
        <f t="shared" si="7"/>
        <v>0.9285714285714286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5"/>
        <v>28</v>
      </c>
      <c r="K76" s="137" t="s">
        <v>1698</v>
      </c>
      <c r="L76" s="31">
        <f t="shared" si="6"/>
        <v>0</v>
      </c>
      <c r="M76" s="32">
        <f t="shared" si="7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5"/>
        <v>28</v>
      </c>
      <c r="K77" s="137" t="s">
        <v>1699</v>
      </c>
      <c r="L77" s="31">
        <f t="shared" si="6"/>
        <v>0</v>
      </c>
      <c r="M77" s="32">
        <f t="shared" si="7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5"/>
        <v>28</v>
      </c>
      <c r="K78" s="137" t="s">
        <v>1700</v>
      </c>
      <c r="L78" s="31">
        <f t="shared" si="6"/>
        <v>0</v>
      </c>
      <c r="M78" s="32">
        <f t="shared" si="7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5"/>
        <v>28</v>
      </c>
      <c r="K79" s="137" t="s">
        <v>1701</v>
      </c>
      <c r="L79" s="31">
        <f t="shared" si="6"/>
        <v>0</v>
      </c>
      <c r="M79" s="32">
        <f t="shared" si="7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5"/>
        <v>28</v>
      </c>
      <c r="K80" s="137" t="s">
        <v>1702</v>
      </c>
      <c r="L80" s="31">
        <f t="shared" si="6"/>
        <v>0</v>
      </c>
      <c r="M80" s="32">
        <f t="shared" si="7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5"/>
        <v>27</v>
      </c>
      <c r="K81" s="137" t="s">
        <v>1703</v>
      </c>
      <c r="L81" s="31">
        <f t="shared" si="6"/>
        <v>1</v>
      </c>
      <c r="M81" s="32">
        <f t="shared" si="7"/>
        <v>0.9642857142857143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5"/>
        <v>27</v>
      </c>
      <c r="K82" s="137" t="s">
        <v>1704</v>
      </c>
      <c r="L82" s="31">
        <f t="shared" si="6"/>
        <v>1</v>
      </c>
      <c r="M82" s="32">
        <f t="shared" si="7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5"/>
        <v>28</v>
      </c>
      <c r="K83" s="137" t="s">
        <v>1705</v>
      </c>
      <c r="L83" s="31">
        <f t="shared" si="6"/>
        <v>0</v>
      </c>
      <c r="M83" s="32">
        <f t="shared" si="7"/>
        <v>1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5"/>
        <v>28</v>
      </c>
      <c r="K84" s="137" t="s">
        <v>1706</v>
      </c>
      <c r="L84" s="31">
        <f t="shared" si="6"/>
        <v>0</v>
      </c>
      <c r="M84" s="32">
        <f t="shared" si="7"/>
        <v>1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5"/>
        <v>27</v>
      </c>
      <c r="K85" s="137" t="s">
        <v>1707</v>
      </c>
      <c r="L85" s="31">
        <f t="shared" si="6"/>
        <v>1</v>
      </c>
      <c r="M85" s="32">
        <f t="shared" si="7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5"/>
        <v>26</v>
      </c>
      <c r="K86" s="137" t="s">
        <v>1708</v>
      </c>
      <c r="L86" s="31">
        <f t="shared" si="6"/>
        <v>2</v>
      </c>
      <c r="M86" s="32">
        <f t="shared" si="7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8">COUNTIF(N87:AO87,"")</f>
        <v>26</v>
      </c>
      <c r="K87" s="137" t="s">
        <v>1709</v>
      </c>
      <c r="L87" s="31">
        <f t="shared" ref="L87:L164" si="9">COUNTIF(N87:AO87,"APAGADO")</f>
        <v>2</v>
      </c>
      <c r="M87" s="32">
        <f t="shared" ref="M87:M164" si="10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8"/>
        <v>28</v>
      </c>
      <c r="K88" s="137" t="s">
        <v>1710</v>
      </c>
      <c r="L88" s="132">
        <f t="shared" si="9"/>
        <v>0</v>
      </c>
      <c r="M88" s="133">
        <f t="shared" si="10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8"/>
        <v>28</v>
      </c>
      <c r="K89" s="137" t="s">
        <v>1711</v>
      </c>
      <c r="L89" s="31">
        <f t="shared" si="9"/>
        <v>0</v>
      </c>
      <c r="M89" s="32">
        <f t="shared" si="10"/>
        <v>1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8"/>
        <v>24</v>
      </c>
      <c r="K90" s="137" t="s">
        <v>1712</v>
      </c>
      <c r="L90" s="31">
        <f t="shared" si="9"/>
        <v>4</v>
      </c>
      <c r="M90" s="32">
        <f t="shared" si="10"/>
        <v>0.8571428571428571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8"/>
        <v>28</v>
      </c>
      <c r="K91" s="137" t="s">
        <v>1713</v>
      </c>
      <c r="L91" s="31">
        <f t="shared" si="9"/>
        <v>0</v>
      </c>
      <c r="M91" s="32">
        <f t="shared" si="10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8"/>
        <v>28</v>
      </c>
      <c r="K92" s="137" t="s">
        <v>1714</v>
      </c>
      <c r="L92" s="31">
        <f t="shared" si="9"/>
        <v>0</v>
      </c>
      <c r="M92" s="32">
        <f t="shared" si="10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8"/>
        <v>28</v>
      </c>
      <c r="K93" s="137" t="s">
        <v>1715</v>
      </c>
      <c r="L93" s="31">
        <f t="shared" si="9"/>
        <v>0</v>
      </c>
      <c r="M93" s="32">
        <f t="shared" si="10"/>
        <v>1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8"/>
        <v>28</v>
      </c>
      <c r="K94" s="137" t="s">
        <v>1716</v>
      </c>
      <c r="L94" s="132">
        <f t="shared" si="9"/>
        <v>0</v>
      </c>
      <c r="M94" s="133">
        <f t="shared" si="10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8"/>
        <v>24</v>
      </c>
      <c r="K95" s="137" t="s">
        <v>1717</v>
      </c>
      <c r="L95" s="31">
        <f t="shared" si="9"/>
        <v>4</v>
      </c>
      <c r="M95" s="32">
        <f t="shared" si="10"/>
        <v>0.8571428571428571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8"/>
        <v>24</v>
      </c>
      <c r="K96" s="137" t="s">
        <v>1718</v>
      </c>
      <c r="L96" s="132">
        <f t="shared" si="9"/>
        <v>4</v>
      </c>
      <c r="M96" s="133">
        <f t="shared" si="10"/>
        <v>0.8571428571428571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8"/>
        <v>27</v>
      </c>
      <c r="K97" s="137" t="s">
        <v>1719</v>
      </c>
      <c r="L97" s="132">
        <f t="shared" si="9"/>
        <v>1</v>
      </c>
      <c r="M97" s="133">
        <f t="shared" si="10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8"/>
        <v>28</v>
      </c>
      <c r="K98" s="137" t="s">
        <v>1720</v>
      </c>
      <c r="L98" s="132">
        <f t="shared" si="9"/>
        <v>0</v>
      </c>
      <c r="M98" s="133">
        <f t="shared" si="10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8"/>
        <v>28</v>
      </c>
      <c r="K99" s="137" t="s">
        <v>1721</v>
      </c>
      <c r="L99" s="132">
        <f t="shared" si="9"/>
        <v>0</v>
      </c>
      <c r="M99" s="133">
        <f t="shared" si="10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8"/>
        <v>26</v>
      </c>
      <c r="K100" s="137" t="s">
        <v>1722</v>
      </c>
      <c r="L100" s="132">
        <f t="shared" si="9"/>
        <v>2</v>
      </c>
      <c r="M100" s="133">
        <f t="shared" si="10"/>
        <v>0.9285714285714286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8"/>
        <v>28</v>
      </c>
      <c r="K101" s="137" t="s">
        <v>1723</v>
      </c>
      <c r="L101" s="132">
        <f t="shared" si="9"/>
        <v>0</v>
      </c>
      <c r="M101" s="133">
        <f t="shared" si="10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8"/>
        <v>28</v>
      </c>
      <c r="K102" s="137" t="s">
        <v>1724</v>
      </c>
      <c r="L102" s="132">
        <f t="shared" si="9"/>
        <v>0</v>
      </c>
      <c r="M102" s="133">
        <f t="shared" si="10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8"/>
        <v>28</v>
      </c>
      <c r="K103" s="137" t="s">
        <v>1725</v>
      </c>
      <c r="L103" s="132">
        <f t="shared" si="9"/>
        <v>0</v>
      </c>
      <c r="M103" s="133">
        <f t="shared" si="10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8"/>
        <v>28</v>
      </c>
      <c r="K104" s="137" t="s">
        <v>1726</v>
      </c>
      <c r="L104" s="31">
        <f t="shared" si="9"/>
        <v>0</v>
      </c>
      <c r="M104" s="32">
        <f t="shared" si="10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8"/>
        <v>28</v>
      </c>
      <c r="K105" s="137" t="s">
        <v>1727</v>
      </c>
      <c r="L105" s="132">
        <f t="shared" si="9"/>
        <v>0</v>
      </c>
      <c r="M105" s="133">
        <f t="shared" si="10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8"/>
        <v>27</v>
      </c>
      <c r="K106" s="137" t="s">
        <v>1728</v>
      </c>
      <c r="L106" s="31">
        <f t="shared" si="9"/>
        <v>1</v>
      </c>
      <c r="M106" s="32">
        <f t="shared" si="10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8"/>
        <v>28</v>
      </c>
      <c r="K107" s="137" t="s">
        <v>1729</v>
      </c>
      <c r="L107" s="132">
        <f t="shared" si="9"/>
        <v>0</v>
      </c>
      <c r="M107" s="133">
        <f t="shared" si="10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8"/>
        <v>27</v>
      </c>
      <c r="K108" s="137" t="s">
        <v>1730</v>
      </c>
      <c r="L108" s="31">
        <f t="shared" si="9"/>
        <v>1</v>
      </c>
      <c r="M108" s="32">
        <f t="shared" si="10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8"/>
        <v>28</v>
      </c>
      <c r="K109" s="137" t="s">
        <v>1731</v>
      </c>
      <c r="L109" s="31">
        <f t="shared" si="9"/>
        <v>0</v>
      </c>
      <c r="M109" s="32">
        <f t="shared" si="10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8"/>
        <v>28</v>
      </c>
      <c r="K110" s="137" t="s">
        <v>1732</v>
      </c>
      <c r="L110" s="31">
        <f t="shared" si="9"/>
        <v>0</v>
      </c>
      <c r="M110" s="32">
        <f t="shared" si="10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8"/>
        <v>28</v>
      </c>
      <c r="K111" s="137" t="s">
        <v>1733</v>
      </c>
      <c r="L111" s="132">
        <f t="shared" si="9"/>
        <v>0</v>
      </c>
      <c r="M111" s="133">
        <f t="shared" si="10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8"/>
        <v>28</v>
      </c>
      <c r="K112" s="137" t="s">
        <v>1733</v>
      </c>
      <c r="L112" s="132">
        <f t="shared" si="9"/>
        <v>0</v>
      </c>
      <c r="M112" s="133">
        <f t="shared" si="10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8"/>
        <v>28</v>
      </c>
      <c r="K113" s="137" t="s">
        <v>1735</v>
      </c>
      <c r="L113" s="132">
        <f t="shared" si="9"/>
        <v>0</v>
      </c>
      <c r="M113" s="133">
        <f t="shared" si="10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8"/>
        <v>28</v>
      </c>
      <c r="K114" s="137" t="s">
        <v>1734</v>
      </c>
      <c r="L114" s="132">
        <f t="shared" si="9"/>
        <v>0</v>
      </c>
      <c r="M114" s="133">
        <f t="shared" si="10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8"/>
        <v>28</v>
      </c>
      <c r="K115" s="137" t="s">
        <v>1736</v>
      </c>
      <c r="L115" s="31">
        <f t="shared" si="9"/>
        <v>0</v>
      </c>
      <c r="M115" s="32">
        <f t="shared" si="10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8"/>
        <v>28</v>
      </c>
      <c r="K116" s="137" t="s">
        <v>1737</v>
      </c>
      <c r="L116" s="31">
        <f t="shared" si="9"/>
        <v>0</v>
      </c>
      <c r="M116" s="32">
        <f t="shared" si="10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8"/>
        <v>28</v>
      </c>
      <c r="K117" s="137" t="s">
        <v>1738</v>
      </c>
      <c r="L117" s="132">
        <f t="shared" si="9"/>
        <v>0</v>
      </c>
      <c r="M117" s="133">
        <f t="shared" si="10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8"/>
        <v>28</v>
      </c>
      <c r="K118" s="137" t="s">
        <v>1739</v>
      </c>
      <c r="L118" s="31">
        <f t="shared" si="9"/>
        <v>0</v>
      </c>
      <c r="M118" s="32">
        <f t="shared" si="10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8"/>
        <v>28</v>
      </c>
      <c r="K119" s="137" t="s">
        <v>1740</v>
      </c>
      <c r="L119" s="31">
        <f t="shared" si="9"/>
        <v>0</v>
      </c>
      <c r="M119" s="32">
        <f t="shared" si="10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8"/>
        <v>28</v>
      </c>
      <c r="K120" s="137" t="s">
        <v>1741</v>
      </c>
      <c r="L120" s="31">
        <f t="shared" si="9"/>
        <v>0</v>
      </c>
      <c r="M120" s="32">
        <f t="shared" si="10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8"/>
        <v>28</v>
      </c>
      <c r="K121" s="137" t="s">
        <v>1742</v>
      </c>
      <c r="L121" s="132">
        <f t="shared" si="9"/>
        <v>0</v>
      </c>
      <c r="M121" s="133">
        <f t="shared" si="10"/>
        <v>1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8"/>
        <v>28</v>
      </c>
      <c r="K122" s="137" t="s">
        <v>1743</v>
      </c>
      <c r="L122" s="31">
        <f t="shared" si="9"/>
        <v>0</v>
      </c>
      <c r="M122" s="32">
        <f t="shared" si="10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8"/>
        <v>28</v>
      </c>
      <c r="K123" s="137" t="s">
        <v>1744</v>
      </c>
      <c r="L123" s="31">
        <f t="shared" si="9"/>
        <v>0</v>
      </c>
      <c r="M123" s="32">
        <f t="shared" si="10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8"/>
        <v>28</v>
      </c>
      <c r="K124" s="137" t="s">
        <v>1745</v>
      </c>
      <c r="L124" s="31">
        <f t="shared" si="9"/>
        <v>0</v>
      </c>
      <c r="M124" s="32">
        <f t="shared" si="10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8"/>
        <v>28</v>
      </c>
      <c r="K125" s="137" t="s">
        <v>1746</v>
      </c>
      <c r="L125" s="31">
        <f t="shared" si="9"/>
        <v>0</v>
      </c>
      <c r="M125" s="32">
        <f t="shared" si="10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8"/>
        <v>28</v>
      </c>
      <c r="K126" s="137" t="s">
        <v>1747</v>
      </c>
      <c r="L126" s="31">
        <f t="shared" si="9"/>
        <v>0</v>
      </c>
      <c r="M126" s="32">
        <f t="shared" si="10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8"/>
        <v>28</v>
      </c>
      <c r="K127" s="137" t="s">
        <v>1748</v>
      </c>
      <c r="L127" s="31">
        <f t="shared" si="9"/>
        <v>0</v>
      </c>
      <c r="M127" s="32">
        <f t="shared" si="10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8"/>
        <v>28</v>
      </c>
      <c r="K128" s="137" t="s">
        <v>1749</v>
      </c>
      <c r="L128" s="132">
        <f t="shared" si="9"/>
        <v>0</v>
      </c>
      <c r="M128" s="133">
        <f t="shared" si="10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8"/>
        <v>28</v>
      </c>
      <c r="K129" s="137" t="s">
        <v>1750</v>
      </c>
      <c r="L129" s="132">
        <f t="shared" si="9"/>
        <v>0</v>
      </c>
      <c r="M129" s="133">
        <f t="shared" si="10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8"/>
        <v>28</v>
      </c>
      <c r="K130" s="137" t="s">
        <v>1751</v>
      </c>
      <c r="L130" s="132">
        <f t="shared" si="9"/>
        <v>0</v>
      </c>
      <c r="M130" s="133">
        <f t="shared" si="10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8"/>
        <v>28</v>
      </c>
      <c r="K131" s="137" t="s">
        <v>1752</v>
      </c>
      <c r="L131" s="31">
        <f t="shared" si="9"/>
        <v>0</v>
      </c>
      <c r="M131" s="32">
        <f t="shared" si="10"/>
        <v>1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8"/>
        <v>28</v>
      </c>
      <c r="K132" s="137" t="s">
        <v>1753</v>
      </c>
      <c r="L132" s="31">
        <f t="shared" si="9"/>
        <v>0</v>
      </c>
      <c r="M132" s="32">
        <f t="shared" si="10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8"/>
        <v>28</v>
      </c>
      <c r="K133" s="137" t="s">
        <v>1754</v>
      </c>
      <c r="L133" s="132">
        <f t="shared" si="9"/>
        <v>0</v>
      </c>
      <c r="M133" s="133">
        <f t="shared" si="10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8"/>
        <v>28</v>
      </c>
      <c r="K134" s="137" t="s">
        <v>1755</v>
      </c>
      <c r="L134" s="132">
        <f t="shared" si="9"/>
        <v>0</v>
      </c>
      <c r="M134" s="133">
        <f t="shared" si="10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8"/>
        <v>28</v>
      </c>
      <c r="K135" s="137" t="s">
        <v>1756</v>
      </c>
      <c r="L135" s="132">
        <f t="shared" si="9"/>
        <v>0</v>
      </c>
      <c r="M135" s="133">
        <f t="shared" si="10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8"/>
        <v>28</v>
      </c>
      <c r="K136" s="137" t="s">
        <v>1757</v>
      </c>
      <c r="L136" s="132">
        <f t="shared" si="9"/>
        <v>0</v>
      </c>
      <c r="M136" s="133">
        <f t="shared" si="10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8"/>
        <v>28</v>
      </c>
      <c r="K137" s="137" t="s">
        <v>1758</v>
      </c>
      <c r="L137" s="132">
        <f t="shared" si="9"/>
        <v>0</v>
      </c>
      <c r="M137" s="133">
        <f t="shared" si="10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8"/>
        <v>28</v>
      </c>
      <c r="K138" s="137" t="s">
        <v>1759</v>
      </c>
      <c r="L138" s="132">
        <f t="shared" si="9"/>
        <v>0</v>
      </c>
      <c r="M138" s="133">
        <f t="shared" si="10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8"/>
        <v>28</v>
      </c>
      <c r="K139" s="137" t="s">
        <v>1760</v>
      </c>
      <c r="L139" s="132">
        <f t="shared" si="9"/>
        <v>0</v>
      </c>
      <c r="M139" s="133">
        <f t="shared" si="10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8"/>
        <v>28</v>
      </c>
      <c r="K140" s="137" t="s">
        <v>2163</v>
      </c>
      <c r="L140" s="132">
        <f t="shared" si="9"/>
        <v>0</v>
      </c>
      <c r="M140" s="133">
        <f t="shared" si="10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8"/>
        <v>28</v>
      </c>
      <c r="K141" s="137" t="s">
        <v>1761</v>
      </c>
      <c r="L141" s="132">
        <f t="shared" si="9"/>
        <v>0</v>
      </c>
      <c r="M141" s="133">
        <f t="shared" si="10"/>
        <v>1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8"/>
        <v>26</v>
      </c>
      <c r="K142" s="137" t="s">
        <v>1762</v>
      </c>
      <c r="L142" s="132">
        <f t="shared" si="9"/>
        <v>2</v>
      </c>
      <c r="M142" s="133">
        <f t="shared" si="10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8"/>
        <v>28</v>
      </c>
      <c r="K143" s="137" t="s">
        <v>2165</v>
      </c>
      <c r="L143" s="132">
        <f t="shared" si="9"/>
        <v>0</v>
      </c>
      <c r="M143" s="133">
        <f t="shared" si="10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8"/>
        <v>27</v>
      </c>
      <c r="K144" s="137" t="s">
        <v>2190</v>
      </c>
      <c r="L144" s="132">
        <f t="shared" si="9"/>
        <v>1</v>
      </c>
      <c r="M144" s="133">
        <f t="shared" si="10"/>
        <v>0.9642857142857143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8"/>
        <v>28</v>
      </c>
      <c r="K145" s="137" t="s">
        <v>2220</v>
      </c>
      <c r="L145" s="132">
        <f t="shared" si="9"/>
        <v>0</v>
      </c>
      <c r="M145" s="133">
        <f t="shared" si="10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8"/>
        <v>27</v>
      </c>
      <c r="K146" s="137" t="s">
        <v>2273</v>
      </c>
      <c r="L146" s="132">
        <f t="shared" si="9"/>
        <v>1</v>
      </c>
      <c r="M146" s="133">
        <f t="shared" si="10"/>
        <v>0.9642857142857143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8"/>
        <v>28</v>
      </c>
      <c r="K147" s="137" t="s">
        <v>1763</v>
      </c>
      <c r="L147" s="31">
        <f t="shared" si="9"/>
        <v>0</v>
      </c>
      <c r="M147" s="32">
        <f t="shared" si="10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8"/>
        <v>27</v>
      </c>
      <c r="K148" s="137"/>
      <c r="L148" s="31">
        <f t="shared" si="9"/>
        <v>1</v>
      </c>
      <c r="M148" s="32">
        <f t="shared" si="10"/>
        <v>0.9642857142857143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8"/>
        <v>28</v>
      </c>
      <c r="K149" s="137" t="s">
        <v>1764</v>
      </c>
      <c r="L149" s="31">
        <f t="shared" si="9"/>
        <v>0</v>
      </c>
      <c r="M149" s="32">
        <f t="shared" si="10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8"/>
        <v>27</v>
      </c>
      <c r="K150" s="137" t="s">
        <v>1765</v>
      </c>
      <c r="L150" s="31">
        <f t="shared" si="9"/>
        <v>1</v>
      </c>
      <c r="M150" s="32">
        <f t="shared" si="10"/>
        <v>0.9642857142857143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8"/>
        <v>27</v>
      </c>
      <c r="K151" s="137" t="s">
        <v>1766</v>
      </c>
      <c r="L151" s="31">
        <f t="shared" si="9"/>
        <v>1</v>
      </c>
      <c r="M151" s="32">
        <f t="shared" si="10"/>
        <v>0.9642857142857143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8"/>
        <v>24</v>
      </c>
      <c r="K152" s="137" t="s">
        <v>1767</v>
      </c>
      <c r="L152" s="31">
        <f t="shared" si="9"/>
        <v>4</v>
      </c>
      <c r="M152" s="32">
        <f t="shared" si="10"/>
        <v>0.8571428571428571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8"/>
        <v>28</v>
      </c>
      <c r="K153" s="137" t="s">
        <v>1766</v>
      </c>
      <c r="L153" s="31">
        <f t="shared" si="9"/>
        <v>0</v>
      </c>
      <c r="M153" s="32">
        <f t="shared" si="10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8"/>
        <v>27</v>
      </c>
      <c r="K154" s="137" t="s">
        <v>1768</v>
      </c>
      <c r="L154" s="31">
        <f t="shared" si="9"/>
        <v>1</v>
      </c>
      <c r="M154" s="32">
        <f t="shared" si="10"/>
        <v>0.9642857142857143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8"/>
        <v>28</v>
      </c>
      <c r="K155" s="137" t="s">
        <v>2328</v>
      </c>
      <c r="L155" s="86">
        <f t="shared" si="9"/>
        <v>0</v>
      </c>
      <c r="M155" s="131">
        <f t="shared" si="10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8"/>
        <v>28</v>
      </c>
      <c r="K156" s="137" t="s">
        <v>1769</v>
      </c>
      <c r="L156" s="31">
        <f t="shared" si="9"/>
        <v>0</v>
      </c>
      <c r="M156" s="32">
        <f t="shared" si="10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8"/>
        <v>28</v>
      </c>
      <c r="K157" s="137" t="s">
        <v>1770</v>
      </c>
      <c r="L157" s="31">
        <f t="shared" si="9"/>
        <v>0</v>
      </c>
      <c r="M157" s="32">
        <f t="shared" si="10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8"/>
        <v>28</v>
      </c>
      <c r="K158" s="137" t="s">
        <v>2329</v>
      </c>
      <c r="L158" s="31">
        <f t="shared" si="9"/>
        <v>0</v>
      </c>
      <c r="M158" s="32">
        <f t="shared" si="10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8"/>
        <v>28</v>
      </c>
      <c r="K159" s="137" t="s">
        <v>2330</v>
      </c>
      <c r="L159" s="31">
        <f t="shared" si="9"/>
        <v>0</v>
      </c>
      <c r="M159" s="32">
        <f t="shared" si="10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8"/>
        <v>28</v>
      </c>
      <c r="K160" s="137" t="s">
        <v>1771</v>
      </c>
      <c r="L160" s="31">
        <f t="shared" si="9"/>
        <v>0</v>
      </c>
      <c r="M160" s="32">
        <f t="shared" si="10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8"/>
        <v>28</v>
      </c>
      <c r="K161" s="137" t="s">
        <v>1772</v>
      </c>
      <c r="L161" s="31">
        <f t="shared" si="9"/>
        <v>0</v>
      </c>
      <c r="M161" s="32">
        <f t="shared" si="10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8"/>
        <v>28</v>
      </c>
      <c r="K162" s="137" t="s">
        <v>2331</v>
      </c>
      <c r="L162" s="31">
        <f t="shared" si="9"/>
        <v>0</v>
      </c>
      <c r="M162" s="32">
        <f t="shared" si="10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8"/>
        <v>28</v>
      </c>
      <c r="K163" s="137" t="s">
        <v>2332</v>
      </c>
      <c r="L163" s="31">
        <f t="shared" si="9"/>
        <v>0</v>
      </c>
      <c r="M163" s="32">
        <f t="shared" si="10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8"/>
        <v>27</v>
      </c>
      <c r="K164" s="137" t="s">
        <v>1773</v>
      </c>
      <c r="L164" s="132">
        <f t="shared" si="9"/>
        <v>1</v>
      </c>
      <c r="M164" s="133">
        <f t="shared" si="10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1">COUNTIF(N165:AO165,"")</f>
        <v>28</v>
      </c>
      <c r="K165" s="137" t="s">
        <v>1774</v>
      </c>
      <c r="L165" s="132">
        <f t="shared" ref="L165:L244" si="12">COUNTIF(N165:AO165,"APAGADO")</f>
        <v>0</v>
      </c>
      <c r="M165" s="133">
        <f t="shared" ref="M165:M244" si="13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1"/>
        <v>28</v>
      </c>
      <c r="K166" s="137" t="s">
        <v>2333</v>
      </c>
      <c r="L166" s="132">
        <f t="shared" si="12"/>
        <v>0</v>
      </c>
      <c r="M166" s="133">
        <f t="shared" si="13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1"/>
        <v>24</v>
      </c>
      <c r="K167" s="137" t="s">
        <v>1775</v>
      </c>
      <c r="L167" s="31">
        <f t="shared" si="12"/>
        <v>4</v>
      </c>
      <c r="M167" s="32">
        <f t="shared" si="13"/>
        <v>0.8571428571428571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1"/>
        <v>28</v>
      </c>
      <c r="K168" s="137" t="s">
        <v>1776</v>
      </c>
      <c r="L168" s="31">
        <f t="shared" si="12"/>
        <v>0</v>
      </c>
      <c r="M168" s="32">
        <f t="shared" si="13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1"/>
        <v>28</v>
      </c>
      <c r="K169" s="137" t="s">
        <v>1777</v>
      </c>
      <c r="L169" s="31">
        <f t="shared" si="12"/>
        <v>0</v>
      </c>
      <c r="M169" s="32">
        <f t="shared" si="13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1"/>
        <v>28</v>
      </c>
      <c r="K170" s="137" t="s">
        <v>1778</v>
      </c>
      <c r="L170" s="31">
        <f t="shared" si="12"/>
        <v>0</v>
      </c>
      <c r="M170" s="32">
        <f t="shared" si="13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1"/>
        <v>28</v>
      </c>
      <c r="K171" s="137" t="s">
        <v>1779</v>
      </c>
      <c r="L171" s="31">
        <f t="shared" si="12"/>
        <v>0</v>
      </c>
      <c r="M171" s="32">
        <f t="shared" si="13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185</v>
      </c>
      <c r="B172" t="s">
        <v>1534</v>
      </c>
      <c r="C172" t="s">
        <v>1055</v>
      </c>
      <c r="D172" t="s">
        <v>1535</v>
      </c>
      <c r="E172" s="30" t="s">
        <v>14</v>
      </c>
      <c r="F172" s="30" t="s">
        <v>27</v>
      </c>
      <c r="G172" s="30"/>
      <c r="H172" s="30" t="s">
        <v>1537</v>
      </c>
      <c r="I172" s="30"/>
      <c r="J172" s="31">
        <f t="shared" si="11"/>
        <v>28</v>
      </c>
      <c r="K172" s="137" t="s">
        <v>1780</v>
      </c>
      <c r="L172" s="31">
        <f t="shared" si="12"/>
        <v>0</v>
      </c>
      <c r="M172" s="32">
        <f t="shared" si="13"/>
        <v>1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1"/>
        <v>28</v>
      </c>
      <c r="K173" s="137" t="s">
        <v>1781</v>
      </c>
      <c r="L173" s="31">
        <f t="shared" si="12"/>
        <v>0</v>
      </c>
      <c r="M173" s="32">
        <f t="shared" si="13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1"/>
        <v>28</v>
      </c>
      <c r="K174" s="137" t="s">
        <v>1782</v>
      </c>
      <c r="L174" s="31">
        <f t="shared" si="12"/>
        <v>0</v>
      </c>
      <c r="M174" s="32">
        <f t="shared" si="13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1"/>
        <v>28</v>
      </c>
      <c r="K175" s="137" t="s">
        <v>1783</v>
      </c>
      <c r="L175" s="31">
        <f t="shared" si="12"/>
        <v>0</v>
      </c>
      <c r="M175" s="32">
        <f t="shared" si="13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1"/>
        <v>28</v>
      </c>
      <c r="K176" s="137" t="s">
        <v>1784</v>
      </c>
      <c r="L176" s="31">
        <f t="shared" si="12"/>
        <v>0</v>
      </c>
      <c r="M176" s="32">
        <f t="shared" si="13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1"/>
        <v>28</v>
      </c>
      <c r="K177" s="137" t="s">
        <v>1785</v>
      </c>
      <c r="L177" s="31">
        <f t="shared" si="12"/>
        <v>0</v>
      </c>
      <c r="M177" s="32">
        <f t="shared" si="13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1"/>
        <v>24</v>
      </c>
      <c r="K178" s="137" t="s">
        <v>1786</v>
      </c>
      <c r="L178" s="132">
        <f t="shared" si="12"/>
        <v>4</v>
      </c>
      <c r="M178" s="133">
        <f t="shared" si="13"/>
        <v>0.8571428571428571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1"/>
        <v>28</v>
      </c>
      <c r="K179" s="137" t="s">
        <v>1787</v>
      </c>
      <c r="L179" s="31">
        <f t="shared" si="12"/>
        <v>0</v>
      </c>
      <c r="M179" s="32">
        <f t="shared" si="13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1"/>
        <v>28</v>
      </c>
      <c r="K180" s="137"/>
      <c r="L180" s="31">
        <f t="shared" si="12"/>
        <v>0</v>
      </c>
      <c r="M180" s="32">
        <f t="shared" si="13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1"/>
        <v>28</v>
      </c>
      <c r="K181" s="137" t="s">
        <v>1788</v>
      </c>
      <c r="L181" s="31">
        <f t="shared" si="12"/>
        <v>0</v>
      </c>
      <c r="M181" s="32">
        <f t="shared" si="13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1"/>
        <v>28</v>
      </c>
      <c r="K182" s="137" t="s">
        <v>1789</v>
      </c>
      <c r="L182" s="31">
        <f t="shared" si="12"/>
        <v>0</v>
      </c>
      <c r="M182" s="32">
        <f t="shared" si="13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1"/>
        <v>28</v>
      </c>
      <c r="K183" s="137" t="s">
        <v>1790</v>
      </c>
      <c r="L183" s="31">
        <f t="shared" si="12"/>
        <v>0</v>
      </c>
      <c r="M183" s="32">
        <f t="shared" si="13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1"/>
        <v>28</v>
      </c>
      <c r="K184" s="137" t="s">
        <v>1791</v>
      </c>
      <c r="L184" s="31">
        <f t="shared" si="12"/>
        <v>0</v>
      </c>
      <c r="M184" s="32">
        <f t="shared" si="13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1"/>
        <v>28</v>
      </c>
      <c r="K185" s="137" t="s">
        <v>1792</v>
      </c>
      <c r="L185" s="31">
        <f t="shared" si="12"/>
        <v>0</v>
      </c>
      <c r="M185" s="32">
        <f t="shared" si="13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1"/>
        <v>28</v>
      </c>
      <c r="K186" s="137" t="s">
        <v>1793</v>
      </c>
      <c r="L186" s="31">
        <f t="shared" si="12"/>
        <v>0</v>
      </c>
      <c r="M186" s="32">
        <f t="shared" si="13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1"/>
        <v>24</v>
      </c>
      <c r="K187" s="137" t="s">
        <v>1794</v>
      </c>
      <c r="L187" s="31">
        <f t="shared" si="12"/>
        <v>4</v>
      </c>
      <c r="M187" s="32">
        <f t="shared" si="13"/>
        <v>0.8571428571428571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1"/>
        <v>24</v>
      </c>
      <c r="K188" s="137" t="s">
        <v>1795</v>
      </c>
      <c r="L188" s="31">
        <f t="shared" si="12"/>
        <v>4</v>
      </c>
      <c r="M188" s="32">
        <f t="shared" si="13"/>
        <v>0.8571428571428571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1"/>
        <v>25</v>
      </c>
      <c r="K189" s="137"/>
      <c r="L189" s="31">
        <f t="shared" si="12"/>
        <v>3</v>
      </c>
      <c r="M189" s="32">
        <f t="shared" si="13"/>
        <v>0.8928571428571429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1"/>
        <v>28</v>
      </c>
      <c r="K190" s="137" t="s">
        <v>1796</v>
      </c>
      <c r="L190" s="31">
        <f t="shared" si="12"/>
        <v>0</v>
      </c>
      <c r="M190" s="32">
        <f t="shared" si="13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1"/>
        <v>28</v>
      </c>
      <c r="K191" s="137"/>
      <c r="L191" s="31">
        <f t="shared" si="12"/>
        <v>0</v>
      </c>
      <c r="M191" s="32">
        <f t="shared" si="13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1"/>
        <v>28</v>
      </c>
      <c r="K192" s="137" t="s">
        <v>2144</v>
      </c>
      <c r="L192" s="31">
        <f t="shared" si="12"/>
        <v>0</v>
      </c>
      <c r="M192" s="32">
        <f t="shared" si="13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1"/>
        <v>28</v>
      </c>
      <c r="K193" s="137" t="s">
        <v>2144</v>
      </c>
      <c r="L193" s="31">
        <f t="shared" si="12"/>
        <v>0</v>
      </c>
      <c r="M193" s="32">
        <f t="shared" si="13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1"/>
        <v>28</v>
      </c>
      <c r="K194" s="137" t="s">
        <v>1797</v>
      </c>
      <c r="L194" s="31">
        <f t="shared" si="12"/>
        <v>0</v>
      </c>
      <c r="M194" s="32">
        <f t="shared" si="13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1"/>
        <v>28</v>
      </c>
      <c r="K195" s="137" t="s">
        <v>1798</v>
      </c>
      <c r="L195" s="31">
        <f t="shared" si="12"/>
        <v>0</v>
      </c>
      <c r="M195" s="32">
        <f t="shared" si="13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1"/>
        <v>28</v>
      </c>
      <c r="K196" s="137" t="s">
        <v>1799</v>
      </c>
      <c r="L196" s="31">
        <f t="shared" si="12"/>
        <v>0</v>
      </c>
      <c r="M196" s="32">
        <f t="shared" si="13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1"/>
        <v>24</v>
      </c>
      <c r="K197" s="142"/>
      <c r="L197" s="141">
        <f t="shared" si="12"/>
        <v>4</v>
      </c>
      <c r="M197" s="143">
        <f t="shared" si="13"/>
        <v>0.8571428571428571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1"/>
        <v>28</v>
      </c>
      <c r="K198" s="137" t="s">
        <v>1800</v>
      </c>
      <c r="L198" s="132">
        <f t="shared" si="12"/>
        <v>0</v>
      </c>
      <c r="M198" s="133">
        <f t="shared" si="13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1"/>
        <v>24</v>
      </c>
      <c r="K199" s="137" t="s">
        <v>1801</v>
      </c>
      <c r="L199" s="132">
        <f t="shared" si="12"/>
        <v>4</v>
      </c>
      <c r="M199" s="133">
        <f t="shared" si="13"/>
        <v>0.8571428571428571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1"/>
        <v>28</v>
      </c>
      <c r="K200" s="137" t="s">
        <v>1802</v>
      </c>
      <c r="L200" s="31">
        <f t="shared" si="12"/>
        <v>0</v>
      </c>
      <c r="M200" s="32">
        <f t="shared" si="13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1"/>
        <v>25</v>
      </c>
      <c r="K201" s="137" t="s">
        <v>1803</v>
      </c>
      <c r="L201" s="31">
        <f t="shared" si="12"/>
        <v>3</v>
      </c>
      <c r="M201" s="32">
        <f t="shared" si="13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1"/>
        <v>28</v>
      </c>
      <c r="K202" s="137" t="s">
        <v>1804</v>
      </c>
      <c r="L202" s="31">
        <f t="shared" si="12"/>
        <v>0</v>
      </c>
      <c r="M202" s="32">
        <f t="shared" si="13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1"/>
        <v>24</v>
      </c>
      <c r="K203" s="137"/>
      <c r="L203" s="31">
        <f t="shared" si="12"/>
        <v>4</v>
      </c>
      <c r="M203" s="32">
        <f t="shared" si="13"/>
        <v>0.8571428571428571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1"/>
        <v>28</v>
      </c>
      <c r="K204" s="137" t="s">
        <v>1805</v>
      </c>
      <c r="L204" s="132">
        <f t="shared" si="12"/>
        <v>0</v>
      </c>
      <c r="M204" s="133">
        <f t="shared" si="13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1"/>
        <v>26</v>
      </c>
      <c r="K205" s="137" t="s">
        <v>1806</v>
      </c>
      <c r="L205" s="31">
        <f t="shared" si="12"/>
        <v>2</v>
      </c>
      <c r="M205" s="32">
        <f t="shared" si="13"/>
        <v>0.9285714285714286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1"/>
        <v>28</v>
      </c>
      <c r="K206" s="137" t="s">
        <v>1807</v>
      </c>
      <c r="L206" s="31">
        <f t="shared" si="12"/>
        <v>0</v>
      </c>
      <c r="M206" s="32">
        <f t="shared" si="13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1"/>
        <v>26</v>
      </c>
      <c r="K207" s="137" t="s">
        <v>1808</v>
      </c>
      <c r="L207" s="132">
        <f t="shared" si="12"/>
        <v>2</v>
      </c>
      <c r="M207" s="133">
        <f t="shared" si="13"/>
        <v>0.9285714285714286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1"/>
        <v>28</v>
      </c>
      <c r="K208" s="137" t="s">
        <v>1809</v>
      </c>
      <c r="L208" s="31">
        <f t="shared" si="12"/>
        <v>0</v>
      </c>
      <c r="M208" s="32">
        <f t="shared" si="13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1"/>
        <v>28</v>
      </c>
      <c r="K209" s="137" t="s">
        <v>1810</v>
      </c>
      <c r="L209" s="31">
        <f t="shared" si="12"/>
        <v>0</v>
      </c>
      <c r="M209" s="32">
        <f t="shared" si="13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1"/>
        <v>28</v>
      </c>
      <c r="K210" s="137" t="s">
        <v>1811</v>
      </c>
      <c r="L210" s="31">
        <f t="shared" si="12"/>
        <v>0</v>
      </c>
      <c r="M210" s="32">
        <f t="shared" si="13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1"/>
        <v>28</v>
      </c>
      <c r="K211" s="137" t="s">
        <v>1812</v>
      </c>
      <c r="L211" s="31">
        <f t="shared" si="12"/>
        <v>0</v>
      </c>
      <c r="M211" s="32">
        <f t="shared" si="13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1"/>
        <v>28</v>
      </c>
      <c r="K212" s="137" t="s">
        <v>1813</v>
      </c>
      <c r="L212" s="31">
        <f t="shared" si="12"/>
        <v>0</v>
      </c>
      <c r="M212" s="32">
        <f t="shared" si="13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1"/>
        <v>28</v>
      </c>
      <c r="K213" s="137" t="s">
        <v>1814</v>
      </c>
      <c r="L213" s="31">
        <f t="shared" si="12"/>
        <v>0</v>
      </c>
      <c r="M213" s="32">
        <f t="shared" si="13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1"/>
        <v>28</v>
      </c>
      <c r="K214" s="137" t="s">
        <v>1672</v>
      </c>
      <c r="L214" s="31">
        <f t="shared" si="12"/>
        <v>0</v>
      </c>
      <c r="M214" s="32">
        <f t="shared" si="13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1"/>
        <v>24</v>
      </c>
      <c r="K215" s="137" t="s">
        <v>1815</v>
      </c>
      <c r="L215" s="132">
        <f t="shared" si="12"/>
        <v>4</v>
      </c>
      <c r="M215" s="133">
        <f t="shared" si="13"/>
        <v>0.8571428571428571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1"/>
        <v>28</v>
      </c>
      <c r="K216" s="137" t="s">
        <v>1816</v>
      </c>
      <c r="L216" s="132">
        <f t="shared" si="12"/>
        <v>0</v>
      </c>
      <c r="M216" s="133">
        <f t="shared" si="13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1"/>
        <v>28</v>
      </c>
      <c r="K217" s="137" t="s">
        <v>2179</v>
      </c>
      <c r="L217" s="132">
        <f t="shared" si="12"/>
        <v>0</v>
      </c>
      <c r="M217" s="133">
        <f t="shared" si="13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1"/>
        <v>27</v>
      </c>
      <c r="K218" s="137" t="s">
        <v>1817</v>
      </c>
      <c r="L218" s="31">
        <f t="shared" si="12"/>
        <v>1</v>
      </c>
      <c r="M218" s="32">
        <f t="shared" si="13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1"/>
        <v>24</v>
      </c>
      <c r="K219" s="137" t="s">
        <v>1818</v>
      </c>
      <c r="L219" s="132">
        <f t="shared" si="12"/>
        <v>4</v>
      </c>
      <c r="M219" s="133">
        <f t="shared" si="13"/>
        <v>0.8571428571428571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1"/>
        <v>28</v>
      </c>
      <c r="K220" s="137" t="s">
        <v>1819</v>
      </c>
      <c r="L220" s="132">
        <f t="shared" si="12"/>
        <v>0</v>
      </c>
      <c r="M220" s="133">
        <f t="shared" si="13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1"/>
        <v>28</v>
      </c>
      <c r="K221" s="137" t="s">
        <v>1820</v>
      </c>
      <c r="L221" s="132">
        <f t="shared" si="12"/>
        <v>0</v>
      </c>
      <c r="M221" s="133">
        <f t="shared" si="13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1"/>
        <v>28</v>
      </c>
      <c r="K222" s="137" t="s">
        <v>2233</v>
      </c>
      <c r="L222" s="132">
        <f t="shared" si="12"/>
        <v>0</v>
      </c>
      <c r="M222" s="133">
        <f t="shared" si="13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1"/>
        <v>27</v>
      </c>
      <c r="K223" s="137"/>
      <c r="L223" s="31">
        <f t="shared" si="12"/>
        <v>1</v>
      </c>
      <c r="M223" s="32">
        <f t="shared" si="13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1"/>
        <v>27</v>
      </c>
      <c r="K224" s="137"/>
      <c r="L224" s="31">
        <f t="shared" si="12"/>
        <v>1</v>
      </c>
      <c r="M224" s="32">
        <f t="shared" si="13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1"/>
        <v>28</v>
      </c>
      <c r="K225" s="137" t="s">
        <v>1821</v>
      </c>
      <c r="L225" s="31">
        <f t="shared" si="12"/>
        <v>0</v>
      </c>
      <c r="M225" s="32">
        <f t="shared" si="13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1"/>
        <v>28</v>
      </c>
      <c r="K226" s="137" t="s">
        <v>1822</v>
      </c>
      <c r="L226" s="132">
        <f t="shared" si="12"/>
        <v>0</v>
      </c>
      <c r="M226" s="133">
        <f t="shared" si="13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1"/>
        <v>28</v>
      </c>
      <c r="K227" s="137" t="s">
        <v>1823</v>
      </c>
      <c r="L227" s="31">
        <f t="shared" si="12"/>
        <v>0</v>
      </c>
      <c r="M227" s="32">
        <f t="shared" si="13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1"/>
        <v>28</v>
      </c>
      <c r="K228" s="137" t="s">
        <v>1824</v>
      </c>
      <c r="L228" s="31">
        <f t="shared" si="12"/>
        <v>0</v>
      </c>
      <c r="M228" s="32">
        <f t="shared" si="13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1"/>
        <v>28</v>
      </c>
      <c r="K229" s="137" t="s">
        <v>1825</v>
      </c>
      <c r="L229" s="132">
        <f t="shared" si="12"/>
        <v>0</v>
      </c>
      <c r="M229" s="133">
        <f t="shared" si="13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1"/>
        <v>28</v>
      </c>
      <c r="K230" s="137" t="s">
        <v>1826</v>
      </c>
      <c r="L230" s="132">
        <f t="shared" si="12"/>
        <v>0</v>
      </c>
      <c r="M230" s="133">
        <f t="shared" si="13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1"/>
        <v>28</v>
      </c>
      <c r="K231" s="137"/>
      <c r="L231" s="132">
        <f t="shared" si="12"/>
        <v>0</v>
      </c>
      <c r="M231" s="133">
        <f t="shared" si="13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1"/>
        <v>28</v>
      </c>
      <c r="K232" s="137" t="s">
        <v>2246</v>
      </c>
      <c r="L232" s="132">
        <f t="shared" si="12"/>
        <v>0</v>
      </c>
      <c r="M232" s="133">
        <f t="shared" si="13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1"/>
        <v>26</v>
      </c>
      <c r="K233" s="137" t="s">
        <v>1827</v>
      </c>
      <c r="L233" s="132">
        <f t="shared" si="12"/>
        <v>2</v>
      </c>
      <c r="M233" s="133">
        <f t="shared" si="13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1"/>
        <v>26</v>
      </c>
      <c r="K234" s="137" t="s">
        <v>1828</v>
      </c>
      <c r="L234" s="132">
        <f t="shared" si="12"/>
        <v>2</v>
      </c>
      <c r="M234" s="133">
        <f t="shared" si="13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1"/>
        <v>26</v>
      </c>
      <c r="K235" s="137" t="s">
        <v>1829</v>
      </c>
      <c r="L235" s="132">
        <f t="shared" si="12"/>
        <v>2</v>
      </c>
      <c r="M235" s="133">
        <f t="shared" si="13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1"/>
        <v>28</v>
      </c>
      <c r="K236" s="137" t="s">
        <v>2240</v>
      </c>
      <c r="L236" s="132">
        <f t="shared" si="12"/>
        <v>0</v>
      </c>
      <c r="M236" s="133">
        <f t="shared" si="13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1"/>
        <v>28</v>
      </c>
      <c r="K237" s="137" t="s">
        <v>1830</v>
      </c>
      <c r="L237" s="31">
        <f t="shared" si="12"/>
        <v>0</v>
      </c>
      <c r="M237" s="32">
        <f t="shared" si="13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1"/>
        <v>28</v>
      </c>
      <c r="K238" s="137" t="s">
        <v>1831</v>
      </c>
      <c r="L238" s="31">
        <f t="shared" si="12"/>
        <v>0</v>
      </c>
      <c r="M238" s="32">
        <f t="shared" si="13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1"/>
        <v>28</v>
      </c>
      <c r="K239" s="137" t="s">
        <v>1832</v>
      </c>
      <c r="L239" s="31">
        <f t="shared" si="12"/>
        <v>0</v>
      </c>
      <c r="M239" s="32">
        <f t="shared" si="13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1"/>
        <v>28</v>
      </c>
      <c r="K240" s="137" t="s">
        <v>1833</v>
      </c>
      <c r="L240" s="31">
        <f t="shared" si="12"/>
        <v>0</v>
      </c>
      <c r="M240" s="32">
        <f t="shared" si="13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1"/>
        <v>28</v>
      </c>
      <c r="K241" s="137" t="s">
        <v>1834</v>
      </c>
      <c r="L241" s="31">
        <f t="shared" si="12"/>
        <v>0</v>
      </c>
      <c r="M241" s="32">
        <f t="shared" si="13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1"/>
        <v>28</v>
      </c>
      <c r="K242" s="137" t="s">
        <v>1835</v>
      </c>
      <c r="L242" s="31">
        <f t="shared" si="12"/>
        <v>0</v>
      </c>
      <c r="M242" s="32">
        <f t="shared" si="13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1"/>
        <v>28</v>
      </c>
      <c r="K243" s="137" t="s">
        <v>1836</v>
      </c>
      <c r="L243" s="31">
        <f t="shared" si="12"/>
        <v>0</v>
      </c>
      <c r="M243" s="32">
        <f t="shared" si="13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1"/>
        <v>28</v>
      </c>
      <c r="K244" s="137" t="s">
        <v>1837</v>
      </c>
      <c r="L244" s="31">
        <f t="shared" si="12"/>
        <v>0</v>
      </c>
      <c r="M244" s="32">
        <f t="shared" si="13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4">COUNTIF(N245:AO245,"")</f>
        <v>28</v>
      </c>
      <c r="K245" s="137" t="s">
        <v>1838</v>
      </c>
      <c r="L245" s="31">
        <f t="shared" ref="L245:L319" si="15">COUNTIF(N245:AO245,"APAGADO")</f>
        <v>0</v>
      </c>
      <c r="M245" s="32">
        <f t="shared" ref="M245:M319" si="16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4"/>
        <v>25</v>
      </c>
      <c r="K246" s="137" t="s">
        <v>1839</v>
      </c>
      <c r="L246" s="31">
        <f t="shared" si="15"/>
        <v>3</v>
      </c>
      <c r="M246" s="32">
        <f t="shared" si="16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4"/>
        <v>28</v>
      </c>
      <c r="K247" s="137" t="s">
        <v>1840</v>
      </c>
      <c r="L247" s="31">
        <f t="shared" si="15"/>
        <v>0</v>
      </c>
      <c r="M247" s="32">
        <f t="shared" si="16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4"/>
        <v>26</v>
      </c>
      <c r="K248" s="137" t="s">
        <v>1841</v>
      </c>
      <c r="L248" s="31">
        <f t="shared" si="15"/>
        <v>2</v>
      </c>
      <c r="M248" s="32">
        <f t="shared" si="16"/>
        <v>0.9285714285714286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4"/>
        <v>28</v>
      </c>
      <c r="K249" s="137" t="s">
        <v>1842</v>
      </c>
      <c r="L249" s="31">
        <f t="shared" si="15"/>
        <v>0</v>
      </c>
      <c r="M249" s="32">
        <f t="shared" si="16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4"/>
        <v>24</v>
      </c>
      <c r="K250" s="137" t="s">
        <v>1843</v>
      </c>
      <c r="L250" s="31">
        <f t="shared" si="15"/>
        <v>4</v>
      </c>
      <c r="M250" s="32">
        <f t="shared" si="16"/>
        <v>0.8571428571428571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4"/>
        <v>26</v>
      </c>
      <c r="K251" s="137" t="s">
        <v>1844</v>
      </c>
      <c r="L251" s="31">
        <f t="shared" si="15"/>
        <v>2</v>
      </c>
      <c r="M251" s="32">
        <f t="shared" si="16"/>
        <v>0.9285714285714286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4"/>
        <v>28</v>
      </c>
      <c r="K252" s="137" t="s">
        <v>2325</v>
      </c>
      <c r="L252" s="31">
        <f t="shared" si="15"/>
        <v>0</v>
      </c>
      <c r="M252" s="32">
        <f t="shared" si="16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4"/>
        <v>28</v>
      </c>
      <c r="K253" s="137" t="s">
        <v>1800</v>
      </c>
      <c r="L253" s="31">
        <f t="shared" si="15"/>
        <v>0</v>
      </c>
      <c r="M253" s="32">
        <f t="shared" si="16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4"/>
        <v>24</v>
      </c>
      <c r="K254" s="142" t="s">
        <v>1845</v>
      </c>
      <c r="L254" s="141">
        <f t="shared" si="15"/>
        <v>4</v>
      </c>
      <c r="M254" s="143">
        <f t="shared" si="16"/>
        <v>0.8571428571428571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4"/>
        <v>24</v>
      </c>
      <c r="K255" s="142" t="s">
        <v>2256</v>
      </c>
      <c r="L255" s="141">
        <f t="shared" si="15"/>
        <v>4</v>
      </c>
      <c r="M255" s="143">
        <f t="shared" si="16"/>
        <v>0.8571428571428571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4"/>
        <v>28</v>
      </c>
      <c r="K256" s="137"/>
      <c r="L256" s="31">
        <f t="shared" si="15"/>
        <v>0</v>
      </c>
      <c r="M256" s="32">
        <f t="shared" si="16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4"/>
        <v>28</v>
      </c>
      <c r="K257" s="137"/>
      <c r="L257" s="31">
        <f t="shared" si="15"/>
        <v>0</v>
      </c>
      <c r="M257" s="32">
        <f t="shared" si="16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4"/>
        <v>28</v>
      </c>
      <c r="K258" s="137"/>
      <c r="L258" s="31">
        <f t="shared" si="15"/>
        <v>0</v>
      </c>
      <c r="M258" s="32">
        <f t="shared" si="16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4"/>
        <v>28</v>
      </c>
      <c r="K259" s="137" t="s">
        <v>1846</v>
      </c>
      <c r="L259" s="31">
        <f t="shared" si="15"/>
        <v>0</v>
      </c>
      <c r="M259" s="32">
        <f t="shared" si="16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4"/>
        <v>28</v>
      </c>
      <c r="K260" s="137" t="s">
        <v>1847</v>
      </c>
      <c r="L260" s="31">
        <f t="shared" si="15"/>
        <v>0</v>
      </c>
      <c r="M260" s="32">
        <f t="shared" si="16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4"/>
        <v>28</v>
      </c>
      <c r="K263" s="137" t="s">
        <v>1848</v>
      </c>
      <c r="L263" s="132">
        <f t="shared" si="15"/>
        <v>0</v>
      </c>
      <c r="M263" s="133">
        <f t="shared" si="16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4"/>
        <v>28</v>
      </c>
      <c r="K264" s="137" t="s">
        <v>1849</v>
      </c>
      <c r="L264" s="132">
        <f t="shared" si="15"/>
        <v>0</v>
      </c>
      <c r="M264" s="133">
        <f t="shared" si="16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4"/>
        <v>28</v>
      </c>
      <c r="K265" s="137" t="s">
        <v>1850</v>
      </c>
      <c r="L265" s="31">
        <f t="shared" si="15"/>
        <v>0</v>
      </c>
      <c r="M265" s="32">
        <f t="shared" si="16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4"/>
        <v>28</v>
      </c>
      <c r="K266" s="137"/>
      <c r="L266" s="31">
        <f t="shared" si="15"/>
        <v>0</v>
      </c>
      <c r="M266" s="32">
        <f t="shared" si="16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4"/>
        <v>24</v>
      </c>
      <c r="K267" s="137" t="s">
        <v>1851</v>
      </c>
      <c r="L267" s="31">
        <f t="shared" si="15"/>
        <v>4</v>
      </c>
      <c r="M267" s="32">
        <f t="shared" si="16"/>
        <v>0.8571428571428571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4"/>
        <v>28</v>
      </c>
      <c r="K268" s="137" t="s">
        <v>1852</v>
      </c>
      <c r="L268" s="31">
        <f t="shared" si="15"/>
        <v>0</v>
      </c>
      <c r="M268" s="32">
        <f t="shared" si="16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4"/>
        <v>28</v>
      </c>
      <c r="K269" s="137" t="s">
        <v>1853</v>
      </c>
      <c r="L269" s="132">
        <f t="shared" si="15"/>
        <v>0</v>
      </c>
      <c r="M269" s="133">
        <f t="shared" si="16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4"/>
        <v>28</v>
      </c>
      <c r="K270" s="137" t="s">
        <v>1854</v>
      </c>
      <c r="L270" s="31">
        <f t="shared" si="15"/>
        <v>0</v>
      </c>
      <c r="M270" s="32">
        <f t="shared" si="16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4"/>
        <v>28</v>
      </c>
      <c r="K271" s="137" t="s">
        <v>1855</v>
      </c>
      <c r="L271" s="31">
        <f t="shared" si="15"/>
        <v>0</v>
      </c>
      <c r="M271" s="32">
        <f t="shared" si="16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4"/>
        <v>28</v>
      </c>
      <c r="K272" s="137" t="s">
        <v>1842</v>
      </c>
      <c r="L272" s="31">
        <f t="shared" si="15"/>
        <v>0</v>
      </c>
      <c r="M272" s="32">
        <f t="shared" si="16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4"/>
        <v>28</v>
      </c>
      <c r="K273" s="137" t="s">
        <v>1856</v>
      </c>
      <c r="L273" s="31">
        <f t="shared" si="15"/>
        <v>0</v>
      </c>
      <c r="M273" s="32">
        <f t="shared" si="16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4"/>
        <v>28</v>
      </c>
      <c r="K274" s="137" t="s">
        <v>1857</v>
      </c>
      <c r="L274" s="31">
        <f t="shared" si="15"/>
        <v>0</v>
      </c>
      <c r="M274" s="32">
        <f t="shared" si="16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4"/>
        <v>28</v>
      </c>
      <c r="K275" s="137" t="s">
        <v>1858</v>
      </c>
      <c r="L275" s="132">
        <f t="shared" si="15"/>
        <v>0</v>
      </c>
      <c r="M275" s="133">
        <f t="shared" si="16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4"/>
        <v>28</v>
      </c>
      <c r="K276" s="137" t="s">
        <v>1859</v>
      </c>
      <c r="L276" s="31">
        <f t="shared" si="15"/>
        <v>0</v>
      </c>
      <c r="M276" s="32">
        <f t="shared" si="16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4"/>
        <v>28</v>
      </c>
      <c r="K277" s="137" t="s">
        <v>1860</v>
      </c>
      <c r="L277" s="31">
        <f t="shared" si="15"/>
        <v>0</v>
      </c>
      <c r="M277" s="32">
        <f t="shared" si="16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4"/>
        <v>28</v>
      </c>
      <c r="K278" s="137" t="s">
        <v>1861</v>
      </c>
      <c r="L278" s="31">
        <f t="shared" si="15"/>
        <v>0</v>
      </c>
      <c r="M278" s="32">
        <f t="shared" si="16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4"/>
        <v>28</v>
      </c>
      <c r="K279" s="137" t="s">
        <v>1862</v>
      </c>
      <c r="L279" s="31">
        <f t="shared" si="15"/>
        <v>0</v>
      </c>
      <c r="M279" s="32">
        <f t="shared" si="16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4"/>
        <v>28</v>
      </c>
      <c r="K280" s="137" t="s">
        <v>1863</v>
      </c>
      <c r="L280" s="132">
        <f t="shared" si="15"/>
        <v>0</v>
      </c>
      <c r="M280" s="133">
        <f t="shared" si="16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4"/>
        <v>28</v>
      </c>
      <c r="K281" s="137" t="s">
        <v>1864</v>
      </c>
      <c r="L281" s="132">
        <f t="shared" si="15"/>
        <v>0</v>
      </c>
      <c r="M281" s="133">
        <f t="shared" si="16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4"/>
        <v>28</v>
      </c>
      <c r="K282" s="137" t="s">
        <v>1865</v>
      </c>
      <c r="L282" s="132">
        <f t="shared" si="15"/>
        <v>0</v>
      </c>
      <c r="M282" s="133">
        <f t="shared" si="16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4"/>
        <v>28</v>
      </c>
      <c r="K283" s="137" t="s">
        <v>2184</v>
      </c>
      <c r="L283" s="132">
        <f t="shared" si="15"/>
        <v>0</v>
      </c>
      <c r="M283" s="133">
        <f t="shared" si="16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4"/>
        <v>28</v>
      </c>
      <c r="K284" s="137" t="s">
        <v>2187</v>
      </c>
      <c r="L284" s="132">
        <f t="shared" si="15"/>
        <v>0</v>
      </c>
      <c r="M284" s="133">
        <f t="shared" si="16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4"/>
        <v>28</v>
      </c>
      <c r="K285" s="137" t="s">
        <v>1866</v>
      </c>
      <c r="L285" s="31">
        <f t="shared" si="15"/>
        <v>0</v>
      </c>
      <c r="M285" s="32">
        <f t="shared" si="16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4"/>
        <v>28</v>
      </c>
      <c r="K286" s="137" t="s">
        <v>1867</v>
      </c>
      <c r="L286" s="132">
        <f t="shared" si="15"/>
        <v>0</v>
      </c>
      <c r="M286" s="133">
        <f t="shared" si="16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4"/>
        <v>27</v>
      </c>
      <c r="K287" s="137" t="s">
        <v>1868</v>
      </c>
      <c r="L287" s="31">
        <f t="shared" si="15"/>
        <v>1</v>
      </c>
      <c r="M287" s="32">
        <f t="shared" si="16"/>
        <v>0.9642857142857143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4"/>
        <v>28</v>
      </c>
      <c r="K288" s="137" t="s">
        <v>1869</v>
      </c>
      <c r="L288" s="132">
        <f t="shared" si="15"/>
        <v>0</v>
      </c>
      <c r="M288" s="133">
        <f t="shared" si="16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4"/>
        <v>28</v>
      </c>
      <c r="K289" s="137" t="s">
        <v>1870</v>
      </c>
      <c r="L289" s="132">
        <f t="shared" si="15"/>
        <v>0</v>
      </c>
      <c r="M289" s="133">
        <f t="shared" si="16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4"/>
        <v>27</v>
      </c>
      <c r="K290" s="137" t="s">
        <v>1673</v>
      </c>
      <c r="L290" s="31">
        <f t="shared" si="15"/>
        <v>1</v>
      </c>
      <c r="M290" s="32">
        <f t="shared" si="16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4"/>
        <v>27</v>
      </c>
      <c r="K291" s="137" t="s">
        <v>1871</v>
      </c>
      <c r="L291" s="31">
        <f t="shared" si="15"/>
        <v>1</v>
      </c>
      <c r="M291" s="32">
        <f t="shared" si="16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4"/>
        <v>28</v>
      </c>
      <c r="K292" s="137" t="s">
        <v>1872</v>
      </c>
      <c r="L292" s="132">
        <f t="shared" si="15"/>
        <v>0</v>
      </c>
      <c r="M292" s="133">
        <f t="shared" si="16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4"/>
        <v>28</v>
      </c>
      <c r="K293" s="137" t="s">
        <v>1873</v>
      </c>
      <c r="L293" s="132">
        <f t="shared" si="15"/>
        <v>0</v>
      </c>
      <c r="M293" s="133">
        <f t="shared" si="16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4"/>
        <v>28</v>
      </c>
      <c r="K294" s="137" t="s">
        <v>1874</v>
      </c>
      <c r="L294" s="132">
        <f t="shared" si="15"/>
        <v>0</v>
      </c>
      <c r="M294" s="133">
        <f t="shared" si="16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4"/>
        <v>28</v>
      </c>
      <c r="K295" s="137" t="s">
        <v>1875</v>
      </c>
      <c r="L295" s="132">
        <f t="shared" si="15"/>
        <v>0</v>
      </c>
      <c r="M295" s="133">
        <f t="shared" si="16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4"/>
        <v>28</v>
      </c>
      <c r="K296" s="137" t="s">
        <v>2166</v>
      </c>
      <c r="L296" s="132">
        <f t="shared" si="15"/>
        <v>0</v>
      </c>
      <c r="M296" s="133">
        <f t="shared" si="16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4"/>
        <v>27</v>
      </c>
      <c r="K297" s="137" t="s">
        <v>1876</v>
      </c>
      <c r="L297" s="31">
        <f t="shared" si="15"/>
        <v>1</v>
      </c>
      <c r="M297" s="32">
        <f t="shared" si="16"/>
        <v>0.9642857142857143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4"/>
        <v>27</v>
      </c>
      <c r="K298" s="137" t="s">
        <v>1877</v>
      </c>
      <c r="L298" s="31">
        <f t="shared" si="15"/>
        <v>1</v>
      </c>
      <c r="M298" s="32">
        <f t="shared" si="16"/>
        <v>0.9642857142857143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4"/>
        <v>27</v>
      </c>
      <c r="K299" s="137" t="s">
        <v>1878</v>
      </c>
      <c r="L299" s="31">
        <f t="shared" si="15"/>
        <v>1</v>
      </c>
      <c r="M299" s="32">
        <f t="shared" si="16"/>
        <v>0.9642857142857143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4"/>
        <v>27</v>
      </c>
      <c r="K300" s="137" t="s">
        <v>1879</v>
      </c>
      <c r="L300" s="31">
        <f t="shared" si="15"/>
        <v>1</v>
      </c>
      <c r="M300" s="32">
        <f t="shared" si="16"/>
        <v>0.9642857142857143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4"/>
        <v>28</v>
      </c>
      <c r="K301" s="137" t="s">
        <v>1880</v>
      </c>
      <c r="L301" s="31">
        <f t="shared" si="15"/>
        <v>0</v>
      </c>
      <c r="M301" s="32">
        <f t="shared" si="16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4"/>
        <v>28</v>
      </c>
      <c r="K302" s="137" t="s">
        <v>1881</v>
      </c>
      <c r="L302" s="31">
        <f t="shared" si="15"/>
        <v>0</v>
      </c>
      <c r="M302" s="32">
        <f t="shared" si="16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4"/>
        <v>28</v>
      </c>
      <c r="K303" s="137" t="s">
        <v>1882</v>
      </c>
      <c r="L303" s="31">
        <f t="shared" si="15"/>
        <v>0</v>
      </c>
      <c r="M303" s="32">
        <f t="shared" si="16"/>
        <v>1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4"/>
        <v>28</v>
      </c>
      <c r="K304" s="137" t="s">
        <v>1883</v>
      </c>
      <c r="L304" s="31">
        <f t="shared" si="15"/>
        <v>0</v>
      </c>
      <c r="M304" s="32">
        <f t="shared" si="16"/>
        <v>1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4"/>
        <v>24</v>
      </c>
      <c r="K305" s="137" t="s">
        <v>1884</v>
      </c>
      <c r="L305" s="31">
        <f t="shared" si="15"/>
        <v>4</v>
      </c>
      <c r="M305" s="32">
        <f t="shared" si="16"/>
        <v>0.8571428571428571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4"/>
        <v>25</v>
      </c>
      <c r="K306" s="142" t="s">
        <v>1885</v>
      </c>
      <c r="L306" s="141">
        <f t="shared" si="15"/>
        <v>3</v>
      </c>
      <c r="M306" s="143">
        <f t="shared" si="16"/>
        <v>0.8928571428571429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4"/>
        <v>28</v>
      </c>
      <c r="K307" s="137" t="s">
        <v>1886</v>
      </c>
      <c r="L307" s="31">
        <f t="shared" si="15"/>
        <v>0</v>
      </c>
      <c r="M307" s="32">
        <f t="shared" si="16"/>
        <v>1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4"/>
        <v>28</v>
      </c>
      <c r="K308" s="137" t="s">
        <v>1887</v>
      </c>
      <c r="L308" s="31">
        <f t="shared" si="15"/>
        <v>0</v>
      </c>
      <c r="M308" s="32">
        <f t="shared" si="16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4"/>
        <v>24</v>
      </c>
      <c r="K309" s="137" t="s">
        <v>1888</v>
      </c>
      <c r="L309" s="31">
        <f t="shared" si="15"/>
        <v>4</v>
      </c>
      <c r="M309" s="32">
        <f t="shared" si="16"/>
        <v>0.8571428571428571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4"/>
        <v>24</v>
      </c>
      <c r="K310" s="137" t="s">
        <v>1889</v>
      </c>
      <c r="L310" s="31">
        <f t="shared" si="15"/>
        <v>4</v>
      </c>
      <c r="M310" s="32">
        <f t="shared" si="16"/>
        <v>0.8571428571428571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4"/>
        <v>28</v>
      </c>
      <c r="K311" s="137" t="s">
        <v>1890</v>
      </c>
      <c r="L311" s="31">
        <f t="shared" si="15"/>
        <v>0</v>
      </c>
      <c r="M311" s="32">
        <f t="shared" si="16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4"/>
        <v>28</v>
      </c>
      <c r="K312" s="137" t="s">
        <v>1891</v>
      </c>
      <c r="L312" s="31">
        <f t="shared" si="15"/>
        <v>0</v>
      </c>
      <c r="M312" s="32">
        <f t="shared" si="16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4"/>
        <v>28</v>
      </c>
      <c r="K313" s="137" t="s">
        <v>1892</v>
      </c>
      <c r="L313" s="31">
        <f t="shared" si="15"/>
        <v>0</v>
      </c>
      <c r="M313" s="32">
        <f t="shared" si="16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4"/>
        <v>28</v>
      </c>
      <c r="K314" s="137" t="s">
        <v>1893</v>
      </c>
      <c r="L314" s="31">
        <f t="shared" si="15"/>
        <v>0</v>
      </c>
      <c r="M314" s="32">
        <f t="shared" si="16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4"/>
        <v>28</v>
      </c>
      <c r="K315" s="137" t="s">
        <v>1894</v>
      </c>
      <c r="L315" s="31">
        <f t="shared" si="15"/>
        <v>0</v>
      </c>
      <c r="M315" s="32">
        <f t="shared" si="16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4"/>
        <v>28</v>
      </c>
      <c r="K316" s="137" t="s">
        <v>1895</v>
      </c>
      <c r="L316" s="31">
        <f t="shared" si="15"/>
        <v>0</v>
      </c>
      <c r="M316" s="32">
        <f t="shared" si="16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4"/>
        <v>28</v>
      </c>
      <c r="K317" s="137"/>
      <c r="L317" s="31">
        <f t="shared" si="15"/>
        <v>0</v>
      </c>
      <c r="M317" s="32">
        <f t="shared" si="16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4"/>
        <v>24</v>
      </c>
      <c r="K318" s="137" t="s">
        <v>1896</v>
      </c>
      <c r="L318" s="132">
        <f t="shared" si="15"/>
        <v>4</v>
      </c>
      <c r="M318" s="133">
        <f t="shared" si="16"/>
        <v>0.8571428571428571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4"/>
        <v>28</v>
      </c>
      <c r="K319" s="137" t="s">
        <v>2125</v>
      </c>
      <c r="L319" s="132">
        <f t="shared" si="15"/>
        <v>0</v>
      </c>
      <c r="M319" s="133">
        <f t="shared" si="16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7">COUNTIF(N320:AO320,"")</f>
        <v>24</v>
      </c>
      <c r="K320" s="137" t="s">
        <v>1897</v>
      </c>
      <c r="L320" s="31">
        <f t="shared" ref="L320:L390" si="18">COUNTIF(N320:AO320,"APAGADO")</f>
        <v>4</v>
      </c>
      <c r="M320" s="32">
        <f t="shared" ref="M320:M390" si="19">(J320)/(L320+J320)</f>
        <v>0.8571428571428571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7"/>
        <v>24</v>
      </c>
      <c r="K321" s="137" t="s">
        <v>1898</v>
      </c>
      <c r="L321" s="132">
        <f t="shared" si="18"/>
        <v>4</v>
      </c>
      <c r="M321" s="133">
        <f t="shared" si="19"/>
        <v>0.8571428571428571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7"/>
        <v>24</v>
      </c>
      <c r="K322" s="137" t="s">
        <v>2167</v>
      </c>
      <c r="L322" s="132">
        <f t="shared" si="18"/>
        <v>4</v>
      </c>
      <c r="M322" s="133">
        <f t="shared" si="19"/>
        <v>0.8571428571428571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7"/>
        <v>24</v>
      </c>
      <c r="K323" s="137" t="s">
        <v>1899</v>
      </c>
      <c r="L323" s="132">
        <f t="shared" si="18"/>
        <v>4</v>
      </c>
      <c r="M323" s="133">
        <f t="shared" si="19"/>
        <v>0.8571428571428571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7"/>
        <v>24</v>
      </c>
      <c r="K324" s="137" t="s">
        <v>1900</v>
      </c>
      <c r="L324" s="31">
        <f t="shared" si="18"/>
        <v>4</v>
      </c>
      <c r="M324" s="32">
        <f t="shared" si="19"/>
        <v>0.8571428571428571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7"/>
        <v>28</v>
      </c>
      <c r="K325" s="137" t="s">
        <v>1901</v>
      </c>
      <c r="L325" s="31">
        <f t="shared" si="18"/>
        <v>0</v>
      </c>
      <c r="M325" s="32">
        <f t="shared" si="19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7"/>
        <v>28</v>
      </c>
      <c r="K326" s="137" t="s">
        <v>1902</v>
      </c>
      <c r="L326" s="31">
        <f t="shared" si="18"/>
        <v>0</v>
      </c>
      <c r="M326" s="32">
        <f t="shared" si="19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7"/>
        <v>28</v>
      </c>
      <c r="K327" s="137" t="s">
        <v>1903</v>
      </c>
      <c r="L327" s="31">
        <f t="shared" si="18"/>
        <v>0</v>
      </c>
      <c r="M327" s="32">
        <f t="shared" si="19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7"/>
        <v>28</v>
      </c>
      <c r="K328" s="137" t="s">
        <v>1904</v>
      </c>
      <c r="L328" s="31">
        <f t="shared" si="18"/>
        <v>0</v>
      </c>
      <c r="M328" s="32">
        <f t="shared" si="19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7"/>
        <v>28</v>
      </c>
      <c r="K329" s="137" t="s">
        <v>1905</v>
      </c>
      <c r="L329" s="31">
        <f t="shared" si="18"/>
        <v>0</v>
      </c>
      <c r="M329" s="32">
        <f t="shared" si="19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7"/>
        <v>27</v>
      </c>
      <c r="K330" s="137" t="s">
        <v>1906</v>
      </c>
      <c r="L330" s="31">
        <f t="shared" si="18"/>
        <v>1</v>
      </c>
      <c r="M330" s="32">
        <f t="shared" si="19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7"/>
        <v>27</v>
      </c>
      <c r="K331" s="137" t="s">
        <v>1907</v>
      </c>
      <c r="L331" s="31">
        <f t="shared" si="18"/>
        <v>1</v>
      </c>
      <c r="M331" s="32">
        <f t="shared" si="19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7"/>
        <v>27</v>
      </c>
      <c r="K332" s="137" t="s">
        <v>1908</v>
      </c>
      <c r="L332" s="31">
        <f t="shared" si="18"/>
        <v>1</v>
      </c>
      <c r="M332" s="32">
        <f t="shared" si="19"/>
        <v>0.9642857142857143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7"/>
        <v>27</v>
      </c>
      <c r="K333" s="137" t="s">
        <v>1909</v>
      </c>
      <c r="L333" s="31">
        <f t="shared" si="18"/>
        <v>1</v>
      </c>
      <c r="M333" s="32">
        <f t="shared" si="19"/>
        <v>0.9642857142857143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7"/>
        <v>27</v>
      </c>
      <c r="K334" s="137" t="s">
        <v>1910</v>
      </c>
      <c r="L334" s="31">
        <f t="shared" si="18"/>
        <v>1</v>
      </c>
      <c r="M334" s="32">
        <f t="shared" si="19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7"/>
        <v>27</v>
      </c>
      <c r="K335" s="137" t="s">
        <v>1911</v>
      </c>
      <c r="L335" s="31">
        <f t="shared" si="18"/>
        <v>1</v>
      </c>
      <c r="M335" s="32">
        <f t="shared" si="19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7"/>
        <v>25</v>
      </c>
      <c r="K336" s="137" t="s">
        <v>1912</v>
      </c>
      <c r="L336" s="31">
        <f t="shared" si="18"/>
        <v>3</v>
      </c>
      <c r="M336" s="32">
        <f t="shared" si="19"/>
        <v>0.8928571428571429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7"/>
        <v>28</v>
      </c>
      <c r="K337" s="137" t="s">
        <v>1913</v>
      </c>
      <c r="L337" s="31">
        <f t="shared" si="18"/>
        <v>0</v>
      </c>
      <c r="M337" s="32">
        <f t="shared" si="19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7"/>
        <v>28</v>
      </c>
      <c r="K338" s="137" t="s">
        <v>1914</v>
      </c>
      <c r="L338" s="31">
        <f t="shared" si="18"/>
        <v>0</v>
      </c>
      <c r="M338" s="32">
        <f t="shared" si="19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7"/>
        <v>28</v>
      </c>
      <c r="K339" s="137" t="s">
        <v>1915</v>
      </c>
      <c r="L339" s="31">
        <f t="shared" si="18"/>
        <v>0</v>
      </c>
      <c r="M339" s="32">
        <f t="shared" si="19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7"/>
        <v>28</v>
      </c>
      <c r="K340" s="137" t="s">
        <v>2201</v>
      </c>
      <c r="L340" s="31">
        <f t="shared" si="18"/>
        <v>0</v>
      </c>
      <c r="M340" s="32">
        <f t="shared" si="19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7"/>
        <v>28</v>
      </c>
      <c r="K341" s="137" t="s">
        <v>2204</v>
      </c>
      <c r="L341" s="31">
        <f t="shared" si="18"/>
        <v>0</v>
      </c>
      <c r="M341" s="32">
        <f t="shared" si="19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7"/>
        <v>28</v>
      </c>
      <c r="K342" s="137" t="s">
        <v>1916</v>
      </c>
      <c r="L342" s="86">
        <f t="shared" si="18"/>
        <v>0</v>
      </c>
      <c r="M342" s="87">
        <f t="shared" si="19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7"/>
        <v>28</v>
      </c>
      <c r="K343" s="137" t="s">
        <v>1917</v>
      </c>
      <c r="L343" s="31">
        <f t="shared" si="18"/>
        <v>0</v>
      </c>
      <c r="M343" s="32">
        <f t="shared" si="19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7"/>
        <v>28</v>
      </c>
      <c r="K344" s="137" t="s">
        <v>1918</v>
      </c>
      <c r="L344" s="31">
        <f t="shared" si="18"/>
        <v>0</v>
      </c>
      <c r="M344" s="32">
        <f t="shared" si="19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7"/>
        <v>28</v>
      </c>
      <c r="K345" s="137" t="s">
        <v>1919</v>
      </c>
      <c r="L345" s="31">
        <f t="shared" si="18"/>
        <v>0</v>
      </c>
      <c r="M345" s="32">
        <f t="shared" si="19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7"/>
        <v>28</v>
      </c>
      <c r="K346" s="137" t="s">
        <v>1920</v>
      </c>
      <c r="L346" s="31">
        <f t="shared" si="18"/>
        <v>0</v>
      </c>
      <c r="M346" s="32">
        <f t="shared" si="19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7"/>
        <v>27</v>
      </c>
      <c r="K347" s="137" t="s">
        <v>1921</v>
      </c>
      <c r="L347" s="31">
        <f t="shared" si="18"/>
        <v>1</v>
      </c>
      <c r="M347" s="32">
        <f t="shared" si="19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7"/>
        <v>28</v>
      </c>
      <c r="K348" s="137" t="s">
        <v>1922</v>
      </c>
      <c r="L348" s="31">
        <f t="shared" si="18"/>
        <v>0</v>
      </c>
      <c r="M348" s="32">
        <f t="shared" si="19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7"/>
        <v>28</v>
      </c>
      <c r="K349" s="137" t="s">
        <v>1923</v>
      </c>
      <c r="L349" s="31">
        <f t="shared" si="18"/>
        <v>0</v>
      </c>
      <c r="M349" s="32">
        <f t="shared" si="19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7"/>
        <v>27</v>
      </c>
      <c r="K350" s="137" t="s">
        <v>1924</v>
      </c>
      <c r="L350" s="31">
        <f t="shared" si="18"/>
        <v>1</v>
      </c>
      <c r="M350" s="32">
        <f t="shared" si="19"/>
        <v>0.9642857142857143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7"/>
        <v>28</v>
      </c>
      <c r="K351" s="137" t="s">
        <v>1925</v>
      </c>
      <c r="L351" s="31">
        <f t="shared" si="18"/>
        <v>0</v>
      </c>
      <c r="M351" s="32">
        <f t="shared" si="19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7"/>
        <v>28</v>
      </c>
      <c r="K352" s="137" t="s">
        <v>1926</v>
      </c>
      <c r="L352" s="31">
        <f t="shared" si="18"/>
        <v>0</v>
      </c>
      <c r="M352" s="32">
        <f t="shared" si="19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7"/>
        <v>28</v>
      </c>
      <c r="K353" s="137" t="s">
        <v>1927</v>
      </c>
      <c r="L353" s="31">
        <f t="shared" si="18"/>
        <v>0</v>
      </c>
      <c r="M353" s="32">
        <f t="shared" si="19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7"/>
        <v>28</v>
      </c>
      <c r="K354" s="137" t="s">
        <v>1928</v>
      </c>
      <c r="L354" s="31">
        <f t="shared" si="18"/>
        <v>0</v>
      </c>
      <c r="M354" s="32">
        <f t="shared" si="19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7"/>
        <v>28</v>
      </c>
      <c r="K355" s="137"/>
      <c r="L355" s="31">
        <f t="shared" si="18"/>
        <v>0</v>
      </c>
      <c r="M355" s="32">
        <f t="shared" si="19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7"/>
        <v>28</v>
      </c>
      <c r="K356" s="137"/>
      <c r="L356" s="31">
        <f t="shared" si="18"/>
        <v>0</v>
      </c>
      <c r="M356" s="32">
        <f t="shared" si="19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7"/>
        <v>28</v>
      </c>
      <c r="K357" s="137" t="s">
        <v>1929</v>
      </c>
      <c r="L357" s="31">
        <f t="shared" si="18"/>
        <v>0</v>
      </c>
      <c r="M357" s="32">
        <f t="shared" si="19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7"/>
        <v>28</v>
      </c>
      <c r="K358" s="137"/>
      <c r="L358" s="132">
        <f t="shared" si="18"/>
        <v>0</v>
      </c>
      <c r="M358" s="133">
        <f t="shared" si="19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7"/>
        <v>28</v>
      </c>
      <c r="K359" s="137"/>
      <c r="L359" s="132">
        <f t="shared" si="18"/>
        <v>0</v>
      </c>
      <c r="M359" s="133">
        <f t="shared" si="19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7"/>
        <v>28</v>
      </c>
      <c r="K360" s="137" t="s">
        <v>1930</v>
      </c>
      <c r="L360" s="31">
        <f t="shared" si="18"/>
        <v>0</v>
      </c>
      <c r="M360" s="32">
        <f t="shared" si="19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7"/>
        <v>28</v>
      </c>
      <c r="K361" s="137" t="s">
        <v>1931</v>
      </c>
      <c r="L361" s="132">
        <f t="shared" si="18"/>
        <v>0</v>
      </c>
      <c r="M361" s="133">
        <f t="shared" si="19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7"/>
        <v>28</v>
      </c>
      <c r="K362" s="137" t="s">
        <v>1932</v>
      </c>
      <c r="L362" s="132">
        <f t="shared" si="18"/>
        <v>0</v>
      </c>
      <c r="M362" s="133">
        <f t="shared" si="19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7"/>
        <v>28</v>
      </c>
      <c r="K363" s="137" t="s">
        <v>1933</v>
      </c>
      <c r="L363" s="31">
        <f t="shared" si="18"/>
        <v>0</v>
      </c>
      <c r="M363" s="32">
        <f t="shared" si="19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7"/>
        <v>28</v>
      </c>
      <c r="K364" s="137" t="s">
        <v>1934</v>
      </c>
      <c r="L364" s="31">
        <f t="shared" si="18"/>
        <v>0</v>
      </c>
      <c r="M364" s="32">
        <f t="shared" si="19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7"/>
        <v>28</v>
      </c>
      <c r="K365" s="137" t="s">
        <v>1935</v>
      </c>
      <c r="L365" s="31">
        <f t="shared" si="18"/>
        <v>0</v>
      </c>
      <c r="M365" s="32">
        <f t="shared" si="19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7"/>
        <v>28</v>
      </c>
      <c r="K366" s="137" t="s">
        <v>1936</v>
      </c>
      <c r="L366" s="31">
        <f t="shared" si="18"/>
        <v>0</v>
      </c>
      <c r="M366" s="32">
        <f t="shared" si="19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7"/>
        <v>28</v>
      </c>
      <c r="K367" s="137" t="s">
        <v>1937</v>
      </c>
      <c r="L367" s="31">
        <f t="shared" si="18"/>
        <v>0</v>
      </c>
      <c r="M367" s="32">
        <f t="shared" si="19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7"/>
        <v>28</v>
      </c>
      <c r="K368" s="137" t="s">
        <v>1938</v>
      </c>
      <c r="L368" s="31">
        <f t="shared" si="18"/>
        <v>0</v>
      </c>
      <c r="M368" s="32">
        <f t="shared" si="19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7"/>
        <v>28</v>
      </c>
      <c r="K369" s="137" t="s">
        <v>1939</v>
      </c>
      <c r="L369" s="31">
        <f t="shared" si="18"/>
        <v>0</v>
      </c>
      <c r="M369" s="32">
        <f t="shared" si="19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7"/>
        <v>28</v>
      </c>
      <c r="K370" s="137" t="s">
        <v>1940</v>
      </c>
      <c r="L370" s="31">
        <f t="shared" si="18"/>
        <v>0</v>
      </c>
      <c r="M370" s="32">
        <f t="shared" si="19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7"/>
        <v>28</v>
      </c>
      <c r="K371" s="137" t="s">
        <v>1941</v>
      </c>
      <c r="L371" s="31">
        <f t="shared" si="18"/>
        <v>0</v>
      </c>
      <c r="M371" s="32">
        <f t="shared" si="19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7"/>
        <v>28</v>
      </c>
      <c r="K372" s="137" t="s">
        <v>1942</v>
      </c>
      <c r="L372" s="31">
        <f t="shared" si="18"/>
        <v>0</v>
      </c>
      <c r="M372" s="32">
        <f t="shared" si="19"/>
        <v>1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7"/>
        <v>28</v>
      </c>
      <c r="K373" s="137" t="s">
        <v>1943</v>
      </c>
      <c r="L373" s="31">
        <f t="shared" si="18"/>
        <v>0</v>
      </c>
      <c r="M373" s="32">
        <f t="shared" si="19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7"/>
        <v>25</v>
      </c>
      <c r="K374" s="137" t="s">
        <v>2120</v>
      </c>
      <c r="L374" s="31">
        <f t="shared" si="18"/>
        <v>3</v>
      </c>
      <c r="M374" s="32">
        <f t="shared" si="19"/>
        <v>0.8928571428571429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7"/>
        <v>28</v>
      </c>
      <c r="K375" s="137" t="s">
        <v>1944</v>
      </c>
      <c r="L375" s="31">
        <f t="shared" si="18"/>
        <v>0</v>
      </c>
      <c r="M375" s="32">
        <f t="shared" si="19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7"/>
        <v>28</v>
      </c>
      <c r="K376" s="137" t="s">
        <v>1945</v>
      </c>
      <c r="L376" s="31">
        <f t="shared" si="18"/>
        <v>0</v>
      </c>
      <c r="M376" s="32">
        <f t="shared" si="19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7"/>
        <v>28</v>
      </c>
      <c r="K377" s="137"/>
      <c r="L377" s="132">
        <f t="shared" si="18"/>
        <v>0</v>
      </c>
      <c r="M377" s="133">
        <f t="shared" si="19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7"/>
        <v>28</v>
      </c>
      <c r="K378" s="137" t="s">
        <v>2150</v>
      </c>
      <c r="L378" s="132">
        <f t="shared" si="18"/>
        <v>0</v>
      </c>
      <c r="M378" s="133">
        <f t="shared" si="19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7"/>
        <v>28</v>
      </c>
      <c r="K379" s="137" t="s">
        <v>1946</v>
      </c>
      <c r="L379" s="31">
        <f t="shared" si="18"/>
        <v>0</v>
      </c>
      <c r="M379" s="32">
        <f t="shared" si="19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7"/>
        <v>28</v>
      </c>
      <c r="K380" s="137"/>
      <c r="L380" s="31">
        <f t="shared" si="18"/>
        <v>0</v>
      </c>
      <c r="M380" s="32">
        <f t="shared" si="19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7"/>
        <v>28</v>
      </c>
      <c r="K381" s="137" t="s">
        <v>1947</v>
      </c>
      <c r="L381" s="31">
        <f t="shared" si="18"/>
        <v>0</v>
      </c>
      <c r="M381" s="32">
        <f t="shared" si="19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7"/>
        <v>28</v>
      </c>
      <c r="K382" s="137" t="s">
        <v>1948</v>
      </c>
      <c r="L382" s="31">
        <f t="shared" si="18"/>
        <v>0</v>
      </c>
      <c r="M382" s="32">
        <f t="shared" si="19"/>
        <v>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7"/>
        <v>28</v>
      </c>
      <c r="K383" s="137" t="s">
        <v>1949</v>
      </c>
      <c r="L383" s="31">
        <f t="shared" si="18"/>
        <v>0</v>
      </c>
      <c r="M383" s="32">
        <f t="shared" si="19"/>
        <v>1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7"/>
        <v>27</v>
      </c>
      <c r="K384" s="137" t="s">
        <v>1950</v>
      </c>
      <c r="L384" s="31">
        <f t="shared" si="18"/>
        <v>1</v>
      </c>
      <c r="M384" s="32">
        <f t="shared" si="19"/>
        <v>0.9642857142857143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7"/>
        <v>24</v>
      </c>
      <c r="K385" s="137"/>
      <c r="L385" s="31">
        <f t="shared" si="18"/>
        <v>4</v>
      </c>
      <c r="M385" s="32">
        <f t="shared" si="19"/>
        <v>0.8571428571428571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91"/>
      <c r="AG385" s="91"/>
      <c r="AH385" s="70"/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7"/>
        <v>25</v>
      </c>
      <c r="K386" s="137" t="s">
        <v>2287</v>
      </c>
      <c r="L386" s="132">
        <f t="shared" si="18"/>
        <v>3</v>
      </c>
      <c r="M386" s="133">
        <f t="shared" si="19"/>
        <v>0.8928571428571429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7"/>
        <v>28</v>
      </c>
      <c r="K387" s="137" t="s">
        <v>1951</v>
      </c>
      <c r="L387" s="86">
        <f t="shared" si="18"/>
        <v>0</v>
      </c>
      <c r="M387" s="87">
        <f t="shared" si="19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7"/>
        <v>28</v>
      </c>
      <c r="K388" s="137" t="s">
        <v>1952</v>
      </c>
      <c r="L388" s="31">
        <f t="shared" si="18"/>
        <v>0</v>
      </c>
      <c r="M388" s="32">
        <f t="shared" si="19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7"/>
        <v>28</v>
      </c>
      <c r="K389" s="137" t="s">
        <v>1953</v>
      </c>
      <c r="L389" s="31">
        <f t="shared" si="18"/>
        <v>0</v>
      </c>
      <c r="M389" s="32">
        <f t="shared" si="19"/>
        <v>1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7"/>
        <v>28</v>
      </c>
      <c r="K390" s="137" t="s">
        <v>1954</v>
      </c>
      <c r="L390" s="31">
        <f t="shared" si="18"/>
        <v>0</v>
      </c>
      <c r="M390" s="32">
        <f t="shared" si="19"/>
        <v>1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20">COUNTIF(N391:AO391,"")</f>
        <v>24</v>
      </c>
      <c r="K391" s="142" t="s">
        <v>1955</v>
      </c>
      <c r="L391" s="141">
        <f t="shared" ref="L391:L472" si="21">COUNTIF(N391:AO391,"APAGADO")</f>
        <v>4</v>
      </c>
      <c r="M391" s="143">
        <f t="shared" ref="M391:M472" si="22">(J391)/(L391+J391)</f>
        <v>0.8571428571428571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20"/>
        <v>24</v>
      </c>
      <c r="K392" s="142" t="s">
        <v>1956</v>
      </c>
      <c r="L392" s="141">
        <f t="shared" si="21"/>
        <v>4</v>
      </c>
      <c r="M392" s="143">
        <f t="shared" si="22"/>
        <v>0.8571428571428571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20"/>
        <v>24</v>
      </c>
      <c r="K393" s="137" t="s">
        <v>1957</v>
      </c>
      <c r="L393" s="31">
        <f t="shared" si="21"/>
        <v>4</v>
      </c>
      <c r="M393" s="32">
        <f t="shared" si="22"/>
        <v>0.8571428571428571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20"/>
        <v>24</v>
      </c>
      <c r="K394" s="137" t="s">
        <v>1958</v>
      </c>
      <c r="L394" s="31">
        <f t="shared" si="21"/>
        <v>4</v>
      </c>
      <c r="M394" s="32">
        <f t="shared" si="22"/>
        <v>0.8571428571428571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20"/>
        <v>24</v>
      </c>
      <c r="K395" s="137" t="s">
        <v>1959</v>
      </c>
      <c r="L395" s="31">
        <f t="shared" si="21"/>
        <v>4</v>
      </c>
      <c r="M395" s="32">
        <f t="shared" si="22"/>
        <v>0.8571428571428571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20"/>
        <v>24</v>
      </c>
      <c r="K396" s="137" t="s">
        <v>1960</v>
      </c>
      <c r="L396" s="31">
        <f t="shared" si="21"/>
        <v>4</v>
      </c>
      <c r="M396" s="32">
        <f t="shared" si="22"/>
        <v>0.8571428571428571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20"/>
        <v>24</v>
      </c>
      <c r="K397" s="142" t="s">
        <v>1961</v>
      </c>
      <c r="L397" s="141">
        <f t="shared" si="21"/>
        <v>4</v>
      </c>
      <c r="M397" s="143">
        <f t="shared" si="22"/>
        <v>0.8571428571428571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20"/>
        <v>24</v>
      </c>
      <c r="K398" s="142" t="s">
        <v>1962</v>
      </c>
      <c r="L398" s="141">
        <f t="shared" si="21"/>
        <v>4</v>
      </c>
      <c r="M398" s="143">
        <f t="shared" si="22"/>
        <v>0.8571428571428571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20"/>
        <v>24</v>
      </c>
      <c r="K399" s="137" t="s">
        <v>1963</v>
      </c>
      <c r="L399" s="31">
        <f t="shared" si="21"/>
        <v>4</v>
      </c>
      <c r="M399" s="32">
        <f t="shared" si="22"/>
        <v>0.8571428571428571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20"/>
        <v>28</v>
      </c>
      <c r="K400" s="137" t="s">
        <v>1964</v>
      </c>
      <c r="L400" s="132">
        <f t="shared" si="21"/>
        <v>0</v>
      </c>
      <c r="M400" s="133">
        <f t="shared" si="22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20"/>
        <v>28</v>
      </c>
      <c r="K401" s="137" t="s">
        <v>1965</v>
      </c>
      <c r="L401" s="31">
        <f t="shared" si="21"/>
        <v>0</v>
      </c>
      <c r="M401" s="32">
        <f t="shared" si="22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20"/>
        <v>28</v>
      </c>
      <c r="K402" s="137" t="s">
        <v>1966</v>
      </c>
      <c r="L402" s="31">
        <f t="shared" si="21"/>
        <v>0</v>
      </c>
      <c r="M402" s="32">
        <f t="shared" si="22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20"/>
        <v>24</v>
      </c>
      <c r="K403" s="137"/>
      <c r="L403" s="31">
        <f t="shared" si="21"/>
        <v>4</v>
      </c>
      <c r="M403" s="32">
        <f t="shared" si="22"/>
        <v>0.8571428571428571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20"/>
        <v>24</v>
      </c>
      <c r="K404" s="137"/>
      <c r="L404" s="31">
        <f t="shared" si="21"/>
        <v>4</v>
      </c>
      <c r="M404" s="32">
        <f t="shared" si="22"/>
        <v>0.8571428571428571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20"/>
        <v>24</v>
      </c>
      <c r="K405" s="142"/>
      <c r="L405" s="141">
        <f t="shared" si="21"/>
        <v>4</v>
      </c>
      <c r="M405" s="143">
        <f t="shared" si="22"/>
        <v>0.8571428571428571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20"/>
        <v>28</v>
      </c>
      <c r="K406" s="137" t="s">
        <v>1967</v>
      </c>
      <c r="L406" s="132">
        <f t="shared" si="21"/>
        <v>0</v>
      </c>
      <c r="M406" s="133">
        <f t="shared" si="22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20"/>
        <v>27</v>
      </c>
      <c r="K407" s="137"/>
      <c r="L407" s="31">
        <f t="shared" si="21"/>
        <v>1</v>
      </c>
      <c r="M407" s="32">
        <f t="shared" si="22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20"/>
        <v>27</v>
      </c>
      <c r="K408" s="137"/>
      <c r="L408" s="31">
        <f t="shared" si="21"/>
        <v>1</v>
      </c>
      <c r="M408" s="32">
        <f t="shared" si="22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20"/>
        <v>28</v>
      </c>
      <c r="K409" s="137" t="s">
        <v>1968</v>
      </c>
      <c r="L409" s="86">
        <f t="shared" si="21"/>
        <v>0</v>
      </c>
      <c r="M409" s="87">
        <f t="shared" si="22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20"/>
        <v>27</v>
      </c>
      <c r="K410" s="137"/>
      <c r="L410" s="31">
        <f t="shared" si="21"/>
        <v>1</v>
      </c>
      <c r="M410" s="32">
        <f t="shared" si="22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20"/>
        <v>24</v>
      </c>
      <c r="K411" s="137" t="s">
        <v>1969</v>
      </c>
      <c r="L411" s="31">
        <f t="shared" si="21"/>
        <v>4</v>
      </c>
      <c r="M411" s="32">
        <f t="shared" si="22"/>
        <v>0.8571428571428571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20"/>
        <v>24</v>
      </c>
      <c r="K412" s="137" t="s">
        <v>1970</v>
      </c>
      <c r="L412" s="31">
        <f t="shared" si="21"/>
        <v>4</v>
      </c>
      <c r="M412" s="32">
        <f t="shared" si="22"/>
        <v>0.8571428571428571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20"/>
        <v>24</v>
      </c>
      <c r="K413" s="137" t="s">
        <v>1971</v>
      </c>
      <c r="L413" s="132">
        <f t="shared" si="21"/>
        <v>4</v>
      </c>
      <c r="M413" s="133">
        <f t="shared" si="22"/>
        <v>0.8571428571428571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20"/>
        <v>25</v>
      </c>
      <c r="K414" s="137" t="s">
        <v>1972</v>
      </c>
      <c r="L414" s="132">
        <f t="shared" si="21"/>
        <v>3</v>
      </c>
      <c r="M414" s="133">
        <f t="shared" si="22"/>
        <v>0.8928571428571429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20"/>
        <v>27</v>
      </c>
      <c r="K415" s="137" t="s">
        <v>2323</v>
      </c>
      <c r="L415" s="132">
        <f t="shared" si="21"/>
        <v>1</v>
      </c>
      <c r="M415" s="133">
        <f t="shared" si="22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20"/>
        <v>28</v>
      </c>
      <c r="K416" s="137" t="s">
        <v>2324</v>
      </c>
      <c r="L416" s="132">
        <f t="shared" si="21"/>
        <v>0</v>
      </c>
      <c r="M416" s="133">
        <f t="shared" si="22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20"/>
        <v>28</v>
      </c>
      <c r="K417" s="137" t="s">
        <v>2124</v>
      </c>
      <c r="L417" s="132">
        <f t="shared" si="21"/>
        <v>0</v>
      </c>
      <c r="M417" s="133">
        <f t="shared" si="22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20"/>
        <v>28</v>
      </c>
      <c r="K418" s="137" t="s">
        <v>2123</v>
      </c>
      <c r="L418" s="132">
        <f t="shared" si="21"/>
        <v>0</v>
      </c>
      <c r="M418" s="133">
        <f t="shared" si="22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20"/>
        <v>28</v>
      </c>
      <c r="K419" s="137" t="s">
        <v>2171</v>
      </c>
      <c r="L419" s="31">
        <f t="shared" si="21"/>
        <v>0</v>
      </c>
      <c r="M419" s="32">
        <f t="shared" si="22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20"/>
        <v>28</v>
      </c>
      <c r="K420" s="137" t="s">
        <v>1973</v>
      </c>
      <c r="L420" s="132">
        <f t="shared" si="21"/>
        <v>0</v>
      </c>
      <c r="M420" s="133">
        <f t="shared" si="22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20"/>
        <v>28</v>
      </c>
      <c r="K421" s="137" t="s">
        <v>1974</v>
      </c>
      <c r="L421" s="132">
        <f t="shared" si="21"/>
        <v>0</v>
      </c>
      <c r="M421" s="133">
        <f t="shared" si="22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20"/>
        <v>28</v>
      </c>
      <c r="K422" s="137" t="s">
        <v>2228</v>
      </c>
      <c r="L422" s="132">
        <f t="shared" si="21"/>
        <v>0</v>
      </c>
      <c r="M422" s="133">
        <f t="shared" si="22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20"/>
        <v>28</v>
      </c>
      <c r="K423" s="137" t="s">
        <v>1975</v>
      </c>
      <c r="L423" s="132">
        <f t="shared" si="21"/>
        <v>0</v>
      </c>
      <c r="M423" s="133">
        <f t="shared" si="22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20"/>
        <v>24</v>
      </c>
      <c r="K424" s="137" t="s">
        <v>1976</v>
      </c>
      <c r="L424" s="132">
        <f t="shared" si="21"/>
        <v>4</v>
      </c>
      <c r="M424" s="133">
        <f t="shared" si="22"/>
        <v>0.8571428571428571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20"/>
        <v>24</v>
      </c>
      <c r="K425" s="137"/>
      <c r="L425" s="31">
        <f t="shared" si="21"/>
        <v>4</v>
      </c>
      <c r="M425" s="32">
        <f t="shared" si="22"/>
        <v>0.8571428571428571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91"/>
      <c r="AG425" s="91"/>
      <c r="AH425" s="70"/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20"/>
        <v>28</v>
      </c>
      <c r="K426" s="137" t="s">
        <v>1977</v>
      </c>
      <c r="L426" s="132">
        <f t="shared" si="21"/>
        <v>0</v>
      </c>
      <c r="M426" s="133">
        <f t="shared" si="22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20"/>
        <v>28</v>
      </c>
      <c r="K427" s="137" t="s">
        <v>1978</v>
      </c>
      <c r="L427" s="31">
        <f t="shared" si="21"/>
        <v>0</v>
      </c>
      <c r="M427" s="32">
        <f t="shared" si="22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20"/>
        <v>28</v>
      </c>
      <c r="K428" s="137"/>
      <c r="L428" s="31">
        <f t="shared" si="21"/>
        <v>0</v>
      </c>
      <c r="M428" s="32">
        <f t="shared" si="22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20"/>
        <v>25</v>
      </c>
      <c r="K429" s="137" t="s">
        <v>1979</v>
      </c>
      <c r="L429" s="132">
        <f t="shared" si="21"/>
        <v>3</v>
      </c>
      <c r="M429" s="133">
        <f t="shared" si="22"/>
        <v>0.8928571428571429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20"/>
        <v>28</v>
      </c>
      <c r="K430" s="137" t="s">
        <v>1980</v>
      </c>
      <c r="L430" s="31">
        <f t="shared" si="21"/>
        <v>0</v>
      </c>
      <c r="M430" s="32">
        <f t="shared" si="22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20"/>
        <v>28</v>
      </c>
      <c r="K431" s="137" t="s">
        <v>1981</v>
      </c>
      <c r="L431" s="31">
        <f t="shared" si="21"/>
        <v>0</v>
      </c>
      <c r="M431" s="32">
        <f t="shared" si="22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20"/>
        <v>28</v>
      </c>
      <c r="K432" s="137" t="s">
        <v>1982</v>
      </c>
      <c r="L432" s="31">
        <f t="shared" si="21"/>
        <v>0</v>
      </c>
      <c r="M432" s="32">
        <f t="shared" si="22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20"/>
        <v>28</v>
      </c>
      <c r="K433" s="137" t="s">
        <v>1983</v>
      </c>
      <c r="L433" s="31">
        <f t="shared" si="21"/>
        <v>0</v>
      </c>
      <c r="M433" s="32">
        <f t="shared" si="22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20"/>
        <v>28</v>
      </c>
      <c r="K434" s="137"/>
      <c r="L434" s="31">
        <f t="shared" si="21"/>
        <v>0</v>
      </c>
      <c r="M434" s="32">
        <f t="shared" si="22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20"/>
        <v>27</v>
      </c>
      <c r="K435" s="137" t="s">
        <v>1984</v>
      </c>
      <c r="L435" s="31">
        <f t="shared" si="21"/>
        <v>1</v>
      </c>
      <c r="M435" s="32">
        <f t="shared" si="22"/>
        <v>0.9642857142857143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20"/>
        <v>27</v>
      </c>
      <c r="K436" s="137" t="s">
        <v>1985</v>
      </c>
      <c r="L436" s="31">
        <f t="shared" si="21"/>
        <v>1</v>
      </c>
      <c r="M436" s="32">
        <f t="shared" si="22"/>
        <v>0.9642857142857143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20"/>
        <v>27</v>
      </c>
      <c r="K437" s="137" t="s">
        <v>1986</v>
      </c>
      <c r="L437" s="31">
        <f t="shared" si="21"/>
        <v>1</v>
      </c>
      <c r="M437" s="32">
        <f t="shared" si="22"/>
        <v>0.9642857142857143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20"/>
        <v>27</v>
      </c>
      <c r="K438" s="137" t="s">
        <v>1987</v>
      </c>
      <c r="L438" s="31">
        <f t="shared" si="21"/>
        <v>1</v>
      </c>
      <c r="M438" s="32">
        <f t="shared" si="22"/>
        <v>0.9642857142857143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20"/>
        <v>24</v>
      </c>
      <c r="K439" s="137" t="s">
        <v>1988</v>
      </c>
      <c r="L439" s="31">
        <f t="shared" si="21"/>
        <v>4</v>
      </c>
      <c r="M439" s="32">
        <f t="shared" si="22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20"/>
        <v>24</v>
      </c>
      <c r="K440" s="137" t="s">
        <v>1989</v>
      </c>
      <c r="L440" s="31">
        <f t="shared" si="21"/>
        <v>4</v>
      </c>
      <c r="M440" s="32">
        <f t="shared" si="22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20"/>
        <v>27</v>
      </c>
      <c r="K441" s="137" t="s">
        <v>1990</v>
      </c>
      <c r="L441" s="132">
        <f t="shared" si="21"/>
        <v>1</v>
      </c>
      <c r="M441" s="133">
        <f t="shared" si="22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20"/>
        <v>24</v>
      </c>
      <c r="K442" s="137" t="s">
        <v>1991</v>
      </c>
      <c r="L442" s="132">
        <f t="shared" si="21"/>
        <v>4</v>
      </c>
      <c r="M442" s="133">
        <f t="shared" si="22"/>
        <v>0.8571428571428571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20"/>
        <v>28</v>
      </c>
      <c r="K443" s="137"/>
      <c r="L443" s="31">
        <f t="shared" si="21"/>
        <v>0</v>
      </c>
      <c r="M443" s="32">
        <f t="shared" si="22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20"/>
        <v>28</v>
      </c>
      <c r="K444" s="137" t="s">
        <v>1992</v>
      </c>
      <c r="L444" s="31">
        <f t="shared" si="21"/>
        <v>0</v>
      </c>
      <c r="M444" s="32">
        <f t="shared" si="22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20"/>
        <v>28</v>
      </c>
      <c r="K445" s="137" t="s">
        <v>1993</v>
      </c>
      <c r="L445" s="31">
        <f t="shared" si="21"/>
        <v>0</v>
      </c>
      <c r="M445" s="32">
        <f t="shared" si="22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20"/>
        <v>28</v>
      </c>
      <c r="K446" s="137" t="s">
        <v>1994</v>
      </c>
      <c r="L446" s="31">
        <f t="shared" si="21"/>
        <v>0</v>
      </c>
      <c r="M446" s="32">
        <f t="shared" si="22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20"/>
        <v>28</v>
      </c>
      <c r="K447" s="137"/>
      <c r="L447" s="31">
        <f t="shared" si="21"/>
        <v>0</v>
      </c>
      <c r="M447" s="32">
        <f t="shared" si="22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20"/>
        <v>24</v>
      </c>
      <c r="K448" s="142"/>
      <c r="L448" s="141">
        <f t="shared" si="21"/>
        <v>4</v>
      </c>
      <c r="M448" s="143">
        <f t="shared" si="22"/>
        <v>0.8571428571428571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20"/>
        <v>24</v>
      </c>
      <c r="K449" s="142"/>
      <c r="L449" s="141">
        <f t="shared" si="21"/>
        <v>4</v>
      </c>
      <c r="M449" s="143">
        <f t="shared" si="22"/>
        <v>0.8571428571428571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20"/>
        <v>28</v>
      </c>
      <c r="K450" s="137"/>
      <c r="L450" s="31">
        <f t="shared" si="21"/>
        <v>0</v>
      </c>
      <c r="M450" s="32">
        <f t="shared" si="22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20"/>
        <v>24</v>
      </c>
      <c r="K451" s="137" t="s">
        <v>1995</v>
      </c>
      <c r="L451" s="31">
        <f t="shared" si="21"/>
        <v>4</v>
      </c>
      <c r="M451" s="32">
        <f t="shared" si="22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20"/>
        <v>24</v>
      </c>
      <c r="K452" s="137" t="s">
        <v>1996</v>
      </c>
      <c r="L452" s="31">
        <f t="shared" si="21"/>
        <v>4</v>
      </c>
      <c r="M452" s="32">
        <f t="shared" si="22"/>
        <v>0.8571428571428571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20"/>
        <v>27</v>
      </c>
      <c r="K453" s="137" t="s">
        <v>1997</v>
      </c>
      <c r="L453" s="132">
        <f t="shared" si="21"/>
        <v>1</v>
      </c>
      <c r="M453" s="133">
        <f t="shared" si="22"/>
        <v>0.9642857142857143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20"/>
        <v>28</v>
      </c>
      <c r="K454" s="137" t="s">
        <v>1998</v>
      </c>
      <c r="L454" s="132">
        <f t="shared" si="21"/>
        <v>0</v>
      </c>
      <c r="M454" s="133">
        <f t="shared" si="22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20"/>
        <v>28</v>
      </c>
      <c r="K455" s="137" t="s">
        <v>1999</v>
      </c>
      <c r="L455" s="132">
        <f t="shared" si="21"/>
        <v>0</v>
      </c>
      <c r="M455" s="133">
        <f t="shared" si="22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20"/>
        <v>28</v>
      </c>
      <c r="K456" s="137" t="s">
        <v>2000</v>
      </c>
      <c r="L456" s="31">
        <f t="shared" si="21"/>
        <v>0</v>
      </c>
      <c r="M456" s="32">
        <f t="shared" si="22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20"/>
        <v>28</v>
      </c>
      <c r="K457" s="137" t="s">
        <v>2001</v>
      </c>
      <c r="L457" s="31">
        <f t="shared" si="21"/>
        <v>0</v>
      </c>
      <c r="M457" s="32">
        <f t="shared" si="22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20"/>
        <v>28</v>
      </c>
      <c r="K458" s="137" t="s">
        <v>2002</v>
      </c>
      <c r="L458" s="31">
        <f t="shared" si="21"/>
        <v>0</v>
      </c>
      <c r="M458" s="32">
        <f t="shared" si="22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20"/>
        <v>28</v>
      </c>
      <c r="K459" s="137" t="s">
        <v>2003</v>
      </c>
      <c r="L459" s="31">
        <f t="shared" si="21"/>
        <v>0</v>
      </c>
      <c r="M459" s="32">
        <f t="shared" si="22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20"/>
        <v>28</v>
      </c>
      <c r="K460" s="137"/>
      <c r="L460" s="31">
        <f t="shared" si="21"/>
        <v>0</v>
      </c>
      <c r="M460" s="32">
        <f t="shared" si="22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20"/>
        <v>28</v>
      </c>
      <c r="K461" s="137"/>
      <c r="L461" s="31">
        <f t="shared" si="21"/>
        <v>0</v>
      </c>
      <c r="M461" s="32">
        <f t="shared" si="22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20"/>
        <v>28</v>
      </c>
      <c r="K462" s="137"/>
      <c r="L462" s="31">
        <f t="shared" si="21"/>
        <v>0</v>
      </c>
      <c r="M462" s="32">
        <f t="shared" si="22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20"/>
        <v>28</v>
      </c>
      <c r="K463" s="137"/>
      <c r="L463" s="31">
        <f t="shared" si="21"/>
        <v>0</v>
      </c>
      <c r="M463" s="32">
        <f t="shared" si="22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20"/>
        <v>28</v>
      </c>
      <c r="K464" s="137"/>
      <c r="L464" s="31">
        <f t="shared" si="21"/>
        <v>0</v>
      </c>
      <c r="M464" s="32">
        <f t="shared" si="22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20"/>
        <v>28</v>
      </c>
      <c r="K465" s="137"/>
      <c r="L465" s="31">
        <f t="shared" si="21"/>
        <v>0</v>
      </c>
      <c r="M465" s="32">
        <f t="shared" si="22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20"/>
        <v>24</v>
      </c>
      <c r="K466" s="137" t="s">
        <v>2004</v>
      </c>
      <c r="L466" s="132">
        <f t="shared" si="21"/>
        <v>4</v>
      </c>
      <c r="M466" s="133">
        <f t="shared" si="22"/>
        <v>0.8571428571428571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20"/>
        <v>24</v>
      </c>
      <c r="K467" s="137" t="s">
        <v>2005</v>
      </c>
      <c r="L467" s="132">
        <f t="shared" si="21"/>
        <v>4</v>
      </c>
      <c r="M467" s="133">
        <f t="shared" si="22"/>
        <v>0.8571428571428571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20"/>
        <v>24</v>
      </c>
      <c r="K468" s="137"/>
      <c r="L468" s="132">
        <f t="shared" si="21"/>
        <v>4</v>
      </c>
      <c r="M468" s="133">
        <f t="shared" si="22"/>
        <v>0.8571428571428571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20"/>
        <v>24</v>
      </c>
      <c r="K469" s="137" t="s">
        <v>2119</v>
      </c>
      <c r="L469" s="132">
        <f t="shared" si="21"/>
        <v>4</v>
      </c>
      <c r="M469" s="133">
        <f t="shared" si="22"/>
        <v>0.8571428571428571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20"/>
        <v>24</v>
      </c>
      <c r="K470" s="137"/>
      <c r="L470" s="132">
        <f t="shared" si="21"/>
        <v>4</v>
      </c>
      <c r="M470" s="133">
        <f t="shared" si="22"/>
        <v>0.8571428571428571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20"/>
        <v>28</v>
      </c>
      <c r="K471" s="137" t="s">
        <v>2006</v>
      </c>
      <c r="L471" s="31">
        <f t="shared" si="21"/>
        <v>0</v>
      </c>
      <c r="M471" s="32">
        <f t="shared" si="22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20"/>
        <v>28</v>
      </c>
      <c r="K472" s="137" t="s">
        <v>2007</v>
      </c>
      <c r="L472" s="31">
        <f t="shared" si="21"/>
        <v>0</v>
      </c>
      <c r="M472" s="32">
        <f t="shared" si="22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3">COUNTIF(N473:AO473,"")</f>
        <v>28</v>
      </c>
      <c r="K473" s="137" t="s">
        <v>2008</v>
      </c>
      <c r="L473" s="31">
        <f t="shared" ref="L473:L546" si="24">COUNTIF(N473:AO473,"APAGADO")</f>
        <v>0</v>
      </c>
      <c r="M473" s="32">
        <f t="shared" ref="M473:M546" si="25">(J473)/(L473+J473)</f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3"/>
        <v>28</v>
      </c>
      <c r="K474" s="137" t="s">
        <v>2009</v>
      </c>
      <c r="L474" s="31">
        <f t="shared" si="24"/>
        <v>0</v>
      </c>
      <c r="M474" s="32">
        <f t="shared" si="25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3"/>
        <v>28</v>
      </c>
      <c r="K475" s="137" t="s">
        <v>2010</v>
      </c>
      <c r="L475" s="31">
        <f t="shared" si="24"/>
        <v>0</v>
      </c>
      <c r="M475" s="32">
        <f t="shared" si="25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3"/>
        <v>28</v>
      </c>
      <c r="K476" s="137" t="s">
        <v>2011</v>
      </c>
      <c r="L476" s="31">
        <f t="shared" si="24"/>
        <v>0</v>
      </c>
      <c r="M476" s="32">
        <f t="shared" si="25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3"/>
        <v>28</v>
      </c>
      <c r="K477" s="137" t="s">
        <v>2012</v>
      </c>
      <c r="L477" s="132">
        <f t="shared" si="24"/>
        <v>0</v>
      </c>
      <c r="M477" s="133">
        <f t="shared" si="25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3"/>
        <v>28</v>
      </c>
      <c r="K478" s="137" t="s">
        <v>2013</v>
      </c>
      <c r="L478" s="31">
        <f t="shared" si="24"/>
        <v>0</v>
      </c>
      <c r="M478" s="32">
        <f t="shared" si="25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3"/>
        <v>24</v>
      </c>
      <c r="K479" s="137" t="s">
        <v>2014</v>
      </c>
      <c r="L479" s="31">
        <f t="shared" si="24"/>
        <v>4</v>
      </c>
      <c r="M479" s="32">
        <f t="shared" si="25"/>
        <v>0.8571428571428571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3"/>
        <v>28</v>
      </c>
      <c r="K480" s="137" t="s">
        <v>2015</v>
      </c>
      <c r="L480" s="132">
        <f t="shared" si="24"/>
        <v>0</v>
      </c>
      <c r="M480" s="133">
        <f t="shared" si="25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3"/>
        <v>28</v>
      </c>
      <c r="K481" s="137" t="s">
        <v>2016</v>
      </c>
      <c r="L481" s="86">
        <f t="shared" si="24"/>
        <v>0</v>
      </c>
      <c r="M481" s="87">
        <f t="shared" si="25"/>
        <v>1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3"/>
        <v>28</v>
      </c>
      <c r="K482" s="137" t="s">
        <v>2017</v>
      </c>
      <c r="L482" s="31">
        <f t="shared" si="24"/>
        <v>0</v>
      </c>
      <c r="M482" s="32">
        <f t="shared" si="25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3"/>
        <v>28</v>
      </c>
      <c r="K483" s="137" t="s">
        <v>2018</v>
      </c>
      <c r="L483" s="31">
        <f t="shared" si="24"/>
        <v>0</v>
      </c>
      <c r="M483" s="32">
        <f t="shared" si="25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3"/>
        <v>28</v>
      </c>
      <c r="K484" s="137" t="s">
        <v>2019</v>
      </c>
      <c r="L484" s="31">
        <f t="shared" si="24"/>
        <v>0</v>
      </c>
      <c r="M484" s="32">
        <f t="shared" si="25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3"/>
        <v>28</v>
      </c>
      <c r="K485" s="137" t="s">
        <v>2020</v>
      </c>
      <c r="L485" s="86">
        <f t="shared" si="24"/>
        <v>0</v>
      </c>
      <c r="M485" s="87">
        <f t="shared" si="25"/>
        <v>1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3"/>
        <v>28</v>
      </c>
      <c r="K486" s="137" t="s">
        <v>2137</v>
      </c>
      <c r="L486" s="86">
        <f t="shared" si="24"/>
        <v>0</v>
      </c>
      <c r="M486" s="87">
        <f t="shared" si="25"/>
        <v>1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3"/>
        <v>25</v>
      </c>
      <c r="K487" s="137" t="s">
        <v>2138</v>
      </c>
      <c r="L487" s="86">
        <f t="shared" si="24"/>
        <v>3</v>
      </c>
      <c r="M487" s="87">
        <f t="shared" si="25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3"/>
        <v>28</v>
      </c>
      <c r="K488" s="137" t="s">
        <v>2139</v>
      </c>
      <c r="L488" s="86">
        <f t="shared" si="24"/>
        <v>0</v>
      </c>
      <c r="M488" s="87">
        <f t="shared" si="25"/>
        <v>1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3"/>
        <v>28</v>
      </c>
      <c r="K489" s="137" t="s">
        <v>2140</v>
      </c>
      <c r="L489" s="86">
        <f t="shared" si="24"/>
        <v>0</v>
      </c>
      <c r="M489" s="87">
        <f t="shared" si="25"/>
        <v>1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3"/>
        <v>28</v>
      </c>
      <c r="K490" s="137" t="s">
        <v>2275</v>
      </c>
      <c r="L490" s="86">
        <f t="shared" si="24"/>
        <v>0</v>
      </c>
      <c r="M490" s="87">
        <f t="shared" si="25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3"/>
        <v>28</v>
      </c>
      <c r="K491" s="137" t="s">
        <v>2021</v>
      </c>
      <c r="L491" s="132">
        <f t="shared" si="24"/>
        <v>0</v>
      </c>
      <c r="M491" s="133">
        <f t="shared" si="25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3"/>
        <v>27</v>
      </c>
      <c r="K492" s="137"/>
      <c r="L492" s="31">
        <f t="shared" si="24"/>
        <v>1</v>
      </c>
      <c r="M492" s="32">
        <f t="shared" si="25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3"/>
        <v>27</v>
      </c>
      <c r="K493" s="137"/>
      <c r="L493" s="31">
        <f t="shared" si="24"/>
        <v>1</v>
      </c>
      <c r="M493" s="32">
        <f t="shared" si="25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3"/>
        <v>27</v>
      </c>
      <c r="K494" s="137"/>
      <c r="L494" s="31">
        <f t="shared" si="24"/>
        <v>1</v>
      </c>
      <c r="M494" s="32">
        <f t="shared" si="25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3"/>
        <v>27</v>
      </c>
      <c r="K495" s="137"/>
      <c r="L495" s="31">
        <f t="shared" si="24"/>
        <v>1</v>
      </c>
      <c r="M495" s="32">
        <f t="shared" si="25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3"/>
        <v>27</v>
      </c>
      <c r="K496" s="137"/>
      <c r="L496" s="31">
        <f t="shared" si="24"/>
        <v>1</v>
      </c>
      <c r="M496" s="32">
        <f t="shared" si="25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3"/>
        <v>28</v>
      </c>
      <c r="K497" s="137" t="s">
        <v>2022</v>
      </c>
      <c r="L497" s="31">
        <f t="shared" si="24"/>
        <v>0</v>
      </c>
      <c r="M497" s="32">
        <f t="shared" si="25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3"/>
        <v>28</v>
      </c>
      <c r="K498" s="137" t="s">
        <v>2023</v>
      </c>
      <c r="L498" s="31">
        <f t="shared" si="24"/>
        <v>0</v>
      </c>
      <c r="M498" s="32">
        <f t="shared" si="25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3"/>
        <v>28</v>
      </c>
      <c r="K499" s="137" t="s">
        <v>2024</v>
      </c>
      <c r="L499" s="31">
        <f t="shared" si="24"/>
        <v>0</v>
      </c>
      <c r="M499" s="32">
        <f t="shared" si="25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3"/>
        <v>28</v>
      </c>
      <c r="K500" s="137" t="s">
        <v>2025</v>
      </c>
      <c r="L500" s="31">
        <f t="shared" si="24"/>
        <v>0</v>
      </c>
      <c r="M500" s="32">
        <f t="shared" si="25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3"/>
        <v>28</v>
      </c>
      <c r="K501" s="137" t="s">
        <v>2026</v>
      </c>
      <c r="L501" s="31">
        <f t="shared" si="24"/>
        <v>0</v>
      </c>
      <c r="M501" s="32">
        <f t="shared" si="25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3"/>
        <v>27</v>
      </c>
      <c r="K502" s="137" t="s">
        <v>2027</v>
      </c>
      <c r="L502" s="31">
        <f t="shared" si="24"/>
        <v>1</v>
      </c>
      <c r="M502" s="32">
        <f t="shared" si="25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3"/>
        <v>28</v>
      </c>
      <c r="K503" s="137" t="s">
        <v>2028</v>
      </c>
      <c r="L503" s="31">
        <f t="shared" si="24"/>
        <v>0</v>
      </c>
      <c r="M503" s="32">
        <f t="shared" si="25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3"/>
        <v>28</v>
      </c>
      <c r="K504" s="137" t="s">
        <v>2029</v>
      </c>
      <c r="L504" s="31">
        <f t="shared" si="24"/>
        <v>0</v>
      </c>
      <c r="M504" s="32">
        <f t="shared" si="25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3"/>
        <v>28</v>
      </c>
      <c r="K505" s="137" t="s">
        <v>2030</v>
      </c>
      <c r="L505" s="31">
        <f t="shared" si="24"/>
        <v>0</v>
      </c>
      <c r="M505" s="32">
        <f t="shared" si="25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3"/>
        <v>28</v>
      </c>
      <c r="K506" s="137" t="s">
        <v>2031</v>
      </c>
      <c r="L506" s="31">
        <f t="shared" si="24"/>
        <v>0</v>
      </c>
      <c r="M506" s="32">
        <f t="shared" si="25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3"/>
        <v>28</v>
      </c>
      <c r="K507" s="137" t="s">
        <v>2032</v>
      </c>
      <c r="L507" s="31">
        <f t="shared" si="24"/>
        <v>0</v>
      </c>
      <c r="M507" s="32">
        <f t="shared" si="25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3"/>
        <v>28</v>
      </c>
      <c r="K508" s="137" t="s">
        <v>2033</v>
      </c>
      <c r="L508" s="31">
        <f t="shared" si="24"/>
        <v>0</v>
      </c>
      <c r="M508" s="32">
        <f t="shared" si="25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3"/>
        <v>28</v>
      </c>
      <c r="K509" s="137" t="s">
        <v>2034</v>
      </c>
      <c r="L509" s="132">
        <f t="shared" si="24"/>
        <v>0</v>
      </c>
      <c r="M509" s="133">
        <f t="shared" si="25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3"/>
        <v>25</v>
      </c>
      <c r="K510" s="137" t="s">
        <v>2035</v>
      </c>
      <c r="L510" s="31">
        <f t="shared" si="24"/>
        <v>3</v>
      </c>
      <c r="M510" s="32">
        <f t="shared" si="25"/>
        <v>0.8928571428571429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3"/>
        <v>28</v>
      </c>
      <c r="K511" s="137" t="s">
        <v>2036</v>
      </c>
      <c r="L511" s="31">
        <f t="shared" si="24"/>
        <v>0</v>
      </c>
      <c r="M511" s="32">
        <f t="shared" si="25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3"/>
        <v>28</v>
      </c>
      <c r="K512" s="137" t="s">
        <v>2037</v>
      </c>
      <c r="L512" s="132">
        <f t="shared" si="24"/>
        <v>0</v>
      </c>
      <c r="M512" s="133">
        <f t="shared" si="25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3"/>
        <v>28</v>
      </c>
      <c r="K513" s="137" t="s">
        <v>2038</v>
      </c>
      <c r="L513" s="31">
        <f t="shared" si="24"/>
        <v>0</v>
      </c>
      <c r="M513" s="32">
        <f t="shared" si="25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3"/>
        <v>28</v>
      </c>
      <c r="K514" s="137" t="s">
        <v>2039</v>
      </c>
      <c r="L514" s="31">
        <f t="shared" si="24"/>
        <v>0</v>
      </c>
      <c r="M514" s="32">
        <f t="shared" si="25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3"/>
        <v>28</v>
      </c>
      <c r="K515" s="137" t="s">
        <v>2040</v>
      </c>
      <c r="L515" s="31">
        <f t="shared" si="24"/>
        <v>0</v>
      </c>
      <c r="M515" s="32">
        <f t="shared" si="25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3"/>
        <v>26</v>
      </c>
      <c r="K516" s="137" t="s">
        <v>2041</v>
      </c>
      <c r="L516" s="31">
        <f t="shared" si="24"/>
        <v>2</v>
      </c>
      <c r="M516" s="32">
        <f t="shared" si="25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3"/>
        <v>28</v>
      </c>
      <c r="K517" s="137" t="s">
        <v>2042</v>
      </c>
      <c r="L517" s="31">
        <f t="shared" si="24"/>
        <v>0</v>
      </c>
      <c r="M517" s="32">
        <f t="shared" si="25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3"/>
        <v>24</v>
      </c>
      <c r="K518" s="137" t="s">
        <v>2043</v>
      </c>
      <c r="L518" s="31">
        <f t="shared" si="24"/>
        <v>4</v>
      </c>
      <c r="M518" s="32">
        <f t="shared" si="25"/>
        <v>0.8571428571428571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3"/>
        <v>28</v>
      </c>
      <c r="K519" s="137" t="s">
        <v>2044</v>
      </c>
      <c r="L519" s="31">
        <f t="shared" si="24"/>
        <v>0</v>
      </c>
      <c r="M519" s="32">
        <f t="shared" si="25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3"/>
        <v>28</v>
      </c>
      <c r="K520" s="137" t="s">
        <v>2045</v>
      </c>
      <c r="L520" s="31">
        <f t="shared" si="24"/>
        <v>0</v>
      </c>
      <c r="M520" s="32">
        <f t="shared" si="25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3"/>
        <v>24</v>
      </c>
      <c r="K521" s="137" t="s">
        <v>2046</v>
      </c>
      <c r="L521" s="31">
        <f t="shared" si="24"/>
        <v>4</v>
      </c>
      <c r="M521" s="32">
        <f t="shared" si="25"/>
        <v>0.8571428571428571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3"/>
        <v>28</v>
      </c>
      <c r="K522" s="137" t="s">
        <v>2047</v>
      </c>
      <c r="L522" s="31">
        <f t="shared" si="24"/>
        <v>0</v>
      </c>
      <c r="M522" s="32">
        <f t="shared" si="25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3"/>
        <v>28</v>
      </c>
      <c r="K523" s="137"/>
      <c r="L523" s="31">
        <f t="shared" si="24"/>
        <v>0</v>
      </c>
      <c r="M523" s="32">
        <f t="shared" si="25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3"/>
        <v>28</v>
      </c>
      <c r="K524" s="137" t="s">
        <v>2048</v>
      </c>
      <c r="L524" s="132">
        <f t="shared" si="24"/>
        <v>0</v>
      </c>
      <c r="M524" s="133">
        <f t="shared" si="25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3"/>
        <v>28</v>
      </c>
      <c r="K525" s="137" t="s">
        <v>2049</v>
      </c>
      <c r="L525" s="31">
        <f t="shared" si="24"/>
        <v>0</v>
      </c>
      <c r="M525" s="32">
        <f t="shared" si="25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3"/>
        <v>28</v>
      </c>
      <c r="K526" s="137" t="s">
        <v>2050</v>
      </c>
      <c r="L526" s="31">
        <f t="shared" si="24"/>
        <v>0</v>
      </c>
      <c r="M526" s="32">
        <f t="shared" si="25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3"/>
        <v>28</v>
      </c>
      <c r="K527" s="137" t="s">
        <v>2051</v>
      </c>
      <c r="L527" s="31">
        <f t="shared" si="24"/>
        <v>0</v>
      </c>
      <c r="M527" s="32">
        <f t="shared" si="25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3"/>
        <v>28</v>
      </c>
      <c r="K528" s="137" t="s">
        <v>2052</v>
      </c>
      <c r="L528" s="31">
        <f t="shared" si="24"/>
        <v>0</v>
      </c>
      <c r="M528" s="32">
        <f t="shared" si="25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3"/>
        <v>28</v>
      </c>
      <c r="K529" s="137" t="s">
        <v>2053</v>
      </c>
      <c r="L529" s="31">
        <f t="shared" si="24"/>
        <v>0</v>
      </c>
      <c r="M529" s="32">
        <f t="shared" si="25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3"/>
        <v>28</v>
      </c>
      <c r="K530" s="137" t="s">
        <v>2054</v>
      </c>
      <c r="L530" s="31">
        <f t="shared" si="24"/>
        <v>0</v>
      </c>
      <c r="M530" s="32">
        <f t="shared" si="25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3"/>
        <v>28</v>
      </c>
      <c r="K531" s="137" t="s">
        <v>2055</v>
      </c>
      <c r="L531" s="132">
        <f t="shared" si="24"/>
        <v>0</v>
      </c>
      <c r="M531" s="133">
        <f t="shared" si="25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3"/>
        <v>28</v>
      </c>
      <c r="K532" s="137" t="s">
        <v>2056</v>
      </c>
      <c r="L532" s="132">
        <f t="shared" si="24"/>
        <v>0</v>
      </c>
      <c r="M532" s="133">
        <f t="shared" si="25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3"/>
        <v>28</v>
      </c>
      <c r="K533" s="137" t="s">
        <v>2057</v>
      </c>
      <c r="L533" s="132">
        <f t="shared" si="24"/>
        <v>0</v>
      </c>
      <c r="M533" s="133">
        <f t="shared" si="25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3"/>
        <v>28</v>
      </c>
      <c r="K534" s="137" t="s">
        <v>2058</v>
      </c>
      <c r="L534" s="132">
        <f t="shared" si="24"/>
        <v>0</v>
      </c>
      <c r="M534" s="133">
        <f t="shared" si="25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3"/>
        <v>28</v>
      </c>
      <c r="K535" s="137" t="s">
        <v>2193</v>
      </c>
      <c r="L535" s="132">
        <f t="shared" si="24"/>
        <v>0</v>
      </c>
      <c r="M535" s="133">
        <f t="shared" si="25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3"/>
        <v>28</v>
      </c>
      <c r="K536" s="137" t="s">
        <v>2196</v>
      </c>
      <c r="L536" s="132">
        <f t="shared" si="24"/>
        <v>0</v>
      </c>
      <c r="M536" s="133">
        <f t="shared" si="25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3"/>
        <v>28</v>
      </c>
      <c r="K537" s="137" t="s">
        <v>2059</v>
      </c>
      <c r="L537" s="31">
        <f t="shared" si="24"/>
        <v>0</v>
      </c>
      <c r="M537" s="32">
        <f t="shared" si="25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3"/>
        <v>28</v>
      </c>
      <c r="K538" s="137" t="s">
        <v>2060</v>
      </c>
      <c r="L538" s="31">
        <f t="shared" si="24"/>
        <v>0</v>
      </c>
      <c r="M538" s="32">
        <f t="shared" si="25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3"/>
        <v>28</v>
      </c>
      <c r="K539" s="137" t="s">
        <v>2061</v>
      </c>
      <c r="L539" s="31">
        <f t="shared" si="24"/>
        <v>0</v>
      </c>
      <c r="M539" s="32">
        <f t="shared" si="25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3"/>
        <v>28</v>
      </c>
      <c r="K540" s="137" t="s">
        <v>2062</v>
      </c>
      <c r="L540" s="31">
        <f t="shared" si="24"/>
        <v>0</v>
      </c>
      <c r="M540" s="32">
        <f t="shared" si="25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3"/>
        <v>28</v>
      </c>
      <c r="K541" s="137" t="s">
        <v>2063</v>
      </c>
      <c r="L541" s="31">
        <f t="shared" si="24"/>
        <v>0</v>
      </c>
      <c r="M541" s="32">
        <f t="shared" si="25"/>
        <v>1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3"/>
        <v>28</v>
      </c>
      <c r="K542" s="137" t="s">
        <v>2064</v>
      </c>
      <c r="L542" s="31">
        <f t="shared" si="24"/>
        <v>0</v>
      </c>
      <c r="M542" s="32">
        <f t="shared" si="25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3"/>
        <v>24</v>
      </c>
      <c r="K543" s="137"/>
      <c r="L543" s="31">
        <f t="shared" si="24"/>
        <v>4</v>
      </c>
      <c r="M543" s="32">
        <f t="shared" si="25"/>
        <v>0.8571428571428571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3"/>
        <v>28</v>
      </c>
      <c r="K544" s="137" t="s">
        <v>2065</v>
      </c>
      <c r="L544" s="31">
        <f t="shared" si="24"/>
        <v>0</v>
      </c>
      <c r="M544" s="32">
        <f t="shared" si="25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3"/>
        <v>24</v>
      </c>
      <c r="K545" s="137" t="s">
        <v>2066</v>
      </c>
      <c r="L545" s="132">
        <f t="shared" si="24"/>
        <v>4</v>
      </c>
      <c r="M545" s="133">
        <f t="shared" si="25"/>
        <v>0.8571428571428571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3"/>
        <v>28</v>
      </c>
      <c r="K546" s="137" t="s">
        <v>2067</v>
      </c>
      <c r="L546" s="31">
        <f t="shared" si="24"/>
        <v>0</v>
      </c>
      <c r="M546" s="32">
        <f t="shared" si="25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6">COUNTIF(N547:AO547,"")</f>
        <v>28</v>
      </c>
      <c r="K547" s="137" t="s">
        <v>2068</v>
      </c>
      <c r="L547" s="132">
        <f t="shared" ref="L547:L593" si="27">COUNTIF(N547:AO547,"APAGADO")</f>
        <v>0</v>
      </c>
      <c r="M547" s="133">
        <f t="shared" ref="M547:M593" si="28">(J547)/(L547+J547)</f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6"/>
        <v>24</v>
      </c>
      <c r="K548" s="137" t="s">
        <v>2069</v>
      </c>
      <c r="L548" s="132">
        <f t="shared" si="27"/>
        <v>4</v>
      </c>
      <c r="M548" s="133">
        <f t="shared" si="28"/>
        <v>0.8571428571428571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6"/>
        <v>28</v>
      </c>
      <c r="K549" s="137" t="s">
        <v>2070</v>
      </c>
      <c r="L549" s="31">
        <f t="shared" si="27"/>
        <v>0</v>
      </c>
      <c r="M549" s="32">
        <f t="shared" si="28"/>
        <v>1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6"/>
        <v>28</v>
      </c>
      <c r="K550" s="137" t="s">
        <v>2071</v>
      </c>
      <c r="L550" s="132">
        <f t="shared" si="27"/>
        <v>0</v>
      </c>
      <c r="M550" s="133">
        <f t="shared" si="28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6"/>
        <v>28</v>
      </c>
      <c r="K551" s="137" t="s">
        <v>2169</v>
      </c>
      <c r="L551" s="31">
        <f t="shared" si="27"/>
        <v>0</v>
      </c>
      <c r="M551" s="32">
        <f t="shared" si="28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6"/>
        <v>28</v>
      </c>
      <c r="K552" s="137" t="s">
        <v>2112</v>
      </c>
      <c r="L552" s="31">
        <f t="shared" si="27"/>
        <v>0</v>
      </c>
      <c r="M552" s="32">
        <f t="shared" si="28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6"/>
        <v>28</v>
      </c>
      <c r="K553" s="137" t="s">
        <v>2072</v>
      </c>
      <c r="L553" s="132">
        <f t="shared" si="27"/>
        <v>0</v>
      </c>
      <c r="M553" s="133">
        <f t="shared" si="28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6"/>
        <v>28</v>
      </c>
      <c r="K554" s="137" t="s">
        <v>2073</v>
      </c>
      <c r="L554" s="132">
        <f t="shared" si="27"/>
        <v>0</v>
      </c>
      <c r="M554" s="133">
        <f t="shared" si="28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6"/>
        <v>28</v>
      </c>
      <c r="K555" s="137" t="s">
        <v>2074</v>
      </c>
      <c r="L555" s="132">
        <f t="shared" si="27"/>
        <v>0</v>
      </c>
      <c r="M555" s="133">
        <f t="shared" si="28"/>
        <v>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6"/>
        <v>28</v>
      </c>
      <c r="K556" s="137" t="s">
        <v>2075</v>
      </c>
      <c r="L556" s="132">
        <f t="shared" si="27"/>
        <v>0</v>
      </c>
      <c r="M556" s="133">
        <f t="shared" si="28"/>
        <v>1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6"/>
        <v>28</v>
      </c>
      <c r="K557" s="137" t="s">
        <v>2158</v>
      </c>
      <c r="L557" s="132">
        <f t="shared" si="27"/>
        <v>0</v>
      </c>
      <c r="M557" s="133">
        <f t="shared" si="28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6"/>
        <v>26</v>
      </c>
      <c r="K558" s="137"/>
      <c r="L558" s="132">
        <f t="shared" si="27"/>
        <v>2</v>
      </c>
      <c r="M558" s="133">
        <f t="shared" si="28"/>
        <v>0.9285714285714286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6"/>
        <v>28</v>
      </c>
      <c r="K559" s="137" t="s">
        <v>2159</v>
      </c>
      <c r="L559" s="132">
        <f t="shared" si="27"/>
        <v>0</v>
      </c>
      <c r="M559" s="133">
        <f t="shared" si="28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6"/>
        <v>24</v>
      </c>
      <c r="K560" s="137" t="s">
        <v>2155</v>
      </c>
      <c r="L560" s="31">
        <f t="shared" si="27"/>
        <v>4</v>
      </c>
      <c r="M560" s="32">
        <f t="shared" si="28"/>
        <v>0.8571428571428571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6"/>
        <v>28</v>
      </c>
      <c r="K561" s="137" t="s">
        <v>2076</v>
      </c>
      <c r="L561" s="31">
        <f t="shared" si="27"/>
        <v>0</v>
      </c>
      <c r="M561" s="32">
        <f t="shared" si="28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6"/>
        <v>24</v>
      </c>
      <c r="K562" s="137" t="s">
        <v>2156</v>
      </c>
      <c r="L562" s="31">
        <f t="shared" si="27"/>
        <v>4</v>
      </c>
      <c r="M562" s="32">
        <f t="shared" si="28"/>
        <v>0.8571428571428571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6"/>
        <v>28</v>
      </c>
      <c r="K563" s="137" t="s">
        <v>2077</v>
      </c>
      <c r="L563" s="31">
        <f t="shared" si="27"/>
        <v>0</v>
      </c>
      <c r="M563" s="32">
        <f t="shared" si="28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6"/>
        <v>28</v>
      </c>
      <c r="K564" s="137" t="s">
        <v>2078</v>
      </c>
      <c r="L564" s="132">
        <f t="shared" si="27"/>
        <v>0</v>
      </c>
      <c r="M564" s="133">
        <f t="shared" si="28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6"/>
        <v>28</v>
      </c>
      <c r="K565" s="137" t="s">
        <v>2116</v>
      </c>
      <c r="L565" s="132">
        <f t="shared" si="27"/>
        <v>0</v>
      </c>
      <c r="M565" s="133">
        <f t="shared" si="28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6"/>
        <v>28</v>
      </c>
      <c r="K566" s="137" t="s">
        <v>2157</v>
      </c>
      <c r="L566" s="31">
        <f t="shared" si="27"/>
        <v>0</v>
      </c>
      <c r="M566" s="32">
        <f t="shared" si="28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6"/>
        <v>27</v>
      </c>
      <c r="K567" s="137" t="s">
        <v>2079</v>
      </c>
      <c r="L567" s="31">
        <f t="shared" si="27"/>
        <v>1</v>
      </c>
      <c r="M567" s="32">
        <f t="shared" si="28"/>
        <v>0.9642857142857143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6"/>
        <v>27</v>
      </c>
      <c r="K568" s="137" t="s">
        <v>2080</v>
      </c>
      <c r="L568" s="31">
        <f t="shared" si="27"/>
        <v>1</v>
      </c>
      <c r="M568" s="32">
        <f t="shared" si="28"/>
        <v>0.9642857142857143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6"/>
        <v>27</v>
      </c>
      <c r="K569" s="137" t="s">
        <v>2081</v>
      </c>
      <c r="L569" s="31">
        <f t="shared" si="27"/>
        <v>1</v>
      </c>
      <c r="M569" s="32">
        <f t="shared" si="28"/>
        <v>0.9642857142857143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6"/>
        <v>25</v>
      </c>
      <c r="K570" s="137" t="s">
        <v>2082</v>
      </c>
      <c r="L570" s="31">
        <f t="shared" si="27"/>
        <v>3</v>
      </c>
      <c r="M570" s="32">
        <f t="shared" si="28"/>
        <v>0.8928571428571429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6"/>
        <v>27</v>
      </c>
      <c r="K571" s="137" t="s">
        <v>2083</v>
      </c>
      <c r="L571" s="31">
        <f t="shared" si="27"/>
        <v>1</v>
      </c>
      <c r="M571" s="32">
        <f t="shared" si="28"/>
        <v>0.9642857142857143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6"/>
        <v>27</v>
      </c>
      <c r="K572" s="137" t="s">
        <v>2084</v>
      </c>
      <c r="L572" s="31">
        <f t="shared" si="27"/>
        <v>1</v>
      </c>
      <c r="M572" s="32">
        <f t="shared" si="28"/>
        <v>0.9642857142857143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6"/>
        <v>27</v>
      </c>
      <c r="K573" s="137" t="s">
        <v>2085</v>
      </c>
      <c r="L573" s="31">
        <f t="shared" si="27"/>
        <v>1</v>
      </c>
      <c r="M573" s="32">
        <f t="shared" si="28"/>
        <v>0.9642857142857143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6"/>
        <v>27</v>
      </c>
      <c r="K574" s="137" t="s">
        <v>2086</v>
      </c>
      <c r="L574" s="31">
        <f t="shared" si="27"/>
        <v>1</v>
      </c>
      <c r="M574" s="32">
        <f t="shared" si="28"/>
        <v>0.9642857142857143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6"/>
        <v>28</v>
      </c>
      <c r="K575" s="137" t="s">
        <v>2172</v>
      </c>
      <c r="L575" s="132">
        <f t="shared" si="27"/>
        <v>0</v>
      </c>
      <c r="M575" s="133">
        <f t="shared" si="28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6"/>
        <v>28</v>
      </c>
      <c r="K576" s="137" t="s">
        <v>2224</v>
      </c>
      <c r="L576" s="132">
        <f t="shared" si="27"/>
        <v>0</v>
      </c>
      <c r="M576" s="133">
        <f t="shared" si="28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6"/>
        <v>28</v>
      </c>
      <c r="K577" s="137"/>
      <c r="L577" s="132">
        <f t="shared" si="27"/>
        <v>0</v>
      </c>
      <c r="M577" s="133">
        <f t="shared" si="28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6"/>
        <v>28</v>
      </c>
      <c r="K578" s="137" t="s">
        <v>2173</v>
      </c>
      <c r="L578" s="31">
        <f t="shared" si="27"/>
        <v>0</v>
      </c>
      <c r="M578" s="32">
        <f t="shared" si="28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6"/>
        <v>25</v>
      </c>
      <c r="K579" s="137" t="s">
        <v>2174</v>
      </c>
      <c r="L579" s="31">
        <f t="shared" si="27"/>
        <v>3</v>
      </c>
      <c r="M579" s="32">
        <f t="shared" si="28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6"/>
        <v>28</v>
      </c>
      <c r="K580" s="137" t="s">
        <v>2175</v>
      </c>
      <c r="L580" s="31">
        <f t="shared" si="27"/>
        <v>0</v>
      </c>
      <c r="M580" s="32">
        <f t="shared" si="28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6"/>
        <v>28</v>
      </c>
      <c r="K581" s="137" t="s">
        <v>2088</v>
      </c>
      <c r="L581" s="31">
        <f t="shared" si="27"/>
        <v>0</v>
      </c>
      <c r="M581" s="32">
        <f t="shared" si="28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6"/>
        <v>28</v>
      </c>
      <c r="K582" s="137" t="s">
        <v>2087</v>
      </c>
      <c r="L582" s="31">
        <f t="shared" si="27"/>
        <v>0</v>
      </c>
      <c r="M582" s="32">
        <f t="shared" si="28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6"/>
        <v>28</v>
      </c>
      <c r="K583" s="137" t="s">
        <v>2089</v>
      </c>
      <c r="L583" s="31">
        <f t="shared" si="27"/>
        <v>0</v>
      </c>
      <c r="M583" s="32">
        <f t="shared" si="28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6"/>
        <v>28</v>
      </c>
      <c r="K584" s="137" t="s">
        <v>2154</v>
      </c>
      <c r="L584" s="31">
        <f t="shared" si="27"/>
        <v>0</v>
      </c>
      <c r="M584" s="32">
        <f t="shared" si="28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6"/>
        <v>28</v>
      </c>
      <c r="K585" s="137" t="s">
        <v>2090</v>
      </c>
      <c r="L585" s="132">
        <f t="shared" si="27"/>
        <v>0</v>
      </c>
      <c r="M585" s="133">
        <f t="shared" si="28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6"/>
        <v>28</v>
      </c>
      <c r="K586" s="137" t="s">
        <v>2091</v>
      </c>
      <c r="L586" s="132">
        <f t="shared" si="27"/>
        <v>0</v>
      </c>
      <c r="M586" s="133">
        <f t="shared" si="28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6"/>
        <v>28</v>
      </c>
      <c r="K587" s="137" t="s">
        <v>2092</v>
      </c>
      <c r="L587" s="132">
        <f t="shared" si="27"/>
        <v>0</v>
      </c>
      <c r="M587" s="133">
        <f t="shared" si="28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6"/>
        <v>24</v>
      </c>
      <c r="K588" s="137" t="s">
        <v>2093</v>
      </c>
      <c r="L588" s="132">
        <f t="shared" si="27"/>
        <v>4</v>
      </c>
      <c r="M588" s="133">
        <f t="shared" si="28"/>
        <v>0.8571428571428571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6"/>
        <v>28</v>
      </c>
      <c r="K589" s="137" t="s">
        <v>2094</v>
      </c>
      <c r="L589" s="132">
        <f t="shared" si="27"/>
        <v>0</v>
      </c>
      <c r="M589" s="133">
        <f t="shared" si="28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6"/>
        <v>28</v>
      </c>
      <c r="K590" s="137" t="s">
        <v>2095</v>
      </c>
      <c r="L590" s="132">
        <f t="shared" si="27"/>
        <v>0</v>
      </c>
      <c r="M590" s="133">
        <f t="shared" si="28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6"/>
        <v>28</v>
      </c>
      <c r="K591" s="137" t="s">
        <v>2096</v>
      </c>
      <c r="L591" s="132">
        <f t="shared" si="27"/>
        <v>0</v>
      </c>
      <c r="M591" s="133">
        <f t="shared" si="28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6"/>
        <v>28</v>
      </c>
      <c r="K592" s="137" t="s">
        <v>2099</v>
      </c>
      <c r="L592" s="132">
        <f t="shared" si="27"/>
        <v>0</v>
      </c>
      <c r="M592" s="133">
        <f t="shared" si="28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6"/>
        <v>28</v>
      </c>
      <c r="K593" s="137" t="s">
        <v>2250</v>
      </c>
      <c r="L593" s="132">
        <f t="shared" si="27"/>
        <v>0</v>
      </c>
      <c r="M593" s="133">
        <f t="shared" si="28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/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144" priority="539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143" priority="538" operator="equal">
      <formula>$C$297</formula>
    </cfRule>
  </conditionalFormatting>
  <conditionalFormatting sqref="C1:C593 D20:D21 D162:D163 D221:D222 D257 D281:D284 D294:D296 D400:D404 D416:D418 D421:D422 C675:C1048576">
    <cfRule type="cellIs" dxfId="142" priority="84" operator="equal">
      <formula>"IPCOMS"</formula>
    </cfRule>
  </conditionalFormatting>
  <conditionalFormatting sqref="E1:E565 E580:E593 E675:E1048576">
    <cfRule type="containsText" dxfId="141" priority="544" operator="containsText" text="fija">
      <formula>NOT(ISERROR(SEARCH("fija",E1)))</formula>
    </cfRule>
    <cfRule type="containsText" dxfId="140" priority="545" operator="containsText" text="domo">
      <formula>NOT(ISERROR(SEARCH("domo",E1)))</formula>
    </cfRule>
  </conditionalFormatting>
  <conditionalFormatting sqref="E1:E593 E675:E1048576">
    <cfRule type="cellIs" dxfId="139" priority="540" operator="equal">
      <formula>$E$10</formula>
    </cfRule>
  </conditionalFormatting>
  <conditionalFormatting sqref="E34 E233:I398">
    <cfRule type="containsText" dxfId="138" priority="12" operator="containsText" text="Radio">
      <formula>NOT(ISERROR(SEARCH("Radio",E34)))</formula>
    </cfRule>
  </conditionalFormatting>
  <conditionalFormatting sqref="E134:E147 G147:I147">
    <cfRule type="containsText" dxfId="137" priority="26" operator="containsText" text="Radio">
      <formula>NOT(ISERROR(SEARCH("Radio",E134)))</formula>
    </cfRule>
  </conditionalFormatting>
  <conditionalFormatting sqref="E400:E404">
    <cfRule type="containsText" dxfId="136" priority="45" operator="containsText" text="Radio">
      <formula>NOT(ISERROR(SEARCH("Radio",E400)))</formula>
    </cfRule>
  </conditionalFormatting>
  <conditionalFormatting sqref="E567">
    <cfRule type="containsText" dxfId="135" priority="487" operator="containsText" text="Radio">
      <formula>NOT(ISERROR(SEARCH("Radio",E567)))</formula>
    </cfRule>
    <cfRule type="containsText" dxfId="134" priority="486" operator="containsText" text="domo">
      <formula>NOT(ISERROR(SEARCH("domo",E567)))</formula>
    </cfRule>
    <cfRule type="containsText" dxfId="133" priority="485" operator="containsText" text="fija">
      <formula>NOT(ISERROR(SEARCH("fija",E567)))</formula>
    </cfRule>
  </conditionalFormatting>
  <conditionalFormatting sqref="E567:E568">
    <cfRule type="containsText" dxfId="132" priority="480" operator="containsText" text="fija">
      <formula>NOT(ISERROR(SEARCH("fija",E567)))</formula>
    </cfRule>
    <cfRule type="containsText" dxfId="131" priority="481" operator="containsText" text="domo">
      <formula>NOT(ISERROR(SEARCH("domo",E567)))</formula>
    </cfRule>
  </conditionalFormatting>
  <conditionalFormatting sqref="E568">
    <cfRule type="containsText" dxfId="130" priority="478" operator="containsText" text="fija">
      <formula>NOT(ISERROR(SEARCH("fija",E568)))</formula>
    </cfRule>
    <cfRule type="containsText" dxfId="129" priority="482" operator="containsText" text="Radio">
      <formula>NOT(ISERROR(SEARCH("Radio",E568)))</formula>
    </cfRule>
    <cfRule type="containsText" dxfId="128" priority="479" operator="containsText" text="domo">
      <formula>NOT(ISERROR(SEARCH("domo",E568)))</formula>
    </cfRule>
  </conditionalFormatting>
  <conditionalFormatting sqref="E571">
    <cfRule type="containsText" dxfId="127" priority="475" operator="containsText" text="fija">
      <formula>NOT(ISERROR(SEARCH("fija",E571)))</formula>
    </cfRule>
    <cfRule type="containsText" dxfId="126" priority="476" operator="containsText" text="domo">
      <formula>NOT(ISERROR(SEARCH("domo",E571)))</formula>
    </cfRule>
    <cfRule type="containsText" dxfId="125" priority="477" operator="containsText" text="Radio">
      <formula>NOT(ISERROR(SEARCH("Radio",E571)))</formula>
    </cfRule>
  </conditionalFormatting>
  <conditionalFormatting sqref="E571:E572">
    <cfRule type="containsText" dxfId="124" priority="471" operator="containsText" text="domo">
      <formula>NOT(ISERROR(SEARCH("domo",E571)))</formula>
    </cfRule>
    <cfRule type="containsText" dxfId="123" priority="470" operator="containsText" text="fija">
      <formula>NOT(ISERROR(SEARCH("fija",E571)))</formula>
    </cfRule>
  </conditionalFormatting>
  <conditionalFormatting sqref="E572 E47:I133 F134:F135 E160:I229 E231:F232 E399:F399 F400:F404 E405:I420 E421:F422 E423:I565 E580:I593 E675:I1048576 H399:I399 G399:G404">
    <cfRule type="containsText" dxfId="122" priority="472" operator="containsText" text="Radio">
      <formula>NOT(ISERROR(SEARCH("Radio",E47)))</formula>
    </cfRule>
  </conditionalFormatting>
  <conditionalFormatting sqref="E572:E573">
    <cfRule type="containsText" dxfId="121" priority="466" operator="containsText" text="domo">
      <formula>NOT(ISERROR(SEARCH("domo",E572)))</formula>
    </cfRule>
    <cfRule type="containsText" dxfId="120" priority="465" operator="containsText" text="fija">
      <formula>NOT(ISERROR(SEARCH("fija",E572)))</formula>
    </cfRule>
  </conditionalFormatting>
  <conditionalFormatting sqref="E573">
    <cfRule type="containsText" dxfId="119" priority="467" operator="containsText" text="Radio">
      <formula>NOT(ISERROR(SEARCH("Radio",E573)))</formula>
    </cfRule>
  </conditionalFormatting>
  <conditionalFormatting sqref="E573:E574">
    <cfRule type="containsText" dxfId="118" priority="461" operator="containsText" text="domo">
      <formula>NOT(ISERROR(SEARCH("domo",E573)))</formula>
    </cfRule>
    <cfRule type="containsText" dxfId="117" priority="460" operator="containsText" text="fija">
      <formula>NOT(ISERROR(SEARCH("fija",E573)))</formula>
    </cfRule>
  </conditionalFormatting>
  <conditionalFormatting sqref="E574">
    <cfRule type="containsText" dxfId="116" priority="462" operator="containsText" text="Radio">
      <formula>NOT(ISERROR(SEARCH("Radio",E574)))</formula>
    </cfRule>
    <cfRule type="containsText" dxfId="115" priority="459" operator="containsText" text="domo">
      <formula>NOT(ISERROR(SEARCH("domo",E574)))</formula>
    </cfRule>
    <cfRule type="containsText" dxfId="114" priority="458" operator="containsText" text="fija">
      <formula>NOT(ISERROR(SEARCH("fija",E574)))</formula>
    </cfRule>
  </conditionalFormatting>
  <conditionalFormatting sqref="E578">
    <cfRule type="containsText" dxfId="113" priority="757" operator="containsText" text="domo">
      <formula>NOT(ISERROR(SEARCH("domo",E578)))</formula>
    </cfRule>
    <cfRule type="containsText" dxfId="112" priority="756" operator="containsText" text="fija">
      <formula>NOT(ISERROR(SEARCH("fija",E578)))</formula>
    </cfRule>
  </conditionalFormatting>
  <conditionalFormatting sqref="E581:E584">
    <cfRule type="containsText" dxfId="111" priority="488" operator="containsText" text="fija">
      <formula>NOT(ISERROR(SEARCH("fija",E581)))</formula>
    </cfRule>
    <cfRule type="containsText" dxfId="110" priority="489" operator="containsText" text="domo">
      <formula>NOT(ISERROR(SEARCH("domo",E581)))</formula>
    </cfRule>
  </conditionalFormatting>
  <conditionalFormatting sqref="E230:F230">
    <cfRule type="containsText" dxfId="109" priority="47" operator="containsText" text="Radio">
      <formula>NOT(ISERROR(SEARCH("Radio",E230)))</formula>
    </cfRule>
  </conditionalFormatting>
  <conditionalFormatting sqref="E36:G46">
    <cfRule type="containsText" dxfId="108" priority="17" operator="containsText" text="Radio">
      <formula>NOT(ISERROR(SEARCH("Radio",E36)))</formula>
    </cfRule>
  </conditionalFormatting>
  <conditionalFormatting sqref="E1:I35">
    <cfRule type="containsText" dxfId="107" priority="82" operator="containsText" text="Radio">
      <formula>NOT(ISERROR(SEARCH("Radio",E1)))</formula>
    </cfRule>
  </conditionalFormatting>
  <conditionalFormatting sqref="E148:I159">
    <cfRule type="containsText" dxfId="106" priority="20" operator="containsText" text="Radio">
      <formula>NOT(ISERROR(SEARCH("Radio",E148)))</formula>
    </cfRule>
  </conditionalFormatting>
  <conditionalFormatting sqref="E578:I578 F579">
    <cfRule type="containsText" dxfId="105" priority="1013" operator="containsText" text="Radio">
      <formula>NOT(ISERROR(SEARCH("Radio",E578)))</formula>
    </cfRule>
  </conditionalFormatting>
  <conditionalFormatting sqref="F1:F135 F160:F593 F675:F1048576">
    <cfRule type="cellIs" dxfId="104" priority="85" operator="equal">
      <formula>"GPON"</formula>
    </cfRule>
    <cfRule type="cellIs" dxfId="103" priority="86" operator="equal">
      <formula>"GPON"</formula>
    </cfRule>
  </conditionalFormatting>
  <conditionalFormatting sqref="F138">
    <cfRule type="cellIs" dxfId="102" priority="73" operator="equal">
      <formula>"GPON"</formula>
    </cfRule>
    <cfRule type="containsText" dxfId="101" priority="75" operator="containsText" text="Radio">
      <formula>NOT(ISERROR(SEARCH("Radio",F138)))</formula>
    </cfRule>
    <cfRule type="cellIs" dxfId="100" priority="76" operator="equal">
      <formula>$F$13</formula>
    </cfRule>
    <cfRule type="cellIs" dxfId="99" priority="77" operator="equal">
      <formula>"PTP A FO"</formula>
    </cfRule>
    <cfRule type="cellIs" dxfId="98" priority="78" operator="equal">
      <formula>"PTP A FO"</formula>
    </cfRule>
    <cfRule type="cellIs" dxfId="97" priority="74" operator="equal">
      <formula>"GPON"</formula>
    </cfRule>
  </conditionalFormatting>
  <conditionalFormatting sqref="F141:F148">
    <cfRule type="cellIs" dxfId="96" priority="51" operator="equal">
      <formula>$F$13</formula>
    </cfRule>
    <cfRule type="containsText" dxfId="95" priority="50" operator="containsText" text="Radio">
      <formula>NOT(ISERROR(SEARCH("Radio",F141)))</formula>
    </cfRule>
    <cfRule type="cellIs" dxfId="94" priority="53" operator="equal">
      <formula>"PTP A FO"</formula>
    </cfRule>
    <cfRule type="cellIs" dxfId="93" priority="52" operator="equal">
      <formula>"PTP A FO"</formula>
    </cfRule>
  </conditionalFormatting>
  <conditionalFormatting sqref="F141:F159">
    <cfRule type="cellIs" dxfId="92" priority="18" operator="equal">
      <formula>"GPON"</formula>
    </cfRule>
    <cfRule type="cellIs" dxfId="91" priority="19" operator="equal">
      <formula>"GPON"</formula>
    </cfRule>
  </conditionalFormatting>
  <conditionalFormatting sqref="F145:F146">
    <cfRule type="containsText" dxfId="90" priority="13" operator="containsText" text="Radio">
      <formula>NOT(ISERROR(SEARCH("Radio",F145)))</formula>
    </cfRule>
    <cfRule type="cellIs" dxfId="89" priority="14" operator="equal">
      <formula>$F$13</formula>
    </cfRule>
    <cfRule type="cellIs" dxfId="88" priority="15" operator="equal">
      <formula>"PTP A FO"</formula>
    </cfRule>
    <cfRule type="cellIs" dxfId="87" priority="16" operator="equal">
      <formula>"PTP A FO"</formula>
    </cfRule>
  </conditionalFormatting>
  <conditionalFormatting sqref="F230:F232">
    <cfRule type="cellIs" dxfId="86" priority="66" operator="equal">
      <formula>"PTP A FO"</formula>
    </cfRule>
    <cfRule type="cellIs" dxfId="85" priority="65" operator="equal">
      <formula>"PTP A FO"</formula>
    </cfRule>
    <cfRule type="cellIs" dxfId="84" priority="64" operator="equal">
      <formula>$F$13</formula>
    </cfRule>
  </conditionalFormatting>
  <conditionalFormatting sqref="F231:F232">
    <cfRule type="cellIs" dxfId="83" priority="62" operator="equal">
      <formula>"PTP A FO"</formula>
    </cfRule>
    <cfRule type="cellIs" dxfId="82" priority="61" operator="equal">
      <formula>"PTP A FO"</formula>
    </cfRule>
    <cfRule type="cellIs" dxfId="81" priority="60" operator="equal">
      <formula>$F$13</formula>
    </cfRule>
  </conditionalFormatting>
  <conditionalFormatting sqref="F421:F422">
    <cfRule type="cellIs" dxfId="80" priority="72" operator="equal">
      <formula>"PTP A FO"</formula>
    </cfRule>
    <cfRule type="cellIs" dxfId="79" priority="71" operator="equal">
      <formula>"PTP A FO"</formula>
    </cfRule>
    <cfRule type="cellIs" dxfId="78" priority="70" operator="equal">
      <formula>$F$13</formula>
    </cfRule>
    <cfRule type="containsText" dxfId="77" priority="69" operator="containsText" text="Radio">
      <formula>NOT(ISERROR(SEARCH("Radio",F421)))</formula>
    </cfRule>
  </conditionalFormatting>
  <conditionalFormatting sqref="F566">
    <cfRule type="cellIs" dxfId="76" priority="136" operator="equal">
      <formula>"PTP A FO"</formula>
    </cfRule>
    <cfRule type="containsText" dxfId="75" priority="135" operator="containsText" text="Radio">
      <formula>NOT(ISERROR(SEARCH("Radio",F566)))</formula>
    </cfRule>
  </conditionalFormatting>
  <conditionalFormatting sqref="F1:G133 F134:F135 F160:G229 F233:G420 F421:F422 F423:G565 F578:G578 F579 F580:G593 F675:G1048576">
    <cfRule type="cellIs" dxfId="74" priority="737" operator="equal">
      <formula>"PTP A FO"</formula>
    </cfRule>
  </conditionalFormatting>
  <conditionalFormatting sqref="F1:G133 F134:F135 F160:G229 F233:G420 F421:F422 F423:G593 F675:G1048576">
    <cfRule type="cellIs" dxfId="73" priority="541" operator="equal">
      <formula>$F$13</formula>
    </cfRule>
    <cfRule type="cellIs" dxfId="72" priority="542" operator="equal">
      <formula>"PTP A FO"</formula>
    </cfRule>
  </conditionalFormatting>
  <conditionalFormatting sqref="F148:G159">
    <cfRule type="cellIs" dxfId="71" priority="22" operator="equal">
      <formula>"PTP A FO"</formula>
    </cfRule>
    <cfRule type="cellIs" dxfId="70" priority="21" operator="equal">
      <formula>$F$13</formula>
    </cfRule>
    <cfRule type="cellIs" dxfId="69" priority="23" operator="equal">
      <formula>"PTP A FO"</formula>
    </cfRule>
  </conditionalFormatting>
  <conditionalFormatting sqref="G147">
    <cfRule type="cellIs" dxfId="68" priority="29" operator="equal">
      <formula>"PTP A FO"</formula>
    </cfRule>
    <cfRule type="cellIs" dxfId="67" priority="28" operator="equal">
      <formula>"PTP A FO"</formula>
    </cfRule>
    <cfRule type="cellIs" dxfId="66" priority="27" operator="equal">
      <formula>$F$13</formula>
    </cfRule>
  </conditionalFormatting>
  <conditionalFormatting sqref="M7:M593">
    <cfRule type="cellIs" dxfId="65" priority="972" operator="lessThan">
      <formula>0.8</formula>
    </cfRule>
    <cfRule type="cellIs" dxfId="64" priority="973" operator="greaterThan">
      <formula>0.8</formula>
    </cfRule>
  </conditionalFormatting>
  <conditionalFormatting sqref="N8:AO35 AP8:AQ229 N36:AE36 AG36:AO36 N37:AO93 N94:AH94 AJ94:AO94 N95:AO119 N120:V120 X120:AO120 N121:AO229 AA230:AA232 N233:AO324 AP233:AQ399 N325:V325 X325:AO325 N326:AO348 N349:AC349 AE349:AO349 N350:AO399 O400:P400 N400:N405 O401:O404 P401:P405 N405:O405 Q405:AO405 AP405:AQ420 N406:AO413 P414:AO420 N414:O422 N423:AQ593 AJ675:AQ1048576">
    <cfRule type="cellIs" dxfId="63" priority="118" operator="equal">
      <formula>"APAGADO"</formula>
    </cfRule>
  </conditionalFormatting>
  <conditionalFormatting sqref="N675:AQ751 X675:AI1048576">
    <cfRule type="cellIs" dxfId="62" priority="119" operator="equal">
      <formula>"apagado"</formula>
    </cfRule>
  </conditionalFormatting>
  <conditionalFormatting sqref="N675:AQ1048576">
    <cfRule type="containsText" dxfId="61" priority="669" operator="containsText" text="Caida">
      <formula>NOT(ISERROR(SEARCH("Caida",N675)))</formula>
    </cfRule>
    <cfRule type="notContainsText" dxfId="60" priority="1002" operator="notContains" text="Caida">
      <formula>ISERROR(SEARCH("Caida",N675))</formula>
    </cfRule>
  </conditionalFormatting>
  <conditionalFormatting sqref="P675:P1194">
    <cfRule type="cellIs" dxfId="59" priority="428" operator="equal">
      <formula>"APAGADO"</formula>
    </cfRule>
    <cfRule type="cellIs" dxfId="58" priority="324" operator="greaterThan">
      <formula>0.8</formula>
    </cfRule>
    <cfRule type="cellIs" dxfId="57" priority="301" operator="greaterThan">
      <formula>0.8</formula>
    </cfRule>
    <cfRule type="cellIs" dxfId="56" priority="300" operator="lessThan">
      <formula>0.8</formula>
    </cfRule>
    <cfRule type="containsText" dxfId="55" priority="299" operator="containsText" text="Caida">
      <formula>NOT(ISERROR(SEARCH("Caida",P675)))</formula>
    </cfRule>
    <cfRule type="notContainsText" dxfId="54" priority="298" operator="notContains" text="Caida">
      <formula>ISERROR(SEARCH("Caida",P675))</formula>
    </cfRule>
  </conditionalFormatting>
  <conditionalFormatting sqref="P675:P1048576">
    <cfRule type="cellIs" dxfId="53" priority="318" operator="equal">
      <formula>$P$16</formula>
    </cfRule>
  </conditionalFormatting>
  <conditionalFormatting sqref="S403:U404">
    <cfRule type="cellIs" dxfId="52" priority="1" operator="equal">
      <formula>"APAGADO"</formula>
    </cfRule>
  </conditionalFormatting>
  <conditionalFormatting sqref="Y403">
    <cfRule type="cellIs" dxfId="51" priority="11" operator="equal">
      <formula>"APAGADO"</formula>
    </cfRule>
  </conditionalFormatting>
  <conditionalFormatting sqref="AQ403:AQ404">
    <cfRule type="cellIs" dxfId="50" priority="7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>
        <f>'RESUMEN TOTAL'!Z19</f>
        <v>0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>
        <f>'RESUMEN TOTAL'!Z90</f>
        <v>0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>
        <f>'RESUMEN TOTAL'!Z95</f>
        <v>0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>
        <f>'RESUMEN TOTAL'!AA131</f>
        <v>0</v>
      </c>
      <c r="T109" s="70">
        <f>'RESUMEN TOTAL'!AB131</f>
        <v>0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>
        <f>'RESUMEN TOTAL'!Z152</f>
        <v>0</v>
      </c>
      <c r="S116" s="70">
        <f>'RESUMEN TOTAL'!AA152</f>
        <v>0</v>
      </c>
      <c r="T116" s="70">
        <f>'RESUMEN TOTAL'!AB152</f>
        <v>0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>
        <f>'RESUMEN TOTAL'!Z187</f>
        <v>0</v>
      </c>
      <c r="S144" s="70">
        <f>'RESUMEN TOTAL'!AA187</f>
        <v>0</v>
      </c>
      <c r="T144" s="70">
        <f>'RESUMEN TOTAL'!AB187</f>
        <v>0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>
        <f>'RESUMEN TOTAL'!Z188</f>
        <v>0</v>
      </c>
      <c r="S145" s="70">
        <f>'RESUMEN TOTAL'!AA188</f>
        <v>0</v>
      </c>
      <c r="T145" s="70">
        <f>'RESUMEN TOTAL'!AB188</f>
        <v>0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>
        <f>'RESUMEN TOTAL'!Z197</f>
        <v>0</v>
      </c>
      <c r="S148" s="70">
        <f>'RESUMEN TOTAL'!AA197</f>
        <v>0</v>
      </c>
      <c r="T148" s="70">
        <f>'RESUMEN TOTAL'!AB197</f>
        <v>0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>
        <f>'RESUMEN TOTAL'!Z199</f>
        <v>0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>
        <f>'RESUMEN TOTAL'!Z250</f>
        <v>0</v>
      </c>
      <c r="S192" s="70">
        <f>'RESUMEN TOTAL'!AA250</f>
        <v>0</v>
      </c>
      <c r="T192" s="70">
        <f>'RESUMEN TOTAL'!AB250</f>
        <v>0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>
        <f>'RESUMEN TOTAL'!Z254</f>
        <v>0</v>
      </c>
      <c r="S196" s="70">
        <f>'RESUMEN TOTAL'!AA254</f>
        <v>0</v>
      </c>
      <c r="T196" s="70">
        <f>'RESUMEN TOTAL'!AB254</f>
        <v>0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>
        <f>'RESUMEN TOTAL'!Z267</f>
        <v>0</v>
      </c>
      <c r="S204" s="70">
        <f>'RESUMEN TOTAL'!AA267</f>
        <v>0</v>
      </c>
      <c r="T204" s="70">
        <f>'RESUMEN TOTAL'!AB267</f>
        <v>0</v>
      </c>
      <c r="U204" s="70">
        <f>'RESUMEN TOTAL'!AC267</f>
        <v>0</v>
      </c>
      <c r="V204" s="70">
        <f>'RESUMEN TOTAL'!AD267</f>
        <v>0</v>
      </c>
      <c r="W204" s="70">
        <f>'RESUMEN TOTAL'!AE267</f>
        <v>0</v>
      </c>
      <c r="X204" s="70">
        <f>'RESUMEN TOTAL'!AF267</f>
        <v>0</v>
      </c>
      <c r="Y204" s="70">
        <f>'RESUMEN TOTAL'!AG267</f>
        <v>0</v>
      </c>
      <c r="Z204" s="70">
        <f>'RESUMEN TOTAL'!AH267</f>
        <v>0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>
        <f>'RESUMEN TOTAL'!AA268</f>
        <v>0</v>
      </c>
      <c r="T205" s="70">
        <f>'RESUMEN TOTAL'!AB268</f>
        <v>0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>
        <f>'RESUMEN TOTAL'!Z274</f>
        <v>0</v>
      </c>
      <c r="S211" s="70">
        <f>'RESUMEN TOTAL'!AA274</f>
        <v>0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>
        <f>'RESUMEN TOTAL'!AA275</f>
        <v>0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>
        <f>'RESUMEN TOTAL'!AA278</f>
        <v>0</v>
      </c>
      <c r="T215" s="70">
        <f>'RESUMEN TOTAL'!AB278</f>
        <v>0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>
        <f>'RESUMEN TOTAL'!AA279</f>
        <v>0</v>
      </c>
      <c r="T216" s="70">
        <f>'RESUMEN TOTAL'!AB279</f>
        <v>0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>
        <f>'RESUMEN TOTAL'!AG287</f>
        <v>0</v>
      </c>
      <c r="Z220" s="70">
        <f>'RESUMEN TOTAL'!AH287</f>
        <v>0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>
        <f>'RESUMEN TOTAL'!AD297</f>
        <v>0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>
        <f>'RESUMEN TOTAL'!AD298</f>
        <v>0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>
        <f>'RESUMEN TOTAL'!AD299</f>
        <v>0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>
        <f>'RESUMEN TOTAL'!AD300</f>
        <v>0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>
        <f>'RESUMEN TOTAL'!AD301</f>
        <v>0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>
        <f>'RESUMEN TOTAL'!Z302</f>
        <v>0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>
        <f>'RESUMEN TOTAL'!Z303</f>
        <v>0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>
        <f>'RESUMEN TOTAL'!Z304</f>
        <v>0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>
        <f>'RESUMEN TOTAL'!Z305</f>
        <v>0</v>
      </c>
      <c r="S235" s="70">
        <f>'RESUMEN TOTAL'!AA305</f>
        <v>0</v>
      </c>
      <c r="T235" s="70">
        <f>'RESUMEN TOTAL'!AB305</f>
        <v>0</v>
      </c>
      <c r="U235" s="70">
        <f>'RESUMEN TOTAL'!AC305</f>
        <v>0</v>
      </c>
      <c r="V235" s="70">
        <f>'RESUMEN TOTAL'!AD305</f>
        <v>0</v>
      </c>
      <c r="W235" s="70">
        <f>'RESUMEN TOTAL'!AE305</f>
        <v>0</v>
      </c>
      <c r="X235" s="70">
        <f>'RESUMEN TOTAL'!AF305</f>
        <v>0</v>
      </c>
      <c r="Y235" s="70">
        <f>'RESUMEN TOTAL'!AG305</f>
        <v>0</v>
      </c>
      <c r="Z235" s="70">
        <f>'RESUMEN TOTAL'!AH305</f>
        <v>0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>
        <f>'RESUMEN TOTAL'!Z306</f>
        <v>0</v>
      </c>
      <c r="S236" s="70">
        <f>'RESUMEN TOTAL'!AA306</f>
        <v>0</v>
      </c>
      <c r="T236" s="70">
        <f>'RESUMEN TOTAL'!AB306</f>
        <v>0</v>
      </c>
      <c r="U236" s="70">
        <f>'RESUMEN TOTAL'!AC306</f>
        <v>0</v>
      </c>
      <c r="V236" s="70">
        <f>'RESUMEN TOTAL'!AD306</f>
        <v>0</v>
      </c>
      <c r="W236" s="70">
        <f>'RESUMEN TOTAL'!AE306</f>
        <v>0</v>
      </c>
      <c r="X236" s="70">
        <f>'RESUMEN TOTAL'!AF306</f>
        <v>0</v>
      </c>
      <c r="Y236" s="70">
        <f>'RESUMEN TOTAL'!AG306</f>
        <v>0</v>
      </c>
      <c r="Z236" s="70">
        <f>'RESUMEN TOTAL'!AH306</f>
        <v>0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>
        <f>'RESUMEN TOTAL'!Z307</f>
        <v>0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>
        <f>'RESUMEN TOTAL'!AB309</f>
        <v>0</v>
      </c>
      <c r="U239" s="70">
        <f>'RESUMEN TOTAL'!AC309</f>
        <v>0</v>
      </c>
      <c r="V239" s="70">
        <f>'RESUMEN TOTAL'!AD309</f>
        <v>0</v>
      </c>
      <c r="W239" s="70">
        <f>'RESUMEN TOTAL'!AE309</f>
        <v>0</v>
      </c>
      <c r="X239" s="70">
        <f>'RESUMEN TOTAL'!AF309</f>
        <v>0</v>
      </c>
      <c r="Y239" s="70">
        <f>'RESUMEN TOTAL'!AG309</f>
        <v>0</v>
      </c>
      <c r="Z239" s="70">
        <f>'RESUMEN TOTAL'!AH309</f>
        <v>0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>
        <f>'RESUMEN TOTAL'!AA310</f>
        <v>0</v>
      </c>
      <c r="T240" s="70">
        <f>'RESUMEN TOTAL'!AB310</f>
        <v>0</v>
      </c>
      <c r="U240" s="70">
        <f>'RESUMEN TOTAL'!AC310</f>
        <v>0</v>
      </c>
      <c r="V240" s="70">
        <f>'RESUMEN TOTAL'!AD310</f>
        <v>0</v>
      </c>
      <c r="W240" s="70">
        <f>'RESUMEN TOTAL'!AE310</f>
        <v>0</v>
      </c>
      <c r="X240" s="70">
        <f>'RESUMEN TOTAL'!AF310</f>
        <v>0</v>
      </c>
      <c r="Y240" s="70">
        <f>'RESUMEN TOTAL'!AG310</f>
        <v>0</v>
      </c>
      <c r="Z240" s="70">
        <f>'RESUMEN TOTAL'!AH310</f>
        <v>0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>
        <f>'RESUMEN TOTAL'!Z318</f>
        <v>0</v>
      </c>
      <c r="S248" s="70">
        <f>'RESUMEN TOTAL'!AA318</f>
        <v>0</v>
      </c>
      <c r="T248" s="70">
        <f>'RESUMEN TOTAL'!AB318</f>
        <v>0</v>
      </c>
      <c r="U248" s="70">
        <f>'RESUMEN TOTAL'!AC318</f>
        <v>0</v>
      </c>
      <c r="V248" s="70">
        <f>'RESUMEN TOTAL'!AD318</f>
        <v>0</v>
      </c>
      <c r="W248" s="70">
        <f>'RESUMEN TOTAL'!AE318</f>
        <v>0</v>
      </c>
      <c r="X248" s="70">
        <f>'RESUMEN TOTAL'!AF318</f>
        <v>0</v>
      </c>
      <c r="Y248" s="70">
        <f>'RESUMEN TOTAL'!AG318</f>
        <v>0</v>
      </c>
      <c r="Z248" s="70">
        <f>'RESUMEN TOTAL'!AH318</f>
        <v>0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>
        <f>'RESUMEN TOTAL'!Z320</f>
        <v>0</v>
      </c>
      <c r="S250" s="70">
        <f>'RESUMEN TOTAL'!AA320</f>
        <v>0</v>
      </c>
      <c r="T250" s="70">
        <f>'RESUMEN TOTAL'!AB320</f>
        <v>0</v>
      </c>
      <c r="U250" s="70">
        <f>'RESUMEN TOTAL'!AC320</f>
        <v>0</v>
      </c>
      <c r="V250" s="70">
        <f>'RESUMEN TOTAL'!AD320</f>
        <v>0</v>
      </c>
      <c r="W250" s="70">
        <f>'RESUMEN TOTAL'!AE320</f>
        <v>0</v>
      </c>
      <c r="X250" s="70">
        <f>'RESUMEN TOTAL'!AF320</f>
        <v>0</v>
      </c>
      <c r="Y250" s="70">
        <f>'RESUMEN TOTAL'!AG320</f>
        <v>0</v>
      </c>
      <c r="Z250" s="70">
        <f>'RESUMEN TOTAL'!AH320</f>
        <v>0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>
        <f>'RESUMEN TOTAL'!Z321</f>
        <v>0</v>
      </c>
      <c r="S251" s="70">
        <f>'RESUMEN TOTAL'!AA321</f>
        <v>0</v>
      </c>
      <c r="T251" s="70">
        <f>'RESUMEN TOTAL'!AB321</f>
        <v>0</v>
      </c>
      <c r="U251" s="70">
        <f>'RESUMEN TOTAL'!AC321</f>
        <v>0</v>
      </c>
      <c r="V251" s="70">
        <f>'RESUMEN TOTAL'!AD321</f>
        <v>0</v>
      </c>
      <c r="W251" s="70">
        <f>'RESUMEN TOTAL'!AE321</f>
        <v>0</v>
      </c>
      <c r="X251" s="70">
        <f>'RESUMEN TOTAL'!AF321</f>
        <v>0</v>
      </c>
      <c r="Y251" s="70">
        <f>'RESUMEN TOTAL'!AG321</f>
        <v>0</v>
      </c>
      <c r="Z251" s="70">
        <f>'RESUMEN TOTAL'!AH321</f>
        <v>0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>
        <f>'RESUMEN TOTAL'!Z322</f>
        <v>0</v>
      </c>
      <c r="S252" s="70">
        <f>'RESUMEN TOTAL'!AA322</f>
        <v>0</v>
      </c>
      <c r="T252" s="70">
        <f>'RESUMEN TOTAL'!AB322</f>
        <v>0</v>
      </c>
      <c r="U252" s="70">
        <f>'RESUMEN TOTAL'!AC322</f>
        <v>0</v>
      </c>
      <c r="V252" s="70">
        <f>'RESUMEN TOTAL'!AD322</f>
        <v>0</v>
      </c>
      <c r="W252" s="70">
        <f>'RESUMEN TOTAL'!AE322</f>
        <v>0</v>
      </c>
      <c r="X252" s="70">
        <f>'RESUMEN TOTAL'!AF322</f>
        <v>0</v>
      </c>
      <c r="Y252" s="70">
        <f>'RESUMEN TOTAL'!AG322</f>
        <v>0</v>
      </c>
      <c r="Z252" s="70">
        <f>'RESUMEN TOTAL'!AH322</f>
        <v>0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>
        <f>'RESUMEN TOTAL'!Z323</f>
        <v>0</v>
      </c>
      <c r="S253" s="70">
        <f>'RESUMEN TOTAL'!AA323</f>
        <v>0</v>
      </c>
      <c r="T253" s="70">
        <f>'RESUMEN TOTAL'!AB323</f>
        <v>0</v>
      </c>
      <c r="U253" s="70">
        <f>'RESUMEN TOTAL'!AC323</f>
        <v>0</v>
      </c>
      <c r="V253" s="70">
        <f>'RESUMEN TOTAL'!AD323</f>
        <v>0</v>
      </c>
      <c r="W253" s="70">
        <f>'RESUMEN TOTAL'!AE323</f>
        <v>0</v>
      </c>
      <c r="X253" s="70">
        <f>'RESUMEN TOTAL'!AF323</f>
        <v>0</v>
      </c>
      <c r="Y253" s="70">
        <f>'RESUMEN TOTAL'!AG323</f>
        <v>0</v>
      </c>
      <c r="Z253" s="70">
        <f>'RESUMEN TOTAL'!AH323</f>
        <v>0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>
        <f>'RESUMEN TOTAL'!Z324</f>
        <v>0</v>
      </c>
      <c r="S254" s="70">
        <f>'RESUMEN TOTAL'!AA324</f>
        <v>0</v>
      </c>
      <c r="T254" s="70">
        <f>'RESUMEN TOTAL'!AB324</f>
        <v>0</v>
      </c>
      <c r="U254" s="70">
        <f>'RESUMEN TOTAL'!AC324</f>
        <v>0</v>
      </c>
      <c r="V254" s="70">
        <f>'RESUMEN TOTAL'!AD324</f>
        <v>0</v>
      </c>
      <c r="W254" s="70">
        <f>'RESUMEN TOTAL'!AE324</f>
        <v>0</v>
      </c>
      <c r="X254" s="70">
        <f>'RESUMEN TOTAL'!AF324</f>
        <v>0</v>
      </c>
      <c r="Y254" s="70">
        <f>'RESUMEN TOTAL'!AG324</f>
        <v>0</v>
      </c>
      <c r="Z254" s="70">
        <f>'RESUMEN TOTAL'!AH324</f>
        <v>0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>
        <f>'RESUMEN TOTAL'!AD332</f>
        <v>0</v>
      </c>
      <c r="W262" s="70">
        <f>'RESUMEN TOTAL'!AE332</f>
        <v>0</v>
      </c>
      <c r="X262" s="70">
        <f>'RESUMEN TOTAL'!AF332</f>
        <v>0</v>
      </c>
      <c r="Y262" s="70">
        <f>'RESUMEN TOTAL'!AG332</f>
        <v>0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>
        <f>'RESUMEN TOTAL'!AD333</f>
        <v>0</v>
      </c>
      <c r="W263" s="70">
        <f>'RESUMEN TOTAL'!AE333</f>
        <v>0</v>
      </c>
      <c r="X263" s="70">
        <f>'RESUMEN TOTAL'!AF333</f>
        <v>0</v>
      </c>
      <c r="Y263" s="70">
        <f>'RESUMEN TOTAL'!AG333</f>
        <v>0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>
        <f>'RESUMEN TOTAL'!AG350</f>
        <v>0</v>
      </c>
      <c r="Z274" s="70">
        <f>'RESUMEN TOTAL'!AH350</f>
        <v>0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>
        <f>'RESUMEN TOTAL'!AA369</f>
        <v>0</v>
      </c>
      <c r="T290" s="70">
        <f>'RESUMEN TOTAL'!AB369</f>
        <v>0</v>
      </c>
      <c r="U290" s="70">
        <f>'RESUMEN TOTAL'!AC369</f>
        <v>0</v>
      </c>
      <c r="V290" s="70">
        <f>'RESUMEN TOTAL'!AD369</f>
        <v>0</v>
      </c>
      <c r="W290" s="70">
        <f>'RESUMEN TOTAL'!AE369</f>
        <v>0</v>
      </c>
      <c r="X290" s="70">
        <f>'RESUMEN TOTAL'!AF369</f>
        <v>0</v>
      </c>
      <c r="Y290" s="70">
        <f>'RESUMEN TOTAL'!AG369</f>
        <v>0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>
        <f>'RESUMEN TOTAL'!AA370</f>
        <v>0</v>
      </c>
      <c r="T291" s="70">
        <f>'RESUMEN TOTAL'!AB370</f>
        <v>0</v>
      </c>
      <c r="U291" s="70">
        <f>'RESUMEN TOTAL'!AC370</f>
        <v>0</v>
      </c>
      <c r="V291" s="70">
        <f>'RESUMEN TOTAL'!AD370</f>
        <v>0</v>
      </c>
      <c r="W291" s="70">
        <f>'RESUMEN TOTAL'!AE370</f>
        <v>0</v>
      </c>
      <c r="X291" s="70">
        <f>'RESUMEN TOTAL'!AF370</f>
        <v>0</v>
      </c>
      <c r="Y291" s="70">
        <f>'RESUMEN TOTAL'!AG370</f>
        <v>0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>
        <f>'RESUMEN TOTAL'!AA375</f>
        <v>0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>
        <f>'RESUMEN TOTAL'!AA379</f>
        <v>0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>
        <f>'RESUMEN TOTAL'!AD380</f>
        <v>0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>
        <f>'RESUMEN TOTAL'!AA381</f>
        <v>0</v>
      </c>
      <c r="T297" s="70">
        <f>'RESUMEN TOTAL'!AB381</f>
        <v>0</v>
      </c>
      <c r="U297" s="70">
        <f>'RESUMEN TOTAL'!AC381</f>
        <v>0</v>
      </c>
      <c r="V297" s="70">
        <f>'RESUMEN TOTAL'!AD381</f>
        <v>0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>
        <f>'RESUMEN TOTAL'!AA382</f>
        <v>0</v>
      </c>
      <c r="T298" s="70">
        <f>'RESUMEN TOTAL'!AB382</f>
        <v>0</v>
      </c>
      <c r="U298" s="70">
        <f>'RESUMEN TOTAL'!AC382</f>
        <v>0</v>
      </c>
      <c r="V298" s="70">
        <f>'RESUMEN TOTAL'!AD382</f>
        <v>0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>
        <f>'RESUMEN TOTAL'!Z383</f>
        <v>0</v>
      </c>
      <c r="S299" s="70">
        <f>'RESUMEN TOTAL'!AA383</f>
        <v>0</v>
      </c>
      <c r="T299" s="70">
        <f>'RESUMEN TOTAL'!AB383</f>
        <v>0</v>
      </c>
      <c r="U299" s="70">
        <f>'RESUMEN TOTAL'!AC383</f>
        <v>0</v>
      </c>
      <c r="V299" s="70">
        <f>'RESUMEN TOTAL'!AD383</f>
        <v>0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>
        <f>'RESUMEN TOTAL'!AG384</f>
        <v>0</v>
      </c>
      <c r="Z300" s="70">
        <f>'RESUMEN TOTAL'!AH384</f>
        <v>0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>
        <f>'RESUMEN TOTAL'!Z385</f>
        <v>0</v>
      </c>
      <c r="S301" s="70">
        <f>'RESUMEN TOTAL'!AA385</f>
        <v>0</v>
      </c>
      <c r="T301" s="70">
        <f>'RESUMEN TOTAL'!AB385</f>
        <v>0</v>
      </c>
      <c r="U301" s="70">
        <f>'RESUMEN TOTAL'!AC385</f>
        <v>0</v>
      </c>
      <c r="V301" s="70">
        <f>'RESUMEN TOTAL'!AD385</f>
        <v>0</v>
      </c>
      <c r="W301" s="70">
        <f>'RESUMEN TOTAL'!AE385</f>
        <v>0</v>
      </c>
      <c r="X301" s="70">
        <f>'RESUMEN TOTAL'!AF385</f>
        <v>0</v>
      </c>
      <c r="Y301" s="70">
        <f>'RESUMEN TOTAL'!AG385</f>
        <v>0</v>
      </c>
      <c r="Z301" s="70">
        <f>'RESUMEN TOTAL'!AH385</f>
        <v>0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>
        <f>'RESUMEN TOTAL'!Z386</f>
        <v>0</v>
      </c>
      <c r="S302" s="70">
        <f>'RESUMEN TOTAL'!AA386</f>
        <v>0</v>
      </c>
      <c r="T302" s="70">
        <f>'RESUMEN TOTAL'!AB386</f>
        <v>0</v>
      </c>
      <c r="U302" s="70">
        <f>'RESUMEN TOTAL'!AC386</f>
        <v>0</v>
      </c>
      <c r="V302" s="70">
        <f>'RESUMEN TOTAL'!AD386</f>
        <v>0</v>
      </c>
      <c r="W302" s="70">
        <f>'RESUMEN TOTAL'!AE386</f>
        <v>0</v>
      </c>
      <c r="X302" s="70">
        <f>'RESUMEN TOTAL'!AF386</f>
        <v>0</v>
      </c>
      <c r="Y302" s="70">
        <f>'RESUMEN TOTAL'!AG386</f>
        <v>0</v>
      </c>
      <c r="Z302" s="70">
        <f>'RESUMEN TOTAL'!AH386</f>
        <v>0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>
        <f>'RESUMEN TOTAL'!Z388</f>
        <v>0</v>
      </c>
      <c r="S304" s="70">
        <f>'RESUMEN TOTAL'!AA388</f>
        <v>0</v>
      </c>
      <c r="T304" s="70">
        <f>'RESUMEN TOTAL'!AB388</f>
        <v>0</v>
      </c>
      <c r="U304" s="70">
        <f>'RESUMEN TOTAL'!AC388</f>
        <v>0</v>
      </c>
      <c r="V304" s="70">
        <f>'RESUMEN TOTAL'!AD388</f>
        <v>0</v>
      </c>
      <c r="W304" s="70">
        <f>'RESUMEN TOTAL'!AE388</f>
        <v>0</v>
      </c>
      <c r="X304" s="70">
        <f>'RESUMEN TOTAL'!AF388</f>
        <v>0</v>
      </c>
      <c r="Y304" s="70">
        <f>'RESUMEN TOTAL'!AG388</f>
        <v>0</v>
      </c>
      <c r="Z304" s="70">
        <f>'RESUMEN TOTAL'!AH388</f>
        <v>0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>
        <f>'RESUMEN TOTAL'!Z389</f>
        <v>0</v>
      </c>
      <c r="S305" s="70">
        <f>'RESUMEN TOTAL'!AA389</f>
        <v>0</v>
      </c>
      <c r="T305" s="70">
        <f>'RESUMEN TOTAL'!AB389</f>
        <v>0</v>
      </c>
      <c r="U305" s="70">
        <f>'RESUMEN TOTAL'!AC389</f>
        <v>0</v>
      </c>
      <c r="V305" s="70">
        <f>'RESUMEN TOTAL'!AD389</f>
        <v>0</v>
      </c>
      <c r="W305" s="70">
        <f>'RESUMEN TOTAL'!AE389</f>
        <v>0</v>
      </c>
      <c r="X305" s="70">
        <f>'RESUMEN TOTAL'!AF389</f>
        <v>0</v>
      </c>
      <c r="Y305" s="70">
        <f>'RESUMEN TOTAL'!AG389</f>
        <v>0</v>
      </c>
      <c r="Z305" s="70">
        <f>'RESUMEN TOTAL'!AH389</f>
        <v>0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>
        <f>'RESUMEN TOTAL'!Z390</f>
        <v>0</v>
      </c>
      <c r="S306" s="70">
        <f>'RESUMEN TOTAL'!AA390</f>
        <v>0</v>
      </c>
      <c r="T306" s="70">
        <f>'RESUMEN TOTAL'!AB390</f>
        <v>0</v>
      </c>
      <c r="U306" s="70">
        <f>'RESUMEN TOTAL'!AC390</f>
        <v>0</v>
      </c>
      <c r="V306" s="70">
        <f>'RESUMEN TOTAL'!AD390</f>
        <v>0</v>
      </c>
      <c r="W306" s="70">
        <f>'RESUMEN TOTAL'!AE390</f>
        <v>0</v>
      </c>
      <c r="X306" s="70">
        <f>'RESUMEN TOTAL'!AF390</f>
        <v>0</v>
      </c>
      <c r="Y306" s="70">
        <f>'RESUMEN TOTAL'!AG390</f>
        <v>0</v>
      </c>
      <c r="Z306" s="70">
        <f>'RESUMEN TOTAL'!AH390</f>
        <v>0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>
        <f>'RESUMEN TOTAL'!Z391</f>
        <v>0</v>
      </c>
      <c r="S307" s="70">
        <f>'RESUMEN TOTAL'!AA391</f>
        <v>0</v>
      </c>
      <c r="T307" s="70">
        <f>'RESUMEN TOTAL'!AB391</f>
        <v>0</v>
      </c>
      <c r="U307" s="70">
        <f>'RESUMEN TOTAL'!AC391</f>
        <v>0</v>
      </c>
      <c r="V307" s="70">
        <f>'RESUMEN TOTAL'!AD391</f>
        <v>0</v>
      </c>
      <c r="W307" s="70">
        <f>'RESUMEN TOTAL'!AE391</f>
        <v>0</v>
      </c>
      <c r="X307" s="70">
        <f>'RESUMEN TOTAL'!AF391</f>
        <v>0</v>
      </c>
      <c r="Y307" s="70">
        <f>'RESUMEN TOTAL'!AG391</f>
        <v>0</v>
      </c>
      <c r="Z307" s="70">
        <f>'RESUMEN TOTAL'!AH391</f>
        <v>0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>
        <f>'RESUMEN TOTAL'!Z392</f>
        <v>0</v>
      </c>
      <c r="S308" s="70">
        <f>'RESUMEN TOTAL'!AA392</f>
        <v>0</v>
      </c>
      <c r="T308" s="70">
        <f>'RESUMEN TOTAL'!AB392</f>
        <v>0</v>
      </c>
      <c r="U308" s="70">
        <f>'RESUMEN TOTAL'!AC392</f>
        <v>0</v>
      </c>
      <c r="V308" s="70">
        <f>'RESUMEN TOTAL'!AD392</f>
        <v>0</v>
      </c>
      <c r="W308" s="70">
        <f>'RESUMEN TOTAL'!AE392</f>
        <v>0</v>
      </c>
      <c r="X308" s="70">
        <f>'RESUMEN TOTAL'!AF392</f>
        <v>0</v>
      </c>
      <c r="Y308" s="70">
        <f>'RESUMEN TOTAL'!AG392</f>
        <v>0</v>
      </c>
      <c r="Z308" s="70">
        <f>'RESUMEN TOTAL'!AH392</f>
        <v>0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>
        <f>'RESUMEN TOTAL'!Z393</f>
        <v>0</v>
      </c>
      <c r="S309" s="70">
        <f>'RESUMEN TOTAL'!AA393</f>
        <v>0</v>
      </c>
      <c r="T309" s="70">
        <f>'RESUMEN TOTAL'!AB393</f>
        <v>0</v>
      </c>
      <c r="U309" s="70">
        <f>'RESUMEN TOTAL'!AC393</f>
        <v>0</v>
      </c>
      <c r="V309" s="70">
        <f>'RESUMEN TOTAL'!AD393</f>
        <v>0</v>
      </c>
      <c r="W309" s="70">
        <f>'RESUMEN TOTAL'!AE393</f>
        <v>0</v>
      </c>
      <c r="X309" s="70">
        <f>'RESUMEN TOTAL'!AF393</f>
        <v>0</v>
      </c>
      <c r="Y309" s="70">
        <f>'RESUMEN TOTAL'!AG393</f>
        <v>0</v>
      </c>
      <c r="Z309" s="70">
        <f>'RESUMEN TOTAL'!AH393</f>
        <v>0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>
        <f>'RESUMEN TOTAL'!Z394</f>
        <v>0</v>
      </c>
      <c r="S310" s="70">
        <f>'RESUMEN TOTAL'!AA394</f>
        <v>0</v>
      </c>
      <c r="T310" s="70">
        <f>'RESUMEN TOTAL'!AB394</f>
        <v>0</v>
      </c>
      <c r="U310" s="70">
        <f>'RESUMEN TOTAL'!AC394</f>
        <v>0</v>
      </c>
      <c r="V310" s="70">
        <f>'RESUMEN TOTAL'!AD394</f>
        <v>0</v>
      </c>
      <c r="W310" s="70">
        <f>'RESUMEN TOTAL'!AE394</f>
        <v>0</v>
      </c>
      <c r="X310" s="70">
        <f>'RESUMEN TOTAL'!AF394</f>
        <v>0</v>
      </c>
      <c r="Y310" s="70">
        <f>'RESUMEN TOTAL'!AG394</f>
        <v>0</v>
      </c>
      <c r="Z310" s="70">
        <f>'RESUMEN TOTAL'!AH394</f>
        <v>0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>
        <f>'RESUMEN TOTAL'!Z395</f>
        <v>0</v>
      </c>
      <c r="S311" s="70">
        <f>'RESUMEN TOTAL'!AA395</f>
        <v>0</v>
      </c>
      <c r="T311" s="70">
        <f>'RESUMEN TOTAL'!AB395</f>
        <v>0</v>
      </c>
      <c r="U311" s="70">
        <f>'RESUMEN TOTAL'!AC395</f>
        <v>0</v>
      </c>
      <c r="V311" s="70">
        <f>'RESUMEN TOTAL'!AD395</f>
        <v>0</v>
      </c>
      <c r="W311" s="70">
        <f>'RESUMEN TOTAL'!AE395</f>
        <v>0</v>
      </c>
      <c r="X311" s="70">
        <f>'RESUMEN TOTAL'!AF395</f>
        <v>0</v>
      </c>
      <c r="Y311" s="70">
        <f>'RESUMEN TOTAL'!AG395</f>
        <v>0</v>
      </c>
      <c r="Z311" s="70">
        <f>'RESUMEN TOTAL'!AH395</f>
        <v>0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>
        <f>'RESUMEN TOTAL'!Z396</f>
        <v>0</v>
      </c>
      <c r="S312" s="70">
        <f>'RESUMEN TOTAL'!AA396</f>
        <v>0</v>
      </c>
      <c r="T312" s="70">
        <f>'RESUMEN TOTAL'!AB396</f>
        <v>0</v>
      </c>
      <c r="U312" s="70">
        <f>'RESUMEN TOTAL'!AC396</f>
        <v>0</v>
      </c>
      <c r="V312" s="70">
        <f>'RESUMEN TOTAL'!AD396</f>
        <v>0</v>
      </c>
      <c r="W312" s="70">
        <f>'RESUMEN TOTAL'!AE396</f>
        <v>0</v>
      </c>
      <c r="X312" s="70">
        <f>'RESUMEN TOTAL'!AF396</f>
        <v>0</v>
      </c>
      <c r="Y312" s="70">
        <f>'RESUMEN TOTAL'!AG396</f>
        <v>0</v>
      </c>
      <c r="Z312" s="70">
        <f>'RESUMEN TOTAL'!AH396</f>
        <v>0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>
        <f>'RESUMEN TOTAL'!Z397</f>
        <v>0</v>
      </c>
      <c r="S313" s="70">
        <f>'RESUMEN TOTAL'!AA397</f>
        <v>0</v>
      </c>
      <c r="T313" s="70">
        <f>'RESUMEN TOTAL'!AB397</f>
        <v>0</v>
      </c>
      <c r="U313" s="70">
        <f>'RESUMEN TOTAL'!AC397</f>
        <v>0</v>
      </c>
      <c r="V313" s="70">
        <f>'RESUMEN TOTAL'!AD397</f>
        <v>0</v>
      </c>
      <c r="W313" s="70">
        <f>'RESUMEN TOTAL'!AE397</f>
        <v>0</v>
      </c>
      <c r="X313" s="70">
        <f>'RESUMEN TOTAL'!AF397</f>
        <v>0</v>
      </c>
      <c r="Y313" s="70">
        <f>'RESUMEN TOTAL'!AG397</f>
        <v>0</v>
      </c>
      <c r="Z313" s="70">
        <f>'RESUMEN TOTAL'!AH397</f>
        <v>0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>
        <f>'RESUMEN TOTAL'!Z398</f>
        <v>0</v>
      </c>
      <c r="S314" s="70">
        <f>'RESUMEN TOTAL'!AA398</f>
        <v>0</v>
      </c>
      <c r="T314" s="70">
        <f>'RESUMEN TOTAL'!AB398</f>
        <v>0</v>
      </c>
      <c r="U314" s="70">
        <f>'RESUMEN TOTAL'!AC398</f>
        <v>0</v>
      </c>
      <c r="V314" s="70">
        <f>'RESUMEN TOTAL'!AD398</f>
        <v>0</v>
      </c>
      <c r="W314" s="70">
        <f>'RESUMEN TOTAL'!AE398</f>
        <v>0</v>
      </c>
      <c r="X314" s="70">
        <f>'RESUMEN TOTAL'!AF398</f>
        <v>0</v>
      </c>
      <c r="Y314" s="70">
        <f>'RESUMEN TOTAL'!AG398</f>
        <v>0</v>
      </c>
      <c r="Z314" s="70">
        <f>'RESUMEN TOTAL'!AH398</f>
        <v>0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>
        <f>'RESUMEN TOTAL'!Z399</f>
        <v>0</v>
      </c>
      <c r="S315" s="70">
        <f>'RESUMEN TOTAL'!AA399</f>
        <v>0</v>
      </c>
      <c r="T315" s="70">
        <f>'RESUMEN TOTAL'!AB399</f>
        <v>0</v>
      </c>
      <c r="U315" s="70">
        <f>'RESUMEN TOTAL'!AC399</f>
        <v>0</v>
      </c>
      <c r="V315" s="70">
        <f>'RESUMEN TOTAL'!AD399</f>
        <v>0</v>
      </c>
      <c r="W315" s="70">
        <f>'RESUMEN TOTAL'!AE399</f>
        <v>0</v>
      </c>
      <c r="X315" s="70">
        <f>'RESUMEN TOTAL'!AF399</f>
        <v>0</v>
      </c>
      <c r="Y315" s="70">
        <f>'RESUMEN TOTAL'!AG399</f>
        <v>0</v>
      </c>
      <c r="Z315" s="70">
        <f>'RESUMEN TOTAL'!AH399</f>
        <v>0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>
        <f>'RESUMEN TOTAL'!Z405</f>
        <v>0</v>
      </c>
      <c r="S316" s="70">
        <f>'RESUMEN TOTAL'!AA405</f>
        <v>0</v>
      </c>
      <c r="T316" s="70">
        <f>'RESUMEN TOTAL'!AB405</f>
        <v>0</v>
      </c>
      <c r="U316" s="70">
        <f>'RESUMEN TOTAL'!AC405</f>
        <v>0</v>
      </c>
      <c r="V316" s="70">
        <f>'RESUMEN TOTAL'!AD405</f>
        <v>0</v>
      </c>
      <c r="W316" s="70">
        <f>'RESUMEN TOTAL'!AE405</f>
        <v>0</v>
      </c>
      <c r="X316" s="70">
        <f>'RESUMEN TOTAL'!AF405</f>
        <v>0</v>
      </c>
      <c r="Y316" s="70">
        <f>'RESUMEN TOTAL'!AG405</f>
        <v>0</v>
      </c>
      <c r="Z316" s="70">
        <f>'RESUMEN TOTAL'!AH405</f>
        <v>0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>
        <f>'RESUMEN TOTAL'!Z411</f>
        <v>0</v>
      </c>
      <c r="S322" s="70">
        <f>'RESUMEN TOTAL'!AA411</f>
        <v>0</v>
      </c>
      <c r="T322" s="70">
        <f>'RESUMEN TOTAL'!AB411</f>
        <v>0</v>
      </c>
      <c r="U322" s="70">
        <f>'RESUMEN TOTAL'!AC411</f>
        <v>0</v>
      </c>
      <c r="V322" s="70">
        <f>'RESUMEN TOTAL'!AD411</f>
        <v>0</v>
      </c>
      <c r="W322" s="70">
        <f>'RESUMEN TOTAL'!AE411</f>
        <v>0</v>
      </c>
      <c r="X322" s="70">
        <f>'RESUMEN TOTAL'!AF411</f>
        <v>0</v>
      </c>
      <c r="Y322" s="70">
        <f>'RESUMEN TOTAL'!AG411</f>
        <v>0</v>
      </c>
      <c r="Z322" s="70">
        <f>'RESUMEN TOTAL'!AH411</f>
        <v>0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>
        <f>'RESUMEN TOTAL'!Z412</f>
        <v>0</v>
      </c>
      <c r="S323" s="70">
        <f>'RESUMEN TOTAL'!AA412</f>
        <v>0</v>
      </c>
      <c r="T323" s="70">
        <f>'RESUMEN TOTAL'!AB412</f>
        <v>0</v>
      </c>
      <c r="U323" s="70">
        <f>'RESUMEN TOTAL'!AC412</f>
        <v>0</v>
      </c>
      <c r="V323" s="70">
        <f>'RESUMEN TOTAL'!AD412</f>
        <v>0</v>
      </c>
      <c r="W323" s="70">
        <f>'RESUMEN TOTAL'!AE412</f>
        <v>0</v>
      </c>
      <c r="X323" s="70">
        <f>'RESUMEN TOTAL'!AF412</f>
        <v>0</v>
      </c>
      <c r="Y323" s="70">
        <f>'RESUMEN TOTAL'!AG412</f>
        <v>0</v>
      </c>
      <c r="Z323" s="70">
        <f>'RESUMEN TOTAL'!AH412</f>
        <v>0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>
        <f>'RESUMEN TOTAL'!Z413</f>
        <v>0</v>
      </c>
      <c r="S324" s="70">
        <f>'RESUMEN TOTAL'!AA413</f>
        <v>0</v>
      </c>
      <c r="T324" s="70">
        <f>'RESUMEN TOTAL'!AB413</f>
        <v>0</v>
      </c>
      <c r="U324" s="70">
        <f>'RESUMEN TOTAL'!AC413</f>
        <v>0</v>
      </c>
      <c r="V324" s="70">
        <f>'RESUMEN TOTAL'!AD413</f>
        <v>0</v>
      </c>
      <c r="W324" s="70">
        <f>'RESUMEN TOTAL'!AE413</f>
        <v>0</v>
      </c>
      <c r="X324" s="70">
        <f>'RESUMEN TOTAL'!AF413</f>
        <v>0</v>
      </c>
      <c r="Y324" s="70">
        <f>'RESUMEN TOTAL'!AG413</f>
        <v>0</v>
      </c>
      <c r="Z324" s="70">
        <f>'RESUMEN TOTAL'!AH413</f>
        <v>0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>
        <f>'RESUMEN TOTAL'!Z414</f>
        <v>0</v>
      </c>
      <c r="S325" s="70">
        <f>'RESUMEN TOTAL'!AA414</f>
        <v>0</v>
      </c>
      <c r="T325" s="70">
        <f>'RESUMEN TOTAL'!AB414</f>
        <v>0</v>
      </c>
      <c r="U325" s="70">
        <f>'RESUMEN TOTAL'!AC414</f>
        <v>0</v>
      </c>
      <c r="V325" s="70">
        <f>'RESUMEN TOTAL'!AD414</f>
        <v>0</v>
      </c>
      <c r="W325" s="70">
        <f>'RESUMEN TOTAL'!AE414</f>
        <v>0</v>
      </c>
      <c r="X325" s="70">
        <f>'RESUMEN TOTAL'!AF414</f>
        <v>0</v>
      </c>
      <c r="Y325" s="70">
        <f>'RESUMEN TOTAL'!AG414</f>
        <v>0</v>
      </c>
      <c r="Z325" s="70">
        <f>'RESUMEN TOTAL'!AH414</f>
        <v>0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>
        <f>'RESUMEN TOTAL'!Z424</f>
        <v>0</v>
      </c>
      <c r="S328" s="70">
        <f>'RESUMEN TOTAL'!AA424</f>
        <v>0</v>
      </c>
      <c r="T328" s="70">
        <f>'RESUMEN TOTAL'!AB424</f>
        <v>0</v>
      </c>
      <c r="U328" s="70">
        <f>'RESUMEN TOTAL'!AC424</f>
        <v>0</v>
      </c>
      <c r="V328" s="70">
        <f>'RESUMEN TOTAL'!AD424</f>
        <v>0</v>
      </c>
      <c r="W328" s="70">
        <f>'RESUMEN TOTAL'!AE424</f>
        <v>0</v>
      </c>
      <c r="X328" s="70">
        <f>'RESUMEN TOTAL'!AF424</f>
        <v>0</v>
      </c>
      <c r="Y328" s="70">
        <f>'RESUMEN TOTAL'!AG424</f>
        <v>0</v>
      </c>
      <c r="Z328" s="70">
        <f>'RESUMEN TOTAL'!AH424</f>
        <v>0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>
        <f>'RESUMEN TOTAL'!Z425</f>
        <v>0</v>
      </c>
      <c r="S329" s="70">
        <f>'RESUMEN TOTAL'!AA425</f>
        <v>0</v>
      </c>
      <c r="T329" s="70">
        <f>'RESUMEN TOTAL'!AB425</f>
        <v>0</v>
      </c>
      <c r="U329" s="70">
        <f>'RESUMEN TOTAL'!AC425</f>
        <v>0</v>
      </c>
      <c r="V329" s="70">
        <f>'RESUMEN TOTAL'!AD425</f>
        <v>0</v>
      </c>
      <c r="W329" s="70">
        <f>'RESUMEN TOTAL'!AE425</f>
        <v>0</v>
      </c>
      <c r="X329" s="70">
        <f>'RESUMEN TOTAL'!AF425</f>
        <v>0</v>
      </c>
      <c r="Y329" s="70">
        <f>'RESUMEN TOTAL'!AG425</f>
        <v>0</v>
      </c>
      <c r="Z329" s="70">
        <f>'RESUMEN TOTAL'!AH425</f>
        <v>0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>
        <f>'RESUMEN TOTAL'!Z427</f>
        <v>0</v>
      </c>
      <c r="S331" s="70">
        <f>'RESUMEN TOTAL'!AA427</f>
        <v>0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>
        <f>'RESUMEN TOTAL'!Z429</f>
        <v>0</v>
      </c>
      <c r="S333" s="70">
        <f>'RESUMEN TOTAL'!AA429</f>
        <v>0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>
        <f>'RESUMEN TOTAL'!AA435</f>
        <v>0</v>
      </c>
      <c r="T336" s="70">
        <f>'RESUMEN TOTAL'!AB435</f>
        <v>0</v>
      </c>
      <c r="U336" s="70">
        <f>'RESUMEN TOTAL'!AC435</f>
        <v>0</v>
      </c>
      <c r="V336" s="70">
        <f>'RESUMEN TOTAL'!AD435</f>
        <v>0</v>
      </c>
      <c r="W336" s="70">
        <f>'RESUMEN TOTAL'!AE435</f>
        <v>0</v>
      </c>
      <c r="X336" s="70">
        <f>'RESUMEN TOTAL'!AF435</f>
        <v>0</v>
      </c>
      <c r="Y336" s="70">
        <f>'RESUMEN TOTAL'!AG435</f>
        <v>0</v>
      </c>
      <c r="Z336" s="70">
        <f>'RESUMEN TOTAL'!AH435</f>
        <v>0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>
        <f>'RESUMEN TOTAL'!AA436</f>
        <v>0</v>
      </c>
      <c r="T337" s="70">
        <f>'RESUMEN TOTAL'!AB436</f>
        <v>0</v>
      </c>
      <c r="U337" s="70">
        <f>'RESUMEN TOTAL'!AC436</f>
        <v>0</v>
      </c>
      <c r="V337" s="70">
        <f>'RESUMEN TOTAL'!AD436</f>
        <v>0</v>
      </c>
      <c r="W337" s="70">
        <f>'RESUMEN TOTAL'!AE436</f>
        <v>0</v>
      </c>
      <c r="X337" s="70">
        <f>'RESUMEN TOTAL'!AF436</f>
        <v>0</v>
      </c>
      <c r="Y337" s="70">
        <f>'RESUMEN TOTAL'!AG436</f>
        <v>0</v>
      </c>
      <c r="Z337" s="70">
        <f>'RESUMEN TOTAL'!AH436</f>
        <v>0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>
        <f>'RESUMEN TOTAL'!AA437</f>
        <v>0</v>
      </c>
      <c r="T338" s="70">
        <f>'RESUMEN TOTAL'!AB437</f>
        <v>0</v>
      </c>
      <c r="U338" s="70">
        <f>'RESUMEN TOTAL'!AC437</f>
        <v>0</v>
      </c>
      <c r="V338" s="70">
        <f>'RESUMEN TOTAL'!AD437</f>
        <v>0</v>
      </c>
      <c r="W338" s="70">
        <f>'RESUMEN TOTAL'!AE437</f>
        <v>0</v>
      </c>
      <c r="X338" s="70">
        <f>'RESUMEN TOTAL'!AF437</f>
        <v>0</v>
      </c>
      <c r="Y338" s="70">
        <f>'RESUMEN TOTAL'!AG437</f>
        <v>0</v>
      </c>
      <c r="Z338" s="70">
        <f>'RESUMEN TOTAL'!AH437</f>
        <v>0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>
        <f>'RESUMEN TOTAL'!AA438</f>
        <v>0</v>
      </c>
      <c r="T339" s="70">
        <f>'RESUMEN TOTAL'!AB438</f>
        <v>0</v>
      </c>
      <c r="U339" s="70">
        <f>'RESUMEN TOTAL'!AC438</f>
        <v>0</v>
      </c>
      <c r="V339" s="70">
        <f>'RESUMEN TOTAL'!AD438</f>
        <v>0</v>
      </c>
      <c r="W339" s="70">
        <f>'RESUMEN TOTAL'!AE438</f>
        <v>0</v>
      </c>
      <c r="X339" s="70">
        <f>'RESUMEN TOTAL'!AF438</f>
        <v>0</v>
      </c>
      <c r="Y339" s="70">
        <f>'RESUMEN TOTAL'!AG438</f>
        <v>0</v>
      </c>
      <c r="Z339" s="70">
        <f>'RESUMEN TOTAL'!AH438</f>
        <v>0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>
        <f>'RESUMEN TOTAL'!Z442</f>
        <v>0</v>
      </c>
      <c r="S343" s="70">
        <f>'RESUMEN TOTAL'!AA442</f>
        <v>0</v>
      </c>
      <c r="T343" s="70">
        <f>'RESUMEN TOTAL'!AB442</f>
        <v>0</v>
      </c>
      <c r="U343" s="70">
        <f>'RESUMEN TOTAL'!AC442</f>
        <v>0</v>
      </c>
      <c r="V343" s="70">
        <f>'RESUMEN TOTAL'!AD442</f>
        <v>0</v>
      </c>
      <c r="W343" s="70">
        <f>'RESUMEN TOTAL'!AE442</f>
        <v>0</v>
      </c>
      <c r="X343" s="70">
        <f>'RESUMEN TOTAL'!AF442</f>
        <v>0</v>
      </c>
      <c r="Y343" s="70">
        <f>'RESUMEN TOTAL'!AG442</f>
        <v>0</v>
      </c>
      <c r="Z343" s="70">
        <f>'RESUMEN TOTAL'!AH442</f>
        <v>0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>
        <f>'RESUMEN TOTAL'!Z448</f>
        <v>0</v>
      </c>
      <c r="S349" s="70">
        <f>'RESUMEN TOTAL'!AA448</f>
        <v>0</v>
      </c>
      <c r="T349" s="70">
        <f>'RESUMEN TOTAL'!AB448</f>
        <v>0</v>
      </c>
      <c r="U349" s="70">
        <f>'RESUMEN TOTAL'!AC448</f>
        <v>0</v>
      </c>
      <c r="V349" s="70">
        <f>'RESUMEN TOTAL'!AD448</f>
        <v>0</v>
      </c>
      <c r="W349" s="70">
        <f>'RESUMEN TOTAL'!AE448</f>
        <v>0</v>
      </c>
      <c r="X349" s="70">
        <f>'RESUMEN TOTAL'!AF448</f>
        <v>0</v>
      </c>
      <c r="Y349" s="70">
        <f>'RESUMEN TOTAL'!AG448</f>
        <v>0</v>
      </c>
      <c r="Z349" s="70">
        <f>'RESUMEN TOTAL'!AH448</f>
        <v>0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>
        <f>'RESUMEN TOTAL'!Z449</f>
        <v>0</v>
      </c>
      <c r="S350" s="70">
        <f>'RESUMEN TOTAL'!AA449</f>
        <v>0</v>
      </c>
      <c r="T350" s="70">
        <f>'RESUMEN TOTAL'!AB449</f>
        <v>0</v>
      </c>
      <c r="U350" s="70">
        <f>'RESUMEN TOTAL'!AC449</f>
        <v>0</v>
      </c>
      <c r="V350" s="70">
        <f>'RESUMEN TOTAL'!AD449</f>
        <v>0</v>
      </c>
      <c r="W350" s="70">
        <f>'RESUMEN TOTAL'!AE449</f>
        <v>0</v>
      </c>
      <c r="X350" s="70">
        <f>'RESUMEN TOTAL'!AF449</f>
        <v>0</v>
      </c>
      <c r="Y350" s="70">
        <f>'RESUMEN TOTAL'!AG449</f>
        <v>0</v>
      </c>
      <c r="Z350" s="70">
        <f>'RESUMEN TOTAL'!AH449</f>
        <v>0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>
        <f>'RESUMEN TOTAL'!Z452</f>
        <v>0</v>
      </c>
      <c r="S353" s="70">
        <f>'RESUMEN TOTAL'!AA452</f>
        <v>0</v>
      </c>
      <c r="T353" s="70">
        <f>'RESUMEN TOTAL'!AB452</f>
        <v>0</v>
      </c>
      <c r="U353" s="70">
        <f>'RESUMEN TOTAL'!AC452</f>
        <v>0</v>
      </c>
      <c r="V353" s="70">
        <f>'RESUMEN TOTAL'!AD452</f>
        <v>0</v>
      </c>
      <c r="W353" s="70">
        <f>'RESUMEN TOTAL'!AE452</f>
        <v>0</v>
      </c>
      <c r="X353" s="70">
        <f>'RESUMEN TOTAL'!AF452</f>
        <v>0</v>
      </c>
      <c r="Y353" s="70">
        <f>'RESUMEN TOTAL'!AG452</f>
        <v>0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>
        <f>'RESUMEN TOTAL'!Z453</f>
        <v>0</v>
      </c>
      <c r="S354" s="70">
        <f>'RESUMEN TOTAL'!AA453</f>
        <v>0</v>
      </c>
      <c r="T354" s="70">
        <f>'RESUMEN TOTAL'!AB453</f>
        <v>0</v>
      </c>
      <c r="U354" s="70">
        <f>'RESUMEN TOTAL'!AC453</f>
        <v>0</v>
      </c>
      <c r="V354" s="70">
        <f>'RESUMEN TOTAL'!AD453</f>
        <v>0</v>
      </c>
      <c r="W354" s="70">
        <f>'RESUMEN TOTAL'!AE453</f>
        <v>0</v>
      </c>
      <c r="X354" s="70">
        <f>'RESUMEN TOTAL'!AF453</f>
        <v>0</v>
      </c>
      <c r="Y354" s="70">
        <f>'RESUMEN TOTAL'!AG453</f>
        <v>0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>
        <f>'RESUMEN TOTAL'!Z466</f>
        <v>0</v>
      </c>
      <c r="S361" s="70">
        <f>'RESUMEN TOTAL'!AA466</f>
        <v>0</v>
      </c>
      <c r="T361" s="70">
        <f>'RESUMEN TOTAL'!AB466</f>
        <v>0</v>
      </c>
      <c r="U361" s="70">
        <f>'RESUMEN TOTAL'!AC466</f>
        <v>0</v>
      </c>
      <c r="V361" s="70">
        <f>'RESUMEN TOTAL'!AD466</f>
        <v>0</v>
      </c>
      <c r="W361" s="70">
        <f>'RESUMEN TOTAL'!AE466</f>
        <v>0</v>
      </c>
      <c r="X361" s="70">
        <f>'RESUMEN TOTAL'!AF466</f>
        <v>0</v>
      </c>
      <c r="Y361" s="70">
        <f>'RESUMEN TOTAL'!AG466</f>
        <v>0</v>
      </c>
      <c r="Z361" s="70">
        <f>'RESUMEN TOTAL'!AH466</f>
        <v>0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>
        <f>'RESUMEN TOTAL'!Z467</f>
        <v>0</v>
      </c>
      <c r="S362" s="70">
        <f>'RESUMEN TOTAL'!AA467</f>
        <v>0</v>
      </c>
      <c r="T362" s="70">
        <f>'RESUMEN TOTAL'!AB467</f>
        <v>0</v>
      </c>
      <c r="U362" s="70">
        <f>'RESUMEN TOTAL'!AC467</f>
        <v>0</v>
      </c>
      <c r="V362" s="70">
        <f>'RESUMEN TOTAL'!AD467</f>
        <v>0</v>
      </c>
      <c r="W362" s="70">
        <f>'RESUMEN TOTAL'!AE467</f>
        <v>0</v>
      </c>
      <c r="X362" s="70">
        <f>'RESUMEN TOTAL'!AF467</f>
        <v>0</v>
      </c>
      <c r="Y362" s="70">
        <f>'RESUMEN TOTAL'!AG467</f>
        <v>0</v>
      </c>
      <c r="Z362" s="70">
        <f>'RESUMEN TOTAL'!AH467</f>
        <v>0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>
        <f>'RESUMEN TOTAL'!Z468</f>
        <v>0</v>
      </c>
      <c r="S363" s="70">
        <f>'RESUMEN TOTAL'!AA468</f>
        <v>0</v>
      </c>
      <c r="T363" s="70">
        <f>'RESUMEN TOTAL'!AB468</f>
        <v>0</v>
      </c>
      <c r="U363" s="70">
        <f>'RESUMEN TOTAL'!AC468</f>
        <v>0</v>
      </c>
      <c r="V363" s="70">
        <f>'RESUMEN TOTAL'!AD468</f>
        <v>0</v>
      </c>
      <c r="W363" s="70">
        <f>'RESUMEN TOTAL'!AE468</f>
        <v>0</v>
      </c>
      <c r="X363" s="70">
        <f>'RESUMEN TOTAL'!AF468</f>
        <v>0</v>
      </c>
      <c r="Y363" s="70">
        <f>'RESUMEN TOTAL'!AG468</f>
        <v>0</v>
      </c>
      <c r="Z363" s="70">
        <f>'RESUMEN TOTAL'!AH468</f>
        <v>0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>
        <f>'RESUMEN TOTAL'!AB473</f>
        <v>0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>
        <f>'RESUMEN TOTAL'!Z479</f>
        <v>0</v>
      </c>
      <c r="S372" s="70">
        <f>'RESUMEN TOTAL'!AA479</f>
        <v>0</v>
      </c>
      <c r="T372" s="70">
        <f>'RESUMEN TOTAL'!AB479</f>
        <v>0</v>
      </c>
      <c r="U372" s="70">
        <f>'RESUMEN TOTAL'!AC479</f>
        <v>0</v>
      </c>
      <c r="V372" s="70">
        <f>'RESUMEN TOTAL'!AD479</f>
        <v>0</v>
      </c>
      <c r="W372" s="70">
        <f>'RESUMEN TOTAL'!AE479</f>
        <v>0</v>
      </c>
      <c r="X372" s="70">
        <f>'RESUMEN TOTAL'!AF479</f>
        <v>0</v>
      </c>
      <c r="Y372" s="70">
        <f>'RESUMEN TOTAL'!AG479</f>
        <v>0</v>
      </c>
      <c r="Z372" s="70">
        <f>'RESUMEN TOTAL'!AH479</f>
        <v>0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>
        <f>'RESUMEN TOTAL'!AA480</f>
        <v>0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>
        <f>'RESUMEN TOTAL'!AA481</f>
        <v>0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>
        <f>'RESUMEN TOTAL'!Z510</f>
        <v>0</v>
      </c>
      <c r="S396" s="70">
        <f>'RESUMEN TOTAL'!AA510</f>
        <v>0</v>
      </c>
      <c r="T396" s="70">
        <f>'RESUMEN TOTAL'!AB510</f>
        <v>0</v>
      </c>
      <c r="U396" s="70">
        <f>'RESUMEN TOTAL'!AC510</f>
        <v>0</v>
      </c>
      <c r="V396" s="70">
        <f>'RESUMEN TOTAL'!AD510</f>
        <v>0</v>
      </c>
      <c r="W396" s="70">
        <f>'RESUMEN TOTAL'!AE510</f>
        <v>0</v>
      </c>
      <c r="X396" s="70">
        <f>'RESUMEN TOTAL'!AF510</f>
        <v>0</v>
      </c>
      <c r="Y396" s="70">
        <f>'RESUMEN TOTAL'!AG510</f>
        <v>0</v>
      </c>
      <c r="Z396" s="70">
        <f>'RESUMEN TOTAL'!AH510</f>
        <v>0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>
        <f>'RESUMEN TOTAL'!Z513</f>
        <v>0</v>
      </c>
      <c r="S399" s="70">
        <f>'RESUMEN TOTAL'!AA513</f>
        <v>0</v>
      </c>
      <c r="T399" s="70">
        <f>'RESUMEN TOTAL'!AB513</f>
        <v>0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>
        <f>'RESUMEN TOTAL'!Z518</f>
        <v>0</v>
      </c>
      <c r="S404" s="70">
        <f>'RESUMEN TOTAL'!AA518</f>
        <v>0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>
        <f>'RESUMEN TOTAL'!Z520</f>
        <v>0</v>
      </c>
      <c r="S406" s="70">
        <f>'RESUMEN TOTAL'!AA520</f>
        <v>0</v>
      </c>
      <c r="T406" s="70">
        <f>'RESUMEN TOTAL'!AB520</f>
        <v>0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>
        <f>'RESUMEN TOTAL'!Z521</f>
        <v>0</v>
      </c>
      <c r="S407" s="70">
        <f>'RESUMEN TOTAL'!AA521</f>
        <v>0</v>
      </c>
      <c r="T407" s="70">
        <f>'RESUMEN TOTAL'!AB521</f>
        <v>0</v>
      </c>
      <c r="U407" s="70">
        <f>'RESUMEN TOTAL'!AC521</f>
        <v>0</v>
      </c>
      <c r="V407" s="70">
        <f>'RESUMEN TOTAL'!AD521</f>
        <v>0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>
        <f>'RESUMEN TOTAL'!AA537</f>
        <v>0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>
        <f>'RESUMEN TOTAL'!AA538</f>
        <v>0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>
        <f>'RESUMEN TOTAL'!AA539</f>
        <v>0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>
        <f>'RESUMEN TOTAL'!AA540</f>
        <v>0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>
        <f>'RESUMEN TOTAL'!AA541</f>
        <v>0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>
        <f>'RESUMEN TOTAL'!AG541</f>
        <v>0</v>
      </c>
      <c r="Z422" s="70">
        <f>'RESUMEN TOTAL'!AH541</f>
        <v>0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>
        <f>'RESUMEN TOTAL'!AA542</f>
        <v>0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>
        <f>'RESUMEN TOTAL'!AG542</f>
        <v>0</v>
      </c>
      <c r="Z423" s="70">
        <f>'RESUMEN TOTAL'!AH542</f>
        <v>0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>
        <f>'RESUMEN TOTAL'!Z543</f>
        <v>0</v>
      </c>
      <c r="S424" s="70">
        <f>'RESUMEN TOTAL'!AA543</f>
        <v>0</v>
      </c>
      <c r="T424" s="70">
        <f>'RESUMEN TOTAL'!AB543</f>
        <v>0</v>
      </c>
      <c r="U424" s="70">
        <f>'RESUMEN TOTAL'!AC543</f>
        <v>0</v>
      </c>
      <c r="V424" s="70">
        <f>'RESUMEN TOTAL'!AD543</f>
        <v>0</v>
      </c>
      <c r="W424" s="70">
        <f>'RESUMEN TOTAL'!AE543</f>
        <v>0</v>
      </c>
      <c r="X424" s="70">
        <f>'RESUMEN TOTAL'!AF543</f>
        <v>0</v>
      </c>
      <c r="Y424" s="70">
        <f>'RESUMEN TOTAL'!AG543</f>
        <v>0</v>
      </c>
      <c r="Z424" s="70">
        <f>'RESUMEN TOTAL'!AH543</f>
        <v>0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>
        <f>'RESUMEN TOTAL'!AA544</f>
        <v>0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>
        <f>'RESUMEN TOTAL'!AB547</f>
        <v>0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>
        <f>'RESUMEN TOTAL'!Z548</f>
        <v>0</v>
      </c>
      <c r="S428" s="70">
        <f>'RESUMEN TOTAL'!AA548</f>
        <v>0</v>
      </c>
      <c r="T428" s="70">
        <f>'RESUMEN TOTAL'!AB548</f>
        <v>0</v>
      </c>
      <c r="U428" s="70">
        <f>'RESUMEN TOTAL'!AC548</f>
        <v>0</v>
      </c>
      <c r="V428" s="70">
        <f>'RESUMEN TOTAL'!AD548</f>
        <v>0</v>
      </c>
      <c r="W428" s="70">
        <f>'RESUMEN TOTAL'!AE548</f>
        <v>0</v>
      </c>
      <c r="X428" s="70">
        <f>'RESUMEN TOTAL'!AF548</f>
        <v>0</v>
      </c>
      <c r="Y428" s="70">
        <f>'RESUMEN TOTAL'!AG548</f>
        <v>0</v>
      </c>
      <c r="Z428" s="70">
        <f>'RESUMEN TOTAL'!AH548</f>
        <v>0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>
        <f>'RESUMEN TOTAL'!AB549</f>
        <v>0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>
        <f>'RESUMEN TOTAL'!Z551</f>
        <v>0</v>
      </c>
      <c r="S431" s="70">
        <f>'RESUMEN TOTAL'!AA551</f>
        <v>0</v>
      </c>
      <c r="T431" s="70">
        <f>'RESUMEN TOTAL'!AB551</f>
        <v>0</v>
      </c>
      <c r="U431" s="70">
        <f>'RESUMEN TOTAL'!AC551</f>
        <v>0</v>
      </c>
      <c r="V431" s="70">
        <f>'RESUMEN TOTAL'!AD551</f>
        <v>0</v>
      </c>
      <c r="W431" s="70">
        <f>'RESUMEN TOTAL'!AE551</f>
        <v>0</v>
      </c>
      <c r="X431" s="70">
        <f>'RESUMEN TOTAL'!AF551</f>
        <v>0</v>
      </c>
      <c r="Y431" s="70">
        <f>'RESUMEN TOTAL'!AG551</f>
        <v>0</v>
      </c>
      <c r="Z431" s="70">
        <f>'RESUMEN TOTAL'!AH551</f>
        <v>0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>
        <f>'RESUMEN TOTAL'!AA555</f>
        <v>0</v>
      </c>
      <c r="T434" s="70">
        <f>'RESUMEN TOTAL'!AB555</f>
        <v>0</v>
      </c>
      <c r="U434" s="70">
        <f>'RESUMEN TOTAL'!AC555</f>
        <v>0</v>
      </c>
      <c r="V434" s="70">
        <f>'RESUMEN TOTAL'!AD555</f>
        <v>0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>
        <f>'RESUMEN TOTAL'!AA556</f>
        <v>0</v>
      </c>
      <c r="T435" s="70">
        <f>'RESUMEN TOTAL'!AB556</f>
        <v>0</v>
      </c>
      <c r="U435" s="70">
        <f>'RESUMEN TOTAL'!AC556</f>
        <v>0</v>
      </c>
      <c r="V435" s="70">
        <f>'RESUMEN TOTAL'!AD556</f>
        <v>0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>
        <f>'RESUMEN TOTAL'!Z560</f>
        <v>0</v>
      </c>
      <c r="S436" s="70">
        <f>'RESUMEN TOTAL'!AA560</f>
        <v>0</v>
      </c>
      <c r="T436" s="70">
        <f>'RESUMEN TOTAL'!AB560</f>
        <v>0</v>
      </c>
      <c r="U436" s="70">
        <f>'RESUMEN TOTAL'!AC560</f>
        <v>0</v>
      </c>
      <c r="V436" s="70">
        <f>'RESUMEN TOTAL'!AD560</f>
        <v>0</v>
      </c>
      <c r="W436" s="70">
        <f>'RESUMEN TOTAL'!AE560</f>
        <v>0</v>
      </c>
      <c r="X436" s="70">
        <f>'RESUMEN TOTAL'!AF560</f>
        <v>0</v>
      </c>
      <c r="Y436" s="70">
        <f>'RESUMEN TOTAL'!AG560</f>
        <v>0</v>
      </c>
      <c r="Z436" s="70">
        <f>'RESUMEN TOTAL'!AH560</f>
        <v>0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>
        <f>'RESUMEN TOTAL'!Z562</f>
        <v>0</v>
      </c>
      <c r="S438" s="70">
        <f>'RESUMEN TOTAL'!AA562</f>
        <v>0</v>
      </c>
      <c r="T438" s="70">
        <f>'RESUMEN TOTAL'!AB562</f>
        <v>0</v>
      </c>
      <c r="U438" s="70">
        <f>'RESUMEN TOTAL'!AC562</f>
        <v>0</v>
      </c>
      <c r="V438" s="70">
        <f>'RESUMEN TOTAL'!AD562</f>
        <v>0</v>
      </c>
      <c r="W438" s="70">
        <f>'RESUMEN TOTAL'!AE562</f>
        <v>0</v>
      </c>
      <c r="X438" s="70">
        <f>'RESUMEN TOTAL'!AF562</f>
        <v>0</v>
      </c>
      <c r="Y438" s="70">
        <f>'RESUMEN TOTAL'!AG562</f>
        <v>0</v>
      </c>
      <c r="Z438" s="70">
        <f>'RESUMEN TOTAL'!AH562</f>
        <v>0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>
        <f>'RESUMEN TOTAL'!AD567</f>
        <v>0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>
        <f>'RESUMEN TOTAL'!AD568</f>
        <v>0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>
        <f>'RESUMEN TOTAL'!AD569</f>
        <v>0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>
        <f>'RESUMEN TOTAL'!Z570</f>
        <v>0</v>
      </c>
      <c r="S445" s="70">
        <f>'RESUMEN TOTAL'!AA570</f>
        <v>0</v>
      </c>
      <c r="T445" s="70">
        <f>'RESUMEN TOTAL'!AB570</f>
        <v>0</v>
      </c>
      <c r="U445" s="70">
        <f>'RESUMEN TOTAL'!AC570</f>
        <v>0</v>
      </c>
      <c r="V445" s="70">
        <f>'RESUMEN TOTAL'!AD570</f>
        <v>0</v>
      </c>
      <c r="W445" s="70">
        <f>'RESUMEN TOTAL'!AE570</f>
        <v>0</v>
      </c>
      <c r="X445" s="70">
        <f>'RESUMEN TOTAL'!AF570</f>
        <v>0</v>
      </c>
      <c r="Y445" s="70">
        <f>'RESUMEN TOTAL'!AG570</f>
        <v>0</v>
      </c>
      <c r="Z445" s="70">
        <f>'RESUMEN TOTAL'!AH570</f>
        <v>0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>
        <f>'RESUMEN TOTAL'!AD571</f>
        <v>0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>
        <f>'RESUMEN TOTAL'!AD572</f>
        <v>0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>
        <f>'RESUMEN TOTAL'!AD573</f>
        <v>0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>
        <f>'RESUMEN TOTAL'!AD574</f>
        <v>0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>
        <f>'RESUMEN TOTAL'!AD582</f>
        <v>0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>
        <f>'RESUMEN TOTAL'!Z588</f>
        <v>0</v>
      </c>
      <c r="S460" s="70">
        <f>'RESUMEN TOTAL'!AA588</f>
        <v>0</v>
      </c>
      <c r="T460" s="70">
        <f>'RESUMEN TOTAL'!AB588</f>
        <v>0</v>
      </c>
      <c r="U460" s="70">
        <f>'RESUMEN TOTAL'!AC588</f>
        <v>0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>
        <f>'RESUMEN TOTAL'!AG588</f>
        <v>0</v>
      </c>
      <c r="Z460" s="70">
        <f>'RESUMEN TOTAL'!AH588</f>
        <v>0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M5" sqref="M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0</v>
      </c>
      <c r="S3" s="46">
        <f>COUNTIFS('RESUMEN TOTAL'!AA8:AA700,"=APAGADO",'RESUMEN TOTAL'!C8:C700,"=BONOMO")</f>
        <v>0</v>
      </c>
      <c r="T3" s="46">
        <f>COUNTIFS('RESUMEN TOTAL'!AB8:AB700,"=APAGADO",'RESUMEN TOTAL'!C8:C700,"=BONOMO")</f>
        <v>0</v>
      </c>
      <c r="U3" s="46">
        <f>COUNTIFS('RESUMEN TOTAL'!AC8:AC700,"=APAGADO",'RESUMEN TOTAL'!C8:C700,"=BONOMO")</f>
        <v>0</v>
      </c>
      <c r="V3" s="46">
        <f>COUNTIFS('RESUMEN TOTAL'!AD8:AD700,"=APAGADO",'RESUMEN TOTAL'!C8:C700,"=BONOMO")</f>
        <v>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0</v>
      </c>
      <c r="Z3" s="46">
        <f>COUNTIFS('RESUMEN TOTAL'!AH8:AH700,"=APAGADO",'RESUMEN TOTAL'!C8:C700,"=BONOMO")</f>
        <v>0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 t="e">
        <f t="shared" ref="AJ4" si="2"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0</v>
      </c>
      <c r="S5" s="46">
        <f>COUNTIFS('RESUMEN TOTAL'!AA10:AA702,"=APAGADO",'RESUMEN TOTAL'!C10:C702,"=COSEIDI")</f>
        <v>0</v>
      </c>
      <c r="T5" s="46">
        <v>0</v>
      </c>
      <c r="U5" s="46">
        <f>COUNTIFS('RESUMEN TOTAL'!Z10:Z702,"=APAGADO",'RESUMEN TOTAL'!C10:C702,"=COSEIDI")</f>
        <v>0</v>
      </c>
      <c r="V5" s="46">
        <f>COUNTIFS('RESUMEN TOTAL'!AD10:AD702,"=APAGADO",'RESUMEN TOTAL'!C10:C702,"=COSEIDI")</f>
        <v>0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0</v>
      </c>
      <c r="Z5" s="46">
        <f>COUNTIFS('RESUMEN TOTAL'!AH10:AH702,"=APAGADO",'RESUMEN TOTAL'!C10:C702,"=COSEIDI")</f>
        <v>0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0.23297491039426524</v>
      </c>
      <c r="L6" s="50">
        <f t="shared" si="3"/>
        <v>0.1863799283154122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34" zoomScaleNormal="100" workbookViewId="0">
      <selection activeCell="D154" sqref="D1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5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6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6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6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6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6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6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6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5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6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6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6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6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6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6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6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5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6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6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6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6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6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6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6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7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5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6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6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6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6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6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6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6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7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5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6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6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6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6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6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6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6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7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5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6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6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6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6"/>
    </row>
    <row r="62" spans="1:6" ht="15.75" thickBot="1" x14ac:dyDescent="0.3">
      <c r="B62" s="56"/>
      <c r="C62" s="129"/>
      <c r="D62" s="102"/>
      <c r="E62" s="74">
        <f>D62/C57</f>
        <v>0</v>
      </c>
      <c r="F62" s="146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6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6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7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5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6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6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6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6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6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6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6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7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5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6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6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6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6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6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6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6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7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5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6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6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6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6"/>
    </row>
    <row r="95" spans="1:6" ht="15.75" thickBot="1" x14ac:dyDescent="0.3">
      <c r="B95" s="56"/>
      <c r="C95" s="129"/>
      <c r="D95" s="102"/>
      <c r="E95" s="74">
        <f>D95/C90</f>
        <v>0</v>
      </c>
      <c r="F95" s="146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6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6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7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5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6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6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6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6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6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6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6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7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5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6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6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6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6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6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6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6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7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5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6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6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6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6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6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6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6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7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5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6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6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6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6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6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6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6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7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5">
        <v>46126</v>
      </c>
    </row>
    <row r="146" spans="2:6" x14ac:dyDescent="0.25">
      <c r="B146" s="53" t="s">
        <v>6</v>
      </c>
      <c r="C146" s="66">
        <v>160</v>
      </c>
      <c r="D146" s="54"/>
      <c r="E146" s="55">
        <f>C146/C145</f>
        <v>0.27303754266211605</v>
      </c>
      <c r="F146" s="146"/>
    </row>
    <row r="147" spans="2:6" x14ac:dyDescent="0.25">
      <c r="B147" s="53" t="s">
        <v>1235</v>
      </c>
      <c r="C147" s="67">
        <v>0</v>
      </c>
      <c r="D147" s="101">
        <f>C146-C147</f>
        <v>160</v>
      </c>
      <c r="E147" s="55">
        <f>D147/C145</f>
        <v>0.27303754266211605</v>
      </c>
      <c r="F147" s="146"/>
    </row>
    <row r="148" spans="2:6" x14ac:dyDescent="0.25">
      <c r="B148" s="53" t="s">
        <v>1236</v>
      </c>
      <c r="C148" s="67">
        <v>11</v>
      </c>
      <c r="D148" s="101">
        <f>D147-C148</f>
        <v>149</v>
      </c>
      <c r="E148" s="55">
        <f>D148/C145</f>
        <v>0.25426621160409557</v>
      </c>
      <c r="F148" s="146"/>
    </row>
    <row r="149" spans="2:6" x14ac:dyDescent="0.25">
      <c r="B149" s="53" t="s">
        <v>15</v>
      </c>
      <c r="C149" s="92">
        <v>27</v>
      </c>
      <c r="D149" s="101">
        <f>D148-C149</f>
        <v>122</v>
      </c>
      <c r="E149" s="55">
        <f>D149/C145</f>
        <v>0.20819112627986347</v>
      </c>
      <c r="F149" s="146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6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6"/>
    </row>
    <row r="152" spans="2:6" ht="16.5" thickTop="1" thickBot="1" x14ac:dyDescent="0.3">
      <c r="B152" s="96" t="s">
        <v>1054</v>
      </c>
      <c r="C152" s="97">
        <v>307</v>
      </c>
      <c r="D152" s="113">
        <v>87</v>
      </c>
      <c r="E152" s="103">
        <v>0</v>
      </c>
      <c r="F152" s="146"/>
    </row>
    <row r="153" spans="2:6" ht="15.75" thickBot="1" x14ac:dyDescent="0.3">
      <c r="B153" s="110" t="s">
        <v>1055</v>
      </c>
      <c r="C153" s="111">
        <f>COSEIDIcam</f>
        <v>279</v>
      </c>
      <c r="D153" s="111">
        <v>72</v>
      </c>
      <c r="E153" s="112">
        <v>0</v>
      </c>
      <c r="F153" s="147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46"/>
    </row>
    <row r="158" spans="2:6" x14ac:dyDescent="0.25">
      <c r="B158" s="53" t="s">
        <v>1235</v>
      </c>
      <c r="C158" s="67">
        <v>0</v>
      </c>
      <c r="D158" s="101">
        <v>0</v>
      </c>
      <c r="E158" s="55">
        <f>D158/C156</f>
        <v>0</v>
      </c>
      <c r="F158" s="146"/>
    </row>
    <row r="159" spans="2:6" x14ac:dyDescent="0.25">
      <c r="B159" s="53" t="s">
        <v>1236</v>
      </c>
      <c r="C159" s="67">
        <v>0</v>
      </c>
      <c r="D159" s="101">
        <v>0</v>
      </c>
      <c r="E159" s="55">
        <f>D159/C156</f>
        <v>0</v>
      </c>
      <c r="F159" s="146"/>
    </row>
    <row r="160" spans="2:6" x14ac:dyDescent="0.25">
      <c r="B160" s="53" t="s">
        <v>15</v>
      </c>
      <c r="C160" s="92">
        <f>'RESUMEN TOTAL'!AB5</f>
        <v>0</v>
      </c>
      <c r="D160" s="101">
        <f>D159-C160</f>
        <v>0</v>
      </c>
      <c r="E160" s="55">
        <f>D160/C156</f>
        <v>0</v>
      </c>
      <c r="F160" s="146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6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6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0</v>
      </c>
      <c r="E163" s="103">
        <f>D163/C163</f>
        <v>0</v>
      </c>
      <c r="F163" s="146"/>
    </row>
    <row r="164" spans="2:6" ht="15.75" thickBot="1" x14ac:dyDescent="0.3">
      <c r="B164" s="110" t="s">
        <v>1055</v>
      </c>
      <c r="C164" s="111">
        <f>COSEIDIcam</f>
        <v>279</v>
      </c>
      <c r="D164" s="111">
        <v>0</v>
      </c>
      <c r="E164" s="112">
        <v>0</v>
      </c>
      <c r="F164" s="147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5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46"/>
    </row>
    <row r="169" spans="2:6" x14ac:dyDescent="0.25">
      <c r="B169" s="53" t="s">
        <v>1235</v>
      </c>
      <c r="C169" s="67">
        <v>10</v>
      </c>
      <c r="D169" s="101">
        <f>C168-C169</f>
        <v>-10</v>
      </c>
      <c r="E169" s="55">
        <f>D169/C167</f>
        <v>-1.7064846416382253E-2</v>
      </c>
      <c r="F169" s="146"/>
    </row>
    <row r="170" spans="2:6" x14ac:dyDescent="0.25">
      <c r="B170" s="53" t="s">
        <v>1236</v>
      </c>
      <c r="C170" s="67">
        <v>8</v>
      </c>
      <c r="D170" s="101">
        <f>D169-C170</f>
        <v>-18</v>
      </c>
      <c r="E170" s="55">
        <f>D170/C167</f>
        <v>-3.0716723549488054E-2</v>
      </c>
      <c r="F170" s="146"/>
    </row>
    <row r="171" spans="2:6" x14ac:dyDescent="0.25">
      <c r="B171" s="53" t="s">
        <v>15</v>
      </c>
      <c r="C171" s="92">
        <v>5</v>
      </c>
      <c r="D171" s="101">
        <f>D170-C171</f>
        <v>-23</v>
      </c>
      <c r="E171" s="55">
        <f>D171/C167</f>
        <v>-3.9249146757679182E-2</v>
      </c>
      <c r="F171" s="146"/>
    </row>
    <row r="172" spans="2:6" ht="15.75" thickBot="1" x14ac:dyDescent="0.3">
      <c r="B172" s="56"/>
      <c r="C172" s="129"/>
      <c r="D172" s="102">
        <f>D171-C172</f>
        <v>-23</v>
      </c>
      <c r="E172" s="74">
        <f>D172/C167</f>
        <v>-3.9249146757679182E-2</v>
      </c>
      <c r="F172" s="146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6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0</v>
      </c>
      <c r="E174" s="103">
        <f>D174/C174</f>
        <v>0</v>
      </c>
      <c r="F174" s="146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7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5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46"/>
    </row>
    <row r="180" spans="2:6" x14ac:dyDescent="0.25">
      <c r="B180" s="53" t="s">
        <v>1235</v>
      </c>
      <c r="C180" s="67">
        <v>8</v>
      </c>
      <c r="D180" s="101">
        <f>C179-C180</f>
        <v>-8</v>
      </c>
      <c r="E180" s="55">
        <f>D180/C178</f>
        <v>-1.3651877133105802E-2</v>
      </c>
      <c r="F180" s="146"/>
    </row>
    <row r="181" spans="2:6" x14ac:dyDescent="0.25">
      <c r="B181" s="53" t="s">
        <v>1236</v>
      </c>
      <c r="C181" s="67">
        <v>8</v>
      </c>
      <c r="D181" s="101">
        <f>D180-C181</f>
        <v>-16</v>
      </c>
      <c r="E181" s="55">
        <f>D181/C178</f>
        <v>-2.7303754266211604E-2</v>
      </c>
      <c r="F181" s="146"/>
    </row>
    <row r="182" spans="2:6" x14ac:dyDescent="0.25">
      <c r="B182" s="53" t="s">
        <v>15</v>
      </c>
      <c r="C182" s="92">
        <v>8</v>
      </c>
      <c r="D182" s="101">
        <f>D181-C182</f>
        <v>-24</v>
      </c>
      <c r="E182" s="55">
        <f>D182/C178</f>
        <v>-4.0955631399317405E-2</v>
      </c>
      <c r="F182" s="146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6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6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0</v>
      </c>
      <c r="E185" s="103">
        <f>D185/C185</f>
        <v>0</v>
      </c>
      <c r="F185" s="146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0</v>
      </c>
      <c r="E186" s="112">
        <f>D186/C186</f>
        <v>0</v>
      </c>
      <c r="F186" s="147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5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6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6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6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6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6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6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6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7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5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6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6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6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6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6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6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6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7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46"/>
    </row>
    <row r="213" spans="2:6" x14ac:dyDescent="0.25">
      <c r="B213" s="53" t="s">
        <v>1235</v>
      </c>
      <c r="C213" s="67">
        <v>6</v>
      </c>
      <c r="D213" s="101">
        <f>C212-C213</f>
        <v>-6</v>
      </c>
      <c r="E213" s="55">
        <f>D213/C211</f>
        <v>-1.0238907849829351E-2</v>
      </c>
      <c r="F213" s="146"/>
    </row>
    <row r="214" spans="2:6" x14ac:dyDescent="0.25">
      <c r="B214" s="53" t="s">
        <v>1236</v>
      </c>
      <c r="C214" s="67">
        <v>8</v>
      </c>
      <c r="D214" s="101">
        <f>D213-C214</f>
        <v>-14</v>
      </c>
      <c r="E214" s="55">
        <f>D214/C211</f>
        <v>-2.3890784982935155E-2</v>
      </c>
      <c r="F214" s="146"/>
    </row>
    <row r="215" spans="2:6" x14ac:dyDescent="0.25">
      <c r="B215" s="53" t="s">
        <v>15</v>
      </c>
      <c r="C215" s="92">
        <v>6</v>
      </c>
      <c r="D215" s="101">
        <f>D214-C215</f>
        <v>-20</v>
      </c>
      <c r="E215" s="55">
        <f>D215/C211</f>
        <v>-3.4129692832764506E-2</v>
      </c>
      <c r="F215" s="146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6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6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0</v>
      </c>
      <c r="E218" s="103">
        <f>D218/C218</f>
        <v>0</v>
      </c>
      <c r="F218" s="146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0</v>
      </c>
      <c r="E219" s="112">
        <f>D219/C219</f>
        <v>0</v>
      </c>
      <c r="F219" s="14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46"/>
    </row>
    <row r="225" spans="2:6" x14ac:dyDescent="0.25">
      <c r="B225" s="53" t="s">
        <v>1235</v>
      </c>
      <c r="C225" s="67">
        <v>0</v>
      </c>
      <c r="D225" s="101">
        <v>0</v>
      </c>
      <c r="E225" s="55">
        <f>D225/C223</f>
        <v>0</v>
      </c>
      <c r="F225" s="146"/>
    </row>
    <row r="226" spans="2:6" x14ac:dyDescent="0.25">
      <c r="B226" s="53" t="s">
        <v>1236</v>
      </c>
      <c r="C226" s="67">
        <v>0</v>
      </c>
      <c r="D226" s="101">
        <v>0</v>
      </c>
      <c r="E226" s="55">
        <f>D226/C223</f>
        <v>0</v>
      </c>
      <c r="F226" s="146"/>
    </row>
    <row r="227" spans="2:6" x14ac:dyDescent="0.25">
      <c r="B227" s="53" t="s">
        <v>15</v>
      </c>
      <c r="C227" s="92">
        <f>'RESUMEN TOTAL'!AH5</f>
        <v>0</v>
      </c>
      <c r="D227" s="101">
        <v>0</v>
      </c>
      <c r="E227" s="55">
        <f>D227/C223</f>
        <v>0</v>
      </c>
      <c r="F227" s="146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6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6"/>
    </row>
    <row r="230" spans="2:6" ht="16.5" thickTop="1" thickBot="1" x14ac:dyDescent="0.3">
      <c r="B230" s="96" t="s">
        <v>1054</v>
      </c>
      <c r="C230" s="97">
        <v>307</v>
      </c>
      <c r="D230" s="113">
        <f>Hoja1!Z3</f>
        <v>0</v>
      </c>
      <c r="E230" s="103">
        <f>D230/C230</f>
        <v>0</v>
      </c>
      <c r="F230" s="146"/>
    </row>
    <row r="231" spans="2:6" ht="15.75" thickBot="1" x14ac:dyDescent="0.3">
      <c r="B231" s="110" t="s">
        <v>1055</v>
      </c>
      <c r="C231" s="111">
        <f>COSEIDIcam</f>
        <v>279</v>
      </c>
      <c r="D231" s="111">
        <f>Hoja1!Z5</f>
        <v>0</v>
      </c>
      <c r="E231" s="112">
        <f>D231/C231</f>
        <v>0</v>
      </c>
      <c r="F231" s="14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6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6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6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6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6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6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6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6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6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6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6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6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6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6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6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6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6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6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6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6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6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7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6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6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6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6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6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6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6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7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6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6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6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6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6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6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6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7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6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6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6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6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6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6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6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7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6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6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6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6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6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6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6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7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6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6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6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6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6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6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6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7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5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6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6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6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6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6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6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6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5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6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6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6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6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6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6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6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2026-04-14T12:46:01Z</dcterms:modified>
</cp:coreProperties>
</file>