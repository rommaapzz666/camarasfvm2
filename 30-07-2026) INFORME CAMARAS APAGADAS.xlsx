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AB3FA6B2-D65B-4AC2-8DA2-35C1DFF68D5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AW1" i="2" s="1"/>
  <c r="AW2" i="2"/>
  <c r="O589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<sst xmlns="http://schemas.openxmlformats.org/spreadsheetml/2006/main" count="7163" uniqueCount="2513">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</sst>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tabSelected="1" zoomScale="90" zoomScaleNormal="90" zoomScaleSheetLayoutView="140" workbookViewId="0">
      <pane xSplit="18" ySplit="7" topLeftCell="AT324" activePane="bottomRight" state="frozen"/>
      <selection activeCell="G1" sqref="G1"/>
      <selection pane="topRight" activeCell="S1" sqref="S1"/>
      <selection pane="bottomLeft" activeCell="G8" sqref="G8"/>
      <selection pane="bottomRight" activeCell="AV329" sqref="AV32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28515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9.5022624434389136E-2</v>
      </c>
      <c r="AT1" s="3">
        <f t="shared" si="1"/>
        <v>7.9754601226993863E-2</v>
      </c>
      <c r="AU1" s="3">
        <f>(AU3)/(AU2+AU3)</f>
        <v>9.3655589123867067E-2</v>
      </c>
      <c r="AV1" s="3">
        <f>(AV3)/(AV2+AV3)</f>
        <v>7.5500770416024654E-2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  <c r="AW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63</v>
      </c>
      <c r="AT3" s="123">
        <f t="shared" si="3"/>
        <v>52</v>
      </c>
      <c r="AU3" s="123">
        <f t="shared" si="3"/>
        <v>62</v>
      </c>
      <c r="AV3" s="123">
        <f t="shared" si="3"/>
        <v>49</v>
      </c>
      <c r="AW3" s="123">
        <f t="shared" ref="AW3" si="4">COUNTIF(AW7:AW761,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17</v>
      </c>
      <c r="AT4" s="10">
        <f>COUNTIFS(AT8:AT715, "=APAGADO",K8:K715,"=Fibra Optica")</f>
        <v>13</v>
      </c>
      <c r="AU4" s="10">
        <f>COUNTIFS(AU8:AU715, "=APAGADO",L8:L715,"=Fibra Optica")</f>
        <v>0</v>
      </c>
      <c r="AV4" s="10">
        <f>COUNTIFS(AV8:AV715, "=APAGADO",M8:M715,"=Fibra Optica")</f>
        <v>0</v>
      </c>
      <c r="AW4" s="10">
        <f>COUNTIFS(AW8:AW715, "=APAGADO",N8:N715,"=Fibra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1</v>
      </c>
      <c r="AT5" s="127">
        <f>COUNTIFS(AT8:AT715, "=APAGADO",K8:K715,"=RADIO")</f>
        <v>1</v>
      </c>
      <c r="AU5" s="127">
        <f>COUNTIFS(AU8:AU715, "=APAGADO",L8:L715,"=RADIO")</f>
        <v>0</v>
      </c>
      <c r="AV5" s="127">
        <f>COUNTIFS(AV8:AV715, "=APAGADO",M8:M715,"=RADIO")</f>
        <v>0</v>
      </c>
      <c r="AW5" s="127">
        <f>COUNTIFS(AW8:AW715, "=APAGADO",N8:N715,"=RADIO")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8</v>
      </c>
      <c r="AT6" s="10">
        <f>COUNTIFS(AT8:AT715, "=APAGADO",K8:K715,"=PTO A FO")</f>
        <v>6</v>
      </c>
      <c r="AU6" s="10">
        <f>COUNTIFS(AU8:AU715, "=APAGADO",L8:L715,"=PTO A FO")</f>
        <v>0</v>
      </c>
      <c r="AV6" s="10">
        <f>COUNTIFS(AV8:AV715, "=APAGADO",M8:M715,"=PTO A FO")</f>
        <v>0</v>
      </c>
      <c r="AW6" s="10">
        <f>COUNTIFS(AW8:AW715, "=APAGADO",N8:N715,"=PTO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28</v>
      </c>
      <c r="P13" s="136" t="s">
        <v>1629</v>
      </c>
      <c r="Q13" s="131">
        <f t="shared" si="6"/>
        <v>0</v>
      </c>
      <c r="R13" s="132">
        <f t="shared" si="7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28</v>
      </c>
      <c r="P14" s="136" t="s">
        <v>2098</v>
      </c>
      <c r="Q14" s="31">
        <f t="shared" si="6"/>
        <v>0</v>
      </c>
      <c r="R14" s="32">
        <f t="shared" si="7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27</v>
      </c>
      <c r="P15" s="136" t="s">
        <v>1620</v>
      </c>
      <c r="Q15" s="31">
        <f t="shared" si="6"/>
        <v>1</v>
      </c>
      <c r="R15" s="32">
        <f t="shared" si="7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27</v>
      </c>
      <c r="P16" s="136" t="s">
        <v>1621</v>
      </c>
      <c r="Q16" s="31">
        <f t="shared" si="6"/>
        <v>1</v>
      </c>
      <c r="R16" s="32">
        <f t="shared" si="7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28</v>
      </c>
      <c r="P17" s="136" t="s">
        <v>1624</v>
      </c>
      <c r="Q17" s="131">
        <f t="shared" si="6"/>
        <v>0</v>
      </c>
      <c r="R17" s="132">
        <f t="shared" si="7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28</v>
      </c>
      <c r="P25" s="136" t="s">
        <v>2099</v>
      </c>
      <c r="Q25" s="131">
        <f t="shared" si="6"/>
        <v>0</v>
      </c>
      <c r="R25" s="132">
        <f t="shared" si="7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24</v>
      </c>
      <c r="P30" s="136" t="s">
        <v>1634</v>
      </c>
      <c r="Q30" s="31">
        <f t="shared" ref="Q30:Q61" si="9">COUNTIF(S30:AT30,"APAGADO")</f>
        <v>4</v>
      </c>
      <c r="R30" s="32">
        <f t="shared" ref="R30:R61" si="10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24</v>
      </c>
      <c r="P31" s="136" t="s">
        <v>1635</v>
      </c>
      <c r="Q31" s="31">
        <f t="shared" si="9"/>
        <v>4</v>
      </c>
      <c r="R31" s="32">
        <f t="shared" si="10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19</v>
      </c>
      <c r="P32" s="136" t="s">
        <v>1636</v>
      </c>
      <c r="Q32" s="31">
        <f t="shared" si="9"/>
        <v>9</v>
      </c>
      <c r="R32" s="32">
        <f t="shared" si="10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19</v>
      </c>
      <c r="P33" s="136" t="s">
        <v>1637</v>
      </c>
      <c r="Q33" s="31">
        <f t="shared" si="9"/>
        <v>9</v>
      </c>
      <c r="R33" s="32">
        <f t="shared" si="10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26</v>
      </c>
      <c r="P34" s="136" t="s">
        <v>1638</v>
      </c>
      <c r="Q34" s="31">
        <f t="shared" si="9"/>
        <v>2</v>
      </c>
      <c r="R34" s="32">
        <f t="shared" si="10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27</v>
      </c>
      <c r="P36" s="136" t="s">
        <v>1642</v>
      </c>
      <c r="Q36" s="31">
        <f t="shared" si="9"/>
        <v>1</v>
      </c>
      <c r="R36" s="32">
        <f t="shared" si="10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27</v>
      </c>
      <c r="P37" s="136" t="s">
        <v>1643</v>
      </c>
      <c r="Q37" s="31">
        <f t="shared" si="9"/>
        <v>1</v>
      </c>
      <c r="R37" s="32">
        <f t="shared" si="10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26</v>
      </c>
      <c r="P38" s="136" t="s">
        <v>2104</v>
      </c>
      <c r="Q38" s="31">
        <f t="shared" si="9"/>
        <v>2</v>
      </c>
      <c r="R38" s="32">
        <f t="shared" si="10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26</v>
      </c>
      <c r="P39" s="136" t="s">
        <v>2128</v>
      </c>
      <c r="Q39" s="31">
        <f t="shared" si="9"/>
        <v>2</v>
      </c>
      <c r="R39" s="32">
        <f t="shared" si="10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26</v>
      </c>
      <c r="P40" s="136" t="s">
        <v>2129</v>
      </c>
      <c r="Q40" s="31">
        <f t="shared" si="9"/>
        <v>2</v>
      </c>
      <c r="R40" s="32">
        <f t="shared" si="10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27</v>
      </c>
      <c r="P41" s="136" t="s">
        <v>2130</v>
      </c>
      <c r="Q41" s="31">
        <f t="shared" si="9"/>
        <v>1</v>
      </c>
      <c r="R41" s="32">
        <f t="shared" si="10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23</v>
      </c>
      <c r="P42" s="136" t="s">
        <v>2172</v>
      </c>
      <c r="Q42" s="31">
        <f t="shared" si="9"/>
        <v>5</v>
      </c>
      <c r="R42" s="32">
        <f t="shared" si="10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 t="s">
        <v>2208</v>
      </c>
      <c r="AW42" s="73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23</v>
      </c>
      <c r="P43" s="136" t="s">
        <v>2176</v>
      </c>
      <c r="Q43" s="31">
        <f t="shared" si="9"/>
        <v>5</v>
      </c>
      <c r="R43" s="32">
        <f t="shared" si="10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 t="s">
        <v>2208</v>
      </c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28</v>
      </c>
      <c r="P44" s="136" t="s">
        <v>1648</v>
      </c>
      <c r="Q44" s="31">
        <f t="shared" si="9"/>
        <v>0</v>
      </c>
      <c r="R44" s="32">
        <f t="shared" si="10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27</v>
      </c>
      <c r="P47" s="136" t="s">
        <v>1677</v>
      </c>
      <c r="Q47" s="31">
        <f t="shared" si="9"/>
        <v>1</v>
      </c>
      <c r="R47" s="32">
        <f t="shared" si="10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27</v>
      </c>
      <c r="P57" s="136" t="s">
        <v>1701</v>
      </c>
      <c r="Q57" s="131">
        <f t="shared" si="9"/>
        <v>1</v>
      </c>
      <c r="R57" s="132">
        <f t="shared" si="10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28</v>
      </c>
      <c r="P62" s="136" t="s">
        <v>1714</v>
      </c>
      <c r="Q62" s="131">
        <f t="shared" ref="Q62:Q93" si="12">COUNTIF(S62:AT62,"APAGADO")</f>
        <v>0</v>
      </c>
      <c r="R62" s="132">
        <f t="shared" ref="R62:R93" si="13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27</v>
      </c>
      <c r="P64" s="136" t="s">
        <v>1716</v>
      </c>
      <c r="Q64" s="31">
        <f t="shared" si="12"/>
        <v>1</v>
      </c>
      <c r="R64" s="32">
        <f t="shared" si="13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27</v>
      </c>
      <c r="P66" s="136" t="s">
        <v>1718</v>
      </c>
      <c r="Q66" s="31">
        <f t="shared" si="12"/>
        <v>1</v>
      </c>
      <c r="R66" s="32">
        <f t="shared" si="13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27</v>
      </c>
      <c r="P67" s="136" t="s">
        <v>1719</v>
      </c>
      <c r="Q67" s="31">
        <f t="shared" si="12"/>
        <v>1</v>
      </c>
      <c r="R67" s="32">
        <f t="shared" si="13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27</v>
      </c>
      <c r="P68" s="136" t="s">
        <v>1720</v>
      </c>
      <c r="Q68" s="31">
        <f t="shared" si="12"/>
        <v>1</v>
      </c>
      <c r="R68" s="32">
        <f t="shared" si="13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28</v>
      </c>
      <c r="P69" s="136" t="s">
        <v>1721</v>
      </c>
      <c r="Q69" s="131">
        <f t="shared" si="12"/>
        <v>0</v>
      </c>
      <c r="R69" s="132">
        <f t="shared" si="13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28</v>
      </c>
      <c r="P70" s="136" t="s">
        <v>1723</v>
      </c>
      <c r="Q70" s="131">
        <f t="shared" si="12"/>
        <v>0</v>
      </c>
      <c r="R70" s="132">
        <f t="shared" si="13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24</v>
      </c>
      <c r="P71" s="136" t="s">
        <v>1724</v>
      </c>
      <c r="Q71" s="31">
        <f t="shared" si="12"/>
        <v>4</v>
      </c>
      <c r="R71" s="32">
        <f t="shared" si="13"/>
        <v>0.8571428571428571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 t="s">
        <v>2208</v>
      </c>
      <c r="AT71" s="70" t="s">
        <v>2208</v>
      </c>
      <c r="AU71" s="70" t="s">
        <v>2208</v>
      </c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10</v>
      </c>
      <c r="P77" s="136" t="s">
        <v>2414</v>
      </c>
      <c r="Q77" s="31">
        <f t="shared" si="12"/>
        <v>18</v>
      </c>
      <c r="R77" s="32">
        <f t="shared" si="13"/>
        <v>0.35714285714285715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 t="s">
        <v>2208</v>
      </c>
      <c r="AT77" s="70" t="s">
        <v>2208</v>
      </c>
      <c r="AU77" s="70" t="s">
        <v>2208</v>
      </c>
      <c r="AV77" s="70" t="s">
        <v>2208</v>
      </c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27</v>
      </c>
      <c r="P84" s="136" t="s">
        <v>1656</v>
      </c>
      <c r="Q84" s="31">
        <f t="shared" si="12"/>
        <v>1</v>
      </c>
      <c r="R84" s="32">
        <f t="shared" si="13"/>
        <v>0.9642857142857143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 t="s">
        <v>2208</v>
      </c>
      <c r="AU84" s="70" t="s">
        <v>2208</v>
      </c>
      <c r="AV84" s="70" t="s">
        <v>2208</v>
      </c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28</v>
      </c>
      <c r="P91" s="136" t="s">
        <v>2292</v>
      </c>
      <c r="Q91" s="31">
        <f t="shared" si="12"/>
        <v>0</v>
      </c>
      <c r="R91" s="32">
        <f t="shared" si="13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27</v>
      </c>
      <c r="P98" s="136" t="s">
        <v>1668</v>
      </c>
      <c r="Q98" s="31">
        <f t="shared" si="15"/>
        <v>1</v>
      </c>
      <c r="R98" s="32">
        <f t="shared" si="16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27</v>
      </c>
      <c r="P101" s="136" t="s">
        <v>1671</v>
      </c>
      <c r="Q101" s="31">
        <f t="shared" si="15"/>
        <v>1</v>
      </c>
      <c r="R101" s="32">
        <f t="shared" si="16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27</v>
      </c>
      <c r="P104" s="136" t="s">
        <v>1674</v>
      </c>
      <c r="Q104" s="31">
        <f t="shared" si="15"/>
        <v>1</v>
      </c>
      <c r="R104" s="32">
        <f t="shared" si="16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27</v>
      </c>
      <c r="P105" s="136" t="s">
        <v>1675</v>
      </c>
      <c r="Q105" s="31">
        <f t="shared" si="15"/>
        <v>1</v>
      </c>
      <c r="R105" s="32">
        <f t="shared" si="16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27</v>
      </c>
      <c r="P108" s="136" t="s">
        <v>1679</v>
      </c>
      <c r="Q108" s="31">
        <f t="shared" si="15"/>
        <v>1</v>
      </c>
      <c r="R108" s="32">
        <f t="shared" si="16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19</v>
      </c>
      <c r="P110" s="136" t="s">
        <v>1681</v>
      </c>
      <c r="Q110" s="31">
        <f t="shared" si="15"/>
        <v>9</v>
      </c>
      <c r="R110" s="32">
        <f t="shared" si="16"/>
        <v>0.6785714285714286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 t="s">
        <v>2208</v>
      </c>
      <c r="AT110" s="70" t="s">
        <v>2208</v>
      </c>
      <c r="AU110" s="70" t="s">
        <v>2208</v>
      </c>
      <c r="AV110" s="70" t="s">
        <v>2208</v>
      </c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23</v>
      </c>
      <c r="P111" s="136" t="s">
        <v>1682</v>
      </c>
      <c r="Q111" s="131">
        <f t="shared" si="15"/>
        <v>5</v>
      </c>
      <c r="R111" s="132">
        <f t="shared" si="16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28</v>
      </c>
      <c r="P112" s="136" t="s">
        <v>1683</v>
      </c>
      <c r="Q112" s="31">
        <f t="shared" si="15"/>
        <v>0</v>
      </c>
      <c r="R112" s="32">
        <f t="shared" si="16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27</v>
      </c>
      <c r="P118" s="136" t="s">
        <v>1689</v>
      </c>
      <c r="Q118" s="31">
        <f t="shared" si="15"/>
        <v>1</v>
      </c>
      <c r="R118" s="32">
        <f t="shared" si="16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10</v>
      </c>
      <c r="P131" s="136" t="s">
        <v>1726</v>
      </c>
      <c r="Q131" s="131">
        <f t="shared" si="18"/>
        <v>18</v>
      </c>
      <c r="R131" s="132">
        <f t="shared" si="19"/>
        <v>0.35714285714285715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 t="s">
        <v>2208</v>
      </c>
      <c r="AT131" s="70" t="s">
        <v>2208</v>
      </c>
      <c r="AU131" s="70" t="s">
        <v>2208</v>
      </c>
      <c r="AV131" s="70" t="s">
        <v>2208</v>
      </c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19</v>
      </c>
      <c r="P138" s="136" t="s">
        <v>2131</v>
      </c>
      <c r="Q138" s="131">
        <f t="shared" si="18"/>
        <v>9</v>
      </c>
      <c r="R138" s="132">
        <f t="shared" si="19"/>
        <v>0.6785714285714286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 t="s">
        <v>2208</v>
      </c>
      <c r="AT138" s="70" t="s">
        <v>2208</v>
      </c>
      <c r="AU138" s="70" t="s">
        <v>2208</v>
      </c>
      <c r="AV138" s="70" t="s">
        <v>2208</v>
      </c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27</v>
      </c>
      <c r="P145" s="136"/>
      <c r="Q145" s="31">
        <f t="shared" si="18"/>
        <v>1</v>
      </c>
      <c r="R145" s="32">
        <f t="shared" si="19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27</v>
      </c>
      <c r="P146" s="136" t="s">
        <v>1736</v>
      </c>
      <c r="Q146" s="31">
        <f t="shared" si="18"/>
        <v>1</v>
      </c>
      <c r="R146" s="32">
        <f t="shared" si="19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26</v>
      </c>
      <c r="P148" s="136" t="s">
        <v>1738</v>
      </c>
      <c r="Q148" s="31">
        <f t="shared" si="18"/>
        <v>2</v>
      </c>
      <c r="R148" s="32">
        <f t="shared" si="19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14</v>
      </c>
      <c r="P149" s="136" t="s">
        <v>1739</v>
      </c>
      <c r="Q149" s="31">
        <f t="shared" si="18"/>
        <v>14</v>
      </c>
      <c r="R149" s="32">
        <f t="shared" si="19"/>
        <v>0.5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 t="s">
        <v>2208</v>
      </c>
      <c r="AT149" s="70" t="s">
        <v>2208</v>
      </c>
      <c r="AU149" s="70" t="s">
        <v>2208</v>
      </c>
      <c r="AV149" s="70" t="s">
        <v>2208</v>
      </c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21</v>
      </c>
      <c r="P150" s="136" t="s">
        <v>1738</v>
      </c>
      <c r="Q150" s="31">
        <f t="shared" si="18"/>
        <v>7</v>
      </c>
      <c r="R150" s="32">
        <f t="shared" si="19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 t="s">
        <v>2208</v>
      </c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26</v>
      </c>
      <c r="P151" s="136" t="s">
        <v>1740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28</v>
      </c>
      <c r="P155" s="136" t="s">
        <v>2297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27</v>
      </c>
      <c r="P164" s="136" t="s">
        <v>1746</v>
      </c>
      <c r="Q164" s="131">
        <f t="shared" si="21"/>
        <v>1</v>
      </c>
      <c r="R164" s="132">
        <f t="shared" si="22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27</v>
      </c>
      <c r="P166" s="136" t="s">
        <v>1745</v>
      </c>
      <c r="Q166" s="131">
        <f t="shared" si="21"/>
        <v>1</v>
      </c>
      <c r="R166" s="132">
        <f t="shared" si="22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18</v>
      </c>
      <c r="P167" s="136" t="s">
        <v>1747</v>
      </c>
      <c r="Q167" s="31">
        <f t="shared" si="21"/>
        <v>10</v>
      </c>
      <c r="R167" s="32">
        <f t="shared" si="22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 t="s">
        <v>2208</v>
      </c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23</v>
      </c>
      <c r="P168" s="136" t="s">
        <v>1748</v>
      </c>
      <c r="Q168" s="31">
        <f t="shared" si="21"/>
        <v>5</v>
      </c>
      <c r="R168" s="32">
        <f t="shared" si="22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 t="s">
        <v>2208</v>
      </c>
      <c r="AV168" s="70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23</v>
      </c>
      <c r="P169" s="136" t="s">
        <v>1749</v>
      </c>
      <c r="Q169" s="31">
        <f t="shared" si="21"/>
        <v>5</v>
      </c>
      <c r="R169" s="32">
        <f t="shared" si="22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 t="s">
        <v>2208</v>
      </c>
      <c r="AV169" s="70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23</v>
      </c>
      <c r="P170" s="136" t="s">
        <v>1750</v>
      </c>
      <c r="Q170" s="31">
        <f t="shared" si="21"/>
        <v>5</v>
      </c>
      <c r="R170" s="32">
        <f t="shared" si="22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 t="s">
        <v>2208</v>
      </c>
      <c r="AV170" s="70"/>
      <c r="AW170" s="73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23</v>
      </c>
      <c r="P171" s="136" t="s">
        <v>1751</v>
      </c>
      <c r="Q171" s="31">
        <f t="shared" si="21"/>
        <v>5</v>
      </c>
      <c r="R171" s="32">
        <f t="shared" si="22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 t="s">
        <v>2208</v>
      </c>
      <c r="AV171" s="70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10</v>
      </c>
      <c r="P172" s="140" t="s">
        <v>1752</v>
      </c>
      <c r="Q172" s="139">
        <f t="shared" si="21"/>
        <v>18</v>
      </c>
      <c r="R172" s="141">
        <f t="shared" si="22"/>
        <v>0.35714285714285715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 t="s">
        <v>2208</v>
      </c>
      <c r="AT172" s="70" t="s">
        <v>2208</v>
      </c>
      <c r="AU172" s="70" t="s">
        <v>2208</v>
      </c>
      <c r="AV172" s="70" t="s">
        <v>2208</v>
      </c>
    </row>
    <row r="173" spans="1:49" s="69" customFormat="1" ht="15.75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 t="s">
        <v>2208</v>
      </c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26</v>
      </c>
      <c r="P175" s="136" t="s">
        <v>1764</v>
      </c>
      <c r="Q175" s="31">
        <f t="shared" si="21"/>
        <v>2</v>
      </c>
      <c r="R175" s="32">
        <f t="shared" si="22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26</v>
      </c>
      <c r="P176" s="136" t="s">
        <v>2433</v>
      </c>
      <c r="Q176" s="31">
        <f t="shared" si="21"/>
        <v>2</v>
      </c>
      <c r="R176" s="32">
        <f t="shared" si="22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27</v>
      </c>
      <c r="P177" s="136" t="s">
        <v>1765</v>
      </c>
      <c r="Q177" s="31">
        <f t="shared" si="21"/>
        <v>1</v>
      </c>
      <c r="R177" s="32">
        <f t="shared" si="22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27</v>
      </c>
      <c r="P178" s="136" t="s">
        <v>1766</v>
      </c>
      <c r="Q178" s="31">
        <f t="shared" si="21"/>
        <v>1</v>
      </c>
      <c r="R178" s="32">
        <f t="shared" si="22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27</v>
      </c>
      <c r="P179" s="136" t="s">
        <v>2363</v>
      </c>
      <c r="Q179" s="31">
        <f t="shared" si="21"/>
        <v>1</v>
      </c>
      <c r="R179" s="32">
        <f t="shared" si="22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27</v>
      </c>
      <c r="P182" s="136" t="s">
        <v>1753</v>
      </c>
      <c r="Q182" s="31">
        <f t="shared" si="21"/>
        <v>1</v>
      </c>
      <c r="R182" s="32">
        <f t="shared" si="22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20</v>
      </c>
      <c r="P183" s="136" t="s">
        <v>1754</v>
      </c>
      <c r="Q183" s="31">
        <f t="shared" si="21"/>
        <v>8</v>
      </c>
      <c r="R183" s="32">
        <f t="shared" si="22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28</v>
      </c>
      <c r="P184" s="136" t="s">
        <v>1755</v>
      </c>
      <c r="Q184" s="31">
        <f t="shared" si="21"/>
        <v>0</v>
      </c>
      <c r="R184" s="32">
        <f t="shared" si="2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27</v>
      </c>
      <c r="P185" s="136" t="s">
        <v>1756</v>
      </c>
      <c r="Q185" s="31">
        <f t="shared" si="21"/>
        <v>1</v>
      </c>
      <c r="R185" s="32">
        <f t="shared" si="22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26</v>
      </c>
      <c r="P186" s="136" t="s">
        <v>1757</v>
      </c>
      <c r="Q186" s="31">
        <f t="shared" si="21"/>
        <v>2</v>
      </c>
      <c r="R186" s="32">
        <f t="shared" si="22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27</v>
      </c>
      <c r="P188" s="136" t="s">
        <v>1759</v>
      </c>
      <c r="Q188" s="31">
        <f t="shared" si="24"/>
        <v>1</v>
      </c>
      <c r="R188" s="32">
        <f t="shared" si="25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27</v>
      </c>
      <c r="P189" s="136" t="s">
        <v>1760</v>
      </c>
      <c r="Q189" s="31">
        <f t="shared" si="24"/>
        <v>1</v>
      </c>
      <c r="R189" s="32">
        <f t="shared" si="25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27</v>
      </c>
      <c r="P190" s="136" t="s">
        <v>1761</v>
      </c>
      <c r="Q190" s="31">
        <f t="shared" si="24"/>
        <v>1</v>
      </c>
      <c r="R190" s="32">
        <f t="shared" si="25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27</v>
      </c>
      <c r="P191" s="136" t="s">
        <v>1762</v>
      </c>
      <c r="Q191" s="31">
        <f t="shared" si="24"/>
        <v>1</v>
      </c>
      <c r="R191" s="32">
        <f t="shared" si="25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27</v>
      </c>
      <c r="P192" s="136" t="s">
        <v>1763</v>
      </c>
      <c r="Q192" s="31">
        <f t="shared" si="24"/>
        <v>1</v>
      </c>
      <c r="R192" s="32">
        <f t="shared" si="25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27</v>
      </c>
      <c r="P194" s="136" t="s">
        <v>2112</v>
      </c>
      <c r="Q194" s="31">
        <f t="shared" si="24"/>
        <v>1</v>
      </c>
      <c r="R194" s="32">
        <f t="shared" si="25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23</v>
      </c>
      <c r="P196" s="136" t="s">
        <v>1769</v>
      </c>
      <c r="Q196" s="31">
        <f t="shared" si="24"/>
        <v>5</v>
      </c>
      <c r="R196" s="32">
        <f t="shared" si="25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 t="s">
        <v>2208</v>
      </c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23</v>
      </c>
      <c r="P197" s="136" t="s">
        <v>1770</v>
      </c>
      <c r="Q197" s="31">
        <f t="shared" si="24"/>
        <v>5</v>
      </c>
      <c r="R197" s="32">
        <f t="shared" si="25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 t="s">
        <v>2208</v>
      </c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10</v>
      </c>
      <c r="P198" s="140"/>
      <c r="Q198" s="139">
        <f t="shared" si="24"/>
        <v>18</v>
      </c>
      <c r="R198" s="141">
        <f t="shared" si="25"/>
        <v>0.35714285714285715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 t="s">
        <v>2208</v>
      </c>
      <c r="AT198" s="70" t="s">
        <v>2208</v>
      </c>
      <c r="AU198" s="70" t="s">
        <v>2208</v>
      </c>
      <c r="AV198" s="70" t="s">
        <v>2208</v>
      </c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28</v>
      </c>
      <c r="P201" s="136" t="s">
        <v>1781</v>
      </c>
      <c r="Q201" s="31">
        <f t="shared" si="24"/>
        <v>0</v>
      </c>
      <c r="R201" s="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27</v>
      </c>
      <c r="P209" s="136" t="s">
        <v>1771</v>
      </c>
      <c r="Q209" s="131">
        <f t="shared" ref="Q209:Q240" si="27">COUNTIF(S209:AT209,"APAGADO")</f>
        <v>1</v>
      </c>
      <c r="R209" s="132">
        <f t="shared" ref="R209:R240" si="28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18</v>
      </c>
      <c r="P210" s="136" t="s">
        <v>1772</v>
      </c>
      <c r="Q210" s="131">
        <f t="shared" si="27"/>
        <v>10</v>
      </c>
      <c r="R210" s="132">
        <f t="shared" si="28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25</v>
      </c>
      <c r="P212" s="136" t="s">
        <v>1774</v>
      </c>
      <c r="Q212" s="31">
        <f t="shared" si="27"/>
        <v>3</v>
      </c>
      <c r="R212" s="32">
        <f t="shared" si="28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24</v>
      </c>
      <c r="P213" s="136" t="s">
        <v>1775</v>
      </c>
      <c r="Q213" s="31">
        <f t="shared" si="27"/>
        <v>4</v>
      </c>
      <c r="R213" s="32">
        <f t="shared" si="28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20</v>
      </c>
      <c r="P215" s="136" t="s">
        <v>1777</v>
      </c>
      <c r="Q215" s="31">
        <f t="shared" si="27"/>
        <v>8</v>
      </c>
      <c r="R215" s="32">
        <f t="shared" si="28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26</v>
      </c>
      <c r="P217" s="136" t="s">
        <v>1780</v>
      </c>
      <c r="Q217" s="31">
        <f t="shared" si="27"/>
        <v>2</v>
      </c>
      <c r="R217" s="32">
        <f t="shared" si="28"/>
        <v>0.9285714285714286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 t="s">
        <v>2208</v>
      </c>
      <c r="AT217" s="70" t="s">
        <v>2208</v>
      </c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10</v>
      </c>
      <c r="P220" s="136" t="s">
        <v>1788</v>
      </c>
      <c r="Q220" s="31">
        <f t="shared" si="27"/>
        <v>18</v>
      </c>
      <c r="R220" s="32">
        <f t="shared" si="28"/>
        <v>0.35714285714285715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 t="s">
        <v>2208</v>
      </c>
      <c r="AT220" s="70" t="s">
        <v>2208</v>
      </c>
      <c r="AU220" s="70" t="s">
        <v>2208</v>
      </c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27</v>
      </c>
      <c r="P221" s="136" t="s">
        <v>1789</v>
      </c>
      <c r="Q221" s="131">
        <f t="shared" si="27"/>
        <v>1</v>
      </c>
      <c r="R221" s="132">
        <f t="shared" si="28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27</v>
      </c>
      <c r="P227" s="136" t="s">
        <v>1792</v>
      </c>
      <c r="Q227" s="31">
        <f t="shared" si="27"/>
        <v>1</v>
      </c>
      <c r="R227" s="32">
        <f t="shared" si="28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21</v>
      </c>
      <c r="P231" s="136" t="s">
        <v>1796</v>
      </c>
      <c r="Q231" s="131">
        <f t="shared" si="27"/>
        <v>7</v>
      </c>
      <c r="R231" s="132">
        <f t="shared" si="28"/>
        <v>0.75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 t="s">
        <v>2208</v>
      </c>
      <c r="AT231" s="70" t="s">
        <v>2208</v>
      </c>
      <c r="AU231" s="70" t="s">
        <v>2208</v>
      </c>
      <c r="AV231" s="70" t="s">
        <v>2208</v>
      </c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27</v>
      </c>
      <c r="P246" s="136" t="s">
        <v>1807</v>
      </c>
      <c r="Q246" s="31">
        <f t="shared" si="30"/>
        <v>1</v>
      </c>
      <c r="R246" s="32">
        <f t="shared" si="31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28</v>
      </c>
      <c r="P247" s="136" t="s">
        <v>1808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10</v>
      </c>
      <c r="P253" s="136" t="s">
        <v>1814</v>
      </c>
      <c r="Q253" s="31">
        <f t="shared" si="30"/>
        <v>18</v>
      </c>
      <c r="R253" s="32">
        <f t="shared" si="31"/>
        <v>0.35714285714285715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 t="s">
        <v>2208</v>
      </c>
      <c r="AT253" s="70" t="s">
        <v>2208</v>
      </c>
      <c r="AU253" s="70" t="s">
        <v>2208</v>
      </c>
      <c r="AV253" s="70" t="s">
        <v>2208</v>
      </c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13</v>
      </c>
      <c r="P255" s="136" t="s">
        <v>1771</v>
      </c>
      <c r="Q255" s="31">
        <f t="shared" si="30"/>
        <v>15</v>
      </c>
      <c r="R255" s="32">
        <f t="shared" si="31"/>
        <v>0.4642857142857143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 t="s">
        <v>2208</v>
      </c>
      <c r="AT255" s="70" t="s">
        <v>2208</v>
      </c>
      <c r="AU255" s="70" t="s">
        <v>2208</v>
      </c>
      <c r="AV255" s="70" t="s">
        <v>2208</v>
      </c>
    </row>
    <row r="256" spans="1:49" ht="15.75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10</v>
      </c>
      <c r="P256" s="140" t="s">
        <v>1815</v>
      </c>
      <c r="Q256" s="139">
        <f t="shared" si="30"/>
        <v>18</v>
      </c>
      <c r="R256" s="141">
        <f t="shared" si="31"/>
        <v>0.35714285714285715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 t="s">
        <v>2208</v>
      </c>
      <c r="AT256" s="70" t="s">
        <v>2208</v>
      </c>
      <c r="AU256" s="70" t="s">
        <v>2208</v>
      </c>
      <c r="AV256" s="70" t="s">
        <v>2208</v>
      </c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10</v>
      </c>
      <c r="P257" s="140" t="s">
        <v>2222</v>
      </c>
      <c r="Q257" s="139">
        <f t="shared" si="30"/>
        <v>18</v>
      </c>
      <c r="R257" s="141">
        <f t="shared" si="31"/>
        <v>0.35714285714285715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 t="s">
        <v>2208</v>
      </c>
      <c r="AT257" s="70" t="s">
        <v>2208</v>
      </c>
      <c r="AU257" s="70" t="s">
        <v>2208</v>
      </c>
      <c r="AV257" s="70" t="s">
        <v>2208</v>
      </c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25</v>
      </c>
      <c r="P263" s="136" t="s">
        <v>2382</v>
      </c>
      <c r="Q263" s="31">
        <f t="shared" si="30"/>
        <v>3</v>
      </c>
      <c r="R263" s="32">
        <f t="shared" si="31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27</v>
      </c>
      <c r="P264" s="136" t="s">
        <v>1816</v>
      </c>
      <c r="Q264" s="31">
        <f t="shared" si="30"/>
        <v>1</v>
      </c>
      <c r="R264" s="32">
        <f t="shared" si="31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27</v>
      </c>
      <c r="P265" s="136" t="s">
        <v>1817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28</v>
      </c>
      <c r="P272" s="136" t="s">
        <v>1821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27</v>
      </c>
      <c r="P273" s="136" t="s">
        <v>1822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 t="s">
        <v>2208</v>
      </c>
      <c r="AU273" s="70" t="s">
        <v>2208</v>
      </c>
      <c r="AV273" s="70" t="s">
        <v>2208</v>
      </c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27</v>
      </c>
      <c r="P275" s="136" t="s">
        <v>1825</v>
      </c>
      <c r="Q275" s="31">
        <f t="shared" si="33"/>
        <v>1</v>
      </c>
      <c r="R275" s="32">
        <f t="shared" si="34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26</v>
      </c>
      <c r="P276" s="136" t="s">
        <v>1826</v>
      </c>
      <c r="Q276" s="31">
        <f t="shared" si="33"/>
        <v>2</v>
      </c>
      <c r="R276" s="32">
        <f t="shared" si="34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26</v>
      </c>
      <c r="P277" s="136" t="s">
        <v>1828</v>
      </c>
      <c r="Q277" s="131">
        <f t="shared" si="33"/>
        <v>2</v>
      </c>
      <c r="R277" s="132">
        <f t="shared" si="34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26</v>
      </c>
      <c r="P278" s="136" t="s">
        <v>1829</v>
      </c>
      <c r="Q278" s="31">
        <f t="shared" si="33"/>
        <v>2</v>
      </c>
      <c r="R278" s="32">
        <f t="shared" si="34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25</v>
      </c>
      <c r="P281" s="136" t="s">
        <v>1827</v>
      </c>
      <c r="Q281" s="31">
        <f t="shared" si="33"/>
        <v>3</v>
      </c>
      <c r="R281" s="32">
        <f t="shared" si="34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27</v>
      </c>
      <c r="P283" s="136" t="s">
        <v>1831</v>
      </c>
      <c r="Q283" s="31">
        <f t="shared" si="33"/>
        <v>1</v>
      </c>
      <c r="R283" s="32">
        <f t="shared" si="34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27</v>
      </c>
      <c r="P285" s="136" t="s">
        <v>1833</v>
      </c>
      <c r="Q285" s="131">
        <f t="shared" si="33"/>
        <v>1</v>
      </c>
      <c r="R285" s="132">
        <f t="shared" si="34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27</v>
      </c>
      <c r="P290" s="136" t="s">
        <v>1836</v>
      </c>
      <c r="Q290" s="31">
        <f t="shared" si="33"/>
        <v>1</v>
      </c>
      <c r="R290" s="32">
        <f t="shared" si="34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2208</v>
      </c>
      <c r="AT290" s="70"/>
      <c r="AU290" s="70"/>
      <c r="AV290" s="129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27</v>
      </c>
      <c r="P293" s="136" t="s">
        <v>1838</v>
      </c>
      <c r="Q293" s="31">
        <f t="shared" si="33"/>
        <v>1</v>
      </c>
      <c r="R293" s="32">
        <f t="shared" si="34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 t="s">
        <v>2208</v>
      </c>
      <c r="AT293" s="70"/>
      <c r="AU293" s="70"/>
      <c r="AV293" s="70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27</v>
      </c>
      <c r="P294" s="136" t="s">
        <v>1839</v>
      </c>
      <c r="Q294" s="131">
        <f t="shared" si="33"/>
        <v>1</v>
      </c>
      <c r="R294" s="132">
        <f t="shared" si="34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27</v>
      </c>
      <c r="P295" s="136" t="s">
        <v>1840</v>
      </c>
      <c r="Q295" s="131">
        <f t="shared" si="33"/>
        <v>1</v>
      </c>
      <c r="R295" s="132">
        <f t="shared" si="34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26</v>
      </c>
      <c r="P296" s="136" t="s">
        <v>1646</v>
      </c>
      <c r="Q296" s="31">
        <f t="shared" si="33"/>
        <v>2</v>
      </c>
      <c r="R296" s="32">
        <f t="shared" si="34"/>
        <v>0.9285714285714286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 t="s">
        <v>2208</v>
      </c>
      <c r="AT296" s="70"/>
      <c r="AU296" s="70"/>
      <c r="AV296" s="70"/>
      <c r="AW296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26</v>
      </c>
      <c r="P297" s="136" t="s">
        <v>1841</v>
      </c>
      <c r="Q297" s="31">
        <f t="shared" si="33"/>
        <v>2</v>
      </c>
      <c r="R297" s="32">
        <f t="shared" si="34"/>
        <v>0.9285714285714286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2208</v>
      </c>
      <c r="AU297" s="70" t="s">
        <v>2208</v>
      </c>
      <c r="AV297" s="70" t="s">
        <v>2208</v>
      </c>
      <c r="AW297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26</v>
      </c>
      <c r="P301" s="136" t="s">
        <v>2134</v>
      </c>
      <c r="Q301" s="131">
        <f t="shared" si="33"/>
        <v>2</v>
      </c>
      <c r="R301" s="132">
        <f t="shared" si="34"/>
        <v>0.9285714285714286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 t="s">
        <v>2208</v>
      </c>
      <c r="AT301" s="70" t="s">
        <v>2208</v>
      </c>
      <c r="AU301" s="70" t="s">
        <v>2208</v>
      </c>
      <c r="AV301" s="70" t="s">
        <v>2208</v>
      </c>
      <c r="AW301"/>
    </row>
    <row r="302" spans="1:49" s="73" customFormat="1" ht="14.25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10</v>
      </c>
      <c r="P303" s="136" t="s">
        <v>2102</v>
      </c>
      <c r="Q303" s="131">
        <f t="shared" si="33"/>
        <v>18</v>
      </c>
      <c r="R303" s="132">
        <f t="shared" si="34"/>
        <v>0.35714285714285715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 t="s">
        <v>2208</v>
      </c>
      <c r="AT303" s="70" t="s">
        <v>2208</v>
      </c>
      <c r="AU303" s="70" t="s">
        <v>2208</v>
      </c>
      <c r="AV303" s="70" t="s">
        <v>2208</v>
      </c>
      <c r="AW303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10</v>
      </c>
      <c r="P304" s="136" t="s">
        <v>2096</v>
      </c>
      <c r="Q304" s="131">
        <f t="shared" si="33"/>
        <v>18</v>
      </c>
      <c r="R304" s="132">
        <f t="shared" si="34"/>
        <v>0.35714285714285715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 t="s">
        <v>2208</v>
      </c>
      <c r="AT304" s="70" t="s">
        <v>2208</v>
      </c>
      <c r="AU304" s="70" t="s">
        <v>2208</v>
      </c>
      <c r="AV304" s="70" t="s">
        <v>2208</v>
      </c>
      <c r="AW304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25</v>
      </c>
      <c r="P305" s="136" t="s">
        <v>1846</v>
      </c>
      <c r="Q305" s="31">
        <f t="shared" si="33"/>
        <v>3</v>
      </c>
      <c r="R305" s="32">
        <f t="shared" si="34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26</v>
      </c>
      <c r="P306" s="136" t="s">
        <v>1847</v>
      </c>
      <c r="Q306" s="31">
        <f t="shared" si="33"/>
        <v>2</v>
      </c>
      <c r="R306" s="32">
        <f t="shared" si="34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26</v>
      </c>
      <c r="P307" s="136" t="s">
        <v>1848</v>
      </c>
      <c r="Q307" s="31">
        <f t="shared" si="33"/>
        <v>2</v>
      </c>
      <c r="R307" s="32">
        <f t="shared" si="34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22</v>
      </c>
      <c r="P308" s="136" t="s">
        <v>1849</v>
      </c>
      <c r="Q308" s="31">
        <f t="shared" si="33"/>
        <v>6</v>
      </c>
      <c r="R308" s="32">
        <f t="shared" si="34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24</v>
      </c>
      <c r="P309" s="136" t="s">
        <v>1850</v>
      </c>
      <c r="Q309" s="31">
        <f t="shared" si="33"/>
        <v>4</v>
      </c>
      <c r="R309" s="32">
        <f t="shared" si="34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27</v>
      </c>
      <c r="P312" s="136" t="s">
        <v>1852</v>
      </c>
      <c r="Q312" s="31">
        <f t="shared" si="33"/>
        <v>1</v>
      </c>
      <c r="R312" s="32">
        <f t="shared" si="34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20</v>
      </c>
      <c r="P313" s="136" t="s">
        <v>1854</v>
      </c>
      <c r="Q313" s="31">
        <f t="shared" si="33"/>
        <v>8</v>
      </c>
      <c r="R313" s="32">
        <f t="shared" si="34"/>
        <v>0.7142857142857143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 t="s">
        <v>2208</v>
      </c>
      <c r="AT313" s="70"/>
      <c r="AU313" s="70" t="s">
        <v>2208</v>
      </c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21</v>
      </c>
      <c r="P314" s="140" t="s">
        <v>1855</v>
      </c>
      <c r="Q314" s="31">
        <f t="shared" si="33"/>
        <v>7</v>
      </c>
      <c r="R314" s="157">
        <f t="shared" si="34"/>
        <v>0.75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70" t="s">
        <v>2208</v>
      </c>
      <c r="AT314" s="138"/>
      <c r="AU314" s="70" t="s">
        <v>2208</v>
      </c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21</v>
      </c>
      <c r="P315" s="136" t="s">
        <v>1856</v>
      </c>
      <c r="Q315" s="31">
        <f t="shared" si="33"/>
        <v>7</v>
      </c>
      <c r="R315" s="32">
        <f t="shared" si="34"/>
        <v>0.75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 t="s">
        <v>2208</v>
      </c>
      <c r="AT315" s="70"/>
      <c r="AU315" s="70" t="s">
        <v>2208</v>
      </c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26</v>
      </c>
      <c r="P316" s="136" t="s">
        <v>1859</v>
      </c>
      <c r="Q316" s="31">
        <f t="shared" si="33"/>
        <v>2</v>
      </c>
      <c r="R316" s="32">
        <f t="shared" si="34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 t="s">
        <v>2208</v>
      </c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26</v>
      </c>
      <c r="P317" s="136" t="s">
        <v>1857</v>
      </c>
      <c r="Q317" s="31">
        <f t="shared" si="33"/>
        <v>2</v>
      </c>
      <c r="R317" s="32">
        <f t="shared" si="34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 t="s">
        <v>2208</v>
      </c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26</v>
      </c>
      <c r="P318" s="136" t="s">
        <v>1858</v>
      </c>
      <c r="Q318" s="31">
        <f t="shared" si="33"/>
        <v>2</v>
      </c>
      <c r="R318" s="32">
        <f t="shared" si="34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 t="s">
        <v>2208</v>
      </c>
      <c r="AW318" s="73"/>
    </row>
    <row r="319" spans="1:49" ht="15.75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27</v>
      </c>
      <c r="P319" s="136" t="s">
        <v>1860</v>
      </c>
      <c r="Q319" s="31">
        <f t="shared" si="33"/>
        <v>1</v>
      </c>
      <c r="R319" s="32">
        <f t="shared" si="34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25</v>
      </c>
      <c r="P320" s="136" t="s">
        <v>1863</v>
      </c>
      <c r="Q320" s="31">
        <f t="shared" si="33"/>
        <v>3</v>
      </c>
      <c r="R320" s="32">
        <f t="shared" si="34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28</v>
      </c>
      <c r="P321" s="136" t="s">
        <v>1864</v>
      </c>
      <c r="Q321" s="31">
        <f t="shared" si="33"/>
        <v>0</v>
      </c>
      <c r="R321" s="32">
        <f t="shared" si="34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28</v>
      </c>
      <c r="P322" s="143"/>
      <c r="Q322" s="31">
        <f t="shared" si="33"/>
        <v>0</v>
      </c>
      <c r="R322" s="157">
        <f t="shared" si="34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10</v>
      </c>
      <c r="P324" s="136" t="s">
        <v>1866</v>
      </c>
      <c r="Q324" s="131">
        <f t="shared" si="33"/>
        <v>18</v>
      </c>
      <c r="R324" s="132">
        <f t="shared" si="34"/>
        <v>0.35714285714285715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70" t="s">
        <v>2208</v>
      </c>
      <c r="AT324" s="70" t="s">
        <v>2208</v>
      </c>
      <c r="AU324" s="70" t="s">
        <v>2208</v>
      </c>
      <c r="AV324" s="70" t="s">
        <v>2208</v>
      </c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10</v>
      </c>
      <c r="P326" s="136" t="s">
        <v>2135</v>
      </c>
      <c r="Q326" s="131">
        <f t="shared" si="33"/>
        <v>18</v>
      </c>
      <c r="R326" s="132">
        <f t="shared" si="34"/>
        <v>0.35714285714285715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70" t="s">
        <v>2208</v>
      </c>
      <c r="AT326" s="70" t="s">
        <v>2208</v>
      </c>
      <c r="AU326" s="70" t="s">
        <v>2208</v>
      </c>
      <c r="AV326" s="70" t="s">
        <v>2208</v>
      </c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12</v>
      </c>
      <c r="P327" s="136" t="s">
        <v>1870</v>
      </c>
      <c r="Q327" s="31">
        <f t="shared" si="33"/>
        <v>16</v>
      </c>
      <c r="R327" s="32">
        <f t="shared" si="34"/>
        <v>0.42857142857142855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 t="s">
        <v>2208</v>
      </c>
      <c r="AT327" s="70"/>
      <c r="AU327" s="70"/>
      <c r="AV327" s="70" t="s">
        <v>2208</v>
      </c>
      <c r="AW327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25</v>
      </c>
      <c r="P328" s="136" t="s">
        <v>1871</v>
      </c>
      <c r="Q328" s="31">
        <f t="shared" si="33"/>
        <v>3</v>
      </c>
      <c r="R328" s="32">
        <f t="shared" si="34"/>
        <v>0.8928571428571429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 t="s">
        <v>2208</v>
      </c>
      <c r="AT328" s="70"/>
      <c r="AU328" s="70"/>
      <c r="AV328" s="70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27</v>
      </c>
      <c r="P330" s="136" t="s">
        <v>1861</v>
      </c>
      <c r="Q330" s="31">
        <f t="shared" si="33"/>
        <v>1</v>
      </c>
      <c r="R330" s="32">
        <f t="shared" si="34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27</v>
      </c>
      <c r="P331" s="136" t="s">
        <v>1862</v>
      </c>
      <c r="Q331" s="31">
        <f t="shared" si="33"/>
        <v>1</v>
      </c>
      <c r="R331" s="32">
        <f t="shared" si="34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28</v>
      </c>
      <c r="P332" s="136" t="s">
        <v>1865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10</v>
      </c>
      <c r="P333" s="136" t="s">
        <v>1867</v>
      </c>
      <c r="Q333" s="31">
        <f t="shared" si="33"/>
        <v>18</v>
      </c>
      <c r="R333" s="32">
        <f t="shared" si="34"/>
        <v>0.35714285714285715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70" t="s">
        <v>2208</v>
      </c>
      <c r="AT333" s="70" t="s">
        <v>2208</v>
      </c>
      <c r="AU333" s="70" t="s">
        <v>2208</v>
      </c>
      <c r="AV333" s="70" t="s">
        <v>2208</v>
      </c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10</v>
      </c>
      <c r="P334" s="136" t="s">
        <v>1868</v>
      </c>
      <c r="Q334" s="131">
        <f t="shared" si="33"/>
        <v>18</v>
      </c>
      <c r="R334" s="132">
        <f t="shared" si="34"/>
        <v>0.35714285714285715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70" t="s">
        <v>2208</v>
      </c>
      <c r="AT334" s="70" t="s">
        <v>2208</v>
      </c>
      <c r="AU334" s="70" t="s">
        <v>2208</v>
      </c>
      <c r="AV334" s="70" t="s">
        <v>2208</v>
      </c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10</v>
      </c>
      <c r="P335" s="136" t="s">
        <v>1869</v>
      </c>
      <c r="Q335" s="131">
        <f t="shared" si="33"/>
        <v>18</v>
      </c>
      <c r="R335" s="132">
        <f t="shared" si="34"/>
        <v>0.35714285714285715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70" t="s">
        <v>2208</v>
      </c>
      <c r="AT335" s="70" t="s">
        <v>2208</v>
      </c>
      <c r="AU335" s="70" t="s">
        <v>2208</v>
      </c>
      <c r="AV335" s="70" t="s">
        <v>2208</v>
      </c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5">COUNTIF(S336:AT336,"")</f>
        <v>24</v>
      </c>
      <c r="P336" s="136" t="s">
        <v>1872</v>
      </c>
      <c r="Q336" s="31">
        <f t="shared" ref="Q336:Q401" si="36">COUNTIF(S336:AT336,"APAGADO")</f>
        <v>4</v>
      </c>
      <c r="R336" s="32">
        <f t="shared" ref="R336:R401" si="37">(O336)/(Q336+O336)</f>
        <v>0.8571428571428571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 t="s">
        <v>2208</v>
      </c>
      <c r="AT336" s="70" t="s">
        <v>2208</v>
      </c>
      <c r="AU336" s="70" t="s">
        <v>2208</v>
      </c>
      <c r="AV336" s="70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20</v>
      </c>
      <c r="P338" s="136" t="s">
        <v>1874</v>
      </c>
      <c r="Q338" s="31">
        <f t="shared" si="36"/>
        <v>8</v>
      </c>
      <c r="R338" s="32">
        <f t="shared" si="37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27</v>
      </c>
      <c r="P340" s="136" t="s">
        <v>1876</v>
      </c>
      <c r="Q340" s="31">
        <f t="shared" si="36"/>
        <v>1</v>
      </c>
      <c r="R340" s="32">
        <f t="shared" si="37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27</v>
      </c>
      <c r="P341" s="136" t="s">
        <v>1877</v>
      </c>
      <c r="Q341" s="31">
        <f t="shared" si="36"/>
        <v>1</v>
      </c>
      <c r="R341" s="32">
        <f t="shared" si="37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27</v>
      </c>
      <c r="P342" s="136" t="s">
        <v>1878</v>
      </c>
      <c r="Q342" s="31">
        <f t="shared" si="36"/>
        <v>1</v>
      </c>
      <c r="R342" s="32">
        <f t="shared" si="37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26</v>
      </c>
      <c r="P343" s="136" t="s">
        <v>1879</v>
      </c>
      <c r="Q343" s="31">
        <f t="shared" si="36"/>
        <v>2</v>
      </c>
      <c r="R343" s="32">
        <f t="shared" si="37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16</v>
      </c>
      <c r="P344" s="136" t="s">
        <v>1880</v>
      </c>
      <c r="Q344" s="31">
        <f t="shared" si="36"/>
        <v>12</v>
      </c>
      <c r="R344" s="32">
        <f t="shared" si="37"/>
        <v>0.5714285714285714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 t="s">
        <v>2208</v>
      </c>
      <c r="AT344" s="70" t="s">
        <v>2208</v>
      </c>
      <c r="AU344" s="70" t="s">
        <v>2208</v>
      </c>
      <c r="AV344" s="70" t="s">
        <v>2208</v>
      </c>
      <c r="AW344" s="73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16</v>
      </c>
      <c r="P345" s="136" t="s">
        <v>1881</v>
      </c>
      <c r="Q345" s="31">
        <f t="shared" si="36"/>
        <v>12</v>
      </c>
      <c r="R345" s="32">
        <f t="shared" si="37"/>
        <v>0.5714285714285714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 t="s">
        <v>2208</v>
      </c>
      <c r="AT345" s="70" t="s">
        <v>2208</v>
      </c>
      <c r="AU345" s="70" t="s">
        <v>2208</v>
      </c>
      <c r="AV345" s="70" t="s">
        <v>2208</v>
      </c>
      <c r="AW345" s="73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21</v>
      </c>
      <c r="P347" s="136" t="s">
        <v>1882</v>
      </c>
      <c r="Q347" s="31">
        <f t="shared" si="36"/>
        <v>7</v>
      </c>
      <c r="R347" s="32">
        <f t="shared" si="37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27</v>
      </c>
      <c r="P348" s="136" t="s">
        <v>1883</v>
      </c>
      <c r="Q348" s="31">
        <f t="shared" si="36"/>
        <v>1</v>
      </c>
      <c r="R348" s="32">
        <f t="shared" si="37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27</v>
      </c>
      <c r="P349" s="136" t="s">
        <v>1884</v>
      </c>
      <c r="Q349" s="31">
        <f t="shared" si="36"/>
        <v>1</v>
      </c>
      <c r="R349" s="32">
        <f t="shared" si="37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27</v>
      </c>
      <c r="P350" s="136" t="s">
        <v>1885</v>
      </c>
      <c r="Q350" s="31">
        <f t="shared" si="36"/>
        <v>1</v>
      </c>
      <c r="R350" s="32">
        <f t="shared" si="37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27</v>
      </c>
      <c r="P351" s="136" t="s">
        <v>2167</v>
      </c>
      <c r="Q351" s="31">
        <f t="shared" si="36"/>
        <v>1</v>
      </c>
      <c r="R351" s="32">
        <f t="shared" si="37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27</v>
      </c>
      <c r="P352" s="136" t="s">
        <v>2170</v>
      </c>
      <c r="Q352" s="31">
        <f t="shared" si="36"/>
        <v>1</v>
      </c>
      <c r="R352" s="32">
        <f t="shared" si="37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27</v>
      </c>
      <c r="P353" s="136" t="s">
        <v>1890</v>
      </c>
      <c r="Q353" s="31">
        <f t="shared" si="36"/>
        <v>1</v>
      </c>
      <c r="R353" s="32">
        <f t="shared" si="37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24</v>
      </c>
      <c r="P354" s="136" t="s">
        <v>1891</v>
      </c>
      <c r="Q354" s="31">
        <f t="shared" si="36"/>
        <v>4</v>
      </c>
      <c r="R354" s="32">
        <f t="shared" si="37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27</v>
      </c>
      <c r="P355" s="136" t="s">
        <v>1892</v>
      </c>
      <c r="Q355" s="31">
        <f t="shared" si="36"/>
        <v>1</v>
      </c>
      <c r="R355" s="32">
        <f t="shared" si="37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27</v>
      </c>
      <c r="P356" s="136" t="s">
        <v>1893</v>
      </c>
      <c r="Q356" s="31">
        <f t="shared" si="36"/>
        <v>1</v>
      </c>
      <c r="R356" s="32">
        <f t="shared" si="37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24</v>
      </c>
      <c r="P357" s="136" t="s">
        <v>1894</v>
      </c>
      <c r="Q357" s="31">
        <f t="shared" si="36"/>
        <v>4</v>
      </c>
      <c r="R357" s="32">
        <f t="shared" si="37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27</v>
      </c>
      <c r="P358" s="136" t="s">
        <v>1895</v>
      </c>
      <c r="Q358" s="31">
        <f t="shared" si="36"/>
        <v>1</v>
      </c>
      <c r="R358" s="32">
        <f t="shared" si="37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27</v>
      </c>
      <c r="P359" s="136" t="s">
        <v>1896</v>
      </c>
      <c r="Q359" s="31">
        <f t="shared" si="36"/>
        <v>1</v>
      </c>
      <c r="R359" s="32">
        <f t="shared" si="37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27</v>
      </c>
      <c r="P360" s="136" t="s">
        <v>1897</v>
      </c>
      <c r="Q360" s="31">
        <f t="shared" si="36"/>
        <v>1</v>
      </c>
      <c r="R360" s="32">
        <f t="shared" si="37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27</v>
      </c>
      <c r="P361" s="136" t="s">
        <v>1898</v>
      </c>
      <c r="Q361" s="31">
        <f t="shared" si="36"/>
        <v>1</v>
      </c>
      <c r="R361" s="32">
        <f t="shared" si="37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27</v>
      </c>
      <c r="P362" s="136"/>
      <c r="Q362" s="31">
        <f t="shared" si="36"/>
        <v>1</v>
      </c>
      <c r="R362" s="32">
        <f t="shared" si="37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27</v>
      </c>
      <c r="P363" s="136"/>
      <c r="Q363" s="31">
        <f t="shared" si="36"/>
        <v>1</v>
      </c>
      <c r="R363" s="32">
        <f t="shared" si="37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27</v>
      </c>
      <c r="P364" s="136" t="s">
        <v>1899</v>
      </c>
      <c r="Q364" s="31">
        <f t="shared" si="36"/>
        <v>1</v>
      </c>
      <c r="R364" s="32">
        <f t="shared" si="37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27</v>
      </c>
      <c r="P366" s="136" t="s">
        <v>1886</v>
      </c>
      <c r="Q366" s="85">
        <f t="shared" si="36"/>
        <v>1</v>
      </c>
      <c r="R366" s="86">
        <f t="shared" si="37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27</v>
      </c>
      <c r="P367" s="136" t="s">
        <v>1887</v>
      </c>
      <c r="Q367" s="31">
        <f t="shared" si="36"/>
        <v>1</v>
      </c>
      <c r="R367" s="32">
        <f t="shared" si="37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27</v>
      </c>
      <c r="P368" s="136" t="s">
        <v>1888</v>
      </c>
      <c r="Q368" s="31">
        <f t="shared" si="36"/>
        <v>1</v>
      </c>
      <c r="R368" s="32">
        <f t="shared" si="37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27</v>
      </c>
      <c r="P369" s="136" t="s">
        <v>1889</v>
      </c>
      <c r="Q369" s="31">
        <f t="shared" si="36"/>
        <v>1</v>
      </c>
      <c r="R369" s="32">
        <f t="shared" si="37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17</v>
      </c>
      <c r="P372" s="136" t="s">
        <v>1901</v>
      </c>
      <c r="Q372" s="131">
        <f t="shared" si="36"/>
        <v>11</v>
      </c>
      <c r="R372" s="132">
        <f t="shared" si="37"/>
        <v>0.6071428571428571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 t="s">
        <v>2208</v>
      </c>
      <c r="AT372" s="70" t="s">
        <v>2208</v>
      </c>
      <c r="AU372" s="70" t="s">
        <v>2208</v>
      </c>
      <c r="AV372" s="70" t="s">
        <v>2208</v>
      </c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16</v>
      </c>
      <c r="P373" s="136" t="s">
        <v>1902</v>
      </c>
      <c r="Q373" s="131">
        <f t="shared" si="36"/>
        <v>12</v>
      </c>
      <c r="R373" s="132">
        <f t="shared" si="37"/>
        <v>0.5714285714285714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 t="s">
        <v>2208</v>
      </c>
      <c r="AT373" s="70" t="s">
        <v>2208</v>
      </c>
      <c r="AU373" s="70" t="s">
        <v>2208</v>
      </c>
      <c r="AV373" s="70" t="s">
        <v>2208</v>
      </c>
      <c r="AW373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27</v>
      </c>
      <c r="P374" s="136" t="s">
        <v>1903</v>
      </c>
      <c r="Q374" s="31">
        <f t="shared" si="36"/>
        <v>1</v>
      </c>
      <c r="R374" s="32">
        <f t="shared" si="37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27</v>
      </c>
      <c r="P375" s="136" t="s">
        <v>1904</v>
      </c>
      <c r="Q375" s="31">
        <f t="shared" si="36"/>
        <v>1</v>
      </c>
      <c r="R375" s="32">
        <f t="shared" si="37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28</v>
      </c>
      <c r="P376" s="136" t="s">
        <v>1905</v>
      </c>
      <c r="Q376" s="31">
        <f t="shared" si="36"/>
        <v>0</v>
      </c>
      <c r="R376" s="32">
        <f t="shared" si="37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28</v>
      </c>
      <c r="P377" s="136" t="s">
        <v>1906</v>
      </c>
      <c r="Q377" s="31">
        <f t="shared" si="36"/>
        <v>0</v>
      </c>
      <c r="R377" s="32">
        <f t="shared" si="37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27</v>
      </c>
      <c r="P378" s="136" t="s">
        <v>1907</v>
      </c>
      <c r="Q378" s="31">
        <f t="shared" si="36"/>
        <v>1</v>
      </c>
      <c r="R378" s="32">
        <f t="shared" si="37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27</v>
      </c>
      <c r="P379" s="136" t="s">
        <v>1908</v>
      </c>
      <c r="Q379" s="31">
        <f t="shared" si="36"/>
        <v>1</v>
      </c>
      <c r="R379" s="32">
        <f t="shared" si="37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25</v>
      </c>
      <c r="P385" s="136" t="s">
        <v>2088</v>
      </c>
      <c r="Q385" s="31">
        <f t="shared" si="36"/>
        <v>3</v>
      </c>
      <c r="R385" s="32">
        <f t="shared" si="37"/>
        <v>0.8928571428571429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 t="s">
        <v>2208</v>
      </c>
      <c r="AT385" s="70" t="s">
        <v>2208</v>
      </c>
      <c r="AU385" s="70"/>
      <c r="AV385" s="70"/>
      <c r="AW385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5"/>
        <v>28</v>
      </c>
      <c r="P386" s="136" t="s">
        <v>1900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5"/>
        <v>27</v>
      </c>
      <c r="P387" s="136" t="s">
        <v>1914</v>
      </c>
      <c r="Q387" s="31">
        <f t="shared" si="36"/>
        <v>1</v>
      </c>
      <c r="R387" s="32">
        <f t="shared" si="37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5"/>
        <v>28</v>
      </c>
      <c r="P388" s="136" t="s">
        <v>1915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5"/>
        <v>28</v>
      </c>
      <c r="P389" s="136" t="s">
        <v>2387</v>
      </c>
      <c r="Q389" s="131">
        <f t="shared" si="36"/>
        <v>0</v>
      </c>
      <c r="R389" s="1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5"/>
        <v>28</v>
      </c>
      <c r="P390" s="136" t="s">
        <v>2118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5"/>
        <v>27</v>
      </c>
      <c r="P391" s="136" t="s">
        <v>2388</v>
      </c>
      <c r="Q391" s="31">
        <f t="shared" si="36"/>
        <v>1</v>
      </c>
      <c r="R391" s="32">
        <f t="shared" si="37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5"/>
        <v>28</v>
      </c>
      <c r="P392" s="136" t="s">
        <v>1916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5"/>
        <v>28</v>
      </c>
      <c r="P393" s="136" t="s">
        <v>1917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5"/>
        <v>28</v>
      </c>
      <c r="P394" s="136" t="s">
        <v>1918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5"/>
        <v>28</v>
      </c>
      <c r="P395" s="136" t="s">
        <v>1919</v>
      </c>
      <c r="Q395" s="31">
        <f t="shared" si="36"/>
        <v>0</v>
      </c>
      <c r="R395" s="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5"/>
        <v>27</v>
      </c>
      <c r="P396" s="136" t="s">
        <v>2253</v>
      </c>
      <c r="Q396" s="131">
        <f t="shared" si="36"/>
        <v>1</v>
      </c>
      <c r="R396" s="132">
        <f t="shared" si="37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5"/>
        <v>28</v>
      </c>
      <c r="P397" s="136" t="s">
        <v>1921</v>
      </c>
      <c r="Q397" s="85">
        <f t="shared" si="36"/>
        <v>0</v>
      </c>
      <c r="R397" s="86">
        <f t="shared" si="37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5"/>
        <v>28</v>
      </c>
      <c r="P398" s="136" t="s">
        <v>1922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5"/>
        <v>28</v>
      </c>
      <c r="P399" s="136" t="s">
        <v>1923</v>
      </c>
      <c r="Q399" s="31">
        <f t="shared" si="36"/>
        <v>0</v>
      </c>
      <c r="R399" s="32">
        <f t="shared" si="37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5"/>
        <v>28</v>
      </c>
      <c r="P400" s="136" t="s">
        <v>1924</v>
      </c>
      <c r="Q400" s="31">
        <f t="shared" si="36"/>
        <v>0</v>
      </c>
      <c r="R400" s="32">
        <f t="shared" si="37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5"/>
        <v>28</v>
      </c>
      <c r="P401" s="140" t="s">
        <v>1931</v>
      </c>
      <c r="Q401" s="139">
        <f t="shared" si="36"/>
        <v>0</v>
      </c>
      <c r="R401" s="141">
        <f t="shared" si="37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8">COUNTIF(S402:AT402,"")</f>
        <v>28</v>
      </c>
      <c r="P402" s="143" t="s">
        <v>1932</v>
      </c>
      <c r="Q402" s="31">
        <f t="shared" ref="Q402:Q465" si="39">COUNTIF(S402:AT402,"APAGADO")</f>
        <v>0</v>
      </c>
      <c r="R402" s="157">
        <f t="shared" ref="R402:R465" si="40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8"/>
        <v>28</v>
      </c>
      <c r="P403" s="136" t="s">
        <v>1933</v>
      </c>
      <c r="Q403" s="31">
        <f t="shared" si="39"/>
        <v>0</v>
      </c>
      <c r="R403" s="32">
        <f t="shared" si="40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8"/>
        <v>28</v>
      </c>
      <c r="P404" s="136" t="s">
        <v>1934</v>
      </c>
      <c r="Q404" s="131">
        <f t="shared" si="39"/>
        <v>0</v>
      </c>
      <c r="R404" s="1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8"/>
        <v>28</v>
      </c>
      <c r="P405" s="136" t="s">
        <v>1935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8"/>
        <v>28</v>
      </c>
      <c r="P406" s="136" t="s">
        <v>1936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8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8"/>
        <v>27</v>
      </c>
      <c r="P408" s="136" t="s">
        <v>2392</v>
      </c>
      <c r="Q408" s="31">
        <f t="shared" si="39"/>
        <v>1</v>
      </c>
      <c r="R408" s="32">
        <f t="shared" si="40"/>
        <v>0.9642857142857143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 t="s">
        <v>2208</v>
      </c>
      <c r="AU408" s="147"/>
      <c r="AV408" s="70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8"/>
        <v>28</v>
      </c>
      <c r="P409" s="136"/>
      <c r="Q409" s="31">
        <f t="shared" si="39"/>
        <v>0</v>
      </c>
      <c r="R409" s="32">
        <f t="shared" si="40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8"/>
        <v>28</v>
      </c>
      <c r="P410" s="143" t="s">
        <v>1925</v>
      </c>
      <c r="Q410" s="139">
        <f t="shared" si="39"/>
        <v>0</v>
      </c>
      <c r="R410" s="141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8"/>
        <v>28</v>
      </c>
      <c r="P411" s="143" t="s">
        <v>1926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8"/>
        <v>28</v>
      </c>
      <c r="P412" s="136" t="s">
        <v>1927</v>
      </c>
      <c r="Q412" s="31">
        <f t="shared" si="39"/>
        <v>0</v>
      </c>
      <c r="R412" s="32">
        <f t="shared" si="40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8"/>
        <v>28</v>
      </c>
      <c r="P413" s="136" t="s">
        <v>1928</v>
      </c>
      <c r="Q413" s="31">
        <f t="shared" si="39"/>
        <v>0</v>
      </c>
      <c r="R413" s="32">
        <f t="shared" si="40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8"/>
        <v>28</v>
      </c>
      <c r="P414" s="136" t="s">
        <v>1929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8"/>
        <v>28</v>
      </c>
      <c r="P415" s="136" t="s">
        <v>1930</v>
      </c>
      <c r="Q415" s="31">
        <f t="shared" si="39"/>
        <v>0</v>
      </c>
      <c r="R415" s="32">
        <f t="shared" si="40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8"/>
        <v>10</v>
      </c>
      <c r="P416" s="140"/>
      <c r="Q416" s="139">
        <f t="shared" si="39"/>
        <v>18</v>
      </c>
      <c r="R416" s="141">
        <f t="shared" si="40"/>
        <v>0.35714285714285715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 t="s">
        <v>2208</v>
      </c>
      <c r="AT416" s="70" t="s">
        <v>2208</v>
      </c>
      <c r="AU416" s="70" t="s">
        <v>2208</v>
      </c>
      <c r="AV416" s="70" t="s">
        <v>2208</v>
      </c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8"/>
        <v>25</v>
      </c>
      <c r="P417" s="136" t="s">
        <v>1937</v>
      </c>
      <c r="Q417" s="131">
        <f t="shared" si="39"/>
        <v>3</v>
      </c>
      <c r="R417" s="132">
        <f t="shared" si="40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8"/>
        <v>27</v>
      </c>
      <c r="P418" s="136" t="s">
        <v>2393</v>
      </c>
      <c r="Q418" s="31">
        <f t="shared" si="39"/>
        <v>1</v>
      </c>
      <c r="R418" s="32">
        <f t="shared" si="40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8"/>
        <v>28</v>
      </c>
      <c r="P419" s="136" t="s">
        <v>2394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8"/>
        <v>10</v>
      </c>
      <c r="P420" s="136" t="s">
        <v>1938</v>
      </c>
      <c r="Q420" s="85">
        <f t="shared" si="39"/>
        <v>18</v>
      </c>
      <c r="R420" s="86">
        <f t="shared" si="40"/>
        <v>0.35714285714285715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70" t="s">
        <v>2208</v>
      </c>
      <c r="AT420" s="70" t="s">
        <v>2208</v>
      </c>
      <c r="AU420" s="70" t="s">
        <v>2208</v>
      </c>
      <c r="AV420" s="70" t="s">
        <v>2208</v>
      </c>
      <c r="AW420" s="73"/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8"/>
        <v>27</v>
      </c>
      <c r="P421" s="136" t="s">
        <v>1842</v>
      </c>
      <c r="Q421" s="31">
        <f t="shared" si="39"/>
        <v>1</v>
      </c>
      <c r="R421" s="32">
        <f t="shared" si="40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8"/>
        <v>10</v>
      </c>
      <c r="P422" s="136" t="s">
        <v>1939</v>
      </c>
      <c r="Q422" s="31">
        <f t="shared" si="39"/>
        <v>18</v>
      </c>
      <c r="R422" s="32">
        <f t="shared" si="40"/>
        <v>0.35714285714285715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 t="s">
        <v>2208</v>
      </c>
      <c r="AT422" s="70" t="s">
        <v>2208</v>
      </c>
      <c r="AU422" s="70" t="s">
        <v>2208</v>
      </c>
      <c r="AV422" s="70" t="s">
        <v>2208</v>
      </c>
    </row>
    <row r="423" spans="1:49" ht="15.75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8"/>
        <v>10</v>
      </c>
      <c r="P423" s="136" t="s">
        <v>1940</v>
      </c>
      <c r="Q423" s="31">
        <f t="shared" si="39"/>
        <v>18</v>
      </c>
      <c r="R423" s="32">
        <f t="shared" si="40"/>
        <v>0.35714285714285715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 t="s">
        <v>2208</v>
      </c>
      <c r="AT423" s="70" t="s">
        <v>2208</v>
      </c>
      <c r="AU423" s="70" t="s">
        <v>2208</v>
      </c>
      <c r="AV423" s="70" t="s">
        <v>2208</v>
      </c>
    </row>
    <row r="424" spans="1:49" ht="15.75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8"/>
        <v>13</v>
      </c>
      <c r="P424" s="136" t="s">
        <v>1941</v>
      </c>
      <c r="Q424" s="131">
        <f t="shared" si="39"/>
        <v>15</v>
      </c>
      <c r="R424" s="132">
        <f t="shared" si="40"/>
        <v>0.4642857142857143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 t="s">
        <v>2208</v>
      </c>
      <c r="AT424" s="70" t="s">
        <v>2208</v>
      </c>
      <c r="AU424" s="70" t="s">
        <v>2208</v>
      </c>
      <c r="AV424" s="70" t="s">
        <v>2208</v>
      </c>
    </row>
    <row r="425" spans="1:49" s="73" customFormat="1" ht="15.75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8"/>
        <v>13</v>
      </c>
      <c r="P425" s="136" t="s">
        <v>1942</v>
      </c>
      <c r="Q425" s="131">
        <f t="shared" si="39"/>
        <v>15</v>
      </c>
      <c r="R425" s="132">
        <f t="shared" si="40"/>
        <v>0.4642857142857143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 t="s">
        <v>2208</v>
      </c>
      <c r="AT425" s="70" t="s">
        <v>2208</v>
      </c>
      <c r="AU425" s="70" t="s">
        <v>2208</v>
      </c>
      <c r="AV425" s="70" t="s">
        <v>2208</v>
      </c>
      <c r="AW425"/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8"/>
        <v>28</v>
      </c>
      <c r="P426" s="136" t="s">
        <v>2289</v>
      </c>
      <c r="Q426" s="131">
        <f t="shared" si="39"/>
        <v>0</v>
      </c>
      <c r="R426" s="132">
        <f t="shared" si="40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8"/>
        <v>28</v>
      </c>
      <c r="P427" s="136" t="s">
        <v>2290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8"/>
        <v>28</v>
      </c>
      <c r="P428" s="136" t="s">
        <v>2092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8"/>
        <v>24</v>
      </c>
      <c r="P429" s="136" t="s">
        <v>2091</v>
      </c>
      <c r="Q429" s="131">
        <f t="shared" si="39"/>
        <v>4</v>
      </c>
      <c r="R429" s="132">
        <f t="shared" si="40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8"/>
        <v>28</v>
      </c>
      <c r="P430" s="136" t="s">
        <v>2139</v>
      </c>
      <c r="Q430" s="31">
        <f t="shared" si="39"/>
        <v>0</v>
      </c>
      <c r="R430" s="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8"/>
        <v>28</v>
      </c>
      <c r="P431" s="136" t="s">
        <v>1943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8"/>
        <v>28</v>
      </c>
      <c r="P432" s="136" t="s">
        <v>1944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8"/>
        <v>28</v>
      </c>
      <c r="P433" s="136" t="s">
        <v>2194</v>
      </c>
      <c r="Q433" s="131">
        <f t="shared" si="39"/>
        <v>0</v>
      </c>
      <c r="R433" s="132">
        <f t="shared" si="40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8"/>
        <v>28</v>
      </c>
      <c r="P434" s="136" t="s">
        <v>2471</v>
      </c>
      <c r="Q434" s="31">
        <f t="shared" si="39"/>
        <v>0</v>
      </c>
      <c r="R434" s="32">
        <f t="shared" si="40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8"/>
        <v>27</v>
      </c>
      <c r="P435" s="136" t="s">
        <v>1947</v>
      </c>
      <c r="Q435" s="131">
        <f t="shared" si="39"/>
        <v>1</v>
      </c>
      <c r="R435" s="132">
        <f t="shared" si="40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8"/>
        <v>27</v>
      </c>
      <c r="P436" s="136" t="s">
        <v>2395</v>
      </c>
      <c r="Q436" s="31">
        <f t="shared" si="39"/>
        <v>1</v>
      </c>
      <c r="R436" s="32">
        <f t="shared" si="40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8"/>
        <v>22</v>
      </c>
      <c r="P437" s="136" t="s">
        <v>1949</v>
      </c>
      <c r="Q437" s="131">
        <f t="shared" si="39"/>
        <v>6</v>
      </c>
      <c r="R437" s="132">
        <f t="shared" si="40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 t="s">
        <v>2208</v>
      </c>
      <c r="AV437" s="70"/>
      <c r="AW437"/>
    </row>
    <row r="438" spans="1:49" s="73" customFormat="1" ht="15.75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8"/>
        <v>28</v>
      </c>
      <c r="P438" s="136" t="s">
        <v>1950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8"/>
        <v>28</v>
      </c>
      <c r="P439" s="136" t="s">
        <v>1951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8"/>
        <v>27</v>
      </c>
      <c r="P440" s="136" t="s">
        <v>1945</v>
      </c>
      <c r="Q440" s="131">
        <f t="shared" si="39"/>
        <v>1</v>
      </c>
      <c r="R440" s="132">
        <f t="shared" si="40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8"/>
        <v>10</v>
      </c>
      <c r="P441" s="136" t="s">
        <v>1946</v>
      </c>
      <c r="Q441" s="131">
        <f t="shared" si="39"/>
        <v>18</v>
      </c>
      <c r="R441" s="132">
        <f t="shared" si="40"/>
        <v>0.35714285714285715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 t="s">
        <v>2208</v>
      </c>
      <c r="AT441" s="70" t="s">
        <v>2208</v>
      </c>
      <c r="AU441" s="70" t="s">
        <v>2208</v>
      </c>
      <c r="AV441" s="70" t="s">
        <v>2208</v>
      </c>
      <c r="AW441"/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8"/>
        <v>28</v>
      </c>
      <c r="P442" s="136" t="s">
        <v>1948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8"/>
        <v>25</v>
      </c>
      <c r="P443" s="136" t="s">
        <v>1920</v>
      </c>
      <c r="Q443" s="31">
        <f t="shared" si="39"/>
        <v>3</v>
      </c>
      <c r="R443" s="32">
        <f t="shared" si="40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8"/>
        <v>27</v>
      </c>
      <c r="P444" s="136" t="s">
        <v>1952</v>
      </c>
      <c r="Q444" s="31">
        <f t="shared" si="39"/>
        <v>1</v>
      </c>
      <c r="R444" s="32">
        <f t="shared" si="40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8"/>
        <v>27</v>
      </c>
      <c r="P445" s="136" t="s">
        <v>1953</v>
      </c>
      <c r="Q445" s="31">
        <f t="shared" si="39"/>
        <v>1</v>
      </c>
      <c r="R445" s="32">
        <f t="shared" si="40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8"/>
        <v>27</v>
      </c>
      <c r="P446" s="136" t="s">
        <v>2402</v>
      </c>
      <c r="Q446" s="31">
        <f t="shared" si="39"/>
        <v>1</v>
      </c>
      <c r="R446" s="32">
        <f t="shared" si="40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8"/>
        <v>28</v>
      </c>
      <c r="P447" s="136" t="s">
        <v>1956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8"/>
        <v>28</v>
      </c>
      <c r="P448" s="136" t="s">
        <v>1957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8"/>
        <v>28</v>
      </c>
      <c r="P449" s="136" t="s">
        <v>1954</v>
      </c>
      <c r="Q449" s="31">
        <f t="shared" si="39"/>
        <v>0</v>
      </c>
      <c r="R449" s="32">
        <f t="shared" si="40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8"/>
        <v>28</v>
      </c>
      <c r="P450" s="136" t="s">
        <v>1955</v>
      </c>
      <c r="Q450" s="31">
        <f t="shared" si="39"/>
        <v>0</v>
      </c>
      <c r="R450" s="32">
        <f t="shared" si="40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8"/>
        <v>28</v>
      </c>
      <c r="P451" s="136" t="s">
        <v>1961</v>
      </c>
      <c r="Q451" s="131">
        <f t="shared" si="39"/>
        <v>0</v>
      </c>
      <c r="R451" s="1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8"/>
        <v>28</v>
      </c>
      <c r="P452" s="136" t="s">
        <v>1964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8"/>
        <v>27</v>
      </c>
      <c r="P453" s="143"/>
      <c r="Q453" s="139">
        <f t="shared" si="39"/>
        <v>1</v>
      </c>
      <c r="R453" s="141">
        <f t="shared" si="40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8"/>
        <v>25</v>
      </c>
      <c r="P454" s="136" t="s">
        <v>1965</v>
      </c>
      <c r="Q454" s="31">
        <f t="shared" si="39"/>
        <v>3</v>
      </c>
      <c r="R454" s="32">
        <f t="shared" si="40"/>
        <v>0.8928571428571429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 t="s">
        <v>2208</v>
      </c>
      <c r="AT454" s="70"/>
      <c r="AU454" s="70"/>
      <c r="AV454" s="129"/>
      <c r="AW454"/>
    </row>
    <row r="455" spans="1:49" ht="15.75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8"/>
        <v>25</v>
      </c>
      <c r="P455" s="136" t="s">
        <v>1966</v>
      </c>
      <c r="Q455" s="31">
        <f t="shared" si="39"/>
        <v>3</v>
      </c>
      <c r="R455" s="32">
        <f t="shared" si="40"/>
        <v>0.8928571428571429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 t="s">
        <v>2208</v>
      </c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8"/>
        <v>23</v>
      </c>
      <c r="P456" s="136" t="s">
        <v>1970</v>
      </c>
      <c r="Q456" s="31">
        <f t="shared" si="39"/>
        <v>5</v>
      </c>
      <c r="R456" s="32">
        <f t="shared" si="40"/>
        <v>0.8214285714285714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 t="s">
        <v>2208</v>
      </c>
      <c r="AT456" s="70"/>
      <c r="AU456" s="70"/>
      <c r="AV456" s="70" t="s">
        <v>2208</v>
      </c>
      <c r="AW456" s="88"/>
    </row>
    <row r="457" spans="1:49" ht="15.75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8"/>
        <v>23</v>
      </c>
      <c r="P457" s="136" t="s">
        <v>1971</v>
      </c>
      <c r="Q457" s="31">
        <f t="shared" si="39"/>
        <v>5</v>
      </c>
      <c r="R457" s="32">
        <f t="shared" si="40"/>
        <v>0.8214285714285714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 t="s">
        <v>2208</v>
      </c>
      <c r="AT457" s="70"/>
      <c r="AU457" s="70"/>
      <c r="AV457" s="70" t="s">
        <v>2208</v>
      </c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8"/>
        <v>25</v>
      </c>
      <c r="P458" s="136" t="s">
        <v>1958</v>
      </c>
      <c r="Q458" s="31">
        <f t="shared" si="39"/>
        <v>3</v>
      </c>
      <c r="R458" s="32">
        <f t="shared" si="40"/>
        <v>0.8928571428571429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 t="s">
        <v>2208</v>
      </c>
      <c r="AT458" s="70"/>
      <c r="AU458" s="70"/>
      <c r="AV458" s="70"/>
    </row>
    <row r="459" spans="1:49" ht="15.75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8"/>
        <v>25</v>
      </c>
      <c r="P459" s="136" t="s">
        <v>1959</v>
      </c>
      <c r="Q459" s="31">
        <f t="shared" si="39"/>
        <v>3</v>
      </c>
      <c r="R459" s="32">
        <f t="shared" si="40"/>
        <v>0.8928571428571429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 t="s">
        <v>2208</v>
      </c>
      <c r="AT459" s="70"/>
      <c r="AU459" s="70"/>
      <c r="AV459" s="70"/>
    </row>
    <row r="460" spans="1:49" s="69" customFormat="1" ht="15.75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8"/>
        <v>28</v>
      </c>
      <c r="P460" s="136" t="s">
        <v>1960</v>
      </c>
      <c r="Q460" s="131">
        <f t="shared" si="39"/>
        <v>0</v>
      </c>
      <c r="R460" s="1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8"/>
        <v>26</v>
      </c>
      <c r="P461" s="136" t="s">
        <v>2396</v>
      </c>
      <c r="Q461" s="31">
        <f t="shared" si="39"/>
        <v>2</v>
      </c>
      <c r="R461" s="32">
        <f t="shared" si="40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8"/>
        <v>28</v>
      </c>
      <c r="P462" s="136" t="s">
        <v>1962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8"/>
        <v>28</v>
      </c>
      <c r="P463" s="136" t="s">
        <v>1963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8"/>
        <v>27</v>
      </c>
      <c r="P464" s="136" t="s">
        <v>2397</v>
      </c>
      <c r="Q464" s="31">
        <f t="shared" si="39"/>
        <v>1</v>
      </c>
      <c r="R464" s="32">
        <f t="shared" si="40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8"/>
        <v>10</v>
      </c>
      <c r="P465" s="140"/>
      <c r="Q465" s="139">
        <f t="shared" si="39"/>
        <v>18</v>
      </c>
      <c r="R465" s="141">
        <f t="shared" si="40"/>
        <v>0.35714285714285715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70" t="s">
        <v>2208</v>
      </c>
      <c r="AT465" s="70" t="s">
        <v>2208</v>
      </c>
      <c r="AU465" s="70" t="s">
        <v>2208</v>
      </c>
      <c r="AV465" s="70" t="s">
        <v>2208</v>
      </c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1">COUNTIF(S466:AT466,"")</f>
        <v>28</v>
      </c>
      <c r="P466" s="136" t="s">
        <v>2398</v>
      </c>
      <c r="Q466" s="31">
        <f t="shared" ref="Q466:Q529" si="42">COUNTIF(S466:AT466,"APAGADO")</f>
        <v>0</v>
      </c>
      <c r="R466" s="32">
        <f t="shared" ref="R466:R529" si="43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1"/>
        <v>27</v>
      </c>
      <c r="P467" s="136" t="s">
        <v>1967</v>
      </c>
      <c r="Q467" s="131">
        <f t="shared" si="42"/>
        <v>1</v>
      </c>
      <c r="R467" s="132">
        <f t="shared" si="43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1"/>
        <v>10</v>
      </c>
      <c r="P468" s="136" t="s">
        <v>1968</v>
      </c>
      <c r="Q468" s="131">
        <f t="shared" si="42"/>
        <v>18</v>
      </c>
      <c r="R468" s="132">
        <f t="shared" si="43"/>
        <v>0.35714285714285715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 t="s">
        <v>2208</v>
      </c>
      <c r="AT468" s="70" t="s">
        <v>2208</v>
      </c>
      <c r="AU468" s="70" t="s">
        <v>2208</v>
      </c>
      <c r="AV468" s="70" t="s">
        <v>2208</v>
      </c>
      <c r="AW468" s="73"/>
    </row>
    <row r="469" spans="1:49" ht="15.75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1"/>
        <v>10</v>
      </c>
      <c r="P469" s="136" t="s">
        <v>1969</v>
      </c>
      <c r="Q469" s="131">
        <f t="shared" si="42"/>
        <v>18</v>
      </c>
      <c r="R469" s="132">
        <f t="shared" si="43"/>
        <v>0.35714285714285715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 t="s">
        <v>2208</v>
      </c>
      <c r="AT469" s="70" t="s">
        <v>2208</v>
      </c>
      <c r="AU469" s="70" t="s">
        <v>2208</v>
      </c>
      <c r="AV469" s="70" t="s">
        <v>2208</v>
      </c>
      <c r="AW469" s="73"/>
    </row>
    <row r="470" spans="1:49" ht="15.75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1"/>
        <v>28</v>
      </c>
      <c r="P470" s="136" t="s">
        <v>1972</v>
      </c>
      <c r="Q470" s="31">
        <f t="shared" si="42"/>
        <v>0</v>
      </c>
      <c r="R470" s="32">
        <f t="shared" si="43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1"/>
        <v>28</v>
      </c>
      <c r="P471" s="136" t="s">
        <v>1973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1"/>
        <v>28</v>
      </c>
      <c r="P472" s="136" t="s">
        <v>2399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1"/>
        <v>27</v>
      </c>
      <c r="P473" s="136" t="s">
        <v>2400</v>
      </c>
      <c r="Q473" s="31">
        <f t="shared" si="42"/>
        <v>1</v>
      </c>
      <c r="R473" s="32">
        <f t="shared" si="43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1"/>
        <v>27</v>
      </c>
      <c r="P474" s="136" t="s">
        <v>2403</v>
      </c>
      <c r="Q474" s="31">
        <f t="shared" si="42"/>
        <v>1</v>
      </c>
      <c r="R474" s="32">
        <f t="shared" si="43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1"/>
        <v>28</v>
      </c>
      <c r="P475" s="136" t="s">
        <v>2404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1"/>
        <v>28</v>
      </c>
      <c r="P476" s="136" t="s">
        <v>2405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1"/>
        <v>28</v>
      </c>
      <c r="P477" s="136" t="s">
        <v>2406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1"/>
        <v>10</v>
      </c>
      <c r="P479" s="136" t="s">
        <v>1974</v>
      </c>
      <c r="Q479" s="131">
        <f t="shared" si="42"/>
        <v>18</v>
      </c>
      <c r="R479" s="132">
        <f t="shared" si="43"/>
        <v>0.35714285714285715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 t="s">
        <v>2208</v>
      </c>
      <c r="AT479" s="70" t="s">
        <v>2208</v>
      </c>
      <c r="AU479" s="70" t="s">
        <v>2208</v>
      </c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1"/>
        <v>10</v>
      </c>
      <c r="P480" s="136" t="s">
        <v>1975</v>
      </c>
      <c r="Q480" s="131">
        <f t="shared" si="42"/>
        <v>18</v>
      </c>
      <c r="R480" s="132">
        <f t="shared" si="43"/>
        <v>0.35714285714285715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 t="s">
        <v>2208</v>
      </c>
      <c r="AT480" s="70" t="s">
        <v>2208</v>
      </c>
      <c r="AU480" s="70" t="s">
        <v>2208</v>
      </c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1"/>
        <v>11</v>
      </c>
      <c r="P481" s="136"/>
      <c r="Q481" s="131">
        <f t="shared" si="42"/>
        <v>17</v>
      </c>
      <c r="R481" s="132">
        <f t="shared" si="43"/>
        <v>0.39285714285714285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 t="s">
        <v>2208</v>
      </c>
      <c r="AT481" s="70"/>
      <c r="AU481" s="70" t="s">
        <v>2208</v>
      </c>
      <c r="AV481" s="70" t="s">
        <v>2208</v>
      </c>
      <c r="AW481"/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1"/>
        <v>28</v>
      </c>
      <c r="P482" s="136" t="s">
        <v>2087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1"/>
        <v>27</v>
      </c>
      <c r="P483" s="136" t="s">
        <v>1976</v>
      </c>
      <c r="Q483" s="31">
        <f t="shared" si="42"/>
        <v>1</v>
      </c>
      <c r="R483" s="32">
        <f t="shared" si="43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1"/>
        <v>22</v>
      </c>
      <c r="P484" s="136" t="s">
        <v>1977</v>
      </c>
      <c r="Q484" s="31">
        <f t="shared" si="42"/>
        <v>6</v>
      </c>
      <c r="R484" s="32">
        <f t="shared" si="43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1"/>
        <v>28</v>
      </c>
      <c r="P485" s="136" t="s">
        <v>1978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1"/>
        <v>27</v>
      </c>
      <c r="P486" s="136" t="s">
        <v>1979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1"/>
        <v>27</v>
      </c>
      <c r="P487" s="136" t="s">
        <v>1980</v>
      </c>
      <c r="Q487" s="31">
        <f t="shared" si="42"/>
        <v>1</v>
      </c>
      <c r="R487" s="32">
        <f t="shared" si="43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1"/>
        <v>28</v>
      </c>
      <c r="P488" s="136" t="s">
        <v>1981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1"/>
        <v>28</v>
      </c>
      <c r="P489" s="136" t="s">
        <v>1982</v>
      </c>
      <c r="Q489" s="131">
        <f t="shared" si="42"/>
        <v>0</v>
      </c>
      <c r="R489" s="1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1"/>
        <v>28</v>
      </c>
      <c r="P490" s="136" t="s">
        <v>1983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1"/>
        <v>28</v>
      </c>
      <c r="P491" s="136" t="s">
        <v>1984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1"/>
        <v>28</v>
      </c>
      <c r="P492" s="136" t="s">
        <v>1985</v>
      </c>
      <c r="Q492" s="131">
        <f t="shared" si="42"/>
        <v>0</v>
      </c>
      <c r="R492" s="1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1"/>
        <v>28</v>
      </c>
      <c r="P493" s="136" t="s">
        <v>1986</v>
      </c>
      <c r="Q493" s="85">
        <f t="shared" si="42"/>
        <v>0</v>
      </c>
      <c r="R493" s="86">
        <f t="shared" si="43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1"/>
        <v>28</v>
      </c>
      <c r="P494" s="136" t="s">
        <v>1987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1"/>
        <v>28</v>
      </c>
      <c r="P495" s="136" t="s">
        <v>1988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1"/>
        <v>28</v>
      </c>
      <c r="P496" s="136" t="s">
        <v>1989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1"/>
        <v>28</v>
      </c>
      <c r="P497" s="136" t="s">
        <v>1990</v>
      </c>
      <c r="Q497" s="85">
        <f t="shared" si="42"/>
        <v>0</v>
      </c>
      <c r="R497" s="86">
        <f t="shared" si="43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1"/>
        <v>28</v>
      </c>
      <c r="P498" s="136" t="s">
        <v>2105</v>
      </c>
      <c r="Q498" s="85">
        <f t="shared" si="42"/>
        <v>0</v>
      </c>
      <c r="R498" s="86">
        <f t="shared" si="43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1"/>
        <v>28</v>
      </c>
      <c r="P499" s="136" t="s">
        <v>2106</v>
      </c>
      <c r="Q499" s="85">
        <f t="shared" si="42"/>
        <v>0</v>
      </c>
      <c r="R499" s="86">
        <f t="shared" si="43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1"/>
        <v>28</v>
      </c>
      <c r="P500" s="136" t="s">
        <v>2107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1"/>
        <v>28</v>
      </c>
      <c r="P501" s="136" t="s">
        <v>2108</v>
      </c>
      <c r="Q501" s="85">
        <f t="shared" si="42"/>
        <v>0</v>
      </c>
      <c r="R501" s="86">
        <f t="shared" si="43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1"/>
        <v>28</v>
      </c>
      <c r="P502" s="136" t="s">
        <v>2241</v>
      </c>
      <c r="Q502" s="85">
        <f t="shared" si="42"/>
        <v>0</v>
      </c>
      <c r="R502" s="86">
        <f t="shared" si="43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1"/>
        <v>26</v>
      </c>
      <c r="P503" s="136" t="s">
        <v>1991</v>
      </c>
      <c r="Q503" s="131">
        <f t="shared" si="42"/>
        <v>2</v>
      </c>
      <c r="R503" s="132">
        <f t="shared" si="43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1"/>
        <v>28</v>
      </c>
      <c r="P504" s="136" t="s">
        <v>2407</v>
      </c>
      <c r="Q504" s="31">
        <f t="shared" si="42"/>
        <v>0</v>
      </c>
      <c r="R504" s="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1"/>
        <v>28</v>
      </c>
      <c r="P505" s="136" t="s">
        <v>1993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1"/>
        <v>28</v>
      </c>
      <c r="P506" s="136" t="s">
        <v>1994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1"/>
        <v>27</v>
      </c>
      <c r="P507" s="136" t="s">
        <v>2408</v>
      </c>
      <c r="Q507" s="31">
        <f t="shared" si="42"/>
        <v>1</v>
      </c>
      <c r="R507" s="32">
        <f t="shared" si="43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1"/>
        <v>27</v>
      </c>
      <c r="P508" s="136" t="s">
        <v>2409</v>
      </c>
      <c r="Q508" s="31">
        <f t="shared" si="42"/>
        <v>1</v>
      </c>
      <c r="R508" s="32">
        <f t="shared" si="43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1"/>
        <v>27</v>
      </c>
      <c r="P509" s="136" t="s">
        <v>2410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1"/>
        <v>27</v>
      </c>
      <c r="P510" s="136" t="s">
        <v>2411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1"/>
        <v>25</v>
      </c>
      <c r="P511" s="136" t="s">
        <v>1992</v>
      </c>
      <c r="Q511" s="31">
        <f t="shared" si="42"/>
        <v>3</v>
      </c>
      <c r="R511" s="32">
        <f t="shared" si="43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1"/>
        <v>28</v>
      </c>
      <c r="P512" s="136" t="s">
        <v>1995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1"/>
        <v>28</v>
      </c>
      <c r="P513" s="136" t="s">
        <v>1996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1"/>
        <v>28</v>
      </c>
      <c r="P514" s="136" t="s">
        <v>1997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1"/>
        <v>28</v>
      </c>
      <c r="P515" s="136" t="s">
        <v>1998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1"/>
        <v>28</v>
      </c>
      <c r="P516" s="136" t="s">
        <v>1999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1"/>
        <v>28</v>
      </c>
      <c r="P517" s="136" t="s">
        <v>2009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1"/>
        <v>28</v>
      </c>
      <c r="P518" s="136" t="s">
        <v>2013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1"/>
        <v>28</v>
      </c>
      <c r="P519" s="136" t="s">
        <v>2014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1"/>
        <v>28</v>
      </c>
      <c r="P520" s="136" t="s">
        <v>2015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1"/>
        <v>27</v>
      </c>
      <c r="P521" s="136" t="s">
        <v>2016</v>
      </c>
      <c r="Q521" s="31">
        <f t="shared" si="42"/>
        <v>1</v>
      </c>
      <c r="R521" s="32">
        <f t="shared" si="43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1"/>
        <v>28</v>
      </c>
      <c r="P522" s="136" t="s">
        <v>2018</v>
      </c>
      <c r="Q522" s="131">
        <f t="shared" si="42"/>
        <v>0</v>
      </c>
      <c r="R522" s="1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1"/>
        <v>28</v>
      </c>
      <c r="P523" s="136" t="s">
        <v>2019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1"/>
        <v>28</v>
      </c>
      <c r="P524" s="136" t="s">
        <v>2020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1"/>
        <v>27</v>
      </c>
      <c r="P525" s="136" t="s">
        <v>2023</v>
      </c>
      <c r="Q525" s="31">
        <f t="shared" si="42"/>
        <v>1</v>
      </c>
      <c r="R525" s="32">
        <f t="shared" si="43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1"/>
        <v>27</v>
      </c>
      <c r="P526" s="136" t="s">
        <v>2024</v>
      </c>
      <c r="Q526" s="31">
        <f t="shared" si="42"/>
        <v>1</v>
      </c>
      <c r="R526" s="32">
        <f t="shared" si="43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1"/>
        <v>28</v>
      </c>
      <c r="P527" s="136" t="s">
        <v>2025</v>
      </c>
      <c r="Q527" s="131">
        <f t="shared" si="42"/>
        <v>0</v>
      </c>
      <c r="R527" s="1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1"/>
        <v>28</v>
      </c>
      <c r="P528" s="136" t="s">
        <v>2026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1"/>
        <v>28</v>
      </c>
      <c r="P529" s="136" t="s">
        <v>2027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4">COUNTIF(S530:AT530,"")</f>
        <v>27</v>
      </c>
      <c r="P530" s="136" t="s">
        <v>2000</v>
      </c>
      <c r="Q530" s="31">
        <f t="shared" ref="Q530:Q595" si="45">COUNTIF(S530:AT530,"APAGADO")</f>
        <v>1</v>
      </c>
      <c r="R530" s="32">
        <f t="shared" ref="R530:R595" si="46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4"/>
        <v>28</v>
      </c>
      <c r="P531" s="136" t="s">
        <v>2001</v>
      </c>
      <c r="Q531" s="31">
        <f t="shared" si="45"/>
        <v>0</v>
      </c>
      <c r="R531" s="32">
        <f t="shared" si="46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4"/>
        <v>28</v>
      </c>
      <c r="P532" s="136" t="s">
        <v>2002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4"/>
        <v>28</v>
      </c>
      <c r="P533" s="136" t="s">
        <v>2003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4"/>
        <v>28</v>
      </c>
      <c r="P534" s="136" t="s">
        <v>2004</v>
      </c>
      <c r="Q534" s="131">
        <f t="shared" si="45"/>
        <v>0</v>
      </c>
      <c r="R534" s="1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4"/>
        <v>28</v>
      </c>
      <c r="P535" s="136" t="s">
        <v>2005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4"/>
        <v>28</v>
      </c>
      <c r="P536" s="136" t="s">
        <v>2006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4"/>
        <v>10</v>
      </c>
      <c r="P537" s="136" t="s">
        <v>2007</v>
      </c>
      <c r="Q537" s="131">
        <f t="shared" si="45"/>
        <v>18</v>
      </c>
      <c r="R537" s="132">
        <f t="shared" si="46"/>
        <v>0.35714285714285715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 t="s">
        <v>2208</v>
      </c>
      <c r="AT537" s="70" t="s">
        <v>2208</v>
      </c>
      <c r="AU537" s="70" t="s">
        <v>2208</v>
      </c>
      <c r="AV537" s="70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4"/>
        <v>28</v>
      </c>
      <c r="P538" s="136" t="s">
        <v>2008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4"/>
        <v>28</v>
      </c>
      <c r="P539" s="136" t="s">
        <v>2010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4"/>
        <v>10</v>
      </c>
      <c r="P540" s="136" t="s">
        <v>2011</v>
      </c>
      <c r="Q540" s="31">
        <f t="shared" si="45"/>
        <v>18</v>
      </c>
      <c r="R540" s="32">
        <f t="shared" si="46"/>
        <v>0.35714285714285715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 t="s">
        <v>2208</v>
      </c>
      <c r="AT540" s="70" t="s">
        <v>2208</v>
      </c>
      <c r="AU540" s="70" t="s">
        <v>2208</v>
      </c>
      <c r="AV540" s="70"/>
    </row>
    <row r="541" spans="1:49" ht="15.75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4"/>
        <v>10</v>
      </c>
      <c r="P541" s="136" t="s">
        <v>2012</v>
      </c>
      <c r="Q541" s="31">
        <f t="shared" si="45"/>
        <v>18</v>
      </c>
      <c r="R541" s="32">
        <f t="shared" si="46"/>
        <v>0.35714285714285715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 t="s">
        <v>2208</v>
      </c>
      <c r="AT541" s="70" t="s">
        <v>2208</v>
      </c>
      <c r="AU541" s="70" t="s">
        <v>2208</v>
      </c>
      <c r="AV541" s="70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4"/>
        <v>28</v>
      </c>
      <c r="P542" s="136" t="s">
        <v>2017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4"/>
        <v>28</v>
      </c>
      <c r="P543" s="136" t="s">
        <v>2412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4"/>
        <v>28</v>
      </c>
      <c r="P544" s="136" t="s">
        <v>2021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4"/>
        <v>28</v>
      </c>
      <c r="P545" s="136" t="s">
        <v>2022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4"/>
        <v>28</v>
      </c>
      <c r="P546" s="136" t="s">
        <v>2028</v>
      </c>
      <c r="Q546" s="131">
        <f t="shared" si="45"/>
        <v>0</v>
      </c>
      <c r="R546" s="1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4"/>
        <v>10</v>
      </c>
      <c r="P547" s="136" t="s">
        <v>2159</v>
      </c>
      <c r="Q547" s="131">
        <f t="shared" si="45"/>
        <v>18</v>
      </c>
      <c r="R547" s="132">
        <f t="shared" si="46"/>
        <v>0.35714285714285715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 t="s">
        <v>2208</v>
      </c>
      <c r="AT547" s="70" t="s">
        <v>2208</v>
      </c>
      <c r="AU547" s="70" t="s">
        <v>2208</v>
      </c>
      <c r="AV547" s="70"/>
      <c r="AW547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4"/>
        <v>10</v>
      </c>
      <c r="P548" s="136" t="s">
        <v>2162</v>
      </c>
      <c r="Q548" s="131">
        <f t="shared" si="45"/>
        <v>18</v>
      </c>
      <c r="R548" s="132">
        <f t="shared" si="46"/>
        <v>0.35714285714285715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 t="s">
        <v>2208</v>
      </c>
      <c r="AT548" s="70" t="s">
        <v>2208</v>
      </c>
      <c r="AU548" s="70" t="s">
        <v>2208</v>
      </c>
      <c r="AV548" s="70"/>
      <c r="AW548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4"/>
        <v>28</v>
      </c>
      <c r="P549" s="136" t="s">
        <v>2029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4"/>
        <v>28</v>
      </c>
      <c r="P550" s="136" t="s">
        <v>2030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4"/>
        <v>26</v>
      </c>
      <c r="P551" s="136" t="s">
        <v>2460</v>
      </c>
      <c r="Q551" s="31">
        <f t="shared" si="45"/>
        <v>2</v>
      </c>
      <c r="R551" s="32">
        <f t="shared" si="46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4"/>
        <v>28</v>
      </c>
      <c r="P552" s="136" t="s">
        <v>2031</v>
      </c>
      <c r="Q552" s="31">
        <f t="shared" si="45"/>
        <v>0</v>
      </c>
      <c r="R552" s="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4"/>
        <v>28</v>
      </c>
      <c r="P553" s="136" t="s">
        <v>2032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4"/>
        <v>28</v>
      </c>
      <c r="P554" s="136" t="s">
        <v>2033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4"/>
        <v>28</v>
      </c>
      <c r="P555" s="136" t="s">
        <v>2034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4"/>
        <v>28</v>
      </c>
      <c r="P556" s="136" t="s">
        <v>2035</v>
      </c>
      <c r="Q556" s="31">
        <f t="shared" si="45"/>
        <v>0</v>
      </c>
      <c r="R556" s="32">
        <f t="shared" si="46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4"/>
        <v>28</v>
      </c>
      <c r="P557" s="136" t="s">
        <v>2122</v>
      </c>
      <c r="Q557" s="31">
        <f t="shared" si="45"/>
        <v>0</v>
      </c>
      <c r="R557" s="32">
        <f t="shared" si="46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4"/>
        <v>28</v>
      </c>
      <c r="P558" s="136" t="s">
        <v>2036</v>
      </c>
      <c r="Q558" s="131">
        <f t="shared" si="45"/>
        <v>0</v>
      </c>
      <c r="R558" s="1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4"/>
        <v>27</v>
      </c>
      <c r="P559" s="136" t="s">
        <v>2037</v>
      </c>
      <c r="Q559" s="31">
        <f t="shared" si="45"/>
        <v>1</v>
      </c>
      <c r="R559" s="32">
        <f t="shared" si="46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4"/>
        <v>10</v>
      </c>
      <c r="P560" s="136" t="s">
        <v>2038</v>
      </c>
      <c r="Q560" s="131">
        <f t="shared" si="45"/>
        <v>18</v>
      </c>
      <c r="R560" s="132">
        <f t="shared" si="46"/>
        <v>0.35714285714285715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 t="s">
        <v>2208</v>
      </c>
      <c r="AT560" s="70" t="s">
        <v>2208</v>
      </c>
      <c r="AU560" s="70" t="s">
        <v>2208</v>
      </c>
      <c r="AV560" s="70" t="s">
        <v>2208</v>
      </c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4"/>
        <v>28</v>
      </c>
      <c r="P561" s="136" t="s">
        <v>2039</v>
      </c>
      <c r="Q561" s="131">
        <f t="shared" si="45"/>
        <v>0</v>
      </c>
      <c r="R561" s="1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4"/>
        <v>28</v>
      </c>
      <c r="P562" s="136" t="s">
        <v>2040</v>
      </c>
      <c r="Q562" s="31">
        <f t="shared" si="45"/>
        <v>0</v>
      </c>
      <c r="R562" s="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4"/>
        <v>28</v>
      </c>
      <c r="P563" s="136" t="s">
        <v>2041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4"/>
        <v>28</v>
      </c>
      <c r="P564" s="136" t="s">
        <v>2137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4"/>
        <v>28</v>
      </c>
      <c r="P565" s="136" t="s">
        <v>2080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4"/>
        <v>28</v>
      </c>
      <c r="P566" s="136" t="s">
        <v>2084</v>
      </c>
      <c r="Q566" s="131">
        <f t="shared" si="45"/>
        <v>0</v>
      </c>
      <c r="R566" s="1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4"/>
        <v>27</v>
      </c>
      <c r="P567" s="136" t="s">
        <v>2042</v>
      </c>
      <c r="Q567" s="131">
        <f t="shared" si="45"/>
        <v>1</v>
      </c>
      <c r="R567" s="132">
        <f t="shared" si="46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4"/>
        <v>20</v>
      </c>
      <c r="P568" s="136" t="s">
        <v>2043</v>
      </c>
      <c r="Q568" s="131">
        <f t="shared" si="45"/>
        <v>8</v>
      </c>
      <c r="R568" s="132">
        <f t="shared" si="46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4"/>
        <v>28</v>
      </c>
      <c r="P569" s="136" t="s">
        <v>2044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4"/>
        <v>28</v>
      </c>
      <c r="P570" s="136" t="s">
        <v>2045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4"/>
        <v>26</v>
      </c>
      <c r="P571" s="136" t="s">
        <v>2126</v>
      </c>
      <c r="Q571" s="131">
        <f t="shared" si="45"/>
        <v>2</v>
      </c>
      <c r="R571" s="132">
        <f t="shared" si="46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4"/>
        <v>17</v>
      </c>
      <c r="P572" s="136"/>
      <c r="Q572" s="131">
        <f t="shared" si="45"/>
        <v>11</v>
      </c>
      <c r="R572" s="132">
        <f t="shared" si="46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4"/>
        <v>28</v>
      </c>
      <c r="P573" s="136" t="s">
        <v>2127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4"/>
        <v>28</v>
      </c>
      <c r="P575" s="136" t="s">
        <v>2123</v>
      </c>
      <c r="Q575" s="31">
        <f t="shared" si="45"/>
        <v>0</v>
      </c>
      <c r="R575" s="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4"/>
        <v>28</v>
      </c>
      <c r="P576" s="136" t="s">
        <v>2046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4"/>
        <v>28</v>
      </c>
      <c r="P577" s="136" t="s">
        <v>2124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4"/>
        <v>28</v>
      </c>
      <c r="P578" s="136" t="s">
        <v>2047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4"/>
        <v>28</v>
      </c>
      <c r="P579" s="136" t="s">
        <v>2048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4"/>
        <v>28</v>
      </c>
      <c r="P580" s="136" t="s">
        <v>2125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4"/>
        <v>23</v>
      </c>
      <c r="P581" s="136" t="s">
        <v>2049</v>
      </c>
      <c r="Q581" s="31">
        <f t="shared" si="45"/>
        <v>5</v>
      </c>
      <c r="R581" s="32">
        <f t="shared" si="46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4"/>
        <v>23</v>
      </c>
      <c r="P582" s="136" t="s">
        <v>2050</v>
      </c>
      <c r="Q582" s="31">
        <f t="shared" si="45"/>
        <v>5</v>
      </c>
      <c r="R582" s="32">
        <f t="shared" si="46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4"/>
        <v>27</v>
      </c>
      <c r="P583" s="136" t="s">
        <v>2051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4"/>
        <v>10</v>
      </c>
      <c r="P584" s="136" t="s">
        <v>2052</v>
      </c>
      <c r="Q584" s="31">
        <f t="shared" si="45"/>
        <v>18</v>
      </c>
      <c r="R584" s="32">
        <f t="shared" si="46"/>
        <v>0.35714285714285715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 t="s">
        <v>2208</v>
      </c>
      <c r="AT584" s="70" t="s">
        <v>2208</v>
      </c>
      <c r="AU584" s="70" t="s">
        <v>2208</v>
      </c>
      <c r="AV584" s="70" t="s">
        <v>2208</v>
      </c>
      <c r="AW584" s="73"/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4"/>
        <v>28</v>
      </c>
      <c r="P585" s="136" t="s">
        <v>2054</v>
      </c>
      <c r="Q585" s="31">
        <f t="shared" si="45"/>
        <v>0</v>
      </c>
      <c r="R585" s="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4"/>
        <v>24</v>
      </c>
      <c r="P586" s="136" t="s">
        <v>2055</v>
      </c>
      <c r="Q586" s="31">
        <f t="shared" si="45"/>
        <v>4</v>
      </c>
      <c r="R586" s="32">
        <f t="shared" si="46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4"/>
        <v>28</v>
      </c>
      <c r="P587" s="136" t="s">
        <v>2053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4"/>
        <v>24</v>
      </c>
      <c r="P588" s="136" t="s">
        <v>2056</v>
      </c>
      <c r="Q588" s="31">
        <f t="shared" si="45"/>
        <v>4</v>
      </c>
      <c r="R588" s="32">
        <f t="shared" si="46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4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4"/>
        <v>27</v>
      </c>
      <c r="P590" s="136" t="s">
        <v>2140</v>
      </c>
      <c r="Q590" s="131">
        <f t="shared" si="45"/>
        <v>1</v>
      </c>
      <c r="R590" s="132">
        <f t="shared" si="46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4"/>
        <v>28</v>
      </c>
      <c r="P591" s="136" t="s">
        <v>2190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4"/>
        <v>28</v>
      </c>
      <c r="P592" s="136" t="s">
        <v>2413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4"/>
        <v>26</v>
      </c>
      <c r="P593" s="136" t="s">
        <v>2142</v>
      </c>
      <c r="Q593" s="31">
        <f t="shared" si="45"/>
        <v>2</v>
      </c>
      <c r="R593" s="32">
        <f t="shared" si="46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4"/>
        <v>28</v>
      </c>
      <c r="P594" s="136" t="s">
        <v>2143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4"/>
        <v>28</v>
      </c>
      <c r="P595" s="136" t="s">
        <v>2058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7">COUNTIF(S596:AT596,"")</f>
        <v>28</v>
      </c>
      <c r="P596" s="136" t="s">
        <v>2057</v>
      </c>
      <c r="Q596" s="31">
        <f t="shared" ref="Q596:Q607" si="48">COUNTIF(S596:AT596,"APAGADO")</f>
        <v>0</v>
      </c>
      <c r="R596" s="32">
        <f t="shared" ref="R596:R607" si="49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7"/>
        <v>28</v>
      </c>
      <c r="P597" s="136" t="s">
        <v>2059</v>
      </c>
      <c r="Q597" s="31">
        <f t="shared" si="48"/>
        <v>0</v>
      </c>
      <c r="R597" s="32">
        <f t="shared" si="49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7"/>
        <v>28</v>
      </c>
      <c r="P598" s="136" t="s">
        <v>2141</v>
      </c>
      <c r="Q598" s="31">
        <f t="shared" si="48"/>
        <v>0</v>
      </c>
      <c r="R598" s="32">
        <f t="shared" si="49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7"/>
        <v>28</v>
      </c>
      <c r="P599" s="136" t="s">
        <v>2063</v>
      </c>
      <c r="Q599" s="131">
        <f t="shared" si="48"/>
        <v>0</v>
      </c>
      <c r="R599" s="1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7"/>
        <v>28</v>
      </c>
      <c r="P600" s="136" t="s">
        <v>2064</v>
      </c>
      <c r="Q600" s="131">
        <f t="shared" si="48"/>
        <v>0</v>
      </c>
      <c r="R600" s="1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7"/>
        <v>28</v>
      </c>
      <c r="P601" s="136" t="s">
        <v>2065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7"/>
        <v>28</v>
      </c>
      <c r="P602" s="136" t="s">
        <v>2066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7"/>
        <v>28</v>
      </c>
      <c r="P603" s="136" t="s">
        <v>2069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7"/>
        <v>28</v>
      </c>
      <c r="P604" s="136" t="s">
        <v>2216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7"/>
        <v>28</v>
      </c>
      <c r="P605" s="136" t="s">
        <v>2060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7"/>
        <v>26</v>
      </c>
      <c r="P606" s="136" t="s">
        <v>2061</v>
      </c>
      <c r="Q606" s="131">
        <f t="shared" si="48"/>
        <v>2</v>
      </c>
      <c r="R606" s="132">
        <f t="shared" si="49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7"/>
        <v>28</v>
      </c>
      <c r="P607" s="136" t="s">
        <v>2062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50" priority="2998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49" priority="2999" operator="equal">
      <formula>$H$284</formula>
    </cfRule>
  </conditionalFormatting>
  <conditionalFormatting sqref="H1:H608">
    <cfRule type="cellIs" dxfId="248" priority="2995" operator="equal">
      <formula>"IPCOMS"</formula>
    </cfRule>
  </conditionalFormatting>
  <conditionalFormatting sqref="I20:I21">
    <cfRule type="cellIs" dxfId="247" priority="5662" operator="equal">
      <formula>$H$284</formula>
    </cfRule>
    <cfRule type="cellIs" dxfId="246" priority="5661" operator="equal">
      <formula>$H$305</formula>
    </cfRule>
  </conditionalFormatting>
  <conditionalFormatting sqref="I165:I166 I226:I227 I263 I287:I292 I302:I304 I412:I416 I428:I430 I433:I434 H690:H1048576 I20:I21">
    <cfRule type="cellIs" dxfId="245" priority="5207" operator="equal">
      <formula>"IPCOMS"</formula>
    </cfRule>
  </conditionalFormatting>
  <conditionalFormatting sqref="J1:J578 J594:J608 J690:J1048576">
    <cfRule type="containsText" dxfId="244" priority="5668" operator="containsText" text="domo">
      <formula>NOT(ISERROR(SEARCH("domo",J1)))</formula>
    </cfRule>
  </conditionalFormatting>
  <conditionalFormatting sqref="J1:J589">
    <cfRule type="cellIs" dxfId="243" priority="3000" operator="equal">
      <formula>$J$10</formula>
    </cfRule>
  </conditionalFormatting>
  <conditionalFormatting sqref="J34:J35 J158:N234 J238:N410 J435:N578">
    <cfRule type="containsText" dxfId="242" priority="5135" operator="containsText" text="Radio">
      <formula>NOT(ISERROR(SEARCH("Radio",J34)))</formula>
    </cfRule>
  </conditionalFormatting>
  <conditionalFormatting sqref="J135:J148 L148:N148">
    <cfRule type="containsText" dxfId="241" priority="5149" operator="containsText" text="Radio">
      <formula>NOT(ISERROR(SEARCH("Radio",J135)))</formula>
    </cfRule>
  </conditionalFormatting>
  <conditionalFormatting sqref="J412:J416">
    <cfRule type="containsText" dxfId="240" priority="5168" operator="containsText" text="Radio">
      <formula>NOT(ISERROR(SEARCH("Radio",J412)))</formula>
    </cfRule>
  </conditionalFormatting>
  <conditionalFormatting sqref="J580">
    <cfRule type="containsText" dxfId="239" priority="5610" operator="containsText" text="Radio">
      <formula>NOT(ISERROR(SEARCH("Radio",J580)))</formula>
    </cfRule>
    <cfRule type="containsText" dxfId="238" priority="5609" operator="containsText" text="domo">
      <formula>NOT(ISERROR(SEARCH("domo",J580)))</formula>
    </cfRule>
    <cfRule type="containsText" dxfId="237" priority="5608" operator="containsText" text="fija">
      <formula>NOT(ISERROR(SEARCH("fija",J580)))</formula>
    </cfRule>
  </conditionalFormatting>
  <conditionalFormatting sqref="J580:J581">
    <cfRule type="containsText" dxfId="236" priority="5603" operator="containsText" text="fija">
      <formula>NOT(ISERROR(SEARCH("fija",J580)))</formula>
    </cfRule>
    <cfRule type="containsText" dxfId="235" priority="5604" operator="containsText" text="domo">
      <formula>NOT(ISERROR(SEARCH("domo",J580)))</formula>
    </cfRule>
  </conditionalFormatting>
  <conditionalFormatting sqref="J581">
    <cfRule type="containsText" dxfId="234" priority="5602" operator="containsText" text="domo">
      <formula>NOT(ISERROR(SEARCH("domo",J581)))</formula>
    </cfRule>
    <cfRule type="containsText" dxfId="233" priority="5601" operator="containsText" text="fija">
      <formula>NOT(ISERROR(SEARCH("fija",J581)))</formula>
    </cfRule>
    <cfRule type="containsText" dxfId="232" priority="5605" operator="containsText" text="Radio">
      <formula>NOT(ISERROR(SEARCH("Radio",J581)))</formula>
    </cfRule>
  </conditionalFormatting>
  <conditionalFormatting sqref="J584">
    <cfRule type="containsText" dxfId="231" priority="5599" operator="containsText" text="domo">
      <formula>NOT(ISERROR(SEARCH("domo",J584)))</formula>
    </cfRule>
    <cfRule type="containsText" dxfId="230" priority="5598" operator="containsText" text="fija">
      <formula>NOT(ISERROR(SEARCH("fija",J584)))</formula>
    </cfRule>
    <cfRule type="containsText" dxfId="229" priority="5600" operator="containsText" text="Radio">
      <formula>NOT(ISERROR(SEARCH("Radio",J584)))</formula>
    </cfRule>
  </conditionalFormatting>
  <conditionalFormatting sqref="J584:J585">
    <cfRule type="containsText" dxfId="228" priority="5594" operator="containsText" text="domo">
      <formula>NOT(ISERROR(SEARCH("domo",J584)))</formula>
    </cfRule>
    <cfRule type="containsText" dxfId="227" priority="5593" operator="containsText" text="fija">
      <formula>NOT(ISERROR(SEARCH("fija",J584)))</formula>
    </cfRule>
  </conditionalFormatting>
  <conditionalFormatting sqref="J585 J48:N134 K135:K136 J236:K237 J411:K411 K412:K416 J417:N432 J433:K434 J690:N1048576 J594:N608 M411:N411 L411:L416">
    <cfRule type="containsText" dxfId="226" priority="5595" operator="containsText" text="Radio">
      <formula>NOT(ISERROR(SEARCH("Radio",J48)))</formula>
    </cfRule>
  </conditionalFormatting>
  <conditionalFormatting sqref="J585:J586">
    <cfRule type="containsText" dxfId="225" priority="5589" operator="containsText" text="domo">
      <formula>NOT(ISERROR(SEARCH("domo",J585)))</formula>
    </cfRule>
    <cfRule type="containsText" dxfId="224" priority="5588" operator="containsText" text="fija">
      <formula>NOT(ISERROR(SEARCH("fija",J585)))</formula>
    </cfRule>
  </conditionalFormatting>
  <conditionalFormatting sqref="J586">
    <cfRule type="containsText" dxfId="223" priority="5590" operator="containsText" text="Radio">
      <formula>NOT(ISERROR(SEARCH("Radio",J586)))</formula>
    </cfRule>
  </conditionalFormatting>
  <conditionalFormatting sqref="J586:J587">
    <cfRule type="containsText" dxfId="222" priority="5584" operator="containsText" text="domo">
      <formula>NOT(ISERROR(SEARCH("domo",J586)))</formula>
    </cfRule>
    <cfRule type="containsText" dxfId="221" priority="5583" operator="containsText" text="fija">
      <formula>NOT(ISERROR(SEARCH("fija",J586)))</formula>
    </cfRule>
  </conditionalFormatting>
  <conditionalFormatting sqref="J587">
    <cfRule type="containsText" dxfId="220" priority="5585" operator="containsText" text="Radio">
      <formula>NOT(ISERROR(SEARCH("Radio",J587)))</formula>
    </cfRule>
    <cfRule type="containsText" dxfId="219" priority="5582" operator="containsText" text="domo">
      <formula>NOT(ISERROR(SEARCH("domo",J587)))</formula>
    </cfRule>
    <cfRule type="containsText" dxfId="218" priority="5581" operator="containsText" text="fija">
      <formula>NOT(ISERROR(SEARCH("fija",J587)))</formula>
    </cfRule>
  </conditionalFormatting>
  <conditionalFormatting sqref="J590:J608 J690:J1048576">
    <cfRule type="cellIs" dxfId="217" priority="5663" operator="equal">
      <formula>$J$10</formula>
    </cfRule>
  </conditionalFormatting>
  <conditionalFormatting sqref="J592">
    <cfRule type="containsText" dxfId="216" priority="5880" operator="containsText" text="domo">
      <formula>NOT(ISERROR(SEARCH("domo",J592)))</formula>
    </cfRule>
    <cfRule type="containsText" dxfId="215" priority="5879" operator="containsText" text="fija">
      <formula>NOT(ISERROR(SEARCH("fija",J592)))</formula>
    </cfRule>
  </conditionalFormatting>
  <conditionalFormatting sqref="J594:J608 J690:J1048576 J1:J578">
    <cfRule type="containsText" dxfId="214" priority="5667" operator="containsText" text="fija">
      <formula>NOT(ISERROR(SEARCH("fija",J1)))</formula>
    </cfRule>
  </conditionalFormatting>
  <conditionalFormatting sqref="J595:J598">
    <cfRule type="containsText" dxfId="213" priority="5612" operator="containsText" text="domo">
      <formula>NOT(ISERROR(SEARCH("domo",J595)))</formula>
    </cfRule>
    <cfRule type="containsText" dxfId="212" priority="5611" operator="containsText" text="fija">
      <formula>NOT(ISERROR(SEARCH("fija",J595)))</formula>
    </cfRule>
  </conditionalFormatting>
  <conditionalFormatting sqref="J235:K235">
    <cfRule type="containsText" dxfId="211" priority="5170" operator="containsText" text="Radio">
      <formula>NOT(ISERROR(SEARCH("Radio",J235)))</formula>
    </cfRule>
  </conditionalFormatting>
  <conditionalFormatting sqref="J37:L47">
    <cfRule type="containsText" dxfId="210" priority="5140" operator="containsText" text="Radio">
      <formula>NOT(ISERROR(SEARCH("Radio",J37)))</formula>
    </cfRule>
  </conditionalFormatting>
  <conditionalFormatting sqref="J1:N36">
    <cfRule type="containsText" dxfId="209" priority="5205" operator="containsText" text="Radio">
      <formula>NOT(ISERROR(SEARCH("Radio",J1)))</formula>
    </cfRule>
  </conditionalFormatting>
  <conditionalFormatting sqref="J149:N156 J157">
    <cfRule type="containsText" dxfId="208" priority="5143" operator="containsText" text="Radio">
      <formula>NOT(ISERROR(SEARCH("Radio",J149)))</formula>
    </cfRule>
  </conditionalFormatting>
  <conditionalFormatting sqref="J592:N592 K593">
    <cfRule type="containsText" dxfId="207" priority="6136" operator="containsText" text="Radio">
      <formula>NOT(ISERROR(SEARCH("Radio",J592)))</formula>
    </cfRule>
  </conditionalFormatting>
  <conditionalFormatting sqref="K1:K136 K163:K588 K690:K1048576">
    <cfRule type="cellIs" dxfId="206" priority="5209" operator="equal">
      <formula>"GPON"</formula>
    </cfRule>
    <cfRule type="cellIs" dxfId="205" priority="5208" operator="equal">
      <formula>"GPON"</formula>
    </cfRule>
  </conditionalFormatting>
  <conditionalFormatting sqref="K139">
    <cfRule type="cellIs" dxfId="204" priority="5200" operator="equal">
      <formula>"PTP A FO"</formula>
    </cfRule>
    <cfRule type="cellIs" dxfId="203" priority="5201" operator="equal">
      <formula>"PTP A FO"</formula>
    </cfRule>
    <cfRule type="cellIs" dxfId="202" priority="5199" operator="equal">
      <formula>$K$13</formula>
    </cfRule>
    <cfRule type="containsText" dxfId="201" priority="5198" operator="containsText" text="Radio">
      <formula>NOT(ISERROR(SEARCH("Radio",K139)))</formula>
    </cfRule>
    <cfRule type="cellIs" dxfId="200" priority="5197" operator="equal">
      <formula>"GPON"</formula>
    </cfRule>
    <cfRule type="cellIs" dxfId="199" priority="5196" operator="equal">
      <formula>"GPON"</formula>
    </cfRule>
  </conditionalFormatting>
  <conditionalFormatting sqref="K142:K149">
    <cfRule type="cellIs" dxfId="198" priority="5174" operator="equal">
      <formula>$K$13</formula>
    </cfRule>
    <cfRule type="cellIs" dxfId="197" priority="5175" operator="equal">
      <formula>"PTP A FO"</formula>
    </cfRule>
    <cfRule type="cellIs" dxfId="196" priority="5176" operator="equal">
      <formula>"PTP A FO"</formula>
    </cfRule>
    <cfRule type="containsText" dxfId="195" priority="5173" operator="containsText" text="Radio">
      <formula>NOT(ISERROR(SEARCH("Radio",K142)))</formula>
    </cfRule>
  </conditionalFormatting>
  <conditionalFormatting sqref="K142:K156">
    <cfRule type="cellIs" dxfId="194" priority="5141" operator="equal">
      <formula>"GPON"</formula>
    </cfRule>
    <cfRule type="cellIs" dxfId="193" priority="5142" operator="equal">
      <formula>"GPON"</formula>
    </cfRule>
  </conditionalFormatting>
  <conditionalFormatting sqref="K146:K147">
    <cfRule type="containsText" dxfId="192" priority="5136" operator="containsText" text="Radio">
      <formula>NOT(ISERROR(SEARCH("Radio",K146)))</formula>
    </cfRule>
    <cfRule type="cellIs" dxfId="191" priority="5137" operator="equal">
      <formula>$K$13</formula>
    </cfRule>
    <cfRule type="cellIs" dxfId="190" priority="5138" operator="equal">
      <formula>"PTP A FO"</formula>
    </cfRule>
    <cfRule type="cellIs" dxfId="189" priority="5139" operator="equal">
      <formula>"PTP A FO"</formula>
    </cfRule>
  </conditionalFormatting>
  <conditionalFormatting sqref="K157:K162">
    <cfRule type="cellIs" dxfId="188" priority="542" operator="equal">
      <formula>"GPON"</formula>
    </cfRule>
    <cfRule type="cellIs" dxfId="187" priority="543" operator="equal">
      <formula>"GPON"</formula>
    </cfRule>
  </conditionalFormatting>
  <conditionalFormatting sqref="K235:K237">
    <cfRule type="cellIs" dxfId="186" priority="5187" operator="equal">
      <formula>$K$13</formula>
    </cfRule>
    <cfRule type="cellIs" dxfId="185" priority="5188" operator="equal">
      <formula>"PTP A FO"</formula>
    </cfRule>
    <cfRule type="cellIs" dxfId="184" priority="5189" operator="equal">
      <formula>"PTP A FO"</formula>
    </cfRule>
  </conditionalFormatting>
  <conditionalFormatting sqref="K236:K237">
    <cfRule type="cellIs" dxfId="183" priority="5183" operator="equal">
      <formula>$K$13</formula>
    </cfRule>
    <cfRule type="cellIs" dxfId="182" priority="5184" operator="equal">
      <formula>"PTP A FO"</formula>
    </cfRule>
    <cfRule type="cellIs" dxfId="181" priority="5185" operator="equal">
      <formula>"PTP A FO"</formula>
    </cfRule>
  </conditionalFormatting>
  <conditionalFormatting sqref="K433:K434">
    <cfRule type="cellIs" dxfId="180" priority="5195" operator="equal">
      <formula>"PTP A FO"</formula>
    </cfRule>
    <cfRule type="cellIs" dxfId="179" priority="5194" operator="equal">
      <formula>"PTP A FO"</formula>
    </cfRule>
    <cfRule type="cellIs" dxfId="178" priority="5193" operator="equal">
      <formula>$K$13</formula>
    </cfRule>
    <cfRule type="containsText" dxfId="177" priority="5192" operator="containsText" text="Radio">
      <formula>NOT(ISERROR(SEARCH("Radio",K433)))</formula>
    </cfRule>
  </conditionalFormatting>
  <conditionalFormatting sqref="K579">
    <cfRule type="cellIs" dxfId="176" priority="5259" operator="equal">
      <formula>"PTP A FO"</formula>
    </cfRule>
    <cfRule type="containsText" dxfId="175" priority="5258" operator="containsText" text="Radio">
      <formula>NOT(ISERROR(SEARCH("Radio",K579)))</formula>
    </cfRule>
  </conditionalFormatting>
  <conditionalFormatting sqref="K589:K608">
    <cfRule type="cellIs" dxfId="174" priority="2997" operator="equal">
      <formula>"GPON"</formula>
    </cfRule>
    <cfRule type="cellIs" dxfId="173" priority="2996" operator="equal">
      <formula>"GPON"</formula>
    </cfRule>
  </conditionalFormatting>
  <conditionalFormatting sqref="K1:L134 K135:K136 K163:L234 K238:L432 K433:K434 K435:L578 K592:L592 K593 K594:L608 K690:L1048576">
    <cfRule type="cellIs" dxfId="172" priority="5860" operator="equal">
      <formula>"PTP A FO"</formula>
    </cfRule>
  </conditionalFormatting>
  <conditionalFormatting sqref="K1:L134 K135:K136 K163:L234 K238:L432 K433:K434 K435:L588 K590:L608 K690:L1048576">
    <cfRule type="cellIs" dxfId="171" priority="5665" operator="equal">
      <formula>"PTP A FO"</formula>
    </cfRule>
  </conditionalFormatting>
  <conditionalFormatting sqref="K1:L134 K135:K136 K238:L432 K433:K434 K590:L608 K690:L1048576 K435:L588 K163:L234">
    <cfRule type="cellIs" dxfId="170" priority="5664" operator="equal">
      <formula>$K$13</formula>
    </cfRule>
  </conditionalFormatting>
  <conditionalFormatting sqref="K149:L156 K158:L162">
    <cfRule type="cellIs" dxfId="169" priority="5146" operator="equal">
      <formula>"PTP A FO"</formula>
    </cfRule>
    <cfRule type="cellIs" dxfId="168" priority="5145" operator="equal">
      <formula>"PTP A FO"</formula>
    </cfRule>
    <cfRule type="cellIs" dxfId="167" priority="5144" operator="equal">
      <formula>$K$13</formula>
    </cfRule>
  </conditionalFormatting>
  <conditionalFormatting sqref="K157:L157">
    <cfRule type="cellIs" dxfId="166" priority="546" operator="equal">
      <formula>"PTP A FO"</formula>
    </cfRule>
    <cfRule type="cellIs" dxfId="165" priority="545" operator="equal">
      <formula>$K$13</formula>
    </cfRule>
    <cfRule type="cellIs" dxfId="164" priority="547" operator="equal">
      <formula>"PTP A FO"</formula>
    </cfRule>
    <cfRule type="containsText" dxfId="163" priority="544" operator="containsText" text="Radio">
      <formula>NOT(ISERROR(SEARCH("Radio",K157)))</formula>
    </cfRule>
  </conditionalFormatting>
  <conditionalFormatting sqref="K589:L589">
    <cfRule type="cellIs" dxfId="162" priority="3002" operator="equal">
      <formula>"PTP A FO"</formula>
    </cfRule>
    <cfRule type="cellIs" dxfId="161" priority="3001" operator="equal">
      <formula>$K$13</formula>
    </cfRule>
  </conditionalFormatting>
  <conditionalFormatting sqref="L148">
    <cfRule type="cellIs" dxfId="160" priority="5151" operator="equal">
      <formula>"PTP A FO"</formula>
    </cfRule>
    <cfRule type="cellIs" dxfId="159" priority="5152" operator="equal">
      <formula>"PTP A FO"</formula>
    </cfRule>
    <cfRule type="cellIs" dxfId="158" priority="5150" operator="equal">
      <formula>$K$13</formula>
    </cfRule>
  </conditionalFormatting>
  <conditionalFormatting sqref="M157:N157">
    <cfRule type="containsText" dxfId="157" priority="541" operator="containsText" text="Radio">
      <formula>NOT(ISERROR(SEARCH("Radio",M157)))</formula>
    </cfRule>
  </conditionalFormatting>
  <conditionalFormatting sqref="R7:R406 R408:R608">
    <cfRule type="cellIs" dxfId="156" priority="6096" operator="greaterThan">
      <formula>0.8</formula>
    </cfRule>
    <cfRule type="cellIs" dxfId="155" priority="6095" operator="lessThan">
      <formula>0.8</formula>
    </cfRule>
  </conditionalFormatting>
  <conditionalFormatting sqref="S36:T43">
    <cfRule type="cellIs" dxfId="154" priority="1095" operator="equal">
      <formula>"APAGADO"</formula>
    </cfRule>
  </conditionalFormatting>
  <conditionalFormatting sqref="S426:T434">
    <cfRule type="cellIs" dxfId="153" priority="1053" operator="equal">
      <formula>"APAGADO"</formula>
    </cfRule>
  </conditionalFormatting>
  <conditionalFormatting sqref="S353:U369">
    <cfRule type="cellIs" dxfId="152" priority="970" operator="equal">
      <formula>"APAGADO"</formula>
    </cfRule>
  </conditionalFormatting>
  <conditionalFormatting sqref="S412:U415">
    <cfRule type="cellIs" dxfId="151" priority="2191" operator="equal">
      <formula>"APAGADO"</formula>
    </cfRule>
  </conditionalFormatting>
  <conditionalFormatting sqref="S435:W435 Y435:AD435">
    <cfRule type="cellIs" dxfId="150" priority="3893" operator="equal">
      <formula>"APAGADO"</formula>
    </cfRule>
  </conditionalFormatting>
  <conditionalFormatting sqref="S416:Z417">
    <cfRule type="cellIs" dxfId="149" priority="783" operator="equal">
      <formula>"APAGADO"</formula>
    </cfRule>
  </conditionalFormatting>
  <conditionalFormatting sqref="S121:AA121">
    <cfRule type="cellIs" dxfId="148" priority="3986" operator="equal">
      <formula>"APAGADO"</formula>
    </cfRule>
  </conditionalFormatting>
  <conditionalFormatting sqref="S436:AD436">
    <cfRule type="cellIs" dxfId="147" priority="763" operator="equal">
      <formula>"APAGADO"</formula>
    </cfRule>
  </conditionalFormatting>
  <conditionalFormatting sqref="S333:AK336">
    <cfRule type="cellIs" dxfId="146" priority="442" operator="equal">
      <formula>"APAGADO"</formula>
    </cfRule>
  </conditionalFormatting>
  <conditionalFormatting sqref="S337:AT352">
    <cfRule type="cellIs" dxfId="145" priority="121" operator="equal">
      <formula>"APAGADO"</formula>
    </cfRule>
  </conditionalFormatting>
  <conditionalFormatting sqref="S370:AT406">
    <cfRule type="cellIs" dxfId="144" priority="118" operator="equal">
      <formula>"APAGADO"</formula>
    </cfRule>
  </conditionalFormatting>
  <conditionalFormatting sqref="S408:AT411">
    <cfRule type="cellIs" dxfId="143" priority="117" operator="equal">
      <formula>"APAGADO"</formula>
    </cfRule>
  </conditionalFormatting>
  <conditionalFormatting sqref="S8:AV35">
    <cfRule type="cellIs" dxfId="142" priority="1103" operator="equal">
      <formula>"APAGADO"</formula>
    </cfRule>
  </conditionalFormatting>
  <conditionalFormatting sqref="S44:AV120">
    <cfRule type="cellIs" dxfId="141" priority="193" operator="equal">
      <formula>"APAGADO"</formula>
    </cfRule>
  </conditionalFormatting>
  <conditionalFormatting sqref="S122:AV130 S132:AV137 S131:AU131 S139:AV148 S138:AU138 S151:AV171 S149:AU150 S173:AV197 S172:AU172 S199:AV230 S198:AU198 S232:AV234 S231:AU231">
    <cfRule type="cellIs" dxfId="140" priority="85" operator="equal">
      <formula>"APAGADO"</formula>
    </cfRule>
  </conditionalFormatting>
  <conditionalFormatting sqref="S238:AV252 S254:AV254 S253:AU253 S258:AV272 S255:AU257 S274:AV296 S273:AU273 S298:AV300 S297:AU297 S302:AV302 S301:AU301 S305:AV315 S303:AU304 S319:AV323 S316:AU318 S325:AV325 S324:AU324 S328:AV332 S326:AU327">
    <cfRule type="cellIs" dxfId="139" priority="42" operator="equal">
      <formula>"APAGADO"</formula>
    </cfRule>
  </conditionalFormatting>
  <conditionalFormatting sqref="S418:AV425">
    <cfRule type="cellIs" dxfId="138" priority="66" operator="equal">
      <formula>"APAGADO"</formula>
    </cfRule>
  </conditionalFormatting>
  <conditionalFormatting sqref="S437:AV440 S442:AV455 S441:AU441 S466:AV467 S465:AU465 S470:AV480 S468:AU469 S458:AV464 S456:AU457 S482:AV559 S481:AU481 S561:AV583 S560:AU560 S585:AV608 S584:AU584">
    <cfRule type="cellIs" dxfId="137" priority="51" operator="equal">
      <formula>"APAGADO"</formula>
    </cfRule>
  </conditionalFormatting>
  <conditionalFormatting sqref="S690:AV766 AC690:AN1048576">
    <cfRule type="cellIs" dxfId="136" priority="5242" operator="equal">
      <formula>"apagado"</formula>
    </cfRule>
  </conditionalFormatting>
  <conditionalFormatting sqref="S690:AV1048576">
    <cfRule type="notContainsText" dxfId="135" priority="6125" operator="notContains" text="Caida">
      <formula>ISERROR(SEARCH("Caida",S690))</formula>
    </cfRule>
    <cfRule type="containsText" dxfId="134" priority="5792" operator="containsText" text="Caida">
      <formula>NOT(ISERROR(SEARCH("Caida",S690)))</formula>
    </cfRule>
  </conditionalFormatting>
  <conditionalFormatting sqref="U690:U1209">
    <cfRule type="cellIs" dxfId="133" priority="5447" operator="greaterThan">
      <formula>0.8</formula>
    </cfRule>
    <cfRule type="notContainsText" dxfId="132" priority="5421" operator="notContains" text="Caida">
      <formula>ISERROR(SEARCH("Caida",U690))</formula>
    </cfRule>
    <cfRule type="containsText" dxfId="131" priority="5422" operator="containsText" text="Caida">
      <formula>NOT(ISERROR(SEARCH("Caida",U690)))</formula>
    </cfRule>
    <cfRule type="cellIs" dxfId="130" priority="5423" operator="lessThan">
      <formula>0.8</formula>
    </cfRule>
    <cfRule type="cellIs" dxfId="129" priority="5424" operator="greaterThan">
      <formula>0.8</formula>
    </cfRule>
    <cfRule type="cellIs" dxfId="128" priority="5551" operator="equal">
      <formula>"APAGADO"</formula>
    </cfRule>
  </conditionalFormatting>
  <conditionalFormatting sqref="U690:U1048576">
    <cfRule type="cellIs" dxfId="127" priority="5441" operator="equal">
      <formula>$U$16</formula>
    </cfRule>
  </conditionalFormatting>
  <conditionalFormatting sqref="U37:W38">
    <cfRule type="cellIs" dxfId="126" priority="3954" operator="equal">
      <formula>"APAGADO"</formula>
    </cfRule>
  </conditionalFormatting>
  <conditionalFormatting sqref="U434:W434">
    <cfRule type="cellIs" dxfId="125" priority="2070" operator="equal">
      <formula>"APAGADO"</formula>
    </cfRule>
  </conditionalFormatting>
  <conditionalFormatting sqref="U39:AG40">
    <cfRule type="cellIs" dxfId="124" priority="1801" operator="equal">
      <formula>"APAGADO"</formula>
    </cfRule>
  </conditionalFormatting>
  <conditionalFormatting sqref="U36:AV36">
    <cfRule type="cellIs" dxfId="123" priority="1378" operator="equal">
      <formula>"APAGADO"</formula>
    </cfRule>
  </conditionalFormatting>
  <conditionalFormatting sqref="U41:AV41 U42:AU43">
    <cfRule type="cellIs" dxfId="122" priority="815" operator="equal">
      <formula>"APAGADO"</formula>
    </cfRule>
  </conditionalFormatting>
  <conditionalFormatting sqref="U426:AV432">
    <cfRule type="cellIs" dxfId="121" priority="692" operator="equal">
      <formula>"APAGADO"</formula>
    </cfRule>
  </conditionalFormatting>
  <conditionalFormatting sqref="V236:W236">
    <cfRule type="cellIs" dxfId="120" priority="3966" operator="equal">
      <formula>"APAGADO"</formula>
    </cfRule>
  </conditionalFormatting>
  <conditionalFormatting sqref="V353:AT359">
    <cfRule type="cellIs" dxfId="119" priority="787" operator="equal">
      <formula>"APAGADO"</formula>
    </cfRule>
  </conditionalFormatting>
  <conditionalFormatting sqref="V361:AT369">
    <cfRule type="cellIs" dxfId="118" priority="1346" operator="equal">
      <formula>"APAGADO"</formula>
    </cfRule>
  </conditionalFormatting>
  <conditionalFormatting sqref="X434:X435">
    <cfRule type="cellIs" dxfId="117" priority="3822" operator="equal">
      <formula>"APAGADO"</formula>
    </cfRule>
  </conditionalFormatting>
  <conditionalFormatting sqref="X415:Z415">
    <cfRule type="cellIs" dxfId="116" priority="3541" operator="equal">
      <formula>"APAGADO"</formula>
    </cfRule>
  </conditionalFormatting>
  <conditionalFormatting sqref="X38:AG38">
    <cfRule type="cellIs" dxfId="115" priority="5018" operator="equal">
      <formula>"APAGADO"</formula>
    </cfRule>
  </conditionalFormatting>
  <conditionalFormatting sqref="X37:AJ37 AF235:AF237 V360:AH360 AJ360:AT360 AO690:AV1048576">
    <cfRule type="cellIs" dxfId="114" priority="5241" operator="equal">
      <formula>"APAGADO"</formula>
    </cfRule>
  </conditionalFormatting>
  <conditionalFormatting sqref="Y434:AO434">
    <cfRule type="cellIs" dxfId="113" priority="1464" operator="equal">
      <formula>"APAGADO"</formula>
    </cfRule>
  </conditionalFormatting>
  <conditionalFormatting sqref="Y407:AT407">
    <cfRule type="cellIs" dxfId="112" priority="3542" operator="equal">
      <formula>"APAGADO"</formula>
    </cfRule>
  </conditionalFormatting>
  <conditionalFormatting sqref="AA416:AP416">
    <cfRule type="cellIs" dxfId="111" priority="265" operator="equal">
      <formula>"APAGADO"</formula>
    </cfRule>
  </conditionalFormatting>
  <conditionalFormatting sqref="AA417:AU417">
    <cfRule type="cellIs" dxfId="110" priority="2782" operator="equal">
      <formula>"APAGADO"</formula>
    </cfRule>
  </conditionalFormatting>
  <conditionalFormatting sqref="AC121:AV121">
    <cfRule type="cellIs" dxfId="109" priority="4154" operator="equal">
      <formula>"APAGADO"</formula>
    </cfRule>
  </conditionalFormatting>
  <conditionalFormatting sqref="AD415:AI415">
    <cfRule type="cellIs" dxfId="108" priority="1895" operator="equal">
      <formula>"APAGADO"</formula>
    </cfRule>
  </conditionalFormatting>
  <conditionalFormatting sqref="AE435:AV436">
    <cfRule type="cellIs" dxfId="107" priority="687" operator="equal">
      <formula>"APAGADO"</formula>
    </cfRule>
  </conditionalFormatting>
  <conditionalFormatting sqref="AH236:AI236">
    <cfRule type="cellIs" dxfId="106" priority="5023" operator="equal">
      <formula>"APAGADO"</formula>
    </cfRule>
  </conditionalFormatting>
  <conditionalFormatting sqref="AH38:AV40">
    <cfRule type="cellIs" dxfId="105" priority="1227" operator="equal">
      <formula>"APAGADO"</formula>
    </cfRule>
  </conditionalFormatting>
  <conditionalFormatting sqref="AL334:AL336">
    <cfRule type="cellIs" dxfId="104" priority="392" operator="equal">
      <formula>"APAGADO"</formula>
    </cfRule>
  </conditionalFormatting>
  <conditionalFormatting sqref="AL333:AM333">
    <cfRule type="cellIs" dxfId="103" priority="400" operator="equal">
      <formula>"APAGADO"</formula>
    </cfRule>
  </conditionalFormatting>
  <conditionalFormatting sqref="AL236:AP236">
    <cfRule type="cellIs" dxfId="102" priority="4564" operator="equal">
      <formula>"APAGADO"</formula>
    </cfRule>
  </conditionalFormatting>
  <conditionalFormatting sqref="AL415:AP415">
    <cfRule type="cellIs" dxfId="101" priority="1588" operator="equal">
      <formula>"APAGADO"</formula>
    </cfRule>
  </conditionalFormatting>
  <conditionalFormatting sqref="AL37:AV37">
    <cfRule type="cellIs" dxfId="100" priority="4161" operator="equal">
      <formula>"APAGADO"</formula>
    </cfRule>
  </conditionalFormatting>
  <conditionalFormatting sqref="AM334:AM335">
    <cfRule type="cellIs" dxfId="99" priority="339" operator="equal">
      <formula>"APAGADO"</formula>
    </cfRule>
  </conditionalFormatting>
  <conditionalFormatting sqref="AM336:AR336">
    <cfRule type="cellIs" dxfId="98" priority="525" operator="equal">
      <formula>"APAGADO"</formula>
    </cfRule>
  </conditionalFormatting>
  <conditionalFormatting sqref="AN333:AR335">
    <cfRule type="cellIs" dxfId="97" priority="200" operator="equal">
      <formula>"APAGADO"</formula>
    </cfRule>
  </conditionalFormatting>
  <conditionalFormatting sqref="AR416:AU416">
    <cfRule type="cellIs" dxfId="96" priority="71" operator="equal">
      <formula>"APAGADO"</formula>
    </cfRule>
  </conditionalFormatting>
  <conditionalFormatting sqref="AR434:AU434">
    <cfRule type="cellIs" dxfId="95" priority="2356" operator="equal">
      <formula>"APAGADO"</formula>
    </cfRule>
  </conditionalFormatting>
  <conditionalFormatting sqref="AR236:AV236">
    <cfRule type="cellIs" dxfId="94" priority="4135" operator="equal">
      <formula>"APAGADO"</formula>
    </cfRule>
  </conditionalFormatting>
  <conditionalFormatting sqref="AS336:AV336 AS333:AU335">
    <cfRule type="cellIs" dxfId="93" priority="45" operator="equal">
      <formula>"APAGADO"</formula>
    </cfRule>
  </conditionalFormatting>
  <conditionalFormatting sqref="AU337:AV343 AU346:AV371 AU344:AU345 AU374:AV411 AU372:AU373">
    <cfRule type="cellIs" dxfId="92" priority="72" operator="equal">
      <formula>"APAGADO"</formula>
    </cfRule>
  </conditionalFormatting>
  <conditionalFormatting sqref="AV415 AV417">
    <cfRule type="cellIs" dxfId="91" priority="1205" operator="equal">
      <formula>"APAGADO"</formula>
    </cfRule>
  </conditionalFormatting>
  <conditionalFormatting sqref="AV42">
    <cfRule type="cellIs" dxfId="40" priority="41" operator="equal">
      <formula>"APAGADO"</formula>
    </cfRule>
  </conditionalFormatting>
  <conditionalFormatting sqref="AV43">
    <cfRule type="cellIs" dxfId="39" priority="40" operator="equal">
      <formula>"APAGADO"</formula>
    </cfRule>
  </conditionalFormatting>
  <conditionalFormatting sqref="AV131">
    <cfRule type="cellIs" dxfId="38" priority="39" operator="equal">
      <formula>"APAGADO"</formula>
    </cfRule>
  </conditionalFormatting>
  <conditionalFormatting sqref="AV138">
    <cfRule type="cellIs" dxfId="37" priority="38" operator="equal">
      <formula>"APAGADO"</formula>
    </cfRule>
  </conditionalFormatting>
  <conditionalFormatting sqref="AV149">
    <cfRule type="cellIs" dxfId="36" priority="37" operator="equal">
      <formula>"APAGADO"</formula>
    </cfRule>
  </conditionalFormatting>
  <conditionalFormatting sqref="AV150">
    <cfRule type="cellIs" dxfId="35" priority="36" operator="equal">
      <formula>"APAGADO"</formula>
    </cfRule>
  </conditionalFormatting>
  <conditionalFormatting sqref="AV172">
    <cfRule type="cellIs" dxfId="34" priority="35" operator="equal">
      <formula>"APAGADO"</formula>
    </cfRule>
  </conditionalFormatting>
  <conditionalFormatting sqref="AV198">
    <cfRule type="cellIs" dxfId="33" priority="34" operator="equal">
      <formula>"APAGADO"</formula>
    </cfRule>
  </conditionalFormatting>
  <conditionalFormatting sqref="AV231">
    <cfRule type="cellIs" dxfId="32" priority="33" operator="equal">
      <formula>"APAGADO"</formula>
    </cfRule>
  </conditionalFormatting>
  <conditionalFormatting sqref="AV253">
    <cfRule type="cellIs" dxfId="31" priority="32" operator="equal">
      <formula>"APAGADO"</formula>
    </cfRule>
  </conditionalFormatting>
  <conditionalFormatting sqref="AV255">
    <cfRule type="cellIs" dxfId="30" priority="31" operator="equal">
      <formula>"APAGADO"</formula>
    </cfRule>
  </conditionalFormatting>
  <conditionalFormatting sqref="AV256">
    <cfRule type="cellIs" dxfId="29" priority="30" operator="equal">
      <formula>"APAGADO"</formula>
    </cfRule>
  </conditionalFormatting>
  <conditionalFormatting sqref="AV257">
    <cfRule type="cellIs" dxfId="28" priority="29" operator="equal">
      <formula>"APAGADO"</formula>
    </cfRule>
  </conditionalFormatting>
  <conditionalFormatting sqref="AV273">
    <cfRule type="cellIs" dxfId="27" priority="28" operator="equal">
      <formula>"APAGADO"</formula>
    </cfRule>
  </conditionalFormatting>
  <conditionalFormatting sqref="AV297">
    <cfRule type="cellIs" dxfId="26" priority="27" operator="equal">
      <formula>"APAGADO"</formula>
    </cfRule>
  </conditionalFormatting>
  <conditionalFormatting sqref="AV301">
    <cfRule type="cellIs" dxfId="25" priority="26" operator="equal">
      <formula>"APAGADO"</formula>
    </cfRule>
  </conditionalFormatting>
  <conditionalFormatting sqref="AV303">
    <cfRule type="cellIs" dxfId="24" priority="25" operator="equal">
      <formula>"APAGADO"</formula>
    </cfRule>
  </conditionalFormatting>
  <conditionalFormatting sqref="AV304">
    <cfRule type="cellIs" dxfId="23" priority="24" operator="equal">
      <formula>"APAGADO"</formula>
    </cfRule>
  </conditionalFormatting>
  <conditionalFormatting sqref="AV344">
    <cfRule type="cellIs" dxfId="22" priority="23" operator="equal">
      <formula>"APAGADO"</formula>
    </cfRule>
  </conditionalFormatting>
  <conditionalFormatting sqref="AV345">
    <cfRule type="cellIs" dxfId="21" priority="22" operator="equal">
      <formula>"APAGADO"</formula>
    </cfRule>
  </conditionalFormatting>
  <conditionalFormatting sqref="AV372">
    <cfRule type="cellIs" dxfId="20" priority="21" operator="equal">
      <formula>"APAGADO"</formula>
    </cfRule>
  </conditionalFormatting>
  <conditionalFormatting sqref="AV373">
    <cfRule type="cellIs" dxfId="19" priority="20" operator="equal">
      <formula>"APAGADO"</formula>
    </cfRule>
  </conditionalFormatting>
  <conditionalFormatting sqref="AV416">
    <cfRule type="cellIs" dxfId="18" priority="19" operator="equal">
      <formula>"APAGADO"</formula>
    </cfRule>
  </conditionalFormatting>
  <conditionalFormatting sqref="AV441">
    <cfRule type="cellIs" dxfId="17" priority="18" operator="equal">
      <formula>"APAGADO"</formula>
    </cfRule>
  </conditionalFormatting>
  <conditionalFormatting sqref="AV465">
    <cfRule type="cellIs" dxfId="16" priority="17" operator="equal">
      <formula>"APAGADO"</formula>
    </cfRule>
  </conditionalFormatting>
  <conditionalFormatting sqref="AV468">
    <cfRule type="cellIs" dxfId="15" priority="16" operator="equal">
      <formula>"APAGADO"</formula>
    </cfRule>
  </conditionalFormatting>
  <conditionalFormatting sqref="AV469">
    <cfRule type="cellIs" dxfId="14" priority="15" operator="equal">
      <formula>"APAGADO"</formula>
    </cfRule>
  </conditionalFormatting>
  <conditionalFormatting sqref="AV456">
    <cfRule type="cellIs" dxfId="13" priority="14" operator="equal">
      <formula>"APAGADO"</formula>
    </cfRule>
  </conditionalFormatting>
  <conditionalFormatting sqref="AV457">
    <cfRule type="cellIs" dxfId="12" priority="13" operator="equal">
      <formula>"APAGADO"</formula>
    </cfRule>
  </conditionalFormatting>
  <conditionalFormatting sqref="AV481">
    <cfRule type="cellIs" dxfId="11" priority="12" operator="equal">
      <formula>"APAGADO"</formula>
    </cfRule>
  </conditionalFormatting>
  <conditionalFormatting sqref="AV560">
    <cfRule type="cellIs" dxfId="10" priority="11" operator="equal">
      <formula>"APAGADO"</formula>
    </cfRule>
  </conditionalFormatting>
  <conditionalFormatting sqref="AV584">
    <cfRule type="cellIs" dxfId="9" priority="10" operator="equal">
      <formula>"APAGADO"</formula>
    </cfRule>
  </conditionalFormatting>
  <conditionalFormatting sqref="AV316">
    <cfRule type="cellIs" dxfId="8" priority="9" operator="equal">
      <formula>"APAGADO"</formula>
    </cfRule>
  </conditionalFormatting>
  <conditionalFormatting sqref="AV317">
    <cfRule type="cellIs" dxfId="7" priority="8" operator="equal">
      <formula>"APAGADO"</formula>
    </cfRule>
  </conditionalFormatting>
  <conditionalFormatting sqref="AV318">
    <cfRule type="cellIs" dxfId="6" priority="7" operator="equal">
      <formula>"APAGADO"</formula>
    </cfRule>
  </conditionalFormatting>
  <conditionalFormatting sqref="AV324">
    <cfRule type="cellIs" dxfId="5" priority="6" operator="equal">
      <formula>"APAGADO"</formula>
    </cfRule>
  </conditionalFormatting>
  <conditionalFormatting sqref="AV333">
    <cfRule type="cellIs" dxfId="4" priority="5" operator="equal">
      <formula>"APAGADO"</formula>
    </cfRule>
  </conditionalFormatting>
  <conditionalFormatting sqref="AV326">
    <cfRule type="cellIs" dxfId="3" priority="4" operator="equal">
      <formula>"APAGADO"</formula>
    </cfRule>
  </conditionalFormatting>
  <conditionalFormatting sqref="AV334">
    <cfRule type="cellIs" dxfId="2" priority="3" operator="equal">
      <formula>"APAGADO"</formula>
    </cfRule>
  </conditionalFormatting>
  <conditionalFormatting sqref="AV335">
    <cfRule type="cellIs" dxfId="1" priority="2" operator="equal">
      <formula>"APAGADO"</formula>
    </cfRule>
  </conditionalFormatting>
  <conditionalFormatting sqref="AV327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 t="str">
        <f>'RESUMEN TOTAL'!AS71</f>
        <v>APAGADO</v>
      </c>
      <c r="AG48" s="70" t="str">
        <f>'RESUMEN TOTAL'!AT71</f>
        <v>APAGADO</v>
      </c>
      <c r="AH48" s="70" t="str">
        <f>'RESUMEN TOTAL'!AU71</f>
        <v>APAGADO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 t="str">
        <f>'RESUMEN TOTAL'!AS77</f>
        <v>APAGADO</v>
      </c>
      <c r="AG54" s="70" t="str">
        <f>'RESUMEN TOTAL'!AT77</f>
        <v>APAGADO</v>
      </c>
      <c r="AH54" s="70" t="str">
        <f>'RESUMEN TOTAL'!AU77</f>
        <v>APAGADO</v>
      </c>
      <c r="AI54" s="70" t="str">
        <f>'RESUMEN TOTAL'!AV77</f>
        <v>APAGADO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 t="str">
        <f>'RESUMEN TOTAL'!AT84</f>
        <v>APAGADO</v>
      </c>
      <c r="AH61" s="70" t="str">
        <f>'RESUMEN TOTAL'!AU84</f>
        <v>APAGADO</v>
      </c>
      <c r="AI61" s="70" t="str">
        <f>'RESUMEN TOTAL'!AV84</f>
        <v>APAGADO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 t="str">
        <f>'RESUMEN TOTAL'!AS110</f>
        <v>APAGADO</v>
      </c>
      <c r="AG87" s="70" t="str">
        <f>'RESUMEN TOTAL'!AT110</f>
        <v>APAGADO</v>
      </c>
      <c r="AH87" s="70" t="str">
        <f>'RESUMEN TOTAL'!AU110</f>
        <v>APAGADO</v>
      </c>
      <c r="AI87" s="70" t="str">
        <f>'RESUMEN TOTAL'!AV110</f>
        <v>APAGADO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 t="str">
        <f>'RESUMEN TOTAL'!AT131</f>
        <v>APAGADO</v>
      </c>
      <c r="AH108" s="70" t="str">
        <f>'RESUMEN TOTAL'!AU131</f>
        <v>APAGADO</v>
      </c>
      <c r="AI108" s="70" t="str">
        <f>'RESUMEN TOTAL'!AV131</f>
        <v>APAGADO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 t="str">
        <f>'RESUMEN TOTAL'!AT149</f>
        <v>APAGADO</v>
      </c>
      <c r="AH112" s="70" t="str">
        <f>'RESUMEN TOTAL'!AU149</f>
        <v>APAGADO</v>
      </c>
      <c r="AI112" s="70" t="str">
        <f>'RESUMEN TOTAL'!AV149</f>
        <v>APAGADO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 t="str">
        <f>'RESUMEN TOTAL'!AV150</f>
        <v>APAGADO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 t="str">
        <f>'RESUMEN TOTAL'!AU170</f>
        <v>APAGADO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 t="str">
        <f>'RESUMEN TOTAL'!AU171</f>
        <v>APAGADO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 t="str">
        <f>'RESUMEN TOTAL'!AS172</f>
        <v>APAGADO</v>
      </c>
      <c r="AG128" s="70" t="str">
        <f>'RESUMEN TOTAL'!AT172</f>
        <v>APAGADO</v>
      </c>
      <c r="AH128" s="70" t="str">
        <f>'RESUMEN TOTAL'!AU172</f>
        <v>APAGADO</v>
      </c>
      <c r="AI128" s="70" t="str">
        <f>'RESUMEN TOTAL'!AV172</f>
        <v>APAGADO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 t="str">
        <f>'RESUMEN TOTAL'!AS217</f>
        <v>APAGADO</v>
      </c>
      <c r="AG164" s="70" t="str">
        <f>'RESUMEN TOTAL'!AT217</f>
        <v>APAGADO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 t="str">
        <f>'RESUMEN TOTAL'!AS231</f>
        <v>APAGADO</v>
      </c>
      <c r="AG173" s="70" t="str">
        <f>'RESUMEN TOTAL'!AT231</f>
        <v>APAGADO</v>
      </c>
      <c r="AH173" s="70" t="str">
        <f>'RESUMEN TOTAL'!AU231</f>
        <v>APAGADO</v>
      </c>
      <c r="AI173" s="70" t="str">
        <f>'RESUMEN TOTAL'!AV231</f>
        <v>APAGADO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 t="str">
        <f>'RESUMEN TOTAL'!AS253</f>
        <v>APAGADO</v>
      </c>
      <c r="AG190" s="70" t="str">
        <f>'RESUMEN TOTAL'!AT253</f>
        <v>APAGADO</v>
      </c>
      <c r="AH190" s="70" t="str">
        <f>'RESUMEN TOTAL'!AU253</f>
        <v>APAGADO</v>
      </c>
      <c r="AI190" s="70" t="str">
        <f>'RESUMEN TOTAL'!AV253</f>
        <v>APAGADO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 t="str">
        <f>'RESUMEN TOTAL'!AS255</f>
        <v>APAGADO</v>
      </c>
      <c r="AG192" s="70" t="str">
        <f>'RESUMEN TOTAL'!AT255</f>
        <v>APAGADO</v>
      </c>
      <c r="AH192" s="70" t="str">
        <f>'RESUMEN TOTAL'!AU255</f>
        <v>APAGADO</v>
      </c>
      <c r="AI192" s="70" t="str">
        <f>'RESUMEN TOTAL'!AV255</f>
        <v>APAGADO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 t="str">
        <f>'RESUMEN TOTAL'!AS256</f>
        <v>APAGADO</v>
      </c>
      <c r="AG193" s="70" t="str">
        <f>'RESUMEN TOTAL'!AT256</f>
        <v>APAGADO</v>
      </c>
      <c r="AH193" s="70" t="str">
        <f>'RESUMEN TOTAL'!AU256</f>
        <v>APAGADO</v>
      </c>
      <c r="AI193" s="70" t="str">
        <f>'RESUMEN TOTAL'!AV256</f>
        <v>APAGADO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 t="str">
        <f>'RESUMEN TOTAL'!AS257</f>
        <v>APAGADO</v>
      </c>
      <c r="AG194" s="70" t="str">
        <f>'RESUMEN TOTAL'!AT257</f>
        <v>APAGADO</v>
      </c>
      <c r="AH194" s="70" t="str">
        <f>'RESUMEN TOTAL'!AU257</f>
        <v>APAGADO</v>
      </c>
      <c r="AI194" s="70" t="str">
        <f>'RESUMEN TOTAL'!AV257</f>
        <v>APAGADO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 t="str">
        <f>'RESUMEN TOTAL'!AT273</f>
        <v>APAGADO</v>
      </c>
      <c r="AH204" s="70" t="str">
        <f>'RESUMEN TOTAL'!AU273</f>
        <v>APAGADO</v>
      </c>
      <c r="AI204" s="70" t="str">
        <f>'RESUMEN TOTAL'!AV273</f>
        <v>APAGADO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 t="str">
        <f>'RESUMEN TOTAL'!AS293</f>
        <v>APAGADO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 t="str">
        <f>'RESUMEN TOTAL'!AS296</f>
        <v>APAGADO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 t="str">
        <f>'RESUMEN TOTAL'!AT297</f>
        <v>APAGADO</v>
      </c>
      <c r="AH222" s="70" t="str">
        <f>'RESUMEN TOTAL'!AU297</f>
        <v>APAGADO</v>
      </c>
      <c r="AI222" s="70" t="str">
        <f>'RESUMEN TOTAL'!AV297</f>
        <v>APAGADO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 t="str">
        <f>'RESUMEN TOTAL'!AS301</f>
        <v>APAGADO</v>
      </c>
      <c r="AG226" s="70" t="str">
        <f>'RESUMEN TOTAL'!AT301</f>
        <v>APAGADO</v>
      </c>
      <c r="AH226" s="70" t="str">
        <f>'RESUMEN TOTAL'!AU301</f>
        <v>APAGADO</v>
      </c>
      <c r="AI226" s="70" t="str">
        <f>'RESUMEN TOTAL'!AV301</f>
        <v>APAGADO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 t="str">
        <f>'RESUMEN TOTAL'!AS313</f>
        <v>APAGADO</v>
      </c>
      <c r="AG234" s="70">
        <f>'RESUMEN TOTAL'!AT313</f>
        <v>0</v>
      </c>
      <c r="AH234" s="70" t="str">
        <f>'RESUMEN TOTAL'!AU313</f>
        <v>APAGADO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 t="str">
        <f>'RESUMEN TOTAL'!AS314</f>
        <v>APAGADO</v>
      </c>
      <c r="AG235" s="70">
        <f>'RESUMEN TOTAL'!AT314</f>
        <v>0</v>
      </c>
      <c r="AH235" s="70" t="str">
        <f>'RESUMEN TOTAL'!AU314</f>
        <v>APAGADO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 t="str">
        <f>'RESUMEN TOTAL'!AS315</f>
        <v>APAGADO</v>
      </c>
      <c r="AG236" s="70">
        <f>'RESUMEN TOTAL'!AT315</f>
        <v>0</v>
      </c>
      <c r="AH236" s="70" t="str">
        <f>'RESUMEN TOTAL'!AU315</f>
        <v>APAGADO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 t="str">
        <f>'RESUMEN TOTAL'!AV316</f>
        <v>APAGADO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 t="str">
        <f>'RESUMEN TOTAL'!AV317</f>
        <v>APAGADO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 t="str">
        <f>'RESUMEN TOTAL'!AV318</f>
        <v>APAGADO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 t="str">
        <f>'RESUMEN TOTAL'!AS324</f>
        <v>APAGADO</v>
      </c>
      <c r="AG244" s="70" t="str">
        <f>'RESUMEN TOTAL'!AT324</f>
        <v>APAGADO</v>
      </c>
      <c r="AH244" s="70" t="str">
        <f>'RESUMEN TOTAL'!AU324</f>
        <v>APAGADO</v>
      </c>
      <c r="AI244" s="70" t="str">
        <f>'RESUMEN TOTAL'!AV324</f>
        <v>APAGADO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 t="str">
        <f>'RESUMEN TOTAL'!AS326</f>
        <v>APAGADO</v>
      </c>
      <c r="AG246" s="70" t="str">
        <f>'RESUMEN TOTAL'!AT326</f>
        <v>APAGADO</v>
      </c>
      <c r="AH246" s="70" t="str">
        <f>'RESUMEN TOTAL'!AU326</f>
        <v>APAGADO</v>
      </c>
      <c r="AI246" s="70" t="str">
        <f>'RESUMEN TOTAL'!AV326</f>
        <v>APAGADO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 t="str">
        <f>'RESUMEN TOTAL'!AS327</f>
        <v>APAGADO</v>
      </c>
      <c r="AG247" s="70">
        <f>'RESUMEN TOTAL'!AT327</f>
        <v>0</v>
      </c>
      <c r="AH247" s="70">
        <f>'RESUMEN TOTAL'!AU327</f>
        <v>0</v>
      </c>
      <c r="AI247" s="70" t="str">
        <f>'RESUMEN TOTAL'!AV327</f>
        <v>APAGADO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 t="str">
        <f>'RESUMEN TOTAL'!AS328</f>
        <v>APAGADO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 t="str">
        <f>'RESUMEN TOTAL'!AS333</f>
        <v>APAGADO</v>
      </c>
      <c r="AG253" s="70" t="str">
        <f>'RESUMEN TOTAL'!AT333</f>
        <v>APAGADO</v>
      </c>
      <c r="AH253" s="70" t="str">
        <f>'RESUMEN TOTAL'!AU333</f>
        <v>APAGADO</v>
      </c>
      <c r="AI253" s="70" t="str">
        <f>'RESUMEN TOTAL'!AV333</f>
        <v>APAGADO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 t="str">
        <f>'RESUMEN TOTAL'!AS334</f>
        <v>APAGADO</v>
      </c>
      <c r="AG254" s="70" t="str">
        <f>'RESUMEN TOTAL'!AT334</f>
        <v>APAGADO</v>
      </c>
      <c r="AH254" s="70" t="str">
        <f>'RESUMEN TOTAL'!AU334</f>
        <v>APAGADO</v>
      </c>
      <c r="AI254" s="70" t="str">
        <f>'RESUMEN TOTAL'!AV334</f>
        <v>APAGADO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 t="str">
        <f>'RESUMEN TOTAL'!AS335</f>
        <v>APAGADO</v>
      </c>
      <c r="AG255" s="70" t="str">
        <f>'RESUMEN TOTAL'!AT335</f>
        <v>APAGADO</v>
      </c>
      <c r="AH255" s="70" t="str">
        <f>'RESUMEN TOTAL'!AU335</f>
        <v>APAGADO</v>
      </c>
      <c r="AI255" s="70" t="str">
        <f>'RESUMEN TOTAL'!AV335</f>
        <v>APAGADO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 t="str">
        <f>'RESUMEN TOTAL'!AS336</f>
        <v>APAGADO</v>
      </c>
      <c r="AG256" s="70" t="str">
        <f>'RESUMEN TOTAL'!AT336</f>
        <v>APAGADO</v>
      </c>
      <c r="AH256" s="70" t="str">
        <f>'RESUMEN TOTAL'!AU336</f>
        <v>APAGADO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 t="str">
        <f>'RESUMEN TOTAL'!AS344</f>
        <v>APAGADO</v>
      </c>
      <c r="AG264" s="70" t="str">
        <f>'RESUMEN TOTAL'!AT344</f>
        <v>APAGADO</v>
      </c>
      <c r="AH264" s="70" t="str">
        <f>'RESUMEN TOTAL'!AU344</f>
        <v>APAGADO</v>
      </c>
      <c r="AI264" s="70" t="str">
        <f>'RESUMEN TOTAL'!AV344</f>
        <v>APAGADO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 t="str">
        <f>'RESUMEN TOTAL'!AS345</f>
        <v>APAGADO</v>
      </c>
      <c r="AG265" s="70" t="str">
        <f>'RESUMEN TOTAL'!AT345</f>
        <v>APAGADO</v>
      </c>
      <c r="AH265" s="70" t="str">
        <f>'RESUMEN TOTAL'!AU345</f>
        <v>APAGADO</v>
      </c>
      <c r="AI265" s="70" t="str">
        <f>'RESUMEN TOTAL'!AV345</f>
        <v>APAGADO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 t="str">
        <f>'RESUMEN TOTAL'!AS372</f>
        <v>APAGADO</v>
      </c>
      <c r="AG281" s="70" t="str">
        <f>'RESUMEN TOTAL'!AT372</f>
        <v>APAGADO</v>
      </c>
      <c r="AH281" s="70" t="str">
        <f>'RESUMEN TOTAL'!AU372</f>
        <v>APAGADO</v>
      </c>
      <c r="AI281" s="70" t="str">
        <f>'RESUMEN TOTAL'!AV372</f>
        <v>APAGADO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 t="str">
        <f>'RESUMEN TOTAL'!AS373</f>
        <v>APAGADO</v>
      </c>
      <c r="AG282" s="70" t="str">
        <f>'RESUMEN TOTAL'!AT373</f>
        <v>APAGADO</v>
      </c>
      <c r="AH282" s="70" t="str">
        <f>'RESUMEN TOTAL'!AU373</f>
        <v>APAGADO</v>
      </c>
      <c r="AI282" s="70" t="str">
        <f>'RESUMEN TOTAL'!AV373</f>
        <v>APAGADO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 t="str">
        <f>'RESUMEN TOTAL'!AT408</f>
        <v>APAGADO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 t="str">
        <f>'RESUMEN TOTAL'!AS420</f>
        <v>APAGADO</v>
      </c>
      <c r="AG319" s="70" t="str">
        <f>'RESUMEN TOTAL'!AT420</f>
        <v>APAGADO</v>
      </c>
      <c r="AH319" s="70" t="str">
        <f>'RESUMEN TOTAL'!AU420</f>
        <v>APAGADO</v>
      </c>
      <c r="AI319" s="70" t="str">
        <f>'RESUMEN TOTAL'!AV420</f>
        <v>APAGADO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 t="str">
        <f>'RESUMEN TOTAL'!AS422</f>
        <v>APAGADO</v>
      </c>
      <c r="AG321" s="70" t="str">
        <f>'RESUMEN TOTAL'!AT422</f>
        <v>APAGADO</v>
      </c>
      <c r="AH321" s="70" t="str">
        <f>'RESUMEN TOTAL'!AU422</f>
        <v>APAGADO</v>
      </c>
      <c r="AI321" s="70" t="str">
        <f>'RESUMEN TOTAL'!AV422</f>
        <v>APAGADO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 t="str">
        <f>'RESUMEN TOTAL'!AS423</f>
        <v>APAGADO</v>
      </c>
      <c r="AG322" s="70" t="str">
        <f>'RESUMEN TOTAL'!AT423</f>
        <v>APAGADO</v>
      </c>
      <c r="AH322" s="70" t="str">
        <f>'RESUMEN TOTAL'!AU423</f>
        <v>APAGADO</v>
      </c>
      <c r="AI322" s="70" t="str">
        <f>'RESUMEN TOTAL'!AV423</f>
        <v>APAGADO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 t="str">
        <f>'RESUMEN TOTAL'!AS424</f>
        <v>APAGADO</v>
      </c>
      <c r="AG323" s="70" t="str">
        <f>'RESUMEN TOTAL'!AT424</f>
        <v>APAGADO</v>
      </c>
      <c r="AH323" s="70" t="str">
        <f>'RESUMEN TOTAL'!AU424</f>
        <v>APAGADO</v>
      </c>
      <c r="AI323" s="70" t="str">
        <f>'RESUMEN TOTAL'!AV424</f>
        <v>APAGADO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 t="str">
        <f>'RESUMEN TOTAL'!AS425</f>
        <v>APAGADO</v>
      </c>
      <c r="AG324" s="70" t="str">
        <f>'RESUMEN TOTAL'!AT425</f>
        <v>APAGADO</v>
      </c>
      <c r="AH324" s="70" t="str">
        <f>'RESUMEN TOTAL'!AU425</f>
        <v>APAGADO</v>
      </c>
      <c r="AI324" s="70" t="str">
        <f>'RESUMEN TOTAL'!AV425</f>
        <v>APAGADO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 t="str">
        <f>'RESUMEN TOTAL'!AU437</f>
        <v>APAGADO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 t="str">
        <f>'RESUMEN TOTAL'!AS441</f>
        <v>APAGADO</v>
      </c>
      <c r="AG333" s="70" t="str">
        <f>'RESUMEN TOTAL'!AT441</f>
        <v>APAGADO</v>
      </c>
      <c r="AH333" s="70" t="str">
        <f>'RESUMEN TOTAL'!AU441</f>
        <v>APAGADO</v>
      </c>
      <c r="AI333" s="70" t="str">
        <f>'RESUMEN TOTAL'!AV441</f>
        <v>APAGADO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 t="str">
        <f>'RESUMEN TOTAL'!AS454</f>
        <v>APAGADO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 t="str">
        <f>'RESUMEN TOTAL'!AS455</f>
        <v>APAGADO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 t="str">
        <f>'RESUMEN TOTAL'!AS456</f>
        <v>APAGADO</v>
      </c>
      <c r="AG345" s="70">
        <f>'RESUMEN TOTAL'!AT456</f>
        <v>0</v>
      </c>
      <c r="AH345" s="70">
        <f>'RESUMEN TOTAL'!AU456</f>
        <v>0</v>
      </c>
      <c r="AI345" s="70" t="str">
        <f>'RESUMEN TOTAL'!AV456</f>
        <v>APAGADO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 t="str">
        <f>'RESUMEN TOTAL'!AS457</f>
        <v>APAGADO</v>
      </c>
      <c r="AG346" s="70">
        <f>'RESUMEN TOTAL'!AT457</f>
        <v>0</v>
      </c>
      <c r="AH346" s="70">
        <f>'RESUMEN TOTAL'!AU457</f>
        <v>0</v>
      </c>
      <c r="AI346" s="70" t="str">
        <f>'RESUMEN TOTAL'!AV457</f>
        <v>APAGADO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 t="str">
        <f>'RESUMEN TOTAL'!AS458</f>
        <v>APAGADO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 t="str">
        <f>'RESUMEN TOTAL'!AS459</f>
        <v>APAGADO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 t="str">
        <f>'RESUMEN TOTAL'!AS465</f>
        <v>APAGADO</v>
      </c>
      <c r="AG354" s="70" t="str">
        <f>'RESUMEN TOTAL'!AT465</f>
        <v>APAGADO</v>
      </c>
      <c r="AH354" s="70" t="str">
        <f>'RESUMEN TOTAL'!AU465</f>
        <v>APAGADO</v>
      </c>
      <c r="AI354" s="70" t="str">
        <f>'RESUMEN TOTAL'!AV465</f>
        <v>APAGADO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 t="str">
        <f>'RESUMEN TOTAL'!AS468</f>
        <v>APAGADO</v>
      </c>
      <c r="AG357" s="70" t="str">
        <f>'RESUMEN TOTAL'!AT468</f>
        <v>APAGADO</v>
      </c>
      <c r="AH357" s="70" t="str">
        <f>'RESUMEN TOTAL'!AU468</f>
        <v>APAGADO</v>
      </c>
      <c r="AI357" s="70" t="str">
        <f>'RESUMEN TOTAL'!AV468</f>
        <v>APAGADO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 t="str">
        <f>'RESUMEN TOTAL'!AS469</f>
        <v>APAGADO</v>
      </c>
      <c r="AG358" s="70" t="str">
        <f>'RESUMEN TOTAL'!AT469</f>
        <v>APAGADO</v>
      </c>
      <c r="AH358" s="70" t="str">
        <f>'RESUMEN TOTAL'!AU469</f>
        <v>APAGADO</v>
      </c>
      <c r="AI358" s="70" t="str">
        <f>'RESUMEN TOTAL'!AV469</f>
        <v>APAGADO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 t="str">
        <f>'RESUMEN TOTAL'!AS479</f>
        <v>APAGADO</v>
      </c>
      <c r="AG361" s="70" t="str">
        <f>'RESUMEN TOTAL'!AT479</f>
        <v>APAGADO</v>
      </c>
      <c r="AH361" s="70" t="str">
        <f>'RESUMEN TOTAL'!AU479</f>
        <v>APAGADO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 t="str">
        <f>'RESUMEN TOTAL'!AS480</f>
        <v>APAGADO</v>
      </c>
      <c r="AG362" s="70" t="str">
        <f>'RESUMEN TOTAL'!AT480</f>
        <v>APAGADO</v>
      </c>
      <c r="AH362" s="70" t="str">
        <f>'RESUMEN TOTAL'!AU480</f>
        <v>APAGADO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 t="str">
        <f>'RESUMEN TOTAL'!AS481</f>
        <v>APAGADO</v>
      </c>
      <c r="AG363" s="70">
        <f>'RESUMEN TOTAL'!AT481</f>
        <v>0</v>
      </c>
      <c r="AH363" s="70" t="str">
        <f>'RESUMEN TOTAL'!AU481</f>
        <v>APAGADO</v>
      </c>
      <c r="AI363" s="70" t="str">
        <f>'RESUMEN TOTAL'!AV481</f>
        <v>APAGADO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 t="str">
        <f>'RESUMEN TOTAL'!AS537</f>
        <v>APAGADO</v>
      </c>
      <c r="AG411" s="70" t="str">
        <f>'RESUMEN TOTAL'!AT537</f>
        <v>APAGADO</v>
      </c>
      <c r="AH411" s="70" t="str">
        <f>'RESUMEN TOTAL'!AU537</f>
        <v>APAGADO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 t="str">
        <f>'RESUMEN TOTAL'!AS540</f>
        <v>APAGADO</v>
      </c>
      <c r="AG414" s="70" t="str">
        <f>'RESUMEN TOTAL'!AT540</f>
        <v>APAGADO</v>
      </c>
      <c r="AH414" s="70" t="str">
        <f>'RESUMEN TOTAL'!AU540</f>
        <v>APAGADO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 t="str">
        <f>'RESUMEN TOTAL'!AS541</f>
        <v>APAGADO</v>
      </c>
      <c r="AG415" s="70" t="str">
        <f>'RESUMEN TOTAL'!AT541</f>
        <v>APAGADO</v>
      </c>
      <c r="AH415" s="70" t="str">
        <f>'RESUMEN TOTAL'!AU541</f>
        <v>APAGADO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 t="str">
        <f>'RESUMEN TOTAL'!AS560</f>
        <v>APAGADO</v>
      </c>
      <c r="AG428" s="70" t="str">
        <f>'RESUMEN TOTAL'!AT560</f>
        <v>APAGADO</v>
      </c>
      <c r="AH428" s="70" t="str">
        <f>'RESUMEN TOTAL'!AU560</f>
        <v>APAGADO</v>
      </c>
      <c r="AI428" s="70" t="str">
        <f>'RESUMEN TOTAL'!AV560</f>
        <v>APAGADO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 t="str">
        <f>'RESUMEN TOTAL'!AS584</f>
        <v>APAGADO</v>
      </c>
      <c r="AG446" s="70" t="str">
        <f>'RESUMEN TOTAL'!AT584</f>
        <v>APAGADO</v>
      </c>
      <c r="AH446" s="70" t="str">
        <f>'RESUMEN TOTAL'!AU584</f>
        <v>APAGADO</v>
      </c>
      <c r="AI446" s="70" t="str">
        <f>'RESUMEN TOTAL'!AV584</f>
        <v>APAGADO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90" priority="97" operator="containsText" text="fija">
      <formula>NOT(ISERROR(SEARCH("fija",D4)))</formula>
    </cfRule>
    <cfRule type="containsText" dxfId="89" priority="98" operator="containsText" text="domo">
      <formula>NOT(ISERROR(SEARCH("domo",D4)))</formula>
    </cfRule>
    <cfRule type="cellIs" dxfId="88" priority="924" operator="equal">
      <formula>$D$7</formula>
    </cfRule>
  </conditionalFormatting>
  <conditionalFormatting sqref="D439">
    <cfRule type="containsText" dxfId="87" priority="69" operator="containsText" text="Radio">
      <formula>NOT(ISERROR(SEARCH("Radio",D439)))</formula>
    </cfRule>
    <cfRule type="containsText" dxfId="86" priority="68" operator="containsText" text="domo">
      <formula>NOT(ISERROR(SEARCH("domo",D439)))</formula>
    </cfRule>
    <cfRule type="containsText" dxfId="85" priority="67" operator="containsText" text="fija">
      <formula>NOT(ISERROR(SEARCH("fija",D439)))</formula>
    </cfRule>
  </conditionalFormatting>
  <conditionalFormatting sqref="D439:D440">
    <cfRule type="containsText" dxfId="84" priority="65" operator="containsText" text="domo">
      <formula>NOT(ISERROR(SEARCH("domo",D439)))</formula>
    </cfRule>
    <cfRule type="containsText" dxfId="83" priority="64" operator="containsText" text="fija">
      <formula>NOT(ISERROR(SEARCH("fija",D439)))</formula>
    </cfRule>
  </conditionalFormatting>
  <conditionalFormatting sqref="D440">
    <cfRule type="containsText" dxfId="82" priority="66" operator="containsText" text="Radio">
      <formula>NOT(ISERROR(SEARCH("Radio",D440)))</formula>
    </cfRule>
    <cfRule type="containsText" dxfId="81" priority="63" operator="containsText" text="domo">
      <formula>NOT(ISERROR(SEARCH("domo",D440)))</formula>
    </cfRule>
    <cfRule type="containsText" dxfId="80" priority="62" operator="containsText" text="fija">
      <formula>NOT(ISERROR(SEARCH("fija",D440)))</formula>
    </cfRule>
  </conditionalFormatting>
  <conditionalFormatting sqref="D443">
    <cfRule type="containsText" dxfId="79" priority="59" operator="containsText" text="fija">
      <formula>NOT(ISERROR(SEARCH("fija",D443)))</formula>
    </cfRule>
    <cfRule type="containsText" dxfId="78" priority="61" operator="containsText" text="Radio">
      <formula>NOT(ISERROR(SEARCH("Radio",D443)))</formula>
    </cfRule>
    <cfRule type="containsText" dxfId="77" priority="60" operator="containsText" text="domo">
      <formula>NOT(ISERROR(SEARCH("domo",D443)))</formula>
    </cfRule>
  </conditionalFormatting>
  <conditionalFormatting sqref="D443:D444">
    <cfRule type="containsText" dxfId="76" priority="56" operator="containsText" text="fija">
      <formula>NOT(ISERROR(SEARCH("fija",D443)))</formula>
    </cfRule>
    <cfRule type="containsText" dxfId="75" priority="57" operator="containsText" text="domo">
      <formula>NOT(ISERROR(SEARCH("domo",D443)))</formula>
    </cfRule>
  </conditionalFormatting>
  <conditionalFormatting sqref="D444:D445">
    <cfRule type="containsText" dxfId="74" priority="54" operator="containsText" text="domo">
      <formula>NOT(ISERROR(SEARCH("domo",D444)))</formula>
    </cfRule>
    <cfRule type="containsText" dxfId="73" priority="53" operator="containsText" text="fija">
      <formula>NOT(ISERROR(SEARCH("fija",D444)))</formula>
    </cfRule>
  </conditionalFormatting>
  <conditionalFormatting sqref="D445">
    <cfRule type="containsText" dxfId="72" priority="55" operator="containsText" text="Radio">
      <formula>NOT(ISERROR(SEARCH("Radio",D445)))</formula>
    </cfRule>
  </conditionalFormatting>
  <conditionalFormatting sqref="D445:D446">
    <cfRule type="containsText" dxfId="71" priority="50" operator="containsText" text="fija">
      <formula>NOT(ISERROR(SEARCH("fija",D445)))</formula>
    </cfRule>
    <cfRule type="containsText" dxfId="70" priority="51" operator="containsText" text="domo">
      <formula>NOT(ISERROR(SEARCH("domo",D445)))</formula>
    </cfRule>
  </conditionalFormatting>
  <conditionalFormatting sqref="D446">
    <cfRule type="containsText" dxfId="69" priority="48" operator="containsText" text="fija">
      <formula>NOT(ISERROR(SEARCH("fija",D446)))</formula>
    </cfRule>
    <cfRule type="containsText" dxfId="68" priority="49" operator="containsText" text="domo">
      <formula>NOT(ISERROR(SEARCH("domo",D446)))</formula>
    </cfRule>
    <cfRule type="containsText" dxfId="67" priority="52" operator="containsText" text="Radio">
      <formula>NOT(ISERROR(SEARCH("Radio",D446)))</formula>
    </cfRule>
  </conditionalFormatting>
  <conditionalFormatting sqref="D448">
    <cfRule type="containsText" dxfId="66" priority="171" operator="containsText" text="fija">
      <formula>NOT(ISERROR(SEARCH("fija",D448)))</formula>
    </cfRule>
    <cfRule type="containsText" dxfId="65" priority="172" operator="containsText" text="domo">
      <formula>NOT(ISERROR(SEARCH("domo",D448)))</formula>
    </cfRule>
  </conditionalFormatting>
  <conditionalFormatting sqref="D451:D453">
    <cfRule type="containsText" dxfId="64" priority="70" operator="containsText" text="fija">
      <formula>NOT(ISERROR(SEARCH("fija",D451)))</formula>
    </cfRule>
    <cfRule type="containsText" dxfId="63" priority="71" operator="containsText" text="domo">
      <formula>NOT(ISERROR(SEARCH("domo",D451)))</formula>
    </cfRule>
  </conditionalFormatting>
  <conditionalFormatting sqref="D642">
    <cfRule type="containsText" dxfId="62" priority="1" operator="containsText" text="Radio">
      <formula>NOT(ISERROR(SEARCH("Radio",D642)))</formula>
    </cfRule>
  </conditionalFormatting>
  <conditionalFormatting sqref="D4:E641">
    <cfRule type="containsText" dxfId="61" priority="58" operator="containsText" text="Radio">
      <formula>NOT(ISERROR(SEARCH("Radio",D4)))</formula>
    </cfRule>
  </conditionalFormatting>
  <conditionalFormatting sqref="D448:E448 D458:E641">
    <cfRule type="containsText" dxfId="60" priority="193" operator="containsText" text="Radio">
      <formula>NOT(ISERROR(SEARCH("Radio",D448)))</formula>
    </cfRule>
  </conditionalFormatting>
  <conditionalFormatting sqref="E4:E665">
    <cfRule type="cellIs" dxfId="59" priority="169" operator="equal">
      <formula>"PTP A FO"</formula>
    </cfRule>
    <cfRule type="cellIs" dxfId="58" priority="927" operator="equal">
      <formula>$E$10</formula>
    </cfRule>
    <cfRule type="cellIs" dxfId="57" priority="928" operator="equal">
      <formula>"PTP A FO"</formula>
    </cfRule>
  </conditionalFormatting>
  <conditionalFormatting sqref="E438">
    <cfRule type="cellIs" dxfId="56" priority="11" operator="equal">
      <formula>"PTP A FO"</formula>
    </cfRule>
    <cfRule type="containsText" dxfId="55" priority="10" operator="containsText" text="Radio">
      <formula>NOT(ISERROR(SEARCH("Radio",E438)))</formula>
    </cfRule>
  </conditionalFormatting>
  <conditionalFormatting sqref="E642:E665">
    <cfRule type="containsText" dxfId="54" priority="3" operator="containsText" text="Radio">
      <formula>NOT(ISERROR(SEARCH("Radio",E642)))</formula>
    </cfRule>
  </conditionalFormatting>
  <conditionalFormatting sqref="F5:AJ643">
    <cfRule type="notContainsText" dxfId="53" priority="13" operator="notContains" text="Caida">
      <formula>ISERROR(SEARCH("Caida",F5))</formula>
    </cfRule>
    <cfRule type="cellIs" dxfId="52" priority="8" operator="equal">
      <formula>"apagado"</formula>
    </cfRule>
    <cfRule type="cellIs" dxfId="51" priority="16" operator="greaterThan">
      <formula>0.8</formula>
    </cfRule>
    <cfRule type="cellIs" dxfId="50" priority="12" operator="equal">
      <formula>"APAGADO"</formula>
    </cfRule>
    <cfRule type="cellIs" dxfId="49" priority="15" operator="lessThan">
      <formula>0.8</formula>
    </cfRule>
    <cfRule type="containsText" dxfId="48" priority="14" operator="containsText" text="Caida">
      <formula>NOT(ISERROR(SEARCH("Caida",F5)))</formula>
    </cfRule>
  </conditionalFormatting>
  <conditionalFormatting sqref="H4">
    <cfRule type="cellIs" dxfId="4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46" priority="5" operator="greaterThan">
      <formula>0.1</formula>
    </cfRule>
    <cfRule type="cellIs" dxfId="45" priority="6" operator="greaterThan">
      <formula>10</formula>
    </cfRule>
  </conditionalFormatting>
  <conditionalFormatting sqref="C5 F6:AJ6">
    <cfRule type="cellIs" dxfId="44" priority="3" operator="greaterThan">
      <formula>0.1</formula>
    </cfRule>
    <cfRule type="cellIs" dxfId="43" priority="4" operator="greaterThan">
      <formula>0.11</formula>
    </cfRule>
  </conditionalFormatting>
  <conditionalFormatting sqref="F4:AJ4">
    <cfRule type="cellIs" dxfId="42" priority="9" operator="greaterThan">
      <formula>0.1</formula>
    </cfRule>
    <cfRule type="cellIs" dxfId="4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8" zoomScaleNormal="100" workbookViewId="0">
      <selection activeCell="D311" sqref="D3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0.10333333333333333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0.1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9.8333333333333328E-2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9.6666666666666665E-2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8.1666666666666665E-2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7.4999999999999997E-2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6.1666666666666668E-2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0.06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2026-07-30T14:05:33Z</dcterms:modified>
</cp:coreProperties>
</file>