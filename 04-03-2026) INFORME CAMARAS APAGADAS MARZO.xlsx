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B23674CB-755D-48E8-BBCC-14C148E69B0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24" l="1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C259" i="24" l="1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<sst xmlns="http://schemas.openxmlformats.org/spreadsheetml/2006/main" count="5438" uniqueCount="2324">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</sst>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tabSelected="1" view="pageBreakPreview" zoomScale="80" zoomScaleNormal="80" zoomScaleSheetLayoutView="80" workbookViewId="0">
      <pane xSplit="12" ySplit="7" topLeftCell="M8" activePane="bottomRight" state="frozen"/>
      <selection pane="topRight" activeCell="M1" sqref="M1"/>
      <selection pane="bottomLeft" activeCell="A5" sqref="A5"/>
      <selection pane="bottomRight" activeCell="D383" sqref="D383"/>
    </sheetView>
  </sheetViews>
  <sheetFormatPr baseColWidth="10" defaultColWidth="11.5703125" defaultRowHeight="15" x14ac:dyDescent="0.25"/>
  <cols>
    <col min="1" max="1" width="12.28515625" hidden="1" customWidth="1"/>
    <col min="2" max="3" width="15.85546875" style="30" customWidth="1"/>
    <col min="4" max="4" width="37.85546875" customWidth="1"/>
    <col min="5" max="5" width="20.5703125" style="61" customWidth="1"/>
    <col min="6" max="6" width="16.85546875" style="65" customWidth="1"/>
    <col min="7" max="7" width="12.140625" style="65" customWidth="1"/>
    <col min="8" max="8" width="15.85546875" style="65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0.12048192771084337</v>
      </c>
      <c r="N1" s="3">
        <f t="shared" si="0"/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0</v>
      </c>
      <c r="R3" s="125">
        <f t="shared" si="5"/>
        <v>0</v>
      </c>
      <c r="S3" s="125">
        <f t="shared" si="5"/>
        <v>0</v>
      </c>
      <c r="T3" s="125">
        <f t="shared" si="5"/>
        <v>0</v>
      </c>
      <c r="U3" s="125">
        <f t="shared" si="5"/>
        <v>0</v>
      </c>
      <c r="V3" s="125">
        <f t="shared" si="5"/>
        <v>0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38</v>
      </c>
      <c r="N4" s="10">
        <f>COUNTIFS(N8:N698, "=APAGADO",F8:F698,"=Fibra Optica")</f>
        <v>40</v>
      </c>
      <c r="O4" s="10">
        <f>COUNTIFS(O8:O698, "=APAGADO",F8:F698,"=Fibra Optica")</f>
        <v>38</v>
      </c>
      <c r="P4" s="10">
        <f>COUNTIFS(P8:P698, "=APAGADO",F8:F698,"=Fibra Optica")</f>
        <v>43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1657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6"/>
        <v>24</v>
      </c>
      <c r="J9" s="146" t="s">
        <v>1658</v>
      </c>
      <c r="K9" s="31">
        <f t="shared" si="7"/>
        <v>4</v>
      </c>
      <c r="L9" s="32">
        <f t="shared" si="8"/>
        <v>0.8571428571428571</v>
      </c>
      <c r="M9" s="70" t="s">
        <v>2278</v>
      </c>
      <c r="N9" s="70" t="s">
        <v>2278</v>
      </c>
      <c r="O9" s="70" t="s">
        <v>2278</v>
      </c>
      <c r="P9" s="70" t="s">
        <v>2278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6"/>
        <v>28</v>
      </c>
      <c r="J10" s="146" t="s">
        <v>1659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6"/>
        <v>28</v>
      </c>
      <c r="J11" s="146" t="s">
        <v>1660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6"/>
        <v>28</v>
      </c>
      <c r="J12" s="148" t="s">
        <v>1661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6"/>
        <v>28</v>
      </c>
      <c r="J13" s="146" t="s">
        <v>1662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6"/>
        <v>28</v>
      </c>
      <c r="J14" s="146" t="s">
        <v>1663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1664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1665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6"/>
        <v>28</v>
      </c>
      <c r="J17" s="149" t="s">
        <v>1666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6"/>
        <v>28</v>
      </c>
      <c r="J18" s="87" t="s">
        <v>2149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24</v>
      </c>
      <c r="J19" s="146" t="s">
        <v>1667</v>
      </c>
      <c r="K19" s="31">
        <f t="shared" si="7"/>
        <v>4</v>
      </c>
      <c r="L19" s="32">
        <f t="shared" si="8"/>
        <v>0.8571428571428571</v>
      </c>
      <c r="M19" s="70" t="s">
        <v>2278</v>
      </c>
      <c r="N19" s="70" t="s">
        <v>2278</v>
      </c>
      <c r="O19" s="70" t="s">
        <v>2278</v>
      </c>
      <c r="P19" s="70" t="s">
        <v>2278</v>
      </c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6"/>
        <v>24</v>
      </c>
      <c r="J20" s="146" t="s">
        <v>1668</v>
      </c>
      <c r="K20" s="31">
        <f t="shared" si="7"/>
        <v>4</v>
      </c>
      <c r="L20" s="32">
        <f t="shared" si="8"/>
        <v>0.8571428571428571</v>
      </c>
      <c r="M20" s="70" t="s">
        <v>2278</v>
      </c>
      <c r="N20" s="70" t="s">
        <v>2278</v>
      </c>
      <c r="O20" s="70" t="s">
        <v>2278</v>
      </c>
      <c r="P20" s="70" t="s">
        <v>2278</v>
      </c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6"/>
        <v>28</v>
      </c>
      <c r="J21" s="146" t="s">
        <v>1669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1670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6"/>
        <v>28</v>
      </c>
      <c r="J23" s="146" t="s">
        <v>1671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6"/>
        <v>28</v>
      </c>
      <c r="J24" s="146" t="s">
        <v>1672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6"/>
        <v>28</v>
      </c>
      <c r="J25" s="146" t="s">
        <v>1673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6"/>
        <v>28</v>
      </c>
      <c r="J26" s="146" t="s">
        <v>1674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6"/>
        <v>28</v>
      </c>
      <c r="J27" s="146" t="s">
        <v>1675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6"/>
        <v>28</v>
      </c>
      <c r="J28" s="146" t="s">
        <v>1676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6"/>
        <v>28</v>
      </c>
      <c r="J29" s="146" t="s">
        <v>1677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6"/>
        <v>28</v>
      </c>
      <c r="J30" s="146" t="s">
        <v>1678</v>
      </c>
      <c r="K30" s="141">
        <f t="shared" si="7"/>
        <v>0</v>
      </c>
      <c r="L30" s="142">
        <f t="shared" si="8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6"/>
        <v>28</v>
      </c>
      <c r="J31" s="87" t="s">
        <v>2150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6"/>
        <v>28</v>
      </c>
      <c r="J32" s="87" t="s">
        <v>2151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6"/>
        <v>28</v>
      </c>
      <c r="J33" s="87" t="s">
        <v>2152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6"/>
        <v>28</v>
      </c>
      <c r="J34" s="151" t="s">
        <v>2303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6"/>
        <v>28</v>
      </c>
      <c r="J35" s="146" t="s">
        <v>1679</v>
      </c>
      <c r="K35" s="133">
        <f t="shared" si="7"/>
        <v>0</v>
      </c>
      <c r="L35" s="134">
        <f t="shared" si="8"/>
        <v>1</v>
      </c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hidden="1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6"/>
        <v>24</v>
      </c>
      <c r="J36" s="87" t="s">
        <v>2153</v>
      </c>
      <c r="K36" s="141">
        <f t="shared" si="7"/>
        <v>4</v>
      </c>
      <c r="L36" s="142">
        <f t="shared" si="8"/>
        <v>0.8571428571428571</v>
      </c>
      <c r="M36" s="70" t="s">
        <v>2278</v>
      </c>
      <c r="N36" s="70" t="s">
        <v>2278</v>
      </c>
      <c r="O36" s="70" t="s">
        <v>2278</v>
      </c>
      <c r="P36" s="70" t="s">
        <v>2278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hidden="1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6"/>
        <v>24</v>
      </c>
      <c r="J37" s="87" t="s">
        <v>2147</v>
      </c>
      <c r="K37" s="141">
        <f t="shared" si="7"/>
        <v>4</v>
      </c>
      <c r="L37" s="142">
        <f t="shared" si="8"/>
        <v>0.8571428571428571</v>
      </c>
      <c r="M37" s="70" t="s">
        <v>2278</v>
      </c>
      <c r="N37" s="70" t="s">
        <v>2278</v>
      </c>
      <c r="O37" s="70" t="s">
        <v>2278</v>
      </c>
      <c r="P37" s="70" t="s">
        <v>2278</v>
      </c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6"/>
        <v>28</v>
      </c>
      <c r="J38" s="87" t="s">
        <v>2154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6"/>
        <v>25</v>
      </c>
      <c r="J39" s="146" t="s">
        <v>1680</v>
      </c>
      <c r="K39" s="31">
        <f t="shared" si="7"/>
        <v>3</v>
      </c>
      <c r="L39" s="32">
        <f t="shared" si="8"/>
        <v>0.8928571428571429</v>
      </c>
      <c r="M39" s="70" t="s">
        <v>2278</v>
      </c>
      <c r="N39" s="70" t="s">
        <v>2278</v>
      </c>
      <c r="O39" s="70" t="s">
        <v>2278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6"/>
        <v>25</v>
      </c>
      <c r="J40" s="146" t="s">
        <v>1681</v>
      </c>
      <c r="K40" s="31">
        <f t="shared" si="7"/>
        <v>3</v>
      </c>
      <c r="L40" s="32">
        <f t="shared" si="8"/>
        <v>0.8928571428571429</v>
      </c>
      <c r="M40" s="70" t="s">
        <v>2278</v>
      </c>
      <c r="N40" s="70" t="s">
        <v>2278</v>
      </c>
      <c r="O40" s="70" t="s">
        <v>2278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6"/>
        <v>28</v>
      </c>
      <c r="J41" s="87" t="s">
        <v>2155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6"/>
        <v>28</v>
      </c>
      <c r="J42" s="87" t="s">
        <v>2180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6"/>
        <v>28</v>
      </c>
      <c r="J43" s="87" t="s">
        <v>2181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6"/>
        <v>25</v>
      </c>
      <c r="J44" s="87" t="s">
        <v>2182</v>
      </c>
      <c r="K44" s="31">
        <f t="shared" si="7"/>
        <v>3</v>
      </c>
      <c r="L44" s="32">
        <f t="shared" si="8"/>
        <v>0.8928571428571429</v>
      </c>
      <c r="M44" s="70" t="s">
        <v>2278</v>
      </c>
      <c r="N44" s="70" t="s">
        <v>2278</v>
      </c>
      <c r="O44" s="70" t="s">
        <v>2278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6"/>
        <v>27</v>
      </c>
      <c r="J45" s="151" t="s">
        <v>2237</v>
      </c>
      <c r="K45" s="31">
        <f t="shared" si="7"/>
        <v>1</v>
      </c>
      <c r="L45" s="32">
        <f t="shared" si="8"/>
        <v>0.9642857142857143</v>
      </c>
      <c r="M45" s="70"/>
      <c r="N45" s="70"/>
      <c r="O45" s="70"/>
      <c r="P45" s="70" t="s">
        <v>2278</v>
      </c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6"/>
        <v>27</v>
      </c>
      <c r="J46" s="151" t="s">
        <v>2242</v>
      </c>
      <c r="K46" s="31">
        <f t="shared" si="7"/>
        <v>1</v>
      </c>
      <c r="L46" s="32">
        <f t="shared" si="8"/>
        <v>0.9642857142857143</v>
      </c>
      <c r="M46" s="70"/>
      <c r="N46" s="70"/>
      <c r="O46" s="70"/>
      <c r="P46" s="70" t="s">
        <v>2278</v>
      </c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28</v>
      </c>
      <c r="J47" s="146" t="s">
        <v>1682</v>
      </c>
      <c r="K47" s="31">
        <f t="shared" si="7"/>
        <v>0</v>
      </c>
      <c r="L47" s="32">
        <f t="shared" si="8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28</v>
      </c>
      <c r="J48" s="146" t="s">
        <v>1683</v>
      </c>
      <c r="K48" s="31">
        <f t="shared" si="7"/>
        <v>0</v>
      </c>
      <c r="L48" s="32">
        <f t="shared" si="8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1684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1685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1686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2278</v>
      </c>
      <c r="O52" s="70" t="s">
        <v>2278</v>
      </c>
      <c r="P52" s="70" t="s">
        <v>2278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1687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1688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1689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1690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1691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1692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6"/>
        <v>28</v>
      </c>
      <c r="J59" s="146" t="s">
        <v>1693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1694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6"/>
        <v>24</v>
      </c>
      <c r="J61" s="146" t="s">
        <v>1695</v>
      </c>
      <c r="K61" s="141">
        <f t="shared" si="7"/>
        <v>4</v>
      </c>
      <c r="L61" s="142">
        <f t="shared" si="8"/>
        <v>0.8571428571428571</v>
      </c>
      <c r="M61" s="70" t="s">
        <v>2278</v>
      </c>
      <c r="N61" s="70" t="s">
        <v>2278</v>
      </c>
      <c r="O61" s="70" t="s">
        <v>2278</v>
      </c>
      <c r="P61" s="70" t="s">
        <v>2278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1696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6"/>
        <v>28</v>
      </c>
      <c r="J63" s="146" t="s">
        <v>1697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1698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1699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6"/>
        <v>28</v>
      </c>
      <c r="J66" s="146" t="s">
        <v>1700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6"/>
        <v>28</v>
      </c>
      <c r="J68" s="146" t="s">
        <v>1701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1702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6"/>
        <v>28</v>
      </c>
      <c r="J70" s="146" t="s">
        <v>1703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28</v>
      </c>
      <c r="J71" s="146" t="s">
        <v>1704</v>
      </c>
      <c r="K71" s="31">
        <f t="shared" si="7"/>
        <v>0</v>
      </c>
      <c r="L71" s="32">
        <f t="shared" si="8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6"/>
        <v>28</v>
      </c>
      <c r="J72" s="146" t="s">
        <v>1705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6"/>
        <v>28</v>
      </c>
      <c r="J73" s="146" t="s">
        <v>1706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1707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27</v>
      </c>
      <c r="J75" s="146" t="s">
        <v>1708</v>
      </c>
      <c r="K75" s="31">
        <f t="shared" si="7"/>
        <v>1</v>
      </c>
      <c r="L75" s="32">
        <f t="shared" si="8"/>
        <v>0.9642857142857143</v>
      </c>
      <c r="M75" s="70"/>
      <c r="N75" s="70"/>
      <c r="O75" s="70"/>
      <c r="P75" s="70" t="s">
        <v>2278</v>
      </c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1709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1710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1711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1712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1713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28</v>
      </c>
      <c r="J81" s="146" t="s">
        <v>1714</v>
      </c>
      <c r="K81" s="31">
        <f t="shared" si="7"/>
        <v>0</v>
      </c>
      <c r="L81" s="32">
        <f t="shared" si="8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28</v>
      </c>
      <c r="J82" s="146" t="s">
        <v>1715</v>
      </c>
      <c r="K82" s="31">
        <f t="shared" si="7"/>
        <v>0</v>
      </c>
      <c r="L82" s="32">
        <f t="shared" si="8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28</v>
      </c>
      <c r="J83" s="146" t="s">
        <v>1716</v>
      </c>
      <c r="K83" s="31">
        <f t="shared" si="7"/>
        <v>0</v>
      </c>
      <c r="L83" s="32">
        <f t="shared" si="8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28</v>
      </c>
      <c r="J84" s="146" t="s">
        <v>1717</v>
      </c>
      <c r="K84" s="31">
        <f t="shared" si="7"/>
        <v>0</v>
      </c>
      <c r="L84" s="32">
        <f t="shared" si="8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1718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1719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1720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9"/>
        <v>28</v>
      </c>
      <c r="J88" s="146" t="s">
        <v>1721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27</v>
      </c>
      <c r="J89" s="146" t="s">
        <v>1722</v>
      </c>
      <c r="K89" s="31">
        <f t="shared" si="10"/>
        <v>1</v>
      </c>
      <c r="L89" s="32">
        <f t="shared" si="11"/>
        <v>0.9642857142857143</v>
      </c>
      <c r="M89" s="70"/>
      <c r="N89" s="70"/>
      <c r="O89" s="70"/>
      <c r="P89" s="70" t="s">
        <v>2278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24</v>
      </c>
      <c r="J90" s="146" t="s">
        <v>1723</v>
      </c>
      <c r="K90" s="31">
        <f t="shared" si="10"/>
        <v>4</v>
      </c>
      <c r="L90" s="32">
        <f t="shared" si="11"/>
        <v>0.8571428571428571</v>
      </c>
      <c r="M90" s="70" t="s">
        <v>2278</v>
      </c>
      <c r="N90" s="70" t="s">
        <v>2278</v>
      </c>
      <c r="O90" s="70" t="s">
        <v>2278</v>
      </c>
      <c r="P90" s="70" t="s">
        <v>2278</v>
      </c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1724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1725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28</v>
      </c>
      <c r="J93" s="146" t="s">
        <v>1726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9"/>
        <v>28</v>
      </c>
      <c r="J94" s="146" t="s">
        <v>1727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9"/>
        <v>24</v>
      </c>
      <c r="J95" s="149" t="s">
        <v>1728</v>
      </c>
      <c r="K95" s="31">
        <f t="shared" si="10"/>
        <v>4</v>
      </c>
      <c r="L95" s="32">
        <f t="shared" si="11"/>
        <v>0.8571428571428571</v>
      </c>
      <c r="M95" s="70" t="s">
        <v>2278</v>
      </c>
      <c r="N95" s="70" t="s">
        <v>2278</v>
      </c>
      <c r="O95" s="70" t="s">
        <v>2278</v>
      </c>
      <c r="P95" s="70" t="s">
        <v>2278</v>
      </c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9"/>
        <v>27</v>
      </c>
      <c r="J96" s="146" t="s">
        <v>1729</v>
      </c>
      <c r="K96" s="141">
        <f t="shared" si="10"/>
        <v>1</v>
      </c>
      <c r="L96" s="142">
        <f t="shared" si="11"/>
        <v>0.9642857142857143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9"/>
        <v>28</v>
      </c>
      <c r="J97" s="146" t="s">
        <v>1730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9"/>
        <v>28</v>
      </c>
      <c r="J98" s="146" t="s">
        <v>1731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9"/>
        <v>28</v>
      </c>
      <c r="J99" s="146" t="s">
        <v>1732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9"/>
        <v>28</v>
      </c>
      <c r="J100" s="146" t="s">
        <v>1733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9"/>
        <v>28</v>
      </c>
      <c r="J101" s="146" t="s">
        <v>1734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9"/>
        <v>28</v>
      </c>
      <c r="J102" s="146" t="s">
        <v>1735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9"/>
        <v>28</v>
      </c>
      <c r="J103" s="146" t="s">
        <v>1736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1737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9"/>
        <v>28</v>
      </c>
      <c r="J105" s="146" t="s">
        <v>1738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9"/>
        <v>28</v>
      </c>
      <c r="J106" s="146" t="s">
        <v>1739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9"/>
        <v>28</v>
      </c>
      <c r="J107" s="146" t="s">
        <v>1740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9"/>
        <v>28</v>
      </c>
      <c r="J108" s="146" t="s">
        <v>1741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1742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1743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9"/>
        <v>28</v>
      </c>
      <c r="J111" s="146" t="s">
        <v>1744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9"/>
        <v>28</v>
      </c>
      <c r="J112" s="146" t="s">
        <v>1744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9"/>
        <v>28</v>
      </c>
      <c r="J113" s="146" t="s">
        <v>1746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9"/>
        <v>28</v>
      </c>
      <c r="J114" s="146" t="s">
        <v>1745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1747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1748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9"/>
        <v>28</v>
      </c>
      <c r="J117" s="146" t="s">
        <v>1749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1750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1751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1752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9"/>
        <v>28</v>
      </c>
      <c r="J121" s="146" t="s">
        <v>1753</v>
      </c>
      <c r="K121" s="141">
        <f t="shared" si="10"/>
        <v>0</v>
      </c>
      <c r="L121" s="142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9"/>
        <v>28</v>
      </c>
      <c r="J122" s="146" t="s">
        <v>1754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9"/>
        <v>28</v>
      </c>
      <c r="J123" s="146" t="s">
        <v>1755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9"/>
        <v>28</v>
      </c>
      <c r="J124" s="146" t="s">
        <v>1756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9"/>
        <v>28</v>
      </c>
      <c r="J125" s="146" t="s">
        <v>1757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9"/>
        <v>28</v>
      </c>
      <c r="J126" s="146" t="s">
        <v>1758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9"/>
        <v>26</v>
      </c>
      <c r="J127" s="146" t="s">
        <v>1759</v>
      </c>
      <c r="K127" s="31">
        <f t="shared" si="10"/>
        <v>2</v>
      </c>
      <c r="L127" s="32">
        <f t="shared" si="11"/>
        <v>0.9285714285714286</v>
      </c>
      <c r="M127" s="70"/>
      <c r="N127" s="70" t="s">
        <v>2278</v>
      </c>
      <c r="O127" s="70" t="s">
        <v>2278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9"/>
        <v>27</v>
      </c>
      <c r="J128" s="147" t="s">
        <v>1760</v>
      </c>
      <c r="K128" s="141">
        <f t="shared" si="10"/>
        <v>1</v>
      </c>
      <c r="L128" s="142">
        <f t="shared" si="11"/>
        <v>0.9642857142857143</v>
      </c>
      <c r="M128" s="70" t="s">
        <v>2278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9"/>
        <v>28</v>
      </c>
      <c r="J129" s="146" t="s">
        <v>1761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9"/>
        <v>28</v>
      </c>
      <c r="J130" s="146" t="s">
        <v>1762</v>
      </c>
      <c r="K130" s="141">
        <f t="shared" si="10"/>
        <v>0</v>
      </c>
      <c r="L130" s="142">
        <f t="shared" si="11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9"/>
        <v>25</v>
      </c>
      <c r="J131" s="146" t="s">
        <v>1763</v>
      </c>
      <c r="K131" s="31">
        <f t="shared" si="10"/>
        <v>3</v>
      </c>
      <c r="L131" s="32">
        <f t="shared" si="11"/>
        <v>0.8928571428571429</v>
      </c>
      <c r="M131" s="70" t="s">
        <v>2278</v>
      </c>
      <c r="N131" s="70" t="s">
        <v>2278</v>
      </c>
      <c r="O131" s="70"/>
      <c r="P131" s="70" t="s">
        <v>2278</v>
      </c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9"/>
        <v>28</v>
      </c>
      <c r="J132" s="146" t="s">
        <v>1764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9"/>
        <v>28</v>
      </c>
      <c r="J133" s="146" t="s">
        <v>1765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9"/>
        <v>28</v>
      </c>
      <c r="J134" s="146" t="s">
        <v>1766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9"/>
        <v>28</v>
      </c>
      <c r="J135" s="146" t="s">
        <v>1767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9"/>
        <v>28</v>
      </c>
      <c r="J136" s="146" t="s">
        <v>1768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9"/>
        <v>28</v>
      </c>
      <c r="J137" s="146" t="s">
        <v>1769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9"/>
        <v>28</v>
      </c>
      <c r="J138" s="146" t="s">
        <v>1770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9"/>
        <v>28</v>
      </c>
      <c r="J139" s="146" t="s">
        <v>1771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9"/>
        <v>28</v>
      </c>
      <c r="J140" s="87" t="s">
        <v>2183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9"/>
        <v>28</v>
      </c>
      <c r="J141" s="146" t="s">
        <v>1772</v>
      </c>
      <c r="K141" s="141">
        <f t="shared" si="10"/>
        <v>0</v>
      </c>
      <c r="L141" s="142">
        <f t="shared" si="11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9"/>
        <v>28</v>
      </c>
      <c r="J142" s="146" t="s">
        <v>1773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9"/>
        <v>28</v>
      </c>
      <c r="J143" s="146" t="s">
        <v>2185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9"/>
        <v>28</v>
      </c>
      <c r="J144" s="146" t="s">
        <v>2215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9"/>
        <v>28</v>
      </c>
      <c r="J145" s="146" t="s">
        <v>2253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9"/>
        <v>28</v>
      </c>
      <c r="J146" s="146" t="s">
        <v>2313</v>
      </c>
      <c r="K146" s="141">
        <f t="shared" si="10"/>
        <v>0</v>
      </c>
      <c r="L146" s="142">
        <f t="shared" si="11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9"/>
        <v>28</v>
      </c>
      <c r="J147" s="146" t="s">
        <v>1774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1775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1776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9"/>
        <v>28</v>
      </c>
      <c r="J151" s="146" t="s">
        <v>1777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9"/>
        <v>24</v>
      </c>
      <c r="J152" s="146" t="s">
        <v>1778</v>
      </c>
      <c r="K152" s="31">
        <f t="shared" si="10"/>
        <v>4</v>
      </c>
      <c r="L152" s="32">
        <f t="shared" si="11"/>
        <v>0.8571428571428571</v>
      </c>
      <c r="M152" s="70" t="s">
        <v>2278</v>
      </c>
      <c r="N152" s="70" t="s">
        <v>2278</v>
      </c>
      <c r="O152" s="70" t="s">
        <v>2278</v>
      </c>
      <c r="P152" s="70" t="s">
        <v>2278</v>
      </c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28</v>
      </c>
      <c r="J153" s="87"/>
      <c r="K153" s="31">
        <f t="shared" si="10"/>
        <v>0</v>
      </c>
      <c r="L153" s="32">
        <f t="shared" si="11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9"/>
        <v>28</v>
      </c>
      <c r="J154" s="146" t="s">
        <v>1779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9"/>
        <v>28</v>
      </c>
      <c r="J156" s="146" t="s">
        <v>1780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9"/>
        <v>28</v>
      </c>
      <c r="J157" s="146" t="s">
        <v>1781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9"/>
        <v>28</v>
      </c>
      <c r="J160" s="146" t="s">
        <v>1782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9"/>
        <v>28</v>
      </c>
      <c r="J161" s="146" t="s">
        <v>1783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9"/>
        <v>28</v>
      </c>
      <c r="J162" s="146" t="s">
        <v>1784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9"/>
        <v>28</v>
      </c>
      <c r="J164" s="146" t="s">
        <v>1785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2">COUNTIF(M165:AN165,"")</f>
        <v>28</v>
      </c>
      <c r="J165" s="146" t="s">
        <v>1786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27</v>
      </c>
      <c r="J167" s="146" t="s">
        <v>1787</v>
      </c>
      <c r="K167" s="31">
        <f t="shared" si="13"/>
        <v>1</v>
      </c>
      <c r="L167" s="32">
        <f t="shared" si="14"/>
        <v>0.9642857142857143</v>
      </c>
      <c r="M167" s="70"/>
      <c r="N167" s="70"/>
      <c r="O167" s="70"/>
      <c r="P167" s="70" t="s">
        <v>2278</v>
      </c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27</v>
      </c>
      <c r="J168" s="146" t="s">
        <v>1788</v>
      </c>
      <c r="K168" s="31">
        <f t="shared" si="13"/>
        <v>1</v>
      </c>
      <c r="L168" s="32">
        <f t="shared" si="14"/>
        <v>0.9642857142857143</v>
      </c>
      <c r="M168" s="70"/>
      <c r="N168" s="70"/>
      <c r="O168" s="70"/>
      <c r="P168" s="70" t="s">
        <v>2278</v>
      </c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2"/>
        <v>27</v>
      </c>
      <c r="J169" s="146" t="s">
        <v>1789</v>
      </c>
      <c r="K169" s="31">
        <f t="shared" si="13"/>
        <v>1</v>
      </c>
      <c r="L169" s="32">
        <f t="shared" si="14"/>
        <v>0.9642857142857143</v>
      </c>
      <c r="M169" s="70"/>
      <c r="N169" s="70"/>
      <c r="O169" s="70"/>
      <c r="P169" s="70" t="s">
        <v>2278</v>
      </c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27</v>
      </c>
      <c r="J170" s="146" t="s">
        <v>1790</v>
      </c>
      <c r="K170" s="31">
        <f t="shared" si="13"/>
        <v>1</v>
      </c>
      <c r="L170" s="32">
        <f t="shared" si="14"/>
        <v>0.9642857142857143</v>
      </c>
      <c r="M170" s="70"/>
      <c r="N170" s="70"/>
      <c r="O170" s="70"/>
      <c r="P170" s="70" t="s">
        <v>2278</v>
      </c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2"/>
        <v>24</v>
      </c>
      <c r="J171" s="146" t="s">
        <v>1791</v>
      </c>
      <c r="K171" s="31">
        <f t="shared" si="13"/>
        <v>4</v>
      </c>
      <c r="L171" s="32">
        <f t="shared" si="14"/>
        <v>0.8571428571428571</v>
      </c>
      <c r="M171" s="70" t="s">
        <v>2278</v>
      </c>
      <c r="N171" s="70" t="s">
        <v>2278</v>
      </c>
      <c r="O171" s="70" t="s">
        <v>2278</v>
      </c>
      <c r="P171" s="70" t="s">
        <v>2278</v>
      </c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2"/>
        <v>24</v>
      </c>
      <c r="J172" s="146" t="s">
        <v>1792</v>
      </c>
      <c r="K172" s="31">
        <f t="shared" si="13"/>
        <v>4</v>
      </c>
      <c r="L172" s="32">
        <f t="shared" si="14"/>
        <v>0.8571428571428571</v>
      </c>
      <c r="M172" s="70" t="s">
        <v>2278</v>
      </c>
      <c r="N172" s="70" t="s">
        <v>2278</v>
      </c>
      <c r="O172" s="70" t="s">
        <v>2278</v>
      </c>
      <c r="P172" s="70" t="s">
        <v>2278</v>
      </c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2"/>
        <v>28</v>
      </c>
      <c r="J173" s="146" t="s">
        <v>1793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2"/>
        <v>28</v>
      </c>
      <c r="J174" s="146" t="s">
        <v>1794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2"/>
        <v>28</v>
      </c>
      <c r="J175" s="146" t="s">
        <v>1795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1796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1797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2"/>
        <v>26</v>
      </c>
      <c r="J178" s="146" t="s">
        <v>1798</v>
      </c>
      <c r="K178" s="141">
        <f t="shared" si="13"/>
        <v>2</v>
      </c>
      <c r="L178" s="142">
        <f t="shared" si="14"/>
        <v>0.9285714285714286</v>
      </c>
      <c r="M178" s="70"/>
      <c r="N178" s="70" t="s">
        <v>2278</v>
      </c>
      <c r="O178" s="70" t="s">
        <v>2278</v>
      </c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2"/>
        <v>28</v>
      </c>
      <c r="J179" s="146" t="s">
        <v>1799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1800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1801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1802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1803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2"/>
        <v>28</v>
      </c>
      <c r="J185" s="146" t="s">
        <v>1804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2"/>
        <v>28</v>
      </c>
      <c r="J186" s="146" t="s">
        <v>1805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2"/>
        <v>24</v>
      </c>
      <c r="J187" s="146" t="s">
        <v>1806</v>
      </c>
      <c r="K187" s="31">
        <f t="shared" si="13"/>
        <v>4</v>
      </c>
      <c r="L187" s="32">
        <f t="shared" si="14"/>
        <v>0.8571428571428571</v>
      </c>
      <c r="M187" s="70" t="s">
        <v>2278</v>
      </c>
      <c r="N187" s="70" t="s">
        <v>2278</v>
      </c>
      <c r="O187" s="70" t="s">
        <v>2278</v>
      </c>
      <c r="P187" s="70" t="s">
        <v>2278</v>
      </c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2"/>
        <v>24</v>
      </c>
      <c r="J188" s="146" t="s">
        <v>1807</v>
      </c>
      <c r="K188" s="31">
        <f t="shared" si="13"/>
        <v>4</v>
      </c>
      <c r="L188" s="32">
        <f t="shared" si="14"/>
        <v>0.8571428571428571</v>
      </c>
      <c r="M188" s="70" t="s">
        <v>2278</v>
      </c>
      <c r="N188" s="70" t="s">
        <v>2278</v>
      </c>
      <c r="O188" s="70" t="s">
        <v>2278</v>
      </c>
      <c r="P188" s="70" t="s">
        <v>2278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2"/>
        <v>28</v>
      </c>
      <c r="J190" s="146" t="s">
        <v>1808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2"/>
        <v>28</v>
      </c>
      <c r="J192" s="146" t="s">
        <v>2163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2"/>
        <v>28</v>
      </c>
      <c r="J193" s="146" t="s">
        <v>2163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2"/>
        <v>28</v>
      </c>
      <c r="J194" s="146" t="s">
        <v>1809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27</v>
      </c>
      <c r="J195" s="146" t="s">
        <v>1810</v>
      </c>
      <c r="K195" s="31">
        <f t="shared" si="13"/>
        <v>1</v>
      </c>
      <c r="L195" s="32">
        <f t="shared" si="14"/>
        <v>0.9642857142857143</v>
      </c>
      <c r="M195" s="70"/>
      <c r="N195" s="70"/>
      <c r="O195" s="70"/>
      <c r="P195" s="70" t="s">
        <v>2278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27</v>
      </c>
      <c r="J196" s="146" t="s">
        <v>1811</v>
      </c>
      <c r="K196" s="31">
        <f t="shared" si="13"/>
        <v>1</v>
      </c>
      <c r="L196" s="32">
        <f t="shared" si="14"/>
        <v>0.9642857142857143</v>
      </c>
      <c r="M196" s="70"/>
      <c r="N196" s="70"/>
      <c r="O196" s="70"/>
      <c r="P196" s="70" t="s">
        <v>2278</v>
      </c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hidden="1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24</v>
      </c>
      <c r="J197" s="87"/>
      <c r="K197" s="137">
        <f t="shared" si="13"/>
        <v>4</v>
      </c>
      <c r="L197" s="138">
        <f t="shared" si="14"/>
        <v>0.8571428571428571</v>
      </c>
      <c r="M197" s="139" t="s">
        <v>2278</v>
      </c>
      <c r="N197" s="139" t="s">
        <v>2278</v>
      </c>
      <c r="O197" s="139" t="s">
        <v>2278</v>
      </c>
      <c r="P197" s="139" t="s">
        <v>2278</v>
      </c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2"/>
        <v>24</v>
      </c>
      <c r="J198" s="146" t="s">
        <v>1812</v>
      </c>
      <c r="K198" s="141">
        <f t="shared" si="13"/>
        <v>4</v>
      </c>
      <c r="L198" s="142">
        <f t="shared" si="14"/>
        <v>0.8571428571428571</v>
      </c>
      <c r="M198" s="70" t="s">
        <v>2278</v>
      </c>
      <c r="N198" s="70" t="s">
        <v>2278</v>
      </c>
      <c r="O198" s="70" t="s">
        <v>2278</v>
      </c>
      <c r="P198" s="70" t="s">
        <v>2278</v>
      </c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2"/>
        <v>24</v>
      </c>
      <c r="J199" s="146" t="s">
        <v>1813</v>
      </c>
      <c r="K199" s="141">
        <f t="shared" si="13"/>
        <v>4</v>
      </c>
      <c r="L199" s="142">
        <f t="shared" si="14"/>
        <v>0.8571428571428571</v>
      </c>
      <c r="M199" s="70" t="s">
        <v>2278</v>
      </c>
      <c r="N199" s="70" t="s">
        <v>2278</v>
      </c>
      <c r="O199" s="70" t="s">
        <v>2278</v>
      </c>
      <c r="P199" s="70" t="s">
        <v>2278</v>
      </c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2"/>
        <v>28</v>
      </c>
      <c r="J200" s="146" t="s">
        <v>1814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2"/>
        <v>24</v>
      </c>
      <c r="J201" s="146" t="s">
        <v>1815</v>
      </c>
      <c r="K201" s="31">
        <f t="shared" si="13"/>
        <v>4</v>
      </c>
      <c r="L201" s="32">
        <f t="shared" si="14"/>
        <v>0.8571428571428571</v>
      </c>
      <c r="M201" s="70" t="s">
        <v>2278</v>
      </c>
      <c r="N201" s="70" t="s">
        <v>2278</v>
      </c>
      <c r="O201" s="70" t="s">
        <v>2278</v>
      </c>
      <c r="P201" s="70" t="s">
        <v>2278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2"/>
        <v>28</v>
      </c>
      <c r="J202" s="146" t="s">
        <v>1816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2"/>
        <v>28</v>
      </c>
      <c r="J204" s="146" t="s">
        <v>1817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2"/>
        <v>28</v>
      </c>
      <c r="J205" s="146" t="s">
        <v>1818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2"/>
        <v>28</v>
      </c>
      <c r="J206" s="146" t="s">
        <v>1819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2"/>
        <v>28</v>
      </c>
      <c r="J207" s="146" t="s">
        <v>1820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1821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2"/>
        <v>28</v>
      </c>
      <c r="J209" s="146" t="s">
        <v>1822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2"/>
        <v>28</v>
      </c>
      <c r="J210" s="146" t="s">
        <v>1823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2"/>
        <v>28</v>
      </c>
      <c r="J211" s="146" t="s">
        <v>1824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2"/>
        <v>28</v>
      </c>
      <c r="J212" s="146" t="s">
        <v>1825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2"/>
        <v>28</v>
      </c>
      <c r="J213" s="146" t="s">
        <v>1826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2"/>
        <v>28</v>
      </c>
      <c r="J214" s="146" t="s">
        <v>1683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2"/>
        <v>28</v>
      </c>
      <c r="J215" s="146" t="s">
        <v>1827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2"/>
        <v>28</v>
      </c>
      <c r="J216" s="146" t="s">
        <v>1828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2"/>
        <v>28</v>
      </c>
      <c r="J217" s="146" t="s">
        <v>2200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2"/>
        <v>28</v>
      </c>
      <c r="J218" s="146" t="s">
        <v>1829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2"/>
        <v>28</v>
      </c>
      <c r="J219" s="146" t="s">
        <v>1830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2"/>
        <v>28</v>
      </c>
      <c r="J220" s="146" t="s">
        <v>1831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2"/>
        <v>28</v>
      </c>
      <c r="J221" s="146" t="s">
        <v>1832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2"/>
        <v>28</v>
      </c>
      <c r="J222" s="150" t="s">
        <v>2266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2"/>
        <v>28</v>
      </c>
      <c r="J225" s="146" t="s">
        <v>1833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2"/>
        <v>28</v>
      </c>
      <c r="J226" s="146" t="s">
        <v>1834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1835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1836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2"/>
        <v>28</v>
      </c>
      <c r="J229" s="146" t="s">
        <v>1837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2"/>
        <v>28</v>
      </c>
      <c r="J230" s="146" t="s">
        <v>1838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2"/>
        <v>28</v>
      </c>
      <c r="J232" s="151" t="s">
        <v>2284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2"/>
        <v>28</v>
      </c>
      <c r="J233" s="146" t="s">
        <v>1839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2"/>
        <v>28</v>
      </c>
      <c r="J234" s="146" t="s">
        <v>1840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2"/>
        <v>28</v>
      </c>
      <c r="J235" s="146" t="s">
        <v>1841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2"/>
        <v>28</v>
      </c>
      <c r="J236" s="146" t="s">
        <v>2276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25</v>
      </c>
      <c r="J237" s="146" t="s">
        <v>1842</v>
      </c>
      <c r="K237" s="31">
        <f t="shared" si="13"/>
        <v>3</v>
      </c>
      <c r="L237" s="32">
        <f t="shared" si="14"/>
        <v>0.8928571428571429</v>
      </c>
      <c r="M237" s="70" t="s">
        <v>2278</v>
      </c>
      <c r="N237" s="70" t="s">
        <v>2278</v>
      </c>
      <c r="O237" s="70" t="s">
        <v>2278</v>
      </c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1843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2"/>
        <v>28</v>
      </c>
      <c r="J239" s="146" t="s">
        <v>1844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1845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1846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1847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1848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1849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1850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1851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1852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5"/>
        <v>28</v>
      </c>
      <c r="J248" s="146" t="s">
        <v>1853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1854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24</v>
      </c>
      <c r="J250" s="146" t="s">
        <v>1855</v>
      </c>
      <c r="K250" s="31">
        <f t="shared" si="16"/>
        <v>4</v>
      </c>
      <c r="L250" s="32">
        <f t="shared" si="17"/>
        <v>0.8571428571428571</v>
      </c>
      <c r="M250" s="70" t="s">
        <v>2278</v>
      </c>
      <c r="N250" s="70" t="s">
        <v>2278</v>
      </c>
      <c r="O250" s="70" t="s">
        <v>2278</v>
      </c>
      <c r="P250" s="70" t="s">
        <v>2278</v>
      </c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5"/>
        <v>24</v>
      </c>
      <c r="J251" s="146" t="s">
        <v>1856</v>
      </c>
      <c r="K251" s="31">
        <f t="shared" si="16"/>
        <v>4</v>
      </c>
      <c r="L251" s="32">
        <f t="shared" si="17"/>
        <v>0.8571428571428571</v>
      </c>
      <c r="M251" s="70" t="s">
        <v>2278</v>
      </c>
      <c r="N251" s="70" t="s">
        <v>2278</v>
      </c>
      <c r="O251" s="70" t="s">
        <v>2278</v>
      </c>
      <c r="P251" s="70" t="s">
        <v>2278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5"/>
        <v>28</v>
      </c>
      <c r="J253" s="146" t="s">
        <v>1812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hidden="1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24</v>
      </c>
      <c r="J254" s="146" t="s">
        <v>1857</v>
      </c>
      <c r="K254" s="31">
        <f t="shared" si="16"/>
        <v>4</v>
      </c>
      <c r="L254" s="32">
        <f t="shared" si="17"/>
        <v>0.8571428571428571</v>
      </c>
      <c r="M254" s="70" t="s">
        <v>2278</v>
      </c>
      <c r="N254" s="70" t="s">
        <v>2278</v>
      </c>
      <c r="O254" s="70" t="s">
        <v>2278</v>
      </c>
      <c r="P254" s="70" t="s">
        <v>2278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hidden="1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5"/>
        <v>24</v>
      </c>
      <c r="J255" s="146" t="s">
        <v>2294</v>
      </c>
      <c r="K255" s="31">
        <f t="shared" si="16"/>
        <v>4</v>
      </c>
      <c r="L255" s="32">
        <f t="shared" si="17"/>
        <v>0.8571428571428571</v>
      </c>
      <c r="M255" s="70" t="s">
        <v>2278</v>
      </c>
      <c r="N255" s="70" t="s">
        <v>2278</v>
      </c>
      <c r="O255" s="70" t="s">
        <v>2278</v>
      </c>
      <c r="P255" s="70" t="s">
        <v>2278</v>
      </c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5"/>
        <v>28</v>
      </c>
      <c r="J259" s="146" t="s">
        <v>1858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5"/>
        <v>28</v>
      </c>
      <c r="J260" s="146" t="s">
        <v>1859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5"/>
        <v>28</v>
      </c>
      <c r="J261" s="146" t="s">
        <v>1860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5"/>
        <v>28</v>
      </c>
      <c r="J262" s="146" t="s">
        <v>1861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5"/>
        <v>28</v>
      </c>
      <c r="J263" s="146" t="s">
        <v>1862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5"/>
        <v>28</v>
      </c>
      <c r="J265" s="146" t="s">
        <v>1863</v>
      </c>
      <c r="K265" s="31">
        <f t="shared" si="16"/>
        <v>0</v>
      </c>
      <c r="L265" s="32">
        <f t="shared" si="17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5"/>
        <v>28</v>
      </c>
      <c r="J266" s="146" t="s">
        <v>1864</v>
      </c>
      <c r="K266" s="31">
        <f t="shared" si="16"/>
        <v>0</v>
      </c>
      <c r="L266" s="32">
        <f t="shared" si="17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5"/>
        <v>28</v>
      </c>
      <c r="J267" s="146" t="s">
        <v>1865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5"/>
        <v>28</v>
      </c>
      <c r="J268" s="146" t="s">
        <v>1866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1867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1854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1868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5"/>
        <v>24</v>
      </c>
      <c r="J272" s="146" t="s">
        <v>1869</v>
      </c>
      <c r="K272" s="31">
        <f t="shared" si="16"/>
        <v>4</v>
      </c>
      <c r="L272" s="32">
        <f t="shared" si="17"/>
        <v>0.8571428571428571</v>
      </c>
      <c r="M272" s="70" t="s">
        <v>2278</v>
      </c>
      <c r="N272" s="70" t="s">
        <v>2278</v>
      </c>
      <c r="O272" s="70" t="s">
        <v>2278</v>
      </c>
      <c r="P272" s="70" t="s">
        <v>2278</v>
      </c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5"/>
        <v>28</v>
      </c>
      <c r="J273" s="146" t="s">
        <v>1870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5"/>
        <v>28</v>
      </c>
      <c r="J274" s="146" t="s">
        <v>1871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1872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5"/>
        <v>28</v>
      </c>
      <c r="J276" s="149" t="s">
        <v>1873</v>
      </c>
      <c r="K276" s="31">
        <f t="shared" si="16"/>
        <v>0</v>
      </c>
      <c r="L276" s="32">
        <f t="shared" si="17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5"/>
        <v>28</v>
      </c>
      <c r="J277" s="146" t="s">
        <v>1874</v>
      </c>
      <c r="K277" s="31">
        <f t="shared" si="16"/>
        <v>0</v>
      </c>
      <c r="L277" s="32">
        <f t="shared" si="17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5"/>
        <v>28</v>
      </c>
      <c r="J278" s="146" t="s">
        <v>1875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5"/>
        <v>28</v>
      </c>
      <c r="J279" s="146" t="s">
        <v>1876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5"/>
        <v>28</v>
      </c>
      <c r="J280" s="146" t="s">
        <v>1877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5"/>
        <v>28</v>
      </c>
      <c r="J281" s="146" t="s">
        <v>2207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5"/>
        <v>28</v>
      </c>
      <c r="J282" s="146" t="s">
        <v>2211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5"/>
        <v>28</v>
      </c>
      <c r="J283" s="146" t="s">
        <v>1878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5"/>
        <v>28</v>
      </c>
      <c r="J284" s="146" t="s">
        <v>1879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5"/>
        <v>27</v>
      </c>
      <c r="J285" s="146" t="s">
        <v>1880</v>
      </c>
      <c r="K285" s="31">
        <f t="shared" si="16"/>
        <v>1</v>
      </c>
      <c r="L285" s="32">
        <f t="shared" si="17"/>
        <v>0.9642857142857143</v>
      </c>
      <c r="M285" s="70"/>
      <c r="N285" s="70" t="s">
        <v>2278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5"/>
        <v>27</v>
      </c>
      <c r="J286" s="146" t="s">
        <v>1881</v>
      </c>
      <c r="K286" s="141">
        <f t="shared" si="16"/>
        <v>1</v>
      </c>
      <c r="L286" s="142">
        <f t="shared" si="17"/>
        <v>0.9642857142857143</v>
      </c>
      <c r="M286" s="70"/>
      <c r="N286" s="70"/>
      <c r="O286" s="70" t="s">
        <v>2278</v>
      </c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5"/>
        <v>26</v>
      </c>
      <c r="J287" s="146" t="s">
        <v>1882</v>
      </c>
      <c r="K287" s="141">
        <f t="shared" si="16"/>
        <v>2</v>
      </c>
      <c r="L287" s="142">
        <f t="shared" si="17"/>
        <v>0.9285714285714286</v>
      </c>
      <c r="M287" s="70" t="s">
        <v>2278</v>
      </c>
      <c r="N287" s="70" t="s">
        <v>2278</v>
      </c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5"/>
        <v>28</v>
      </c>
      <c r="J288" s="146" t="s">
        <v>1684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5"/>
        <v>28</v>
      </c>
      <c r="J289" s="146" t="s">
        <v>1883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5"/>
        <v>28</v>
      </c>
      <c r="J290" s="146" t="s">
        <v>1884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5"/>
        <v>26</v>
      </c>
      <c r="J291" s="146" t="s">
        <v>1885</v>
      </c>
      <c r="K291" s="141">
        <f t="shared" si="16"/>
        <v>2</v>
      </c>
      <c r="L291" s="142">
        <f t="shared" si="17"/>
        <v>0.9285714285714286</v>
      </c>
      <c r="M291" s="70"/>
      <c r="N291" s="70"/>
      <c r="O291" s="70" t="s">
        <v>2278</v>
      </c>
      <c r="P291" s="70" t="s">
        <v>2278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5"/>
        <v>28</v>
      </c>
      <c r="J292" s="146" t="s">
        <v>1886</v>
      </c>
      <c r="K292" s="141">
        <f t="shared" si="16"/>
        <v>0</v>
      </c>
      <c r="L292" s="14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5"/>
        <v>28</v>
      </c>
      <c r="J293" s="146" t="s">
        <v>1887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5"/>
        <v>28</v>
      </c>
      <c r="J294" s="87" t="s">
        <v>2186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5"/>
        <v>28</v>
      </c>
      <c r="J295" s="146" t="s">
        <v>1888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5"/>
        <v>28</v>
      </c>
      <c r="J296" s="146" t="s">
        <v>1889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5"/>
        <v>28</v>
      </c>
      <c r="J297" s="146" t="s">
        <v>1890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5"/>
        <v>28</v>
      </c>
      <c r="J298" s="146" t="s">
        <v>1891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5"/>
        <v>28</v>
      </c>
      <c r="J299" s="146" t="s">
        <v>1892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5"/>
        <v>28</v>
      </c>
      <c r="J300" s="146" t="s">
        <v>1893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5"/>
        <v>28</v>
      </c>
      <c r="J301" s="146" t="s">
        <v>1894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5"/>
        <v>28</v>
      </c>
      <c r="J302" s="146" t="s">
        <v>1895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5"/>
        <v>27</v>
      </c>
      <c r="J303" s="146" t="s">
        <v>1896</v>
      </c>
      <c r="K303" s="31">
        <f t="shared" si="16"/>
        <v>1</v>
      </c>
      <c r="L303" s="32">
        <f t="shared" si="17"/>
        <v>0.9642857142857143</v>
      </c>
      <c r="M303" s="70"/>
      <c r="N303" s="70"/>
      <c r="O303" s="70"/>
      <c r="P303" s="70" t="s">
        <v>2278</v>
      </c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hidden="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5"/>
        <v>24</v>
      </c>
      <c r="J304" s="146" t="s">
        <v>1897</v>
      </c>
      <c r="K304" s="31">
        <f t="shared" si="16"/>
        <v>4</v>
      </c>
      <c r="L304" s="32">
        <f t="shared" si="17"/>
        <v>0.8571428571428571</v>
      </c>
      <c r="M304" s="70" t="s">
        <v>2278</v>
      </c>
      <c r="N304" s="70" t="s">
        <v>2278</v>
      </c>
      <c r="O304" s="70" t="s">
        <v>2278</v>
      </c>
      <c r="P304" s="70" t="s">
        <v>2278</v>
      </c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5"/>
        <v>27</v>
      </c>
      <c r="J305" s="146" t="s">
        <v>1898</v>
      </c>
      <c r="K305" s="31">
        <f t="shared" si="16"/>
        <v>1</v>
      </c>
      <c r="L305" s="32">
        <f t="shared" si="17"/>
        <v>0.9642857142857143</v>
      </c>
      <c r="M305" s="70"/>
      <c r="N305" s="70"/>
      <c r="O305" s="70"/>
      <c r="P305" s="70" t="s">
        <v>2278</v>
      </c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5"/>
        <v>27</v>
      </c>
      <c r="J306" s="146" t="s">
        <v>1899</v>
      </c>
      <c r="K306" s="31">
        <f t="shared" si="16"/>
        <v>1</v>
      </c>
      <c r="L306" s="32">
        <f t="shared" si="17"/>
        <v>0.9642857142857143</v>
      </c>
      <c r="M306" s="70"/>
      <c r="N306" s="70"/>
      <c r="O306" s="70"/>
      <c r="P306" s="70" t="s">
        <v>2278</v>
      </c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hidden="1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5"/>
        <v>27</v>
      </c>
      <c r="J307" s="146" t="s">
        <v>1900</v>
      </c>
      <c r="K307" s="31">
        <f t="shared" si="16"/>
        <v>1</v>
      </c>
      <c r="L307" s="32">
        <f t="shared" si="17"/>
        <v>0.9642857142857143</v>
      </c>
      <c r="M307" s="70"/>
      <c r="N307" s="70"/>
      <c r="O307" s="70"/>
      <c r="P307" s="70" t="s">
        <v>2278</v>
      </c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5"/>
        <v>27</v>
      </c>
      <c r="J308" s="146" t="s">
        <v>1901</v>
      </c>
      <c r="K308" s="31">
        <f t="shared" si="16"/>
        <v>1</v>
      </c>
      <c r="L308" s="32">
        <f t="shared" si="17"/>
        <v>0.9642857142857143</v>
      </c>
      <c r="M308" s="70"/>
      <c r="N308" s="70"/>
      <c r="O308" s="70"/>
      <c r="P308" s="70" t="s">
        <v>2278</v>
      </c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5"/>
        <v>28</v>
      </c>
      <c r="J309" s="146" t="s">
        <v>1902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5"/>
        <v>28</v>
      </c>
      <c r="J310" s="146" t="s">
        <v>1903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5"/>
        <v>24</v>
      </c>
      <c r="J311" s="146" t="s">
        <v>1904</v>
      </c>
      <c r="K311" s="31">
        <f t="shared" si="16"/>
        <v>4</v>
      </c>
      <c r="L311" s="32">
        <f t="shared" si="17"/>
        <v>0.8571428571428571</v>
      </c>
      <c r="M311" s="70" t="s">
        <v>2278</v>
      </c>
      <c r="N311" s="70" t="s">
        <v>2278</v>
      </c>
      <c r="O311" s="70" t="s">
        <v>2278</v>
      </c>
      <c r="P311" s="70" t="s">
        <v>2278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5"/>
        <v>28</v>
      </c>
      <c r="J312" s="146" t="s">
        <v>1905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5"/>
        <v>28</v>
      </c>
      <c r="J313" s="146" t="s">
        <v>1906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5"/>
        <v>28</v>
      </c>
      <c r="J314" s="146" t="s">
        <v>1907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hidden="1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5"/>
        <v>24</v>
      </c>
      <c r="J316" s="146" t="s">
        <v>1908</v>
      </c>
      <c r="K316" s="141">
        <f t="shared" si="16"/>
        <v>4</v>
      </c>
      <c r="L316" s="142">
        <f t="shared" si="17"/>
        <v>0.8571428571428571</v>
      </c>
      <c r="M316" s="70" t="s">
        <v>2278</v>
      </c>
      <c r="N316" s="70" t="s">
        <v>2278</v>
      </c>
      <c r="O316" s="70" t="s">
        <v>2278</v>
      </c>
      <c r="P316" s="70" t="s">
        <v>2278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5"/>
        <v>28</v>
      </c>
      <c r="J317" s="146" t="s">
        <v>2143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hidden="1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8">COUNTIF(M318:AN318,"")</f>
        <v>24</v>
      </c>
      <c r="J318" s="146" t="s">
        <v>1909</v>
      </c>
      <c r="K318" s="31">
        <f t="shared" ref="K318:K388" si="19">COUNTIF(M318:AN318,"APAGADO")</f>
        <v>4</v>
      </c>
      <c r="L318" s="32">
        <f t="shared" ref="L318:L388" si="20">(I318)/(K318+I318)</f>
        <v>0.8571428571428571</v>
      </c>
      <c r="M318" s="70" t="s">
        <v>2278</v>
      </c>
      <c r="N318" s="70" t="s">
        <v>2278</v>
      </c>
      <c r="O318" s="70" t="s">
        <v>2278</v>
      </c>
      <c r="P318" s="70" t="s">
        <v>2278</v>
      </c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8"/>
        <v>24</v>
      </c>
      <c r="J319" s="146" t="s">
        <v>1910</v>
      </c>
      <c r="K319" s="141">
        <f t="shared" si="19"/>
        <v>4</v>
      </c>
      <c r="L319" s="142">
        <f t="shared" si="20"/>
        <v>0.8571428571428571</v>
      </c>
      <c r="M319" s="70" t="s">
        <v>2278</v>
      </c>
      <c r="N319" s="70" t="s">
        <v>2278</v>
      </c>
      <c r="O319" s="70" t="s">
        <v>2278</v>
      </c>
      <c r="P319" s="70" t="s">
        <v>2278</v>
      </c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hidden="1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8"/>
        <v>24</v>
      </c>
      <c r="J320" s="87" t="s">
        <v>2187</v>
      </c>
      <c r="K320" s="141">
        <f t="shared" si="19"/>
        <v>4</v>
      </c>
      <c r="L320" s="142">
        <f t="shared" si="20"/>
        <v>0.8571428571428571</v>
      </c>
      <c r="M320" s="70" t="s">
        <v>2278</v>
      </c>
      <c r="N320" s="70" t="s">
        <v>2278</v>
      </c>
      <c r="O320" s="70" t="s">
        <v>2278</v>
      </c>
      <c r="P320" s="70" t="s">
        <v>2278</v>
      </c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hidden="1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8"/>
        <v>24</v>
      </c>
      <c r="J321" s="146" t="s">
        <v>1911</v>
      </c>
      <c r="K321" s="141">
        <f t="shared" si="19"/>
        <v>4</v>
      </c>
      <c r="L321" s="142">
        <f t="shared" si="20"/>
        <v>0.8571428571428571</v>
      </c>
      <c r="M321" s="70" t="s">
        <v>2278</v>
      </c>
      <c r="N321" s="70" t="s">
        <v>2278</v>
      </c>
      <c r="O321" s="70" t="s">
        <v>2278</v>
      </c>
      <c r="P321" s="70" t="s">
        <v>2278</v>
      </c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hidden="1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8"/>
        <v>26</v>
      </c>
      <c r="J322" s="146" t="s">
        <v>1912</v>
      </c>
      <c r="K322" s="31">
        <f t="shared" si="19"/>
        <v>2</v>
      </c>
      <c r="L322" s="32">
        <f t="shared" si="20"/>
        <v>0.9285714285714286</v>
      </c>
      <c r="M322" s="70"/>
      <c r="N322" s="70" t="s">
        <v>2278</v>
      </c>
      <c r="O322" s="70" t="s">
        <v>2278</v>
      </c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8"/>
        <v>28</v>
      </c>
      <c r="J323" s="146" t="s">
        <v>1913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8"/>
        <v>28</v>
      </c>
      <c r="J324" s="146" t="s">
        <v>1914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8"/>
        <v>28</v>
      </c>
      <c r="J325" s="146" t="s">
        <v>1915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8"/>
        <v>28</v>
      </c>
      <c r="J326" s="146" t="s">
        <v>1916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8"/>
        <v>28</v>
      </c>
      <c r="J327" s="146" t="s">
        <v>1917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8"/>
        <v>28</v>
      </c>
      <c r="J328" s="146" t="s">
        <v>1918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8"/>
        <v>28</v>
      </c>
      <c r="J329" s="146" t="s">
        <v>1919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8"/>
        <v>28</v>
      </c>
      <c r="J330" s="146" t="s">
        <v>1920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8"/>
        <v>28</v>
      </c>
      <c r="J331" s="146" t="s">
        <v>1921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8"/>
        <v>28</v>
      </c>
      <c r="J332" s="146" t="s">
        <v>1922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8"/>
        <v>28</v>
      </c>
      <c r="J333" s="146" t="s">
        <v>1923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8"/>
        <v>25</v>
      </c>
      <c r="J334" s="146" t="s">
        <v>1924</v>
      </c>
      <c r="K334" s="31">
        <f t="shared" si="19"/>
        <v>3</v>
      </c>
      <c r="L334" s="32">
        <f t="shared" si="20"/>
        <v>0.8928571428571429</v>
      </c>
      <c r="M334" s="70" t="s">
        <v>2278</v>
      </c>
      <c r="N334" s="70" t="s">
        <v>2278</v>
      </c>
      <c r="O334" s="70" t="s">
        <v>2278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8"/>
        <v>25</v>
      </c>
      <c r="J335" s="146" t="s">
        <v>1925</v>
      </c>
      <c r="K335" s="31">
        <f t="shared" si="19"/>
        <v>3</v>
      </c>
      <c r="L335" s="32">
        <f t="shared" si="20"/>
        <v>0.8928571428571429</v>
      </c>
      <c r="M335" s="70" t="s">
        <v>2278</v>
      </c>
      <c r="N335" s="70" t="s">
        <v>2278</v>
      </c>
      <c r="O335" s="70" t="s">
        <v>2278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8"/>
        <v>25</v>
      </c>
      <c r="J336" s="146" t="s">
        <v>1926</v>
      </c>
      <c r="K336" s="31">
        <f t="shared" si="19"/>
        <v>3</v>
      </c>
      <c r="L336" s="32">
        <f t="shared" si="20"/>
        <v>0.8928571428571429</v>
      </c>
      <c r="M336" s="70" t="s">
        <v>2278</v>
      </c>
      <c r="N336" s="70" t="s">
        <v>2278</v>
      </c>
      <c r="O336" s="70" t="s">
        <v>2278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8"/>
        <v>25</v>
      </c>
      <c r="J337" s="146" t="s">
        <v>1927</v>
      </c>
      <c r="K337" s="31">
        <f t="shared" si="19"/>
        <v>3</v>
      </c>
      <c r="L337" s="32">
        <f t="shared" si="20"/>
        <v>0.8928571428571429</v>
      </c>
      <c r="M337" s="70" t="s">
        <v>2278</v>
      </c>
      <c r="N337" s="70" t="s">
        <v>2278</v>
      </c>
      <c r="O337" s="70" t="s">
        <v>2278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8"/>
        <v>25</v>
      </c>
      <c r="J338" s="151" t="s">
        <v>2230</v>
      </c>
      <c r="K338" s="31">
        <f t="shared" si="19"/>
        <v>3</v>
      </c>
      <c r="L338" s="32">
        <f t="shared" si="20"/>
        <v>0.8928571428571429</v>
      </c>
      <c r="M338" s="70" t="s">
        <v>2278</v>
      </c>
      <c r="N338" s="70" t="s">
        <v>2278</v>
      </c>
      <c r="O338" s="70" t="s">
        <v>2278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8"/>
        <v>25</v>
      </c>
      <c r="J339" s="146" t="s">
        <v>2234</v>
      </c>
      <c r="K339" s="31">
        <f t="shared" si="19"/>
        <v>3</v>
      </c>
      <c r="L339" s="32">
        <f t="shared" si="20"/>
        <v>0.8928571428571429</v>
      </c>
      <c r="M339" s="70" t="s">
        <v>2278</v>
      </c>
      <c r="N339" s="70" t="s">
        <v>2278</v>
      </c>
      <c r="O339" s="70" t="s">
        <v>2278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8"/>
        <v>28</v>
      </c>
      <c r="J340" s="146" t="s">
        <v>1928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8"/>
        <v>28</v>
      </c>
      <c r="J341" s="146" t="s">
        <v>1929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8"/>
        <v>28</v>
      </c>
      <c r="J342" s="146" t="s">
        <v>1930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8"/>
        <v>28</v>
      </c>
      <c r="J343" s="146" t="s">
        <v>1931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8"/>
        <v>28</v>
      </c>
      <c r="J344" s="146" t="s">
        <v>1932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8"/>
        <v>28</v>
      </c>
      <c r="J345" s="146" t="s">
        <v>1933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8"/>
        <v>28</v>
      </c>
      <c r="J346" s="146" t="s">
        <v>1934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8"/>
        <v>28</v>
      </c>
      <c r="J347" s="146" t="s">
        <v>1935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8"/>
        <v>28</v>
      </c>
      <c r="J348" s="146" t="s">
        <v>1936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8"/>
        <v>28</v>
      </c>
      <c r="J349" s="146" t="s">
        <v>1937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8"/>
        <v>28</v>
      </c>
      <c r="J350" s="146" t="s">
        <v>1938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8"/>
        <v>28</v>
      </c>
      <c r="J351" s="146" t="s">
        <v>1939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8"/>
        <v>28</v>
      </c>
      <c r="J352" s="146" t="s">
        <v>1940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8"/>
        <v>28</v>
      </c>
      <c r="J355" s="146" t="s">
        <v>1941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8"/>
        <v>28</v>
      </c>
      <c r="J358" s="146" t="s">
        <v>1942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8"/>
        <v>28</v>
      </c>
      <c r="J359" s="146" t="s">
        <v>1943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8"/>
        <v>28</v>
      </c>
      <c r="J360" s="146" t="s">
        <v>1944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8"/>
        <v>28</v>
      </c>
      <c r="J361" s="146" t="s">
        <v>1945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8"/>
        <v>28</v>
      </c>
      <c r="J362" s="146" t="s">
        <v>1946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8"/>
        <v>28</v>
      </c>
      <c r="J363" s="146" t="s">
        <v>1947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8"/>
        <v>28</v>
      </c>
      <c r="J364" s="146" t="s">
        <v>1948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8"/>
        <v>28</v>
      </c>
      <c r="J365" s="146" t="s">
        <v>1949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8"/>
        <v>28</v>
      </c>
      <c r="J366" s="146" t="s">
        <v>1950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8"/>
        <v>28</v>
      </c>
      <c r="J367" s="146" t="s">
        <v>1951</v>
      </c>
      <c r="K367" s="31">
        <f t="shared" si="19"/>
        <v>0</v>
      </c>
      <c r="L367" s="32">
        <f t="shared" si="20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8"/>
        <v>28</v>
      </c>
      <c r="J368" s="146" t="s">
        <v>1952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8"/>
        <v>28</v>
      </c>
      <c r="J369" s="146" t="s">
        <v>1953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8"/>
        <v>28</v>
      </c>
      <c r="J370" s="146" t="s">
        <v>1954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8"/>
        <v>28</v>
      </c>
      <c r="J371" s="146" t="s">
        <v>1955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8"/>
        <v>27</v>
      </c>
      <c r="J372" s="146" t="s">
        <v>2137</v>
      </c>
      <c r="K372" s="31">
        <f t="shared" si="19"/>
        <v>1</v>
      </c>
      <c r="L372" s="32">
        <f t="shared" si="20"/>
        <v>0.9642857142857143</v>
      </c>
      <c r="M372" s="70" t="s">
        <v>2278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8"/>
        <v>28</v>
      </c>
      <c r="J373" s="146" t="s">
        <v>1956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8"/>
        <v>28</v>
      </c>
      <c r="J374" s="146" t="s">
        <v>1957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8"/>
        <v>28</v>
      </c>
      <c r="J376" s="151" t="s">
        <v>2170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8"/>
        <v>28</v>
      </c>
      <c r="J377" s="146" t="s">
        <v>1958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8"/>
        <v>28</v>
      </c>
      <c r="J379" s="146" t="s">
        <v>1959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8"/>
        <v>28</v>
      </c>
      <c r="J380" s="146" t="s">
        <v>1960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8"/>
        <v>28</v>
      </c>
      <c r="J381" s="146" t="s">
        <v>1961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8"/>
        <v>28</v>
      </c>
      <c r="J382" s="146" t="s">
        <v>1962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8"/>
        <v>24</v>
      </c>
      <c r="J383" s="73"/>
      <c r="K383" s="31">
        <f t="shared" si="19"/>
        <v>4</v>
      </c>
      <c r="L383" s="32">
        <f t="shared" si="20"/>
        <v>0.8571428571428571</v>
      </c>
      <c r="M383" s="70" t="s">
        <v>2278</v>
      </c>
      <c r="N383" s="70" t="s">
        <v>2278</v>
      </c>
      <c r="O383" s="70" t="s">
        <v>2278</v>
      </c>
      <c r="P383" s="70" t="s">
        <v>2278</v>
      </c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8"/>
        <v>24</v>
      </c>
      <c r="J384" s="146" t="s">
        <v>1963</v>
      </c>
      <c r="K384" s="141">
        <f t="shared" si="19"/>
        <v>4</v>
      </c>
      <c r="L384" s="142">
        <f t="shared" si="20"/>
        <v>0.8571428571428571</v>
      </c>
      <c r="M384" s="70" t="s">
        <v>2278</v>
      </c>
      <c r="N384" s="70" t="s">
        <v>2278</v>
      </c>
      <c r="O384" s="70" t="s">
        <v>2278</v>
      </c>
      <c r="P384" s="70" t="s">
        <v>2278</v>
      </c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8"/>
        <v>28</v>
      </c>
      <c r="J385" s="146" t="s">
        <v>1964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8"/>
        <v>28</v>
      </c>
      <c r="J386" s="146" t="s">
        <v>1965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8"/>
        <v>28</v>
      </c>
      <c r="J387" s="146" t="s">
        <v>1966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8"/>
        <v>28</v>
      </c>
      <c r="J388" s="146" t="s">
        <v>1967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21">COUNTIF(M389:AN389,"")</f>
        <v>24</v>
      </c>
      <c r="J389" s="146" t="s">
        <v>1968</v>
      </c>
      <c r="K389" s="31">
        <f t="shared" ref="K389:K470" si="22">COUNTIF(M389:AN389,"APAGADO")</f>
        <v>4</v>
      </c>
      <c r="L389" s="32">
        <f t="shared" ref="L389:L470" si="23">(I389)/(K389+I389)</f>
        <v>0.8571428571428571</v>
      </c>
      <c r="M389" s="70" t="s">
        <v>2278</v>
      </c>
      <c r="N389" s="70" t="s">
        <v>2278</v>
      </c>
      <c r="O389" s="70" t="s">
        <v>2278</v>
      </c>
      <c r="P389" s="70" t="s">
        <v>2278</v>
      </c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21"/>
        <v>24</v>
      </c>
      <c r="J390" s="146" t="s">
        <v>1969</v>
      </c>
      <c r="K390" s="31">
        <f t="shared" si="22"/>
        <v>4</v>
      </c>
      <c r="L390" s="32">
        <f t="shared" si="23"/>
        <v>0.8571428571428571</v>
      </c>
      <c r="M390" s="70" t="s">
        <v>2278</v>
      </c>
      <c r="N390" s="70" t="s">
        <v>2278</v>
      </c>
      <c r="O390" s="70" t="s">
        <v>2278</v>
      </c>
      <c r="P390" s="70" t="s">
        <v>2278</v>
      </c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21"/>
        <v>28</v>
      </c>
      <c r="J391" s="146" t="s">
        <v>1970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21"/>
        <v>28</v>
      </c>
      <c r="J392" s="146" t="s">
        <v>1971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21"/>
        <v>28</v>
      </c>
      <c r="J393" s="146" t="s">
        <v>1972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21"/>
        <v>28</v>
      </c>
      <c r="J394" s="146" t="s">
        <v>1973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21"/>
        <v>24</v>
      </c>
      <c r="J395" s="146" t="s">
        <v>1974</v>
      </c>
      <c r="K395" s="31">
        <f t="shared" si="22"/>
        <v>4</v>
      </c>
      <c r="L395" s="32">
        <f t="shared" si="23"/>
        <v>0.8571428571428571</v>
      </c>
      <c r="M395" s="70" t="s">
        <v>2278</v>
      </c>
      <c r="N395" s="70" t="s">
        <v>2278</v>
      </c>
      <c r="O395" s="70" t="s">
        <v>2278</v>
      </c>
      <c r="P395" s="70" t="s">
        <v>2278</v>
      </c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21"/>
        <v>24</v>
      </c>
      <c r="J396" s="146" t="s">
        <v>1975</v>
      </c>
      <c r="K396" s="31">
        <f t="shared" si="22"/>
        <v>4</v>
      </c>
      <c r="L396" s="32">
        <f t="shared" si="23"/>
        <v>0.8571428571428571</v>
      </c>
      <c r="M396" s="70" t="s">
        <v>2278</v>
      </c>
      <c r="N396" s="70" t="s">
        <v>2278</v>
      </c>
      <c r="O396" s="70" t="s">
        <v>2278</v>
      </c>
      <c r="P396" s="70" t="s">
        <v>2278</v>
      </c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21"/>
        <v>24</v>
      </c>
      <c r="J397" s="146" t="s">
        <v>1976</v>
      </c>
      <c r="K397" s="31">
        <f t="shared" si="22"/>
        <v>4</v>
      </c>
      <c r="L397" s="32">
        <f t="shared" si="23"/>
        <v>0.8571428571428571</v>
      </c>
      <c r="M397" s="70" t="s">
        <v>2278</v>
      </c>
      <c r="N397" s="70" t="s">
        <v>2278</v>
      </c>
      <c r="O397" s="70" t="s">
        <v>2278</v>
      </c>
      <c r="P397" s="70" t="s">
        <v>2278</v>
      </c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21"/>
        <v>28</v>
      </c>
      <c r="J398" s="146" t="s">
        <v>1977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21"/>
        <v>28</v>
      </c>
      <c r="J399" s="146" t="s">
        <v>1978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21"/>
        <v>28</v>
      </c>
      <c r="J400" s="146" t="s">
        <v>1979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2278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21"/>
        <v>24</v>
      </c>
      <c r="J402" s="87"/>
      <c r="K402" s="31">
        <f t="shared" si="22"/>
        <v>4</v>
      </c>
      <c r="L402" s="32">
        <f t="shared" si="23"/>
        <v>0.8571428571428571</v>
      </c>
      <c r="M402" s="70" t="s">
        <v>2278</v>
      </c>
      <c r="N402" s="70" t="s">
        <v>2278</v>
      </c>
      <c r="O402" s="70" t="s">
        <v>2278</v>
      </c>
      <c r="P402" s="84" t="s">
        <v>2278</v>
      </c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21"/>
        <v>24</v>
      </c>
      <c r="J403" s="87"/>
      <c r="K403" s="31">
        <f t="shared" si="22"/>
        <v>4</v>
      </c>
      <c r="L403" s="32">
        <f t="shared" si="23"/>
        <v>0.8571428571428571</v>
      </c>
      <c r="M403" s="70" t="s">
        <v>2278</v>
      </c>
      <c r="N403" s="70" t="s">
        <v>2278</v>
      </c>
      <c r="O403" s="70" t="s">
        <v>2278</v>
      </c>
      <c r="P403" s="70" t="s">
        <v>2278</v>
      </c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21"/>
        <v>28</v>
      </c>
      <c r="J404" s="146" t="s">
        <v>1980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21"/>
        <v>24</v>
      </c>
      <c r="J407" s="146" t="s">
        <v>1981</v>
      </c>
      <c r="K407" s="87">
        <f t="shared" si="22"/>
        <v>4</v>
      </c>
      <c r="L407" s="88">
        <f t="shared" si="23"/>
        <v>0.8571428571428571</v>
      </c>
      <c r="M407" s="89" t="s">
        <v>2278</v>
      </c>
      <c r="N407" s="89" t="s">
        <v>2278</v>
      </c>
      <c r="O407" s="89" t="s">
        <v>2278</v>
      </c>
      <c r="P407" s="89" t="s">
        <v>2278</v>
      </c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hidden="1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21"/>
        <v>24</v>
      </c>
      <c r="J409" s="146" t="s">
        <v>1982</v>
      </c>
      <c r="K409" s="31">
        <f t="shared" si="22"/>
        <v>4</v>
      </c>
      <c r="L409" s="32">
        <f t="shared" si="23"/>
        <v>0.8571428571428571</v>
      </c>
      <c r="M409" s="70" t="s">
        <v>2278</v>
      </c>
      <c r="N409" s="70" t="s">
        <v>2278</v>
      </c>
      <c r="O409" s="70" t="s">
        <v>2278</v>
      </c>
      <c r="P409" s="70" t="s">
        <v>2278</v>
      </c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hidden="1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21"/>
        <v>24</v>
      </c>
      <c r="J410" s="146" t="s">
        <v>1983</v>
      </c>
      <c r="K410" s="31">
        <f t="shared" si="22"/>
        <v>4</v>
      </c>
      <c r="L410" s="32">
        <f t="shared" si="23"/>
        <v>0.8571428571428571</v>
      </c>
      <c r="M410" s="70" t="s">
        <v>2278</v>
      </c>
      <c r="N410" s="70" t="s">
        <v>2278</v>
      </c>
      <c r="O410" s="70" t="s">
        <v>2278</v>
      </c>
      <c r="P410" s="70" t="s">
        <v>2278</v>
      </c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21"/>
        <v>24</v>
      </c>
      <c r="J411" s="146" t="s">
        <v>1984</v>
      </c>
      <c r="K411" s="141">
        <f t="shared" si="22"/>
        <v>4</v>
      </c>
      <c r="L411" s="142">
        <f t="shared" si="23"/>
        <v>0.8571428571428571</v>
      </c>
      <c r="M411" s="70" t="s">
        <v>2278</v>
      </c>
      <c r="N411" s="70" t="s">
        <v>2278</v>
      </c>
      <c r="O411" s="70" t="s">
        <v>2278</v>
      </c>
      <c r="P411" s="70" t="s">
        <v>2278</v>
      </c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21"/>
        <v>25</v>
      </c>
      <c r="J412" s="146" t="s">
        <v>1985</v>
      </c>
      <c r="K412" s="141">
        <f t="shared" si="22"/>
        <v>3</v>
      </c>
      <c r="L412" s="142">
        <f t="shared" si="23"/>
        <v>0.8928571428571429</v>
      </c>
      <c r="M412" s="70" t="s">
        <v>2278</v>
      </c>
      <c r="N412" s="70" t="s">
        <v>2278</v>
      </c>
      <c r="O412" s="70" t="s">
        <v>2278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21"/>
        <v>28</v>
      </c>
      <c r="J415" s="87" t="s">
        <v>2142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21"/>
        <v>28</v>
      </c>
      <c r="J416" s="87" t="s">
        <v>2141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21"/>
        <v>28</v>
      </c>
      <c r="J417" s="87" t="s">
        <v>2192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21"/>
        <v>28</v>
      </c>
      <c r="J418" s="146" t="s">
        <v>1986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21"/>
        <v>28</v>
      </c>
      <c r="J419" s="146" t="s">
        <v>1987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21"/>
        <v>28</v>
      </c>
      <c r="J420" s="146" t="s">
        <v>2261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21"/>
        <v>28</v>
      </c>
      <c r="J421" s="146" t="s">
        <v>1988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hidden="1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21"/>
        <v>28</v>
      </c>
      <c r="J422" s="146" t="s">
        <v>1989</v>
      </c>
      <c r="K422" s="141">
        <f t="shared" si="22"/>
        <v>0</v>
      </c>
      <c r="L422" s="142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21"/>
        <v>24</v>
      </c>
      <c r="J423" s="87"/>
      <c r="K423" s="31">
        <f t="shared" si="22"/>
        <v>4</v>
      </c>
      <c r="L423" s="32">
        <f t="shared" si="23"/>
        <v>0.8571428571428571</v>
      </c>
      <c r="M423" s="70" t="s">
        <v>2278</v>
      </c>
      <c r="N423" s="70" t="s">
        <v>2278</v>
      </c>
      <c r="O423" s="70" t="s">
        <v>2278</v>
      </c>
      <c r="P423" s="70" t="s">
        <v>2278</v>
      </c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21"/>
        <v>28</v>
      </c>
      <c r="J424" s="146" t="s">
        <v>1990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21"/>
        <v>28</v>
      </c>
      <c r="J425" s="146" t="s">
        <v>1991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21"/>
        <v>28</v>
      </c>
      <c r="J427" s="73" t="s">
        <v>1992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21"/>
        <v>28</v>
      </c>
      <c r="J428" s="146" t="s">
        <v>1993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21"/>
        <v>28</v>
      </c>
      <c r="J429" s="146" t="s">
        <v>1994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21"/>
        <v>25</v>
      </c>
      <c r="J430" s="146" t="s">
        <v>1995</v>
      </c>
      <c r="K430" s="31">
        <f t="shared" si="22"/>
        <v>3</v>
      </c>
      <c r="L430" s="32">
        <f t="shared" si="23"/>
        <v>0.8928571428571429</v>
      </c>
      <c r="M430" s="70"/>
      <c r="N430" s="70" t="s">
        <v>2278</v>
      </c>
      <c r="O430" s="70" t="s">
        <v>2278</v>
      </c>
      <c r="P430" s="70" t="s">
        <v>2278</v>
      </c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21"/>
        <v>25</v>
      </c>
      <c r="J431" s="146" t="s">
        <v>1996</v>
      </c>
      <c r="K431" s="31">
        <f t="shared" si="22"/>
        <v>3</v>
      </c>
      <c r="L431" s="32">
        <f t="shared" si="23"/>
        <v>0.8928571428571429</v>
      </c>
      <c r="M431" s="70"/>
      <c r="N431" s="70" t="s">
        <v>2278</v>
      </c>
      <c r="O431" s="70" t="s">
        <v>2278</v>
      </c>
      <c r="P431" s="70" t="s">
        <v>2278</v>
      </c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21"/>
        <v>25</v>
      </c>
      <c r="J432" s="146"/>
      <c r="K432" s="31">
        <f t="shared" si="22"/>
        <v>3</v>
      </c>
      <c r="L432" s="32">
        <f t="shared" si="23"/>
        <v>0.8928571428571429</v>
      </c>
      <c r="M432" s="70"/>
      <c r="N432" s="70" t="s">
        <v>2278</v>
      </c>
      <c r="O432" s="70" t="s">
        <v>2278</v>
      </c>
      <c r="P432" s="70" t="s">
        <v>2278</v>
      </c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21"/>
        <v>28</v>
      </c>
      <c r="J433" s="146" t="s">
        <v>1997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21"/>
        <v>28</v>
      </c>
      <c r="J434" s="146" t="s">
        <v>1998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21"/>
        <v>28</v>
      </c>
      <c r="J435" s="146" t="s">
        <v>1999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21"/>
        <v>28</v>
      </c>
      <c r="J436" s="146" t="s">
        <v>2000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21"/>
        <v>28</v>
      </c>
      <c r="J437" s="146" t="s">
        <v>2001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21"/>
        <v>28</v>
      </c>
      <c r="J438" s="146" t="s">
        <v>2002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21"/>
        <v>28</v>
      </c>
      <c r="J439" s="146" t="s">
        <v>2003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21"/>
        <v>28</v>
      </c>
      <c r="J440" s="146" t="s">
        <v>2004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21"/>
        <v>28</v>
      </c>
      <c r="J442" s="146" t="s">
        <v>2005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21"/>
        <v>28</v>
      </c>
      <c r="J443" s="146" t="s">
        <v>2006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21"/>
        <v>28</v>
      </c>
      <c r="J444" s="146" t="s">
        <v>2007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21"/>
        <v>25</v>
      </c>
      <c r="J446" s="87"/>
      <c r="K446" s="31">
        <f t="shared" si="22"/>
        <v>3</v>
      </c>
      <c r="L446" s="32">
        <f t="shared" si="23"/>
        <v>0.8928571428571429</v>
      </c>
      <c r="M446" s="70"/>
      <c r="N446" s="70" t="s">
        <v>2278</v>
      </c>
      <c r="O446" s="70" t="s">
        <v>2278</v>
      </c>
      <c r="P446" s="70" t="s">
        <v>2278</v>
      </c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21"/>
        <v>25</v>
      </c>
      <c r="J447" s="87"/>
      <c r="K447" s="31">
        <f t="shared" si="22"/>
        <v>3</v>
      </c>
      <c r="L447" s="32">
        <f t="shared" si="23"/>
        <v>0.8928571428571429</v>
      </c>
      <c r="M447" s="70"/>
      <c r="N447" s="70" t="s">
        <v>2278</v>
      </c>
      <c r="O447" s="70" t="s">
        <v>2278</v>
      </c>
      <c r="P447" s="70" t="s">
        <v>2278</v>
      </c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21"/>
        <v>28</v>
      </c>
      <c r="J449" s="146" t="s">
        <v>2008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hidden="1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21"/>
        <v>24</v>
      </c>
      <c r="J450" s="146" t="s">
        <v>2009</v>
      </c>
      <c r="K450" s="31">
        <f t="shared" si="22"/>
        <v>4</v>
      </c>
      <c r="L450" s="32">
        <f t="shared" si="23"/>
        <v>0.8571428571428571</v>
      </c>
      <c r="M450" s="70" t="s">
        <v>2278</v>
      </c>
      <c r="N450" s="70" t="s">
        <v>2278</v>
      </c>
      <c r="O450" s="70" t="s">
        <v>2278</v>
      </c>
      <c r="P450" s="70" t="s">
        <v>2278</v>
      </c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21"/>
        <v>28</v>
      </c>
      <c r="J451" s="146" t="s">
        <v>2010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21"/>
        <v>28</v>
      </c>
      <c r="J452" s="146" t="s">
        <v>2011</v>
      </c>
      <c r="K452" s="141">
        <f t="shared" si="22"/>
        <v>0</v>
      </c>
      <c r="L452" s="142">
        <f t="shared" si="23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21"/>
        <v>28</v>
      </c>
      <c r="J453" s="146" t="s">
        <v>2012</v>
      </c>
      <c r="K453" s="141">
        <f t="shared" si="22"/>
        <v>0</v>
      </c>
      <c r="L453" s="142">
        <f t="shared" si="23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21"/>
        <v>28</v>
      </c>
      <c r="J454" s="146" t="s">
        <v>2013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21"/>
        <v>28</v>
      </c>
      <c r="J455" s="146" t="s">
        <v>2014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21"/>
        <v>28</v>
      </c>
      <c r="J456" s="146" t="s">
        <v>2015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21"/>
        <v>28</v>
      </c>
      <c r="J457" s="146" t="s">
        <v>2016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21"/>
        <v>24</v>
      </c>
      <c r="J464" s="146" t="s">
        <v>2017</v>
      </c>
      <c r="K464" s="141">
        <f t="shared" si="22"/>
        <v>4</v>
      </c>
      <c r="L464" s="142">
        <f t="shared" si="23"/>
        <v>0.8571428571428571</v>
      </c>
      <c r="M464" s="70" t="s">
        <v>2278</v>
      </c>
      <c r="N464" s="70" t="s">
        <v>2278</v>
      </c>
      <c r="O464" s="70" t="s">
        <v>2278</v>
      </c>
      <c r="P464" s="70" t="s">
        <v>2278</v>
      </c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21"/>
        <v>24</v>
      </c>
      <c r="J465" s="146" t="s">
        <v>2018</v>
      </c>
      <c r="K465" s="141">
        <f t="shared" si="22"/>
        <v>4</v>
      </c>
      <c r="L465" s="142">
        <f t="shared" si="23"/>
        <v>0.8571428571428571</v>
      </c>
      <c r="M465" s="70" t="s">
        <v>2278</v>
      </c>
      <c r="N465" s="70" t="s">
        <v>2278</v>
      </c>
      <c r="O465" s="70" t="s">
        <v>2278</v>
      </c>
      <c r="P465" s="70" t="s">
        <v>2278</v>
      </c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21"/>
        <v>25</v>
      </c>
      <c r="J466" s="87"/>
      <c r="K466" s="141">
        <f t="shared" si="22"/>
        <v>3</v>
      </c>
      <c r="L466" s="142">
        <f t="shared" si="23"/>
        <v>0.8928571428571429</v>
      </c>
      <c r="M466" s="70" t="s">
        <v>2278</v>
      </c>
      <c r="N466" s="70" t="s">
        <v>2278</v>
      </c>
      <c r="O466" s="70" t="s">
        <v>2278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21"/>
        <v>28</v>
      </c>
      <c r="J467" s="151" t="s">
        <v>2136</v>
      </c>
      <c r="K467" s="141">
        <f t="shared" si="22"/>
        <v>0</v>
      </c>
      <c r="L467" s="142">
        <f t="shared" si="23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21"/>
        <v>24</v>
      </c>
      <c r="J468" s="151"/>
      <c r="K468" s="141">
        <f t="shared" si="22"/>
        <v>4</v>
      </c>
      <c r="L468" s="142">
        <f t="shared" si="23"/>
        <v>0.8571428571428571</v>
      </c>
      <c r="M468" s="70" t="s">
        <v>2278</v>
      </c>
      <c r="N468" s="70" t="s">
        <v>2278</v>
      </c>
      <c r="O468" s="70" t="s">
        <v>2278</v>
      </c>
      <c r="P468" s="70" t="s">
        <v>2278</v>
      </c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21"/>
        <v>28</v>
      </c>
      <c r="J469" s="146" t="s">
        <v>2019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21"/>
        <v>24</v>
      </c>
      <c r="J470" s="146" t="s">
        <v>2020</v>
      </c>
      <c r="K470" s="31">
        <f t="shared" si="22"/>
        <v>4</v>
      </c>
      <c r="L470" s="32">
        <f t="shared" si="23"/>
        <v>0.8571428571428571</v>
      </c>
      <c r="M470" s="70" t="s">
        <v>2278</v>
      </c>
      <c r="N470" s="70" t="s">
        <v>2278</v>
      </c>
      <c r="O470" s="70" t="s">
        <v>2278</v>
      </c>
      <c r="P470" s="70" t="s">
        <v>2278</v>
      </c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4">COUNTIF(M471:AN471,"")</f>
        <v>28</v>
      </c>
      <c r="J471" s="146" t="s">
        <v>2021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4"/>
        <v>28</v>
      </c>
      <c r="J472" s="146" t="s">
        <v>2022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4"/>
        <v>28</v>
      </c>
      <c r="J473" s="146" t="s">
        <v>2023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4"/>
        <v>28</v>
      </c>
      <c r="J474" s="146" t="s">
        <v>2024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4"/>
        <v>28</v>
      </c>
      <c r="J475" s="146" t="s">
        <v>2025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4"/>
        <v>28</v>
      </c>
      <c r="J476" s="146" t="s">
        <v>2026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4"/>
        <v>28</v>
      </c>
      <c r="J477" s="146" t="s">
        <v>2027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4"/>
        <v>28</v>
      </c>
      <c r="J478" s="146" t="s">
        <v>2028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4"/>
        <v>28</v>
      </c>
      <c r="J479" s="146" t="s">
        <v>2029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4"/>
        <v>28</v>
      </c>
      <c r="J480" s="146" t="s">
        <v>2030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4"/>
        <v>28</v>
      </c>
      <c r="J481" s="146" t="s">
        <v>2031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4"/>
        <v>28</v>
      </c>
      <c r="J482" s="146" t="s">
        <v>2032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4"/>
        <v>28</v>
      </c>
      <c r="J483" s="146" t="s">
        <v>2033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4"/>
        <v>28</v>
      </c>
      <c r="J484" s="87" t="s">
        <v>2156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4"/>
        <v>25</v>
      </c>
      <c r="J485" s="87" t="s">
        <v>2157</v>
      </c>
      <c r="K485" s="87">
        <f t="shared" si="25"/>
        <v>3</v>
      </c>
      <c r="L485" s="88">
        <f t="shared" si="26"/>
        <v>0.8928571428571429</v>
      </c>
      <c r="M485" s="89" t="s">
        <v>2278</v>
      </c>
      <c r="N485" s="89" t="s">
        <v>2278</v>
      </c>
      <c r="O485" s="89" t="s">
        <v>2278</v>
      </c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4"/>
        <v>28</v>
      </c>
      <c r="J486" s="87" t="s">
        <v>2158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4"/>
        <v>28</v>
      </c>
      <c r="J487" s="87" t="s">
        <v>2159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4"/>
        <v>28</v>
      </c>
      <c r="J488" s="151" t="s">
        <v>2315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4"/>
        <v>28</v>
      </c>
      <c r="J489" s="146" t="s">
        <v>2034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4"/>
        <v>28</v>
      </c>
      <c r="J495" s="146" t="s">
        <v>2035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4"/>
        <v>28</v>
      </c>
      <c r="J496" s="146" t="s">
        <v>2036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4"/>
        <v>28</v>
      </c>
      <c r="J497" s="146" t="s">
        <v>2037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4"/>
        <v>28</v>
      </c>
      <c r="J498" s="146" t="s">
        <v>2038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4"/>
        <v>28</v>
      </c>
      <c r="J499" s="146" t="s">
        <v>2039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4"/>
        <v>27</v>
      </c>
      <c r="J500" s="146" t="s">
        <v>2040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2278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4"/>
        <v>28</v>
      </c>
      <c r="J501" s="146" t="s">
        <v>2041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4"/>
        <v>28</v>
      </c>
      <c r="J502" s="146" t="s">
        <v>2042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4"/>
        <v>28</v>
      </c>
      <c r="J503" s="146" t="s">
        <v>2043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4"/>
        <v>28</v>
      </c>
      <c r="J504" s="146" t="s">
        <v>2044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4"/>
        <v>28</v>
      </c>
      <c r="J505" s="146" t="s">
        <v>2045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4"/>
        <v>28</v>
      </c>
      <c r="J506" s="146" t="s">
        <v>2046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4"/>
        <v>28</v>
      </c>
      <c r="J507" s="146" t="s">
        <v>2047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4"/>
        <v>28</v>
      </c>
      <c r="J508" s="146" t="s">
        <v>2048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4"/>
        <v>28</v>
      </c>
      <c r="J509" s="146" t="s">
        <v>2049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4"/>
        <v>28</v>
      </c>
      <c r="J510" s="146" t="s">
        <v>2050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4"/>
        <v>28</v>
      </c>
      <c r="J511" s="146" t="s">
        <v>2051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4"/>
        <v>28</v>
      </c>
      <c r="J512" s="146" t="s">
        <v>2052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4"/>
        <v>28</v>
      </c>
      <c r="J513" s="146" t="s">
        <v>2053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4"/>
        <v>26</v>
      </c>
      <c r="J514" s="146" t="s">
        <v>2054</v>
      </c>
      <c r="K514" s="31">
        <f t="shared" si="25"/>
        <v>2</v>
      </c>
      <c r="L514" s="32">
        <f t="shared" si="26"/>
        <v>0.9285714285714286</v>
      </c>
      <c r="M514" s="70" t="s">
        <v>2278</v>
      </c>
      <c r="N514" s="70" t="s">
        <v>2278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4"/>
        <v>26</v>
      </c>
      <c r="J515" s="146" t="s">
        <v>2055</v>
      </c>
      <c r="K515" s="31">
        <f t="shared" si="25"/>
        <v>2</v>
      </c>
      <c r="L515" s="32">
        <f t="shared" si="26"/>
        <v>0.9285714285714286</v>
      </c>
      <c r="M515" s="70" t="s">
        <v>2278</v>
      </c>
      <c r="N515" s="70" t="s">
        <v>2278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4"/>
        <v>28</v>
      </c>
      <c r="J516" s="146" t="s">
        <v>2056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4"/>
        <v>28</v>
      </c>
      <c r="J517" s="146" t="s">
        <v>2057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4"/>
        <v>28</v>
      </c>
      <c r="J518" s="146" t="s">
        <v>2058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4"/>
        <v>25</v>
      </c>
      <c r="J519" s="146" t="s">
        <v>2059</v>
      </c>
      <c r="K519" s="31">
        <f t="shared" si="25"/>
        <v>3</v>
      </c>
      <c r="L519" s="32">
        <f t="shared" si="26"/>
        <v>0.8928571428571429</v>
      </c>
      <c r="M519" s="70" t="s">
        <v>2278</v>
      </c>
      <c r="N519" s="70" t="s">
        <v>2278</v>
      </c>
      <c r="O519" s="70"/>
      <c r="P519" s="70" t="s">
        <v>2278</v>
      </c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4"/>
        <v>28</v>
      </c>
      <c r="J520" s="146" t="s">
        <v>2060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4"/>
        <v>28</v>
      </c>
      <c r="J522" s="146" t="s">
        <v>2061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4"/>
        <v>28</v>
      </c>
      <c r="J523" s="146" t="s">
        <v>2062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4"/>
        <v>28</v>
      </c>
      <c r="J524" s="146" t="s">
        <v>2063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2064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4"/>
        <v>28</v>
      </c>
      <c r="J526" s="146" t="s">
        <v>2065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4"/>
        <v>28</v>
      </c>
      <c r="J527" s="146" t="s">
        <v>2066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4"/>
        <v>28</v>
      </c>
      <c r="J528" s="146" t="s">
        <v>2067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4"/>
        <v>28</v>
      </c>
      <c r="J529" s="146" t="s">
        <v>2068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4"/>
        <v>28</v>
      </c>
      <c r="J530" s="146" t="s">
        <v>2069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4"/>
        <v>28</v>
      </c>
      <c r="J531" s="146" t="s">
        <v>2070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4"/>
        <v>28</v>
      </c>
      <c r="J532" s="146" t="s">
        <v>2071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4"/>
        <v>28</v>
      </c>
      <c r="J533" s="146" t="s">
        <v>2219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4"/>
        <v>28</v>
      </c>
      <c r="J534" s="146" t="s">
        <v>2223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4"/>
        <v>28</v>
      </c>
      <c r="J535" s="146" t="s">
        <v>2072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4"/>
        <v>28</v>
      </c>
      <c r="J536" s="146" t="s">
        <v>2073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4"/>
        <v>28</v>
      </c>
      <c r="J537" s="146" t="s">
        <v>2074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4"/>
        <v>28</v>
      </c>
      <c r="J538" s="146" t="s">
        <v>2075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4"/>
        <v>28</v>
      </c>
      <c r="J539" s="146" t="s">
        <v>2076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4"/>
        <v>28</v>
      </c>
      <c r="J540" s="146" t="s">
        <v>2077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4"/>
        <v>28</v>
      </c>
      <c r="J542" s="146" t="s">
        <v>2078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4"/>
        <v>28</v>
      </c>
      <c r="J543" s="146" t="s">
        <v>2079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4"/>
        <v>28</v>
      </c>
      <c r="J544" s="146" t="s">
        <v>2080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7">COUNTIF(M545:AN545,"")</f>
        <v>24</v>
      </c>
      <c r="J545" s="146" t="s">
        <v>2081</v>
      </c>
      <c r="K545" s="141">
        <f t="shared" ref="K545:K591" si="28">COUNTIF(M545:AN545,"APAGADO")</f>
        <v>4</v>
      </c>
      <c r="L545" s="142">
        <f t="shared" ref="L545:L591" si="29">(I545)/(K545+I545)</f>
        <v>0.8571428571428571</v>
      </c>
      <c r="M545" s="70" t="s">
        <v>2278</v>
      </c>
      <c r="N545" s="70" t="s">
        <v>2278</v>
      </c>
      <c r="O545" s="70" t="s">
        <v>2278</v>
      </c>
      <c r="P545" s="70" t="s">
        <v>2278</v>
      </c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7"/>
        <v>28</v>
      </c>
      <c r="J546" s="146" t="s">
        <v>2082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7"/>
        <v>28</v>
      </c>
      <c r="J547" s="146" t="s">
        <v>2083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7"/>
        <v>28</v>
      </c>
      <c r="J548" s="146" t="s">
        <v>2084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7"/>
        <v>28</v>
      </c>
      <c r="J549" s="146" t="s">
        <v>2190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7"/>
        <v>28</v>
      </c>
      <c r="J550" s="146" t="s">
        <v>2127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7"/>
        <v>28</v>
      </c>
      <c r="J551" s="146" t="s">
        <v>2085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7"/>
        <v>28</v>
      </c>
      <c r="J552" s="146" t="s">
        <v>2086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7"/>
        <v>28</v>
      </c>
      <c r="J553" s="146" t="s">
        <v>2087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7"/>
        <v>28</v>
      </c>
      <c r="J554" s="146" t="s">
        <v>2088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7"/>
        <v>28</v>
      </c>
      <c r="J555" s="87" t="s">
        <v>2178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7"/>
        <v>24</v>
      </c>
      <c r="J556" s="87"/>
      <c r="K556" s="141">
        <f t="shared" si="28"/>
        <v>4</v>
      </c>
      <c r="L556" s="142">
        <f t="shared" si="29"/>
        <v>0.8571428571428571</v>
      </c>
      <c r="M556" s="70" t="s">
        <v>2278</v>
      </c>
      <c r="N556" s="70" t="s">
        <v>2278</v>
      </c>
      <c r="O556" s="70" t="s">
        <v>2278</v>
      </c>
      <c r="P556" s="70" t="s">
        <v>2278</v>
      </c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7"/>
        <v>24</v>
      </c>
      <c r="J557" s="87" t="s">
        <v>2179</v>
      </c>
      <c r="K557" s="141">
        <f t="shared" si="28"/>
        <v>4</v>
      </c>
      <c r="L557" s="142">
        <f t="shared" si="29"/>
        <v>0.8571428571428571</v>
      </c>
      <c r="M557" s="70" t="s">
        <v>2278</v>
      </c>
      <c r="N557" s="70" t="s">
        <v>2278</v>
      </c>
      <c r="O557" s="70" t="s">
        <v>2278</v>
      </c>
      <c r="P557" s="70" t="s">
        <v>2278</v>
      </c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7"/>
        <v>24</v>
      </c>
      <c r="J558" s="87" t="s">
        <v>2175</v>
      </c>
      <c r="K558" s="31">
        <f t="shared" si="28"/>
        <v>4</v>
      </c>
      <c r="L558" s="32">
        <f t="shared" si="29"/>
        <v>0.8571428571428571</v>
      </c>
      <c r="M558" s="70" t="s">
        <v>2278</v>
      </c>
      <c r="N558" s="70" t="s">
        <v>2278</v>
      </c>
      <c r="O558" s="70" t="s">
        <v>2278</v>
      </c>
      <c r="P558" s="70" t="s">
        <v>2278</v>
      </c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7"/>
        <v>28</v>
      </c>
      <c r="J559" s="146" t="s">
        <v>2089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7"/>
        <v>24</v>
      </c>
      <c r="J560" s="87" t="s">
        <v>2176</v>
      </c>
      <c r="K560" s="31">
        <f t="shared" si="28"/>
        <v>4</v>
      </c>
      <c r="L560" s="32">
        <f t="shared" si="29"/>
        <v>0.8571428571428571</v>
      </c>
      <c r="M560" s="70" t="s">
        <v>2278</v>
      </c>
      <c r="N560" s="70" t="s">
        <v>2278</v>
      </c>
      <c r="O560" s="70" t="s">
        <v>2278</v>
      </c>
      <c r="P560" s="70" t="s">
        <v>2278</v>
      </c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7"/>
        <v>28</v>
      </c>
      <c r="J561" s="146" t="s">
        <v>2090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7"/>
        <v>28</v>
      </c>
      <c r="J562" s="146" t="s">
        <v>2091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7"/>
        <v>28</v>
      </c>
      <c r="J563" s="150" t="s">
        <v>2132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7"/>
        <v>27</v>
      </c>
      <c r="J564" s="87" t="s">
        <v>2177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2278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7"/>
        <v>28</v>
      </c>
      <c r="J565" s="146" t="s">
        <v>2092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7"/>
        <v>28</v>
      </c>
      <c r="J566" s="146" t="s">
        <v>2093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7"/>
        <v>28</v>
      </c>
      <c r="J567" s="146" t="s">
        <v>2094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7"/>
        <v>24</v>
      </c>
      <c r="J568" s="146" t="s">
        <v>2095</v>
      </c>
      <c r="K568" s="31">
        <f t="shared" si="28"/>
        <v>4</v>
      </c>
      <c r="L568" s="32">
        <f t="shared" si="29"/>
        <v>0.8571428571428571</v>
      </c>
      <c r="M568" s="70" t="s">
        <v>2278</v>
      </c>
      <c r="N568" s="70" t="s">
        <v>2278</v>
      </c>
      <c r="O568" s="70" t="s">
        <v>2278</v>
      </c>
      <c r="P568" s="70" t="s">
        <v>2278</v>
      </c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7"/>
        <v>24</v>
      </c>
      <c r="J569" s="146" t="s">
        <v>2096</v>
      </c>
      <c r="K569" s="31">
        <f t="shared" si="28"/>
        <v>4</v>
      </c>
      <c r="L569" s="32">
        <f t="shared" si="29"/>
        <v>0.8571428571428571</v>
      </c>
      <c r="M569" s="70" t="s">
        <v>2278</v>
      </c>
      <c r="N569" s="70" t="s">
        <v>2278</v>
      </c>
      <c r="O569" s="70" t="s">
        <v>2278</v>
      </c>
      <c r="P569" s="70" t="s">
        <v>2278</v>
      </c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7"/>
        <v>24</v>
      </c>
      <c r="J570" s="146" t="s">
        <v>2097</v>
      </c>
      <c r="K570" s="31">
        <f t="shared" si="28"/>
        <v>4</v>
      </c>
      <c r="L570" s="32">
        <f t="shared" si="29"/>
        <v>0.8571428571428571</v>
      </c>
      <c r="M570" s="70" t="s">
        <v>2278</v>
      </c>
      <c r="N570" s="70" t="s">
        <v>2278</v>
      </c>
      <c r="O570" s="70" t="s">
        <v>2278</v>
      </c>
      <c r="P570" s="70" t="s">
        <v>2278</v>
      </c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7"/>
        <v>24</v>
      </c>
      <c r="J571" s="146" t="s">
        <v>2098</v>
      </c>
      <c r="K571" s="31">
        <f t="shared" si="28"/>
        <v>4</v>
      </c>
      <c r="L571" s="32">
        <f t="shared" si="29"/>
        <v>0.8571428571428571</v>
      </c>
      <c r="M571" s="70" t="s">
        <v>2278</v>
      </c>
      <c r="N571" s="70" t="s">
        <v>2278</v>
      </c>
      <c r="O571" s="70" t="s">
        <v>2278</v>
      </c>
      <c r="P571" s="70" t="s">
        <v>2278</v>
      </c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7"/>
        <v>24</v>
      </c>
      <c r="J572" s="146" t="s">
        <v>2099</v>
      </c>
      <c r="K572" s="31">
        <f t="shared" si="28"/>
        <v>4</v>
      </c>
      <c r="L572" s="32">
        <f t="shared" si="29"/>
        <v>0.8571428571428571</v>
      </c>
      <c r="M572" s="70" t="s">
        <v>2278</v>
      </c>
      <c r="N572" s="70" t="s">
        <v>2278</v>
      </c>
      <c r="O572" s="70" t="s">
        <v>2278</v>
      </c>
      <c r="P572" s="70" t="s">
        <v>2278</v>
      </c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7"/>
        <v>28</v>
      </c>
      <c r="J573" s="87" t="s">
        <v>2193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7"/>
        <v>28</v>
      </c>
      <c r="J574" s="87" t="s">
        <v>2257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7"/>
        <v>28</v>
      </c>
      <c r="J576" s="87" t="s">
        <v>2194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7"/>
        <v>28</v>
      </c>
      <c r="J577" s="87" t="s">
        <v>2195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7"/>
        <v>28</v>
      </c>
      <c r="J578" s="87" t="s">
        <v>2196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7"/>
        <v>28</v>
      </c>
      <c r="J579" s="146" t="s">
        <v>2101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7"/>
        <v>28</v>
      </c>
      <c r="J580" s="146" t="s">
        <v>2100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7"/>
        <v>28</v>
      </c>
      <c r="J581" s="146" t="s">
        <v>2102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7"/>
        <v>28</v>
      </c>
      <c r="J582" s="146" t="s">
        <v>2174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7"/>
        <v>28</v>
      </c>
      <c r="J583" s="146" t="s">
        <v>2103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7"/>
        <v>28</v>
      </c>
      <c r="J584" s="146" t="s">
        <v>2104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7"/>
        <v>28</v>
      </c>
      <c r="J585" s="146" t="s">
        <v>2105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7"/>
        <v>25</v>
      </c>
      <c r="J586" s="146" t="s">
        <v>2106</v>
      </c>
      <c r="K586" s="141">
        <f t="shared" si="28"/>
        <v>3</v>
      </c>
      <c r="L586" s="142">
        <f t="shared" si="29"/>
        <v>0.8928571428571429</v>
      </c>
      <c r="M586" s="70"/>
      <c r="N586" s="70" t="s">
        <v>2278</v>
      </c>
      <c r="O586" s="70" t="s">
        <v>2278</v>
      </c>
      <c r="P586" s="70" t="s">
        <v>2278</v>
      </c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7"/>
        <v>28</v>
      </c>
      <c r="J587" s="146" t="s">
        <v>2107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7"/>
        <v>28</v>
      </c>
      <c r="J588" s="146" t="s">
        <v>2108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7"/>
        <v>28</v>
      </c>
      <c r="J589" s="146" t="s">
        <v>2109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7"/>
        <v>28</v>
      </c>
      <c r="J590" s="150" t="s">
        <v>2113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7"/>
        <v>28</v>
      </c>
      <c r="J591" s="150" t="s">
        <v>2288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5">
      <filters>
        <filter val="Radio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>
        <f>'RESUMEN TOTAL'!Q251</f>
        <v>0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>
        <f>'RESUMEN TOTAL'!Q254</f>
        <v>0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>
        <f>'RESUMEN TOTAL'!Q272</f>
        <v>0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>
        <f>'RESUMEN TOTAL'!Q304</f>
        <v>0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>
        <f>'RESUMEN TOTAL'!Q316</f>
        <v>0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>
        <f>'RESUMEN TOTAL'!Q318</f>
        <v>0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>
        <f>'RESUMEN TOTAL'!Q319</f>
        <v>0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>
        <f>'RESUMEN TOTAL'!Q320</f>
        <v>0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>
        <f>'RESUMEN TOTAL'!Q321</f>
        <v>0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>
        <f>'RESUMEN TOTAL'!Q383</f>
        <v>0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>
        <f>'RESUMEN TOTAL'!Q384</f>
        <v>0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>
        <f>'RESUMEN TOTAL'!Q389</f>
        <v>0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>
        <f>'RESUMEN TOTAL'!Q390</f>
        <v>0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>
        <f>'RESUMEN TOTAL'!Q395</f>
        <v>0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>
        <f>'RESUMEN TOTAL'!Q396</f>
        <v>0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>
        <f>'RESUMEN TOTAL'!Q407</f>
        <v>0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>
        <f>'RESUMEN TOTAL'!Q409</f>
        <v>0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>
        <f>'RESUMEN TOTAL'!Q410</f>
        <v>0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>
        <f>'RESUMEN TOTAL'!Q423</f>
        <v>0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>
        <f>'RESUMEN TOTAL'!Q450</f>
        <v>0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>
        <f>'RESUMEN TOTAL'!Q464</f>
        <v>0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>
        <f>'RESUMEN TOTAL'!Q465</f>
        <v>0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>
        <f>'RESUMEN TOTAL'!Q470</f>
        <v>0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>
        <f>'RESUMEN TOTAL'!Q519</f>
        <v>0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>
        <f>'RESUMEN TOTAL'!Q558</f>
        <v>0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>
        <f>'RESUMEN TOTAL'!Q560</f>
        <v>0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>
        <f>'RESUMEN TOTAL'!Q568</f>
        <v>0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>
        <f>'RESUMEN TOTAL'!Q569</f>
        <v>0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>
        <f>'RESUMEN TOTAL'!Q570</f>
        <v>0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>
        <f>'RESUMEN TOTAL'!Q571</f>
        <v>0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>
        <f>'RESUMEN TOTAL'!Q572</f>
        <v>0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>
        <f>'RESUMEN TOTAL'!Q586</f>
        <v>0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1067</v>
      </c>
      <c r="C1" s="36">
        <v>45992</v>
      </c>
    </row>
    <row r="2" spans="1:36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0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5" zoomScaleNormal="100" workbookViewId="0">
      <selection activeCell="E32" sqref="E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1472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1240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1241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1472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1465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1240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1241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1464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1240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1241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1464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56</v>
      </c>
      <c r="E43" s="113">
        <f>D43/C43</f>
        <v>0.20289855072463769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1466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6"/>
    </row>
    <row r="48" spans="1:6" x14ac:dyDescent="0.25">
      <c r="B48" s="53" t="s">
        <v>1240</v>
      </c>
      <c r="C48" s="67">
        <v>0</v>
      </c>
      <c r="D48" s="102">
        <v>0</v>
      </c>
      <c r="E48" s="55">
        <f>D48/C46</f>
        <v>0</v>
      </c>
      <c r="F48" s="156"/>
    </row>
    <row r="49" spans="1:6" x14ac:dyDescent="0.25">
      <c r="B49" s="53" t="s">
        <v>1241</v>
      </c>
      <c r="C49" s="67">
        <v>0</v>
      </c>
      <c r="D49" s="102">
        <v>0</v>
      </c>
      <c r="E49" s="55">
        <f>D49/C46</f>
        <v>0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v>0</v>
      </c>
      <c r="E53" s="104">
        <v>0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0</v>
      </c>
      <c r="E54" s="113"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1467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6"/>
    </row>
    <row r="59" spans="1:6" x14ac:dyDescent="0.25">
      <c r="B59" s="53" t="s">
        <v>1240</v>
      </c>
      <c r="C59" s="67">
        <v>0</v>
      </c>
      <c r="D59" s="102">
        <v>0</v>
      </c>
      <c r="E59" s="55">
        <f>D59/C57</f>
        <v>0</v>
      </c>
      <c r="F59" s="156"/>
    </row>
    <row r="60" spans="1:6" x14ac:dyDescent="0.25">
      <c r="B60" s="53" t="s">
        <v>1241</v>
      </c>
      <c r="C60" s="67">
        <v>0</v>
      </c>
      <c r="D60" s="102">
        <v>0</v>
      </c>
      <c r="E60" s="55">
        <f>D60/C57</f>
        <v>0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1469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1240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1470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1240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1241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1470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1240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1241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1240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1241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1240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1241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1240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1241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1240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1241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1240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1241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1240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1241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1240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1241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909</v>
      </c>
      <c r="D313" s="107" t="s">
        <v>1459</v>
      </c>
      <c r="E313" s="108" t="s">
        <v>910</v>
      </c>
    </row>
    <row r="314" spans="2:6" ht="15.75" thickTop="1" x14ac:dyDescent="0.25">
      <c r="B314" s="52" t="s">
        <v>1239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1240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1241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909</v>
      </c>
      <c r="D320" s="95" t="s">
        <v>1459</v>
      </c>
      <c r="E320" s="101" t="s">
        <v>910</v>
      </c>
      <c r="F320" s="156"/>
    </row>
    <row r="321" spans="2:6" ht="16.5" thickTop="1" thickBot="1" x14ac:dyDescent="0.3">
      <c r="B321" s="97" t="s">
        <v>1059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1060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909</v>
      </c>
      <c r="D324" s="107" t="s">
        <v>1459</v>
      </c>
      <c r="E324" s="108" t="s">
        <v>910</v>
      </c>
    </row>
    <row r="325" spans="2:6" ht="15.75" thickTop="1" x14ac:dyDescent="0.25">
      <c r="B325" s="52" t="s">
        <v>1239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1240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1241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909</v>
      </c>
      <c r="D331" s="95" t="s">
        <v>1459</v>
      </c>
      <c r="E331" s="101" t="s">
        <v>910</v>
      </c>
      <c r="F331" s="156"/>
    </row>
    <row r="332" spans="2:6" ht="16.5" thickTop="1" thickBot="1" x14ac:dyDescent="0.3">
      <c r="B332" s="97" t="s">
        <v>1059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1060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909</v>
      </c>
      <c r="D336" s="107" t="s">
        <v>1459</v>
      </c>
      <c r="E336" s="108" t="s">
        <v>910</v>
      </c>
    </row>
    <row r="337" spans="2:6" ht="15.75" thickTop="1" x14ac:dyDescent="0.25">
      <c r="B337" s="52" t="s">
        <v>1239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1240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1241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909</v>
      </c>
      <c r="D343" s="95" t="s">
        <v>1459</v>
      </c>
      <c r="E343" s="101" t="s">
        <v>910</v>
      </c>
      <c r="F343" s="156"/>
    </row>
    <row r="344" spans="2:6" ht="16.5" thickTop="1" thickBot="1" x14ac:dyDescent="0.3">
      <c r="B344" s="97" t="s">
        <v>1059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1060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2026-03-04T15:25:04Z</dcterms:modified>
</cp:coreProperties>
</file>