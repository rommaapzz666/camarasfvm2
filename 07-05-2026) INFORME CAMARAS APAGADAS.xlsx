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D5D72318-2887-4680-A5CC-EFC1C14D9C4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5" l="1"/>
  <c r="K3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398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D130" i="24"/>
  <c r="E130" i="24" s="1"/>
  <c r="AC3" i="2"/>
  <c r="C113" i="24" s="1"/>
  <c r="D114" i="24" s="1"/>
  <c r="D120" i="24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131" i="24"/>
  <c r="E131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D119" i="24"/>
  <c r="E119" i="24" s="1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<sst xmlns="http://schemas.openxmlformats.org/spreadsheetml/2006/main" count="5901" uniqueCount="2401">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</sst>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abSelected="1" zoomScaleNormal="100" zoomScaleSheetLayoutView="100" workbookViewId="0">
      <pane xSplit="18" ySplit="7" topLeftCell="X144" activePane="bottomRight" state="frozen"/>
      <selection activeCell="G1" sqref="G1"/>
      <selection pane="topRight" activeCell="S1" sqref="S1"/>
      <selection pane="bottomLeft" activeCell="G8" sqref="G8"/>
      <selection pane="bottomRight" activeCell="P597" sqref="P59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30.28515625" style="30" customWidth="1"/>
    <col min="8" max="8" width="13.140625" style="30" customWidth="1"/>
    <col min="9" max="9" width="33.28515625" customWidth="1"/>
    <col min="10" max="10" width="18.42578125" style="61" customWidth="1"/>
    <col min="11" max="11" width="10.42578125" style="65" customWidth="1"/>
    <col min="12" max="12" width="24.5703125" style="65" hidden="1" customWidth="1"/>
    <col min="13" max="13" width="14.85546875" style="65" customWidth="1"/>
    <col min="14" max="14" width="9.140625" style="65" hidden="1" customWidth="1"/>
    <col min="15" max="15" width="24" hidden="1" customWidth="1"/>
    <col min="16" max="16" width="16.85546875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6.28515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2366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2373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1447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57</v>
      </c>
      <c r="Y4" s="10">
        <f>COUNTIFS(Y8:Y704, "=APAGADO",K8:K704,"=Fibra Optica")</f>
        <v>64</v>
      </c>
      <c r="Z4" s="10">
        <f>COUNTIFS(Z8:Z704, "=APAGADO",K8:K704,"=Fibra Optica")</f>
        <v>0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1448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0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0</v>
      </c>
      <c r="AD5" s="127">
        <f>COUNTIFS(AD8:AD704, "=APAGADO",K8:K704,"=RADIO")</f>
        <v>0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10</v>
      </c>
      <c r="Y6" s="10">
        <f>COUNTIFS(Y8:Y704, "=APAGADO",K8:K704,"=PTO A FO")</f>
        <v>13</v>
      </c>
      <c r="Z6" s="10">
        <f>COUNTIFS(Z8:Z704, "=APAGADO",K8:K704,"=PTO A FO")</f>
        <v>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2341</v>
      </c>
      <c r="B7" s="144" t="s">
        <v>2342</v>
      </c>
      <c r="C7" s="144" t="s">
        <v>2343</v>
      </c>
      <c r="D7" s="144" t="s">
        <v>2344</v>
      </c>
      <c r="E7" s="144" t="s">
        <v>2346</v>
      </c>
      <c r="F7" s="35" t="s">
        <v>7</v>
      </c>
      <c r="G7" s="114" t="s">
        <v>2286</v>
      </c>
      <c r="H7" s="35" t="s">
        <v>1050</v>
      </c>
      <c r="I7" s="35" t="s">
        <v>8</v>
      </c>
      <c r="J7" s="114" t="s">
        <v>9</v>
      </c>
      <c r="K7" s="114" t="s">
        <v>10</v>
      </c>
      <c r="L7" s="114" t="s">
        <v>1237</v>
      </c>
      <c r="M7" s="114" t="s">
        <v>2340</v>
      </c>
      <c r="N7" s="114" t="s">
        <v>2282</v>
      </c>
      <c r="O7" s="19" t="s">
        <v>2</v>
      </c>
      <c r="P7" s="19" t="s">
        <v>1643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905</v>
      </c>
      <c r="H8" s="73" t="s">
        <v>1051</v>
      </c>
      <c r="I8" s="73" t="s">
        <v>32</v>
      </c>
      <c r="J8" s="84" t="s">
        <v>18</v>
      </c>
      <c r="K8" s="84" t="s">
        <v>1290</v>
      </c>
      <c r="L8" s="84"/>
      <c r="M8" s="84" t="s">
        <v>609</v>
      </c>
      <c r="N8" s="84"/>
      <c r="O8" s="131">
        <f t="shared" ref="O8:O28" si="4">COUNTIF(S8:AT8,"")</f>
        <v>28</v>
      </c>
      <c r="P8" s="136" t="s">
        <v>1646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906</v>
      </c>
      <c r="H9" s="73" t="s">
        <v>1051</v>
      </c>
      <c r="I9" s="73" t="s">
        <v>33</v>
      </c>
      <c r="J9" s="84" t="s">
        <v>18</v>
      </c>
      <c r="K9" s="84" t="s">
        <v>1290</v>
      </c>
      <c r="L9" s="84"/>
      <c r="M9" s="84" t="s">
        <v>610</v>
      </c>
      <c r="N9" s="84"/>
      <c r="O9" s="131">
        <f t="shared" si="4"/>
        <v>28</v>
      </c>
      <c r="P9" s="136" t="s">
        <v>1647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907</v>
      </c>
      <c r="H10" s="73" t="s">
        <v>1051</v>
      </c>
      <c r="I10" s="73" t="s">
        <v>26</v>
      </c>
      <c r="J10" s="84" t="s">
        <v>18</v>
      </c>
      <c r="K10" s="84" t="s">
        <v>1290</v>
      </c>
      <c r="L10" s="84" t="s">
        <v>1239</v>
      </c>
      <c r="M10" s="84" t="s">
        <v>612</v>
      </c>
      <c r="N10" s="84"/>
      <c r="O10" s="131">
        <f t="shared" si="4"/>
        <v>28</v>
      </c>
      <c r="P10" s="136" t="s">
        <v>1649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2384</v>
      </c>
      <c r="F11" t="s">
        <v>25</v>
      </c>
      <c r="G11" t="s">
        <v>908</v>
      </c>
      <c r="H11" t="s">
        <v>1051</v>
      </c>
      <c r="I11" t="s">
        <v>38</v>
      </c>
      <c r="J11" s="30" t="s">
        <v>14</v>
      </c>
      <c r="K11" s="30" t="s">
        <v>2383</v>
      </c>
      <c r="L11" s="30"/>
      <c r="M11" s="30" t="s">
        <v>615</v>
      </c>
      <c r="N11" s="30"/>
      <c r="O11" s="31">
        <f t="shared" si="4"/>
        <v>26</v>
      </c>
      <c r="P11" s="136" t="s">
        <v>1651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2239</v>
      </c>
      <c r="W11" s="70" t="s">
        <v>2239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2384</v>
      </c>
      <c r="F12" t="s">
        <v>25</v>
      </c>
      <c r="G12" t="s">
        <v>909</v>
      </c>
      <c r="H12" t="s">
        <v>1051</v>
      </c>
      <c r="I12" t="s">
        <v>39</v>
      </c>
      <c r="J12" s="30" t="s">
        <v>14</v>
      </c>
      <c r="K12" s="30" t="s">
        <v>2383</v>
      </c>
      <c r="L12" s="30"/>
      <c r="M12" s="30" t="s">
        <v>616</v>
      </c>
      <c r="N12" s="30"/>
      <c r="O12" s="31">
        <f t="shared" si="4"/>
        <v>26</v>
      </c>
      <c r="P12" s="136" t="s">
        <v>1652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2239</v>
      </c>
      <c r="W12" s="70" t="s">
        <v>2239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910</v>
      </c>
      <c r="H13" s="73" t="s">
        <v>1051</v>
      </c>
      <c r="I13" s="73" t="s">
        <v>911</v>
      </c>
      <c r="J13" s="84" t="s">
        <v>18</v>
      </c>
      <c r="K13" s="84" t="s">
        <v>1290</v>
      </c>
      <c r="L13" s="84"/>
      <c r="M13" s="84" t="s">
        <v>1202</v>
      </c>
      <c r="N13" s="84"/>
      <c r="O13" s="131">
        <f t="shared" si="4"/>
        <v>28</v>
      </c>
      <c r="P13" s="136" t="s">
        <v>1653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1510</v>
      </c>
      <c r="H14" t="s">
        <v>1051</v>
      </c>
      <c r="I14" s="68" t="s">
        <v>1511</v>
      </c>
      <c r="J14" s="30" t="s">
        <v>72</v>
      </c>
      <c r="K14" s="84" t="s">
        <v>1290</v>
      </c>
      <c r="L14" s="30"/>
      <c r="M14" s="30" t="s">
        <v>1512</v>
      </c>
      <c r="N14" s="30"/>
      <c r="O14" s="31">
        <f t="shared" si="4"/>
        <v>28</v>
      </c>
      <c r="P14" s="136" t="s">
        <v>2127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2345</v>
      </c>
      <c r="F15" t="s">
        <v>25</v>
      </c>
      <c r="G15" t="s">
        <v>28</v>
      </c>
      <c r="H15" t="s">
        <v>1051</v>
      </c>
      <c r="I15" t="s">
        <v>29</v>
      </c>
      <c r="J15" s="30" t="s">
        <v>18</v>
      </c>
      <c r="K15" s="30" t="s">
        <v>27</v>
      </c>
      <c r="L15" s="30"/>
      <c r="M15" s="30" t="s">
        <v>607</v>
      </c>
      <c r="N15" s="30"/>
      <c r="O15" s="31">
        <f t="shared" si="4"/>
        <v>28</v>
      </c>
      <c r="P15" s="136" t="s">
        <v>1644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2345</v>
      </c>
      <c r="F16" t="s">
        <v>25</v>
      </c>
      <c r="G16" t="s">
        <v>30</v>
      </c>
      <c r="H16" t="s">
        <v>1051</v>
      </c>
      <c r="I16" t="s">
        <v>31</v>
      </c>
      <c r="J16" s="30" t="s">
        <v>18</v>
      </c>
      <c r="K16" s="30" t="s">
        <v>1045</v>
      </c>
      <c r="L16" s="30" t="s">
        <v>1240</v>
      </c>
      <c r="M16" s="30" t="s">
        <v>608</v>
      </c>
      <c r="N16" s="30"/>
      <c r="O16" s="31">
        <f t="shared" si="4"/>
        <v>28</v>
      </c>
      <c r="P16" s="136" t="s">
        <v>1645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1051</v>
      </c>
      <c r="I17" s="73" t="s">
        <v>35</v>
      </c>
      <c r="J17" s="84" t="s">
        <v>18</v>
      </c>
      <c r="K17" s="84" t="s">
        <v>1290</v>
      </c>
      <c r="L17" s="84" t="s">
        <v>1239</v>
      </c>
      <c r="M17" s="84" t="s">
        <v>611</v>
      </c>
      <c r="N17" s="84"/>
      <c r="O17" s="131">
        <f t="shared" si="4"/>
        <v>28</v>
      </c>
      <c r="P17" s="136" t="s">
        <v>1648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2345</v>
      </c>
      <c r="F18" t="s">
        <v>25</v>
      </c>
      <c r="G18" t="s">
        <v>36</v>
      </c>
      <c r="H18" t="s">
        <v>1051</v>
      </c>
      <c r="I18" t="s">
        <v>37</v>
      </c>
      <c r="J18" s="30" t="s">
        <v>14</v>
      </c>
      <c r="K18" s="30" t="s">
        <v>1045</v>
      </c>
      <c r="L18" s="30" t="s">
        <v>1240</v>
      </c>
      <c r="M18" s="30" t="s">
        <v>614</v>
      </c>
      <c r="N18" s="30"/>
      <c r="O18" s="31">
        <f t="shared" si="4"/>
        <v>28</v>
      </c>
      <c r="P18" s="136" t="s">
        <v>1650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912</v>
      </c>
      <c r="H19" t="s">
        <v>1051</v>
      </c>
      <c r="I19" t="s">
        <v>41</v>
      </c>
      <c r="J19" s="30" t="s">
        <v>18</v>
      </c>
      <c r="K19" s="30" t="s">
        <v>1290</v>
      </c>
      <c r="L19" s="30"/>
      <c r="M19" s="30" t="s">
        <v>617</v>
      </c>
      <c r="N19" s="30"/>
      <c r="O19" s="31">
        <f t="shared" si="4"/>
        <v>28</v>
      </c>
      <c r="P19" s="136" t="s">
        <v>1654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1524</v>
      </c>
      <c r="H20" s="73" t="s">
        <v>1051</v>
      </c>
      <c r="I20" s="73" t="s">
        <v>1525</v>
      </c>
      <c r="J20" s="84" t="s">
        <v>72</v>
      </c>
      <c r="K20" s="84" t="s">
        <v>1290</v>
      </c>
      <c r="L20" s="84"/>
      <c r="M20" s="84" t="s">
        <v>1526</v>
      </c>
      <c r="N20" s="84"/>
      <c r="O20" s="31">
        <f t="shared" si="4"/>
        <v>28</v>
      </c>
      <c r="P20" s="136" t="s">
        <v>1655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1553</v>
      </c>
      <c r="H21" s="73" t="s">
        <v>1051</v>
      </c>
      <c r="I21" s="73" t="s">
        <v>1554</v>
      </c>
      <c r="J21" s="84" t="s">
        <v>72</v>
      </c>
      <c r="K21" s="84" t="s">
        <v>1290</v>
      </c>
      <c r="L21" s="84"/>
      <c r="M21" s="84" t="s">
        <v>1555</v>
      </c>
      <c r="N21" s="84"/>
      <c r="O21" s="31">
        <f t="shared" si="4"/>
        <v>28</v>
      </c>
      <c r="P21" s="136" t="s">
        <v>1656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2381</v>
      </c>
      <c r="F22" t="s">
        <v>42</v>
      </c>
      <c r="G22" t="s">
        <v>913</v>
      </c>
      <c r="H22" t="s">
        <v>1051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2283</v>
      </c>
      <c r="O22" s="31">
        <f t="shared" si="4"/>
        <v>26</v>
      </c>
      <c r="P22" s="136" t="s">
        <v>2285</v>
      </c>
      <c r="Q22" s="31">
        <f t="shared" si="5"/>
        <v>2</v>
      </c>
      <c r="R22" s="32">
        <f t="shared" si="6"/>
        <v>0.9285714285714286</v>
      </c>
      <c r="S22" s="70"/>
      <c r="T22" s="70"/>
      <c r="U22" s="70"/>
      <c r="V22" s="70"/>
      <c r="W22" s="70"/>
      <c r="X22" s="70" t="s">
        <v>2239</v>
      </c>
      <c r="Y22" s="70" t="s">
        <v>2239</v>
      </c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2381</v>
      </c>
      <c r="F23" t="s">
        <v>42</v>
      </c>
      <c r="G23" t="s">
        <v>1257</v>
      </c>
      <c r="H23" t="s">
        <v>1051</v>
      </c>
      <c r="I23" t="s">
        <v>1258</v>
      </c>
      <c r="J23" s="30" t="s">
        <v>14</v>
      </c>
      <c r="K23" s="30" t="s">
        <v>27</v>
      </c>
      <c r="L23" s="30"/>
      <c r="M23" s="30" t="s">
        <v>1345</v>
      </c>
      <c r="N23" s="30"/>
      <c r="O23" s="31">
        <f t="shared" si="4"/>
        <v>26</v>
      </c>
      <c r="P23" s="136" t="s">
        <v>1657</v>
      </c>
      <c r="Q23" s="31">
        <f t="shared" si="5"/>
        <v>2</v>
      </c>
      <c r="R23" s="32">
        <f t="shared" si="6"/>
        <v>0.9285714285714286</v>
      </c>
      <c r="S23" s="70"/>
      <c r="T23" s="70"/>
      <c r="U23" s="70"/>
      <c r="V23" s="70"/>
      <c r="W23" s="70"/>
      <c r="X23" s="70" t="s">
        <v>2239</v>
      </c>
      <c r="Y23" s="70" t="s">
        <v>2239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1183</v>
      </c>
      <c r="G24" s="84" t="s">
        <v>2275</v>
      </c>
      <c r="H24" s="73" t="s">
        <v>1052</v>
      </c>
      <c r="I24" s="73" t="s">
        <v>1336</v>
      </c>
      <c r="J24" s="84" t="s">
        <v>18</v>
      </c>
      <c r="K24" s="84" t="s">
        <v>1290</v>
      </c>
      <c r="L24" s="84"/>
      <c r="M24" s="84" t="s">
        <v>1343</v>
      </c>
      <c r="N24" s="84"/>
      <c r="O24" s="131">
        <f t="shared" si="4"/>
        <v>28</v>
      </c>
      <c r="P24" s="136" t="s">
        <v>1664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1183</v>
      </c>
      <c r="G25" s="84" t="s">
        <v>2276</v>
      </c>
      <c r="H25" s="84" t="s">
        <v>1052</v>
      </c>
      <c r="I25" s="73" t="s">
        <v>1578</v>
      </c>
      <c r="J25" s="84" t="s">
        <v>18</v>
      </c>
      <c r="K25" s="84" t="s">
        <v>1290</v>
      </c>
      <c r="L25" s="84"/>
      <c r="M25" s="84" t="s">
        <v>1579</v>
      </c>
      <c r="N25" s="84"/>
      <c r="O25" s="131">
        <f t="shared" si="4"/>
        <v>28</v>
      </c>
      <c r="P25" s="136" t="s">
        <v>2128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1183</v>
      </c>
      <c r="G26" s="84" t="s">
        <v>2277</v>
      </c>
      <c r="H26" s="84" t="s">
        <v>1052</v>
      </c>
      <c r="I26" s="73" t="s">
        <v>1582</v>
      </c>
      <c r="J26" s="84" t="s">
        <v>72</v>
      </c>
      <c r="K26" s="84" t="s">
        <v>1290</v>
      </c>
      <c r="L26" s="84"/>
      <c r="M26" s="84" t="s">
        <v>1580</v>
      </c>
      <c r="N26" s="84"/>
      <c r="O26" s="131">
        <f t="shared" si="4"/>
        <v>28</v>
      </c>
      <c r="P26" s="136" t="s">
        <v>2129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1183</v>
      </c>
      <c r="G27" s="84" t="s">
        <v>2278</v>
      </c>
      <c r="H27" s="84" t="s">
        <v>1052</v>
      </c>
      <c r="I27" s="73" t="s">
        <v>1582</v>
      </c>
      <c r="J27" s="84" t="s">
        <v>72</v>
      </c>
      <c r="K27" s="84" t="s">
        <v>1290</v>
      </c>
      <c r="L27" s="84"/>
      <c r="M27" s="84" t="s">
        <v>1581</v>
      </c>
      <c r="N27" s="84"/>
      <c r="O27" s="131">
        <f t="shared" si="4"/>
        <v>28</v>
      </c>
      <c r="P27" s="136" t="s">
        <v>2130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1183</v>
      </c>
      <c r="G28" s="84" t="s">
        <v>2279</v>
      </c>
      <c r="H28" s="84" t="s">
        <v>1052</v>
      </c>
      <c r="I28" s="73" t="s">
        <v>2258</v>
      </c>
      <c r="J28" s="84" t="s">
        <v>18</v>
      </c>
      <c r="K28" s="84" t="s">
        <v>1290</v>
      </c>
      <c r="L28" s="84"/>
      <c r="M28" s="84" t="s">
        <v>2259</v>
      </c>
      <c r="N28" s="84"/>
      <c r="O28" s="131">
        <f t="shared" si="4"/>
        <v>28</v>
      </c>
      <c r="P28" s="136" t="s">
        <v>2260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2365</v>
      </c>
      <c r="F29" s="73" t="s">
        <v>1183</v>
      </c>
      <c r="G29" s="84" t="s">
        <v>2375</v>
      </c>
      <c r="H29" s="84" t="s">
        <v>1052</v>
      </c>
      <c r="I29" s="73" t="s">
        <v>2376</v>
      </c>
      <c r="J29" s="84"/>
      <c r="K29" s="84" t="s">
        <v>27</v>
      </c>
      <c r="L29" s="84"/>
      <c r="M29" s="84" t="s">
        <v>2377</v>
      </c>
      <c r="N29" s="84"/>
      <c r="O29" s="131"/>
      <c r="P29" s="136"/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2365</v>
      </c>
      <c r="F30" t="s">
        <v>1183</v>
      </c>
      <c r="G30" s="30" t="s">
        <v>1167</v>
      </c>
      <c r="H30" s="30" t="s">
        <v>1052</v>
      </c>
      <c r="I30" t="s">
        <v>1151</v>
      </c>
      <c r="J30" s="30" t="s">
        <v>72</v>
      </c>
      <c r="K30" s="30" t="s">
        <v>1045</v>
      </c>
      <c r="L30" s="30"/>
      <c r="M30" s="30" t="s">
        <v>1154</v>
      </c>
      <c r="N30" s="30"/>
      <c r="O30" s="31">
        <f t="shared" ref="O30:O61" si="7">COUNTIF(S30:AT30,"")</f>
        <v>27</v>
      </c>
      <c r="P30" s="136" t="s">
        <v>1658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2239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2365</v>
      </c>
      <c r="F31" t="s">
        <v>1183</v>
      </c>
      <c r="G31" s="30" t="s">
        <v>1168</v>
      </c>
      <c r="H31" s="30" t="s">
        <v>1052</v>
      </c>
      <c r="I31" t="s">
        <v>1151</v>
      </c>
      <c r="J31" s="30" t="s">
        <v>72</v>
      </c>
      <c r="K31" s="30" t="s">
        <v>1045</v>
      </c>
      <c r="L31" s="30"/>
      <c r="M31" s="30" t="s">
        <v>1155</v>
      </c>
      <c r="N31" s="30"/>
      <c r="O31" s="31">
        <f t="shared" si="7"/>
        <v>27</v>
      </c>
      <c r="P31" s="136" t="s">
        <v>1659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2239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2365</v>
      </c>
      <c r="F32" t="s">
        <v>1183</v>
      </c>
      <c r="G32" s="30" t="s">
        <v>1166</v>
      </c>
      <c r="H32" s="30" t="s">
        <v>1052</v>
      </c>
      <c r="I32" t="s">
        <v>1150</v>
      </c>
      <c r="J32" s="30" t="s">
        <v>72</v>
      </c>
      <c r="K32" s="30" t="s">
        <v>1045</v>
      </c>
      <c r="L32" s="30"/>
      <c r="M32" s="30" t="s">
        <v>1153</v>
      </c>
      <c r="N32" s="30"/>
      <c r="O32" s="31">
        <f t="shared" si="7"/>
        <v>24</v>
      </c>
      <c r="P32" s="136" t="s">
        <v>1660</v>
      </c>
      <c r="Q32" s="31">
        <f t="shared" si="8"/>
        <v>4</v>
      </c>
      <c r="R32" s="32">
        <f t="shared" si="9"/>
        <v>0.8571428571428571</v>
      </c>
      <c r="S32" s="70"/>
      <c r="T32" s="70"/>
      <c r="U32" s="70"/>
      <c r="V32" s="70" t="s">
        <v>2239</v>
      </c>
      <c r="W32" s="70" t="s">
        <v>2239</v>
      </c>
      <c r="X32" s="70" t="s">
        <v>2239</v>
      </c>
      <c r="Y32" s="70" t="s">
        <v>2239</v>
      </c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2365</v>
      </c>
      <c r="F33" t="s">
        <v>1183</v>
      </c>
      <c r="G33" s="30" t="s">
        <v>1165</v>
      </c>
      <c r="H33" s="30" t="s">
        <v>1052</v>
      </c>
      <c r="I33" t="s">
        <v>1150</v>
      </c>
      <c r="J33" s="30" t="s">
        <v>72</v>
      </c>
      <c r="K33" s="30" t="s">
        <v>1045</v>
      </c>
      <c r="L33" s="30"/>
      <c r="M33" s="30" t="s">
        <v>1160</v>
      </c>
      <c r="N33" s="30"/>
      <c r="O33" s="31">
        <f t="shared" si="7"/>
        <v>27</v>
      </c>
      <c r="P33" s="136" t="s">
        <v>1661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2239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2365</v>
      </c>
      <c r="F34" t="s">
        <v>1183</v>
      </c>
      <c r="G34" s="30" t="s">
        <v>1169</v>
      </c>
      <c r="H34" s="30" t="s">
        <v>1052</v>
      </c>
      <c r="I34" t="s">
        <v>1152</v>
      </c>
      <c r="J34" s="30" t="s">
        <v>72</v>
      </c>
      <c r="K34" s="30" t="s">
        <v>1045</v>
      </c>
      <c r="L34" s="30"/>
      <c r="M34" s="30" t="s">
        <v>1156</v>
      </c>
      <c r="N34" s="30"/>
      <c r="O34" s="31">
        <f t="shared" si="7"/>
        <v>28</v>
      </c>
      <c r="P34" s="136" t="s">
        <v>1662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2365</v>
      </c>
      <c r="F35" t="s">
        <v>1183</v>
      </c>
      <c r="G35" s="30" t="s">
        <v>1170</v>
      </c>
      <c r="H35" s="30" t="s">
        <v>1052</v>
      </c>
      <c r="I35" t="s">
        <v>1152</v>
      </c>
      <c r="J35" s="30" t="s">
        <v>72</v>
      </c>
      <c r="K35" s="30" t="s">
        <v>1045</v>
      </c>
      <c r="L35" s="30"/>
      <c r="M35" s="30" t="s">
        <v>1157</v>
      </c>
      <c r="N35" s="30"/>
      <c r="O35" s="31">
        <f t="shared" si="7"/>
        <v>28</v>
      </c>
      <c r="P35" s="136" t="s">
        <v>1663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2379</v>
      </c>
      <c r="F36" t="s">
        <v>1440</v>
      </c>
      <c r="G36" s="30" t="s">
        <v>1439</v>
      </c>
      <c r="H36" t="s">
        <v>1052</v>
      </c>
      <c r="I36" t="s">
        <v>1438</v>
      </c>
      <c r="J36" s="30" t="s">
        <v>72</v>
      </c>
      <c r="K36" s="30" t="s">
        <v>27</v>
      </c>
      <c r="L36" s="30"/>
      <c r="M36" s="84" t="s">
        <v>1442</v>
      </c>
      <c r="N36" s="84"/>
      <c r="O36" s="31">
        <f t="shared" si="7"/>
        <v>28</v>
      </c>
      <c r="P36" s="136" t="s">
        <v>1666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2379</v>
      </c>
      <c r="F37" t="s">
        <v>1440</v>
      </c>
      <c r="G37" s="30" t="s">
        <v>1441</v>
      </c>
      <c r="H37" t="s">
        <v>1052</v>
      </c>
      <c r="I37" t="s">
        <v>1438</v>
      </c>
      <c r="J37" s="30" t="s">
        <v>72</v>
      </c>
      <c r="K37" s="30" t="s">
        <v>27</v>
      </c>
      <c r="L37" s="30"/>
      <c r="M37" s="84" t="s">
        <v>1443</v>
      </c>
      <c r="N37" s="84"/>
      <c r="O37" s="31">
        <f t="shared" si="7"/>
        <v>28</v>
      </c>
      <c r="P37" s="136" t="s">
        <v>1667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1440</v>
      </c>
      <c r="G38" s="30" t="s">
        <v>1616</v>
      </c>
      <c r="H38" t="s">
        <v>1052</v>
      </c>
      <c r="I38" t="s">
        <v>1618</v>
      </c>
      <c r="J38" s="30" t="s">
        <v>72</v>
      </c>
      <c r="K38" s="30" t="s">
        <v>1290</v>
      </c>
      <c r="L38" s="30"/>
      <c r="M38" s="84" t="s">
        <v>1619</v>
      </c>
      <c r="N38" s="84"/>
      <c r="O38" s="31">
        <f t="shared" si="7"/>
        <v>28</v>
      </c>
      <c r="P38" s="136" t="s">
        <v>2133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1440</v>
      </c>
      <c r="G39" s="30" t="s">
        <v>1617</v>
      </c>
      <c r="H39" t="s">
        <v>1052</v>
      </c>
      <c r="I39" t="s">
        <v>1618</v>
      </c>
      <c r="J39" s="30" t="s">
        <v>72</v>
      </c>
      <c r="K39" s="30" t="s">
        <v>1290</v>
      </c>
      <c r="L39" s="30"/>
      <c r="M39" s="84" t="s">
        <v>1620</v>
      </c>
      <c r="N39" s="84"/>
      <c r="O39" s="31">
        <f t="shared" si="7"/>
        <v>28</v>
      </c>
      <c r="P39" s="136" t="s">
        <v>2157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1440</v>
      </c>
      <c r="G40" s="30" t="s">
        <v>1624</v>
      </c>
      <c r="H40" t="s">
        <v>1052</v>
      </c>
      <c r="I40" t="s">
        <v>1618</v>
      </c>
      <c r="J40" s="30" t="s">
        <v>18</v>
      </c>
      <c r="K40" s="30" t="s">
        <v>1290</v>
      </c>
      <c r="L40" s="30"/>
      <c r="M40" s="84" t="s">
        <v>1622</v>
      </c>
      <c r="N40" s="84"/>
      <c r="O40" s="31">
        <f t="shared" si="7"/>
        <v>28</v>
      </c>
      <c r="P40" s="136" t="s">
        <v>2158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2379</v>
      </c>
      <c r="F41" t="s">
        <v>1440</v>
      </c>
      <c r="G41" s="30" t="s">
        <v>1625</v>
      </c>
      <c r="H41" t="s">
        <v>1052</v>
      </c>
      <c r="I41" t="s">
        <v>1626</v>
      </c>
      <c r="J41" s="30" t="s">
        <v>18</v>
      </c>
      <c r="K41" s="30" t="s">
        <v>27</v>
      </c>
      <c r="L41" s="30"/>
      <c r="M41" s="84" t="s">
        <v>1627</v>
      </c>
      <c r="N41" s="84"/>
      <c r="O41" s="31">
        <f t="shared" si="7"/>
        <v>28</v>
      </c>
      <c r="P41" s="136" t="s">
        <v>2159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2365</v>
      </c>
      <c r="F42" t="s">
        <v>1440</v>
      </c>
      <c r="G42" s="30" t="s">
        <v>2202</v>
      </c>
      <c r="H42" t="s">
        <v>1052</v>
      </c>
      <c r="I42" t="s">
        <v>2206</v>
      </c>
      <c r="J42" s="30" t="s">
        <v>72</v>
      </c>
      <c r="K42" s="30" t="s">
        <v>27</v>
      </c>
      <c r="L42" s="30"/>
      <c r="M42" s="84" t="s">
        <v>2291</v>
      </c>
      <c r="N42" s="84"/>
      <c r="O42" s="31">
        <f t="shared" si="7"/>
        <v>28</v>
      </c>
      <c r="P42" s="136" t="s">
        <v>2203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2365</v>
      </c>
      <c r="F43" t="s">
        <v>1440</v>
      </c>
      <c r="G43" s="30" t="s">
        <v>2204</v>
      </c>
      <c r="H43" t="s">
        <v>1052</v>
      </c>
      <c r="I43" t="s">
        <v>2205</v>
      </c>
      <c r="J43" s="30" t="s">
        <v>72</v>
      </c>
      <c r="K43" s="30" t="s">
        <v>27</v>
      </c>
      <c r="L43" s="30"/>
      <c r="M43" s="84" t="s">
        <v>2292</v>
      </c>
      <c r="N43" s="84"/>
      <c r="O43" s="31">
        <f t="shared" si="7"/>
        <v>28</v>
      </c>
      <c r="P43" s="136" t="s">
        <v>2207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2348</v>
      </c>
      <c r="F44" t="s">
        <v>51</v>
      </c>
      <c r="G44" t="s">
        <v>914</v>
      </c>
      <c r="H44" t="s">
        <v>1051</v>
      </c>
      <c r="I44" t="s">
        <v>1070</v>
      </c>
      <c r="J44" s="30" t="s">
        <v>14</v>
      </c>
      <c r="K44" s="30" t="s">
        <v>27</v>
      </c>
      <c r="L44" s="30"/>
      <c r="M44" s="30" t="s">
        <v>622</v>
      </c>
      <c r="N44" s="30"/>
      <c r="O44" s="31">
        <f t="shared" si="7"/>
        <v>28</v>
      </c>
      <c r="P44" s="136" t="s">
        <v>1672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13</v>
      </c>
      <c r="C45"/>
      <c r="D45"/>
      <c r="E45" t="s">
        <v>2349</v>
      </c>
      <c r="F45" t="s">
        <v>51</v>
      </c>
      <c r="G45" t="s">
        <v>915</v>
      </c>
      <c r="H45" t="s">
        <v>1051</v>
      </c>
      <c r="I45" t="s">
        <v>88</v>
      </c>
      <c r="J45" s="30" t="s">
        <v>18</v>
      </c>
      <c r="K45" s="30" t="s">
        <v>27</v>
      </c>
      <c r="L45" s="30"/>
      <c r="M45" s="30" t="s">
        <v>629</v>
      </c>
      <c r="N45" s="30"/>
      <c r="O45" s="31">
        <f t="shared" si="7"/>
        <v>28</v>
      </c>
      <c r="P45" s="136" t="s">
        <v>1678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916</v>
      </c>
      <c r="H46" s="73" t="s">
        <v>1051</v>
      </c>
      <c r="I46" s="73" t="s">
        <v>89</v>
      </c>
      <c r="J46" s="84" t="s">
        <v>14</v>
      </c>
      <c r="K46" s="84" t="s">
        <v>1290</v>
      </c>
      <c r="L46" s="84"/>
      <c r="M46" s="84" t="s">
        <v>630</v>
      </c>
      <c r="N46" s="84"/>
      <c r="O46" s="131">
        <f t="shared" si="7"/>
        <v>28</v>
      </c>
      <c r="P46" s="136" t="s">
        <v>1679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/>
      <c r="F47" t="s">
        <v>51</v>
      </c>
      <c r="G47" t="s">
        <v>917</v>
      </c>
      <c r="H47" t="s">
        <v>1051</v>
      </c>
      <c r="I47" t="s">
        <v>128</v>
      </c>
      <c r="J47" s="30" t="s">
        <v>18</v>
      </c>
      <c r="K47" s="30" t="s">
        <v>27</v>
      </c>
      <c r="L47" s="30"/>
      <c r="M47" s="30" t="s">
        <v>649</v>
      </c>
      <c r="N47" s="30"/>
      <c r="O47" s="31">
        <f t="shared" si="7"/>
        <v>28</v>
      </c>
      <c r="P47" s="136" t="s">
        <v>1702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/>
      <c r="F48" s="73" t="s">
        <v>51</v>
      </c>
      <c r="G48" s="73" t="s">
        <v>918</v>
      </c>
      <c r="H48" s="73" t="s">
        <v>1051</v>
      </c>
      <c r="I48" s="73" t="s">
        <v>148</v>
      </c>
      <c r="J48" s="84" t="s">
        <v>18</v>
      </c>
      <c r="K48" s="84" t="s">
        <v>1290</v>
      </c>
      <c r="L48" s="84"/>
      <c r="M48" s="84" t="s">
        <v>1349</v>
      </c>
      <c r="N48" s="84"/>
      <c r="O48" s="131">
        <f t="shared" si="7"/>
        <v>24</v>
      </c>
      <c r="P48" s="136" t="s">
        <v>1715</v>
      </c>
      <c r="Q48" s="131">
        <f t="shared" si="8"/>
        <v>4</v>
      </c>
      <c r="R48" s="132">
        <f t="shared" si="9"/>
        <v>0.8571428571428571</v>
      </c>
      <c r="S48" s="70"/>
      <c r="T48" s="70"/>
      <c r="U48" s="70"/>
      <c r="V48" s="70" t="s">
        <v>2239</v>
      </c>
      <c r="W48" s="70" t="s">
        <v>2239</v>
      </c>
      <c r="X48" s="70" t="s">
        <v>2239</v>
      </c>
      <c r="Y48" s="70" t="s">
        <v>2239</v>
      </c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919</v>
      </c>
      <c r="H49" s="73" t="s">
        <v>1051</v>
      </c>
      <c r="I49" s="73" t="s">
        <v>44</v>
      </c>
      <c r="J49" s="84" t="s">
        <v>45</v>
      </c>
      <c r="K49" s="84" t="s">
        <v>1290</v>
      </c>
      <c r="L49" s="84"/>
      <c r="M49" s="84" t="s">
        <v>660</v>
      </c>
      <c r="N49" s="84"/>
      <c r="O49" s="131">
        <f t="shared" si="7"/>
        <v>28</v>
      </c>
      <c r="P49" s="136" t="s">
        <v>1716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920</v>
      </c>
      <c r="H50" s="73" t="s">
        <v>1051</v>
      </c>
      <c r="I50" s="73" t="s">
        <v>46</v>
      </c>
      <c r="J50" s="84" t="s">
        <v>18</v>
      </c>
      <c r="K50" s="84" t="s">
        <v>1290</v>
      </c>
      <c r="L50" s="84"/>
      <c r="M50" s="84" t="s">
        <v>1356</v>
      </c>
      <c r="N50" s="84"/>
      <c r="O50" s="131">
        <f t="shared" si="7"/>
        <v>28</v>
      </c>
      <c r="P50" s="136" t="s">
        <v>1718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1051</v>
      </c>
      <c r="I51" s="73" t="s">
        <v>48</v>
      </c>
      <c r="J51" s="84" t="s">
        <v>18</v>
      </c>
      <c r="K51" s="84" t="s">
        <v>1290</v>
      </c>
      <c r="L51" s="84"/>
      <c r="M51" s="84" t="s">
        <v>1344</v>
      </c>
      <c r="N51" s="84"/>
      <c r="O51" s="131">
        <f t="shared" si="7"/>
        <v>24</v>
      </c>
      <c r="P51" s="136" t="s">
        <v>1719</v>
      </c>
      <c r="Q51" s="131">
        <f t="shared" si="8"/>
        <v>4</v>
      </c>
      <c r="R51" s="132">
        <f t="shared" si="9"/>
        <v>0.8571428571428571</v>
      </c>
      <c r="S51" s="70"/>
      <c r="T51" s="70"/>
      <c r="U51" s="70"/>
      <c r="V51" s="70" t="s">
        <v>2239</v>
      </c>
      <c r="W51" s="70" t="s">
        <v>2239</v>
      </c>
      <c r="X51" s="70" t="s">
        <v>2239</v>
      </c>
      <c r="Y51" s="70" t="s">
        <v>2239</v>
      </c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1051</v>
      </c>
      <c r="I52" s="73" t="s">
        <v>50</v>
      </c>
      <c r="J52" s="84" t="s">
        <v>18</v>
      </c>
      <c r="K52" s="84" t="s">
        <v>1290</v>
      </c>
      <c r="L52" s="84"/>
      <c r="M52" s="84" t="s">
        <v>1397</v>
      </c>
      <c r="N52" s="84"/>
      <c r="O52" s="131">
        <f t="shared" si="7"/>
        <v>28</v>
      </c>
      <c r="P52" s="136" t="s">
        <v>1720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1051</v>
      </c>
      <c r="I53" s="73" t="s">
        <v>53</v>
      </c>
      <c r="J53" s="84" t="s">
        <v>14</v>
      </c>
      <c r="K53" s="84" t="s">
        <v>1290</v>
      </c>
      <c r="L53" s="84"/>
      <c r="M53" s="84" t="s">
        <v>1413</v>
      </c>
      <c r="N53" s="84"/>
      <c r="O53" s="131">
        <f t="shared" si="7"/>
        <v>28</v>
      </c>
      <c r="P53" s="136" t="s">
        <v>1721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1051</v>
      </c>
      <c r="I54" s="73" t="s">
        <v>55</v>
      </c>
      <c r="J54" s="84" t="s">
        <v>14</v>
      </c>
      <c r="K54" s="84" t="s">
        <v>1290</v>
      </c>
      <c r="L54" s="84"/>
      <c r="M54" s="84" t="s">
        <v>1352</v>
      </c>
      <c r="N54" s="84"/>
      <c r="O54" s="131">
        <f t="shared" si="7"/>
        <v>28</v>
      </c>
      <c r="P54" s="136" t="s">
        <v>1722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2350</v>
      </c>
      <c r="F55" t="s">
        <v>51</v>
      </c>
      <c r="G55" t="s">
        <v>56</v>
      </c>
      <c r="H55" t="s">
        <v>1051</v>
      </c>
      <c r="I55" t="s">
        <v>57</v>
      </c>
      <c r="J55" s="30" t="s">
        <v>14</v>
      </c>
      <c r="K55" s="30" t="s">
        <v>27</v>
      </c>
      <c r="L55" s="30"/>
      <c r="M55" s="30" t="s">
        <v>661</v>
      </c>
      <c r="N55" s="30"/>
      <c r="O55" s="31">
        <f t="shared" si="7"/>
        <v>28</v>
      </c>
      <c r="P55" s="136" t="s">
        <v>1723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1051</v>
      </c>
      <c r="I56" t="s">
        <v>60</v>
      </c>
      <c r="J56" s="30" t="s">
        <v>14</v>
      </c>
      <c r="K56" s="30" t="s">
        <v>2385</v>
      </c>
      <c r="L56" s="30" t="s">
        <v>44</v>
      </c>
      <c r="M56" s="30" t="s">
        <v>662</v>
      </c>
      <c r="N56" s="30"/>
      <c r="O56" s="31">
        <f t="shared" si="7"/>
        <v>28</v>
      </c>
      <c r="P56" s="136" t="s">
        <v>1725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1051</v>
      </c>
      <c r="I57" s="73" t="s">
        <v>62</v>
      </c>
      <c r="J57" s="84" t="s">
        <v>14</v>
      </c>
      <c r="K57" s="84" t="s">
        <v>1290</v>
      </c>
      <c r="L57" s="84"/>
      <c r="M57" s="84" t="s">
        <v>1353</v>
      </c>
      <c r="N57" s="84"/>
      <c r="O57" s="131">
        <f t="shared" si="7"/>
        <v>28</v>
      </c>
      <c r="P57" s="136" t="s">
        <v>1726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/>
      <c r="F58" s="73" t="s">
        <v>51</v>
      </c>
      <c r="G58" s="73" t="s">
        <v>921</v>
      </c>
      <c r="H58" s="73" t="s">
        <v>1051</v>
      </c>
      <c r="I58" s="73" t="s">
        <v>153</v>
      </c>
      <c r="J58" s="84" t="s">
        <v>45</v>
      </c>
      <c r="K58" s="84" t="s">
        <v>1290</v>
      </c>
      <c r="L58" s="84"/>
      <c r="M58" s="84" t="s">
        <v>1048</v>
      </c>
      <c r="N58" s="84"/>
      <c r="O58" s="131">
        <f t="shared" si="7"/>
        <v>28</v>
      </c>
      <c r="P58" s="136" t="s">
        <v>1730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2360</v>
      </c>
      <c r="F59" t="s">
        <v>51</v>
      </c>
      <c r="G59" t="s">
        <v>64</v>
      </c>
      <c r="H59" t="s">
        <v>1051</v>
      </c>
      <c r="I59" t="s">
        <v>65</v>
      </c>
      <c r="J59" s="30" t="s">
        <v>18</v>
      </c>
      <c r="K59" s="30" t="s">
        <v>27</v>
      </c>
      <c r="L59" s="30"/>
      <c r="M59" s="30" t="s">
        <v>673</v>
      </c>
      <c r="N59" s="30"/>
      <c r="O59" s="31">
        <f t="shared" si="7"/>
        <v>28</v>
      </c>
      <c r="P59" s="136" t="s">
        <v>1734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1051</v>
      </c>
      <c r="I60" s="73" t="s">
        <v>67</v>
      </c>
      <c r="J60" s="84" t="s">
        <v>18</v>
      </c>
      <c r="K60" s="84" t="s">
        <v>1290</v>
      </c>
      <c r="L60" s="84"/>
      <c r="M60" s="84" t="s">
        <v>674</v>
      </c>
      <c r="N60" s="84"/>
      <c r="O60" s="131">
        <f t="shared" si="7"/>
        <v>28</v>
      </c>
      <c r="P60" s="136" t="s">
        <v>1735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/>
      <c r="B61"/>
      <c r="C61"/>
      <c r="D61"/>
      <c r="E61"/>
      <c r="F61" t="s">
        <v>51</v>
      </c>
      <c r="G61" t="s">
        <v>68</v>
      </c>
      <c r="H61" t="s">
        <v>1051</v>
      </c>
      <c r="I61" t="s">
        <v>69</v>
      </c>
      <c r="J61" s="30" t="s">
        <v>18</v>
      </c>
      <c r="K61" s="30" t="s">
        <v>27</v>
      </c>
      <c r="L61" s="30"/>
      <c r="M61" s="30" t="s">
        <v>675</v>
      </c>
      <c r="N61" s="30"/>
      <c r="O61" s="31">
        <f t="shared" si="7"/>
        <v>28</v>
      </c>
      <c r="P61" s="136" t="s">
        <v>1736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922</v>
      </c>
      <c r="H62" s="73" t="s">
        <v>1051</v>
      </c>
      <c r="I62" s="73" t="s">
        <v>923</v>
      </c>
      <c r="J62" s="84" t="s">
        <v>18</v>
      </c>
      <c r="K62" s="84" t="s">
        <v>1290</v>
      </c>
      <c r="L62" s="84"/>
      <c r="M62" s="84" t="s">
        <v>1203</v>
      </c>
      <c r="N62" s="84"/>
      <c r="O62" s="131">
        <f t="shared" ref="O62:O93" si="10">COUNTIF(S62:AT62,"")</f>
        <v>28</v>
      </c>
      <c r="P62" s="136" t="s">
        <v>1739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13</v>
      </c>
      <c r="C63"/>
      <c r="D63"/>
      <c r="E63" t="s">
        <v>2349</v>
      </c>
      <c r="F63" t="s">
        <v>51</v>
      </c>
      <c r="G63" t="s">
        <v>924</v>
      </c>
      <c r="H63" t="s">
        <v>1051</v>
      </c>
      <c r="I63" t="s">
        <v>1067</v>
      </c>
      <c r="J63" s="30" t="s">
        <v>72</v>
      </c>
      <c r="K63" s="30" t="s">
        <v>27</v>
      </c>
      <c r="L63" s="30"/>
      <c r="M63" s="30" t="s">
        <v>1478</v>
      </c>
      <c r="N63" s="30"/>
      <c r="O63" s="31">
        <f t="shared" si="10"/>
        <v>28</v>
      </c>
      <c r="P63" s="136" t="s">
        <v>1740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13</v>
      </c>
      <c r="C64"/>
      <c r="D64"/>
      <c r="E64" t="s">
        <v>2349</v>
      </c>
      <c r="F64" t="s">
        <v>51</v>
      </c>
      <c r="G64" t="s">
        <v>1098</v>
      </c>
      <c r="H64" t="s">
        <v>1051</v>
      </c>
      <c r="I64" t="s">
        <v>1097</v>
      </c>
      <c r="J64" s="30" t="s">
        <v>72</v>
      </c>
      <c r="K64" s="30" t="s">
        <v>27</v>
      </c>
      <c r="L64" s="30"/>
      <c r="M64" s="30" t="s">
        <v>1099</v>
      </c>
      <c r="N64" s="30"/>
      <c r="O64" s="31">
        <f t="shared" si="10"/>
        <v>28</v>
      </c>
      <c r="P64" s="136" t="s">
        <v>1741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13</v>
      </c>
      <c r="C65"/>
      <c r="D65"/>
      <c r="E65" t="s">
        <v>2349</v>
      </c>
      <c r="F65" t="s">
        <v>51</v>
      </c>
      <c r="G65" s="30" t="s">
        <v>1107</v>
      </c>
      <c r="H65" s="30" t="s">
        <v>1051</v>
      </c>
      <c r="I65" t="s">
        <v>121</v>
      </c>
      <c r="J65" s="30" t="s">
        <v>72</v>
      </c>
      <c r="K65" s="30" t="s">
        <v>27</v>
      </c>
      <c r="L65" s="30"/>
      <c r="M65" s="30" t="s">
        <v>1108</v>
      </c>
      <c r="N65" s="30"/>
      <c r="O65" s="31">
        <f t="shared" si="10"/>
        <v>28</v>
      </c>
      <c r="P65" s="136" t="s">
        <v>1742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/>
      <c r="F66" t="s">
        <v>51</v>
      </c>
      <c r="G66" s="30" t="s">
        <v>1100</v>
      </c>
      <c r="H66" s="30" t="s">
        <v>1051</v>
      </c>
      <c r="I66" t="s">
        <v>1102</v>
      </c>
      <c r="J66" s="30" t="s">
        <v>72</v>
      </c>
      <c r="K66" s="30" t="s">
        <v>27</v>
      </c>
      <c r="L66" s="30"/>
      <c r="M66" s="30" t="s">
        <v>1109</v>
      </c>
      <c r="N66" s="30"/>
      <c r="O66" s="31">
        <f t="shared" si="10"/>
        <v>28</v>
      </c>
      <c r="P66" s="136" t="s">
        <v>1743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/>
      <c r="F67" t="s">
        <v>51</v>
      </c>
      <c r="G67" s="30" t="s">
        <v>1101</v>
      </c>
      <c r="H67" s="30" t="s">
        <v>1051</v>
      </c>
      <c r="I67" t="s">
        <v>1102</v>
      </c>
      <c r="J67" s="30" t="s">
        <v>72</v>
      </c>
      <c r="K67" s="30" t="s">
        <v>27</v>
      </c>
      <c r="L67" s="30"/>
      <c r="M67" s="30" t="s">
        <v>1110</v>
      </c>
      <c r="N67" s="30"/>
      <c r="O67" s="31">
        <f t="shared" si="10"/>
        <v>28</v>
      </c>
      <c r="P67" s="136" t="s">
        <v>1744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/>
      <c r="F68" t="s">
        <v>51</v>
      </c>
      <c r="G68" s="30" t="s">
        <v>1171</v>
      </c>
      <c r="H68" s="30" t="s">
        <v>1051</v>
      </c>
      <c r="I68" t="s">
        <v>92</v>
      </c>
      <c r="J68" s="30" t="s">
        <v>72</v>
      </c>
      <c r="K68" s="30" t="s">
        <v>27</v>
      </c>
      <c r="L68" s="30"/>
      <c r="M68" s="30" t="s">
        <v>1172</v>
      </c>
      <c r="N68" s="30"/>
      <c r="O68" s="31">
        <f t="shared" si="10"/>
        <v>28</v>
      </c>
      <c r="P68" s="136" t="s">
        <v>1745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1187</v>
      </c>
      <c r="H69" s="84" t="s">
        <v>1051</v>
      </c>
      <c r="I69" s="73" t="s">
        <v>1188</v>
      </c>
      <c r="J69" s="84" t="s">
        <v>18</v>
      </c>
      <c r="K69" s="84" t="s">
        <v>1290</v>
      </c>
      <c r="L69" s="84"/>
      <c r="M69" s="84" t="s">
        <v>1189</v>
      </c>
      <c r="N69" s="84"/>
      <c r="O69" s="131">
        <f t="shared" si="10"/>
        <v>26</v>
      </c>
      <c r="P69" s="136" t="s">
        <v>1746</v>
      </c>
      <c r="Q69" s="131">
        <f t="shared" si="11"/>
        <v>2</v>
      </c>
      <c r="R69" s="132">
        <f t="shared" si="12"/>
        <v>0.9285714285714286</v>
      </c>
      <c r="S69" s="70"/>
      <c r="T69" s="70"/>
      <c r="U69" s="70"/>
      <c r="V69" s="70" t="s">
        <v>2239</v>
      </c>
      <c r="W69" s="70" t="s">
        <v>2239</v>
      </c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1212</v>
      </c>
      <c r="H70" s="84" t="s">
        <v>1051</v>
      </c>
      <c r="I70" s="73" t="s">
        <v>1213</v>
      </c>
      <c r="J70" s="73" t="s">
        <v>72</v>
      </c>
      <c r="K70" s="73" t="s">
        <v>1290</v>
      </c>
      <c r="L70" s="73"/>
      <c r="M70" s="84" t="s">
        <v>1300</v>
      </c>
      <c r="N70" s="84"/>
      <c r="O70" s="131">
        <f t="shared" si="10"/>
        <v>28</v>
      </c>
      <c r="P70" s="136" t="s">
        <v>1748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/>
      <c r="B71"/>
      <c r="C71"/>
      <c r="D71"/>
      <c r="E71"/>
      <c r="F71" s="73" t="s">
        <v>51</v>
      </c>
      <c r="G71" t="s">
        <v>1214</v>
      </c>
      <c r="H71" s="30" t="s">
        <v>1051</v>
      </c>
      <c r="I71" t="s">
        <v>1215</v>
      </c>
      <c r="J71" t="s">
        <v>72</v>
      </c>
      <c r="K71" t="s">
        <v>27</v>
      </c>
      <c r="L71"/>
      <c r="M71" s="30" t="s">
        <v>1311</v>
      </c>
      <c r="N71" s="30"/>
      <c r="O71" s="31">
        <f t="shared" si="10"/>
        <v>25</v>
      </c>
      <c r="P71" s="136" t="s">
        <v>1749</v>
      </c>
      <c r="Q71" s="31">
        <f t="shared" si="11"/>
        <v>3</v>
      </c>
      <c r="R71" s="32">
        <f t="shared" si="12"/>
        <v>0.8928571428571429</v>
      </c>
      <c r="S71" s="70"/>
      <c r="T71" s="70"/>
      <c r="U71" s="70"/>
      <c r="V71" s="70"/>
      <c r="W71" s="70" t="s">
        <v>2239</v>
      </c>
      <c r="X71" s="70" t="s">
        <v>2239</v>
      </c>
      <c r="Y71" s="70" t="s">
        <v>2239</v>
      </c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13</v>
      </c>
      <c r="C72"/>
      <c r="D72"/>
      <c r="E72" t="s">
        <v>2349</v>
      </c>
      <c r="F72" t="s">
        <v>51</v>
      </c>
      <c r="G72" s="30" t="s">
        <v>1288</v>
      </c>
      <c r="H72" s="30" t="s">
        <v>1051</v>
      </c>
      <c r="I72" t="s">
        <v>87</v>
      </c>
      <c r="J72" s="30" t="s">
        <v>72</v>
      </c>
      <c r="K72" s="30" t="s">
        <v>27</v>
      </c>
      <c r="L72" s="30"/>
      <c r="M72" s="30" t="s">
        <v>1287</v>
      </c>
      <c r="N72" s="30"/>
      <c r="O72" s="31">
        <f t="shared" si="10"/>
        <v>28</v>
      </c>
      <c r="P72" s="136" t="s">
        <v>1750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/>
      <c r="F73" t="s">
        <v>51</v>
      </c>
      <c r="G73" t="s">
        <v>70</v>
      </c>
      <c r="H73" t="s">
        <v>1051</v>
      </c>
      <c r="I73" t="s">
        <v>71</v>
      </c>
      <c r="J73" s="30" t="s">
        <v>72</v>
      </c>
      <c r="K73" s="30" t="s">
        <v>1290</v>
      </c>
      <c r="L73" s="30"/>
      <c r="M73" s="30" t="s">
        <v>619</v>
      </c>
      <c r="N73" s="30"/>
      <c r="O73" s="31">
        <f t="shared" si="10"/>
        <v>28</v>
      </c>
      <c r="P73" s="136" t="s">
        <v>1668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/>
      <c r="F74" t="s">
        <v>51</v>
      </c>
      <c r="G74" t="s">
        <v>73</v>
      </c>
      <c r="H74" t="s">
        <v>1051</v>
      </c>
      <c r="I74" t="s">
        <v>74</v>
      </c>
      <c r="J74" s="30" t="s">
        <v>72</v>
      </c>
      <c r="K74" s="30" t="s">
        <v>1290</v>
      </c>
      <c r="L74" s="30"/>
      <c r="M74" s="30" t="s">
        <v>613</v>
      </c>
      <c r="N74" s="30"/>
      <c r="O74" s="31">
        <f t="shared" si="10"/>
        <v>28</v>
      </c>
      <c r="P74" s="136" t="s">
        <v>1669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2380</v>
      </c>
      <c r="C75"/>
      <c r="D75"/>
      <c r="E75" t="s">
        <v>2348</v>
      </c>
      <c r="F75" t="s">
        <v>51</v>
      </c>
      <c r="G75" t="s">
        <v>75</v>
      </c>
      <c r="H75" t="s">
        <v>1051</v>
      </c>
      <c r="I75" t="s">
        <v>76</v>
      </c>
      <c r="J75" s="30" t="s">
        <v>18</v>
      </c>
      <c r="K75" s="30" t="s">
        <v>27</v>
      </c>
      <c r="L75" s="30"/>
      <c r="M75" s="30" t="s">
        <v>620</v>
      </c>
      <c r="N75" s="30"/>
      <c r="O75" s="31">
        <f t="shared" si="10"/>
        <v>28</v>
      </c>
      <c r="P75" s="136" t="s">
        <v>1670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2347</v>
      </c>
      <c r="F76" t="s">
        <v>51</v>
      </c>
      <c r="G76" t="s">
        <v>77</v>
      </c>
      <c r="H76" t="s">
        <v>1051</v>
      </c>
      <c r="I76" t="s">
        <v>78</v>
      </c>
      <c r="J76" s="30" t="s">
        <v>18</v>
      </c>
      <c r="K76" s="30" t="s">
        <v>27</v>
      </c>
      <c r="L76" s="30"/>
      <c r="M76" s="30" t="s">
        <v>621</v>
      </c>
      <c r="N76" s="30"/>
      <c r="O76" s="31">
        <f t="shared" si="10"/>
        <v>28</v>
      </c>
      <c r="P76" s="136" t="s">
        <v>1671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2348</v>
      </c>
      <c r="F77" t="s">
        <v>51</v>
      </c>
      <c r="G77" t="s">
        <v>79</v>
      </c>
      <c r="H77" t="s">
        <v>1051</v>
      </c>
      <c r="I77" t="s">
        <v>80</v>
      </c>
      <c r="J77" s="30" t="s">
        <v>72</v>
      </c>
      <c r="K77" s="30" t="s">
        <v>27</v>
      </c>
      <c r="L77" s="30"/>
      <c r="M77" s="30" t="s">
        <v>623</v>
      </c>
      <c r="N77" s="30"/>
      <c r="O77" s="31">
        <f t="shared" si="10"/>
        <v>26</v>
      </c>
      <c r="P77" s="136"/>
      <c r="Q77" s="31">
        <f t="shared" si="11"/>
        <v>2</v>
      </c>
      <c r="R77" s="32">
        <f t="shared" si="12"/>
        <v>0.9285714285714286</v>
      </c>
      <c r="S77" s="70"/>
      <c r="T77" s="70"/>
      <c r="U77" s="70"/>
      <c r="V77" s="70" t="s">
        <v>2239</v>
      </c>
      <c r="W77" s="70"/>
      <c r="X77" s="70"/>
      <c r="Y77" s="70" t="s">
        <v>2239</v>
      </c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2381</v>
      </c>
      <c r="F78" t="s">
        <v>51</v>
      </c>
      <c r="G78" t="s">
        <v>81</v>
      </c>
      <c r="H78" t="s">
        <v>1051</v>
      </c>
      <c r="I78" t="s">
        <v>1066</v>
      </c>
      <c r="J78" s="30" t="s">
        <v>14</v>
      </c>
      <c r="K78" s="30" t="s">
        <v>27</v>
      </c>
      <c r="L78" s="30"/>
      <c r="M78" s="30" t="s">
        <v>624</v>
      </c>
      <c r="N78" s="30"/>
      <c r="O78" s="31">
        <f t="shared" si="10"/>
        <v>28</v>
      </c>
      <c r="P78" s="136" t="s">
        <v>1673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2348</v>
      </c>
      <c r="F79" t="s">
        <v>51</v>
      </c>
      <c r="G79" t="s">
        <v>82</v>
      </c>
      <c r="H79" t="s">
        <v>1051</v>
      </c>
      <c r="I79" t="s">
        <v>1065</v>
      </c>
      <c r="J79" s="30" t="s">
        <v>18</v>
      </c>
      <c r="K79" s="30" t="s">
        <v>27</v>
      </c>
      <c r="L79" s="30"/>
      <c r="M79" s="30" t="s">
        <v>625</v>
      </c>
      <c r="N79" s="30"/>
      <c r="O79" s="31">
        <f t="shared" si="10"/>
        <v>28</v>
      </c>
      <c r="P79" s="136" t="s">
        <v>1674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2357</v>
      </c>
      <c r="F80" t="s">
        <v>51</v>
      </c>
      <c r="G80" t="s">
        <v>83</v>
      </c>
      <c r="H80" t="s">
        <v>1051</v>
      </c>
      <c r="I80" t="s">
        <v>84</v>
      </c>
      <c r="J80" s="30" t="s">
        <v>18</v>
      </c>
      <c r="K80" s="30" t="s">
        <v>27</v>
      </c>
      <c r="L80" s="30"/>
      <c r="M80" s="30" t="s">
        <v>626</v>
      </c>
      <c r="N80" s="30"/>
      <c r="O80" s="31">
        <f t="shared" si="10"/>
        <v>28</v>
      </c>
      <c r="P80" s="136" t="s">
        <v>1675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13</v>
      </c>
      <c r="C81"/>
      <c r="D81"/>
      <c r="E81" t="s">
        <v>2349</v>
      </c>
      <c r="F81" t="s">
        <v>51</v>
      </c>
      <c r="G81" t="s">
        <v>85</v>
      </c>
      <c r="H81" t="s">
        <v>1051</v>
      </c>
      <c r="I81" t="s">
        <v>1064</v>
      </c>
      <c r="J81" s="30" t="s">
        <v>18</v>
      </c>
      <c r="K81" s="30" t="s">
        <v>27</v>
      </c>
      <c r="L81" s="30"/>
      <c r="M81" s="30" t="s">
        <v>627</v>
      </c>
      <c r="N81" s="30"/>
      <c r="O81" s="31">
        <f t="shared" si="10"/>
        <v>28</v>
      </c>
      <c r="P81" s="136" t="s">
        <v>1676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/>
      <c r="B82"/>
      <c r="C82"/>
      <c r="D82"/>
      <c r="E82"/>
      <c r="F82" s="73" t="s">
        <v>51</v>
      </c>
      <c r="G82" s="84" t="s">
        <v>2267</v>
      </c>
      <c r="H82" s="84" t="s">
        <v>1051</v>
      </c>
      <c r="I82" s="73" t="s">
        <v>2268</v>
      </c>
      <c r="J82" s="84" t="s">
        <v>18</v>
      </c>
      <c r="K82" s="30" t="s">
        <v>27</v>
      </c>
      <c r="L82" s="84"/>
      <c r="M82" s="84" t="s">
        <v>2269</v>
      </c>
      <c r="N82" s="84"/>
      <c r="O82" s="131">
        <f t="shared" si="10"/>
        <v>24</v>
      </c>
      <c r="P82" s="136" t="s">
        <v>2270</v>
      </c>
      <c r="Q82" s="131">
        <f t="shared" si="11"/>
        <v>4</v>
      </c>
      <c r="R82" s="132">
        <f t="shared" si="12"/>
        <v>0.8571428571428571</v>
      </c>
      <c r="S82" s="70"/>
      <c r="T82" s="70"/>
      <c r="U82" s="70"/>
      <c r="V82" s="70" t="s">
        <v>2239</v>
      </c>
      <c r="W82" s="70" t="s">
        <v>2239</v>
      </c>
      <c r="X82" s="70" t="s">
        <v>2239</v>
      </c>
      <c r="Y82" s="70" t="s">
        <v>2239</v>
      </c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13</v>
      </c>
      <c r="C83"/>
      <c r="D83"/>
      <c r="E83" t="s">
        <v>2349</v>
      </c>
      <c r="F83" t="s">
        <v>51</v>
      </c>
      <c r="G83" t="s">
        <v>86</v>
      </c>
      <c r="H83" t="s">
        <v>1051</v>
      </c>
      <c r="I83" t="s">
        <v>87</v>
      </c>
      <c r="J83" s="30" t="s">
        <v>18</v>
      </c>
      <c r="K83" s="30" t="s">
        <v>27</v>
      </c>
      <c r="L83" s="30"/>
      <c r="M83" s="30" t="s">
        <v>628</v>
      </c>
      <c r="N83" s="30"/>
      <c r="O83" s="31">
        <f t="shared" si="10"/>
        <v>28</v>
      </c>
      <c r="P83" s="136" t="s">
        <v>1677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13</v>
      </c>
      <c r="E84" t="s">
        <v>2349</v>
      </c>
      <c r="F84" t="s">
        <v>51</v>
      </c>
      <c r="G84" t="s">
        <v>90</v>
      </c>
      <c r="H84" t="s">
        <v>1051</v>
      </c>
      <c r="I84" t="s">
        <v>1068</v>
      </c>
      <c r="J84" s="30" t="s">
        <v>18</v>
      </c>
      <c r="K84" s="30" t="s">
        <v>27</v>
      </c>
      <c r="L84" s="30"/>
      <c r="M84" s="30" t="s">
        <v>631</v>
      </c>
      <c r="N84" s="30"/>
      <c r="O84" s="31">
        <f t="shared" si="10"/>
        <v>28</v>
      </c>
      <c r="P84" s="136" t="s">
        <v>1680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91</v>
      </c>
      <c r="H85" s="73" t="s">
        <v>1051</v>
      </c>
      <c r="I85" s="73" t="s">
        <v>92</v>
      </c>
      <c r="J85" s="84" t="s">
        <v>18</v>
      </c>
      <c r="K85" s="84" t="s">
        <v>1290</v>
      </c>
      <c r="L85" s="84"/>
      <c r="M85" s="84" t="s">
        <v>632</v>
      </c>
      <c r="N85" s="84"/>
      <c r="O85" s="131">
        <f t="shared" si="10"/>
        <v>28</v>
      </c>
      <c r="P85" s="136" t="s">
        <v>1681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2348</v>
      </c>
      <c r="F86" t="s">
        <v>51</v>
      </c>
      <c r="G86" t="s">
        <v>93</v>
      </c>
      <c r="H86" t="s">
        <v>1051</v>
      </c>
      <c r="I86" t="s">
        <v>94</v>
      </c>
      <c r="J86" s="30" t="s">
        <v>72</v>
      </c>
      <c r="K86" s="30" t="s">
        <v>27</v>
      </c>
      <c r="L86" s="30"/>
      <c r="M86" s="30" t="s">
        <v>633</v>
      </c>
      <c r="N86" s="30"/>
      <c r="O86" s="31">
        <f t="shared" si="10"/>
        <v>28</v>
      </c>
      <c r="P86" s="136" t="s">
        <v>1682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2348</v>
      </c>
      <c r="F87" t="s">
        <v>51</v>
      </c>
      <c r="G87" t="s">
        <v>95</v>
      </c>
      <c r="H87" t="s">
        <v>1051</v>
      </c>
      <c r="I87" t="s">
        <v>96</v>
      </c>
      <c r="J87" s="30" t="s">
        <v>18</v>
      </c>
      <c r="K87" s="30" t="s">
        <v>1045</v>
      </c>
      <c r="L87" s="30" t="s">
        <v>1241</v>
      </c>
      <c r="M87" s="30" t="s">
        <v>634</v>
      </c>
      <c r="N87" s="30"/>
      <c r="O87" s="31">
        <f t="shared" si="10"/>
        <v>28</v>
      </c>
      <c r="P87" s="136" t="s">
        <v>1683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13</v>
      </c>
      <c r="C88"/>
      <c r="D88"/>
      <c r="E88" t="s">
        <v>2349</v>
      </c>
      <c r="F88" t="s">
        <v>51</v>
      </c>
      <c r="G88" t="s">
        <v>97</v>
      </c>
      <c r="H88" t="s">
        <v>1051</v>
      </c>
      <c r="I88" t="s">
        <v>98</v>
      </c>
      <c r="J88" s="30" t="s">
        <v>72</v>
      </c>
      <c r="K88" s="30" t="s">
        <v>27</v>
      </c>
      <c r="L88" s="30"/>
      <c r="M88" s="30" t="s">
        <v>635</v>
      </c>
      <c r="N88" s="30"/>
      <c r="O88" s="31">
        <f t="shared" si="10"/>
        <v>28</v>
      </c>
      <c r="P88" s="136" t="s">
        <v>1684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2357</v>
      </c>
      <c r="F89" t="s">
        <v>51</v>
      </c>
      <c r="G89" t="s">
        <v>99</v>
      </c>
      <c r="H89" t="s">
        <v>1051</v>
      </c>
      <c r="I89" t="s">
        <v>84</v>
      </c>
      <c r="J89" s="30" t="s">
        <v>72</v>
      </c>
      <c r="K89" s="30" t="s">
        <v>27</v>
      </c>
      <c r="L89" s="30"/>
      <c r="M89" s="30" t="s">
        <v>636</v>
      </c>
      <c r="N89" s="30"/>
      <c r="O89" s="31">
        <f t="shared" si="10"/>
        <v>28</v>
      </c>
      <c r="P89" s="136" t="s">
        <v>1685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100</v>
      </c>
      <c r="G90" s="73" t="s">
        <v>101</v>
      </c>
      <c r="H90" s="73" t="s">
        <v>1051</v>
      </c>
      <c r="I90" s="73" t="s">
        <v>102</v>
      </c>
      <c r="J90" s="84" t="s">
        <v>18</v>
      </c>
      <c r="K90" s="84" t="s">
        <v>1290</v>
      </c>
      <c r="L90" s="84"/>
      <c r="M90" s="84" t="s">
        <v>637</v>
      </c>
      <c r="N90" s="84"/>
      <c r="O90" s="131">
        <f t="shared" si="10"/>
        <v>28</v>
      </c>
      <c r="P90" s="136" t="s">
        <v>1686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103</v>
      </c>
      <c r="H91" s="88" t="s">
        <v>1051</v>
      </c>
      <c r="I91" s="88" t="s">
        <v>104</v>
      </c>
      <c r="J91" s="89" t="s">
        <v>72</v>
      </c>
      <c r="K91" s="84" t="s">
        <v>1290</v>
      </c>
      <c r="L91" s="89"/>
      <c r="M91" s="89" t="s">
        <v>2274</v>
      </c>
      <c r="N91" s="89"/>
      <c r="O91" s="31">
        <f t="shared" si="10"/>
        <v>28</v>
      </c>
      <c r="P91" s="136" t="s">
        <v>2323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105</v>
      </c>
      <c r="H92" s="73" t="s">
        <v>1051</v>
      </c>
      <c r="I92" s="73" t="s">
        <v>106</v>
      </c>
      <c r="J92" s="84" t="s">
        <v>18</v>
      </c>
      <c r="K92" s="84" t="s">
        <v>1290</v>
      </c>
      <c r="L92" s="84"/>
      <c r="M92" s="84" t="s">
        <v>1364</v>
      </c>
      <c r="N92" s="84"/>
      <c r="O92" s="131">
        <f t="shared" si="10"/>
        <v>24</v>
      </c>
      <c r="P92" s="136" t="s">
        <v>1687</v>
      </c>
      <c r="Q92" s="131">
        <f t="shared" si="11"/>
        <v>4</v>
      </c>
      <c r="R92" s="132">
        <f t="shared" si="12"/>
        <v>0.8571428571428571</v>
      </c>
      <c r="S92" s="70"/>
      <c r="T92" s="70"/>
      <c r="U92" s="70"/>
      <c r="V92" s="70" t="s">
        <v>2239</v>
      </c>
      <c r="W92" s="70" t="s">
        <v>2239</v>
      </c>
      <c r="X92" s="70" t="s">
        <v>2239</v>
      </c>
      <c r="Y92" s="70" t="s">
        <v>2239</v>
      </c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23</v>
      </c>
      <c r="C93"/>
      <c r="D93"/>
      <c r="E93" t="s">
        <v>2349</v>
      </c>
      <c r="F93" t="s">
        <v>51</v>
      </c>
      <c r="G93" t="s">
        <v>107</v>
      </c>
      <c r="H93" t="s">
        <v>1051</v>
      </c>
      <c r="I93" t="s">
        <v>108</v>
      </c>
      <c r="J93" s="30" t="s">
        <v>18</v>
      </c>
      <c r="K93" s="30" t="s">
        <v>27</v>
      </c>
      <c r="L93" s="30"/>
      <c r="M93" s="30" t="s">
        <v>638</v>
      </c>
      <c r="N93" s="30"/>
      <c r="O93" s="31">
        <f t="shared" si="10"/>
        <v>28</v>
      </c>
      <c r="P93" s="136" t="s">
        <v>1688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109</v>
      </c>
      <c r="H94" t="s">
        <v>1051</v>
      </c>
      <c r="I94" t="s">
        <v>1069</v>
      </c>
      <c r="J94" s="30" t="s">
        <v>18</v>
      </c>
      <c r="K94" s="30" t="s">
        <v>1290</v>
      </c>
      <c r="L94" s="30"/>
      <c r="M94" s="30" t="s">
        <v>2332</v>
      </c>
      <c r="N94" s="30"/>
      <c r="O94" s="31">
        <f t="shared" ref="O94:O125" si="13">COUNTIF(S94:AT94,"")</f>
        <v>28</v>
      </c>
      <c r="P94" s="136" t="s">
        <v>1689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/>
      <c r="F95" t="s">
        <v>51</v>
      </c>
      <c r="G95" t="s">
        <v>110</v>
      </c>
      <c r="H95" t="s">
        <v>1051</v>
      </c>
      <c r="I95" t="s">
        <v>111</v>
      </c>
      <c r="J95" s="30" t="s">
        <v>18</v>
      </c>
      <c r="K95" s="30" t="s">
        <v>27</v>
      </c>
      <c r="L95" s="30"/>
      <c r="M95" s="30" t="s">
        <v>639</v>
      </c>
      <c r="N95" s="30"/>
      <c r="O95" s="31">
        <f t="shared" si="13"/>
        <v>28</v>
      </c>
      <c r="P95" s="136" t="s">
        <v>1690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2348</v>
      </c>
      <c r="F96" t="s">
        <v>51</v>
      </c>
      <c r="G96" t="s">
        <v>112</v>
      </c>
      <c r="H96" t="s">
        <v>1051</v>
      </c>
      <c r="I96" t="s">
        <v>1071</v>
      </c>
      <c r="J96" s="30" t="s">
        <v>18</v>
      </c>
      <c r="K96" s="30" t="s">
        <v>27</v>
      </c>
      <c r="L96" s="30"/>
      <c r="M96" s="30" t="s">
        <v>1138</v>
      </c>
      <c r="N96" s="30"/>
      <c r="O96" s="31">
        <f t="shared" si="13"/>
        <v>28</v>
      </c>
      <c r="P96" s="136" t="s">
        <v>1691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2348</v>
      </c>
      <c r="F97" t="s">
        <v>51</v>
      </c>
      <c r="G97" t="s">
        <v>113</v>
      </c>
      <c r="H97" t="s">
        <v>1051</v>
      </c>
      <c r="I97" t="s">
        <v>1072</v>
      </c>
      <c r="J97" s="30" t="s">
        <v>18</v>
      </c>
      <c r="K97" s="30" t="s">
        <v>1290</v>
      </c>
      <c r="L97" s="30"/>
      <c r="M97" s="30" t="s">
        <v>1462</v>
      </c>
      <c r="N97" s="30"/>
      <c r="O97" s="31">
        <f t="shared" si="13"/>
        <v>28</v>
      </c>
      <c r="P97" s="136" t="s">
        <v>1692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2348</v>
      </c>
      <c r="F98" t="s">
        <v>51</v>
      </c>
      <c r="G98" t="s">
        <v>114</v>
      </c>
      <c r="H98" t="s">
        <v>1051</v>
      </c>
      <c r="I98" t="s">
        <v>115</v>
      </c>
      <c r="J98" s="30" t="s">
        <v>18</v>
      </c>
      <c r="K98" s="30" t="s">
        <v>27</v>
      </c>
      <c r="L98" s="30"/>
      <c r="M98" s="30" t="s">
        <v>640</v>
      </c>
      <c r="N98" s="30"/>
      <c r="O98" s="31">
        <f t="shared" si="13"/>
        <v>28</v>
      </c>
      <c r="P98" s="136" t="s">
        <v>1693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2348</v>
      </c>
      <c r="F99" t="s">
        <v>51</v>
      </c>
      <c r="G99" t="s">
        <v>116</v>
      </c>
      <c r="H99" t="s">
        <v>1051</v>
      </c>
      <c r="I99" t="s">
        <v>117</v>
      </c>
      <c r="J99" s="30" t="s">
        <v>18</v>
      </c>
      <c r="K99" s="30" t="s">
        <v>27</v>
      </c>
      <c r="L99" s="30"/>
      <c r="M99" s="30" t="s">
        <v>641</v>
      </c>
      <c r="N99" s="30"/>
      <c r="O99" s="31">
        <f t="shared" si="13"/>
        <v>28</v>
      </c>
      <c r="P99" s="136" t="s">
        <v>1694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13</v>
      </c>
      <c r="C100"/>
      <c r="D100"/>
      <c r="E100" t="s">
        <v>2349</v>
      </c>
      <c r="F100" t="s">
        <v>51</v>
      </c>
      <c r="G100" t="s">
        <v>118</v>
      </c>
      <c r="H100" t="s">
        <v>1051</v>
      </c>
      <c r="I100" t="s">
        <v>119</v>
      </c>
      <c r="J100" s="30" t="s">
        <v>18</v>
      </c>
      <c r="K100" s="30" t="s">
        <v>27</v>
      </c>
      <c r="L100" s="30"/>
      <c r="M100" s="30" t="s">
        <v>642</v>
      </c>
      <c r="N100" s="30"/>
      <c r="O100" s="31">
        <f t="shared" si="13"/>
        <v>28</v>
      </c>
      <c r="P100" s="136" t="s">
        <v>1695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13</v>
      </c>
      <c r="C101"/>
      <c r="D101"/>
      <c r="E101" t="s">
        <v>2349</v>
      </c>
      <c r="F101" t="s">
        <v>51</v>
      </c>
      <c r="G101" t="s">
        <v>120</v>
      </c>
      <c r="H101" t="s">
        <v>1051</v>
      </c>
      <c r="I101" t="s">
        <v>121</v>
      </c>
      <c r="J101" s="30" t="s">
        <v>18</v>
      </c>
      <c r="K101" s="30" t="s">
        <v>27</v>
      </c>
      <c r="L101" s="30"/>
      <c r="M101" s="30" t="s">
        <v>643</v>
      </c>
      <c r="N101" s="30"/>
      <c r="O101" s="31">
        <f t="shared" si="13"/>
        <v>28</v>
      </c>
      <c r="P101" s="136" t="s">
        <v>1696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13</v>
      </c>
      <c r="C102"/>
      <c r="D102"/>
      <c r="E102" t="s">
        <v>2349</v>
      </c>
      <c r="F102" t="s">
        <v>51</v>
      </c>
      <c r="G102" t="s">
        <v>122</v>
      </c>
      <c r="H102" t="s">
        <v>1051</v>
      </c>
      <c r="I102" t="s">
        <v>1073</v>
      </c>
      <c r="J102" s="30" t="s">
        <v>18</v>
      </c>
      <c r="K102" s="30" t="s">
        <v>27</v>
      </c>
      <c r="L102" s="30"/>
      <c r="M102" s="30" t="s">
        <v>644</v>
      </c>
      <c r="N102" s="30"/>
      <c r="O102" s="31">
        <f t="shared" si="13"/>
        <v>28</v>
      </c>
      <c r="P102" s="136" t="s">
        <v>1697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13</v>
      </c>
      <c r="C103"/>
      <c r="D103"/>
      <c r="E103" t="s">
        <v>2349</v>
      </c>
      <c r="F103" t="s">
        <v>51</v>
      </c>
      <c r="G103" t="s">
        <v>123</v>
      </c>
      <c r="H103" t="s">
        <v>1051</v>
      </c>
      <c r="I103" t="s">
        <v>124</v>
      </c>
      <c r="J103" s="30" t="s">
        <v>18</v>
      </c>
      <c r="K103" s="30" t="s">
        <v>27</v>
      </c>
      <c r="L103" s="30"/>
      <c r="M103" s="30" t="s">
        <v>645</v>
      </c>
      <c r="N103" s="30"/>
      <c r="O103" s="31">
        <f t="shared" si="13"/>
        <v>28</v>
      </c>
      <c r="P103" s="136" t="s">
        <v>1698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2348</v>
      </c>
      <c r="F104" t="s">
        <v>51</v>
      </c>
      <c r="G104" t="s">
        <v>125</v>
      </c>
      <c r="H104" t="s">
        <v>1051</v>
      </c>
      <c r="I104" t="s">
        <v>1054</v>
      </c>
      <c r="J104" s="30" t="s">
        <v>18</v>
      </c>
      <c r="K104" s="30" t="s">
        <v>27</v>
      </c>
      <c r="L104" s="30"/>
      <c r="M104" s="30" t="s">
        <v>646</v>
      </c>
      <c r="N104" s="30"/>
      <c r="O104" s="31">
        <f t="shared" si="13"/>
        <v>28</v>
      </c>
      <c r="P104" s="136" t="s">
        <v>1699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2386</v>
      </c>
      <c r="F105" t="s">
        <v>51</v>
      </c>
      <c r="G105" t="s">
        <v>126</v>
      </c>
      <c r="H105" t="s">
        <v>1051</v>
      </c>
      <c r="I105" t="s">
        <v>1055</v>
      </c>
      <c r="J105" s="30" t="s">
        <v>18</v>
      </c>
      <c r="K105" s="30" t="s">
        <v>27</v>
      </c>
      <c r="L105" s="30"/>
      <c r="M105" s="30" t="s">
        <v>647</v>
      </c>
      <c r="N105" s="30"/>
      <c r="O105" s="31">
        <f t="shared" si="13"/>
        <v>28</v>
      </c>
      <c r="P105" s="136" t="s">
        <v>1700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127</v>
      </c>
      <c r="H106" t="s">
        <v>1051</v>
      </c>
      <c r="I106" t="s">
        <v>1056</v>
      </c>
      <c r="J106" s="30" t="s">
        <v>18</v>
      </c>
      <c r="K106" s="30" t="s">
        <v>1290</v>
      </c>
      <c r="L106" s="30"/>
      <c r="M106" s="30" t="s">
        <v>648</v>
      </c>
      <c r="N106" s="30"/>
      <c r="O106" s="31">
        <f t="shared" si="13"/>
        <v>28</v>
      </c>
      <c r="P106" s="136" t="s">
        <v>1701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/>
      <c r="B107"/>
      <c r="C107"/>
      <c r="D107"/>
      <c r="E107"/>
      <c r="F107" t="s">
        <v>51</v>
      </c>
      <c r="G107" t="s">
        <v>129</v>
      </c>
      <c r="H107" t="s">
        <v>1051</v>
      </c>
      <c r="I107" t="s">
        <v>130</v>
      </c>
      <c r="J107" s="30" t="s">
        <v>18</v>
      </c>
      <c r="K107" s="30" t="s">
        <v>27</v>
      </c>
      <c r="L107" s="30"/>
      <c r="M107" s="30" t="s">
        <v>650</v>
      </c>
      <c r="N107" s="30"/>
      <c r="O107" s="31">
        <f t="shared" si="13"/>
        <v>28</v>
      </c>
      <c r="P107" s="136" t="s">
        <v>1703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2347</v>
      </c>
      <c r="F108" t="s">
        <v>51</v>
      </c>
      <c r="G108" t="s">
        <v>131</v>
      </c>
      <c r="H108" t="s">
        <v>1051</v>
      </c>
      <c r="I108" t="s">
        <v>132</v>
      </c>
      <c r="J108" s="30" t="s">
        <v>18</v>
      </c>
      <c r="K108" s="30" t="s">
        <v>27</v>
      </c>
      <c r="L108" s="30"/>
      <c r="M108" s="30" t="s">
        <v>651</v>
      </c>
      <c r="N108" s="30"/>
      <c r="O108" s="31">
        <f t="shared" si="13"/>
        <v>28</v>
      </c>
      <c r="P108" s="136" t="s">
        <v>1704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2347</v>
      </c>
      <c r="F109" t="s">
        <v>51</v>
      </c>
      <c r="G109" t="s">
        <v>133</v>
      </c>
      <c r="H109" t="s">
        <v>1051</v>
      </c>
      <c r="I109" t="s">
        <v>134</v>
      </c>
      <c r="J109" s="30" t="s">
        <v>18</v>
      </c>
      <c r="K109" s="30" t="s">
        <v>27</v>
      </c>
      <c r="L109" s="30"/>
      <c r="M109" s="30" t="s">
        <v>652</v>
      </c>
      <c r="N109" s="30"/>
      <c r="O109" s="31">
        <f t="shared" si="13"/>
        <v>28</v>
      </c>
      <c r="P109" s="136" t="s">
        <v>1705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/>
      <c r="B110"/>
      <c r="C110"/>
      <c r="D110"/>
      <c r="E110"/>
      <c r="F110" t="s">
        <v>51</v>
      </c>
      <c r="G110" t="s">
        <v>135</v>
      </c>
      <c r="H110" t="s">
        <v>1051</v>
      </c>
      <c r="I110" t="s">
        <v>136</v>
      </c>
      <c r="J110" s="30" t="s">
        <v>18</v>
      </c>
      <c r="K110" s="30" t="s">
        <v>27</v>
      </c>
      <c r="L110" s="30"/>
      <c r="M110" s="30" t="s">
        <v>653</v>
      </c>
      <c r="N110" s="30"/>
      <c r="O110" s="31">
        <f t="shared" si="13"/>
        <v>27</v>
      </c>
      <c r="P110" s="136" t="s">
        <v>1706</v>
      </c>
      <c r="Q110" s="31">
        <f t="shared" si="14"/>
        <v>1</v>
      </c>
      <c r="R110" s="32">
        <f t="shared" si="15"/>
        <v>0.9642857142857143</v>
      </c>
      <c r="S110" s="70"/>
      <c r="T110" s="70"/>
      <c r="U110" s="70"/>
      <c r="V110" s="70"/>
      <c r="W110" s="70"/>
      <c r="X110" s="70" t="s">
        <v>2239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137</v>
      </c>
      <c r="H111" s="73" t="s">
        <v>1051</v>
      </c>
      <c r="I111" s="73" t="s">
        <v>1503</v>
      </c>
      <c r="J111" s="84" t="s">
        <v>18</v>
      </c>
      <c r="K111" s="84" t="s">
        <v>1290</v>
      </c>
      <c r="L111" s="84"/>
      <c r="M111" s="84" t="s">
        <v>654</v>
      </c>
      <c r="N111" s="84"/>
      <c r="O111" s="131">
        <f t="shared" si="13"/>
        <v>28</v>
      </c>
      <c r="P111" s="136" t="s">
        <v>1707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13</v>
      </c>
      <c r="C112"/>
      <c r="D112"/>
      <c r="E112" t="s">
        <v>2349</v>
      </c>
      <c r="F112" t="s">
        <v>51</v>
      </c>
      <c r="G112" t="s">
        <v>138</v>
      </c>
      <c r="H112" t="s">
        <v>1051</v>
      </c>
      <c r="I112" t="s">
        <v>139</v>
      </c>
      <c r="J112" s="30" t="s">
        <v>18</v>
      </c>
      <c r="K112" s="30" t="s">
        <v>27</v>
      </c>
      <c r="L112" s="30"/>
      <c r="M112" s="30" t="s">
        <v>655</v>
      </c>
      <c r="N112" s="30"/>
      <c r="O112" s="31">
        <f t="shared" si="13"/>
        <v>28</v>
      </c>
      <c r="P112" s="136" t="s">
        <v>1708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/>
      <c r="B113"/>
      <c r="C113"/>
      <c r="D113"/>
      <c r="E113"/>
      <c r="F113" t="s">
        <v>51</v>
      </c>
      <c r="G113" t="s">
        <v>140</v>
      </c>
      <c r="H113" t="s">
        <v>1051</v>
      </c>
      <c r="I113" t="s">
        <v>141</v>
      </c>
      <c r="J113" s="30" t="s">
        <v>18</v>
      </c>
      <c r="K113" s="30" t="s">
        <v>27</v>
      </c>
      <c r="L113" s="30"/>
      <c r="M113" s="30" t="s">
        <v>656</v>
      </c>
      <c r="N113" s="30"/>
      <c r="O113" s="31">
        <f t="shared" si="13"/>
        <v>28</v>
      </c>
      <c r="P113" s="136" t="s">
        <v>1709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2350</v>
      </c>
      <c r="F114" t="s">
        <v>51</v>
      </c>
      <c r="G114" t="s">
        <v>1463</v>
      </c>
      <c r="H114" t="s">
        <v>1051</v>
      </c>
      <c r="I114" t="s">
        <v>57</v>
      </c>
      <c r="J114" s="30" t="s">
        <v>72</v>
      </c>
      <c r="K114" s="30" t="s">
        <v>27</v>
      </c>
      <c r="L114" s="30"/>
      <c r="M114" s="30" t="s">
        <v>657</v>
      </c>
      <c r="N114" s="30"/>
      <c r="O114" s="31">
        <f t="shared" si="13"/>
        <v>28</v>
      </c>
      <c r="P114" s="136" t="s">
        <v>1710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2350</v>
      </c>
      <c r="F115" t="s">
        <v>51</v>
      </c>
      <c r="G115" t="s">
        <v>1464</v>
      </c>
      <c r="H115" t="s">
        <v>1051</v>
      </c>
      <c r="I115" t="s">
        <v>57</v>
      </c>
      <c r="J115" s="30" t="s">
        <v>72</v>
      </c>
      <c r="K115" s="30" t="s">
        <v>27</v>
      </c>
      <c r="L115" s="30"/>
      <c r="M115" s="30" t="s">
        <v>658</v>
      </c>
      <c r="N115" s="30"/>
      <c r="O115" s="31">
        <f t="shared" si="13"/>
        <v>28</v>
      </c>
      <c r="P115" s="136" t="s">
        <v>1711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13</v>
      </c>
      <c r="C116"/>
      <c r="D116"/>
      <c r="E116" t="s">
        <v>2349</v>
      </c>
      <c r="F116" t="s">
        <v>51</v>
      </c>
      <c r="G116" t="s">
        <v>142</v>
      </c>
      <c r="H116" t="s">
        <v>1051</v>
      </c>
      <c r="I116" t="s">
        <v>143</v>
      </c>
      <c r="J116" s="30" t="s">
        <v>18</v>
      </c>
      <c r="K116" s="30" t="s">
        <v>27</v>
      </c>
      <c r="L116" s="30"/>
      <c r="M116" s="30" t="s">
        <v>659</v>
      </c>
      <c r="N116" s="30"/>
      <c r="O116" s="31">
        <f t="shared" si="13"/>
        <v>28</v>
      </c>
      <c r="P116" s="136" t="s">
        <v>1712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144</v>
      </c>
      <c r="H117" s="73" t="s">
        <v>1051</v>
      </c>
      <c r="I117" s="73" t="s">
        <v>145</v>
      </c>
      <c r="J117" s="84" t="s">
        <v>18</v>
      </c>
      <c r="K117" s="84" t="s">
        <v>1290</v>
      </c>
      <c r="L117" s="84"/>
      <c r="M117" s="84" t="s">
        <v>1412</v>
      </c>
      <c r="N117" s="84"/>
      <c r="O117" s="131">
        <f t="shared" si="13"/>
        <v>28</v>
      </c>
      <c r="P117" s="136" t="s">
        <v>1713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/>
      <c r="B118"/>
      <c r="C118"/>
      <c r="D118"/>
      <c r="E118"/>
      <c r="F118" t="s">
        <v>51</v>
      </c>
      <c r="G118" t="s">
        <v>146</v>
      </c>
      <c r="H118" t="s">
        <v>1051</v>
      </c>
      <c r="I118" t="s">
        <v>147</v>
      </c>
      <c r="J118" s="30" t="s">
        <v>18</v>
      </c>
      <c r="K118" s="30" t="s">
        <v>27</v>
      </c>
      <c r="L118" s="30"/>
      <c r="M118" s="30" t="s">
        <v>1444</v>
      </c>
      <c r="N118" s="30"/>
      <c r="O118" s="31">
        <f t="shared" si="13"/>
        <v>24</v>
      </c>
      <c r="P118" s="136" t="s">
        <v>1714</v>
      </c>
      <c r="Q118" s="31">
        <f t="shared" si="14"/>
        <v>4</v>
      </c>
      <c r="R118" s="32">
        <f t="shared" si="15"/>
        <v>0.8571428571428571</v>
      </c>
      <c r="S118" s="70"/>
      <c r="T118" s="70"/>
      <c r="U118" s="70"/>
      <c r="V118" s="70" t="s">
        <v>2239</v>
      </c>
      <c r="W118" s="70" t="s">
        <v>2239</v>
      </c>
      <c r="X118" s="70" t="s">
        <v>2239</v>
      </c>
      <c r="Y118" s="70" t="s">
        <v>2239</v>
      </c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/>
      <c r="F119" s="73" t="s">
        <v>51</v>
      </c>
      <c r="G119" s="73" t="s">
        <v>149</v>
      </c>
      <c r="H119" s="73" t="s">
        <v>1051</v>
      </c>
      <c r="I119" s="73" t="s">
        <v>150</v>
      </c>
      <c r="J119" s="84" t="s">
        <v>14</v>
      </c>
      <c r="K119" s="84" t="s">
        <v>1290</v>
      </c>
      <c r="L119" s="84"/>
      <c r="M119" s="84" t="s">
        <v>1420</v>
      </c>
      <c r="N119" s="84"/>
      <c r="O119" s="131">
        <f t="shared" si="13"/>
        <v>28</v>
      </c>
      <c r="P119" s="136" t="s">
        <v>1717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925</v>
      </c>
      <c r="H120" s="73" t="s">
        <v>1051</v>
      </c>
      <c r="I120" s="73" t="s">
        <v>58</v>
      </c>
      <c r="J120" s="84" t="s">
        <v>14</v>
      </c>
      <c r="K120" s="84" t="s">
        <v>1290</v>
      </c>
      <c r="L120" s="84"/>
      <c r="M120" s="84" t="s">
        <v>1363</v>
      </c>
      <c r="N120" s="84"/>
      <c r="O120" s="131">
        <f t="shared" si="13"/>
        <v>28</v>
      </c>
      <c r="P120" s="136" t="s">
        <v>1724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2347</v>
      </c>
      <c r="F121" t="s">
        <v>51</v>
      </c>
      <c r="G121" t="s">
        <v>926</v>
      </c>
      <c r="H121" t="s">
        <v>1051</v>
      </c>
      <c r="I121" t="s">
        <v>1074</v>
      </c>
      <c r="J121" s="30" t="s">
        <v>14</v>
      </c>
      <c r="K121" s="30" t="s">
        <v>1045</v>
      </c>
      <c r="L121" s="30" t="s">
        <v>1242</v>
      </c>
      <c r="M121" s="30" t="s">
        <v>663</v>
      </c>
      <c r="N121" s="30"/>
      <c r="O121" s="31">
        <f t="shared" si="13"/>
        <v>28</v>
      </c>
      <c r="P121" s="136" t="s">
        <v>1727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/>
      <c r="F122" t="s">
        <v>51</v>
      </c>
      <c r="G122" t="s">
        <v>927</v>
      </c>
      <c r="H122" t="s">
        <v>1051</v>
      </c>
      <c r="I122" t="s">
        <v>63</v>
      </c>
      <c r="J122" s="30" t="s">
        <v>14</v>
      </c>
      <c r="K122" s="30" t="s">
        <v>27</v>
      </c>
      <c r="L122" s="30"/>
      <c r="M122" s="30" t="s">
        <v>664</v>
      </c>
      <c r="N122" s="30"/>
      <c r="O122" s="31">
        <f t="shared" si="13"/>
        <v>28</v>
      </c>
      <c r="P122" s="136" t="s">
        <v>1728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2348</v>
      </c>
      <c r="F123" t="s">
        <v>51</v>
      </c>
      <c r="G123" t="s">
        <v>151</v>
      </c>
      <c r="H123" t="s">
        <v>1051</v>
      </c>
      <c r="I123" t="s">
        <v>152</v>
      </c>
      <c r="J123" s="30" t="s">
        <v>45</v>
      </c>
      <c r="K123" s="30" t="s">
        <v>27</v>
      </c>
      <c r="L123" s="30"/>
      <c r="M123" s="30" t="s">
        <v>665</v>
      </c>
      <c r="N123" s="30"/>
      <c r="O123" s="31">
        <f t="shared" si="13"/>
        <v>28</v>
      </c>
      <c r="P123" s="136" t="s">
        <v>1729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/>
      <c r="F124" s="73" t="s">
        <v>51</v>
      </c>
      <c r="G124" s="73" t="s">
        <v>154</v>
      </c>
      <c r="H124" s="73" t="s">
        <v>1051</v>
      </c>
      <c r="I124" s="73" t="s">
        <v>153</v>
      </c>
      <c r="J124" s="84" t="s">
        <v>45</v>
      </c>
      <c r="K124" s="84" t="s">
        <v>1290</v>
      </c>
      <c r="L124" s="84"/>
      <c r="M124" s="84" t="s">
        <v>666</v>
      </c>
      <c r="N124" s="84"/>
      <c r="O124" s="131">
        <f t="shared" si="13"/>
        <v>28</v>
      </c>
      <c r="P124" s="136" t="s">
        <v>1730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155</v>
      </c>
      <c r="H125" s="73" t="s">
        <v>1051</v>
      </c>
      <c r="I125" s="73" t="s">
        <v>156</v>
      </c>
      <c r="J125" s="84" t="s">
        <v>72</v>
      </c>
      <c r="K125" s="84" t="s">
        <v>1290</v>
      </c>
      <c r="L125" s="84"/>
      <c r="M125" s="84" t="s">
        <v>670</v>
      </c>
      <c r="N125" s="84"/>
      <c r="O125" s="131">
        <f t="shared" si="13"/>
        <v>28</v>
      </c>
      <c r="P125" s="136" t="s">
        <v>1732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157</v>
      </c>
      <c r="H126" s="73" t="s">
        <v>1051</v>
      </c>
      <c r="I126" s="73" t="s">
        <v>156</v>
      </c>
      <c r="J126" s="84" t="s">
        <v>72</v>
      </c>
      <c r="K126" s="84" t="s">
        <v>1290</v>
      </c>
      <c r="L126" s="84"/>
      <c r="M126" s="84" t="s">
        <v>671</v>
      </c>
      <c r="N126" s="84"/>
      <c r="O126" s="131">
        <f t="shared" ref="O126:O151" si="16">COUNTIF(S126:AT126,"")</f>
        <v>28</v>
      </c>
      <c r="P126" s="136" t="s">
        <v>1731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2360</v>
      </c>
      <c r="F127" t="s">
        <v>51</v>
      </c>
      <c r="G127" t="s">
        <v>158</v>
      </c>
      <c r="H127" t="s">
        <v>1051</v>
      </c>
      <c r="I127" t="s">
        <v>159</v>
      </c>
      <c r="J127" s="30" t="s">
        <v>14</v>
      </c>
      <c r="K127" s="30" t="s">
        <v>27</v>
      </c>
      <c r="L127" s="30"/>
      <c r="M127" s="30" t="s">
        <v>672</v>
      </c>
      <c r="N127" s="30"/>
      <c r="O127" s="31">
        <f t="shared" si="16"/>
        <v>28</v>
      </c>
      <c r="P127" s="136" t="s">
        <v>1733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160</v>
      </c>
      <c r="H128" t="s">
        <v>1051</v>
      </c>
      <c r="I128" t="s">
        <v>161</v>
      </c>
      <c r="J128" s="30" t="s">
        <v>14</v>
      </c>
      <c r="K128" s="30" t="s">
        <v>27</v>
      </c>
      <c r="L128" s="30"/>
      <c r="M128" s="30" t="s">
        <v>676</v>
      </c>
      <c r="N128" s="30"/>
      <c r="O128" s="31">
        <f t="shared" si="16"/>
        <v>28</v>
      </c>
      <c r="P128" s="136" t="s">
        <v>1737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/>
      <c r="F129" t="s">
        <v>51</v>
      </c>
      <c r="G129" t="s">
        <v>162</v>
      </c>
      <c r="H129" t="s">
        <v>1051</v>
      </c>
      <c r="I129" t="s">
        <v>163</v>
      </c>
      <c r="J129" s="30" t="s">
        <v>18</v>
      </c>
      <c r="K129" s="30" t="s">
        <v>27</v>
      </c>
      <c r="L129" s="30"/>
      <c r="M129" s="30" t="s">
        <v>677</v>
      </c>
      <c r="N129" s="30"/>
      <c r="O129" s="31">
        <f t="shared" si="16"/>
        <v>24</v>
      </c>
      <c r="P129" s="136" t="s">
        <v>1738</v>
      </c>
      <c r="Q129" s="31">
        <f t="shared" si="17"/>
        <v>4</v>
      </c>
      <c r="R129" s="32">
        <f t="shared" si="18"/>
        <v>0.8571428571428571</v>
      </c>
      <c r="S129" s="70"/>
      <c r="T129" s="70"/>
      <c r="U129" s="70"/>
      <c r="V129" s="70" t="s">
        <v>2239</v>
      </c>
      <c r="W129" s="70" t="s">
        <v>2239</v>
      </c>
      <c r="X129" s="70" t="s">
        <v>2239</v>
      </c>
      <c r="Y129" s="70" t="s">
        <v>2239</v>
      </c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1184</v>
      </c>
      <c r="H130" s="84" t="s">
        <v>1051</v>
      </c>
      <c r="I130" s="73" t="s">
        <v>1185</v>
      </c>
      <c r="J130" s="84" t="s">
        <v>18</v>
      </c>
      <c r="K130" s="84" t="s">
        <v>1290</v>
      </c>
      <c r="L130" s="84"/>
      <c r="M130" s="84" t="s">
        <v>1186</v>
      </c>
      <c r="N130" s="84"/>
      <c r="O130" s="131">
        <f t="shared" si="16"/>
        <v>28</v>
      </c>
      <c r="P130" s="136" t="s">
        <v>1747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1313</v>
      </c>
      <c r="H131" s="84" t="s">
        <v>1051</v>
      </c>
      <c r="I131" s="73" t="s">
        <v>1314</v>
      </c>
      <c r="J131" s="84" t="s">
        <v>18</v>
      </c>
      <c r="K131" s="84" t="s">
        <v>1290</v>
      </c>
      <c r="L131" s="84"/>
      <c r="M131" s="84" t="s">
        <v>1315</v>
      </c>
      <c r="N131" s="84"/>
      <c r="O131" s="131">
        <f t="shared" si="16"/>
        <v>24</v>
      </c>
      <c r="P131" s="136" t="s">
        <v>1751</v>
      </c>
      <c r="Q131" s="131">
        <f t="shared" si="17"/>
        <v>4</v>
      </c>
      <c r="R131" s="132">
        <f t="shared" si="18"/>
        <v>0.8571428571428571</v>
      </c>
      <c r="S131" s="70"/>
      <c r="T131" s="70"/>
      <c r="U131" s="70"/>
      <c r="V131" s="70" t="s">
        <v>2239</v>
      </c>
      <c r="W131" s="70" t="s">
        <v>2239</v>
      </c>
      <c r="X131" s="70" t="s">
        <v>2239</v>
      </c>
      <c r="Y131" s="70" t="s">
        <v>2239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1404</v>
      </c>
      <c r="H132" s="84" t="s">
        <v>1051</v>
      </c>
      <c r="I132" s="73" t="s">
        <v>1513</v>
      </c>
      <c r="J132" s="84" t="s">
        <v>18</v>
      </c>
      <c r="K132" s="84" t="s">
        <v>1290</v>
      </c>
      <c r="L132" s="84"/>
      <c r="M132" s="84" t="s">
        <v>1405</v>
      </c>
      <c r="N132" s="84"/>
      <c r="O132" s="131">
        <f t="shared" si="16"/>
        <v>28</v>
      </c>
      <c r="P132" s="136" t="s">
        <v>1752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1490</v>
      </c>
      <c r="H133" s="84" t="s">
        <v>1051</v>
      </c>
      <c r="I133" s="73" t="s">
        <v>1491</v>
      </c>
      <c r="J133" s="84" t="s">
        <v>18</v>
      </c>
      <c r="K133" s="84" t="s">
        <v>1290</v>
      </c>
      <c r="L133" s="84"/>
      <c r="M133" s="84" t="s">
        <v>1495</v>
      </c>
      <c r="N133" s="84"/>
      <c r="O133" s="131">
        <f t="shared" si="16"/>
        <v>28</v>
      </c>
      <c r="P133" s="136" t="s">
        <v>1753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/>
      <c r="B134"/>
      <c r="C134"/>
      <c r="D134"/>
      <c r="E134"/>
      <c r="F134" t="s">
        <v>51</v>
      </c>
      <c r="G134" s="30" t="s">
        <v>1469</v>
      </c>
      <c r="H134" s="30" t="s">
        <v>1051</v>
      </c>
      <c r="I134" t="s">
        <v>1468</v>
      </c>
      <c r="J134" s="84" t="s">
        <v>72</v>
      </c>
      <c r="K134" s="84" t="s">
        <v>27</v>
      </c>
      <c r="L134" s="84"/>
      <c r="M134" s="84" t="s">
        <v>1470</v>
      </c>
      <c r="N134" s="84" t="s">
        <v>2283</v>
      </c>
      <c r="O134" s="131">
        <f t="shared" si="16"/>
        <v>28</v>
      </c>
      <c r="P134" s="136" t="s">
        <v>1754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/>
      <c r="B135"/>
      <c r="C135"/>
      <c r="D135"/>
      <c r="E135"/>
      <c r="F135" t="s">
        <v>51</v>
      </c>
      <c r="G135" s="30" t="s">
        <v>1472</v>
      </c>
      <c r="H135" s="30" t="s">
        <v>1051</v>
      </c>
      <c r="I135" t="s">
        <v>1471</v>
      </c>
      <c r="J135" s="84" t="s">
        <v>18</v>
      </c>
      <c r="K135" s="84" t="s">
        <v>27</v>
      </c>
      <c r="L135" s="84"/>
      <c r="M135" s="84" t="s">
        <v>1473</v>
      </c>
      <c r="N135" s="84" t="s">
        <v>2283</v>
      </c>
      <c r="O135" s="131">
        <f t="shared" si="16"/>
        <v>28</v>
      </c>
      <c r="P135" s="136" t="s">
        <v>1755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1504</v>
      </c>
      <c r="H136" s="84" t="s">
        <v>1051</v>
      </c>
      <c r="I136" s="73" t="s">
        <v>1505</v>
      </c>
      <c r="J136" s="84" t="s">
        <v>18</v>
      </c>
      <c r="K136" s="84" t="s">
        <v>1290</v>
      </c>
      <c r="L136" s="84"/>
      <c r="M136" s="84" t="s">
        <v>1506</v>
      </c>
      <c r="N136" s="84"/>
      <c r="O136" s="131">
        <f t="shared" si="16"/>
        <v>28</v>
      </c>
      <c r="P136" s="136" t="s">
        <v>1756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2348</v>
      </c>
      <c r="F137" t="s">
        <v>51</v>
      </c>
      <c r="G137" s="30" t="s">
        <v>1507</v>
      </c>
      <c r="H137" s="30" t="s">
        <v>1051</v>
      </c>
      <c r="I137" t="s">
        <v>1508</v>
      </c>
      <c r="J137" s="84" t="s">
        <v>18</v>
      </c>
      <c r="K137" s="84" t="s">
        <v>27</v>
      </c>
      <c r="L137" s="84"/>
      <c r="M137" s="84" t="s">
        <v>1509</v>
      </c>
      <c r="N137" s="84"/>
      <c r="O137" s="131">
        <f t="shared" si="16"/>
        <v>28</v>
      </c>
      <c r="P137" s="136" t="s">
        <v>1757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13</v>
      </c>
      <c r="C138"/>
      <c r="D138"/>
      <c r="E138" t="s">
        <v>2349</v>
      </c>
      <c r="F138" t="s">
        <v>51</v>
      </c>
      <c r="G138" s="30" t="s">
        <v>1629</v>
      </c>
      <c r="H138" s="30" t="s">
        <v>1051</v>
      </c>
      <c r="I138" t="s">
        <v>1630</v>
      </c>
      <c r="J138" s="84" t="s">
        <v>18</v>
      </c>
      <c r="K138" s="84" t="s">
        <v>27</v>
      </c>
      <c r="L138" s="84"/>
      <c r="M138" s="84" t="s">
        <v>2098</v>
      </c>
      <c r="N138" s="84"/>
      <c r="O138" s="131">
        <f t="shared" si="16"/>
        <v>28</v>
      </c>
      <c r="P138" s="136" t="s">
        <v>2160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/>
      <c r="B139"/>
      <c r="C139"/>
      <c r="D139"/>
      <c r="E139"/>
      <c r="F139" s="73" t="s">
        <v>51</v>
      </c>
      <c r="G139" s="84" t="s">
        <v>1547</v>
      </c>
      <c r="H139" s="84" t="s">
        <v>1051</v>
      </c>
      <c r="I139" s="73" t="s">
        <v>1549</v>
      </c>
      <c r="J139" s="84" t="s">
        <v>18</v>
      </c>
      <c r="K139" s="84" t="s">
        <v>27</v>
      </c>
      <c r="L139" s="84"/>
      <c r="M139" s="84" t="s">
        <v>1551</v>
      </c>
      <c r="N139" s="84"/>
      <c r="O139" s="131">
        <f t="shared" si="16"/>
        <v>28</v>
      </c>
      <c r="P139" s="136" t="s">
        <v>1758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2347</v>
      </c>
      <c r="F140" s="73" t="s">
        <v>51</v>
      </c>
      <c r="G140" s="84" t="s">
        <v>1548</v>
      </c>
      <c r="H140" s="84" t="s">
        <v>1051</v>
      </c>
      <c r="I140" s="73" t="s">
        <v>1550</v>
      </c>
      <c r="J140" s="84" t="s">
        <v>18</v>
      </c>
      <c r="K140" s="84" t="s">
        <v>1290</v>
      </c>
      <c r="L140" s="84"/>
      <c r="M140" s="84" t="s">
        <v>1552</v>
      </c>
      <c r="N140" s="84"/>
      <c r="O140" s="131">
        <f t="shared" si="16"/>
        <v>28</v>
      </c>
      <c r="P140" s="136" t="s">
        <v>1759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2105</v>
      </c>
      <c r="H141" s="84" t="s">
        <v>1051</v>
      </c>
      <c r="I141" s="73" t="s">
        <v>2106</v>
      </c>
      <c r="J141" s="84" t="s">
        <v>18</v>
      </c>
      <c r="K141" s="84" t="s">
        <v>1290</v>
      </c>
      <c r="L141" s="84"/>
      <c r="M141" s="84" t="s">
        <v>2161</v>
      </c>
      <c r="N141" s="84"/>
      <c r="O141" s="131">
        <f t="shared" si="16"/>
        <v>28</v>
      </c>
      <c r="P141" s="136" t="s">
        <v>2162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2185</v>
      </c>
      <c r="H142" s="84" t="s">
        <v>1051</v>
      </c>
      <c r="I142" s="73" t="s">
        <v>2186</v>
      </c>
      <c r="J142" s="84" t="s">
        <v>18</v>
      </c>
      <c r="K142" s="84" t="s">
        <v>1290</v>
      </c>
      <c r="L142" s="84"/>
      <c r="M142" s="84" t="s">
        <v>2287</v>
      </c>
      <c r="N142" s="84"/>
      <c r="O142" s="131">
        <f t="shared" si="16"/>
        <v>28</v>
      </c>
      <c r="P142" s="136" t="s">
        <v>2187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/>
      <c r="F143" s="73" t="s">
        <v>51</v>
      </c>
      <c r="G143" s="84" t="s">
        <v>2214</v>
      </c>
      <c r="H143" s="84" t="s">
        <v>1051</v>
      </c>
      <c r="I143" s="73" t="s">
        <v>2215</v>
      </c>
      <c r="J143" s="84" t="s">
        <v>18</v>
      </c>
      <c r="K143" s="30" t="s">
        <v>27</v>
      </c>
      <c r="L143" s="84"/>
      <c r="M143" s="84" t="s">
        <v>2216</v>
      </c>
      <c r="N143" s="84"/>
      <c r="O143" s="131">
        <f t="shared" si="16"/>
        <v>24</v>
      </c>
      <c r="P143" s="136" t="s">
        <v>2217</v>
      </c>
      <c r="Q143" s="131">
        <f t="shared" si="17"/>
        <v>4</v>
      </c>
      <c r="R143" s="132">
        <f t="shared" si="18"/>
        <v>0.8571428571428571</v>
      </c>
      <c r="S143" s="70"/>
      <c r="T143" s="70"/>
      <c r="U143" s="70"/>
      <c r="V143" s="70" t="s">
        <v>2239</v>
      </c>
      <c r="W143" s="70" t="s">
        <v>2239</v>
      </c>
      <c r="X143" s="70" t="s">
        <v>2239</v>
      </c>
      <c r="Y143" s="70" t="s">
        <v>2239</v>
      </c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164</v>
      </c>
      <c r="G144" t="s">
        <v>165</v>
      </c>
      <c r="H144" t="s">
        <v>1051</v>
      </c>
      <c r="I144" t="s">
        <v>166</v>
      </c>
      <c r="J144" s="30" t="s">
        <v>18</v>
      </c>
      <c r="K144" s="30" t="s">
        <v>1045</v>
      </c>
      <c r="L144" s="30"/>
      <c r="M144" s="30" t="s">
        <v>1395</v>
      </c>
      <c r="N144" s="30"/>
      <c r="O144" s="31">
        <f t="shared" si="16"/>
        <v>28</v>
      </c>
      <c r="P144" s="136" t="s">
        <v>1760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167</v>
      </c>
      <c r="G145" t="s">
        <v>168</v>
      </c>
      <c r="H145" t="s">
        <v>1051</v>
      </c>
      <c r="I145" t="s">
        <v>169</v>
      </c>
      <c r="J145" s="30" t="s">
        <v>18</v>
      </c>
      <c r="K145" s="30" t="s">
        <v>1045</v>
      </c>
      <c r="L145" s="30"/>
      <c r="M145" s="30" t="s">
        <v>678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 t="s">
        <v>2239</v>
      </c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2358</v>
      </c>
      <c r="F146" t="s">
        <v>167</v>
      </c>
      <c r="G146" t="s">
        <v>170</v>
      </c>
      <c r="H146" t="s">
        <v>1051</v>
      </c>
      <c r="I146" t="s">
        <v>171</v>
      </c>
      <c r="J146" s="30" t="s">
        <v>14</v>
      </c>
      <c r="K146" s="30" t="s">
        <v>27</v>
      </c>
      <c r="L146" s="30"/>
      <c r="M146" s="30" t="s">
        <v>679</v>
      </c>
      <c r="N146" s="30"/>
      <c r="O146" s="31">
        <f t="shared" si="16"/>
        <v>28</v>
      </c>
      <c r="P146" s="136" t="s">
        <v>1761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167</v>
      </c>
      <c r="G147" t="s">
        <v>172</v>
      </c>
      <c r="H147" t="s">
        <v>1051</v>
      </c>
      <c r="I147" t="s">
        <v>173</v>
      </c>
      <c r="J147" s="30" t="s">
        <v>14</v>
      </c>
      <c r="K147" s="30" t="s">
        <v>27</v>
      </c>
      <c r="L147" s="30"/>
      <c r="M147" s="30" t="s">
        <v>680</v>
      </c>
      <c r="N147" s="30"/>
      <c r="O147" s="31">
        <f t="shared" si="16"/>
        <v>28</v>
      </c>
      <c r="P147" s="136" t="s">
        <v>1762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2352</v>
      </c>
      <c r="F148" t="s">
        <v>174</v>
      </c>
      <c r="G148" t="s">
        <v>2371</v>
      </c>
      <c r="H148" t="s">
        <v>1052</v>
      </c>
      <c r="I148" t="s">
        <v>175</v>
      </c>
      <c r="J148" s="30" t="s">
        <v>18</v>
      </c>
      <c r="K148" s="30" t="s">
        <v>27</v>
      </c>
      <c r="L148" s="30"/>
      <c r="M148" s="30" t="s">
        <v>2177</v>
      </c>
      <c r="N148" s="30"/>
      <c r="O148" s="31">
        <f t="shared" si="16"/>
        <v>24</v>
      </c>
      <c r="P148" s="136" t="s">
        <v>1763</v>
      </c>
      <c r="Q148" s="31">
        <f t="shared" si="17"/>
        <v>4</v>
      </c>
      <c r="R148" s="32">
        <f t="shared" si="18"/>
        <v>0.8571428571428571</v>
      </c>
      <c r="S148" s="70"/>
      <c r="T148" s="70"/>
      <c r="U148" s="70"/>
      <c r="V148" s="70" t="s">
        <v>2239</v>
      </c>
      <c r="W148" s="70" t="s">
        <v>2239</v>
      </c>
      <c r="X148" s="70" t="s">
        <v>2239</v>
      </c>
      <c r="Y148" s="70" t="s">
        <v>2239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2352</v>
      </c>
      <c r="F149" t="s">
        <v>176</v>
      </c>
      <c r="G149" t="s">
        <v>2372</v>
      </c>
      <c r="H149" t="s">
        <v>1052</v>
      </c>
      <c r="I149" t="s">
        <v>177</v>
      </c>
      <c r="J149" s="30" t="s">
        <v>18</v>
      </c>
      <c r="K149" s="30" t="s">
        <v>1045</v>
      </c>
      <c r="L149" s="30"/>
      <c r="M149" s="30" t="s">
        <v>1298</v>
      </c>
      <c r="N149" s="30"/>
      <c r="O149" s="31">
        <f t="shared" si="16"/>
        <v>24</v>
      </c>
      <c r="P149" s="136" t="s">
        <v>1764</v>
      </c>
      <c r="Q149" s="31">
        <f t="shared" si="17"/>
        <v>4</v>
      </c>
      <c r="R149" s="32">
        <f t="shared" si="18"/>
        <v>0.8571428571428571</v>
      </c>
      <c r="S149" s="70"/>
      <c r="T149" s="70"/>
      <c r="U149" s="70"/>
      <c r="V149" s="70" t="s">
        <v>2239</v>
      </c>
      <c r="W149" s="70" t="s">
        <v>2239</v>
      </c>
      <c r="X149" s="70" t="s">
        <v>2239</v>
      </c>
      <c r="Y149" s="70" t="s">
        <v>2239</v>
      </c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176</v>
      </c>
      <c r="G150" t="s">
        <v>928</v>
      </c>
      <c r="H150" t="s">
        <v>1052</v>
      </c>
      <c r="I150" t="s">
        <v>178</v>
      </c>
      <c r="J150" s="30" t="s">
        <v>14</v>
      </c>
      <c r="K150" s="30" t="s">
        <v>19</v>
      </c>
      <c r="L150" s="30"/>
      <c r="M150" s="30" t="s">
        <v>2374</v>
      </c>
      <c r="N150" s="30"/>
      <c r="O150" s="31">
        <f t="shared" si="16"/>
        <v>28</v>
      </c>
      <c r="P150" s="136" t="s">
        <v>1763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2352</v>
      </c>
      <c r="F151" s="69" t="s">
        <v>176</v>
      </c>
      <c r="G151" t="s">
        <v>1216</v>
      </c>
      <c r="H151" t="s">
        <v>1052</v>
      </c>
      <c r="I151" t="s">
        <v>1217</v>
      </c>
      <c r="J151" t="s">
        <v>18</v>
      </c>
      <c r="K151" t="s">
        <v>27</v>
      </c>
      <c r="L151"/>
      <c r="M151" s="30" t="s">
        <v>1227</v>
      </c>
      <c r="N151" s="30"/>
      <c r="O151" s="31">
        <f t="shared" si="16"/>
        <v>24</v>
      </c>
      <c r="P151" s="136" t="s">
        <v>1765</v>
      </c>
      <c r="Q151" s="31">
        <f t="shared" si="17"/>
        <v>4</v>
      </c>
      <c r="R151" s="32">
        <f t="shared" si="18"/>
        <v>0.8571428571428571</v>
      </c>
      <c r="S151" s="70"/>
      <c r="T151" s="70"/>
      <c r="U151" s="70"/>
      <c r="V151" s="70" t="s">
        <v>2239</v>
      </c>
      <c r="W151" s="70" t="s">
        <v>2239</v>
      </c>
      <c r="X151" s="70" t="s">
        <v>2239</v>
      </c>
      <c r="Y151" s="70" t="s">
        <v>2239</v>
      </c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2361</v>
      </c>
      <c r="H152" t="s">
        <v>1052</v>
      </c>
      <c r="I152" t="s">
        <v>2362</v>
      </c>
      <c r="J152" s="30" t="s">
        <v>14</v>
      </c>
      <c r="K152" s="30" t="s">
        <v>1290</v>
      </c>
      <c r="L152"/>
      <c r="M152" s="30" t="s">
        <v>2363</v>
      </c>
      <c r="N152" s="30"/>
      <c r="O152" s="31"/>
      <c r="P152" s="136" t="s">
        <v>2364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1183</v>
      </c>
      <c r="G153" s="84" t="s">
        <v>1492</v>
      </c>
      <c r="H153" s="73" t="s">
        <v>1052</v>
      </c>
      <c r="I153" s="73" t="s">
        <v>1493</v>
      </c>
      <c r="J153" s="84" t="s">
        <v>18</v>
      </c>
      <c r="K153" s="84" t="s">
        <v>1290</v>
      </c>
      <c r="L153" s="84"/>
      <c r="M153" s="84" t="s">
        <v>1494</v>
      </c>
      <c r="N153" s="84"/>
      <c r="O153" s="131">
        <f t="shared" ref="O153:O184" si="19">COUNTIF(S153:AT153,"")</f>
        <v>28</v>
      </c>
      <c r="P153" s="136" t="s">
        <v>2132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181</v>
      </c>
      <c r="G154" t="s">
        <v>1124</v>
      </c>
      <c r="H154" t="s">
        <v>1051</v>
      </c>
      <c r="I154" t="s">
        <v>1118</v>
      </c>
      <c r="J154" s="30" t="s">
        <v>72</v>
      </c>
      <c r="K154" s="30" t="s">
        <v>1045</v>
      </c>
      <c r="L154" s="30" t="s">
        <v>1238</v>
      </c>
      <c r="M154" s="30" t="s">
        <v>1132</v>
      </c>
      <c r="N154" s="30"/>
      <c r="O154" s="31">
        <f t="shared" si="19"/>
        <v>28</v>
      </c>
      <c r="P154" s="136" t="s">
        <v>1769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181</v>
      </c>
      <c r="G155" s="73" t="s">
        <v>1538</v>
      </c>
      <c r="H155" s="73" t="s">
        <v>1051</v>
      </c>
      <c r="I155" s="73" t="s">
        <v>1539</v>
      </c>
      <c r="J155" s="84" t="s">
        <v>45</v>
      </c>
      <c r="K155" s="84" t="s">
        <v>1290</v>
      </c>
      <c r="L155" s="84"/>
      <c r="M155" s="84" t="s">
        <v>1540</v>
      </c>
      <c r="N155" s="84"/>
      <c r="O155" s="31">
        <f t="shared" si="19"/>
        <v>28</v>
      </c>
      <c r="P155" s="136" t="s">
        <v>2328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181</v>
      </c>
      <c r="G156" s="73" t="s">
        <v>2099</v>
      </c>
      <c r="H156" s="73" t="s">
        <v>1051</v>
      </c>
      <c r="I156" s="73" t="s">
        <v>2100</v>
      </c>
      <c r="J156" s="84" t="s">
        <v>45</v>
      </c>
      <c r="K156" s="84" t="s">
        <v>1290</v>
      </c>
      <c r="L156" s="84"/>
      <c r="M156" s="84" t="s">
        <v>2103</v>
      </c>
      <c r="N156" s="84"/>
      <c r="O156" s="31">
        <f t="shared" si="19"/>
        <v>28</v>
      </c>
      <c r="P156" s="136" t="s">
        <v>2329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181</v>
      </c>
      <c r="G157" t="s">
        <v>1123</v>
      </c>
      <c r="H157" t="s">
        <v>1051</v>
      </c>
      <c r="I157" t="s">
        <v>1118</v>
      </c>
      <c r="J157" s="30" t="s">
        <v>72</v>
      </c>
      <c r="K157" s="30" t="s">
        <v>1045</v>
      </c>
      <c r="L157" s="30" t="s">
        <v>1238</v>
      </c>
      <c r="M157" s="30" t="s">
        <v>1131</v>
      </c>
      <c r="N157" s="30"/>
      <c r="O157" s="31">
        <f t="shared" si="19"/>
        <v>28</v>
      </c>
      <c r="P157" s="136" t="s">
        <v>1768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2352</v>
      </c>
      <c r="F158" t="s">
        <v>181</v>
      </c>
      <c r="G158" t="s">
        <v>929</v>
      </c>
      <c r="H158" t="s">
        <v>1051</v>
      </c>
      <c r="I158" t="s">
        <v>182</v>
      </c>
      <c r="J158" s="30" t="s">
        <v>72</v>
      </c>
      <c r="K158" s="30" t="s">
        <v>1045</v>
      </c>
      <c r="L158" s="30" t="s">
        <v>1238</v>
      </c>
      <c r="M158" s="30" t="s">
        <v>681</v>
      </c>
      <c r="N158" s="30"/>
      <c r="O158" s="31">
        <f t="shared" si="19"/>
        <v>28</v>
      </c>
      <c r="P158" s="136" t="s">
        <v>1766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2352</v>
      </c>
      <c r="F159" t="s">
        <v>181</v>
      </c>
      <c r="G159" t="s">
        <v>930</v>
      </c>
      <c r="H159" t="s">
        <v>1051</v>
      </c>
      <c r="I159" t="s">
        <v>182</v>
      </c>
      <c r="J159" s="30" t="s">
        <v>72</v>
      </c>
      <c r="K159" s="30" t="s">
        <v>1045</v>
      </c>
      <c r="L159" s="30" t="s">
        <v>1238</v>
      </c>
      <c r="M159" s="30" t="s">
        <v>682</v>
      </c>
      <c r="N159" s="30"/>
      <c r="O159" s="31">
        <f t="shared" si="19"/>
        <v>28</v>
      </c>
      <c r="P159" s="136" t="s">
        <v>1767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181</v>
      </c>
      <c r="G160" s="73" t="s">
        <v>931</v>
      </c>
      <c r="H160" s="88" t="s">
        <v>1051</v>
      </c>
      <c r="I160" s="73" t="s">
        <v>932</v>
      </c>
      <c r="J160" s="89" t="s">
        <v>72</v>
      </c>
      <c r="K160" s="84" t="s">
        <v>1290</v>
      </c>
      <c r="L160" s="84" t="s">
        <v>1238</v>
      </c>
      <c r="M160" s="84" t="s">
        <v>1204</v>
      </c>
      <c r="N160" s="84"/>
      <c r="O160" s="31">
        <f t="shared" si="19"/>
        <v>28</v>
      </c>
      <c r="P160" s="136" t="s">
        <v>2326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181</v>
      </c>
      <c r="G161" s="73" t="s">
        <v>933</v>
      </c>
      <c r="H161" s="88" t="s">
        <v>1051</v>
      </c>
      <c r="I161" s="73" t="s">
        <v>932</v>
      </c>
      <c r="J161" s="89" t="s">
        <v>72</v>
      </c>
      <c r="K161" s="84" t="s">
        <v>1290</v>
      </c>
      <c r="L161" s="84" t="s">
        <v>1238</v>
      </c>
      <c r="M161" s="84" t="s">
        <v>1205</v>
      </c>
      <c r="N161" s="84"/>
      <c r="O161" s="31">
        <f t="shared" si="19"/>
        <v>28</v>
      </c>
      <c r="P161" s="136" t="s">
        <v>2327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181</v>
      </c>
      <c r="G162" s="73" t="s">
        <v>179</v>
      </c>
      <c r="H162" s="88" t="s">
        <v>1051</v>
      </c>
      <c r="I162" s="73" t="s">
        <v>180</v>
      </c>
      <c r="J162" s="89" t="s">
        <v>18</v>
      </c>
      <c r="K162" s="84" t="s">
        <v>1290</v>
      </c>
      <c r="L162" s="84"/>
      <c r="M162" s="84" t="s">
        <v>2324</v>
      </c>
      <c r="N162" s="84"/>
      <c r="O162" s="85">
        <f t="shared" si="19"/>
        <v>28</v>
      </c>
      <c r="P162" s="136" t="s">
        <v>2325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1318</v>
      </c>
      <c r="G163" s="73" t="s">
        <v>1322</v>
      </c>
      <c r="H163" s="73" t="s">
        <v>1052</v>
      </c>
      <c r="I163" s="73" t="s">
        <v>1323</v>
      </c>
      <c r="J163" s="84" t="s">
        <v>14</v>
      </c>
      <c r="K163" s="84" t="s">
        <v>1290</v>
      </c>
      <c r="L163" s="84"/>
      <c r="M163" s="84" t="s">
        <v>1479</v>
      </c>
      <c r="N163" s="84"/>
      <c r="O163" s="131">
        <f t="shared" si="19"/>
        <v>28</v>
      </c>
      <c r="P163" s="136" t="s">
        <v>1771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1318</v>
      </c>
      <c r="G164" s="73" t="s">
        <v>2261</v>
      </c>
      <c r="H164" s="73" t="s">
        <v>1052</v>
      </c>
      <c r="I164" s="73" t="s">
        <v>2262</v>
      </c>
      <c r="J164" s="84" t="s">
        <v>14</v>
      </c>
      <c r="K164" s="84" t="s">
        <v>1290</v>
      </c>
      <c r="L164" s="84"/>
      <c r="M164" s="84" t="s">
        <v>2263</v>
      </c>
      <c r="N164" s="84"/>
      <c r="O164" s="131">
        <f t="shared" si="19"/>
        <v>28</v>
      </c>
      <c r="P164" s="136" t="s">
        <v>2330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1318</v>
      </c>
      <c r="G165" s="73" t="s">
        <v>1306</v>
      </c>
      <c r="H165" s="73" t="s">
        <v>1052</v>
      </c>
      <c r="I165" s="73" t="s">
        <v>1307</v>
      </c>
      <c r="J165" s="84" t="s">
        <v>18</v>
      </c>
      <c r="K165" s="84" t="s">
        <v>1290</v>
      </c>
      <c r="L165" s="84"/>
      <c r="M165" s="84" t="s">
        <v>2331</v>
      </c>
      <c r="N165" s="84"/>
      <c r="O165" s="131">
        <f t="shared" si="19"/>
        <v>28</v>
      </c>
      <c r="P165" s="136" t="s">
        <v>1770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2365</v>
      </c>
      <c r="F166" t="s">
        <v>183</v>
      </c>
      <c r="G166" t="s">
        <v>934</v>
      </c>
      <c r="H166" t="s">
        <v>1052</v>
      </c>
      <c r="I166" t="s">
        <v>184</v>
      </c>
      <c r="J166" s="30" t="s">
        <v>14</v>
      </c>
      <c r="K166" s="30" t="s">
        <v>27</v>
      </c>
      <c r="L166" s="30"/>
      <c r="M166" s="30" t="s">
        <v>683</v>
      </c>
      <c r="N166" s="30"/>
      <c r="O166" s="31">
        <f t="shared" si="19"/>
        <v>24</v>
      </c>
      <c r="P166" s="136" t="s">
        <v>1772</v>
      </c>
      <c r="Q166" s="31">
        <f t="shared" si="20"/>
        <v>4</v>
      </c>
      <c r="R166" s="32">
        <f t="shared" si="21"/>
        <v>0.8571428571428571</v>
      </c>
      <c r="S166" s="70"/>
      <c r="T166" s="70"/>
      <c r="U166" s="70"/>
      <c r="V166" s="70" t="s">
        <v>2239</v>
      </c>
      <c r="W166" s="70" t="s">
        <v>2239</v>
      </c>
      <c r="X166" s="70" t="s">
        <v>2239</v>
      </c>
      <c r="Y166" s="70" t="s">
        <v>2239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2365</v>
      </c>
      <c r="F167" t="s">
        <v>183</v>
      </c>
      <c r="G167" t="s">
        <v>935</v>
      </c>
      <c r="H167" t="s">
        <v>1052</v>
      </c>
      <c r="I167" t="s">
        <v>185</v>
      </c>
      <c r="J167" s="30" t="s">
        <v>14</v>
      </c>
      <c r="K167" s="30" t="s">
        <v>27</v>
      </c>
      <c r="L167" s="30"/>
      <c r="M167" s="30" t="s">
        <v>684</v>
      </c>
      <c r="N167" s="30"/>
      <c r="O167" s="31">
        <f t="shared" si="19"/>
        <v>28</v>
      </c>
      <c r="P167" s="136" t="s">
        <v>1773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2365</v>
      </c>
      <c r="F168" t="s">
        <v>183</v>
      </c>
      <c r="G168" t="s">
        <v>936</v>
      </c>
      <c r="H168" t="s">
        <v>1052</v>
      </c>
      <c r="I168" t="s">
        <v>186</v>
      </c>
      <c r="J168" s="30" t="s">
        <v>18</v>
      </c>
      <c r="K168" s="30" t="s">
        <v>27</v>
      </c>
      <c r="L168" s="30"/>
      <c r="M168" s="30" t="s">
        <v>1299</v>
      </c>
      <c r="N168" s="30"/>
      <c r="O168" s="31">
        <f t="shared" si="19"/>
        <v>28</v>
      </c>
      <c r="P168" s="136" t="s">
        <v>1774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2365</v>
      </c>
      <c r="F169" t="s">
        <v>183</v>
      </c>
      <c r="G169" t="s">
        <v>937</v>
      </c>
      <c r="H169" t="s">
        <v>1052</v>
      </c>
      <c r="I169" t="s">
        <v>187</v>
      </c>
      <c r="J169" s="30" t="s">
        <v>14</v>
      </c>
      <c r="K169" s="30" t="s">
        <v>27</v>
      </c>
      <c r="L169" s="30"/>
      <c r="M169" s="30" t="s">
        <v>685</v>
      </c>
      <c r="N169" s="30"/>
      <c r="O169" s="31">
        <f t="shared" si="19"/>
        <v>28</v>
      </c>
      <c r="P169" s="136" t="s">
        <v>1775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2365</v>
      </c>
      <c r="F170" t="s">
        <v>183</v>
      </c>
      <c r="G170" t="s">
        <v>1530</v>
      </c>
      <c r="H170" t="s">
        <v>1052</v>
      </c>
      <c r="I170" t="s">
        <v>968</v>
      </c>
      <c r="J170" s="30" t="s">
        <v>45</v>
      </c>
      <c r="K170" s="30" t="s">
        <v>27</v>
      </c>
      <c r="L170" s="30"/>
      <c r="M170" s="30" t="s">
        <v>1533</v>
      </c>
      <c r="N170" s="30"/>
      <c r="O170" s="31">
        <f t="shared" si="19"/>
        <v>28</v>
      </c>
      <c r="P170" s="136" t="s">
        <v>1776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2365</v>
      </c>
      <c r="F171" s="69" t="s">
        <v>183</v>
      </c>
      <c r="G171" s="69" t="s">
        <v>1531</v>
      </c>
      <c r="H171" s="69" t="s">
        <v>1052</v>
      </c>
      <c r="I171" s="69" t="s">
        <v>1532</v>
      </c>
      <c r="J171" s="137" t="s">
        <v>14</v>
      </c>
      <c r="K171" s="137" t="s">
        <v>27</v>
      </c>
      <c r="L171" s="137"/>
      <c r="M171" s="137" t="s">
        <v>1534</v>
      </c>
      <c r="N171" s="137"/>
      <c r="O171" s="139">
        <f t="shared" si="19"/>
        <v>24</v>
      </c>
      <c r="P171" s="140" t="s">
        <v>1777</v>
      </c>
      <c r="Q171" s="139">
        <f t="shared" si="20"/>
        <v>4</v>
      </c>
      <c r="R171" s="141">
        <f t="shared" si="21"/>
        <v>0.8571428571428571</v>
      </c>
      <c r="S171" s="142"/>
      <c r="T171" s="142"/>
      <c r="U171" s="142"/>
      <c r="V171" s="70" t="s">
        <v>2239</v>
      </c>
      <c r="W171" s="70" t="s">
        <v>2239</v>
      </c>
      <c r="X171" s="70" t="s">
        <v>2239</v>
      </c>
      <c r="Y171" s="70" t="s">
        <v>2239</v>
      </c>
      <c r="Z171" s="142"/>
      <c r="AA171" s="142"/>
      <c r="AB171" s="142"/>
      <c r="AC171" s="142"/>
      <c r="AD171" s="142"/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188</v>
      </c>
      <c r="G172" t="s">
        <v>190</v>
      </c>
      <c r="H172" t="s">
        <v>1052</v>
      </c>
      <c r="I172" t="s">
        <v>938</v>
      </c>
      <c r="J172" s="30" t="s">
        <v>45</v>
      </c>
      <c r="K172" s="30" t="s">
        <v>19</v>
      </c>
      <c r="L172" s="30"/>
      <c r="M172" s="30" t="s">
        <v>691</v>
      </c>
      <c r="N172" s="30"/>
      <c r="O172" s="31">
        <f t="shared" si="19"/>
        <v>28</v>
      </c>
      <c r="P172" s="136" t="s">
        <v>2395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/>
      <c r="F173" t="s">
        <v>188</v>
      </c>
      <c r="G173" s="30" t="s">
        <v>1159</v>
      </c>
      <c r="H173" s="30" t="s">
        <v>1052</v>
      </c>
      <c r="I173" t="s">
        <v>1142</v>
      </c>
      <c r="J173" s="30" t="s">
        <v>1103</v>
      </c>
      <c r="K173" s="30" t="s">
        <v>27</v>
      </c>
      <c r="L173" s="30"/>
      <c r="M173" s="30" t="s">
        <v>1143</v>
      </c>
      <c r="N173" s="30"/>
      <c r="O173" s="31">
        <f t="shared" si="19"/>
        <v>28</v>
      </c>
      <c r="P173" s="136" t="s">
        <v>1789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/>
      <c r="F174" t="s">
        <v>188</v>
      </c>
      <c r="G174" s="30" t="s">
        <v>1158</v>
      </c>
      <c r="H174" s="30" t="s">
        <v>1052</v>
      </c>
      <c r="I174" t="s">
        <v>1142</v>
      </c>
      <c r="J174" s="30" t="s">
        <v>1103</v>
      </c>
      <c r="K174" s="30" t="s">
        <v>27</v>
      </c>
      <c r="L174" s="30"/>
      <c r="M174" s="30" t="s">
        <v>1144</v>
      </c>
      <c r="N174" s="30"/>
      <c r="O174" s="31">
        <f t="shared" si="19"/>
        <v>28</v>
      </c>
      <c r="P174" s="136" t="s">
        <v>1790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188</v>
      </c>
      <c r="G175" s="30" t="s">
        <v>1161</v>
      </c>
      <c r="H175" s="30" t="s">
        <v>1052</v>
      </c>
      <c r="I175" t="s">
        <v>1139</v>
      </c>
      <c r="J175" s="30" t="s">
        <v>72</v>
      </c>
      <c r="K175" s="30" t="s">
        <v>27</v>
      </c>
      <c r="L175" s="30"/>
      <c r="M175" s="30" t="s">
        <v>1140</v>
      </c>
      <c r="N175" s="30"/>
      <c r="O175" s="31">
        <f t="shared" si="19"/>
        <v>24</v>
      </c>
      <c r="P175" s="136" t="s">
        <v>1791</v>
      </c>
      <c r="Q175" s="31">
        <f t="shared" si="20"/>
        <v>4</v>
      </c>
      <c r="R175" s="32">
        <f t="shared" si="21"/>
        <v>0.8571428571428571</v>
      </c>
      <c r="S175" s="70"/>
      <c r="T175" s="70"/>
      <c r="U175" s="70"/>
      <c r="V175" s="70" t="s">
        <v>2239</v>
      </c>
      <c r="W175" s="70" t="s">
        <v>2239</v>
      </c>
      <c r="X175" s="70" t="s">
        <v>2239</v>
      </c>
      <c r="Y175" s="70" t="s">
        <v>2239</v>
      </c>
      <c r="Z175" s="70"/>
      <c r="AA175" s="70"/>
      <c r="AB175" s="70"/>
      <c r="AC175" s="70"/>
      <c r="AD175" s="70"/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188</v>
      </c>
      <c r="G176" s="30" t="s">
        <v>1162</v>
      </c>
      <c r="H176" s="30" t="s">
        <v>1052</v>
      </c>
      <c r="I176" t="s">
        <v>1139</v>
      </c>
      <c r="J176" s="30" t="s">
        <v>72</v>
      </c>
      <c r="K176" s="30" t="s">
        <v>27</v>
      </c>
      <c r="L176" s="30"/>
      <c r="M176" s="30" t="s">
        <v>1141</v>
      </c>
      <c r="N176" s="30"/>
      <c r="O176" s="31">
        <f t="shared" si="19"/>
        <v>24</v>
      </c>
      <c r="P176" s="136" t="s">
        <v>1792</v>
      </c>
      <c r="Q176" s="31">
        <f t="shared" si="20"/>
        <v>4</v>
      </c>
      <c r="R176" s="32">
        <f t="shared" si="21"/>
        <v>0.8571428571428571</v>
      </c>
      <c r="S176" s="70"/>
      <c r="T176" s="70"/>
      <c r="U176" s="70"/>
      <c r="V176" s="70" t="s">
        <v>2239</v>
      </c>
      <c r="W176" s="70" t="s">
        <v>2239</v>
      </c>
      <c r="X176" s="70" t="s">
        <v>2239</v>
      </c>
      <c r="Y176" s="70" t="s">
        <v>2239</v>
      </c>
      <c r="Z176" s="70"/>
      <c r="AA176" s="70"/>
      <c r="AB176" s="70"/>
      <c r="AC176" s="70"/>
      <c r="AD176" s="70"/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2353</v>
      </c>
      <c r="F177" t="s">
        <v>188</v>
      </c>
      <c r="G177" s="30" t="s">
        <v>1496</v>
      </c>
      <c r="H177" s="30" t="s">
        <v>1052</v>
      </c>
      <c r="I177" t="s">
        <v>1497</v>
      </c>
      <c r="J177" s="30" t="s">
        <v>18</v>
      </c>
      <c r="K177" s="30" t="s">
        <v>27</v>
      </c>
      <c r="L177" s="30"/>
      <c r="M177" s="30" t="s">
        <v>1498</v>
      </c>
      <c r="N177" s="30"/>
      <c r="O177" s="31">
        <f t="shared" si="19"/>
        <v>28</v>
      </c>
      <c r="P177" s="136" t="s">
        <v>2396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188</v>
      </c>
      <c r="G178" s="84" t="s">
        <v>1535</v>
      </c>
      <c r="H178" s="84" t="s">
        <v>1052</v>
      </c>
      <c r="I178" s="73" t="s">
        <v>1536</v>
      </c>
      <c r="J178" s="84" t="s">
        <v>18</v>
      </c>
      <c r="K178" s="84" t="s">
        <v>1290</v>
      </c>
      <c r="L178" s="84"/>
      <c r="M178" s="84" t="s">
        <v>1537</v>
      </c>
      <c r="N178" s="84"/>
      <c r="O178" s="31">
        <f t="shared" si="19"/>
        <v>28</v>
      </c>
      <c r="P178" s="136" t="s">
        <v>1793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188</v>
      </c>
      <c r="G179" s="84" t="s">
        <v>2264</v>
      </c>
      <c r="H179" s="84" t="s">
        <v>1052</v>
      </c>
      <c r="I179" s="73" t="s">
        <v>2265</v>
      </c>
      <c r="J179" s="84" t="s">
        <v>1103</v>
      </c>
      <c r="K179" s="84" t="s">
        <v>1290</v>
      </c>
      <c r="L179" s="84"/>
      <c r="M179" s="84" t="s">
        <v>2266</v>
      </c>
      <c r="N179" s="84"/>
      <c r="O179" s="31">
        <f t="shared" si="19"/>
        <v>28</v>
      </c>
      <c r="P179" s="136" t="s">
        <v>2397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2350</v>
      </c>
      <c r="F180" t="s">
        <v>188</v>
      </c>
      <c r="G180" t="s">
        <v>191</v>
      </c>
      <c r="H180" t="s">
        <v>1052</v>
      </c>
      <c r="I180" t="s">
        <v>192</v>
      </c>
      <c r="J180" s="30" t="s">
        <v>18</v>
      </c>
      <c r="K180" s="30" t="s">
        <v>1045</v>
      </c>
      <c r="L180" s="30"/>
      <c r="M180" s="30" t="s">
        <v>1426</v>
      </c>
      <c r="N180" s="30"/>
      <c r="O180" s="31">
        <f t="shared" si="19"/>
        <v>28</v>
      </c>
      <c r="P180" s="136" t="s">
        <v>1778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/>
      <c r="F181" t="s">
        <v>193</v>
      </c>
      <c r="G181" t="s">
        <v>194</v>
      </c>
      <c r="H181" t="s">
        <v>1052</v>
      </c>
      <c r="I181" t="s">
        <v>195</v>
      </c>
      <c r="J181" s="30" t="s">
        <v>18</v>
      </c>
      <c r="K181" s="30" t="s">
        <v>1045</v>
      </c>
      <c r="L181" s="30" t="s">
        <v>455</v>
      </c>
      <c r="M181" s="30" t="s">
        <v>686</v>
      </c>
      <c r="N181" s="30"/>
      <c r="O181" s="31">
        <f t="shared" si="19"/>
        <v>28</v>
      </c>
      <c r="P181" s="136" t="s">
        <v>1779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193</v>
      </c>
      <c r="G182" t="s">
        <v>197</v>
      </c>
      <c r="H182" t="s">
        <v>1052</v>
      </c>
      <c r="I182" t="s">
        <v>198</v>
      </c>
      <c r="J182" s="30" t="s">
        <v>14</v>
      </c>
      <c r="K182" s="30" t="s">
        <v>1045</v>
      </c>
      <c r="L182" s="30" t="s">
        <v>455</v>
      </c>
      <c r="M182" s="30" t="s">
        <v>687</v>
      </c>
      <c r="N182" s="30"/>
      <c r="O182" s="31">
        <f t="shared" si="19"/>
        <v>28</v>
      </c>
      <c r="P182" s="136" t="s">
        <v>1780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2353</v>
      </c>
      <c r="F183" t="s">
        <v>188</v>
      </c>
      <c r="G183" t="s">
        <v>199</v>
      </c>
      <c r="H183" t="s">
        <v>1052</v>
      </c>
      <c r="I183" t="s">
        <v>200</v>
      </c>
      <c r="J183" s="30" t="s">
        <v>18</v>
      </c>
      <c r="K183" s="30" t="s">
        <v>27</v>
      </c>
      <c r="L183" s="30"/>
      <c r="M183" s="30" t="s">
        <v>688</v>
      </c>
      <c r="N183" s="30"/>
      <c r="O183" s="31">
        <f t="shared" si="19"/>
        <v>28</v>
      </c>
      <c r="P183" s="136" t="s">
        <v>1781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2353</v>
      </c>
      <c r="F184" t="s">
        <v>188</v>
      </c>
      <c r="G184" t="s">
        <v>201</v>
      </c>
      <c r="H184" t="s">
        <v>1052</v>
      </c>
      <c r="I184" t="s">
        <v>202</v>
      </c>
      <c r="J184" s="30" t="s">
        <v>18</v>
      </c>
      <c r="K184" s="30" t="s">
        <v>27</v>
      </c>
      <c r="L184" s="30"/>
      <c r="M184" s="30" t="s">
        <v>689</v>
      </c>
      <c r="N184" s="30"/>
      <c r="O184" s="31">
        <f t="shared" si="19"/>
        <v>28</v>
      </c>
      <c r="P184" s="136" t="s">
        <v>1782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188</v>
      </c>
      <c r="G185" s="73" t="s">
        <v>203</v>
      </c>
      <c r="H185" s="73" t="s">
        <v>1052</v>
      </c>
      <c r="I185" s="73" t="s">
        <v>204</v>
      </c>
      <c r="J185" s="84" t="s">
        <v>18</v>
      </c>
      <c r="K185" s="84" t="s">
        <v>1290</v>
      </c>
      <c r="L185" s="84"/>
      <c r="M185" s="84" t="s">
        <v>1417</v>
      </c>
      <c r="N185" s="84"/>
      <c r="O185" s="131">
        <f t="shared" ref="O185:O205" si="22">COUNTIF(S185:AT185,"")</f>
        <v>27</v>
      </c>
      <c r="P185" s="136" t="s">
        <v>1783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2239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t="s">
        <v>188</v>
      </c>
      <c r="G186" t="s">
        <v>939</v>
      </c>
      <c r="H186" t="s">
        <v>1052</v>
      </c>
      <c r="I186" t="s">
        <v>189</v>
      </c>
      <c r="J186" s="30" t="s">
        <v>14</v>
      </c>
      <c r="K186" s="30" t="s">
        <v>1045</v>
      </c>
      <c r="L186" s="30" t="s">
        <v>455</v>
      </c>
      <c r="M186" s="30" t="s">
        <v>690</v>
      </c>
      <c r="N186" s="30"/>
      <c r="O186" s="31">
        <f t="shared" si="22"/>
        <v>28</v>
      </c>
      <c r="P186" s="136" t="s">
        <v>1784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2350</v>
      </c>
      <c r="F187" t="s">
        <v>188</v>
      </c>
      <c r="G187" t="s">
        <v>205</v>
      </c>
      <c r="H187" t="s">
        <v>1052</v>
      </c>
      <c r="I187" t="s">
        <v>206</v>
      </c>
      <c r="J187" s="30" t="s">
        <v>72</v>
      </c>
      <c r="K187" s="30" t="s">
        <v>27</v>
      </c>
      <c r="L187" s="30"/>
      <c r="M187" s="30" t="s">
        <v>692</v>
      </c>
      <c r="N187" s="30"/>
      <c r="O187" s="31">
        <f t="shared" si="22"/>
        <v>28</v>
      </c>
      <c r="P187" s="136" t="s">
        <v>1785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2350</v>
      </c>
      <c r="F188" t="s">
        <v>188</v>
      </c>
      <c r="G188" t="s">
        <v>207</v>
      </c>
      <c r="H188" t="s">
        <v>1052</v>
      </c>
      <c r="I188" t="s">
        <v>206</v>
      </c>
      <c r="J188" s="30" t="s">
        <v>72</v>
      </c>
      <c r="K188" s="30" t="s">
        <v>27</v>
      </c>
      <c r="L188" s="30"/>
      <c r="M188" s="30" t="s">
        <v>693</v>
      </c>
      <c r="N188" s="30"/>
      <c r="O188" s="31">
        <f t="shared" si="22"/>
        <v>28</v>
      </c>
      <c r="P188" s="136" t="s">
        <v>1786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/>
      <c r="F189" t="s">
        <v>188</v>
      </c>
      <c r="G189" t="s">
        <v>208</v>
      </c>
      <c r="H189" t="s">
        <v>1052</v>
      </c>
      <c r="I189" t="s">
        <v>209</v>
      </c>
      <c r="J189" s="30" t="s">
        <v>72</v>
      </c>
      <c r="K189" s="30" t="s">
        <v>27</v>
      </c>
      <c r="L189" s="30"/>
      <c r="M189" s="30" t="s">
        <v>668</v>
      </c>
      <c r="N189" s="30"/>
      <c r="O189" s="31">
        <f t="shared" si="22"/>
        <v>28</v>
      </c>
      <c r="P189" s="136" t="s">
        <v>1787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/>
      <c r="F190" t="s">
        <v>188</v>
      </c>
      <c r="G190" t="s">
        <v>210</v>
      </c>
      <c r="H190" t="s">
        <v>1052</v>
      </c>
      <c r="I190" t="s">
        <v>209</v>
      </c>
      <c r="J190" s="30" t="s">
        <v>72</v>
      </c>
      <c r="K190" s="30" t="s">
        <v>27</v>
      </c>
      <c r="L190" s="30"/>
      <c r="M190" s="30" t="s">
        <v>669</v>
      </c>
      <c r="N190" s="30"/>
      <c r="O190" s="31">
        <f t="shared" si="22"/>
        <v>28</v>
      </c>
      <c r="P190" s="136" t="s">
        <v>1788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188</v>
      </c>
      <c r="G191" s="84" t="s">
        <v>2138</v>
      </c>
      <c r="H191" s="84" t="s">
        <v>1052</v>
      </c>
      <c r="I191" s="73" t="s">
        <v>2139</v>
      </c>
      <c r="J191" s="84" t="s">
        <v>18</v>
      </c>
      <c r="K191" s="84" t="s">
        <v>1290</v>
      </c>
      <c r="L191" s="84"/>
      <c r="M191" s="84" t="s">
        <v>2140</v>
      </c>
      <c r="N191" s="84"/>
      <c r="O191" s="31">
        <f t="shared" si="22"/>
        <v>28</v>
      </c>
      <c r="P191" s="136" t="s">
        <v>2141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2350</v>
      </c>
      <c r="F192" s="73" t="s">
        <v>188</v>
      </c>
      <c r="G192" s="84" t="s">
        <v>2195</v>
      </c>
      <c r="H192" s="84" t="s">
        <v>1052</v>
      </c>
      <c r="I192" s="73" t="s">
        <v>2196</v>
      </c>
      <c r="J192" s="84" t="s">
        <v>18</v>
      </c>
      <c r="K192" s="84" t="s">
        <v>1290</v>
      </c>
      <c r="L192" s="84"/>
      <c r="M192" s="84" t="s">
        <v>2293</v>
      </c>
      <c r="N192" s="84"/>
      <c r="O192" s="31">
        <f t="shared" si="22"/>
        <v>28</v>
      </c>
      <c r="P192" s="136" t="s">
        <v>2141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2240</v>
      </c>
      <c r="H193" s="84" t="s">
        <v>1052</v>
      </c>
      <c r="I193" s="73" t="s">
        <v>1517</v>
      </c>
      <c r="J193" s="84" t="s">
        <v>1103</v>
      </c>
      <c r="K193" s="84" t="s">
        <v>1518</v>
      </c>
      <c r="L193" s="84"/>
      <c r="M193" s="84" t="s">
        <v>1519</v>
      </c>
      <c r="N193" s="84"/>
      <c r="O193" s="31">
        <f t="shared" si="22"/>
        <v>28</v>
      </c>
      <c r="P193" s="136" t="s">
        <v>1794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2365</v>
      </c>
      <c r="F194" t="s">
        <v>211</v>
      </c>
      <c r="G194" t="s">
        <v>940</v>
      </c>
      <c r="H194" t="s">
        <v>1052</v>
      </c>
      <c r="I194" t="s">
        <v>212</v>
      </c>
      <c r="J194" s="30" t="s">
        <v>14</v>
      </c>
      <c r="K194" s="30" t="s">
        <v>27</v>
      </c>
      <c r="L194" s="30"/>
      <c r="M194" s="30" t="s">
        <v>695</v>
      </c>
      <c r="N194" s="30"/>
      <c r="O194" s="31">
        <f t="shared" si="22"/>
        <v>28</v>
      </c>
      <c r="P194" s="136" t="s">
        <v>1795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2365</v>
      </c>
      <c r="F195" t="s">
        <v>211</v>
      </c>
      <c r="G195" t="s">
        <v>941</v>
      </c>
      <c r="H195" t="s">
        <v>1052</v>
      </c>
      <c r="I195" t="s">
        <v>213</v>
      </c>
      <c r="J195" s="30" t="s">
        <v>14</v>
      </c>
      <c r="K195" s="30" t="s">
        <v>27</v>
      </c>
      <c r="L195" s="30"/>
      <c r="M195" s="30" t="s">
        <v>696</v>
      </c>
      <c r="N195" s="30"/>
      <c r="O195" s="31">
        <f t="shared" si="22"/>
        <v>28</v>
      </c>
      <c r="P195" s="136" t="s">
        <v>1796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69"/>
      <c r="F196" s="69" t="s">
        <v>214</v>
      </c>
      <c r="G196" s="69" t="s">
        <v>942</v>
      </c>
      <c r="H196" s="69" t="s">
        <v>1052</v>
      </c>
      <c r="I196" s="69" t="s">
        <v>215</v>
      </c>
      <c r="J196" s="137" t="s">
        <v>18</v>
      </c>
      <c r="K196" s="137" t="s">
        <v>27</v>
      </c>
      <c r="L196" s="137"/>
      <c r="M196" s="137" t="s">
        <v>697</v>
      </c>
      <c r="N196" s="137"/>
      <c r="O196" s="139">
        <f t="shared" si="22"/>
        <v>24</v>
      </c>
      <c r="P196" s="140"/>
      <c r="Q196" s="139">
        <f t="shared" si="23"/>
        <v>4</v>
      </c>
      <c r="R196" s="141">
        <f t="shared" si="24"/>
        <v>0.8571428571428571</v>
      </c>
      <c r="S196" s="142"/>
      <c r="T196" s="142"/>
      <c r="U196" s="142"/>
      <c r="V196" s="70" t="s">
        <v>2239</v>
      </c>
      <c r="W196" s="70" t="s">
        <v>2239</v>
      </c>
      <c r="X196" s="70" t="s">
        <v>2239</v>
      </c>
      <c r="Y196" s="70" t="s">
        <v>2239</v>
      </c>
      <c r="Z196" s="142"/>
      <c r="AA196" s="142"/>
      <c r="AB196" s="142"/>
      <c r="AC196" s="142"/>
      <c r="AD196" s="142"/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216</v>
      </c>
      <c r="G197" s="73" t="s">
        <v>217</v>
      </c>
      <c r="H197" s="73" t="s">
        <v>1051</v>
      </c>
      <c r="I197" s="73" t="s">
        <v>218</v>
      </c>
      <c r="J197" s="84" t="s">
        <v>14</v>
      </c>
      <c r="K197" s="84" t="s">
        <v>1290</v>
      </c>
      <c r="L197" s="84"/>
      <c r="M197" s="84" t="s">
        <v>1574</v>
      </c>
      <c r="N197" s="84"/>
      <c r="O197" s="131">
        <f t="shared" si="22"/>
        <v>28</v>
      </c>
      <c r="P197" s="136" t="s">
        <v>1802</v>
      </c>
      <c r="Q197" s="131">
        <f t="shared" si="23"/>
        <v>0</v>
      </c>
      <c r="R197" s="132">
        <f t="shared" si="24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216</v>
      </c>
      <c r="G198" s="73" t="s">
        <v>221</v>
      </c>
      <c r="H198" s="73" t="s">
        <v>1051</v>
      </c>
      <c r="I198" s="73" t="s">
        <v>222</v>
      </c>
      <c r="J198" s="84" t="s">
        <v>14</v>
      </c>
      <c r="K198" s="84" t="s">
        <v>1290</v>
      </c>
      <c r="L198" s="84"/>
      <c r="M198" s="84" t="s">
        <v>1393</v>
      </c>
      <c r="N198" s="84"/>
      <c r="O198" s="131">
        <f t="shared" si="22"/>
        <v>28</v>
      </c>
      <c r="P198" s="136" t="s">
        <v>1805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1238</v>
      </c>
      <c r="F199" t="s">
        <v>216</v>
      </c>
      <c r="G199" t="s">
        <v>223</v>
      </c>
      <c r="H199" t="s">
        <v>1051</v>
      </c>
      <c r="I199" t="s">
        <v>224</v>
      </c>
      <c r="J199" s="30" t="s">
        <v>72</v>
      </c>
      <c r="K199" s="30" t="s">
        <v>1045</v>
      </c>
      <c r="L199" s="30" t="s">
        <v>1238</v>
      </c>
      <c r="M199" s="30" t="s">
        <v>699</v>
      </c>
      <c r="N199" s="30"/>
      <c r="O199" s="31">
        <f t="shared" si="22"/>
        <v>28</v>
      </c>
      <c r="P199" s="136" t="s">
        <v>1807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1238</v>
      </c>
      <c r="F200" t="s">
        <v>216</v>
      </c>
      <c r="G200" t="s">
        <v>225</v>
      </c>
      <c r="H200" t="s">
        <v>1051</v>
      </c>
      <c r="I200" t="s">
        <v>224</v>
      </c>
      <c r="J200" s="30" t="s">
        <v>72</v>
      </c>
      <c r="K200" s="30" t="s">
        <v>1045</v>
      </c>
      <c r="L200" s="30" t="s">
        <v>1238</v>
      </c>
      <c r="M200" s="30" t="s">
        <v>700</v>
      </c>
      <c r="N200" s="30"/>
      <c r="O200" s="31">
        <f t="shared" si="22"/>
        <v>28</v>
      </c>
      <c r="P200" s="136" t="s">
        <v>1808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1238</v>
      </c>
      <c r="F201" t="s">
        <v>216</v>
      </c>
      <c r="G201" t="s">
        <v>943</v>
      </c>
      <c r="H201" t="s">
        <v>1051</v>
      </c>
      <c r="I201" t="s">
        <v>241</v>
      </c>
      <c r="J201" s="30" t="s">
        <v>72</v>
      </c>
      <c r="K201" s="30" t="s">
        <v>1045</v>
      </c>
      <c r="L201" s="30" t="s">
        <v>1238</v>
      </c>
      <c r="M201" s="30" t="s">
        <v>701</v>
      </c>
      <c r="N201" s="30"/>
      <c r="O201" s="31">
        <f t="shared" si="22"/>
        <v>28</v>
      </c>
      <c r="P201" s="136" t="s">
        <v>1809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1238</v>
      </c>
      <c r="F202" t="s">
        <v>216</v>
      </c>
      <c r="G202" t="s">
        <v>944</v>
      </c>
      <c r="H202" t="s">
        <v>1051</v>
      </c>
      <c r="I202" t="s">
        <v>241</v>
      </c>
      <c r="J202" s="30" t="s">
        <v>72</v>
      </c>
      <c r="K202" s="30" t="s">
        <v>1045</v>
      </c>
      <c r="L202" s="30" t="s">
        <v>1238</v>
      </c>
      <c r="M202" s="30" t="s">
        <v>702</v>
      </c>
      <c r="N202" s="30"/>
      <c r="O202" s="31">
        <f t="shared" si="22"/>
        <v>28</v>
      </c>
      <c r="P202" s="136" t="s">
        <v>1810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1238</v>
      </c>
      <c r="F203" t="s">
        <v>216</v>
      </c>
      <c r="G203" t="s">
        <v>945</v>
      </c>
      <c r="H203" t="s">
        <v>1051</v>
      </c>
      <c r="I203" t="s">
        <v>242</v>
      </c>
      <c r="J203" s="30" t="s">
        <v>72</v>
      </c>
      <c r="K203" s="30" t="s">
        <v>1045</v>
      </c>
      <c r="L203" s="30" t="s">
        <v>1238</v>
      </c>
      <c r="M203" s="30" t="s">
        <v>703</v>
      </c>
      <c r="N203" s="30"/>
      <c r="O203" s="31">
        <f t="shared" si="22"/>
        <v>28</v>
      </c>
      <c r="P203" s="136" t="s">
        <v>1811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1238</v>
      </c>
      <c r="F204" t="s">
        <v>216</v>
      </c>
      <c r="G204" t="s">
        <v>946</v>
      </c>
      <c r="H204" t="s">
        <v>1051</v>
      </c>
      <c r="I204" t="s">
        <v>242</v>
      </c>
      <c r="J204" s="30" t="s">
        <v>72</v>
      </c>
      <c r="K204" s="30" t="s">
        <v>1045</v>
      </c>
      <c r="L204" s="30" t="s">
        <v>1238</v>
      </c>
      <c r="M204" s="30" t="s">
        <v>704</v>
      </c>
      <c r="N204" s="30"/>
      <c r="O204" s="31">
        <f t="shared" si="22"/>
        <v>28</v>
      </c>
      <c r="P204" s="136" t="s">
        <v>1669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/>
      <c r="F205" s="73" t="s">
        <v>216</v>
      </c>
      <c r="G205" s="73" t="s">
        <v>1219</v>
      </c>
      <c r="H205" s="73" t="s">
        <v>1051</v>
      </c>
      <c r="I205" s="73" t="s">
        <v>1218</v>
      </c>
      <c r="J205" s="73" t="s">
        <v>18</v>
      </c>
      <c r="K205" s="73" t="s">
        <v>1290</v>
      </c>
      <c r="L205" s="73"/>
      <c r="M205" s="84" t="s">
        <v>1228</v>
      </c>
      <c r="N205" s="84"/>
      <c r="O205" s="131">
        <f t="shared" si="22"/>
        <v>24</v>
      </c>
      <c r="P205" s="136" t="s">
        <v>1812</v>
      </c>
      <c r="Q205" s="131">
        <f t="shared" si="23"/>
        <v>4</v>
      </c>
      <c r="R205" s="132">
        <f t="shared" si="24"/>
        <v>0.8571428571428571</v>
      </c>
      <c r="S205" s="70"/>
      <c r="T205" s="70"/>
      <c r="U205" s="70"/>
      <c r="V205" s="70" t="s">
        <v>2239</v>
      </c>
      <c r="W205" s="70" t="s">
        <v>2239</v>
      </c>
      <c r="X205" s="70" t="s">
        <v>2239</v>
      </c>
      <c r="Y205" s="70" t="s">
        <v>2239</v>
      </c>
      <c r="Z205" s="70"/>
      <c r="AA205" s="70"/>
      <c r="AB205" s="70"/>
      <c r="AC205" s="70"/>
      <c r="AD205" s="70"/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/>
      <c r="G206" s="73" t="s">
        <v>2367</v>
      </c>
      <c r="H206" s="73" t="s">
        <v>1051</v>
      </c>
      <c r="I206" s="73" t="s">
        <v>2369</v>
      </c>
      <c r="J206" s="84"/>
      <c r="K206" s="84" t="s">
        <v>1290</v>
      </c>
      <c r="M206" s="84" t="s">
        <v>2368</v>
      </c>
      <c r="N206" s="84"/>
      <c r="O206" s="131"/>
      <c r="P206" s="136" t="s">
        <v>2370</v>
      </c>
      <c r="Q206" s="131"/>
      <c r="R206" s="132"/>
      <c r="S206" s="70"/>
      <c r="T206" s="70"/>
      <c r="U206" s="70"/>
      <c r="V206" s="70" t="s">
        <v>2239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/>
      <c r="F207" s="73" t="s">
        <v>226</v>
      </c>
      <c r="G207" s="73" t="s">
        <v>227</v>
      </c>
      <c r="H207" s="73" t="s">
        <v>1051</v>
      </c>
      <c r="I207" s="73" t="s">
        <v>228</v>
      </c>
      <c r="J207" s="84" t="s">
        <v>14</v>
      </c>
      <c r="K207" s="84" t="s">
        <v>1290</v>
      </c>
      <c r="L207" s="84"/>
      <c r="M207" s="84" t="s">
        <v>1379</v>
      </c>
      <c r="N207" s="84"/>
      <c r="O207" s="131">
        <f t="shared" ref="O207:O238" si="25">COUNTIF(S207:AT207,"")</f>
        <v>28</v>
      </c>
      <c r="P207" s="136" t="s">
        <v>1797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/>
      <c r="F208" s="73" t="s">
        <v>167</v>
      </c>
      <c r="G208" s="73" t="s">
        <v>229</v>
      </c>
      <c r="H208" s="73" t="s">
        <v>1051</v>
      </c>
      <c r="I208" s="73" t="s">
        <v>230</v>
      </c>
      <c r="J208" s="84" t="s">
        <v>18</v>
      </c>
      <c r="K208" s="84" t="s">
        <v>1290</v>
      </c>
      <c r="L208" s="84"/>
      <c r="M208" s="84" t="s">
        <v>1414</v>
      </c>
      <c r="N208" s="84"/>
      <c r="O208" s="131">
        <f t="shared" si="25"/>
        <v>28</v>
      </c>
      <c r="P208" s="136" t="s">
        <v>1798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/>
      <c r="F209" t="s">
        <v>216</v>
      </c>
      <c r="G209" t="s">
        <v>231</v>
      </c>
      <c r="H209" t="s">
        <v>1051</v>
      </c>
      <c r="I209" t="s">
        <v>232</v>
      </c>
      <c r="J209" s="30" t="s">
        <v>18</v>
      </c>
      <c r="K209" s="30" t="s">
        <v>1045</v>
      </c>
      <c r="L209" s="30"/>
      <c r="M209" s="30" t="s">
        <v>1396</v>
      </c>
      <c r="N209" s="30"/>
      <c r="O209" s="31">
        <f t="shared" si="25"/>
        <v>28</v>
      </c>
      <c r="P209" s="136" t="s">
        <v>1799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2394</v>
      </c>
      <c r="C210"/>
      <c r="D210"/>
      <c r="E210" t="s">
        <v>1238</v>
      </c>
      <c r="F210" t="s">
        <v>216</v>
      </c>
      <c r="G210" t="s">
        <v>233</v>
      </c>
      <c r="H210" t="s">
        <v>1051</v>
      </c>
      <c r="I210" t="s">
        <v>234</v>
      </c>
      <c r="J210" s="30" t="s">
        <v>18</v>
      </c>
      <c r="K210" s="30" t="s">
        <v>1045</v>
      </c>
      <c r="L210" s="30"/>
      <c r="M210" s="30" t="s">
        <v>2294</v>
      </c>
      <c r="N210" s="30"/>
      <c r="O210" s="31">
        <f t="shared" si="25"/>
        <v>28</v>
      </c>
      <c r="P210" s="136" t="s">
        <v>1800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2393</v>
      </c>
      <c r="C211"/>
      <c r="D211"/>
      <c r="E211" t="s">
        <v>2392</v>
      </c>
      <c r="F211" t="s">
        <v>216</v>
      </c>
      <c r="G211" t="s">
        <v>235</v>
      </c>
      <c r="H211" t="s">
        <v>1051</v>
      </c>
      <c r="I211" t="s">
        <v>236</v>
      </c>
      <c r="J211" s="30" t="s">
        <v>18</v>
      </c>
      <c r="K211" s="30" t="s">
        <v>1045</v>
      </c>
      <c r="L211" s="30"/>
      <c r="M211" s="30" t="s">
        <v>2295</v>
      </c>
      <c r="N211" s="30"/>
      <c r="O211" s="31">
        <f t="shared" si="25"/>
        <v>24</v>
      </c>
      <c r="P211" s="136" t="s">
        <v>1801</v>
      </c>
      <c r="Q211" s="31">
        <f t="shared" si="26"/>
        <v>4</v>
      </c>
      <c r="R211" s="32">
        <f t="shared" si="27"/>
        <v>0.8571428571428571</v>
      </c>
      <c r="S211" s="70"/>
      <c r="T211" s="70"/>
      <c r="U211" s="70"/>
      <c r="V211" s="70" t="s">
        <v>2239</v>
      </c>
      <c r="W211" s="70" t="s">
        <v>2239</v>
      </c>
      <c r="X211" s="70" t="s">
        <v>2239</v>
      </c>
      <c r="Y211" s="70" t="s">
        <v>2239</v>
      </c>
      <c r="Z211" s="70"/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/>
      <c r="F212" t="s">
        <v>216</v>
      </c>
      <c r="G212" t="s">
        <v>237</v>
      </c>
      <c r="H212" t="s">
        <v>1051</v>
      </c>
      <c r="I212" t="s">
        <v>238</v>
      </c>
      <c r="J212" s="30" t="s">
        <v>14</v>
      </c>
      <c r="K212" s="30" t="s">
        <v>1290</v>
      </c>
      <c r="L212" s="30"/>
      <c r="M212" s="30" t="s">
        <v>2280</v>
      </c>
      <c r="N212" s="30"/>
      <c r="O212" s="31">
        <f t="shared" si="25"/>
        <v>28</v>
      </c>
      <c r="P212" s="136" t="s">
        <v>2398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F213" t="s">
        <v>216</v>
      </c>
      <c r="G213" t="s">
        <v>947</v>
      </c>
      <c r="H213" t="s">
        <v>1051</v>
      </c>
      <c r="I213" t="s">
        <v>219</v>
      </c>
      <c r="J213" s="30" t="s">
        <v>14</v>
      </c>
      <c r="K213" s="30" t="s">
        <v>1290</v>
      </c>
      <c r="L213" s="30"/>
      <c r="M213" s="30" t="s">
        <v>1394</v>
      </c>
      <c r="N213" s="30"/>
      <c r="O213" s="31">
        <f t="shared" si="25"/>
        <v>24</v>
      </c>
      <c r="P213" s="136" t="s">
        <v>1803</v>
      </c>
      <c r="Q213" s="31">
        <f t="shared" si="26"/>
        <v>4</v>
      </c>
      <c r="R213" s="32">
        <f t="shared" si="27"/>
        <v>0.8571428571428571</v>
      </c>
      <c r="S213" s="70"/>
      <c r="T213" s="70"/>
      <c r="U213" s="70"/>
      <c r="V213" s="70" t="s">
        <v>2239</v>
      </c>
      <c r="W213" s="70" t="s">
        <v>2239</v>
      </c>
      <c r="X213" s="70" t="s">
        <v>2239</v>
      </c>
      <c r="Y213" s="70" t="s">
        <v>2239</v>
      </c>
      <c r="Z213" s="70"/>
      <c r="AA213" s="70"/>
      <c r="AB213" s="70"/>
      <c r="AC213" s="70"/>
      <c r="AD213" s="70"/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/>
      <c r="F214" t="s">
        <v>216</v>
      </c>
      <c r="G214" t="s">
        <v>948</v>
      </c>
      <c r="H214" t="s">
        <v>1051</v>
      </c>
      <c r="I214" t="s">
        <v>220</v>
      </c>
      <c r="J214" s="30" t="s">
        <v>14</v>
      </c>
      <c r="K214" s="30" t="s">
        <v>1045</v>
      </c>
      <c r="L214" s="30"/>
      <c r="M214" s="30" t="s">
        <v>1201</v>
      </c>
      <c r="N214" s="30"/>
      <c r="O214" s="31">
        <f t="shared" si="25"/>
        <v>28</v>
      </c>
      <c r="P214" s="136" t="s">
        <v>1804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/>
      <c r="F215" t="s">
        <v>216</v>
      </c>
      <c r="G215" t="s">
        <v>239</v>
      </c>
      <c r="H215" t="s">
        <v>1051</v>
      </c>
      <c r="I215" t="s">
        <v>240</v>
      </c>
      <c r="J215" s="30" t="s">
        <v>14</v>
      </c>
      <c r="K215" s="30" t="s">
        <v>27</v>
      </c>
      <c r="L215" s="30"/>
      <c r="M215" s="30" t="s">
        <v>698</v>
      </c>
      <c r="N215" s="30"/>
      <c r="O215" s="31">
        <f t="shared" si="25"/>
        <v>28</v>
      </c>
      <c r="P215" s="136" t="s">
        <v>1806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/>
      <c r="F216" s="73" t="s">
        <v>216</v>
      </c>
      <c r="G216" s="73" t="s">
        <v>1571</v>
      </c>
      <c r="H216" s="73" t="s">
        <v>1051</v>
      </c>
      <c r="I216" s="73" t="s">
        <v>1572</v>
      </c>
      <c r="J216" s="84" t="s">
        <v>72</v>
      </c>
      <c r="K216" s="84" t="s">
        <v>1290</v>
      </c>
      <c r="L216" s="73"/>
      <c r="M216" s="84" t="s">
        <v>1573</v>
      </c>
      <c r="N216" s="84"/>
      <c r="O216" s="131">
        <f t="shared" si="25"/>
        <v>28</v>
      </c>
      <c r="P216" s="136" t="s">
        <v>1813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/>
      <c r="F217" s="73" t="s">
        <v>216</v>
      </c>
      <c r="G217" s="73" t="s">
        <v>2173</v>
      </c>
      <c r="H217" s="73" t="s">
        <v>1051</v>
      </c>
      <c r="I217" s="73" t="s">
        <v>2174</v>
      </c>
      <c r="J217" s="84" t="s">
        <v>72</v>
      </c>
      <c r="K217" s="84" t="s">
        <v>1290</v>
      </c>
      <c r="M217" s="84" t="s">
        <v>2175</v>
      </c>
      <c r="N217" s="84"/>
      <c r="O217" s="131">
        <f t="shared" si="25"/>
        <v>28</v>
      </c>
      <c r="P217" s="136" t="s">
        <v>2176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100</v>
      </c>
      <c r="G218" t="s">
        <v>243</v>
      </c>
      <c r="H218" t="s">
        <v>1051</v>
      </c>
      <c r="I218" t="s">
        <v>244</v>
      </c>
      <c r="J218" s="30" t="s">
        <v>14</v>
      </c>
      <c r="K218" s="30" t="s">
        <v>1045</v>
      </c>
      <c r="L218" s="30" t="s">
        <v>44</v>
      </c>
      <c r="M218" s="30" t="s">
        <v>705</v>
      </c>
      <c r="N218" s="30"/>
      <c r="O218" s="31">
        <f t="shared" si="25"/>
        <v>28</v>
      </c>
      <c r="P218" s="136" t="s">
        <v>1814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100</v>
      </c>
      <c r="G219" s="73" t="s">
        <v>245</v>
      </c>
      <c r="H219" s="73" t="s">
        <v>1051</v>
      </c>
      <c r="I219" s="73" t="s">
        <v>246</v>
      </c>
      <c r="J219" s="84" t="s">
        <v>14</v>
      </c>
      <c r="K219" s="84" t="s">
        <v>1290</v>
      </c>
      <c r="L219" s="84" t="s">
        <v>44</v>
      </c>
      <c r="M219" s="84" t="s">
        <v>706</v>
      </c>
      <c r="N219" s="84"/>
      <c r="O219" s="131">
        <f t="shared" si="25"/>
        <v>25</v>
      </c>
      <c r="P219" s="136" t="s">
        <v>1815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2239</v>
      </c>
      <c r="W219" s="70" t="s">
        <v>2239</v>
      </c>
      <c r="X219" s="70" t="s">
        <v>2239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100</v>
      </c>
      <c r="G220" s="73" t="s">
        <v>247</v>
      </c>
      <c r="H220" s="73" t="s">
        <v>1051</v>
      </c>
      <c r="I220" s="73" t="s">
        <v>248</v>
      </c>
      <c r="J220" s="84" t="s">
        <v>14</v>
      </c>
      <c r="K220" s="84" t="s">
        <v>1290</v>
      </c>
      <c r="L220" s="84" t="s">
        <v>44</v>
      </c>
      <c r="M220" s="84" t="s">
        <v>2288</v>
      </c>
      <c r="N220" s="84"/>
      <c r="O220" s="131">
        <f t="shared" si="25"/>
        <v>25</v>
      </c>
      <c r="P220" s="136" t="s">
        <v>1816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2239</v>
      </c>
      <c r="W220" s="70" t="s">
        <v>2239</v>
      </c>
      <c r="X220" s="70" t="s">
        <v>2239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100</v>
      </c>
      <c r="G221" t="s">
        <v>1500</v>
      </c>
      <c r="H221" t="s">
        <v>1051</v>
      </c>
      <c r="I221" t="s">
        <v>1501</v>
      </c>
      <c r="J221" s="30" t="s">
        <v>14</v>
      </c>
      <c r="K221" s="30" t="s">
        <v>2387</v>
      </c>
      <c r="L221" s="30" t="s">
        <v>2388</v>
      </c>
      <c r="M221" s="30" t="s">
        <v>1502</v>
      </c>
      <c r="N221" s="30"/>
      <c r="O221" s="131">
        <f t="shared" si="25"/>
        <v>25</v>
      </c>
      <c r="P221" s="136" t="s">
        <v>1817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2239</v>
      </c>
      <c r="W221" s="70" t="s">
        <v>2239</v>
      </c>
      <c r="X221" s="70" t="s">
        <v>2239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100</v>
      </c>
      <c r="G222" t="s">
        <v>2227</v>
      </c>
      <c r="H222" t="s">
        <v>1051</v>
      </c>
      <c r="I222" t="s">
        <v>2228</v>
      </c>
      <c r="J222" s="30" t="s">
        <v>14</v>
      </c>
      <c r="K222" s="84" t="s">
        <v>1290</v>
      </c>
      <c r="L222" s="30"/>
      <c r="M222" s="30" t="s">
        <v>2229</v>
      </c>
      <c r="N222" s="30"/>
      <c r="O222" s="131">
        <f t="shared" si="25"/>
        <v>28</v>
      </c>
      <c r="P222" s="136" t="s">
        <v>2230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196</v>
      </c>
      <c r="G223" t="s">
        <v>1173</v>
      </c>
      <c r="H223" t="s">
        <v>1052</v>
      </c>
      <c r="I223" t="s">
        <v>1174</v>
      </c>
      <c r="J223" s="30" t="s">
        <v>72</v>
      </c>
      <c r="K223" s="30" t="s">
        <v>19</v>
      </c>
      <c r="L223" s="30"/>
      <c r="M223" s="30" t="s">
        <v>1259</v>
      </c>
      <c r="N223" s="30"/>
      <c r="O223" s="31">
        <f t="shared" si="25"/>
        <v>28</v>
      </c>
      <c r="P223" s="136" t="s">
        <v>2399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196</v>
      </c>
      <c r="G224" t="s">
        <v>1175</v>
      </c>
      <c r="H224" t="s">
        <v>1052</v>
      </c>
      <c r="I224" t="s">
        <v>1176</v>
      </c>
      <c r="J224" s="30" t="s">
        <v>72</v>
      </c>
      <c r="K224" s="30" t="s">
        <v>19</v>
      </c>
      <c r="L224" s="30"/>
      <c r="M224" s="30" t="s">
        <v>1260</v>
      </c>
      <c r="N224" s="30"/>
      <c r="O224" s="31">
        <f t="shared" si="25"/>
        <v>28</v>
      </c>
      <c r="P224" s="136" t="s">
        <v>2400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2359</v>
      </c>
      <c r="F225" t="s">
        <v>1427</v>
      </c>
      <c r="G225" t="s">
        <v>949</v>
      </c>
      <c r="H225" t="s">
        <v>1051</v>
      </c>
      <c r="I225" t="s">
        <v>1075</v>
      </c>
      <c r="J225" s="30" t="s">
        <v>18</v>
      </c>
      <c r="K225" s="30" t="s">
        <v>1045</v>
      </c>
      <c r="L225" s="30"/>
      <c r="M225" s="30" t="s">
        <v>2296</v>
      </c>
      <c r="N225" s="30"/>
      <c r="O225" s="31">
        <f t="shared" si="25"/>
        <v>28</v>
      </c>
      <c r="P225" s="136" t="s">
        <v>1818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167</v>
      </c>
      <c r="G226" s="73" t="s">
        <v>249</v>
      </c>
      <c r="H226" s="73" t="s">
        <v>1051</v>
      </c>
      <c r="I226" s="73" t="s">
        <v>250</v>
      </c>
      <c r="J226" s="84" t="s">
        <v>18</v>
      </c>
      <c r="K226" s="84" t="s">
        <v>1290</v>
      </c>
      <c r="L226" s="84"/>
      <c r="M226" s="84" t="s">
        <v>1403</v>
      </c>
      <c r="N226" s="84"/>
      <c r="O226" s="131">
        <f t="shared" si="25"/>
        <v>28</v>
      </c>
      <c r="P226" s="136" t="s">
        <v>1819</v>
      </c>
      <c r="Q226" s="131">
        <f t="shared" si="26"/>
        <v>0</v>
      </c>
      <c r="R226" s="1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2359</v>
      </c>
      <c r="F227" t="s">
        <v>251</v>
      </c>
      <c r="G227" t="s">
        <v>252</v>
      </c>
      <c r="H227" t="s">
        <v>1051</v>
      </c>
      <c r="I227" t="s">
        <v>253</v>
      </c>
      <c r="J227" s="30" t="s">
        <v>72</v>
      </c>
      <c r="K227" s="30" t="s">
        <v>27</v>
      </c>
      <c r="L227" s="30"/>
      <c r="M227" s="30" t="s">
        <v>707</v>
      </c>
      <c r="N227" s="30"/>
      <c r="O227" s="31">
        <f t="shared" si="25"/>
        <v>28</v>
      </c>
      <c r="P227" s="136" t="s">
        <v>1820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2359</v>
      </c>
      <c r="F228" t="s">
        <v>251</v>
      </c>
      <c r="G228" t="s">
        <v>254</v>
      </c>
      <c r="H228" t="s">
        <v>1051</v>
      </c>
      <c r="I228" t="s">
        <v>253</v>
      </c>
      <c r="J228" s="30" t="s">
        <v>45</v>
      </c>
      <c r="K228" s="30" t="s">
        <v>27</v>
      </c>
      <c r="L228" s="30"/>
      <c r="M228" s="30" t="s">
        <v>694</v>
      </c>
      <c r="N228" s="30"/>
      <c r="O228" s="31">
        <f t="shared" si="25"/>
        <v>28</v>
      </c>
      <c r="P228" s="136" t="s">
        <v>1821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251</v>
      </c>
      <c r="G229" s="73" t="s">
        <v>1312</v>
      </c>
      <c r="H229" s="73" t="s">
        <v>1051</v>
      </c>
      <c r="I229" s="73" t="s">
        <v>1316</v>
      </c>
      <c r="J229" s="84" t="s">
        <v>14</v>
      </c>
      <c r="K229" s="84" t="s">
        <v>1290</v>
      </c>
      <c r="L229" s="84"/>
      <c r="M229" s="84" t="s">
        <v>1321</v>
      </c>
      <c r="N229" s="84"/>
      <c r="O229" s="131">
        <f t="shared" si="25"/>
        <v>28</v>
      </c>
      <c r="P229" s="136" t="s">
        <v>1822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251</v>
      </c>
      <c r="G230" s="73" t="s">
        <v>1406</v>
      </c>
      <c r="H230" s="73" t="s">
        <v>1051</v>
      </c>
      <c r="I230" s="73" t="s">
        <v>1407</v>
      </c>
      <c r="J230" s="84" t="s">
        <v>14</v>
      </c>
      <c r="K230" s="84" t="s">
        <v>1290</v>
      </c>
      <c r="L230" s="84"/>
      <c r="M230" s="84" t="s">
        <v>1408</v>
      </c>
      <c r="N230" s="84"/>
      <c r="O230" s="131">
        <f t="shared" si="25"/>
        <v>28</v>
      </c>
      <c r="P230" s="136" t="s">
        <v>1823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251</v>
      </c>
      <c r="G231" s="73" t="s">
        <v>1575</v>
      </c>
      <c r="H231" s="73" t="s">
        <v>1051</v>
      </c>
      <c r="I231" s="73" t="s">
        <v>1576</v>
      </c>
      <c r="J231" s="84" t="s">
        <v>14</v>
      </c>
      <c r="K231" s="84" t="s">
        <v>1290</v>
      </c>
      <c r="L231" s="84"/>
      <c r="M231" s="84" t="s">
        <v>1577</v>
      </c>
      <c r="N231" s="84"/>
      <c r="O231" s="131">
        <f t="shared" si="25"/>
        <v>24</v>
      </c>
      <c r="P231" s="136"/>
      <c r="Q231" s="131">
        <f t="shared" si="26"/>
        <v>4</v>
      </c>
      <c r="R231" s="132">
        <f t="shared" si="27"/>
        <v>0.8571428571428571</v>
      </c>
      <c r="S231" s="70"/>
      <c r="T231" s="70"/>
      <c r="U231" s="70"/>
      <c r="V231" s="70" t="s">
        <v>2239</v>
      </c>
      <c r="W231" s="70" t="s">
        <v>2239</v>
      </c>
      <c r="X231" s="70" t="s">
        <v>2239</v>
      </c>
      <c r="Y231" s="70" t="s">
        <v>2239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251</v>
      </c>
      <c r="G232" s="73" t="s">
        <v>2241</v>
      </c>
      <c r="H232" s="73" t="s">
        <v>1051</v>
      </c>
      <c r="I232" s="73" t="s">
        <v>2242</v>
      </c>
      <c r="J232" s="84" t="s">
        <v>14</v>
      </c>
      <c r="K232" s="84" t="s">
        <v>1290</v>
      </c>
      <c r="L232" s="84"/>
      <c r="M232" s="84" t="s">
        <v>2297</v>
      </c>
      <c r="N232" s="84"/>
      <c r="O232" s="131">
        <f t="shared" si="25"/>
        <v>28</v>
      </c>
      <c r="P232" s="136" t="s">
        <v>2243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255</v>
      </c>
      <c r="G233" s="73" t="s">
        <v>950</v>
      </c>
      <c r="H233" s="73" t="s">
        <v>1052</v>
      </c>
      <c r="I233" s="73" t="s">
        <v>256</v>
      </c>
      <c r="J233" s="84" t="s">
        <v>14</v>
      </c>
      <c r="K233" s="84" t="s">
        <v>1290</v>
      </c>
      <c r="L233" s="84"/>
      <c r="M233" s="84" t="s">
        <v>708</v>
      </c>
      <c r="N233" s="84"/>
      <c r="O233" s="131">
        <f t="shared" si="25"/>
        <v>28</v>
      </c>
      <c r="P233" s="136" t="s">
        <v>1824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255</v>
      </c>
      <c r="G234" s="73" t="s">
        <v>257</v>
      </c>
      <c r="H234" s="73" t="s">
        <v>1052</v>
      </c>
      <c r="I234" s="73" t="s">
        <v>258</v>
      </c>
      <c r="J234" s="84" t="s">
        <v>72</v>
      </c>
      <c r="K234" s="84" t="s">
        <v>1290</v>
      </c>
      <c r="L234" s="84"/>
      <c r="M234" s="84" t="s">
        <v>709</v>
      </c>
      <c r="N234" s="84"/>
      <c r="O234" s="131">
        <f t="shared" si="25"/>
        <v>28</v>
      </c>
      <c r="P234" s="136" t="s">
        <v>1825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255</v>
      </c>
      <c r="G235" s="73" t="s">
        <v>259</v>
      </c>
      <c r="H235" s="73" t="s">
        <v>1052</v>
      </c>
      <c r="I235" s="73" t="s">
        <v>258</v>
      </c>
      <c r="J235" s="84" t="s">
        <v>72</v>
      </c>
      <c r="K235" s="84" t="s">
        <v>1290</v>
      </c>
      <c r="L235" s="84"/>
      <c r="M235" s="84" t="s">
        <v>710</v>
      </c>
      <c r="N235" s="84"/>
      <c r="O235" s="131">
        <f t="shared" si="25"/>
        <v>28</v>
      </c>
      <c r="P235" s="136" t="s">
        <v>1826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255</v>
      </c>
      <c r="G236" s="73" t="s">
        <v>2235</v>
      </c>
      <c r="H236" s="73" t="s">
        <v>1052</v>
      </c>
      <c r="I236" s="73" t="s">
        <v>2236</v>
      </c>
      <c r="J236" s="84" t="s">
        <v>14</v>
      </c>
      <c r="K236" s="84" t="s">
        <v>1290</v>
      </c>
      <c r="L236" s="84"/>
      <c r="M236" s="84" t="s">
        <v>2298</v>
      </c>
      <c r="N236" s="84"/>
      <c r="O236" s="131">
        <f t="shared" si="25"/>
        <v>28</v>
      </c>
      <c r="P236" s="136" t="s">
        <v>2237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2345</v>
      </c>
      <c r="F237" t="s">
        <v>264</v>
      </c>
      <c r="G237" t="s">
        <v>951</v>
      </c>
      <c r="H237" t="s">
        <v>1051</v>
      </c>
      <c r="I237" t="s">
        <v>269</v>
      </c>
      <c r="J237" s="30" t="s">
        <v>72</v>
      </c>
      <c r="K237" s="30" t="s">
        <v>27</v>
      </c>
      <c r="L237" s="30"/>
      <c r="M237" s="30" t="s">
        <v>715</v>
      </c>
      <c r="N237" s="30"/>
      <c r="O237" s="31">
        <f t="shared" si="25"/>
        <v>28</v>
      </c>
      <c r="P237" s="136" t="s">
        <v>1827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2345</v>
      </c>
      <c r="F238" t="s">
        <v>264</v>
      </c>
      <c r="G238" t="s">
        <v>952</v>
      </c>
      <c r="H238" t="s">
        <v>1051</v>
      </c>
      <c r="I238" t="s">
        <v>1076</v>
      </c>
      <c r="J238" s="30" t="s">
        <v>18</v>
      </c>
      <c r="K238" s="30" t="s">
        <v>27</v>
      </c>
      <c r="L238" s="30"/>
      <c r="M238" s="30" t="s">
        <v>717</v>
      </c>
      <c r="N238" s="30"/>
      <c r="O238" s="31">
        <f t="shared" si="25"/>
        <v>28</v>
      </c>
      <c r="P238" s="136" t="s">
        <v>1828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2345</v>
      </c>
      <c r="F239" t="s">
        <v>264</v>
      </c>
      <c r="G239" t="s">
        <v>953</v>
      </c>
      <c r="H239" t="s">
        <v>1051</v>
      </c>
      <c r="I239" t="s">
        <v>276</v>
      </c>
      <c r="J239" s="30" t="s">
        <v>18</v>
      </c>
      <c r="K239" s="30" t="s">
        <v>27</v>
      </c>
      <c r="L239" s="30"/>
      <c r="M239" s="30" t="s">
        <v>1465</v>
      </c>
      <c r="N239" s="30"/>
      <c r="O239" s="31">
        <f t="shared" ref="O239:O262" si="28">COUNTIF(S239:AT239,"")</f>
        <v>28</v>
      </c>
      <c r="P239" s="136" t="s">
        <v>1829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2345</v>
      </c>
      <c r="F240" t="s">
        <v>264</v>
      </c>
      <c r="G240" t="s">
        <v>954</v>
      </c>
      <c r="H240" t="s">
        <v>1051</v>
      </c>
      <c r="I240" t="s">
        <v>279</v>
      </c>
      <c r="J240" s="30" t="s">
        <v>72</v>
      </c>
      <c r="K240" s="30" t="s">
        <v>27</v>
      </c>
      <c r="L240" s="30"/>
      <c r="M240" s="30" t="s">
        <v>719</v>
      </c>
      <c r="N240" s="30"/>
      <c r="O240" s="31">
        <f t="shared" si="28"/>
        <v>28</v>
      </c>
      <c r="P240" s="136" t="s">
        <v>1830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2345</v>
      </c>
      <c r="F241" t="s">
        <v>264</v>
      </c>
      <c r="G241" t="s">
        <v>955</v>
      </c>
      <c r="H241" t="s">
        <v>1051</v>
      </c>
      <c r="I241" t="s">
        <v>279</v>
      </c>
      <c r="J241" s="30" t="s">
        <v>72</v>
      </c>
      <c r="K241" s="30" t="s">
        <v>27</v>
      </c>
      <c r="L241" s="30"/>
      <c r="M241" s="30" t="s">
        <v>720</v>
      </c>
      <c r="N241" s="30"/>
      <c r="O241" s="31">
        <f t="shared" si="28"/>
        <v>28</v>
      </c>
      <c r="P241" s="136" t="s">
        <v>1831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2345</v>
      </c>
      <c r="F242" t="s">
        <v>264</v>
      </c>
      <c r="G242" t="s">
        <v>956</v>
      </c>
      <c r="H242" t="s">
        <v>1051</v>
      </c>
      <c r="I242" t="s">
        <v>260</v>
      </c>
      <c r="J242" s="30" t="s">
        <v>45</v>
      </c>
      <c r="K242" s="30" t="s">
        <v>27</v>
      </c>
      <c r="L242" s="30"/>
      <c r="M242" s="30" t="s">
        <v>711</v>
      </c>
      <c r="N242" s="30"/>
      <c r="O242" s="31">
        <f t="shared" si="28"/>
        <v>28</v>
      </c>
      <c r="P242" s="136" t="s">
        <v>1832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2345</v>
      </c>
      <c r="F243" t="s">
        <v>261</v>
      </c>
      <c r="G243" t="s">
        <v>262</v>
      </c>
      <c r="H243" t="s">
        <v>1051</v>
      </c>
      <c r="I243" t="s">
        <v>263</v>
      </c>
      <c r="J243" s="30" t="s">
        <v>18</v>
      </c>
      <c r="K243" s="30" t="s">
        <v>27</v>
      </c>
      <c r="L243" s="30"/>
      <c r="M243" s="30" t="s">
        <v>712</v>
      </c>
      <c r="N243" s="30"/>
      <c r="O243" s="31">
        <f t="shared" si="28"/>
        <v>28</v>
      </c>
      <c r="P243" s="136" t="s">
        <v>1833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2345</v>
      </c>
      <c r="F244" t="s">
        <v>264</v>
      </c>
      <c r="G244" t="s">
        <v>265</v>
      </c>
      <c r="H244" t="s">
        <v>1051</v>
      </c>
      <c r="I244" t="s">
        <v>266</v>
      </c>
      <c r="J244" s="30" t="s">
        <v>72</v>
      </c>
      <c r="K244" s="30" t="s">
        <v>27</v>
      </c>
      <c r="L244" s="30"/>
      <c r="M244" s="30" t="s">
        <v>713</v>
      </c>
      <c r="N244" s="30"/>
      <c r="O244" s="31">
        <f t="shared" si="28"/>
        <v>28</v>
      </c>
      <c r="P244" s="136" t="s">
        <v>1834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2345</v>
      </c>
      <c r="F245" t="s">
        <v>264</v>
      </c>
      <c r="G245" t="s">
        <v>267</v>
      </c>
      <c r="H245" t="s">
        <v>1051</v>
      </c>
      <c r="I245" t="s">
        <v>268</v>
      </c>
      <c r="J245" s="30" t="s">
        <v>45</v>
      </c>
      <c r="K245" s="30" t="s">
        <v>27</v>
      </c>
      <c r="L245" s="30"/>
      <c r="M245" s="30" t="s">
        <v>714</v>
      </c>
      <c r="N245" s="30"/>
      <c r="O245" s="31">
        <f t="shared" si="28"/>
        <v>28</v>
      </c>
      <c r="P245" s="136" t="s">
        <v>1835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2345</v>
      </c>
      <c r="F246" t="s">
        <v>261</v>
      </c>
      <c r="G246" t="s">
        <v>270</v>
      </c>
      <c r="H246" t="s">
        <v>1051</v>
      </c>
      <c r="I246" t="s">
        <v>271</v>
      </c>
      <c r="J246" s="30" t="s">
        <v>18</v>
      </c>
      <c r="K246" s="30" t="s">
        <v>27</v>
      </c>
      <c r="L246" s="30"/>
      <c r="M246" s="30" t="s">
        <v>716</v>
      </c>
      <c r="N246" s="30"/>
      <c r="O246" s="31">
        <f t="shared" si="28"/>
        <v>28</v>
      </c>
      <c r="P246" s="136" t="s">
        <v>1836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2345</v>
      </c>
      <c r="F247" t="s">
        <v>264</v>
      </c>
      <c r="G247" t="s">
        <v>272</v>
      </c>
      <c r="H247" t="s">
        <v>1051</v>
      </c>
      <c r="I247" t="s">
        <v>273</v>
      </c>
      <c r="J247" s="30" t="s">
        <v>18</v>
      </c>
      <c r="K247" s="30" t="s">
        <v>27</v>
      </c>
      <c r="L247" s="30"/>
      <c r="M247" s="30" t="s">
        <v>2289</v>
      </c>
      <c r="N247" s="30"/>
      <c r="O247" s="31">
        <f t="shared" si="28"/>
        <v>28</v>
      </c>
      <c r="P247" s="136" t="s">
        <v>1837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/>
      <c r="B248"/>
      <c r="C248"/>
      <c r="D248"/>
      <c r="E248"/>
      <c r="F248" t="s">
        <v>264</v>
      </c>
      <c r="G248" t="s">
        <v>274</v>
      </c>
      <c r="H248" t="s">
        <v>1051</v>
      </c>
      <c r="I248" t="s">
        <v>275</v>
      </c>
      <c r="J248" s="30" t="s">
        <v>18</v>
      </c>
      <c r="K248" s="30" t="s">
        <v>27</v>
      </c>
      <c r="L248" s="30"/>
      <c r="M248" s="30" t="s">
        <v>1425</v>
      </c>
      <c r="N248" s="30"/>
      <c r="O248" s="31">
        <f t="shared" si="28"/>
        <v>26</v>
      </c>
      <c r="P248" s="136" t="s">
        <v>1838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2239</v>
      </c>
      <c r="W248" s="70" t="s">
        <v>2239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2345</v>
      </c>
      <c r="F249" t="s">
        <v>264</v>
      </c>
      <c r="G249" t="s">
        <v>277</v>
      </c>
      <c r="H249" t="s">
        <v>1051</v>
      </c>
      <c r="I249" t="s">
        <v>278</v>
      </c>
      <c r="J249" s="30" t="s">
        <v>18</v>
      </c>
      <c r="K249" s="30" t="s">
        <v>27</v>
      </c>
      <c r="L249" s="30"/>
      <c r="M249" s="30" t="s">
        <v>718</v>
      </c>
      <c r="N249" s="30"/>
      <c r="O249" s="31">
        <f t="shared" si="28"/>
        <v>28</v>
      </c>
      <c r="P249" s="136" t="s">
        <v>1839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/>
      <c r="B250"/>
      <c r="C250"/>
      <c r="D250"/>
      <c r="E250"/>
      <c r="F250" t="s">
        <v>264</v>
      </c>
      <c r="G250" t="s">
        <v>280</v>
      </c>
      <c r="H250" t="s">
        <v>1051</v>
      </c>
      <c r="I250" t="s">
        <v>281</v>
      </c>
      <c r="J250" s="30" t="s">
        <v>14</v>
      </c>
      <c r="K250" s="30" t="s">
        <v>27</v>
      </c>
      <c r="L250" s="30"/>
      <c r="M250" s="30" t="s">
        <v>721</v>
      </c>
      <c r="N250" s="30"/>
      <c r="O250" s="31">
        <f t="shared" si="28"/>
        <v>24</v>
      </c>
      <c r="P250" s="136" t="s">
        <v>1840</v>
      </c>
      <c r="Q250" s="31">
        <f t="shared" si="29"/>
        <v>4</v>
      </c>
      <c r="R250" s="32">
        <f t="shared" si="30"/>
        <v>0.8571428571428571</v>
      </c>
      <c r="S250" s="70"/>
      <c r="T250" s="70"/>
      <c r="U250" s="70"/>
      <c r="V250" s="70" t="s">
        <v>2239</v>
      </c>
      <c r="W250" s="70" t="s">
        <v>2239</v>
      </c>
      <c r="X250" s="70" t="s">
        <v>2239</v>
      </c>
      <c r="Y250" s="70" t="s">
        <v>2239</v>
      </c>
      <c r="Z250" s="70"/>
      <c r="AA250" s="70"/>
      <c r="AB250" s="70"/>
      <c r="AC250" s="70"/>
      <c r="AD250" s="70"/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2345</v>
      </c>
      <c r="F251" t="s">
        <v>264</v>
      </c>
      <c r="G251" s="30" t="s">
        <v>1200</v>
      </c>
      <c r="H251" s="30" t="s">
        <v>1051</v>
      </c>
      <c r="I251" t="s">
        <v>1195</v>
      </c>
      <c r="J251" s="30" t="s">
        <v>14</v>
      </c>
      <c r="K251" s="30" t="s">
        <v>27</v>
      </c>
      <c r="L251" s="30"/>
      <c r="M251" s="30" t="s">
        <v>1196</v>
      </c>
      <c r="N251" s="30"/>
      <c r="O251" s="31">
        <f t="shared" si="28"/>
        <v>24</v>
      </c>
      <c r="P251" s="136" t="s">
        <v>1841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2239</v>
      </c>
      <c r="W251" s="70" t="s">
        <v>2239</v>
      </c>
      <c r="X251" s="70" t="s">
        <v>2239</v>
      </c>
      <c r="Y251" s="70" t="s">
        <v>2239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284</v>
      </c>
      <c r="G252" s="73" t="s">
        <v>957</v>
      </c>
      <c r="H252" s="88" t="s">
        <v>1052</v>
      </c>
      <c r="I252" s="73" t="s">
        <v>1077</v>
      </c>
      <c r="J252" s="89" t="s">
        <v>18</v>
      </c>
      <c r="K252" s="84" t="s">
        <v>1290</v>
      </c>
      <c r="L252" s="84"/>
      <c r="M252" s="84" t="s">
        <v>2213</v>
      </c>
      <c r="N252" s="84"/>
      <c r="O252" s="31">
        <f t="shared" si="28"/>
        <v>28</v>
      </c>
      <c r="P252" s="136" t="s">
        <v>2322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226</v>
      </c>
      <c r="G253" t="s">
        <v>282</v>
      </c>
      <c r="H253" t="s">
        <v>1052</v>
      </c>
      <c r="I253" t="s">
        <v>283</v>
      </c>
      <c r="J253" s="30" t="s">
        <v>14</v>
      </c>
      <c r="K253" s="30" t="s">
        <v>1045</v>
      </c>
      <c r="L253" s="30"/>
      <c r="M253" s="30" t="s">
        <v>1053</v>
      </c>
      <c r="N253" s="30"/>
      <c r="O253" s="31">
        <f t="shared" si="28"/>
        <v>24</v>
      </c>
      <c r="P253" s="136" t="s">
        <v>1797</v>
      </c>
      <c r="Q253" s="31">
        <f t="shared" si="29"/>
        <v>4</v>
      </c>
      <c r="R253" s="32">
        <f t="shared" si="30"/>
        <v>0.8571428571428571</v>
      </c>
      <c r="S253" s="70"/>
      <c r="T253" s="70"/>
      <c r="U253" s="70"/>
      <c r="V253" s="70" t="s">
        <v>2239</v>
      </c>
      <c r="W253" s="70" t="s">
        <v>2239</v>
      </c>
      <c r="X253" s="70" t="s">
        <v>2239</v>
      </c>
      <c r="Y253" s="70" t="s">
        <v>2239</v>
      </c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69"/>
      <c r="F254" s="69" t="s">
        <v>284</v>
      </c>
      <c r="G254" s="69" t="s">
        <v>285</v>
      </c>
      <c r="H254" s="69" t="s">
        <v>1052</v>
      </c>
      <c r="I254" s="69" t="s">
        <v>286</v>
      </c>
      <c r="J254" s="137" t="s">
        <v>14</v>
      </c>
      <c r="K254" s="137" t="s">
        <v>27</v>
      </c>
      <c r="L254" s="137"/>
      <c r="M254" s="137" t="s">
        <v>722</v>
      </c>
      <c r="N254" s="137"/>
      <c r="O254" s="139">
        <f t="shared" si="28"/>
        <v>24</v>
      </c>
      <c r="P254" s="140" t="s">
        <v>1842</v>
      </c>
      <c r="Q254" s="139">
        <f t="shared" si="29"/>
        <v>4</v>
      </c>
      <c r="R254" s="141">
        <f t="shared" si="30"/>
        <v>0.8571428571428571</v>
      </c>
      <c r="S254" s="142"/>
      <c r="T254" s="142"/>
      <c r="U254" s="142"/>
      <c r="V254" s="70" t="s">
        <v>2239</v>
      </c>
      <c r="W254" s="70" t="s">
        <v>2239</v>
      </c>
      <c r="X254" s="70" t="s">
        <v>2239</v>
      </c>
      <c r="Y254" s="70" t="s">
        <v>2239</v>
      </c>
      <c r="Z254" s="142"/>
      <c r="AA254" s="142"/>
      <c r="AB254" s="142"/>
      <c r="AC254" s="142"/>
      <c r="AD254" s="142"/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284</v>
      </c>
      <c r="G255" s="69" t="s">
        <v>2250</v>
      </c>
      <c r="H255" s="69" t="s">
        <v>1052</v>
      </c>
      <c r="I255" s="69" t="s">
        <v>2251</v>
      </c>
      <c r="J255" s="137" t="s">
        <v>72</v>
      </c>
      <c r="K255" s="137" t="s">
        <v>1290</v>
      </c>
      <c r="L255" s="137"/>
      <c r="M255" s="137" t="s">
        <v>2252</v>
      </c>
      <c r="N255" s="137"/>
      <c r="O255" s="139">
        <f t="shared" si="28"/>
        <v>24</v>
      </c>
      <c r="P255" s="140" t="s">
        <v>2253</v>
      </c>
      <c r="Q255" s="139">
        <f t="shared" si="29"/>
        <v>4</v>
      </c>
      <c r="R255" s="141">
        <f t="shared" si="30"/>
        <v>0.8571428571428571</v>
      </c>
      <c r="S255" s="142"/>
      <c r="T255" s="142"/>
      <c r="U255" s="142"/>
      <c r="V255" s="70" t="s">
        <v>2239</v>
      </c>
      <c r="W255" s="70" t="s">
        <v>2239</v>
      </c>
      <c r="X255" s="70" t="s">
        <v>2239</v>
      </c>
      <c r="Y255" s="70" t="s">
        <v>2239</v>
      </c>
      <c r="Z255" s="142"/>
      <c r="AA255" s="142"/>
      <c r="AB255" s="142"/>
      <c r="AC255" s="142"/>
      <c r="AD255" s="142"/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284</v>
      </c>
      <c r="G256" t="s">
        <v>2254</v>
      </c>
      <c r="H256" t="s">
        <v>1052</v>
      </c>
      <c r="I256" t="s">
        <v>2251</v>
      </c>
      <c r="J256" s="30" t="s">
        <v>14</v>
      </c>
      <c r="K256" s="84" t="s">
        <v>1290</v>
      </c>
      <c r="L256" s="30"/>
      <c r="M256" s="30" t="s">
        <v>2299</v>
      </c>
      <c r="N256" s="30"/>
      <c r="O256" s="31">
        <f t="shared" si="28"/>
        <v>28</v>
      </c>
      <c r="P256" s="136"/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284</v>
      </c>
      <c r="G257" t="s">
        <v>2255</v>
      </c>
      <c r="H257" t="s">
        <v>1052</v>
      </c>
      <c r="I257" t="s">
        <v>2256</v>
      </c>
      <c r="J257" s="30" t="s">
        <v>14</v>
      </c>
      <c r="K257" s="84" t="s">
        <v>1290</v>
      </c>
      <c r="L257" s="30"/>
      <c r="M257" s="30" t="s">
        <v>2339</v>
      </c>
      <c r="N257" s="30"/>
      <c r="O257" s="31">
        <f t="shared" si="28"/>
        <v>28</v>
      </c>
      <c r="P257" s="136"/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2178</v>
      </c>
      <c r="G258" t="s">
        <v>2179</v>
      </c>
      <c r="H258" t="s">
        <v>1052</v>
      </c>
      <c r="I258" t="s">
        <v>2180</v>
      </c>
      <c r="J258" s="30" t="s">
        <v>18</v>
      </c>
      <c r="K258" s="84" t="s">
        <v>1290</v>
      </c>
      <c r="L258" s="30"/>
      <c r="M258" s="30" t="s">
        <v>2300</v>
      </c>
      <c r="N258" s="30"/>
      <c r="O258" s="131">
        <f t="shared" si="28"/>
        <v>28</v>
      </c>
      <c r="P258" s="136" t="s">
        <v>2181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2178</v>
      </c>
      <c r="G259" t="s">
        <v>2182</v>
      </c>
      <c r="H259" t="s">
        <v>1052</v>
      </c>
      <c r="I259" t="s">
        <v>2183</v>
      </c>
      <c r="J259" s="30" t="s">
        <v>18</v>
      </c>
      <c r="K259" s="84" t="s">
        <v>1290</v>
      </c>
      <c r="L259" s="30"/>
      <c r="M259" s="30" t="s">
        <v>2301</v>
      </c>
      <c r="N259" s="30"/>
      <c r="O259" s="131">
        <f t="shared" si="28"/>
        <v>28</v>
      </c>
      <c r="P259" s="136" t="s">
        <v>2184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1052</v>
      </c>
      <c r="I260" t="s">
        <v>13</v>
      </c>
      <c r="J260" s="30" t="s">
        <v>14</v>
      </c>
      <c r="K260" s="30" t="s">
        <v>1290</v>
      </c>
      <c r="L260" s="30"/>
      <c r="M260" s="30" t="s">
        <v>723</v>
      </c>
      <c r="N260" s="30"/>
      <c r="O260" s="31">
        <f t="shared" si="28"/>
        <v>28</v>
      </c>
      <c r="P260" s="136"/>
      <c r="Q260" s="31">
        <f t="shared" si="29"/>
        <v>0</v>
      </c>
      <c r="R260" s="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2365</v>
      </c>
      <c r="F261" t="s">
        <v>372</v>
      </c>
      <c r="G261" t="s">
        <v>958</v>
      </c>
      <c r="H261" t="s">
        <v>1052</v>
      </c>
      <c r="I261" t="s">
        <v>959</v>
      </c>
      <c r="J261" s="30" t="s">
        <v>72</v>
      </c>
      <c r="K261" s="30" t="s">
        <v>27</v>
      </c>
      <c r="L261" s="30"/>
      <c r="M261" s="30" t="s">
        <v>1206</v>
      </c>
      <c r="N261" s="30"/>
      <c r="O261" s="31">
        <f t="shared" si="28"/>
        <v>28</v>
      </c>
      <c r="P261" s="136" t="s">
        <v>1843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2365</v>
      </c>
      <c r="F262" t="s">
        <v>960</v>
      </c>
      <c r="G262" t="s">
        <v>2334</v>
      </c>
      <c r="H262" t="s">
        <v>1052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 t="shared" si="28"/>
        <v>28</v>
      </c>
      <c r="P262" s="136" t="s">
        <v>1844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2333</v>
      </c>
      <c r="H263" t="s">
        <v>1052</v>
      </c>
      <c r="I263" t="s">
        <v>2336</v>
      </c>
      <c r="J263" s="30" t="s">
        <v>45</v>
      </c>
      <c r="K263" s="30" t="s">
        <v>1290</v>
      </c>
      <c r="L263" s="30"/>
      <c r="M263" s="30" t="s">
        <v>2337</v>
      </c>
      <c r="N263" s="30"/>
      <c r="O263" s="31"/>
      <c r="P263" s="136"/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2335</v>
      </c>
      <c r="H264" t="s">
        <v>1052</v>
      </c>
      <c r="I264" t="s">
        <v>2336</v>
      </c>
      <c r="J264" s="30" t="s">
        <v>14</v>
      </c>
      <c r="K264" s="30" t="s">
        <v>1290</v>
      </c>
      <c r="L264" s="30"/>
      <c r="M264" s="30" t="s">
        <v>2338</v>
      </c>
      <c r="N264" s="30"/>
      <c r="O264" s="31"/>
      <c r="P264" s="136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1052</v>
      </c>
      <c r="I265" s="73" t="s">
        <v>1078</v>
      </c>
      <c r="J265" s="84" t="s">
        <v>18</v>
      </c>
      <c r="K265" s="84" t="s">
        <v>1290</v>
      </c>
      <c r="L265" s="84"/>
      <c r="M265" s="84" t="s">
        <v>1365</v>
      </c>
      <c r="N265" s="84"/>
      <c r="O265" s="131">
        <f t="shared" ref="O265:O328" si="31">COUNTIF(S265:AT265,"")</f>
        <v>28</v>
      </c>
      <c r="P265" s="136" t="s">
        <v>1845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1052</v>
      </c>
      <c r="I266" s="73" t="s">
        <v>21</v>
      </c>
      <c r="J266" s="84" t="s">
        <v>18</v>
      </c>
      <c r="K266" s="84" t="s">
        <v>1290</v>
      </c>
      <c r="L266" s="84"/>
      <c r="M266" s="84" t="s">
        <v>1366</v>
      </c>
      <c r="N266" s="84"/>
      <c r="O266" s="131">
        <f t="shared" si="31"/>
        <v>28</v>
      </c>
      <c r="P266" s="136" t="s">
        <v>1846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1052</v>
      </c>
      <c r="I267" t="s">
        <v>606</v>
      </c>
      <c r="J267" s="30" t="s">
        <v>14</v>
      </c>
      <c r="K267" s="30" t="s">
        <v>1045</v>
      </c>
      <c r="L267" s="30" t="s">
        <v>1243</v>
      </c>
      <c r="M267" s="30" t="s">
        <v>724</v>
      </c>
      <c r="N267" s="30"/>
      <c r="O267" s="31">
        <f t="shared" si="31"/>
        <v>28</v>
      </c>
      <c r="P267" s="136" t="s">
        <v>1847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1052</v>
      </c>
      <c r="I268" t="s">
        <v>24</v>
      </c>
      <c r="J268" s="30" t="s">
        <v>14</v>
      </c>
      <c r="K268" s="30" t="s">
        <v>19</v>
      </c>
      <c r="L268" s="30"/>
      <c r="M268" s="30" t="s">
        <v>725</v>
      </c>
      <c r="N268" s="30"/>
      <c r="O268" s="31">
        <f t="shared" si="31"/>
        <v>28</v>
      </c>
      <c r="P268" s="136"/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5" hidden="1" customHeight="1" thickBot="1" x14ac:dyDescent="0.3">
      <c r="A269"/>
      <c r="B269"/>
      <c r="C269"/>
      <c r="D269"/>
      <c r="E269"/>
      <c r="F269" s="69"/>
      <c r="G269" t="s">
        <v>1220</v>
      </c>
      <c r="H269" t="s">
        <v>1051</v>
      </c>
      <c r="I269" t="s">
        <v>1221</v>
      </c>
      <c r="J269" t="s">
        <v>18</v>
      </c>
      <c r="K269" t="s">
        <v>27</v>
      </c>
      <c r="L269"/>
      <c r="M269" s="30" t="s">
        <v>1261</v>
      </c>
      <c r="N269" s="30"/>
      <c r="O269" s="31">
        <f t="shared" si="31"/>
        <v>28</v>
      </c>
      <c r="P269" s="136" t="s">
        <v>1848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8" hidden="1" customHeight="1" thickBot="1" x14ac:dyDescent="0.3">
      <c r="A270"/>
      <c r="B270"/>
      <c r="C270"/>
      <c r="D270"/>
      <c r="E270"/>
      <c r="F270" s="73"/>
      <c r="G270" t="s">
        <v>1305</v>
      </c>
      <c r="H270" t="s">
        <v>1051</v>
      </c>
      <c r="I270" t="s">
        <v>1308</v>
      </c>
      <c r="J270" s="30" t="s">
        <v>14</v>
      </c>
      <c r="K270" s="30" t="s">
        <v>27</v>
      </c>
      <c r="L270"/>
      <c r="M270" s="30" t="s">
        <v>1320</v>
      </c>
      <c r="N270" s="30"/>
      <c r="O270" s="31">
        <f t="shared" si="31"/>
        <v>24</v>
      </c>
      <c r="P270" s="136" t="s">
        <v>1849</v>
      </c>
      <c r="Q270" s="31">
        <f t="shared" si="32"/>
        <v>4</v>
      </c>
      <c r="R270" s="32">
        <f t="shared" si="33"/>
        <v>0.8571428571428571</v>
      </c>
      <c r="S270" s="70"/>
      <c r="T270" s="70"/>
      <c r="U270" s="70"/>
      <c r="V270" s="70" t="s">
        <v>2239</v>
      </c>
      <c r="W270" s="70" t="s">
        <v>2239</v>
      </c>
      <c r="X270" s="70" t="s">
        <v>2239</v>
      </c>
      <c r="Y270" s="70" t="s">
        <v>2239</v>
      </c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287</v>
      </c>
      <c r="G271" s="73" t="s">
        <v>961</v>
      </c>
      <c r="H271" s="73" t="s">
        <v>1051</v>
      </c>
      <c r="I271" s="73" t="s">
        <v>288</v>
      </c>
      <c r="J271" s="84" t="s">
        <v>72</v>
      </c>
      <c r="K271" s="84" t="s">
        <v>1290</v>
      </c>
      <c r="L271" s="84"/>
      <c r="M271" s="84" t="s">
        <v>726</v>
      </c>
      <c r="N271" s="84"/>
      <c r="O271" s="131">
        <f t="shared" si="31"/>
        <v>28</v>
      </c>
      <c r="P271" s="136" t="s">
        <v>1850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/>
      <c r="F272" t="s">
        <v>291</v>
      </c>
      <c r="G272" t="s">
        <v>962</v>
      </c>
      <c r="H272" t="s">
        <v>1051</v>
      </c>
      <c r="I272" t="s">
        <v>292</v>
      </c>
      <c r="J272" s="30" t="s">
        <v>18</v>
      </c>
      <c r="K272" s="30" t="s">
        <v>27</v>
      </c>
      <c r="L272" s="30"/>
      <c r="M272" s="30" t="s">
        <v>727</v>
      </c>
      <c r="N272" s="30"/>
      <c r="O272" s="31">
        <f t="shared" si="31"/>
        <v>28</v>
      </c>
      <c r="P272" s="136" t="s">
        <v>1852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/>
      <c r="F273" t="s">
        <v>291</v>
      </c>
      <c r="G273" t="s">
        <v>963</v>
      </c>
      <c r="H273" t="s">
        <v>1051</v>
      </c>
      <c r="I273" t="s">
        <v>295</v>
      </c>
      <c r="J273" s="30" t="s">
        <v>18</v>
      </c>
      <c r="K273" s="30" t="s">
        <v>27</v>
      </c>
      <c r="L273" s="30"/>
      <c r="M273" s="30" t="s">
        <v>729</v>
      </c>
      <c r="N273" s="30"/>
      <c r="O273" s="31">
        <f t="shared" si="31"/>
        <v>28</v>
      </c>
      <c r="P273" s="136" t="s">
        <v>1853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287</v>
      </c>
      <c r="G274" s="73" t="s">
        <v>1234</v>
      </c>
      <c r="H274" s="73" t="s">
        <v>1051</v>
      </c>
      <c r="I274" s="73" t="s">
        <v>1235</v>
      </c>
      <c r="J274" s="84" t="s">
        <v>18</v>
      </c>
      <c r="K274" s="84" t="s">
        <v>1290</v>
      </c>
      <c r="L274" s="84"/>
      <c r="M274" s="84" t="s">
        <v>1236</v>
      </c>
      <c r="N274" s="84" t="s">
        <v>2283</v>
      </c>
      <c r="O274" s="131">
        <f t="shared" si="31"/>
        <v>24</v>
      </c>
      <c r="P274" s="136" t="s">
        <v>1855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2239</v>
      </c>
      <c r="W274" s="70" t="s">
        <v>2239</v>
      </c>
      <c r="X274" s="70" t="s">
        <v>2239</v>
      </c>
      <c r="Y274" s="70" t="s">
        <v>2239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2345</v>
      </c>
      <c r="F275" t="s">
        <v>287</v>
      </c>
      <c r="G275" t="s">
        <v>1273</v>
      </c>
      <c r="H275" t="s">
        <v>1051</v>
      </c>
      <c r="I275" t="s">
        <v>1274</v>
      </c>
      <c r="J275" s="30" t="s">
        <v>18</v>
      </c>
      <c r="K275" s="30" t="s">
        <v>1045</v>
      </c>
      <c r="L275" s="30"/>
      <c r="M275" s="30" t="s">
        <v>1348</v>
      </c>
      <c r="N275" s="30"/>
      <c r="O275" s="31">
        <f t="shared" si="31"/>
        <v>25</v>
      </c>
      <c r="P275" s="136" t="s">
        <v>1856</v>
      </c>
      <c r="Q275" s="31">
        <f t="shared" si="32"/>
        <v>3</v>
      </c>
      <c r="R275" s="32">
        <f t="shared" si="33"/>
        <v>0.8928571428571429</v>
      </c>
      <c r="S275" s="70"/>
      <c r="T275" s="70"/>
      <c r="U275" s="70"/>
      <c r="V275" s="70"/>
      <c r="W275" s="70" t="s">
        <v>2239</v>
      </c>
      <c r="X275" s="70" t="s">
        <v>2239</v>
      </c>
      <c r="Y275" s="70" t="s">
        <v>2239</v>
      </c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2345</v>
      </c>
      <c r="F276" t="s">
        <v>264</v>
      </c>
      <c r="G276" t="s">
        <v>289</v>
      </c>
      <c r="H276" t="s">
        <v>1051</v>
      </c>
      <c r="I276" t="s">
        <v>290</v>
      </c>
      <c r="J276" s="30" t="s">
        <v>72</v>
      </c>
      <c r="K276" s="30" t="s">
        <v>27</v>
      </c>
      <c r="L276" s="30"/>
      <c r="M276" s="30" t="s">
        <v>1049</v>
      </c>
      <c r="N276" s="30"/>
      <c r="O276" s="31">
        <f t="shared" si="31"/>
        <v>28</v>
      </c>
      <c r="P276" s="136" t="s">
        <v>1851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2345</v>
      </c>
      <c r="F277" t="s">
        <v>287</v>
      </c>
      <c r="G277" t="s">
        <v>293</v>
      </c>
      <c r="H277" t="s">
        <v>1051</v>
      </c>
      <c r="I277" t="s">
        <v>294</v>
      </c>
      <c r="J277" s="30" t="s">
        <v>18</v>
      </c>
      <c r="K277" s="30" t="s">
        <v>27</v>
      </c>
      <c r="L277" s="30"/>
      <c r="M277" s="30" t="s">
        <v>728</v>
      </c>
      <c r="N277" s="30"/>
      <c r="O277" s="31">
        <f t="shared" si="31"/>
        <v>28</v>
      </c>
      <c r="P277" s="136" t="s">
        <v>1839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291</v>
      </c>
      <c r="G278" t="s">
        <v>296</v>
      </c>
      <c r="H278" t="s">
        <v>1051</v>
      </c>
      <c r="I278" t="s">
        <v>297</v>
      </c>
      <c r="J278" s="30" t="s">
        <v>14</v>
      </c>
      <c r="K278" s="30" t="s">
        <v>1045</v>
      </c>
      <c r="L278" s="30"/>
      <c r="M278" s="30" t="s">
        <v>730</v>
      </c>
      <c r="N278" s="30"/>
      <c r="O278" s="31">
        <f t="shared" si="31"/>
        <v>28</v>
      </c>
      <c r="P278" s="136" t="s">
        <v>1854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/>
      <c r="B279"/>
      <c r="C279"/>
      <c r="D279"/>
      <c r="E279"/>
      <c r="F279" t="s">
        <v>298</v>
      </c>
      <c r="G279" t="s">
        <v>299</v>
      </c>
      <c r="H279" t="s">
        <v>1051</v>
      </c>
      <c r="I279" t="s">
        <v>300</v>
      </c>
      <c r="J279" s="30" t="s">
        <v>72</v>
      </c>
      <c r="K279" s="30" t="s">
        <v>27</v>
      </c>
      <c r="L279" s="30"/>
      <c r="M279" s="30" t="s">
        <v>731</v>
      </c>
      <c r="N279" s="30" t="s">
        <v>2283</v>
      </c>
      <c r="O279" s="31">
        <f t="shared" si="31"/>
        <v>28</v>
      </c>
      <c r="P279" s="136" t="s">
        <v>1857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/>
      <c r="B280"/>
      <c r="C280"/>
      <c r="D280"/>
      <c r="E280"/>
      <c r="F280" t="s">
        <v>298</v>
      </c>
      <c r="G280" t="s">
        <v>301</v>
      </c>
      <c r="H280" t="s">
        <v>1051</v>
      </c>
      <c r="I280" t="s">
        <v>302</v>
      </c>
      <c r="J280" s="30" t="s">
        <v>18</v>
      </c>
      <c r="K280" s="30" t="s">
        <v>27</v>
      </c>
      <c r="L280" s="30"/>
      <c r="M280" s="30" t="s">
        <v>2281</v>
      </c>
      <c r="N280" s="30"/>
      <c r="O280" s="31">
        <f t="shared" si="31"/>
        <v>28</v>
      </c>
      <c r="P280" s="136" t="s">
        <v>1858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298</v>
      </c>
      <c r="G281" t="s">
        <v>303</v>
      </c>
      <c r="H281" t="s">
        <v>1051</v>
      </c>
      <c r="I281" t="s">
        <v>304</v>
      </c>
      <c r="J281" s="30" t="s">
        <v>18</v>
      </c>
      <c r="K281" s="30" t="s">
        <v>1045</v>
      </c>
      <c r="L281" s="30"/>
      <c r="M281" s="30" t="s">
        <v>1480</v>
      </c>
      <c r="N281" s="30"/>
      <c r="O281" s="31">
        <f t="shared" si="31"/>
        <v>28</v>
      </c>
      <c r="P281" s="136" t="s">
        <v>1859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298</v>
      </c>
      <c r="G282" s="73" t="s">
        <v>305</v>
      </c>
      <c r="H282" s="73" t="s">
        <v>1051</v>
      </c>
      <c r="I282" s="73" t="s">
        <v>306</v>
      </c>
      <c r="J282" s="84" t="s">
        <v>18</v>
      </c>
      <c r="K282" s="84" t="s">
        <v>1290</v>
      </c>
      <c r="L282" s="84"/>
      <c r="M282" s="84" t="s">
        <v>1481</v>
      </c>
      <c r="N282" s="84"/>
      <c r="O282" s="131">
        <f t="shared" si="31"/>
        <v>28</v>
      </c>
      <c r="P282" s="136" t="s">
        <v>1860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/>
      <c r="B283"/>
      <c r="C283"/>
      <c r="D283"/>
      <c r="E283"/>
      <c r="F283" t="s">
        <v>298</v>
      </c>
      <c r="G283" t="s">
        <v>1475</v>
      </c>
      <c r="H283" t="s">
        <v>1051</v>
      </c>
      <c r="I283" t="s">
        <v>1474</v>
      </c>
      <c r="J283" s="30" t="s">
        <v>72</v>
      </c>
      <c r="K283" s="30" t="s">
        <v>27</v>
      </c>
      <c r="L283" s="30"/>
      <c r="M283" s="30" t="s">
        <v>1476</v>
      </c>
      <c r="N283" s="30" t="s">
        <v>2283</v>
      </c>
      <c r="O283" s="131">
        <f t="shared" si="31"/>
        <v>28</v>
      </c>
      <c r="P283" s="136" t="s">
        <v>1861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/>
      <c r="B284"/>
      <c r="C284"/>
      <c r="D284"/>
      <c r="E284"/>
      <c r="F284" t="s">
        <v>298</v>
      </c>
      <c r="G284" t="s">
        <v>1477</v>
      </c>
      <c r="H284" t="s">
        <v>1051</v>
      </c>
      <c r="I284" t="s">
        <v>1474</v>
      </c>
      <c r="J284" s="30" t="s">
        <v>72</v>
      </c>
      <c r="K284" s="30" t="s">
        <v>27</v>
      </c>
      <c r="L284" s="30"/>
      <c r="M284" s="30" t="s">
        <v>1482</v>
      </c>
      <c r="N284" s="30" t="s">
        <v>2283</v>
      </c>
      <c r="O284" s="131">
        <f t="shared" si="31"/>
        <v>28</v>
      </c>
      <c r="P284" s="136" t="s">
        <v>1862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13</v>
      </c>
      <c r="C285"/>
      <c r="D285"/>
      <c r="E285" t="s">
        <v>2349</v>
      </c>
      <c r="F285" t="s">
        <v>307</v>
      </c>
      <c r="G285" t="s">
        <v>964</v>
      </c>
      <c r="H285" t="s">
        <v>1051</v>
      </c>
      <c r="I285" t="s">
        <v>310</v>
      </c>
      <c r="J285" s="30" t="s">
        <v>18</v>
      </c>
      <c r="K285" s="30" t="s">
        <v>27</v>
      </c>
      <c r="L285" s="30"/>
      <c r="M285" s="30" t="s">
        <v>732</v>
      </c>
      <c r="N285" s="30"/>
      <c r="O285" s="31">
        <f t="shared" si="31"/>
        <v>26</v>
      </c>
      <c r="P285" s="136" t="s">
        <v>1863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2239</v>
      </c>
      <c r="W285" s="70" t="s">
        <v>2239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307</v>
      </c>
      <c r="G286" s="73" t="s">
        <v>308</v>
      </c>
      <c r="H286" s="73" t="s">
        <v>1051</v>
      </c>
      <c r="I286" s="73" t="s">
        <v>309</v>
      </c>
      <c r="J286" s="84" t="s">
        <v>14</v>
      </c>
      <c r="K286" s="84" t="s">
        <v>1290</v>
      </c>
      <c r="L286" s="84"/>
      <c r="M286" s="84" t="s">
        <v>1359</v>
      </c>
      <c r="N286" s="84"/>
      <c r="O286" s="131">
        <f t="shared" si="31"/>
        <v>28</v>
      </c>
      <c r="P286" s="136" t="s">
        <v>1869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307</v>
      </c>
      <c r="G287" s="73" t="s">
        <v>311</v>
      </c>
      <c r="H287" s="73" t="s">
        <v>1051</v>
      </c>
      <c r="I287" s="73" t="s">
        <v>312</v>
      </c>
      <c r="J287" s="84" t="s">
        <v>18</v>
      </c>
      <c r="K287" s="84" t="s">
        <v>1290</v>
      </c>
      <c r="L287" s="84"/>
      <c r="M287" s="84" t="s">
        <v>1360</v>
      </c>
      <c r="N287" s="84"/>
      <c r="O287" s="131">
        <f t="shared" si="31"/>
        <v>28</v>
      </c>
      <c r="P287" s="136" t="s">
        <v>1864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307</v>
      </c>
      <c r="G288" t="s">
        <v>313</v>
      </c>
      <c r="H288" t="s">
        <v>1051</v>
      </c>
      <c r="I288" t="s">
        <v>314</v>
      </c>
      <c r="J288" s="30" t="s">
        <v>18</v>
      </c>
      <c r="K288" s="30" t="s">
        <v>1045</v>
      </c>
      <c r="L288" s="30" t="s">
        <v>1244</v>
      </c>
      <c r="M288" s="30" t="s">
        <v>733</v>
      </c>
      <c r="N288" s="30"/>
      <c r="O288" s="31">
        <f t="shared" si="31"/>
        <v>27</v>
      </c>
      <c r="P288" s="136" t="s">
        <v>1865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2239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307</v>
      </c>
      <c r="G289" s="73" t="s">
        <v>315</v>
      </c>
      <c r="H289" s="73" t="s">
        <v>1051</v>
      </c>
      <c r="I289" s="73" t="s">
        <v>316</v>
      </c>
      <c r="J289" s="84" t="s">
        <v>18</v>
      </c>
      <c r="K289" s="84" t="s">
        <v>1290</v>
      </c>
      <c r="L289" s="84"/>
      <c r="M289" s="84" t="s">
        <v>1350</v>
      </c>
      <c r="N289" s="84"/>
      <c r="O289" s="131">
        <f t="shared" si="31"/>
        <v>28</v>
      </c>
      <c r="P289" s="136" t="s">
        <v>1866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317</v>
      </c>
      <c r="G290" s="73" t="s">
        <v>318</v>
      </c>
      <c r="H290" s="73" t="s">
        <v>1051</v>
      </c>
      <c r="I290" s="73" t="s">
        <v>319</v>
      </c>
      <c r="J290" s="84" t="s">
        <v>18</v>
      </c>
      <c r="K290" s="84" t="s">
        <v>1290</v>
      </c>
      <c r="L290" s="84"/>
      <c r="M290" s="134" t="s">
        <v>1351</v>
      </c>
      <c r="N290" s="134"/>
      <c r="O290" s="131">
        <f t="shared" si="31"/>
        <v>28</v>
      </c>
      <c r="P290" s="136" t="s">
        <v>1867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13</v>
      </c>
      <c r="C291"/>
      <c r="D291"/>
      <c r="E291" t="s">
        <v>2349</v>
      </c>
      <c r="F291" t="s">
        <v>51</v>
      </c>
      <c r="G291" t="s">
        <v>320</v>
      </c>
      <c r="H291" t="s">
        <v>1051</v>
      </c>
      <c r="I291" t="s">
        <v>321</v>
      </c>
      <c r="J291" s="30" t="s">
        <v>18</v>
      </c>
      <c r="K291" s="30" t="s">
        <v>27</v>
      </c>
      <c r="L291" s="30"/>
      <c r="M291" s="30" t="s">
        <v>734</v>
      </c>
      <c r="N291" s="30"/>
      <c r="O291" s="31">
        <f t="shared" si="31"/>
        <v>27</v>
      </c>
      <c r="P291" s="136" t="s">
        <v>1670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2239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13</v>
      </c>
      <c r="C292"/>
      <c r="D292"/>
      <c r="E292" t="s">
        <v>2349</v>
      </c>
      <c r="F292" t="s">
        <v>307</v>
      </c>
      <c r="G292" t="s">
        <v>322</v>
      </c>
      <c r="H292" t="s">
        <v>1051</v>
      </c>
      <c r="I292" t="s">
        <v>323</v>
      </c>
      <c r="J292" s="30" t="s">
        <v>18</v>
      </c>
      <c r="K292" s="30" t="s">
        <v>27</v>
      </c>
      <c r="L292" s="30"/>
      <c r="M292" s="30" t="s">
        <v>735</v>
      </c>
      <c r="N292" s="30"/>
      <c r="O292" s="31">
        <f t="shared" si="31"/>
        <v>28</v>
      </c>
      <c r="P292" s="136" t="s">
        <v>1868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307</v>
      </c>
      <c r="G293" s="73" t="s">
        <v>324</v>
      </c>
      <c r="H293" s="73" t="s">
        <v>1051</v>
      </c>
      <c r="I293" s="73" t="s">
        <v>325</v>
      </c>
      <c r="J293" s="84" t="s">
        <v>14</v>
      </c>
      <c r="K293" s="84" t="s">
        <v>1290</v>
      </c>
      <c r="L293" s="84"/>
      <c r="M293" s="84" t="s">
        <v>736</v>
      </c>
      <c r="N293" s="84"/>
      <c r="O293" s="131">
        <f t="shared" si="31"/>
        <v>28</v>
      </c>
      <c r="P293" s="136" t="s">
        <v>1870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307</v>
      </c>
      <c r="G294" s="73" t="s">
        <v>1331</v>
      </c>
      <c r="H294" s="73" t="s">
        <v>1051</v>
      </c>
      <c r="I294" s="73" t="s">
        <v>1332</v>
      </c>
      <c r="J294" s="84" t="s">
        <v>14</v>
      </c>
      <c r="K294" s="84" t="s">
        <v>1290</v>
      </c>
      <c r="L294" s="84"/>
      <c r="M294" s="84" t="s">
        <v>1346</v>
      </c>
      <c r="N294" s="84"/>
      <c r="O294" s="131">
        <f t="shared" si="31"/>
        <v>28</v>
      </c>
      <c r="P294" s="136" t="s">
        <v>1871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1521</v>
      </c>
      <c r="G295" s="73" t="s">
        <v>1520</v>
      </c>
      <c r="H295" s="73" t="s">
        <v>1051</v>
      </c>
      <c r="I295" s="73" t="s">
        <v>1522</v>
      </c>
      <c r="J295" s="84" t="s">
        <v>18</v>
      </c>
      <c r="K295" s="84" t="s">
        <v>1290</v>
      </c>
      <c r="L295" s="84"/>
      <c r="M295" s="84" t="s">
        <v>1523</v>
      </c>
      <c r="N295" s="84"/>
      <c r="O295" s="131">
        <f t="shared" si="31"/>
        <v>28</v>
      </c>
      <c r="P295" s="136" t="s">
        <v>1872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13</v>
      </c>
      <c r="C296"/>
      <c r="D296"/>
      <c r="E296" t="s">
        <v>2349</v>
      </c>
      <c r="F296" s="73" t="s">
        <v>1521</v>
      </c>
      <c r="G296" s="73" t="s">
        <v>1631</v>
      </c>
      <c r="H296" s="73" t="s">
        <v>1051</v>
      </c>
      <c r="I296" s="73" t="s">
        <v>1632</v>
      </c>
      <c r="J296" s="84" t="s">
        <v>18</v>
      </c>
      <c r="K296" s="84" t="s">
        <v>27</v>
      </c>
      <c r="L296" s="84"/>
      <c r="M296" s="84" t="s">
        <v>1633</v>
      </c>
      <c r="N296" s="84"/>
      <c r="O296" s="131">
        <f t="shared" si="31"/>
        <v>28</v>
      </c>
      <c r="P296" s="136" t="s">
        <v>2163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/>
      <c r="F297" s="69" t="s">
        <v>2126</v>
      </c>
      <c r="G297" s="30" t="s">
        <v>1337</v>
      </c>
      <c r="H297" t="s">
        <v>1052</v>
      </c>
      <c r="I297" t="s">
        <v>1338</v>
      </c>
      <c r="J297" s="30" t="s">
        <v>18</v>
      </c>
      <c r="K297" s="30" t="s">
        <v>27</v>
      </c>
      <c r="L297" s="137"/>
      <c r="M297" s="30" t="s">
        <v>1428</v>
      </c>
      <c r="N297" s="137"/>
      <c r="O297" s="139">
        <f t="shared" si="31"/>
        <v>28</v>
      </c>
      <c r="P297" s="143" t="s">
        <v>1665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2126</v>
      </c>
      <c r="G298" s="84" t="s">
        <v>1387</v>
      </c>
      <c r="H298" s="73" t="s">
        <v>1052</v>
      </c>
      <c r="I298" s="73" t="s">
        <v>1388</v>
      </c>
      <c r="J298" s="84" t="s">
        <v>18</v>
      </c>
      <c r="K298" s="84" t="s">
        <v>1290</v>
      </c>
      <c r="L298" s="84"/>
      <c r="M298" s="84" t="s">
        <v>1389</v>
      </c>
      <c r="N298" s="84"/>
      <c r="O298" s="131">
        <f t="shared" si="31"/>
        <v>24</v>
      </c>
      <c r="P298" s="136" t="s">
        <v>2131</v>
      </c>
      <c r="Q298" s="131">
        <f t="shared" si="32"/>
        <v>4</v>
      </c>
      <c r="R298" s="132">
        <f t="shared" si="33"/>
        <v>0.8571428571428571</v>
      </c>
      <c r="S298" s="70"/>
      <c r="T298" s="70"/>
      <c r="U298" s="70"/>
      <c r="V298" s="70" t="s">
        <v>2239</v>
      </c>
      <c r="W298" s="70" t="s">
        <v>2239</v>
      </c>
      <c r="X298" s="70" t="s">
        <v>2239</v>
      </c>
      <c r="Y298" s="70" t="s">
        <v>2239</v>
      </c>
      <c r="Z298" s="70"/>
      <c r="AA298" s="70"/>
      <c r="AB298" s="70"/>
      <c r="AC298" s="70"/>
      <c r="AD298" s="70"/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2126</v>
      </c>
      <c r="G299" s="84" t="s">
        <v>2123</v>
      </c>
      <c r="H299" s="73" t="s">
        <v>1052</v>
      </c>
      <c r="I299" s="73" t="s">
        <v>2124</v>
      </c>
      <c r="J299" s="84" t="s">
        <v>18</v>
      </c>
      <c r="K299" s="84" t="s">
        <v>1290</v>
      </c>
      <c r="L299" s="84"/>
      <c r="M299" s="84" t="s">
        <v>2290</v>
      </c>
      <c r="N299" s="84"/>
      <c r="O299" s="131">
        <f t="shared" si="31"/>
        <v>24</v>
      </c>
      <c r="P299" s="136" t="s">
        <v>2125</v>
      </c>
      <c r="Q299" s="131">
        <f t="shared" si="32"/>
        <v>4</v>
      </c>
      <c r="R299" s="132">
        <f t="shared" si="33"/>
        <v>0.8571428571428571</v>
      </c>
      <c r="S299" s="70"/>
      <c r="T299" s="70"/>
      <c r="U299" s="70"/>
      <c r="V299" s="70" t="s">
        <v>2239</v>
      </c>
      <c r="W299" s="70" t="s">
        <v>2239</v>
      </c>
      <c r="X299" s="70" t="s">
        <v>2239</v>
      </c>
      <c r="Y299" s="70" t="s">
        <v>2239</v>
      </c>
      <c r="Z299" s="70"/>
      <c r="AA299" s="70"/>
      <c r="AB299" s="70"/>
      <c r="AC299" s="70"/>
      <c r="AD299" s="70"/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2352</v>
      </c>
      <c r="F300" t="s">
        <v>328</v>
      </c>
      <c r="G300" t="s">
        <v>326</v>
      </c>
      <c r="H300" t="s">
        <v>1052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 t="shared" si="31"/>
        <v>24</v>
      </c>
      <c r="P300" s="136" t="s">
        <v>1873</v>
      </c>
      <c r="Q300" s="31">
        <f t="shared" si="32"/>
        <v>4</v>
      </c>
      <c r="R300" s="32">
        <f t="shared" si="33"/>
        <v>0.8571428571428571</v>
      </c>
      <c r="S300" s="70"/>
      <c r="T300" s="70"/>
      <c r="U300" s="70"/>
      <c r="V300" s="70" t="s">
        <v>2239</v>
      </c>
      <c r="W300" s="70" t="s">
        <v>2239</v>
      </c>
      <c r="X300" s="70" t="s">
        <v>2239</v>
      </c>
      <c r="Y300" s="70" t="s">
        <v>2239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2352</v>
      </c>
      <c r="F301" t="s">
        <v>328</v>
      </c>
      <c r="G301" t="s">
        <v>329</v>
      </c>
      <c r="H301" t="s">
        <v>1052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 t="shared" si="31"/>
        <v>24</v>
      </c>
      <c r="P301" s="136" t="s">
        <v>1874</v>
      </c>
      <c r="Q301" s="31">
        <f t="shared" si="32"/>
        <v>4</v>
      </c>
      <c r="R301" s="32">
        <f t="shared" si="33"/>
        <v>0.8571428571428571</v>
      </c>
      <c r="S301" s="70"/>
      <c r="T301" s="70"/>
      <c r="U301" s="70"/>
      <c r="V301" s="70" t="s">
        <v>2239</v>
      </c>
      <c r="W301" s="70" t="s">
        <v>2239</v>
      </c>
      <c r="X301" s="70" t="s">
        <v>2239</v>
      </c>
      <c r="Y301" s="70" t="s">
        <v>2239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2352</v>
      </c>
      <c r="F302" t="s">
        <v>328</v>
      </c>
      <c r="G302" t="s">
        <v>331</v>
      </c>
      <c r="H302" t="s">
        <v>1052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 t="shared" si="31"/>
        <v>24</v>
      </c>
      <c r="P302" s="136" t="s">
        <v>1875</v>
      </c>
      <c r="Q302" s="31">
        <f t="shared" si="32"/>
        <v>4</v>
      </c>
      <c r="R302" s="32">
        <f t="shared" si="33"/>
        <v>0.8571428571428571</v>
      </c>
      <c r="S302" s="70"/>
      <c r="T302" s="70"/>
      <c r="U302" s="70"/>
      <c r="V302" s="70" t="s">
        <v>2239</v>
      </c>
      <c r="W302" s="70" t="s">
        <v>2239</v>
      </c>
      <c r="X302" s="70" t="s">
        <v>2239</v>
      </c>
      <c r="Y302" s="70" t="s">
        <v>2239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2352</v>
      </c>
      <c r="F303" t="s">
        <v>328</v>
      </c>
      <c r="G303" t="s">
        <v>332</v>
      </c>
      <c r="H303" t="s">
        <v>1052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 t="shared" si="31"/>
        <v>24</v>
      </c>
      <c r="P303" s="136" t="s">
        <v>1876</v>
      </c>
      <c r="Q303" s="31">
        <f t="shared" si="32"/>
        <v>4</v>
      </c>
      <c r="R303" s="32">
        <f t="shared" si="33"/>
        <v>0.8571428571428571</v>
      </c>
      <c r="S303" s="70"/>
      <c r="T303" s="70"/>
      <c r="U303" s="70"/>
      <c r="V303" s="70" t="s">
        <v>2239</v>
      </c>
      <c r="W303" s="70" t="s">
        <v>2239</v>
      </c>
      <c r="X303" s="70" t="s">
        <v>2239</v>
      </c>
      <c r="Y303" s="70" t="s">
        <v>2239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2352</v>
      </c>
      <c r="F304" t="s">
        <v>328</v>
      </c>
      <c r="G304" t="s">
        <v>334</v>
      </c>
      <c r="H304" t="s">
        <v>1052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 t="shared" si="31"/>
        <v>24</v>
      </c>
      <c r="P304" s="136" t="s">
        <v>1877</v>
      </c>
      <c r="Q304" s="31">
        <f t="shared" si="32"/>
        <v>4</v>
      </c>
      <c r="R304" s="32">
        <f t="shared" si="33"/>
        <v>0.8571428571428571</v>
      </c>
      <c r="S304" s="70"/>
      <c r="T304" s="70"/>
      <c r="U304" s="70"/>
      <c r="V304" s="70" t="s">
        <v>2239</v>
      </c>
      <c r="W304" s="70" t="s">
        <v>2239</v>
      </c>
      <c r="X304" s="70" t="s">
        <v>2239</v>
      </c>
      <c r="Y304" s="70" t="s">
        <v>2239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2351</v>
      </c>
      <c r="F305" t="s">
        <v>40</v>
      </c>
      <c r="G305" t="s">
        <v>336</v>
      </c>
      <c r="H305" t="s">
        <v>1051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 t="shared" si="31"/>
        <v>28</v>
      </c>
      <c r="P305" s="136" t="s">
        <v>1878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2351</v>
      </c>
      <c r="F306" t="s">
        <v>40</v>
      </c>
      <c r="G306" t="s">
        <v>338</v>
      </c>
      <c r="H306" t="s">
        <v>1051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 t="shared" si="31"/>
        <v>28</v>
      </c>
      <c r="P306" s="136" t="s">
        <v>1879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2365</v>
      </c>
      <c r="F307" t="s">
        <v>183</v>
      </c>
      <c r="G307" t="s">
        <v>339</v>
      </c>
      <c r="H307" t="s">
        <v>1052</v>
      </c>
      <c r="I307" t="s">
        <v>340</v>
      </c>
      <c r="J307" s="30" t="s">
        <v>14</v>
      </c>
      <c r="K307" s="30" t="s">
        <v>27</v>
      </c>
      <c r="L307" s="30"/>
      <c r="M307" s="30" t="s">
        <v>746</v>
      </c>
      <c r="N307" s="30"/>
      <c r="O307" s="31">
        <f t="shared" si="31"/>
        <v>24</v>
      </c>
      <c r="P307" s="136" t="s">
        <v>1881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 t="s">
        <v>2239</v>
      </c>
      <c r="W307" s="70" t="s">
        <v>2239</v>
      </c>
      <c r="X307" s="70" t="s">
        <v>2239</v>
      </c>
      <c r="Y307" s="70" t="s">
        <v>2239</v>
      </c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2365</v>
      </c>
      <c r="F308" s="69" t="s">
        <v>183</v>
      </c>
      <c r="G308" s="69" t="s">
        <v>341</v>
      </c>
      <c r="H308" s="69" t="s">
        <v>1052</v>
      </c>
      <c r="I308" s="69" t="s">
        <v>340</v>
      </c>
      <c r="J308" s="137" t="s">
        <v>72</v>
      </c>
      <c r="K308" s="137" t="s">
        <v>27</v>
      </c>
      <c r="L308" s="137"/>
      <c r="M308" s="137" t="s">
        <v>747</v>
      </c>
      <c r="N308" s="137"/>
      <c r="O308" s="139">
        <f t="shared" si="31"/>
        <v>24</v>
      </c>
      <c r="P308" s="140" t="s">
        <v>1882</v>
      </c>
      <c r="Q308" s="139">
        <f t="shared" si="32"/>
        <v>4</v>
      </c>
      <c r="R308" s="141">
        <f t="shared" si="33"/>
        <v>0.8571428571428571</v>
      </c>
      <c r="S308" s="142"/>
      <c r="T308" s="142"/>
      <c r="U308" s="142"/>
      <c r="V308" s="70" t="s">
        <v>2239</v>
      </c>
      <c r="W308" s="70" t="s">
        <v>2239</v>
      </c>
      <c r="X308" s="70" t="s">
        <v>2239</v>
      </c>
      <c r="Y308" s="70" t="s">
        <v>2239</v>
      </c>
      <c r="Z308" s="142"/>
      <c r="AA308" s="142"/>
      <c r="AB308" s="142"/>
      <c r="AC308" s="142"/>
      <c r="AD308" s="142"/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2365</v>
      </c>
      <c r="F309" t="s">
        <v>183</v>
      </c>
      <c r="G309" t="s">
        <v>1284</v>
      </c>
      <c r="H309" t="s">
        <v>1052</v>
      </c>
      <c r="I309" t="s">
        <v>968</v>
      </c>
      <c r="J309" s="30" t="s">
        <v>72</v>
      </c>
      <c r="K309" s="30" t="s">
        <v>27</v>
      </c>
      <c r="L309" s="30"/>
      <c r="M309" s="30" t="s">
        <v>1263</v>
      </c>
      <c r="N309" s="30"/>
      <c r="O309" s="31">
        <f t="shared" si="31"/>
        <v>28</v>
      </c>
      <c r="P309" s="136" t="s">
        <v>1883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2365</v>
      </c>
      <c r="F310" t="s">
        <v>211</v>
      </c>
      <c r="G310" t="s">
        <v>1283</v>
      </c>
      <c r="H310" t="s">
        <v>1052</v>
      </c>
      <c r="I310" t="s">
        <v>969</v>
      </c>
      <c r="J310" s="30" t="s">
        <v>18</v>
      </c>
      <c r="K310" s="30" t="s">
        <v>27</v>
      </c>
      <c r="L310" s="30"/>
      <c r="M310" s="30" t="s">
        <v>1264</v>
      </c>
      <c r="N310" s="30"/>
      <c r="O310" s="31">
        <f t="shared" si="31"/>
        <v>24</v>
      </c>
      <c r="P310" s="136" t="s">
        <v>1886</v>
      </c>
      <c r="Q310" s="31">
        <f t="shared" si="32"/>
        <v>4</v>
      </c>
      <c r="R310" s="32">
        <f t="shared" si="33"/>
        <v>0.8571428571428571</v>
      </c>
      <c r="S310" s="70"/>
      <c r="T310" s="70"/>
      <c r="U310" s="70"/>
      <c r="V310" s="70" t="s">
        <v>2239</v>
      </c>
      <c r="W310" s="70" t="s">
        <v>2239</v>
      </c>
      <c r="X310" s="70" t="s">
        <v>2239</v>
      </c>
      <c r="Y310" s="70" t="s">
        <v>2239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2365</v>
      </c>
      <c r="F311" t="s">
        <v>211</v>
      </c>
      <c r="G311" t="s">
        <v>342</v>
      </c>
      <c r="H311" t="s">
        <v>1052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 t="shared" si="31"/>
        <v>28</v>
      </c>
      <c r="P311" s="136" t="s">
        <v>1884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2365</v>
      </c>
      <c r="F312" t="s">
        <v>211</v>
      </c>
      <c r="G312" t="s">
        <v>344</v>
      </c>
      <c r="H312" t="s">
        <v>1052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 t="shared" si="31"/>
        <v>24</v>
      </c>
      <c r="P312" s="136" t="s">
        <v>1885</v>
      </c>
      <c r="Q312" s="31">
        <f t="shared" si="32"/>
        <v>4</v>
      </c>
      <c r="R312" s="32">
        <f t="shared" si="33"/>
        <v>0.8571428571428571</v>
      </c>
      <c r="S312" s="70"/>
      <c r="T312" s="70"/>
      <c r="U312" s="70"/>
      <c r="V312" s="70" t="s">
        <v>2239</v>
      </c>
      <c r="W312" s="70" t="s">
        <v>2239</v>
      </c>
      <c r="X312" s="70" t="s">
        <v>2239</v>
      </c>
      <c r="Y312" s="70" t="s">
        <v>2239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/>
      <c r="F313" t="s">
        <v>284</v>
      </c>
      <c r="G313" t="s">
        <v>345</v>
      </c>
      <c r="H313" t="s">
        <v>1052</v>
      </c>
      <c r="I313" t="s">
        <v>346</v>
      </c>
      <c r="J313" s="30" t="s">
        <v>72</v>
      </c>
      <c r="K313" s="30" t="s">
        <v>27</v>
      </c>
      <c r="L313" s="30"/>
      <c r="M313" s="30" t="s">
        <v>751</v>
      </c>
      <c r="N313" s="30"/>
      <c r="O313" s="31">
        <f t="shared" si="31"/>
        <v>28</v>
      </c>
      <c r="P313" s="136" t="s">
        <v>1887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2352</v>
      </c>
      <c r="F314" t="s">
        <v>347</v>
      </c>
      <c r="G314" t="s">
        <v>348</v>
      </c>
      <c r="H314" t="s">
        <v>1052</v>
      </c>
      <c r="I314" t="s">
        <v>349</v>
      </c>
      <c r="J314" s="30" t="s">
        <v>14</v>
      </c>
      <c r="K314" s="30" t="s">
        <v>27</v>
      </c>
      <c r="L314" s="30"/>
      <c r="M314" s="30" t="s">
        <v>753</v>
      </c>
      <c r="N314" s="30"/>
      <c r="O314" s="31">
        <f t="shared" si="31"/>
        <v>28</v>
      </c>
      <c r="P314" s="136" t="s">
        <v>1890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2352</v>
      </c>
      <c r="F315" t="s">
        <v>347</v>
      </c>
      <c r="G315" t="s">
        <v>350</v>
      </c>
      <c r="H315" t="s">
        <v>1052</v>
      </c>
      <c r="I315" t="s">
        <v>349</v>
      </c>
      <c r="J315" s="30" t="s">
        <v>72</v>
      </c>
      <c r="K315" s="30" t="s">
        <v>27</v>
      </c>
      <c r="L315" s="30"/>
      <c r="M315" s="30" t="s">
        <v>754</v>
      </c>
      <c r="N315" s="30"/>
      <c r="O315" s="31">
        <f t="shared" si="31"/>
        <v>28</v>
      </c>
      <c r="P315" s="136" t="s">
        <v>1891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/>
      <c r="F316" t="s">
        <v>351</v>
      </c>
      <c r="G316" s="69" t="s">
        <v>965</v>
      </c>
      <c r="H316" s="69" t="s">
        <v>1052</v>
      </c>
      <c r="I316" s="69" t="s">
        <v>352</v>
      </c>
      <c r="J316" s="137" t="s">
        <v>14</v>
      </c>
      <c r="K316" s="137" t="s">
        <v>27</v>
      </c>
      <c r="L316" s="30"/>
      <c r="M316" s="137" t="s">
        <v>759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>
        <v>12</v>
      </c>
      <c r="B317">
        <v>18</v>
      </c>
      <c r="C317"/>
      <c r="D317"/>
      <c r="E317" t="s">
        <v>2382</v>
      </c>
      <c r="F317" s="73" t="s">
        <v>193</v>
      </c>
      <c r="G317" s="73" t="s">
        <v>353</v>
      </c>
      <c r="H317" s="73" t="s">
        <v>1052</v>
      </c>
      <c r="I317" s="73" t="s">
        <v>354</v>
      </c>
      <c r="J317" s="84" t="s">
        <v>14</v>
      </c>
      <c r="K317" s="84" t="s">
        <v>1290</v>
      </c>
      <c r="L317" s="84"/>
      <c r="M317" s="84" t="s">
        <v>755</v>
      </c>
      <c r="N317" s="84"/>
      <c r="O317" s="131">
        <f t="shared" si="31"/>
        <v>24</v>
      </c>
      <c r="P317" s="136" t="s">
        <v>1893</v>
      </c>
      <c r="Q317" s="131">
        <f t="shared" si="32"/>
        <v>4</v>
      </c>
      <c r="R317" s="132">
        <f t="shared" si="33"/>
        <v>0.8571428571428571</v>
      </c>
      <c r="S317" s="70"/>
      <c r="T317" s="70"/>
      <c r="U317" s="70"/>
      <c r="V317" s="70" t="s">
        <v>2239</v>
      </c>
      <c r="W317" s="70" t="s">
        <v>2239</v>
      </c>
      <c r="X317" s="70" t="s">
        <v>2239</v>
      </c>
      <c r="Y317" s="70" t="s">
        <v>2239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>
        <v>12</v>
      </c>
      <c r="B318">
        <v>18</v>
      </c>
      <c r="C318"/>
      <c r="D318"/>
      <c r="E318" t="s">
        <v>2382</v>
      </c>
      <c r="F318" s="73" t="s">
        <v>193</v>
      </c>
      <c r="G318" s="73" t="s">
        <v>355</v>
      </c>
      <c r="H318" s="73" t="s">
        <v>1052</v>
      </c>
      <c r="I318" s="73" t="s">
        <v>354</v>
      </c>
      <c r="J318" s="84" t="s">
        <v>72</v>
      </c>
      <c r="K318" s="84" t="s">
        <v>1290</v>
      </c>
      <c r="L318" s="84"/>
      <c r="M318" s="84" t="s">
        <v>1610</v>
      </c>
      <c r="N318" s="84"/>
      <c r="O318" s="131">
        <f t="shared" si="31"/>
        <v>28</v>
      </c>
      <c r="P318" s="136" t="s">
        <v>2122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356</v>
      </c>
      <c r="G319" s="73" t="s">
        <v>357</v>
      </c>
      <c r="H319" s="73" t="s">
        <v>1052</v>
      </c>
      <c r="I319" s="73" t="s">
        <v>1199</v>
      </c>
      <c r="J319" s="84" t="s">
        <v>72</v>
      </c>
      <c r="K319" s="84" t="s">
        <v>1290</v>
      </c>
      <c r="L319" s="84"/>
      <c r="M319" s="84" t="s">
        <v>761</v>
      </c>
      <c r="N319" s="84"/>
      <c r="O319" s="131">
        <f t="shared" si="31"/>
        <v>24</v>
      </c>
      <c r="P319" s="136" t="s">
        <v>2164</v>
      </c>
      <c r="Q319" s="131">
        <f t="shared" si="32"/>
        <v>4</v>
      </c>
      <c r="R319" s="132">
        <f t="shared" si="33"/>
        <v>0.8571428571428571</v>
      </c>
      <c r="S319" s="70"/>
      <c r="T319" s="70"/>
      <c r="U319" s="70"/>
      <c r="V319" s="70" t="s">
        <v>2239</v>
      </c>
      <c r="W319" s="70" t="s">
        <v>2239</v>
      </c>
      <c r="X319" s="70" t="s">
        <v>2239</v>
      </c>
      <c r="Y319" s="70" t="s">
        <v>2239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t="s">
        <v>347</v>
      </c>
      <c r="G320" t="s">
        <v>358</v>
      </c>
      <c r="H320" t="s">
        <v>1052</v>
      </c>
      <c r="I320" t="s">
        <v>359</v>
      </c>
      <c r="J320" s="30" t="s">
        <v>14</v>
      </c>
      <c r="K320" s="30" t="s">
        <v>27</v>
      </c>
      <c r="L320" s="30"/>
      <c r="M320" s="30" t="s">
        <v>757</v>
      </c>
      <c r="N320" s="30"/>
      <c r="O320" s="31">
        <f t="shared" si="31"/>
        <v>25</v>
      </c>
      <c r="P320" s="136" t="s">
        <v>1897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 t="s">
        <v>2239</v>
      </c>
      <c r="W320" s="70" t="s">
        <v>2239</v>
      </c>
      <c r="X320" s="70"/>
      <c r="Y320" s="70" t="s">
        <v>2239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/>
      <c r="F321" t="s">
        <v>347</v>
      </c>
      <c r="G321" t="s">
        <v>360</v>
      </c>
      <c r="H321" t="s">
        <v>1052</v>
      </c>
      <c r="I321" t="s">
        <v>359</v>
      </c>
      <c r="J321" s="30" t="s">
        <v>72</v>
      </c>
      <c r="K321" s="30" t="s">
        <v>27</v>
      </c>
      <c r="L321" s="30"/>
      <c r="M321" s="30" t="s">
        <v>756</v>
      </c>
      <c r="N321" s="30"/>
      <c r="O321" s="31">
        <f t="shared" si="31"/>
        <v>28</v>
      </c>
      <c r="P321" s="136" t="s">
        <v>1898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138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2351</v>
      </c>
      <c r="F322" t="s">
        <v>40</v>
      </c>
      <c r="G322" t="s">
        <v>966</v>
      </c>
      <c r="H322" t="s">
        <v>1051</v>
      </c>
      <c r="I322" t="s">
        <v>967</v>
      </c>
      <c r="J322" s="30" t="s">
        <v>72</v>
      </c>
      <c r="K322" s="30" t="s">
        <v>27</v>
      </c>
      <c r="L322" s="30"/>
      <c r="M322" s="30" t="s">
        <v>1262</v>
      </c>
      <c r="N322" s="30"/>
      <c r="O322" s="31">
        <f t="shared" si="31"/>
        <v>28</v>
      </c>
      <c r="P322" s="136" t="s">
        <v>1880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/>
      <c r="F323" t="s">
        <v>284</v>
      </c>
      <c r="G323" t="s">
        <v>361</v>
      </c>
      <c r="H323" t="s">
        <v>1052</v>
      </c>
      <c r="I323" t="s">
        <v>346</v>
      </c>
      <c r="J323" s="30" t="s">
        <v>14</v>
      </c>
      <c r="K323" s="30" t="s">
        <v>27</v>
      </c>
      <c r="L323" s="30"/>
      <c r="M323" s="30" t="s">
        <v>752</v>
      </c>
      <c r="N323" s="30"/>
      <c r="O323" s="31">
        <f t="shared" si="31"/>
        <v>28</v>
      </c>
      <c r="P323" s="136" t="s">
        <v>1888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/>
      <c r="F324" t="s">
        <v>284</v>
      </c>
      <c r="G324" t="s">
        <v>970</v>
      </c>
      <c r="H324" t="s">
        <v>1052</v>
      </c>
      <c r="I324" t="s">
        <v>971</v>
      </c>
      <c r="J324" s="30" t="s">
        <v>72</v>
      </c>
      <c r="K324" s="30" t="s">
        <v>27</v>
      </c>
      <c r="L324" s="30"/>
      <c r="M324" s="30" t="s">
        <v>1265</v>
      </c>
      <c r="N324" s="30"/>
      <c r="O324" s="31">
        <f t="shared" si="31"/>
        <v>28</v>
      </c>
      <c r="P324" s="136" t="s">
        <v>1889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2352</v>
      </c>
      <c r="F325" t="s">
        <v>347</v>
      </c>
      <c r="G325" t="s">
        <v>972</v>
      </c>
      <c r="H325" t="s">
        <v>1052</v>
      </c>
      <c r="I325" t="s">
        <v>349</v>
      </c>
      <c r="J325" s="30" t="s">
        <v>18</v>
      </c>
      <c r="K325" s="30" t="s">
        <v>27</v>
      </c>
      <c r="L325" s="30"/>
      <c r="M325" s="30" t="s">
        <v>1266</v>
      </c>
      <c r="N325" s="30"/>
      <c r="O325" s="31">
        <f t="shared" si="31"/>
        <v>28</v>
      </c>
      <c r="P325" s="136" t="s">
        <v>1892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12</v>
      </c>
      <c r="B326">
        <v>18</v>
      </c>
      <c r="C326"/>
      <c r="D326"/>
      <c r="E326" t="s">
        <v>2382</v>
      </c>
      <c r="F326" s="73" t="s">
        <v>193</v>
      </c>
      <c r="G326" s="73" t="s">
        <v>973</v>
      </c>
      <c r="H326" s="73" t="s">
        <v>1052</v>
      </c>
      <c r="I326" s="73" t="s">
        <v>974</v>
      </c>
      <c r="J326" s="84" t="s">
        <v>72</v>
      </c>
      <c r="K326" s="84" t="s">
        <v>1290</v>
      </c>
      <c r="L326" s="84"/>
      <c r="M326" s="84" t="s">
        <v>1267</v>
      </c>
      <c r="N326" s="84"/>
      <c r="O326" s="31">
        <f t="shared" si="31"/>
        <v>24</v>
      </c>
      <c r="P326" s="136" t="s">
        <v>1894</v>
      </c>
      <c r="Q326" s="31">
        <f t="shared" si="32"/>
        <v>4</v>
      </c>
      <c r="R326" s="32">
        <f t="shared" si="33"/>
        <v>0.8571428571428571</v>
      </c>
      <c r="S326" s="70"/>
      <c r="T326" s="70"/>
      <c r="U326" s="70"/>
      <c r="V326" s="70" t="s">
        <v>2239</v>
      </c>
      <c r="W326" s="70" t="s">
        <v>2239</v>
      </c>
      <c r="X326" s="70" t="s">
        <v>2239</v>
      </c>
      <c r="Y326" s="70" t="s">
        <v>2239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356</v>
      </c>
      <c r="G327" s="73" t="s">
        <v>1198</v>
      </c>
      <c r="H327" s="73" t="s">
        <v>1052</v>
      </c>
      <c r="I327" s="73" t="s">
        <v>1199</v>
      </c>
      <c r="J327" s="84" t="s">
        <v>14</v>
      </c>
      <c r="K327" s="84" t="s">
        <v>1290</v>
      </c>
      <c r="L327" s="84"/>
      <c r="M327" s="84" t="s">
        <v>760</v>
      </c>
      <c r="N327" s="84"/>
      <c r="O327" s="131">
        <f t="shared" si="31"/>
        <v>24</v>
      </c>
      <c r="P327" s="136" t="s">
        <v>1895</v>
      </c>
      <c r="Q327" s="131">
        <f t="shared" si="32"/>
        <v>4</v>
      </c>
      <c r="R327" s="132">
        <f t="shared" si="33"/>
        <v>0.8571428571428571</v>
      </c>
      <c r="S327" s="70"/>
      <c r="T327" s="70"/>
      <c r="U327" s="70"/>
      <c r="V327" s="70" t="s">
        <v>2239</v>
      </c>
      <c r="W327" s="70" t="s">
        <v>2239</v>
      </c>
      <c r="X327" s="70" t="s">
        <v>2239</v>
      </c>
      <c r="Y327" s="70" t="s">
        <v>2239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356</v>
      </c>
      <c r="G328" s="73" t="s">
        <v>975</v>
      </c>
      <c r="H328" s="73" t="s">
        <v>1052</v>
      </c>
      <c r="I328" s="73" t="s">
        <v>976</v>
      </c>
      <c r="J328" s="84" t="s">
        <v>18</v>
      </c>
      <c r="K328" s="84" t="s">
        <v>1290</v>
      </c>
      <c r="L328" s="84"/>
      <c r="M328" s="84" t="s">
        <v>1268</v>
      </c>
      <c r="N328" s="84"/>
      <c r="O328" s="131">
        <f t="shared" si="31"/>
        <v>24</v>
      </c>
      <c r="P328" s="136" t="s">
        <v>1896</v>
      </c>
      <c r="Q328" s="131">
        <f t="shared" si="32"/>
        <v>4</v>
      </c>
      <c r="R328" s="132">
        <f t="shared" si="33"/>
        <v>0.8571428571428571</v>
      </c>
      <c r="S328" s="70"/>
      <c r="T328" s="70"/>
      <c r="U328" s="70"/>
      <c r="V328" s="70" t="s">
        <v>2239</v>
      </c>
      <c r="W328" s="70" t="s">
        <v>2239</v>
      </c>
      <c r="X328" s="70" t="s">
        <v>2239</v>
      </c>
      <c r="Y328" s="70" t="s">
        <v>2239</v>
      </c>
      <c r="Z328" s="70"/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1052</v>
      </c>
      <c r="I329" t="s">
        <v>978</v>
      </c>
      <c r="J329" s="30" t="s">
        <v>72</v>
      </c>
      <c r="K329" s="30" t="s">
        <v>27</v>
      </c>
      <c r="L329" s="30"/>
      <c r="M329" s="30" t="s">
        <v>1269</v>
      </c>
      <c r="N329" s="30"/>
      <c r="O329" s="31">
        <f t="shared" ref="O329:O392" si="34">COUNTIF(S329:AT329,"")</f>
        <v>28</v>
      </c>
      <c r="P329" s="136" t="s">
        <v>1899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2393</v>
      </c>
      <c r="C330"/>
      <c r="D330"/>
      <c r="E330" t="s">
        <v>2392</v>
      </c>
      <c r="F330" t="s">
        <v>226</v>
      </c>
      <c r="G330" t="s">
        <v>1280</v>
      </c>
      <c r="H330" t="s">
        <v>1052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 t="shared" si="34"/>
        <v>28</v>
      </c>
      <c r="P330" s="136" t="s">
        <v>1900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2393</v>
      </c>
      <c r="C331"/>
      <c r="D331"/>
      <c r="E331" t="s">
        <v>2392</v>
      </c>
      <c r="F331" t="s">
        <v>226</v>
      </c>
      <c r="G331" t="s">
        <v>1281</v>
      </c>
      <c r="H331" t="s">
        <v>1052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 t="shared" si="34"/>
        <v>28</v>
      </c>
      <c r="P331" s="136" t="s">
        <v>1901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2393</v>
      </c>
      <c r="C332"/>
      <c r="D332"/>
      <c r="E332" t="s">
        <v>2392</v>
      </c>
      <c r="F332" t="s">
        <v>226</v>
      </c>
      <c r="G332" t="s">
        <v>979</v>
      </c>
      <c r="H332" t="s">
        <v>1052</v>
      </c>
      <c r="I332" t="s">
        <v>980</v>
      </c>
      <c r="J332" s="30" t="s">
        <v>72</v>
      </c>
      <c r="K332" s="30" t="s">
        <v>27</v>
      </c>
      <c r="L332" s="30"/>
      <c r="M332" s="30" t="s">
        <v>1282</v>
      </c>
      <c r="N332" s="30"/>
      <c r="O332" s="31">
        <f t="shared" si="34"/>
        <v>28</v>
      </c>
      <c r="P332" s="136" t="s">
        <v>1902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1052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 t="shared" si="34"/>
        <v>28</v>
      </c>
      <c r="P333" s="136" t="s">
        <v>1903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1052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 t="shared" si="34"/>
        <v>28</v>
      </c>
      <c r="P334" s="136" t="s">
        <v>1904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2365</v>
      </c>
      <c r="F335" t="s">
        <v>362</v>
      </c>
      <c r="G335" t="s">
        <v>366</v>
      </c>
      <c r="H335" t="s">
        <v>1052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 t="shared" si="34"/>
        <v>27</v>
      </c>
      <c r="P335" s="136" t="s">
        <v>1905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2239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2365</v>
      </c>
      <c r="F336" t="s">
        <v>362</v>
      </c>
      <c r="G336" t="s">
        <v>368</v>
      </c>
      <c r="H336" t="s">
        <v>1052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 t="shared" si="34"/>
        <v>27</v>
      </c>
      <c r="P336" s="136" t="s">
        <v>1906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2239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2365</v>
      </c>
      <c r="F337" t="s">
        <v>362</v>
      </c>
      <c r="G337" t="s">
        <v>369</v>
      </c>
      <c r="H337" t="s">
        <v>1052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 t="shared" si="34"/>
        <v>28</v>
      </c>
      <c r="P337" s="136" t="s">
        <v>1907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2365</v>
      </c>
      <c r="F338" t="s">
        <v>362</v>
      </c>
      <c r="G338" t="s">
        <v>371</v>
      </c>
      <c r="H338" t="s">
        <v>1052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 t="shared" si="34"/>
        <v>28</v>
      </c>
      <c r="P338" s="136" t="s">
        <v>1908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/>
      <c r="F339" t="s">
        <v>362</v>
      </c>
      <c r="G339" t="s">
        <v>1324</v>
      </c>
      <c r="H339" t="s">
        <v>1051</v>
      </c>
      <c r="I339" t="s">
        <v>1325</v>
      </c>
      <c r="J339" s="30"/>
      <c r="K339" s="30" t="s">
        <v>27</v>
      </c>
      <c r="L339" s="30"/>
      <c r="M339" s="30" t="s">
        <v>1335</v>
      </c>
      <c r="N339" s="30"/>
      <c r="O339" s="31">
        <f t="shared" si="34"/>
        <v>24</v>
      </c>
      <c r="P339" s="136" t="s">
        <v>1909</v>
      </c>
      <c r="Q339" s="31">
        <f t="shared" si="35"/>
        <v>4</v>
      </c>
      <c r="R339" s="32">
        <f t="shared" si="36"/>
        <v>0.8571428571428571</v>
      </c>
      <c r="S339" s="70"/>
      <c r="T339" s="70"/>
      <c r="U339" s="70"/>
      <c r="V339" s="70" t="s">
        <v>2239</v>
      </c>
      <c r="W339" s="70" t="s">
        <v>2239</v>
      </c>
      <c r="X339" s="70" t="s">
        <v>2239</v>
      </c>
      <c r="Y339" s="70" t="s">
        <v>2239</v>
      </c>
      <c r="Z339" s="70"/>
      <c r="AA339" s="70"/>
      <c r="AB339" s="70"/>
      <c r="AC339" s="70"/>
      <c r="AD339" s="70"/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/>
      <c r="B340"/>
      <c r="C340"/>
      <c r="D340"/>
      <c r="E340"/>
      <c r="F340" t="s">
        <v>362</v>
      </c>
      <c r="G340" t="s">
        <v>1367</v>
      </c>
      <c r="H340" t="s">
        <v>1052</v>
      </c>
      <c r="I340" s="68" t="s">
        <v>1370</v>
      </c>
      <c r="J340" s="30" t="s">
        <v>18</v>
      </c>
      <c r="K340" s="30" t="s">
        <v>27</v>
      </c>
      <c r="L340" s="30"/>
      <c r="M340" s="30" t="s">
        <v>1382</v>
      </c>
      <c r="N340" s="30"/>
      <c r="O340" s="31">
        <f t="shared" si="34"/>
        <v>28</v>
      </c>
      <c r="P340" s="136" t="s">
        <v>1910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/>
      <c r="F341" t="s">
        <v>362</v>
      </c>
      <c r="G341" t="s">
        <v>1368</v>
      </c>
      <c r="H341" t="s">
        <v>1052</v>
      </c>
      <c r="I341" s="68" t="s">
        <v>1371</v>
      </c>
      <c r="J341" s="30" t="s">
        <v>72</v>
      </c>
      <c r="K341" s="30" t="s">
        <v>27</v>
      </c>
      <c r="L341" s="30"/>
      <c r="M341" s="30" t="s">
        <v>1383</v>
      </c>
      <c r="N341" s="30"/>
      <c r="O341" s="31">
        <f t="shared" si="34"/>
        <v>28</v>
      </c>
      <c r="P341" s="136" t="s">
        <v>1911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/>
      <c r="F342" t="s">
        <v>362</v>
      </c>
      <c r="G342" t="s">
        <v>1369</v>
      </c>
      <c r="H342" t="s">
        <v>1052</v>
      </c>
      <c r="I342" s="68" t="s">
        <v>1372</v>
      </c>
      <c r="J342" s="30" t="s">
        <v>72</v>
      </c>
      <c r="K342" s="30" t="s">
        <v>27</v>
      </c>
      <c r="L342" s="30"/>
      <c r="M342" s="30" t="s">
        <v>1384</v>
      </c>
      <c r="N342" s="30"/>
      <c r="O342" s="31">
        <f t="shared" si="34"/>
        <v>28</v>
      </c>
      <c r="P342" s="136" t="s">
        <v>1912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/>
      <c r="F343" t="s">
        <v>362</v>
      </c>
      <c r="G343" t="s">
        <v>2211</v>
      </c>
      <c r="H343" t="s">
        <v>1052</v>
      </c>
      <c r="I343" s="68" t="s">
        <v>2197</v>
      </c>
      <c r="J343" s="84" t="s">
        <v>14</v>
      </c>
      <c r="K343" s="30" t="s">
        <v>27</v>
      </c>
      <c r="L343" s="30"/>
      <c r="M343" s="30" t="s">
        <v>2212</v>
      </c>
      <c r="N343" s="30"/>
      <c r="O343" s="31">
        <f t="shared" si="34"/>
        <v>28</v>
      </c>
      <c r="P343" s="136" t="s">
        <v>2198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/>
      <c r="F344" t="s">
        <v>362</v>
      </c>
      <c r="G344" t="s">
        <v>2199</v>
      </c>
      <c r="H344" t="s">
        <v>1052</v>
      </c>
      <c r="I344" s="68" t="s">
        <v>2200</v>
      </c>
      <c r="J344" s="84" t="s">
        <v>14</v>
      </c>
      <c r="K344" s="30" t="s">
        <v>27</v>
      </c>
      <c r="L344" s="30"/>
      <c r="M344" s="30" t="s">
        <v>2302</v>
      </c>
      <c r="N344" s="30"/>
      <c r="O344" s="31">
        <f t="shared" si="34"/>
        <v>28</v>
      </c>
      <c r="P344" s="136" t="s">
        <v>2201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2365</v>
      </c>
      <c r="F345" t="s">
        <v>372</v>
      </c>
      <c r="G345" t="s">
        <v>982</v>
      </c>
      <c r="H345" t="s">
        <v>1052</v>
      </c>
      <c r="I345" t="s">
        <v>378</v>
      </c>
      <c r="J345" s="30" t="s">
        <v>14</v>
      </c>
      <c r="K345" s="30" t="s">
        <v>27</v>
      </c>
      <c r="L345" s="30"/>
      <c r="M345" s="30" t="s">
        <v>772</v>
      </c>
      <c r="N345" s="30"/>
      <c r="O345" s="31">
        <f t="shared" si="34"/>
        <v>28</v>
      </c>
      <c r="P345" s="136" t="s">
        <v>1917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2365</v>
      </c>
      <c r="F346" t="s">
        <v>372</v>
      </c>
      <c r="G346" t="s">
        <v>983</v>
      </c>
      <c r="H346" t="s">
        <v>1052</v>
      </c>
      <c r="I346" t="s">
        <v>984</v>
      </c>
      <c r="J346" s="30" t="s">
        <v>18</v>
      </c>
      <c r="K346" s="30" t="s">
        <v>27</v>
      </c>
      <c r="L346" s="30"/>
      <c r="M346" s="30" t="s">
        <v>897</v>
      </c>
      <c r="N346" s="30"/>
      <c r="O346" s="31">
        <f t="shared" si="34"/>
        <v>27</v>
      </c>
      <c r="P346" s="136" t="s">
        <v>1918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2239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2365</v>
      </c>
      <c r="F347" t="s">
        <v>372</v>
      </c>
      <c r="G347" t="s">
        <v>985</v>
      </c>
      <c r="H347" t="s">
        <v>1052</v>
      </c>
      <c r="I347" t="s">
        <v>986</v>
      </c>
      <c r="J347" s="30" t="s">
        <v>18</v>
      </c>
      <c r="K347" s="30" t="s">
        <v>27</v>
      </c>
      <c r="L347" s="30"/>
      <c r="M347" s="30" t="s">
        <v>898</v>
      </c>
      <c r="N347" s="30"/>
      <c r="O347" s="31">
        <f t="shared" si="34"/>
        <v>28</v>
      </c>
      <c r="P347" s="136" t="s">
        <v>1919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2365</v>
      </c>
      <c r="F348" t="s">
        <v>372</v>
      </c>
      <c r="G348" t="s">
        <v>987</v>
      </c>
      <c r="H348" t="s">
        <v>1052</v>
      </c>
      <c r="I348" t="s">
        <v>988</v>
      </c>
      <c r="J348" s="30" t="s">
        <v>18</v>
      </c>
      <c r="K348" s="30" t="s">
        <v>27</v>
      </c>
      <c r="L348" s="30"/>
      <c r="M348" s="30" t="s">
        <v>899</v>
      </c>
      <c r="N348" s="30"/>
      <c r="O348" s="31">
        <f t="shared" si="34"/>
        <v>27</v>
      </c>
      <c r="P348" s="136" t="s">
        <v>1920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2239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2365</v>
      </c>
      <c r="F349" t="s">
        <v>372</v>
      </c>
      <c r="G349" t="s">
        <v>989</v>
      </c>
      <c r="H349" t="s">
        <v>1052</v>
      </c>
      <c r="I349" t="s">
        <v>990</v>
      </c>
      <c r="J349" s="30" t="s">
        <v>18</v>
      </c>
      <c r="K349" s="30" t="s">
        <v>27</v>
      </c>
      <c r="L349" s="30"/>
      <c r="M349" s="30" t="s">
        <v>900</v>
      </c>
      <c r="N349" s="30"/>
      <c r="O349" s="31">
        <f t="shared" si="34"/>
        <v>27</v>
      </c>
      <c r="P349" s="136" t="s">
        <v>1921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2239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2365</v>
      </c>
      <c r="F350" t="s">
        <v>372</v>
      </c>
      <c r="G350" t="s">
        <v>1163</v>
      </c>
      <c r="H350" t="s">
        <v>1052</v>
      </c>
      <c r="I350" t="s">
        <v>1146</v>
      </c>
      <c r="J350" s="30" t="s">
        <v>18</v>
      </c>
      <c r="K350" s="30" t="s">
        <v>27</v>
      </c>
      <c r="L350" s="30"/>
      <c r="M350" s="30" t="s">
        <v>1148</v>
      </c>
      <c r="N350" s="30"/>
      <c r="O350" s="31">
        <f t="shared" si="34"/>
        <v>28</v>
      </c>
      <c r="P350" s="136" t="s">
        <v>1922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2365</v>
      </c>
      <c r="F351" t="s">
        <v>372</v>
      </c>
      <c r="G351" t="s">
        <v>1164</v>
      </c>
      <c r="H351" t="s">
        <v>1052</v>
      </c>
      <c r="I351" t="s">
        <v>1146</v>
      </c>
      <c r="J351" s="30" t="s">
        <v>18</v>
      </c>
      <c r="K351" s="30" t="s">
        <v>27</v>
      </c>
      <c r="L351" s="30"/>
      <c r="M351" s="30" t="s">
        <v>1149</v>
      </c>
      <c r="N351" s="30"/>
      <c r="O351" s="31">
        <f t="shared" si="34"/>
        <v>28</v>
      </c>
      <c r="P351" s="136" t="s">
        <v>1923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2365</v>
      </c>
      <c r="F352" t="s">
        <v>372</v>
      </c>
      <c r="G352" t="s">
        <v>1182</v>
      </c>
      <c r="H352" t="s">
        <v>1052</v>
      </c>
      <c r="I352" t="s">
        <v>1145</v>
      </c>
      <c r="J352" s="30" t="s">
        <v>14</v>
      </c>
      <c r="K352" s="30" t="s">
        <v>27</v>
      </c>
      <c r="L352" s="30"/>
      <c r="M352" s="30" t="s">
        <v>1147</v>
      </c>
      <c r="N352" s="30"/>
      <c r="O352" s="31">
        <f t="shared" si="34"/>
        <v>28</v>
      </c>
      <c r="P352" s="136" t="s">
        <v>1924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/>
      <c r="F353" t="s">
        <v>372</v>
      </c>
      <c r="G353" t="s">
        <v>1285</v>
      </c>
      <c r="H353" t="s">
        <v>1052</v>
      </c>
      <c r="I353" t="s">
        <v>1286</v>
      </c>
      <c r="J353" s="30" t="s">
        <v>72</v>
      </c>
      <c r="K353" s="30" t="s">
        <v>27</v>
      </c>
      <c r="L353" s="30"/>
      <c r="M353" s="30" t="s">
        <v>1467</v>
      </c>
      <c r="N353" s="30"/>
      <c r="O353" s="31">
        <f t="shared" si="34"/>
        <v>28</v>
      </c>
      <c r="P353" s="136" t="s">
        <v>1925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2365</v>
      </c>
      <c r="F354" t="s">
        <v>372</v>
      </c>
      <c r="G354" t="s">
        <v>1373</v>
      </c>
      <c r="H354" t="s">
        <v>1052</v>
      </c>
      <c r="I354" s="68" t="s">
        <v>1376</v>
      </c>
      <c r="J354" s="30" t="s">
        <v>14</v>
      </c>
      <c r="K354" s="30" t="s">
        <v>1045</v>
      </c>
      <c r="L354" s="30"/>
      <c r="M354" s="30" t="s">
        <v>1380</v>
      </c>
      <c r="N354" s="30"/>
      <c r="O354" s="31">
        <f t="shared" si="34"/>
        <v>24</v>
      </c>
      <c r="P354" s="136"/>
      <c r="Q354" s="31">
        <f t="shared" si="35"/>
        <v>4</v>
      </c>
      <c r="R354" s="32">
        <f t="shared" si="36"/>
        <v>0.8571428571428571</v>
      </c>
      <c r="S354" s="70"/>
      <c r="T354" s="70"/>
      <c r="U354" s="70"/>
      <c r="V354" s="70" t="s">
        <v>2239</v>
      </c>
      <c r="W354" s="70" t="s">
        <v>2239</v>
      </c>
      <c r="X354" s="70" t="s">
        <v>2239</v>
      </c>
      <c r="Y354" s="70" t="s">
        <v>2239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2365</v>
      </c>
      <c r="F355" t="s">
        <v>372</v>
      </c>
      <c r="G355" t="s">
        <v>1374</v>
      </c>
      <c r="H355" t="s">
        <v>1052</v>
      </c>
      <c r="I355" s="68" t="s">
        <v>1377</v>
      </c>
      <c r="J355" s="30" t="s">
        <v>72</v>
      </c>
      <c r="K355" s="30" t="s">
        <v>1045</v>
      </c>
      <c r="L355" s="30"/>
      <c r="M355" s="30" t="s">
        <v>1381</v>
      </c>
      <c r="N355" s="30"/>
      <c r="O355" s="31">
        <f t="shared" si="34"/>
        <v>24</v>
      </c>
      <c r="P355" s="136"/>
      <c r="Q355" s="31">
        <f t="shared" si="35"/>
        <v>4</v>
      </c>
      <c r="R355" s="32">
        <f t="shared" si="36"/>
        <v>0.8571428571428571</v>
      </c>
      <c r="S355" s="70"/>
      <c r="T355" s="70"/>
      <c r="U355" s="70"/>
      <c r="V355" s="70" t="s">
        <v>2239</v>
      </c>
      <c r="W355" s="70" t="s">
        <v>2239</v>
      </c>
      <c r="X355" s="70" t="s">
        <v>2239</v>
      </c>
      <c r="Y355" s="70" t="s">
        <v>2239</v>
      </c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2365</v>
      </c>
      <c r="F356" t="s">
        <v>372</v>
      </c>
      <c r="G356" t="s">
        <v>1375</v>
      </c>
      <c r="H356" t="s">
        <v>1052</v>
      </c>
      <c r="I356" s="68" t="s">
        <v>1378</v>
      </c>
      <c r="J356" s="30" t="s">
        <v>14</v>
      </c>
      <c r="K356" s="30" t="s">
        <v>27</v>
      </c>
      <c r="L356" s="30"/>
      <c r="M356" s="30" t="s">
        <v>1484</v>
      </c>
      <c r="N356" s="30"/>
      <c r="O356" s="31">
        <f t="shared" si="34"/>
        <v>24</v>
      </c>
      <c r="P356" s="136" t="s">
        <v>1926</v>
      </c>
      <c r="Q356" s="31">
        <f t="shared" si="35"/>
        <v>4</v>
      </c>
      <c r="R356" s="32">
        <f t="shared" si="36"/>
        <v>0.8571428571428571</v>
      </c>
      <c r="S356" s="70"/>
      <c r="T356" s="70"/>
      <c r="U356" s="70"/>
      <c r="V356" s="70" t="s">
        <v>2239</v>
      </c>
      <c r="W356" s="70" t="s">
        <v>2239</v>
      </c>
      <c r="X356" s="70" t="s">
        <v>2239</v>
      </c>
      <c r="Y356" s="70" t="s">
        <v>2239</v>
      </c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2365</v>
      </c>
      <c r="F357" s="73" t="s">
        <v>372</v>
      </c>
      <c r="G357" s="73" t="s">
        <v>991</v>
      </c>
      <c r="H357" s="73" t="s">
        <v>1052</v>
      </c>
      <c r="I357" s="73" t="s">
        <v>373</v>
      </c>
      <c r="J357" s="84" t="s">
        <v>14</v>
      </c>
      <c r="K357" s="84" t="s">
        <v>27</v>
      </c>
      <c r="L357" s="84"/>
      <c r="M357" s="84" t="s">
        <v>768</v>
      </c>
      <c r="N357" s="84"/>
      <c r="O357" s="85">
        <f t="shared" si="34"/>
        <v>28</v>
      </c>
      <c r="P357" s="136" t="s">
        <v>1913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2365</v>
      </c>
      <c r="F358" t="s">
        <v>372</v>
      </c>
      <c r="G358" t="s">
        <v>992</v>
      </c>
      <c r="H358" t="s">
        <v>1052</v>
      </c>
      <c r="I358" t="s">
        <v>374</v>
      </c>
      <c r="J358" s="30" t="s">
        <v>14</v>
      </c>
      <c r="K358" s="30" t="s">
        <v>27</v>
      </c>
      <c r="L358" s="30"/>
      <c r="M358" s="30" t="s">
        <v>771</v>
      </c>
      <c r="N358" s="30"/>
      <c r="O358" s="31">
        <f t="shared" si="34"/>
        <v>28</v>
      </c>
      <c r="P358" s="136" t="s">
        <v>1914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2365</v>
      </c>
      <c r="F359" t="s">
        <v>372</v>
      </c>
      <c r="G359" t="s">
        <v>375</v>
      </c>
      <c r="H359" t="s">
        <v>1052</v>
      </c>
      <c r="I359" t="s">
        <v>376</v>
      </c>
      <c r="J359" s="30" t="s">
        <v>72</v>
      </c>
      <c r="K359" s="30" t="s">
        <v>27</v>
      </c>
      <c r="L359" s="30"/>
      <c r="M359" s="30" t="s">
        <v>769</v>
      </c>
      <c r="N359" s="30"/>
      <c r="O359" s="31">
        <f t="shared" si="34"/>
        <v>24</v>
      </c>
      <c r="P359" s="136" t="s">
        <v>1915</v>
      </c>
      <c r="Q359" s="31">
        <f t="shared" si="35"/>
        <v>4</v>
      </c>
      <c r="R359" s="32">
        <f t="shared" si="36"/>
        <v>0.8571428571428571</v>
      </c>
      <c r="S359" s="70"/>
      <c r="T359" s="70"/>
      <c r="U359" s="70"/>
      <c r="V359" s="70" t="s">
        <v>2239</v>
      </c>
      <c r="W359" s="70" t="s">
        <v>2239</v>
      </c>
      <c r="X359" s="70" t="s">
        <v>2239</v>
      </c>
      <c r="Y359" s="70" t="s">
        <v>2239</v>
      </c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F360" t="s">
        <v>372</v>
      </c>
      <c r="G360" t="s">
        <v>377</v>
      </c>
      <c r="H360" t="s">
        <v>1052</v>
      </c>
      <c r="I360" t="s">
        <v>376</v>
      </c>
      <c r="J360" s="30" t="s">
        <v>72</v>
      </c>
      <c r="K360" s="30" t="s">
        <v>27</v>
      </c>
      <c r="L360" s="30"/>
      <c r="M360" s="30" t="s">
        <v>770</v>
      </c>
      <c r="N360" s="30"/>
      <c r="O360" s="31">
        <f t="shared" si="34"/>
        <v>24</v>
      </c>
      <c r="P360" s="136" t="s">
        <v>1916</v>
      </c>
      <c r="Q360" s="31">
        <f t="shared" si="35"/>
        <v>4</v>
      </c>
      <c r="R360" s="32">
        <f t="shared" si="36"/>
        <v>0.8571428571428571</v>
      </c>
      <c r="S360" s="70"/>
      <c r="T360" s="70"/>
      <c r="U360" s="70"/>
      <c r="V360" s="70" t="s">
        <v>2239</v>
      </c>
      <c r="W360" s="70" t="s">
        <v>2239</v>
      </c>
      <c r="X360" s="70" t="s">
        <v>2239</v>
      </c>
      <c r="Y360" s="70" t="s">
        <v>2239</v>
      </c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1052</v>
      </c>
      <c r="I361" s="73" t="s">
        <v>994</v>
      </c>
      <c r="J361" s="84" t="s">
        <v>1046</v>
      </c>
      <c r="K361" s="84" t="s">
        <v>1290</v>
      </c>
      <c r="L361" s="30"/>
      <c r="M361" s="84" t="s">
        <v>892</v>
      </c>
      <c r="N361" s="84"/>
      <c r="O361" s="131">
        <f t="shared" si="34"/>
        <v>28</v>
      </c>
      <c r="P361" s="136"/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1052</v>
      </c>
      <c r="I362" s="73" t="s">
        <v>994</v>
      </c>
      <c r="J362" s="84" t="s">
        <v>1047</v>
      </c>
      <c r="K362" s="84" t="s">
        <v>1290</v>
      </c>
      <c r="L362" s="30"/>
      <c r="M362" s="84" t="s">
        <v>891</v>
      </c>
      <c r="N362" s="84"/>
      <c r="O362" s="131">
        <f t="shared" si="34"/>
        <v>28</v>
      </c>
      <c r="P362" s="136"/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261</v>
      </c>
      <c r="G363" s="73" t="s">
        <v>995</v>
      </c>
      <c r="H363" s="73" t="s">
        <v>1051</v>
      </c>
      <c r="I363" s="73" t="s">
        <v>335</v>
      </c>
      <c r="J363" s="84" t="s">
        <v>72</v>
      </c>
      <c r="K363" s="84" t="s">
        <v>1290</v>
      </c>
      <c r="L363" s="30"/>
      <c r="M363" s="84" t="s">
        <v>742</v>
      </c>
      <c r="N363" s="84"/>
      <c r="O363" s="131">
        <f t="shared" si="34"/>
        <v>28</v>
      </c>
      <c r="P363" s="136" t="s">
        <v>1928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261</v>
      </c>
      <c r="G364" s="73" t="s">
        <v>996</v>
      </c>
      <c r="H364" s="73" t="s">
        <v>1051</v>
      </c>
      <c r="I364" s="73" t="s">
        <v>335</v>
      </c>
      <c r="J364" s="84" t="s">
        <v>72</v>
      </c>
      <c r="K364" s="84" t="s">
        <v>1290</v>
      </c>
      <c r="L364" s="30"/>
      <c r="M364" s="84" t="s">
        <v>743</v>
      </c>
      <c r="N364" s="84"/>
      <c r="O364" s="131">
        <f t="shared" si="34"/>
        <v>28</v>
      </c>
      <c r="P364" s="136" t="s">
        <v>1929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2345</v>
      </c>
      <c r="F365" t="s">
        <v>261</v>
      </c>
      <c r="G365" t="s">
        <v>997</v>
      </c>
      <c r="H365" t="s">
        <v>1051</v>
      </c>
      <c r="I365" t="s">
        <v>998</v>
      </c>
      <c r="J365" s="30" t="s">
        <v>18</v>
      </c>
      <c r="K365" s="30" t="s">
        <v>27</v>
      </c>
      <c r="L365" s="30"/>
      <c r="M365" s="30" t="s">
        <v>2194</v>
      </c>
      <c r="N365" s="30"/>
      <c r="O365" s="31">
        <f t="shared" si="34"/>
        <v>28</v>
      </c>
      <c r="P365" s="136" t="s">
        <v>1930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2345</v>
      </c>
      <c r="F366" t="s">
        <v>261</v>
      </c>
      <c r="G366" t="s">
        <v>999</v>
      </c>
      <c r="H366" t="s">
        <v>1051</v>
      </c>
      <c r="I366" t="s">
        <v>1000</v>
      </c>
      <c r="J366" s="30" t="s">
        <v>18</v>
      </c>
      <c r="K366" s="30" t="s">
        <v>27</v>
      </c>
      <c r="L366" s="30"/>
      <c r="M366" s="30" t="s">
        <v>2303</v>
      </c>
      <c r="N366" s="30"/>
      <c r="O366" s="31">
        <f t="shared" si="34"/>
        <v>28</v>
      </c>
      <c r="P366" s="136" t="s">
        <v>1931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2345</v>
      </c>
      <c r="F367" t="s">
        <v>261</v>
      </c>
      <c r="G367" t="s">
        <v>1119</v>
      </c>
      <c r="H367" t="s">
        <v>1051</v>
      </c>
      <c r="I367" t="s">
        <v>1116</v>
      </c>
      <c r="J367" s="30" t="s">
        <v>72</v>
      </c>
      <c r="K367" s="30" t="s">
        <v>27</v>
      </c>
      <c r="L367" s="30"/>
      <c r="M367" s="30" t="s">
        <v>1125</v>
      </c>
      <c r="N367" s="30"/>
      <c r="O367" s="31">
        <f t="shared" si="34"/>
        <v>28</v>
      </c>
      <c r="P367" s="136" t="s">
        <v>1932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2345</v>
      </c>
      <c r="F368" t="s">
        <v>261</v>
      </c>
      <c r="G368" t="s">
        <v>1120</v>
      </c>
      <c r="H368" t="s">
        <v>1051</v>
      </c>
      <c r="I368" t="s">
        <v>1116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 t="shared" si="34"/>
        <v>28</v>
      </c>
      <c r="P368" s="136" t="s">
        <v>1933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2345</v>
      </c>
      <c r="F369" t="s">
        <v>261</v>
      </c>
      <c r="G369" t="s">
        <v>1121</v>
      </c>
      <c r="H369" t="s">
        <v>1051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 t="shared" si="34"/>
        <v>28</v>
      </c>
      <c r="P369" s="136" t="s">
        <v>1934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2345</v>
      </c>
      <c r="F370" t="s">
        <v>261</v>
      </c>
      <c r="G370" t="s">
        <v>1122</v>
      </c>
      <c r="H370" t="s">
        <v>1051</v>
      </c>
      <c r="I370" t="s">
        <v>1117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 t="shared" si="34"/>
        <v>28</v>
      </c>
      <c r="P370" s="136" t="s">
        <v>1935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/>
      <c r="B371"/>
      <c r="C371"/>
      <c r="D371"/>
      <c r="E371"/>
      <c r="F371" s="73" t="s">
        <v>1309</v>
      </c>
      <c r="G371" t="s">
        <v>1222</v>
      </c>
      <c r="H371" t="s">
        <v>1051</v>
      </c>
      <c r="I371" t="s">
        <v>1223</v>
      </c>
      <c r="J371" t="s">
        <v>18</v>
      </c>
      <c r="K371" t="s">
        <v>27</v>
      </c>
      <c r="L371"/>
      <c r="M371" s="30" t="s">
        <v>1229</v>
      </c>
      <c r="N371" s="30"/>
      <c r="O371" s="31">
        <f t="shared" si="34"/>
        <v>28</v>
      </c>
      <c r="P371" s="136" t="s">
        <v>1936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/>
      <c r="B372"/>
      <c r="C372"/>
      <c r="D372"/>
      <c r="E372"/>
      <c r="F372" s="73" t="s">
        <v>1309</v>
      </c>
      <c r="G372" t="s">
        <v>1224</v>
      </c>
      <c r="H372" t="s">
        <v>1051</v>
      </c>
      <c r="I372" t="s">
        <v>1225</v>
      </c>
      <c r="J372" t="s">
        <v>18</v>
      </c>
      <c r="K372" t="s">
        <v>27</v>
      </c>
      <c r="L372"/>
      <c r="M372" s="30" t="s">
        <v>1230</v>
      </c>
      <c r="N372" s="30"/>
      <c r="O372" s="31">
        <f t="shared" si="34"/>
        <v>28</v>
      </c>
      <c r="P372" s="136" t="s">
        <v>1937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1309</v>
      </c>
      <c r="G373" s="73" t="s">
        <v>1556</v>
      </c>
      <c r="H373" s="73" t="s">
        <v>1051</v>
      </c>
      <c r="I373" s="73" t="s">
        <v>1559</v>
      </c>
      <c r="J373" s="84" t="s">
        <v>72</v>
      </c>
      <c r="K373" s="84" t="s">
        <v>1290</v>
      </c>
      <c r="L373"/>
      <c r="M373" s="84" t="s">
        <v>1560</v>
      </c>
      <c r="N373" s="84"/>
      <c r="O373" s="31">
        <f t="shared" si="34"/>
        <v>28</v>
      </c>
      <c r="P373" s="136" t="s">
        <v>1938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1309</v>
      </c>
      <c r="G374" s="73" t="s">
        <v>1557</v>
      </c>
      <c r="H374" s="73" t="s">
        <v>1051</v>
      </c>
      <c r="I374" s="73" t="s">
        <v>1561</v>
      </c>
      <c r="J374" s="73" t="s">
        <v>72</v>
      </c>
      <c r="K374" s="84" t="s">
        <v>1290</v>
      </c>
      <c r="L374"/>
      <c r="M374" s="84" t="s">
        <v>1562</v>
      </c>
      <c r="N374" s="84"/>
      <c r="O374" s="31">
        <f t="shared" si="34"/>
        <v>24</v>
      </c>
      <c r="P374" s="136" t="s">
        <v>1939</v>
      </c>
      <c r="Q374" s="31">
        <f t="shared" si="35"/>
        <v>4</v>
      </c>
      <c r="R374" s="32">
        <f t="shared" si="36"/>
        <v>0.8571428571428571</v>
      </c>
      <c r="S374" s="70"/>
      <c r="T374" s="70"/>
      <c r="U374" s="70"/>
      <c r="V374" s="70" t="s">
        <v>2239</v>
      </c>
      <c r="W374" s="70" t="s">
        <v>2239</v>
      </c>
      <c r="X374" s="70" t="s">
        <v>2239</v>
      </c>
      <c r="Y374" s="70" t="s">
        <v>2239</v>
      </c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1309</v>
      </c>
      <c r="G375" s="73" t="s">
        <v>1558</v>
      </c>
      <c r="H375" s="73" t="s">
        <v>1051</v>
      </c>
      <c r="I375" s="73" t="s">
        <v>1563</v>
      </c>
      <c r="J375" s="73" t="s">
        <v>72</v>
      </c>
      <c r="K375" s="84" t="s">
        <v>1290</v>
      </c>
      <c r="L375"/>
      <c r="M375" s="84" t="s">
        <v>1564</v>
      </c>
      <c r="N375" s="84"/>
      <c r="O375" s="31">
        <f t="shared" si="34"/>
        <v>28</v>
      </c>
      <c r="P375" s="136" t="s">
        <v>1940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1309</v>
      </c>
      <c r="G376" s="73" t="s">
        <v>1613</v>
      </c>
      <c r="H376" s="73" t="s">
        <v>1051</v>
      </c>
      <c r="I376" s="73" t="s">
        <v>1614</v>
      </c>
      <c r="J376" s="73" t="s">
        <v>18</v>
      </c>
      <c r="K376" s="84" t="s">
        <v>1290</v>
      </c>
      <c r="L376"/>
      <c r="M376" s="84" t="s">
        <v>1615</v>
      </c>
      <c r="N376" s="84"/>
      <c r="O376" s="31">
        <f t="shared" si="34"/>
        <v>28</v>
      </c>
      <c r="P376" s="136" t="s">
        <v>2117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2345</v>
      </c>
      <c r="F377" t="s">
        <v>261</v>
      </c>
      <c r="G377" t="s">
        <v>379</v>
      </c>
      <c r="H377" t="s">
        <v>1051</v>
      </c>
      <c r="I377" t="s">
        <v>380</v>
      </c>
      <c r="J377" s="30" t="s">
        <v>18</v>
      </c>
      <c r="K377" s="30" t="s">
        <v>27</v>
      </c>
      <c r="L377" s="30"/>
      <c r="M377" s="30" t="s">
        <v>773</v>
      </c>
      <c r="N377" s="30"/>
      <c r="O377" s="31">
        <f t="shared" si="34"/>
        <v>28</v>
      </c>
      <c r="P377" s="136" t="s">
        <v>1927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2378</v>
      </c>
      <c r="F378" t="s">
        <v>381</v>
      </c>
      <c r="G378" t="s">
        <v>382</v>
      </c>
      <c r="H378" t="s">
        <v>1051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2283</v>
      </c>
      <c r="O378" s="31">
        <f t="shared" si="34"/>
        <v>24</v>
      </c>
      <c r="P378" s="136" t="s">
        <v>1941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2239</v>
      </c>
      <c r="W378" s="70" t="s">
        <v>2239</v>
      </c>
      <c r="X378" s="70" t="s">
        <v>2239</v>
      </c>
      <c r="Y378" s="70" t="s">
        <v>2239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1051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 t="shared" si="34"/>
        <v>28</v>
      </c>
      <c r="P379" s="136" t="s">
        <v>1942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1051</v>
      </c>
      <c r="I380" s="73" t="s">
        <v>388</v>
      </c>
      <c r="J380" s="84" t="s">
        <v>18</v>
      </c>
      <c r="K380" s="84" t="s">
        <v>1290</v>
      </c>
      <c r="L380"/>
      <c r="M380" s="84" t="s">
        <v>1466</v>
      </c>
      <c r="N380" s="84"/>
      <c r="O380" s="131">
        <f t="shared" si="34"/>
        <v>28</v>
      </c>
      <c r="P380" s="136"/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/>
      <c r="F381" s="73" t="s">
        <v>381</v>
      </c>
      <c r="G381" s="73" t="s">
        <v>2144</v>
      </c>
      <c r="H381" s="73" t="s">
        <v>1051</v>
      </c>
      <c r="I381" s="73" t="s">
        <v>2145</v>
      </c>
      <c r="J381" s="84" t="s">
        <v>72</v>
      </c>
      <c r="K381" s="30" t="s">
        <v>1290</v>
      </c>
      <c r="L381"/>
      <c r="M381" s="84" t="s">
        <v>2146</v>
      </c>
      <c r="N381" s="84" t="s">
        <v>2283</v>
      </c>
      <c r="O381" s="131">
        <f t="shared" si="34"/>
        <v>28</v>
      </c>
      <c r="P381" s="136" t="s">
        <v>2147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/>
      <c r="F382" t="s">
        <v>291</v>
      </c>
      <c r="G382" t="s">
        <v>1001</v>
      </c>
      <c r="H382" t="s">
        <v>1051</v>
      </c>
      <c r="I382" t="s">
        <v>391</v>
      </c>
      <c r="J382" s="30" t="s">
        <v>18</v>
      </c>
      <c r="K382" s="30" t="s">
        <v>27</v>
      </c>
      <c r="L382" s="30"/>
      <c r="M382" s="30" t="s">
        <v>779</v>
      </c>
      <c r="N382" s="30"/>
      <c r="O382" s="31">
        <f t="shared" si="34"/>
        <v>28</v>
      </c>
      <c r="P382" s="136"/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2378</v>
      </c>
      <c r="F383" t="s">
        <v>291</v>
      </c>
      <c r="G383" t="s">
        <v>389</v>
      </c>
      <c r="H383" t="s">
        <v>1051</v>
      </c>
      <c r="I383" t="s">
        <v>390</v>
      </c>
      <c r="J383" s="30" t="s">
        <v>18</v>
      </c>
      <c r="K383" s="30" t="s">
        <v>27</v>
      </c>
      <c r="L383"/>
      <c r="M383" s="30" t="s">
        <v>778</v>
      </c>
      <c r="N383" s="30" t="s">
        <v>2283</v>
      </c>
      <c r="O383" s="31">
        <f t="shared" si="34"/>
        <v>28</v>
      </c>
      <c r="P383" s="136" t="s">
        <v>1943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2378</v>
      </c>
      <c r="F384" t="s">
        <v>291</v>
      </c>
      <c r="G384" t="s">
        <v>392</v>
      </c>
      <c r="H384" t="s">
        <v>1051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2283</v>
      </c>
      <c r="O384" s="31">
        <f t="shared" si="34"/>
        <v>28</v>
      </c>
      <c r="P384" s="136" t="s">
        <v>1944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2378</v>
      </c>
      <c r="F385" t="s">
        <v>291</v>
      </c>
      <c r="G385" t="s">
        <v>394</v>
      </c>
      <c r="H385" t="s">
        <v>1051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2283</v>
      </c>
      <c r="O385" s="31">
        <f t="shared" si="34"/>
        <v>28</v>
      </c>
      <c r="P385" s="136" t="s">
        <v>1945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2378</v>
      </c>
      <c r="F386" t="s">
        <v>291</v>
      </c>
      <c r="G386" t="s">
        <v>1253</v>
      </c>
      <c r="H386" t="s">
        <v>1051</v>
      </c>
      <c r="I386" t="s">
        <v>1254</v>
      </c>
      <c r="J386" s="30" t="s">
        <v>14</v>
      </c>
      <c r="K386" s="30" t="s">
        <v>1045</v>
      </c>
      <c r="L386" s="30" t="s">
        <v>1256</v>
      </c>
      <c r="M386" s="30" t="s">
        <v>1255</v>
      </c>
      <c r="N386" s="30" t="s">
        <v>2283</v>
      </c>
      <c r="O386" s="31">
        <f t="shared" si="34"/>
        <v>28</v>
      </c>
      <c r="P386" s="136" t="s">
        <v>1946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381</v>
      </c>
      <c r="G387" s="73" t="s">
        <v>395</v>
      </c>
      <c r="H387" s="73" t="s">
        <v>1051</v>
      </c>
      <c r="I387" s="73" t="s">
        <v>396</v>
      </c>
      <c r="J387" s="84" t="s">
        <v>18</v>
      </c>
      <c r="K387" s="84" t="s">
        <v>1290</v>
      </c>
      <c r="L387" s="84"/>
      <c r="M387" s="84" t="s">
        <v>2097</v>
      </c>
      <c r="N387" s="84" t="s">
        <v>2283</v>
      </c>
      <c r="O387" s="131">
        <f t="shared" si="34"/>
        <v>25</v>
      </c>
      <c r="P387" s="136" t="s">
        <v>2284</v>
      </c>
      <c r="Q387" s="131">
        <f t="shared" si="35"/>
        <v>3</v>
      </c>
      <c r="R387" s="132">
        <f t="shared" si="36"/>
        <v>0.8928571428571429</v>
      </c>
      <c r="S387" s="70"/>
      <c r="T387" s="70"/>
      <c r="U387" s="70"/>
      <c r="V387" s="70" t="s">
        <v>2239</v>
      </c>
      <c r="W387" s="70" t="s">
        <v>2239</v>
      </c>
      <c r="X387" s="70" t="s">
        <v>2239</v>
      </c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/>
      <c r="B388"/>
      <c r="C388"/>
      <c r="D388"/>
      <c r="E388"/>
      <c r="F388" s="73" t="s">
        <v>381</v>
      </c>
      <c r="G388" s="73" t="s">
        <v>397</v>
      </c>
      <c r="H388" s="73" t="s">
        <v>1051</v>
      </c>
      <c r="I388" s="73" t="s">
        <v>398</v>
      </c>
      <c r="J388" s="84" t="s">
        <v>14</v>
      </c>
      <c r="K388" s="84" t="s">
        <v>27</v>
      </c>
      <c r="L388" s="84"/>
      <c r="M388" s="84" t="s">
        <v>1499</v>
      </c>
      <c r="N388" s="84"/>
      <c r="O388" s="85">
        <f t="shared" si="34"/>
        <v>26</v>
      </c>
      <c r="P388" s="136" t="s">
        <v>1948</v>
      </c>
      <c r="Q388" s="85">
        <f t="shared" si="35"/>
        <v>2</v>
      </c>
      <c r="R388" s="86">
        <f t="shared" si="36"/>
        <v>0.9285714285714286</v>
      </c>
      <c r="S388" s="87"/>
      <c r="T388" s="87"/>
      <c r="U388" s="87"/>
      <c r="V388" s="87"/>
      <c r="W388" s="87"/>
      <c r="X388" s="70" t="s">
        <v>2239</v>
      </c>
      <c r="Y388" s="70" t="s">
        <v>2239</v>
      </c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2378</v>
      </c>
      <c r="F389" t="s">
        <v>399</v>
      </c>
      <c r="G389" t="s">
        <v>400</v>
      </c>
      <c r="H389" t="s">
        <v>1051</v>
      </c>
      <c r="I389" t="s">
        <v>401</v>
      </c>
      <c r="J389" s="30" t="s">
        <v>18</v>
      </c>
      <c r="K389" s="30" t="s">
        <v>27</v>
      </c>
      <c r="L389" s="30"/>
      <c r="M389" s="30" t="s">
        <v>781</v>
      </c>
      <c r="N389" s="30" t="s">
        <v>2283</v>
      </c>
      <c r="O389" s="31">
        <f t="shared" si="34"/>
        <v>28</v>
      </c>
      <c r="P389" s="136" t="s">
        <v>1949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2378</v>
      </c>
      <c r="F390" t="s">
        <v>399</v>
      </c>
      <c r="G390" t="s">
        <v>402</v>
      </c>
      <c r="H390" t="s">
        <v>1051</v>
      </c>
      <c r="I390" t="s">
        <v>401</v>
      </c>
      <c r="J390" s="30" t="s">
        <v>72</v>
      </c>
      <c r="K390" s="30" t="s">
        <v>27</v>
      </c>
      <c r="L390" s="30"/>
      <c r="M390" s="30" t="s">
        <v>782</v>
      </c>
      <c r="N390" s="30" t="s">
        <v>2283</v>
      </c>
      <c r="O390" s="31">
        <f t="shared" si="34"/>
        <v>28</v>
      </c>
      <c r="P390" s="136" t="s">
        <v>1950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2378</v>
      </c>
      <c r="F391" t="s">
        <v>399</v>
      </c>
      <c r="G391" t="s">
        <v>403</v>
      </c>
      <c r="H391" t="s">
        <v>1051</v>
      </c>
      <c r="I391" t="s">
        <v>401</v>
      </c>
      <c r="J391" s="30" t="s">
        <v>72</v>
      </c>
      <c r="K391" s="30" t="s">
        <v>27</v>
      </c>
      <c r="L391" s="30"/>
      <c r="M391" s="30" t="s">
        <v>783</v>
      </c>
      <c r="N391" s="30" t="s">
        <v>2283</v>
      </c>
      <c r="O391" s="31">
        <f t="shared" si="34"/>
        <v>28</v>
      </c>
      <c r="P391" s="136" t="s">
        <v>1951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2378</v>
      </c>
      <c r="F392" s="69" t="s">
        <v>406</v>
      </c>
      <c r="G392" s="69" t="s">
        <v>893</v>
      </c>
      <c r="H392" s="69" t="s">
        <v>1051</v>
      </c>
      <c r="I392" s="69" t="s">
        <v>894</v>
      </c>
      <c r="J392" s="137" t="s">
        <v>18</v>
      </c>
      <c r="K392" s="137" t="s">
        <v>27</v>
      </c>
      <c r="L392" s="137"/>
      <c r="M392" s="137" t="s">
        <v>901</v>
      </c>
      <c r="N392" s="137" t="s">
        <v>2283</v>
      </c>
      <c r="O392" s="139">
        <f t="shared" si="34"/>
        <v>24</v>
      </c>
      <c r="P392" s="140" t="s">
        <v>1958</v>
      </c>
      <c r="Q392" s="139">
        <f t="shared" si="35"/>
        <v>4</v>
      </c>
      <c r="R392" s="141">
        <f t="shared" si="36"/>
        <v>0.8571428571428571</v>
      </c>
      <c r="S392" s="142"/>
      <c r="T392" s="142"/>
      <c r="U392" s="142"/>
      <c r="V392" s="70" t="s">
        <v>2239</v>
      </c>
      <c r="W392" s="70" t="s">
        <v>2239</v>
      </c>
      <c r="X392" s="70" t="s">
        <v>2239</v>
      </c>
      <c r="Y392" s="70" t="s">
        <v>2239</v>
      </c>
      <c r="Z392" s="142"/>
      <c r="AA392" s="142"/>
      <c r="AB392" s="142"/>
      <c r="AC392" s="142"/>
      <c r="AD392" s="142"/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2378</v>
      </c>
      <c r="F393" s="69" t="s">
        <v>399</v>
      </c>
      <c r="G393" s="69" t="s">
        <v>895</v>
      </c>
      <c r="H393" s="69" t="s">
        <v>1051</v>
      </c>
      <c r="I393" s="69" t="s">
        <v>896</v>
      </c>
      <c r="J393" s="137" t="s">
        <v>18</v>
      </c>
      <c r="K393" s="137" t="s">
        <v>27</v>
      </c>
      <c r="L393" s="137"/>
      <c r="M393" s="137" t="s">
        <v>902</v>
      </c>
      <c r="N393" s="137" t="s">
        <v>2283</v>
      </c>
      <c r="O393" s="139">
        <f t="shared" ref="O393:O456" si="37">COUNTIF(S393:AT393,"")</f>
        <v>24</v>
      </c>
      <c r="P393" s="140" t="s">
        <v>1959</v>
      </c>
      <c r="Q393" s="139">
        <f t="shared" ref="Q393:Q456" si="38">COUNTIF(S393:AT393,"APAGADO")</f>
        <v>4</v>
      </c>
      <c r="R393" s="141">
        <f t="shared" ref="R393:R456" si="39">(O393)/(Q393+O393)</f>
        <v>0.8571428571428571</v>
      </c>
      <c r="S393" s="142"/>
      <c r="T393" s="142"/>
      <c r="U393" s="142"/>
      <c r="V393" s="70" t="s">
        <v>2239</v>
      </c>
      <c r="W393" s="70" t="s">
        <v>2239</v>
      </c>
      <c r="X393" s="70" t="s">
        <v>2239</v>
      </c>
      <c r="Y393" s="70" t="s">
        <v>2239</v>
      </c>
      <c r="Z393" s="142"/>
      <c r="AA393" s="142"/>
      <c r="AB393" s="142"/>
      <c r="AC393" s="142"/>
      <c r="AD393" s="142"/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399</v>
      </c>
      <c r="G394" t="s">
        <v>1002</v>
      </c>
      <c r="H394" t="s">
        <v>1051</v>
      </c>
      <c r="I394" t="s">
        <v>1003</v>
      </c>
      <c r="J394" s="30" t="s">
        <v>18</v>
      </c>
      <c r="K394" s="30" t="s">
        <v>1290</v>
      </c>
      <c r="L394" s="30"/>
      <c r="M394" s="30" t="s">
        <v>1208</v>
      </c>
      <c r="N394" s="30" t="s">
        <v>2283</v>
      </c>
      <c r="O394" s="31">
        <f t="shared" si="37"/>
        <v>27</v>
      </c>
      <c r="P394" s="136" t="s">
        <v>1960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2239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399</v>
      </c>
      <c r="G395" s="73" t="s">
        <v>1421</v>
      </c>
      <c r="H395" s="73" t="s">
        <v>1051</v>
      </c>
      <c r="I395" s="73" t="s">
        <v>1424</v>
      </c>
      <c r="J395" s="30" t="s">
        <v>18</v>
      </c>
      <c r="K395" s="84" t="s">
        <v>1290</v>
      </c>
      <c r="L395" s="30"/>
      <c r="M395" s="84" t="s">
        <v>2304</v>
      </c>
      <c r="N395" s="84"/>
      <c r="O395" s="131">
        <f t="shared" si="37"/>
        <v>28</v>
      </c>
      <c r="P395" s="136" t="s">
        <v>1961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399</v>
      </c>
      <c r="G396" t="s">
        <v>1422</v>
      </c>
      <c r="H396" t="s">
        <v>1051</v>
      </c>
      <c r="I396" t="s">
        <v>1424</v>
      </c>
      <c r="J396" s="30" t="s">
        <v>72</v>
      </c>
      <c r="K396" s="30" t="s">
        <v>1290</v>
      </c>
      <c r="L396" s="30"/>
      <c r="M396" s="84" t="s">
        <v>1485</v>
      </c>
      <c r="N396" s="84"/>
      <c r="O396" s="31">
        <f t="shared" si="37"/>
        <v>28</v>
      </c>
      <c r="P396" s="136" t="s">
        <v>1962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399</v>
      </c>
      <c r="G397" t="s">
        <v>1423</v>
      </c>
      <c r="H397" t="s">
        <v>1051</v>
      </c>
      <c r="I397" t="s">
        <v>1424</v>
      </c>
      <c r="J397" s="30" t="s">
        <v>72</v>
      </c>
      <c r="K397" s="30" t="s">
        <v>1290</v>
      </c>
      <c r="L397" s="30"/>
      <c r="M397" s="84" t="s">
        <v>1483</v>
      </c>
      <c r="N397" s="84"/>
      <c r="O397" s="31">
        <f t="shared" si="37"/>
        <v>28</v>
      </c>
      <c r="P397" s="136" t="s">
        <v>1963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2378</v>
      </c>
      <c r="F398" t="s">
        <v>399</v>
      </c>
      <c r="G398" t="s">
        <v>1611</v>
      </c>
      <c r="H398" t="s">
        <v>1051</v>
      </c>
      <c r="I398" t="s">
        <v>2273</v>
      </c>
      <c r="J398" s="30" t="s">
        <v>18</v>
      </c>
      <c r="K398" s="30" t="s">
        <v>27</v>
      </c>
      <c r="L398" s="30"/>
      <c r="M398" s="84" t="s">
        <v>1612</v>
      </c>
      <c r="N398" s="84"/>
      <c r="O398" s="31">
        <f t="shared" si="37"/>
        <v>28</v>
      </c>
      <c r="P398" s="136"/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70"/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399</v>
      </c>
      <c r="G399" t="s">
        <v>2233</v>
      </c>
      <c r="H399" t="s">
        <v>1051</v>
      </c>
      <c r="I399" t="s">
        <v>2234</v>
      </c>
      <c r="J399" s="30" t="s">
        <v>18</v>
      </c>
      <c r="K399" s="84" t="s">
        <v>1290</v>
      </c>
      <c r="L399" s="30"/>
      <c r="M399" s="84" t="s">
        <v>2305</v>
      </c>
      <c r="N399" s="84"/>
      <c r="O399" s="31">
        <f t="shared" si="37"/>
        <v>28</v>
      </c>
      <c r="P399" s="136"/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399</v>
      </c>
      <c r="G400" s="88" t="s">
        <v>404</v>
      </c>
      <c r="H400" s="88" t="s">
        <v>1051</v>
      </c>
      <c r="I400" s="88" t="s">
        <v>405</v>
      </c>
      <c r="J400" s="89" t="s">
        <v>14</v>
      </c>
      <c r="K400" s="89" t="s">
        <v>19</v>
      </c>
      <c r="L400" s="89"/>
      <c r="M400" s="89" t="s">
        <v>780</v>
      </c>
      <c r="N400" s="89"/>
      <c r="O400" s="31">
        <f t="shared" si="37"/>
        <v>24</v>
      </c>
      <c r="P400" s="136"/>
      <c r="Q400" s="31">
        <f t="shared" si="38"/>
        <v>4</v>
      </c>
      <c r="R400" s="32">
        <f t="shared" si="39"/>
        <v>0.8571428571428571</v>
      </c>
      <c r="S400" s="70"/>
      <c r="T400" s="70"/>
      <c r="U400" s="70"/>
      <c r="V400" s="70" t="s">
        <v>2239</v>
      </c>
      <c r="W400" s="70" t="s">
        <v>2239</v>
      </c>
      <c r="X400" s="70" t="s">
        <v>2239</v>
      </c>
      <c r="Y400" s="70" t="s">
        <v>2239</v>
      </c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2378</v>
      </c>
      <c r="F401" s="69" t="s">
        <v>406</v>
      </c>
      <c r="G401" s="69" t="s">
        <v>407</v>
      </c>
      <c r="H401" s="69" t="s">
        <v>1051</v>
      </c>
      <c r="I401" s="69" t="s">
        <v>408</v>
      </c>
      <c r="J401" s="137" t="s">
        <v>72</v>
      </c>
      <c r="K401" s="137" t="s">
        <v>27</v>
      </c>
      <c r="L401" s="137"/>
      <c r="M401" s="137" t="s">
        <v>784</v>
      </c>
      <c r="N401" s="137" t="s">
        <v>2283</v>
      </c>
      <c r="O401" s="139">
        <f t="shared" si="37"/>
        <v>24</v>
      </c>
      <c r="P401" s="140" t="s">
        <v>1952</v>
      </c>
      <c r="Q401" s="139">
        <f t="shared" si="38"/>
        <v>4</v>
      </c>
      <c r="R401" s="141">
        <f t="shared" si="39"/>
        <v>0.8571428571428571</v>
      </c>
      <c r="S401" s="142"/>
      <c r="T401" s="142"/>
      <c r="U401" s="142"/>
      <c r="V401" s="70" t="s">
        <v>2239</v>
      </c>
      <c r="W401" s="70" t="s">
        <v>2239</v>
      </c>
      <c r="X401" s="70" t="s">
        <v>2239</v>
      </c>
      <c r="Y401" s="70" t="s">
        <v>2239</v>
      </c>
      <c r="Z401" s="142"/>
      <c r="AA401" s="142"/>
      <c r="AB401" s="142"/>
      <c r="AC401" s="142"/>
      <c r="AD401" s="142"/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2378</v>
      </c>
      <c r="F402" s="69" t="s">
        <v>406</v>
      </c>
      <c r="G402" s="69" t="s">
        <v>409</v>
      </c>
      <c r="H402" s="69" t="s">
        <v>1051</v>
      </c>
      <c r="I402" s="69" t="s">
        <v>408</v>
      </c>
      <c r="J402" s="137" t="s">
        <v>72</v>
      </c>
      <c r="K402" s="137" t="s">
        <v>27</v>
      </c>
      <c r="L402" s="137"/>
      <c r="M402" s="137" t="s">
        <v>785</v>
      </c>
      <c r="N402" s="137" t="s">
        <v>2283</v>
      </c>
      <c r="O402" s="139">
        <f t="shared" si="37"/>
        <v>24</v>
      </c>
      <c r="P402" s="140" t="s">
        <v>1953</v>
      </c>
      <c r="Q402" s="139">
        <f t="shared" si="38"/>
        <v>4</v>
      </c>
      <c r="R402" s="141">
        <f t="shared" si="39"/>
        <v>0.8571428571428571</v>
      </c>
      <c r="S402" s="142"/>
      <c r="T402" s="142"/>
      <c r="U402" s="142"/>
      <c r="V402" s="70" t="s">
        <v>2239</v>
      </c>
      <c r="W402" s="70" t="s">
        <v>2239</v>
      </c>
      <c r="X402" s="70" t="s">
        <v>2239</v>
      </c>
      <c r="Y402" s="70" t="s">
        <v>2239</v>
      </c>
      <c r="Z402" s="142"/>
      <c r="AA402" s="142"/>
      <c r="AB402" s="142"/>
      <c r="AC402" s="142"/>
      <c r="AD402" s="142"/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2378</v>
      </c>
      <c r="F403" t="s">
        <v>399</v>
      </c>
      <c r="G403" t="s">
        <v>410</v>
      </c>
      <c r="H403" t="s">
        <v>1051</v>
      </c>
      <c r="I403" t="s">
        <v>411</v>
      </c>
      <c r="J403" s="30" t="s">
        <v>72</v>
      </c>
      <c r="K403" s="30" t="s">
        <v>27</v>
      </c>
      <c r="L403" s="30"/>
      <c r="M403" s="30" t="s">
        <v>786</v>
      </c>
      <c r="N403" s="30" t="s">
        <v>2283</v>
      </c>
      <c r="O403" s="31">
        <f t="shared" si="37"/>
        <v>28</v>
      </c>
      <c r="P403" s="136" t="s">
        <v>1954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2378</v>
      </c>
      <c r="F404" t="s">
        <v>399</v>
      </c>
      <c r="G404" t="s">
        <v>412</v>
      </c>
      <c r="H404" t="s">
        <v>1051</v>
      </c>
      <c r="I404" t="s">
        <v>411</v>
      </c>
      <c r="J404" s="30" t="s">
        <v>72</v>
      </c>
      <c r="K404" s="30" t="s">
        <v>27</v>
      </c>
      <c r="L404" s="30"/>
      <c r="M404" s="30" t="s">
        <v>787</v>
      </c>
      <c r="N404" s="30" t="s">
        <v>2283</v>
      </c>
      <c r="O404" s="31">
        <f t="shared" si="37"/>
        <v>28</v>
      </c>
      <c r="P404" s="136" t="s">
        <v>1955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2378</v>
      </c>
      <c r="F405" t="s">
        <v>399</v>
      </c>
      <c r="G405" t="s">
        <v>413</v>
      </c>
      <c r="H405" t="s">
        <v>1051</v>
      </c>
      <c r="I405" t="s">
        <v>414</v>
      </c>
      <c r="J405" s="30" t="s">
        <v>72</v>
      </c>
      <c r="K405" s="30" t="s">
        <v>27</v>
      </c>
      <c r="L405" s="30"/>
      <c r="M405" s="30" t="s">
        <v>788</v>
      </c>
      <c r="N405" s="30" t="s">
        <v>2283</v>
      </c>
      <c r="O405" s="31">
        <f t="shared" si="37"/>
        <v>28</v>
      </c>
      <c r="P405" s="136" t="s">
        <v>1956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2378</v>
      </c>
      <c r="F406" t="s">
        <v>399</v>
      </c>
      <c r="G406" t="s">
        <v>415</v>
      </c>
      <c r="H406" t="s">
        <v>1051</v>
      </c>
      <c r="I406" t="s">
        <v>414</v>
      </c>
      <c r="J406" s="30" t="s">
        <v>72</v>
      </c>
      <c r="K406" s="30" t="s">
        <v>27</v>
      </c>
      <c r="L406" s="30"/>
      <c r="M406" s="30" t="s">
        <v>789</v>
      </c>
      <c r="N406" s="30" t="s">
        <v>2283</v>
      </c>
      <c r="O406" s="31">
        <f t="shared" si="37"/>
        <v>28</v>
      </c>
      <c r="P406" s="136" t="s">
        <v>1957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193</v>
      </c>
      <c r="G407" s="69" t="s">
        <v>416</v>
      </c>
      <c r="H407" s="69" t="s">
        <v>1052</v>
      </c>
      <c r="I407" s="69" t="s">
        <v>417</v>
      </c>
      <c r="J407" s="137" t="s">
        <v>14</v>
      </c>
      <c r="K407" s="137" t="s">
        <v>19</v>
      </c>
      <c r="L407" s="137"/>
      <c r="M407" s="137" t="s">
        <v>791</v>
      </c>
      <c r="N407" s="137"/>
      <c r="O407" s="139">
        <f t="shared" si="37"/>
        <v>24</v>
      </c>
      <c r="P407" s="140"/>
      <c r="Q407" s="139">
        <f t="shared" si="38"/>
        <v>4</v>
      </c>
      <c r="R407" s="141">
        <f t="shared" si="39"/>
        <v>0.8571428571428571</v>
      </c>
      <c r="S407" s="142"/>
      <c r="T407" s="142"/>
      <c r="U407" s="142"/>
      <c r="V407" s="71" t="s">
        <v>2239</v>
      </c>
      <c r="W407" s="71" t="s">
        <v>2239</v>
      </c>
      <c r="X407" s="70" t="s">
        <v>2239</v>
      </c>
      <c r="Y407" s="70" t="s">
        <v>2239</v>
      </c>
      <c r="Z407" s="142"/>
      <c r="AA407" s="148"/>
      <c r="AB407" s="148"/>
      <c r="AC407" s="148"/>
      <c r="AD407" s="148"/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193</v>
      </c>
      <c r="G408" s="73" t="s">
        <v>418</v>
      </c>
      <c r="H408" s="73" t="s">
        <v>1052</v>
      </c>
      <c r="I408" s="73" t="s">
        <v>419</v>
      </c>
      <c r="J408" s="84" t="s">
        <v>14</v>
      </c>
      <c r="K408" s="84" t="s">
        <v>1290</v>
      </c>
      <c r="L408" s="84"/>
      <c r="M408" s="84" t="s">
        <v>1418</v>
      </c>
      <c r="N408" s="84"/>
      <c r="O408" s="131">
        <f t="shared" si="37"/>
        <v>28</v>
      </c>
      <c r="P408" s="136" t="s">
        <v>1964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193</v>
      </c>
      <c r="G409" t="s">
        <v>1004</v>
      </c>
      <c r="H409" t="s">
        <v>1052</v>
      </c>
      <c r="I409" t="s">
        <v>1005</v>
      </c>
      <c r="J409" s="30" t="s">
        <v>72</v>
      </c>
      <c r="K409" s="30" t="s">
        <v>19</v>
      </c>
      <c r="L409" s="30"/>
      <c r="M409" s="30" t="s">
        <v>1270</v>
      </c>
      <c r="N409" s="30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193</v>
      </c>
      <c r="G410" t="s">
        <v>1006</v>
      </c>
      <c r="H410" t="s">
        <v>1052</v>
      </c>
      <c r="I410" t="s">
        <v>1005</v>
      </c>
      <c r="J410" s="30" t="s">
        <v>72</v>
      </c>
      <c r="K410" s="30" t="s">
        <v>19</v>
      </c>
      <c r="L410" s="30"/>
      <c r="M410" s="30" t="s">
        <v>1386</v>
      </c>
      <c r="N410" s="30"/>
      <c r="O410" s="31">
        <f t="shared" si="37"/>
        <v>28</v>
      </c>
      <c r="P410" s="136"/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193</v>
      </c>
      <c r="G411" s="73" t="s">
        <v>420</v>
      </c>
      <c r="H411" s="73" t="s">
        <v>1052</v>
      </c>
      <c r="I411" s="73" t="s">
        <v>421</v>
      </c>
      <c r="J411" s="84" t="s">
        <v>18</v>
      </c>
      <c r="K411" s="30" t="s">
        <v>1045</v>
      </c>
      <c r="L411" s="84"/>
      <c r="M411" s="84" t="s">
        <v>1419</v>
      </c>
      <c r="N411" s="84"/>
      <c r="O411" s="85">
        <f t="shared" si="37"/>
        <v>28</v>
      </c>
      <c r="P411" s="136" t="s">
        <v>1965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193</v>
      </c>
      <c r="G412" t="s">
        <v>422</v>
      </c>
      <c r="H412" t="s">
        <v>1052</v>
      </c>
      <c r="I412" t="s">
        <v>423</v>
      </c>
      <c r="J412" s="30" t="s">
        <v>18</v>
      </c>
      <c r="K412" s="30" t="s">
        <v>19</v>
      </c>
      <c r="L412" s="30"/>
      <c r="M412" s="30" t="s">
        <v>790</v>
      </c>
      <c r="N412" s="30"/>
      <c r="O412" s="31">
        <f t="shared" si="37"/>
        <v>28</v>
      </c>
      <c r="P412" s="136"/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/>
      <c r="F413" t="s">
        <v>193</v>
      </c>
      <c r="G413" t="s">
        <v>424</v>
      </c>
      <c r="H413" t="s">
        <v>1052</v>
      </c>
      <c r="I413" t="s">
        <v>425</v>
      </c>
      <c r="J413" s="30" t="s">
        <v>72</v>
      </c>
      <c r="K413" s="30" t="s">
        <v>27</v>
      </c>
      <c r="L413" s="30"/>
      <c r="M413" s="30" t="s">
        <v>793</v>
      </c>
      <c r="N413" s="30"/>
      <c r="O413" s="31">
        <f t="shared" si="37"/>
        <v>24</v>
      </c>
      <c r="P413" s="136" t="s">
        <v>1966</v>
      </c>
      <c r="Q413" s="31">
        <f t="shared" si="38"/>
        <v>4</v>
      </c>
      <c r="R413" s="32">
        <f t="shared" si="39"/>
        <v>0.8571428571428571</v>
      </c>
      <c r="S413" s="70"/>
      <c r="T413" s="70"/>
      <c r="U413" s="70"/>
      <c r="V413" s="70" t="s">
        <v>2239</v>
      </c>
      <c r="W413" s="70" t="s">
        <v>2239</v>
      </c>
      <c r="X413" s="70" t="s">
        <v>2239</v>
      </c>
      <c r="Y413" s="70" t="s">
        <v>2239</v>
      </c>
      <c r="Z413" s="70"/>
      <c r="AA413" s="70"/>
      <c r="AB413" s="70"/>
      <c r="AC413" s="70"/>
      <c r="AD413" s="70"/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193</v>
      </c>
      <c r="G414" t="s">
        <v>426</v>
      </c>
      <c r="H414" t="s">
        <v>1052</v>
      </c>
      <c r="I414" t="s">
        <v>425</v>
      </c>
      <c r="J414" s="30" t="s">
        <v>72</v>
      </c>
      <c r="K414" s="30" t="s">
        <v>27</v>
      </c>
      <c r="L414" s="30"/>
      <c r="M414" s="30" t="s">
        <v>794</v>
      </c>
      <c r="N414" s="30"/>
      <c r="O414" s="31">
        <f t="shared" si="37"/>
        <v>24</v>
      </c>
      <c r="P414" s="136" t="s">
        <v>1967</v>
      </c>
      <c r="Q414" s="31">
        <f t="shared" si="38"/>
        <v>4</v>
      </c>
      <c r="R414" s="32">
        <f t="shared" si="39"/>
        <v>0.8571428571428571</v>
      </c>
      <c r="S414" s="70"/>
      <c r="T414" s="70"/>
      <c r="U414" s="70"/>
      <c r="V414" s="70" t="s">
        <v>2239</v>
      </c>
      <c r="W414" s="70" t="s">
        <v>2239</v>
      </c>
      <c r="X414" s="70" t="s">
        <v>2239</v>
      </c>
      <c r="Y414" s="70" t="s">
        <v>2239</v>
      </c>
      <c r="Z414" s="70"/>
      <c r="AA414" s="70"/>
      <c r="AB414" s="70"/>
      <c r="AC414" s="70"/>
      <c r="AD414" s="70"/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/>
      <c r="F415" s="73" t="s">
        <v>193</v>
      </c>
      <c r="G415" s="73" t="s">
        <v>427</v>
      </c>
      <c r="H415" s="73" t="s">
        <v>1052</v>
      </c>
      <c r="I415" s="73" t="s">
        <v>428</v>
      </c>
      <c r="J415" s="84" t="s">
        <v>72</v>
      </c>
      <c r="K415" s="84" t="s">
        <v>1290</v>
      </c>
      <c r="L415" s="84"/>
      <c r="M415" s="84" t="s">
        <v>795</v>
      </c>
      <c r="N415" s="84"/>
      <c r="O415" s="131">
        <f t="shared" si="37"/>
        <v>24</v>
      </c>
      <c r="P415" s="136" t="s">
        <v>1968</v>
      </c>
      <c r="Q415" s="131">
        <f t="shared" si="38"/>
        <v>4</v>
      </c>
      <c r="R415" s="132">
        <f t="shared" si="39"/>
        <v>0.8571428571428571</v>
      </c>
      <c r="S415" s="70"/>
      <c r="T415" s="70"/>
      <c r="U415" s="70"/>
      <c r="V415" s="70" t="s">
        <v>2239</v>
      </c>
      <c r="W415" s="70" t="s">
        <v>2239</v>
      </c>
      <c r="X415" s="70" t="s">
        <v>2239</v>
      </c>
      <c r="Y415" s="70" t="s">
        <v>2239</v>
      </c>
      <c r="Z415" s="70"/>
      <c r="AA415" s="70"/>
      <c r="AB415" s="70"/>
      <c r="AC415" s="70"/>
      <c r="AD415" s="70"/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/>
      <c r="F416" s="73" t="s">
        <v>193</v>
      </c>
      <c r="G416" s="73" t="s">
        <v>429</v>
      </c>
      <c r="H416" s="73" t="s">
        <v>1052</v>
      </c>
      <c r="I416" s="73" t="s">
        <v>428</v>
      </c>
      <c r="J416" s="84" t="s">
        <v>72</v>
      </c>
      <c r="K416" s="84" t="s">
        <v>1290</v>
      </c>
      <c r="L416" s="84"/>
      <c r="M416" s="84" t="s">
        <v>796</v>
      </c>
      <c r="N416" s="84"/>
      <c r="O416" s="131">
        <f t="shared" si="37"/>
        <v>24</v>
      </c>
      <c r="P416" s="136" t="s">
        <v>1969</v>
      </c>
      <c r="Q416" s="131">
        <f t="shared" si="38"/>
        <v>4</v>
      </c>
      <c r="R416" s="132">
        <f t="shared" si="39"/>
        <v>0.8571428571428571</v>
      </c>
      <c r="S416" s="70"/>
      <c r="T416" s="70"/>
      <c r="U416" s="70"/>
      <c r="V416" s="70" t="s">
        <v>2239</v>
      </c>
      <c r="W416" s="70" t="s">
        <v>2239</v>
      </c>
      <c r="X416" s="70" t="s">
        <v>2239</v>
      </c>
      <c r="Y416" s="70" t="s">
        <v>2239</v>
      </c>
      <c r="Z416" s="70"/>
      <c r="AA416" s="70"/>
      <c r="AB416" s="70"/>
      <c r="AC416" s="70"/>
      <c r="AD416" s="70"/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193</v>
      </c>
      <c r="G417" s="73" t="s">
        <v>1527</v>
      </c>
      <c r="H417" s="73" t="s">
        <v>1052</v>
      </c>
      <c r="I417" s="73" t="s">
        <v>1528</v>
      </c>
      <c r="J417" s="84" t="s">
        <v>72</v>
      </c>
      <c r="K417" s="84" t="s">
        <v>1290</v>
      </c>
      <c r="L417" s="84"/>
      <c r="M417" s="84" t="s">
        <v>2318</v>
      </c>
      <c r="N417" s="84"/>
      <c r="O417" s="131">
        <f t="shared" si="37"/>
        <v>28</v>
      </c>
      <c r="P417" s="136" t="s">
        <v>2320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193</v>
      </c>
      <c r="G418" s="73" t="s">
        <v>1529</v>
      </c>
      <c r="H418" s="73" t="s">
        <v>1052</v>
      </c>
      <c r="I418" s="73" t="s">
        <v>1528</v>
      </c>
      <c r="J418" s="84" t="s">
        <v>72</v>
      </c>
      <c r="K418" s="84" t="s">
        <v>1290</v>
      </c>
      <c r="L418" s="84"/>
      <c r="M418" s="84" t="s">
        <v>2319</v>
      </c>
      <c r="N418" s="84"/>
      <c r="O418" s="131">
        <f t="shared" si="37"/>
        <v>28</v>
      </c>
      <c r="P418" s="136" t="s">
        <v>2321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193</v>
      </c>
      <c r="G419" s="73" t="s">
        <v>1607</v>
      </c>
      <c r="H419" s="73" t="s">
        <v>1052</v>
      </c>
      <c r="I419" s="73" t="s">
        <v>1608</v>
      </c>
      <c r="J419" s="84" t="s">
        <v>72</v>
      </c>
      <c r="K419" s="84" t="s">
        <v>1290</v>
      </c>
      <c r="L419" s="84"/>
      <c r="M419" s="84" t="s">
        <v>1609</v>
      </c>
      <c r="N419" s="84"/>
      <c r="O419" s="131">
        <f t="shared" si="37"/>
        <v>28</v>
      </c>
      <c r="P419" s="136" t="s">
        <v>2121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193</v>
      </c>
      <c r="G420" s="73" t="s">
        <v>2118</v>
      </c>
      <c r="H420" s="73" t="s">
        <v>1052</v>
      </c>
      <c r="I420" s="73" t="s">
        <v>2119</v>
      </c>
      <c r="J420" s="89" t="s">
        <v>18</v>
      </c>
      <c r="K420" s="84" t="s">
        <v>1290</v>
      </c>
      <c r="L420" s="84"/>
      <c r="M420" s="84" t="s">
        <v>2306</v>
      </c>
      <c r="N420" s="84"/>
      <c r="O420" s="131">
        <f t="shared" si="37"/>
        <v>28</v>
      </c>
      <c r="P420" s="136" t="s">
        <v>2120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2226</v>
      </c>
      <c r="G421" s="73" t="s">
        <v>431</v>
      </c>
      <c r="H421" s="88" t="s">
        <v>1052</v>
      </c>
      <c r="I421" s="73" t="s">
        <v>432</v>
      </c>
      <c r="J421" s="89" t="s">
        <v>18</v>
      </c>
      <c r="K421" s="84" t="s">
        <v>1290</v>
      </c>
      <c r="L421" s="84"/>
      <c r="M421" s="84" t="s">
        <v>2167</v>
      </c>
      <c r="N421" s="84"/>
      <c r="O421" s="31">
        <f t="shared" si="37"/>
        <v>28</v>
      </c>
      <c r="P421" s="136" t="s">
        <v>2168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2226</v>
      </c>
      <c r="G422" s="73" t="s">
        <v>1341</v>
      </c>
      <c r="H422" s="73" t="s">
        <v>1052</v>
      </c>
      <c r="I422" s="73" t="s">
        <v>1342</v>
      </c>
      <c r="J422" s="89" t="s">
        <v>18</v>
      </c>
      <c r="K422" s="84" t="s">
        <v>1290</v>
      </c>
      <c r="L422" s="84"/>
      <c r="M422" s="84" t="s">
        <v>1402</v>
      </c>
      <c r="N422" s="84"/>
      <c r="O422" s="131">
        <f t="shared" si="37"/>
        <v>28</v>
      </c>
      <c r="P422" s="136" t="s">
        <v>1970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2226</v>
      </c>
      <c r="G423" s="73" t="s">
        <v>1390</v>
      </c>
      <c r="H423" s="73" t="s">
        <v>1052</v>
      </c>
      <c r="I423" s="73" t="s">
        <v>1391</v>
      </c>
      <c r="J423" s="89" t="s">
        <v>18</v>
      </c>
      <c r="K423" s="84" t="s">
        <v>1290</v>
      </c>
      <c r="L423" s="84"/>
      <c r="M423" s="84" t="s">
        <v>1392</v>
      </c>
      <c r="N423" s="84"/>
      <c r="O423" s="131">
        <f t="shared" si="37"/>
        <v>28</v>
      </c>
      <c r="P423" s="136" t="s">
        <v>1971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2226</v>
      </c>
      <c r="G424" s="73" t="s">
        <v>2222</v>
      </c>
      <c r="H424" s="73" t="s">
        <v>1052</v>
      </c>
      <c r="I424" s="73" t="s">
        <v>2223</v>
      </c>
      <c r="J424" s="89" t="s">
        <v>18</v>
      </c>
      <c r="K424" s="84" t="s">
        <v>1290</v>
      </c>
      <c r="L424" s="84"/>
      <c r="M424" s="84" t="s">
        <v>2224</v>
      </c>
      <c r="N424" s="84"/>
      <c r="O424" s="131">
        <f t="shared" si="37"/>
        <v>28</v>
      </c>
      <c r="P424" s="136" t="s">
        <v>2225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435</v>
      </c>
      <c r="G425" s="88" t="s">
        <v>433</v>
      </c>
      <c r="H425" s="88" t="s">
        <v>1052</v>
      </c>
      <c r="I425" s="88" t="s">
        <v>434</v>
      </c>
      <c r="J425" s="89" t="s">
        <v>18</v>
      </c>
      <c r="K425" s="89" t="s">
        <v>19</v>
      </c>
      <c r="L425" s="89"/>
      <c r="M425" s="89" t="s">
        <v>797</v>
      </c>
      <c r="N425" s="89"/>
      <c r="O425" s="31">
        <f t="shared" si="37"/>
        <v>24</v>
      </c>
      <c r="P425" s="136"/>
      <c r="Q425" s="31">
        <f t="shared" si="38"/>
        <v>4</v>
      </c>
      <c r="R425" s="32">
        <f t="shared" si="39"/>
        <v>0.8571428571428571</v>
      </c>
      <c r="S425" s="70"/>
      <c r="T425" s="70"/>
      <c r="U425" s="71"/>
      <c r="V425" s="71" t="s">
        <v>2239</v>
      </c>
      <c r="W425" s="71" t="s">
        <v>2239</v>
      </c>
      <c r="X425" s="70" t="s">
        <v>2239</v>
      </c>
      <c r="Y425" s="70" t="s">
        <v>2239</v>
      </c>
      <c r="Z425" s="71"/>
      <c r="AA425" s="71"/>
      <c r="AB425" s="71"/>
      <c r="AC425" s="71"/>
      <c r="AD425" s="71"/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435</v>
      </c>
      <c r="G426" s="73" t="s">
        <v>436</v>
      </c>
      <c r="H426" s="73" t="s">
        <v>1052</v>
      </c>
      <c r="I426" s="73" t="s">
        <v>437</v>
      </c>
      <c r="J426" s="84" t="s">
        <v>45</v>
      </c>
      <c r="K426" s="84" t="s">
        <v>1290</v>
      </c>
      <c r="L426" s="84"/>
      <c r="M426" s="84" t="s">
        <v>1362</v>
      </c>
      <c r="N426" s="84"/>
      <c r="O426" s="131">
        <f t="shared" si="37"/>
        <v>27</v>
      </c>
      <c r="P426" s="136" t="s">
        <v>1974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2239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2365</v>
      </c>
      <c r="F427" t="s">
        <v>435</v>
      </c>
      <c r="G427" t="s">
        <v>438</v>
      </c>
      <c r="H427" t="s">
        <v>1052</v>
      </c>
      <c r="I427" t="s">
        <v>439</v>
      </c>
      <c r="J427" s="30" t="s">
        <v>14</v>
      </c>
      <c r="K427" s="30" t="s">
        <v>27</v>
      </c>
      <c r="L427" s="30"/>
      <c r="M427" s="30" t="s">
        <v>799</v>
      </c>
      <c r="N427" s="30"/>
      <c r="O427" s="31">
        <f t="shared" si="37"/>
        <v>28</v>
      </c>
      <c r="P427" s="136"/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435</v>
      </c>
      <c r="G428" s="73" t="s">
        <v>440</v>
      </c>
      <c r="H428" s="73" t="s">
        <v>1052</v>
      </c>
      <c r="I428" s="73" t="s">
        <v>441</v>
      </c>
      <c r="J428" s="84" t="s">
        <v>14</v>
      </c>
      <c r="K428" s="84" t="s">
        <v>1290</v>
      </c>
      <c r="L428" s="84"/>
      <c r="M428" s="84" t="s">
        <v>800</v>
      </c>
      <c r="N428" s="84"/>
      <c r="O428" s="131">
        <f t="shared" si="37"/>
        <v>27</v>
      </c>
      <c r="P428" s="136" t="s">
        <v>1976</v>
      </c>
      <c r="Q428" s="131">
        <f t="shared" si="38"/>
        <v>1</v>
      </c>
      <c r="R428" s="132">
        <f t="shared" si="39"/>
        <v>0.9642857142857143</v>
      </c>
      <c r="S428" s="70"/>
      <c r="T428" s="70"/>
      <c r="U428" s="70"/>
      <c r="V428" s="70" t="s">
        <v>2239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t="s">
        <v>1113</v>
      </c>
      <c r="G429" t="s">
        <v>1114</v>
      </c>
      <c r="H429" t="s">
        <v>1052</v>
      </c>
      <c r="I429" t="s">
        <v>1115</v>
      </c>
      <c r="J429" s="30" t="s">
        <v>1103</v>
      </c>
      <c r="K429" s="30" t="s">
        <v>27</v>
      </c>
      <c r="L429" s="30"/>
      <c r="M429" s="30" t="s">
        <v>1129</v>
      </c>
      <c r="N429" s="30"/>
      <c r="O429" s="31">
        <f t="shared" si="37"/>
        <v>28</v>
      </c>
      <c r="P429" s="136" t="s">
        <v>1977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/>
      <c r="F430" t="s">
        <v>1113</v>
      </c>
      <c r="G430" t="s">
        <v>1133</v>
      </c>
      <c r="H430" t="s">
        <v>1052</v>
      </c>
      <c r="I430" t="s">
        <v>1115</v>
      </c>
      <c r="J430" s="30" t="s">
        <v>1103</v>
      </c>
      <c r="K430" s="30" t="s">
        <v>27</v>
      </c>
      <c r="L430" s="30"/>
      <c r="M430" s="30" t="s">
        <v>1130</v>
      </c>
      <c r="N430" s="30"/>
      <c r="O430" s="31">
        <f t="shared" si="37"/>
        <v>28</v>
      </c>
      <c r="P430" s="136" t="s">
        <v>1978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435</v>
      </c>
      <c r="G431" s="73" t="s">
        <v>442</v>
      </c>
      <c r="H431" s="73" t="s">
        <v>1052</v>
      </c>
      <c r="I431" s="73" t="s">
        <v>443</v>
      </c>
      <c r="J431" s="84" t="s">
        <v>14</v>
      </c>
      <c r="K431" s="84" t="s">
        <v>1290</v>
      </c>
      <c r="L431" s="84"/>
      <c r="M431" s="84" t="s">
        <v>1361</v>
      </c>
      <c r="N431" s="84"/>
      <c r="O431" s="131">
        <f t="shared" si="37"/>
        <v>28</v>
      </c>
      <c r="P431" s="136" t="s">
        <v>1972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435</v>
      </c>
      <c r="G432" s="73" t="s">
        <v>444</v>
      </c>
      <c r="H432" s="73" t="s">
        <v>1052</v>
      </c>
      <c r="I432" s="73" t="s">
        <v>445</v>
      </c>
      <c r="J432" s="84" t="s">
        <v>18</v>
      </c>
      <c r="K432" s="84" t="s">
        <v>1290</v>
      </c>
      <c r="L432" s="84"/>
      <c r="M432" s="84" t="s">
        <v>1411</v>
      </c>
      <c r="N432" s="84"/>
      <c r="O432" s="131">
        <f t="shared" si="37"/>
        <v>24</v>
      </c>
      <c r="P432" s="136" t="s">
        <v>1973</v>
      </c>
      <c r="Q432" s="131">
        <f t="shared" si="38"/>
        <v>4</v>
      </c>
      <c r="R432" s="132">
        <f t="shared" si="39"/>
        <v>0.8571428571428571</v>
      </c>
      <c r="S432" s="70"/>
      <c r="T432" s="70"/>
      <c r="U432" s="70"/>
      <c r="V432" s="70" t="s">
        <v>2239</v>
      </c>
      <c r="W432" s="70" t="s">
        <v>2239</v>
      </c>
      <c r="X432" s="70" t="s">
        <v>2239</v>
      </c>
      <c r="Y432" s="70" t="s">
        <v>2239</v>
      </c>
      <c r="Z432" s="70"/>
      <c r="AA432" s="70"/>
      <c r="AB432" s="70"/>
      <c r="AC432" s="70"/>
      <c r="AD432" s="70"/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1245</v>
      </c>
      <c r="F433" t="s">
        <v>435</v>
      </c>
      <c r="G433" t="s">
        <v>446</v>
      </c>
      <c r="H433" t="s">
        <v>1052</v>
      </c>
      <c r="I433" t="s">
        <v>447</v>
      </c>
      <c r="J433" s="30" t="s">
        <v>14</v>
      </c>
      <c r="K433" s="30" t="s">
        <v>1045</v>
      </c>
      <c r="L433" s="30" t="s">
        <v>1245</v>
      </c>
      <c r="M433" s="30" t="s">
        <v>798</v>
      </c>
      <c r="N433" s="30"/>
      <c r="O433" s="31">
        <f t="shared" si="37"/>
        <v>28</v>
      </c>
      <c r="P433" s="136" t="s">
        <v>1975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291</v>
      </c>
      <c r="G434" s="73" t="s">
        <v>1302</v>
      </c>
      <c r="H434" s="73" t="s">
        <v>1052</v>
      </c>
      <c r="I434" s="73" t="s">
        <v>1303</v>
      </c>
      <c r="J434" s="84" t="s">
        <v>14</v>
      </c>
      <c r="K434" s="84" t="s">
        <v>1290</v>
      </c>
      <c r="L434" s="84"/>
      <c r="M434" s="84" t="s">
        <v>1304</v>
      </c>
      <c r="N434" s="84"/>
      <c r="O434" s="31">
        <f t="shared" si="37"/>
        <v>28</v>
      </c>
      <c r="P434" s="136" t="s">
        <v>1947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1113</v>
      </c>
      <c r="G435" s="73" t="s">
        <v>1542</v>
      </c>
      <c r="H435" s="73" t="s">
        <v>1052</v>
      </c>
      <c r="I435" s="73" t="s">
        <v>1543</v>
      </c>
      <c r="J435" s="84" t="s">
        <v>1103</v>
      </c>
      <c r="K435" s="84" t="s">
        <v>1290</v>
      </c>
      <c r="L435" s="84"/>
      <c r="M435" s="84" t="s">
        <v>1545</v>
      </c>
      <c r="N435" s="84"/>
      <c r="O435" s="31">
        <f t="shared" si="37"/>
        <v>28</v>
      </c>
      <c r="P435" s="136" t="s">
        <v>1979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1113</v>
      </c>
      <c r="G436" s="73" t="s">
        <v>1541</v>
      </c>
      <c r="H436" s="73" t="s">
        <v>1052</v>
      </c>
      <c r="I436" s="73" t="s">
        <v>1544</v>
      </c>
      <c r="J436" s="84" t="s">
        <v>1103</v>
      </c>
      <c r="K436" s="84" t="s">
        <v>1290</v>
      </c>
      <c r="L436" s="84"/>
      <c r="M436" s="84" t="s">
        <v>1546</v>
      </c>
      <c r="N436" s="84"/>
      <c r="O436" s="31">
        <f t="shared" si="37"/>
        <v>28</v>
      </c>
      <c r="P436" s="136" t="s">
        <v>1980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1113</v>
      </c>
      <c r="G437" s="73" t="s">
        <v>2208</v>
      </c>
      <c r="H437" s="73" t="s">
        <v>1052</v>
      </c>
      <c r="I437" s="73" t="s">
        <v>2209</v>
      </c>
      <c r="J437" s="84" t="s">
        <v>1103</v>
      </c>
      <c r="K437" s="84" t="s">
        <v>1290</v>
      </c>
      <c r="L437" s="84"/>
      <c r="M437" s="84" t="s">
        <v>2307</v>
      </c>
      <c r="N437" s="84"/>
      <c r="O437" s="31">
        <f t="shared" si="37"/>
        <v>28</v>
      </c>
      <c r="P437" s="136"/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1007</v>
      </c>
      <c r="H438" t="s">
        <v>1051</v>
      </c>
      <c r="I438" t="s">
        <v>451</v>
      </c>
      <c r="J438" s="30" t="s">
        <v>72</v>
      </c>
      <c r="K438" s="30" t="s">
        <v>27</v>
      </c>
      <c r="L438" s="30"/>
      <c r="M438" s="30" t="s">
        <v>803</v>
      </c>
      <c r="N438" s="30"/>
      <c r="O438" s="31">
        <f t="shared" si="37"/>
        <v>28</v>
      </c>
      <c r="P438" s="136" t="s">
        <v>1983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1008</v>
      </c>
      <c r="H439" t="s">
        <v>1051</v>
      </c>
      <c r="I439" t="s">
        <v>451</v>
      </c>
      <c r="J439" s="30" t="s">
        <v>72</v>
      </c>
      <c r="K439" s="30" t="s">
        <v>27</v>
      </c>
      <c r="L439" s="30"/>
      <c r="M439" s="30" t="s">
        <v>804</v>
      </c>
      <c r="N439" s="30"/>
      <c r="O439" s="31">
        <f t="shared" si="37"/>
        <v>28</v>
      </c>
      <c r="P439" s="136" t="s">
        <v>1984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448</v>
      </c>
      <c r="H440" t="s">
        <v>1051</v>
      </c>
      <c r="I440" t="s">
        <v>449</v>
      </c>
      <c r="J440" s="30" t="s">
        <v>72</v>
      </c>
      <c r="K440" s="30" t="s">
        <v>27</v>
      </c>
      <c r="L440" s="30"/>
      <c r="M440" s="30" t="s">
        <v>801</v>
      </c>
      <c r="N440" s="30"/>
      <c r="O440" s="31">
        <f t="shared" si="37"/>
        <v>28</v>
      </c>
      <c r="P440" s="136" t="s">
        <v>1981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450</v>
      </c>
      <c r="H441" t="s">
        <v>1051</v>
      </c>
      <c r="I441" t="s">
        <v>449</v>
      </c>
      <c r="J441" s="30" t="s">
        <v>72</v>
      </c>
      <c r="K441" s="30" t="s">
        <v>27</v>
      </c>
      <c r="L441" s="30"/>
      <c r="M441" s="30" t="s">
        <v>802</v>
      </c>
      <c r="N441" s="30"/>
      <c r="O441" s="31">
        <f t="shared" si="37"/>
        <v>28</v>
      </c>
      <c r="P441" s="136" t="s">
        <v>1982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452</v>
      </c>
      <c r="G442" s="73" t="s">
        <v>1009</v>
      </c>
      <c r="H442" s="73" t="s">
        <v>1052</v>
      </c>
      <c r="I442" s="73" t="s">
        <v>465</v>
      </c>
      <c r="J442" s="84" t="s">
        <v>18</v>
      </c>
      <c r="K442" s="84" t="s">
        <v>1290</v>
      </c>
      <c r="L442" s="84"/>
      <c r="M442" s="84" t="s">
        <v>1317</v>
      </c>
      <c r="N442" s="84"/>
      <c r="O442" s="131">
        <f t="shared" si="37"/>
        <v>24</v>
      </c>
      <c r="P442" s="136" t="s">
        <v>1988</v>
      </c>
      <c r="Q442" s="131">
        <f t="shared" si="38"/>
        <v>4</v>
      </c>
      <c r="R442" s="132">
        <f t="shared" si="39"/>
        <v>0.8571428571428571</v>
      </c>
      <c r="S442" s="70"/>
      <c r="T442" s="70"/>
      <c r="U442" s="70"/>
      <c r="V442" s="70" t="s">
        <v>2239</v>
      </c>
      <c r="W442" s="70" t="s">
        <v>2239</v>
      </c>
      <c r="X442" s="70" t="s">
        <v>2239</v>
      </c>
      <c r="Y442" s="70" t="s">
        <v>2239</v>
      </c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t="s">
        <v>452</v>
      </c>
      <c r="G443" t="s">
        <v>456</v>
      </c>
      <c r="H443" t="s">
        <v>1052</v>
      </c>
      <c r="I443" t="s">
        <v>457</v>
      </c>
      <c r="J443" s="30" t="s">
        <v>18</v>
      </c>
      <c r="K443" s="30" t="s">
        <v>27</v>
      </c>
      <c r="L443" s="30"/>
      <c r="M443" s="30" t="s">
        <v>810</v>
      </c>
      <c r="N443" s="30"/>
      <c r="O443" s="31">
        <f t="shared" si="37"/>
        <v>28</v>
      </c>
      <c r="P443" s="136" t="s">
        <v>1991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452</v>
      </c>
      <c r="G444" s="69" t="s">
        <v>1010</v>
      </c>
      <c r="H444" s="69" t="s">
        <v>1052</v>
      </c>
      <c r="I444" s="69" t="s">
        <v>466</v>
      </c>
      <c r="J444" s="137" t="s">
        <v>14</v>
      </c>
      <c r="K444" s="137" t="s">
        <v>19</v>
      </c>
      <c r="L444" s="137"/>
      <c r="M444" s="137" t="s">
        <v>805</v>
      </c>
      <c r="N444" s="137"/>
      <c r="O444" s="139">
        <f t="shared" si="37"/>
        <v>24</v>
      </c>
      <c r="P444" s="140"/>
      <c r="Q444" s="139">
        <f t="shared" si="38"/>
        <v>4</v>
      </c>
      <c r="R444" s="141">
        <f t="shared" si="39"/>
        <v>0.8571428571428571</v>
      </c>
      <c r="S444" s="142"/>
      <c r="T444" s="142"/>
      <c r="U444" s="142"/>
      <c r="V444" s="70" t="s">
        <v>2239</v>
      </c>
      <c r="W444" s="70" t="s">
        <v>2239</v>
      </c>
      <c r="X444" s="70" t="s">
        <v>2239</v>
      </c>
      <c r="Y444" s="70" t="s">
        <v>2239</v>
      </c>
      <c r="Z444" s="142"/>
      <c r="AA444" s="142"/>
      <c r="AB444" s="142"/>
      <c r="AC444" s="142"/>
      <c r="AD444" s="142"/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/>
      <c r="F445" t="s">
        <v>347</v>
      </c>
      <c r="G445" t="s">
        <v>1011</v>
      </c>
      <c r="H445" t="s">
        <v>1052</v>
      </c>
      <c r="I445" t="s">
        <v>469</v>
      </c>
      <c r="J445" s="30" t="s">
        <v>72</v>
      </c>
      <c r="K445" s="30" t="s">
        <v>1045</v>
      </c>
      <c r="L445" s="30"/>
      <c r="M445" s="30" t="s">
        <v>1400</v>
      </c>
      <c r="N445" s="30"/>
      <c r="O445" s="31">
        <f t="shared" si="37"/>
        <v>28</v>
      </c>
      <c r="P445" s="136" t="s">
        <v>1992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/>
      <c r="F446" t="s">
        <v>347</v>
      </c>
      <c r="G446" t="s">
        <v>1012</v>
      </c>
      <c r="H446" t="s">
        <v>1052</v>
      </c>
      <c r="I446" t="s">
        <v>469</v>
      </c>
      <c r="J446" s="30" t="s">
        <v>72</v>
      </c>
      <c r="K446" s="30" t="s">
        <v>1045</v>
      </c>
      <c r="L446" s="30"/>
      <c r="M446" s="30" t="s">
        <v>1401</v>
      </c>
      <c r="N446" s="30"/>
      <c r="O446" s="31">
        <f t="shared" si="37"/>
        <v>28</v>
      </c>
      <c r="P446" s="136" t="s">
        <v>1993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/>
      <c r="F447" t="s">
        <v>452</v>
      </c>
      <c r="G447" t="s">
        <v>1013</v>
      </c>
      <c r="H447" t="s">
        <v>1052</v>
      </c>
      <c r="I447" t="s">
        <v>472</v>
      </c>
      <c r="J447" s="30" t="s">
        <v>72</v>
      </c>
      <c r="K447" s="30" t="s">
        <v>27</v>
      </c>
      <c r="L447" s="30" t="s">
        <v>2389</v>
      </c>
      <c r="M447" s="30" t="s">
        <v>815</v>
      </c>
      <c r="N447" s="30"/>
      <c r="O447" s="31">
        <f t="shared" si="37"/>
        <v>28</v>
      </c>
      <c r="P447" s="136" t="s">
        <v>1997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/>
      <c r="F448" t="s">
        <v>452</v>
      </c>
      <c r="G448" t="s">
        <v>1014</v>
      </c>
      <c r="H448" t="s">
        <v>1052</v>
      </c>
      <c r="I448" t="s">
        <v>472</v>
      </c>
      <c r="J448" s="30" t="s">
        <v>72</v>
      </c>
      <c r="K448" s="30" t="s">
        <v>27</v>
      </c>
      <c r="L448" s="30" t="s">
        <v>2389</v>
      </c>
      <c r="M448" s="30" t="s">
        <v>816</v>
      </c>
      <c r="N448" s="30"/>
      <c r="O448" s="31">
        <f t="shared" si="37"/>
        <v>28</v>
      </c>
      <c r="P448" s="136" t="s">
        <v>1998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/>
      <c r="F449" t="s">
        <v>452</v>
      </c>
      <c r="G449" t="s">
        <v>461</v>
      </c>
      <c r="H449" t="s">
        <v>1052</v>
      </c>
      <c r="I449" t="s">
        <v>2390</v>
      </c>
      <c r="J449" s="30" t="s">
        <v>18</v>
      </c>
      <c r="K449" s="30" t="s">
        <v>1045</v>
      </c>
      <c r="L449" s="30"/>
      <c r="M449" s="30" t="s">
        <v>1398</v>
      </c>
      <c r="N449" s="30"/>
      <c r="O449" s="31">
        <f t="shared" si="37"/>
        <v>28</v>
      </c>
      <c r="P449" s="136" t="s">
        <v>1985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/>
      <c r="F450" t="s">
        <v>347</v>
      </c>
      <c r="G450" t="s">
        <v>462</v>
      </c>
      <c r="H450" t="s">
        <v>1052</v>
      </c>
      <c r="I450" t="s">
        <v>1310</v>
      </c>
      <c r="J450" s="30" t="s">
        <v>18</v>
      </c>
      <c r="K450" s="30" t="s">
        <v>1045</v>
      </c>
      <c r="L450" s="30"/>
      <c r="M450" s="30" t="s">
        <v>1399</v>
      </c>
      <c r="N450" s="30"/>
      <c r="O450" s="31">
        <f t="shared" si="37"/>
        <v>28</v>
      </c>
      <c r="P450" s="136" t="s">
        <v>1986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/>
      <c r="F451" s="73" t="s">
        <v>452</v>
      </c>
      <c r="G451" s="73" t="s">
        <v>463</v>
      </c>
      <c r="H451" s="73" t="s">
        <v>1052</v>
      </c>
      <c r="I451" s="73" t="s">
        <v>464</v>
      </c>
      <c r="J451" s="84" t="s">
        <v>18</v>
      </c>
      <c r="K451" s="84" t="s">
        <v>1290</v>
      </c>
      <c r="L451" s="84"/>
      <c r="M451" s="84" t="s">
        <v>1410</v>
      </c>
      <c r="N451" s="84"/>
      <c r="O451" s="131">
        <f t="shared" si="37"/>
        <v>28</v>
      </c>
      <c r="P451" s="136" t="s">
        <v>1987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/>
      <c r="F452" t="s">
        <v>452</v>
      </c>
      <c r="G452" t="s">
        <v>1015</v>
      </c>
      <c r="H452" t="s">
        <v>1052</v>
      </c>
      <c r="I452" t="s">
        <v>453</v>
      </c>
      <c r="J452" s="30" t="s">
        <v>14</v>
      </c>
      <c r="K452" s="30" t="s">
        <v>19</v>
      </c>
      <c r="L452" s="30"/>
      <c r="M452" s="30" t="s">
        <v>807</v>
      </c>
      <c r="N452" s="30"/>
      <c r="O452" s="31">
        <f t="shared" si="37"/>
        <v>28</v>
      </c>
      <c r="P452" s="136"/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/>
      <c r="F453" t="s">
        <v>452</v>
      </c>
      <c r="G453" t="s">
        <v>1016</v>
      </c>
      <c r="H453" t="s">
        <v>1052</v>
      </c>
      <c r="I453" t="s">
        <v>454</v>
      </c>
      <c r="J453" s="30" t="s">
        <v>18</v>
      </c>
      <c r="K453" s="30" t="s">
        <v>1290</v>
      </c>
      <c r="L453" s="30"/>
      <c r="M453" s="30" t="s">
        <v>808</v>
      </c>
      <c r="N453" s="30"/>
      <c r="O453" s="31">
        <f t="shared" si="37"/>
        <v>28</v>
      </c>
      <c r="P453" s="136" t="s">
        <v>1989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/>
      <c r="F454" t="s">
        <v>452</v>
      </c>
      <c r="G454" t="s">
        <v>1017</v>
      </c>
      <c r="H454" t="s">
        <v>1052</v>
      </c>
      <c r="I454" t="s">
        <v>455</v>
      </c>
      <c r="J454" s="30" t="s">
        <v>18</v>
      </c>
      <c r="K454" s="30" t="s">
        <v>1290</v>
      </c>
      <c r="L454" s="30"/>
      <c r="M454" s="30" t="s">
        <v>809</v>
      </c>
      <c r="N454" s="30"/>
      <c r="O454" s="31">
        <f t="shared" si="37"/>
        <v>28</v>
      </c>
      <c r="P454" s="136" t="s">
        <v>1990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/>
      <c r="F455" t="s">
        <v>452</v>
      </c>
      <c r="G455" t="s">
        <v>1018</v>
      </c>
      <c r="H455" t="s">
        <v>1052</v>
      </c>
      <c r="I455" t="s">
        <v>458</v>
      </c>
      <c r="J455" s="30" t="s">
        <v>14</v>
      </c>
      <c r="K455" s="30" t="s">
        <v>19</v>
      </c>
      <c r="L455" s="30"/>
      <c r="M455" s="30" t="s">
        <v>792</v>
      </c>
      <c r="N455" s="30"/>
      <c r="O455" s="31">
        <f t="shared" si="37"/>
        <v>28</v>
      </c>
      <c r="P455" s="136"/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/>
      <c r="F456" s="69" t="s">
        <v>452</v>
      </c>
      <c r="G456" s="69" t="s">
        <v>1019</v>
      </c>
      <c r="H456" s="69" t="s">
        <v>1052</v>
      </c>
      <c r="I456" s="69" t="s">
        <v>459</v>
      </c>
      <c r="J456" s="137" t="s">
        <v>14</v>
      </c>
      <c r="K456" s="137" t="s">
        <v>19</v>
      </c>
      <c r="L456" s="137"/>
      <c r="M456" s="137" t="s">
        <v>811</v>
      </c>
      <c r="N456" s="137"/>
      <c r="O456" s="139">
        <f t="shared" si="37"/>
        <v>24</v>
      </c>
      <c r="P456" s="140"/>
      <c r="Q456" s="139">
        <f t="shared" si="38"/>
        <v>4</v>
      </c>
      <c r="R456" s="141">
        <f t="shared" si="39"/>
        <v>0.8571428571428571</v>
      </c>
      <c r="S456" s="142"/>
      <c r="T456" s="142"/>
      <c r="U456" s="142"/>
      <c r="V456" s="70" t="s">
        <v>2239</v>
      </c>
      <c r="W456" s="70" t="s">
        <v>2239</v>
      </c>
      <c r="X456" s="70" t="s">
        <v>2239</v>
      </c>
      <c r="Y456" s="70" t="s">
        <v>2239</v>
      </c>
      <c r="Z456" s="142"/>
      <c r="AA456" s="142"/>
      <c r="AB456" s="142"/>
      <c r="AC456" s="142"/>
      <c r="AD456" s="142"/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/>
      <c r="F457" t="s">
        <v>452</v>
      </c>
      <c r="G457" t="s">
        <v>467</v>
      </c>
      <c r="H457" t="s">
        <v>1052</v>
      </c>
      <c r="I457" t="s">
        <v>468</v>
      </c>
      <c r="J457" s="30" t="s">
        <v>14</v>
      </c>
      <c r="K457" s="30" t="s">
        <v>19</v>
      </c>
      <c r="L457" s="30"/>
      <c r="M457" s="30" t="s">
        <v>806</v>
      </c>
      <c r="N457" s="30"/>
      <c r="O457" s="31">
        <f t="shared" ref="O457:O520" si="40">COUNTIF(S457:AT457,"")</f>
        <v>28</v>
      </c>
      <c r="P457" s="136"/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/>
      <c r="F458" s="73" t="s">
        <v>452</v>
      </c>
      <c r="G458" s="73" t="s">
        <v>470</v>
      </c>
      <c r="H458" s="73" t="s">
        <v>1052</v>
      </c>
      <c r="I458" s="73" t="s">
        <v>471</v>
      </c>
      <c r="J458" s="84" t="s">
        <v>14</v>
      </c>
      <c r="K458" s="84" t="s">
        <v>1290</v>
      </c>
      <c r="L458" s="84"/>
      <c r="M458" s="84" t="s">
        <v>812</v>
      </c>
      <c r="N458" s="84"/>
      <c r="O458" s="131">
        <f t="shared" si="40"/>
        <v>28</v>
      </c>
      <c r="P458" s="136" t="s">
        <v>1994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/>
      <c r="F459" s="73" t="s">
        <v>452</v>
      </c>
      <c r="G459" s="73" t="s">
        <v>1020</v>
      </c>
      <c r="H459" s="73" t="s">
        <v>1052</v>
      </c>
      <c r="I459" s="73" t="s">
        <v>460</v>
      </c>
      <c r="J459" s="84" t="s">
        <v>72</v>
      </c>
      <c r="K459" s="84" t="s">
        <v>1290</v>
      </c>
      <c r="L459" s="84"/>
      <c r="M459" s="84" t="s">
        <v>813</v>
      </c>
      <c r="N459" s="84"/>
      <c r="O459" s="131">
        <f t="shared" si="40"/>
        <v>28</v>
      </c>
      <c r="P459" s="136" t="s">
        <v>1995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/>
      <c r="F460" s="73" t="s">
        <v>452</v>
      </c>
      <c r="G460" s="73" t="s">
        <v>1021</v>
      </c>
      <c r="H460" s="73" t="s">
        <v>1052</v>
      </c>
      <c r="I460" s="73" t="s">
        <v>460</v>
      </c>
      <c r="J460" s="84" t="s">
        <v>72</v>
      </c>
      <c r="K460" s="84" t="s">
        <v>1290</v>
      </c>
      <c r="L460" s="84"/>
      <c r="M460" s="84" t="s">
        <v>814</v>
      </c>
      <c r="N460" s="84"/>
      <c r="O460" s="131">
        <f t="shared" si="40"/>
        <v>28</v>
      </c>
      <c r="P460" s="136" t="s">
        <v>1996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/>
      <c r="F461" t="s">
        <v>452</v>
      </c>
      <c r="G461" s="30" t="s">
        <v>1277</v>
      </c>
      <c r="H461" t="s">
        <v>1052</v>
      </c>
      <c r="I461" s="68" t="s">
        <v>1276</v>
      </c>
      <c r="J461" s="30" t="s">
        <v>72</v>
      </c>
      <c r="K461" s="30" t="s">
        <v>1290</v>
      </c>
      <c r="L461" s="30"/>
      <c r="M461" s="30" t="s">
        <v>1278</v>
      </c>
      <c r="N461" s="30"/>
      <c r="O461" s="31">
        <f t="shared" si="40"/>
        <v>28</v>
      </c>
      <c r="P461" s="136" t="s">
        <v>1999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/>
      <c r="F462" t="s">
        <v>452</v>
      </c>
      <c r="G462" t="s">
        <v>1275</v>
      </c>
      <c r="H462" t="s">
        <v>1052</v>
      </c>
      <c r="I462" s="68" t="s">
        <v>1276</v>
      </c>
      <c r="J462" s="30" t="s">
        <v>72</v>
      </c>
      <c r="K462" s="30" t="s">
        <v>1290</v>
      </c>
      <c r="L462" s="30"/>
      <c r="M462" s="30" t="s">
        <v>1279</v>
      </c>
      <c r="N462" s="30"/>
      <c r="O462" s="31">
        <f t="shared" si="40"/>
        <v>28</v>
      </c>
      <c r="P462" s="136" t="s">
        <v>2000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/>
      <c r="F463" s="73" t="s">
        <v>1583</v>
      </c>
      <c r="G463" s="73" t="s">
        <v>1584</v>
      </c>
      <c r="H463" s="73" t="s">
        <v>1052</v>
      </c>
      <c r="I463" s="135" t="s">
        <v>1585</v>
      </c>
      <c r="J463" s="84" t="s">
        <v>14</v>
      </c>
      <c r="K463" s="84" t="s">
        <v>1290</v>
      </c>
      <c r="L463" s="84"/>
      <c r="M463" s="84" t="s">
        <v>1586</v>
      </c>
      <c r="N463" s="84"/>
      <c r="O463" s="31">
        <f t="shared" si="40"/>
        <v>28</v>
      </c>
      <c r="P463" s="136"/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/>
      <c r="F464" s="73" t="s">
        <v>1583</v>
      </c>
      <c r="G464" s="73" t="s">
        <v>1595</v>
      </c>
      <c r="H464" s="73" t="s">
        <v>1052</v>
      </c>
      <c r="I464" s="135" t="s">
        <v>1596</v>
      </c>
      <c r="J464" s="84" t="s">
        <v>18</v>
      </c>
      <c r="K464" s="84" t="s">
        <v>1290</v>
      </c>
      <c r="L464" s="84"/>
      <c r="M464" s="84" t="s">
        <v>1597</v>
      </c>
      <c r="N464" s="84"/>
      <c r="O464" s="31">
        <f t="shared" si="40"/>
        <v>28</v>
      </c>
      <c r="P464" s="136"/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/>
      <c r="F465" s="73" t="s">
        <v>1589</v>
      </c>
      <c r="G465" s="73" t="s">
        <v>1588</v>
      </c>
      <c r="H465" s="73" t="s">
        <v>1052</v>
      </c>
      <c r="I465" s="135" t="s">
        <v>1590</v>
      </c>
      <c r="J465" s="84" t="s">
        <v>72</v>
      </c>
      <c r="K465" s="84" t="s">
        <v>1290</v>
      </c>
      <c r="L465" s="84"/>
      <c r="M465" s="84" t="s">
        <v>1591</v>
      </c>
      <c r="N465" s="84"/>
      <c r="O465" s="31">
        <f t="shared" si="40"/>
        <v>28</v>
      </c>
      <c r="P465" s="136"/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/>
      <c r="F466" s="73" t="s">
        <v>1583</v>
      </c>
      <c r="G466" s="73" t="s">
        <v>1639</v>
      </c>
      <c r="H466" s="73" t="s">
        <v>1052</v>
      </c>
      <c r="I466" s="135" t="s">
        <v>1637</v>
      </c>
      <c r="J466" s="84" t="s">
        <v>72</v>
      </c>
      <c r="K466" s="84" t="s">
        <v>1290</v>
      </c>
      <c r="L466" s="84"/>
      <c r="M466" s="84" t="s">
        <v>1641</v>
      </c>
      <c r="N466" s="84"/>
      <c r="O466" s="31">
        <f t="shared" si="40"/>
        <v>28</v>
      </c>
      <c r="P466" s="136"/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/>
      <c r="F467" s="73" t="s">
        <v>1583</v>
      </c>
      <c r="G467" s="73" t="s">
        <v>1640</v>
      </c>
      <c r="H467" s="73" t="s">
        <v>1052</v>
      </c>
      <c r="I467" s="135" t="s">
        <v>1638</v>
      </c>
      <c r="J467" s="84" t="s">
        <v>72</v>
      </c>
      <c r="K467" s="84" t="s">
        <v>1290</v>
      </c>
      <c r="L467" s="84"/>
      <c r="M467" s="84" t="s">
        <v>1642</v>
      </c>
      <c r="N467" s="84"/>
      <c r="O467" s="31">
        <f t="shared" si="40"/>
        <v>28</v>
      </c>
      <c r="P467" s="136"/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/>
      <c r="F468" s="73" t="s">
        <v>1583</v>
      </c>
      <c r="G468" s="73" t="s">
        <v>2142</v>
      </c>
      <c r="H468" s="73" t="s">
        <v>1052</v>
      </c>
      <c r="I468" s="135" t="s">
        <v>2143</v>
      </c>
      <c r="J468" s="84"/>
      <c r="K468" s="84" t="s">
        <v>1290</v>
      </c>
      <c r="L468" s="84"/>
      <c r="M468" s="84" t="s">
        <v>2308</v>
      </c>
      <c r="N468" s="84"/>
      <c r="O468" s="31">
        <f t="shared" si="40"/>
        <v>28</v>
      </c>
      <c r="P468" s="136"/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1052</v>
      </c>
      <c r="I469" s="73" t="s">
        <v>474</v>
      </c>
      <c r="J469" s="84" t="s">
        <v>72</v>
      </c>
      <c r="K469" s="84" t="s">
        <v>1290</v>
      </c>
      <c r="L469" s="84"/>
      <c r="M469" s="84" t="s">
        <v>817</v>
      </c>
      <c r="N469" s="84"/>
      <c r="O469" s="131">
        <f t="shared" si="40"/>
        <v>24</v>
      </c>
      <c r="P469" s="136" t="s">
        <v>2001</v>
      </c>
      <c r="Q469" s="131">
        <f t="shared" si="41"/>
        <v>4</v>
      </c>
      <c r="R469" s="132">
        <f t="shared" si="42"/>
        <v>0.8571428571428571</v>
      </c>
      <c r="S469" s="70"/>
      <c r="T469" s="70"/>
      <c r="U469" s="70"/>
      <c r="V469" s="70" t="s">
        <v>2239</v>
      </c>
      <c r="W469" s="70" t="s">
        <v>2239</v>
      </c>
      <c r="X469" s="70" t="s">
        <v>2239</v>
      </c>
      <c r="Y469" s="70" t="s">
        <v>2239</v>
      </c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1052</v>
      </c>
      <c r="I470" s="73" t="s">
        <v>474</v>
      </c>
      <c r="J470" s="84" t="s">
        <v>72</v>
      </c>
      <c r="K470" s="84" t="s">
        <v>1290</v>
      </c>
      <c r="L470" s="84"/>
      <c r="M470" s="84" t="s">
        <v>818</v>
      </c>
      <c r="N470" s="84"/>
      <c r="O470" s="131">
        <f t="shared" si="40"/>
        <v>24</v>
      </c>
      <c r="P470" s="136" t="s">
        <v>2002</v>
      </c>
      <c r="Q470" s="131">
        <f t="shared" si="41"/>
        <v>4</v>
      </c>
      <c r="R470" s="132">
        <f t="shared" si="42"/>
        <v>0.8571428571428571</v>
      </c>
      <c r="S470" s="70"/>
      <c r="T470" s="70"/>
      <c r="U470" s="70"/>
      <c r="V470" s="70" t="s">
        <v>2239</v>
      </c>
      <c r="W470" s="70" t="s">
        <v>2239</v>
      </c>
      <c r="X470" s="70" t="s">
        <v>2239</v>
      </c>
      <c r="Y470" s="70" t="s">
        <v>2239</v>
      </c>
      <c r="Z470" s="70"/>
      <c r="AA470" s="70"/>
      <c r="AB470" s="70"/>
      <c r="AC470" s="70"/>
      <c r="AD470" s="70"/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356</v>
      </c>
      <c r="G471" s="84" t="s">
        <v>1094</v>
      </c>
      <c r="H471" s="84" t="s">
        <v>1052</v>
      </c>
      <c r="I471" s="73" t="s">
        <v>1093</v>
      </c>
      <c r="J471" s="84" t="s">
        <v>14</v>
      </c>
      <c r="K471" s="84" t="s">
        <v>1290</v>
      </c>
      <c r="L471" s="84"/>
      <c r="M471" s="84" t="s">
        <v>1095</v>
      </c>
      <c r="N471" s="84"/>
      <c r="O471" s="131">
        <f t="shared" si="40"/>
        <v>24</v>
      </c>
      <c r="P471" s="136"/>
      <c r="Q471" s="131">
        <f t="shared" si="41"/>
        <v>4</v>
      </c>
      <c r="R471" s="132">
        <f t="shared" si="42"/>
        <v>0.8571428571428571</v>
      </c>
      <c r="S471" s="70"/>
      <c r="T471" s="70"/>
      <c r="U471" s="70"/>
      <c r="V471" s="70" t="s">
        <v>2239</v>
      </c>
      <c r="W471" s="70" t="s">
        <v>2239</v>
      </c>
      <c r="X471" s="70" t="s">
        <v>2239</v>
      </c>
      <c r="Y471" s="70" t="s">
        <v>2239</v>
      </c>
      <c r="Z471" s="70"/>
      <c r="AA471" s="70"/>
      <c r="AB471" s="70"/>
      <c r="AC471" s="70"/>
      <c r="AD471" s="70"/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430</v>
      </c>
      <c r="G472" s="84" t="s">
        <v>2114</v>
      </c>
      <c r="H472" t="s">
        <v>1051</v>
      </c>
      <c r="I472" s="73" t="s">
        <v>2115</v>
      </c>
      <c r="J472" s="84" t="s">
        <v>14</v>
      </c>
      <c r="K472" s="84" t="s">
        <v>1290</v>
      </c>
      <c r="L472" s="84"/>
      <c r="M472" s="84" t="s">
        <v>2309</v>
      </c>
      <c r="N472" s="84"/>
      <c r="O472" s="131">
        <f t="shared" si="40"/>
        <v>28</v>
      </c>
      <c r="P472" s="136" t="s">
        <v>2116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2238</v>
      </c>
      <c r="H473" t="s">
        <v>1051</v>
      </c>
      <c r="I473" s="73" t="s">
        <v>2257</v>
      </c>
      <c r="J473" s="84" t="s">
        <v>72</v>
      </c>
      <c r="K473" s="84" t="s">
        <v>1290</v>
      </c>
      <c r="L473" s="84"/>
      <c r="M473" s="84" t="s">
        <v>2317</v>
      </c>
      <c r="N473" s="84"/>
      <c r="O473" s="131">
        <f t="shared" si="40"/>
        <v>24</v>
      </c>
      <c r="P473" s="136"/>
      <c r="Q473" s="131">
        <f t="shared" si="41"/>
        <v>4</v>
      </c>
      <c r="R473" s="132">
        <f t="shared" si="42"/>
        <v>0.8571428571428571</v>
      </c>
      <c r="S473" s="70"/>
      <c r="T473" s="70"/>
      <c r="U473" s="70"/>
      <c r="V473" s="70" t="s">
        <v>2239</v>
      </c>
      <c r="W473" s="70" t="s">
        <v>2239</v>
      </c>
      <c r="X473" s="70" t="s">
        <v>2239</v>
      </c>
      <c r="Y473" s="70" t="s">
        <v>2239</v>
      </c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261</v>
      </c>
      <c r="G474" t="s">
        <v>1022</v>
      </c>
      <c r="H474" t="s">
        <v>1051</v>
      </c>
      <c r="I474" t="s">
        <v>493</v>
      </c>
      <c r="J474" s="30" t="s">
        <v>18</v>
      </c>
      <c r="K474" s="30" t="s">
        <v>1045</v>
      </c>
      <c r="L474" s="30" t="s">
        <v>1246</v>
      </c>
      <c r="M474" s="30" t="s">
        <v>827</v>
      </c>
      <c r="N474" s="30"/>
      <c r="O474" s="31">
        <f t="shared" si="40"/>
        <v>26</v>
      </c>
      <c r="P474" s="136" t="s">
        <v>2003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2239</v>
      </c>
      <c r="W474" s="70" t="s">
        <v>2239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2345</v>
      </c>
      <c r="F475" t="s">
        <v>476</v>
      </c>
      <c r="G475" t="s">
        <v>477</v>
      </c>
      <c r="H475" t="s">
        <v>1051</v>
      </c>
      <c r="I475" t="s">
        <v>1593</v>
      </c>
      <c r="J475" s="30" t="s">
        <v>18</v>
      </c>
      <c r="K475" s="30" t="s">
        <v>1045</v>
      </c>
      <c r="L475" s="30" t="s">
        <v>1246</v>
      </c>
      <c r="M475" s="30" t="s">
        <v>819</v>
      </c>
      <c r="N475" s="30"/>
      <c r="O475" s="31">
        <f t="shared" si="40"/>
        <v>26</v>
      </c>
      <c r="P475" s="136" t="s">
        <v>2004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2239</v>
      </c>
      <c r="W475" s="70" t="s">
        <v>2239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2354</v>
      </c>
      <c r="F476" t="s">
        <v>476</v>
      </c>
      <c r="G476" t="s">
        <v>478</v>
      </c>
      <c r="H476" t="s">
        <v>1051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 t="shared" si="40"/>
        <v>28</v>
      </c>
      <c r="P476" s="136" t="s">
        <v>2005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2354</v>
      </c>
      <c r="F477" t="s">
        <v>480</v>
      </c>
      <c r="G477" t="s">
        <v>481</v>
      </c>
      <c r="H477" t="s">
        <v>1051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 t="shared" si="40"/>
        <v>28</v>
      </c>
      <c r="P477" s="136" t="s">
        <v>2006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2355</v>
      </c>
      <c r="F478" t="s">
        <v>476</v>
      </c>
      <c r="G478" t="s">
        <v>483</v>
      </c>
      <c r="H478" t="s">
        <v>1051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 t="shared" si="40"/>
        <v>28</v>
      </c>
      <c r="P478" s="136" t="s">
        <v>2007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2355</v>
      </c>
      <c r="F479" t="s">
        <v>476</v>
      </c>
      <c r="G479" t="s">
        <v>485</v>
      </c>
      <c r="H479" t="s">
        <v>1051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 t="shared" si="40"/>
        <v>28</v>
      </c>
      <c r="P479" s="136" t="s">
        <v>2008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1051</v>
      </c>
      <c r="I480" s="73" t="s">
        <v>488</v>
      </c>
      <c r="J480" s="84" t="s">
        <v>14</v>
      </c>
      <c r="K480" s="84" t="s">
        <v>1290</v>
      </c>
      <c r="L480" s="84"/>
      <c r="M480" s="84" t="s">
        <v>824</v>
      </c>
      <c r="N480" s="84"/>
      <c r="O480" s="131">
        <f t="shared" si="40"/>
        <v>28</v>
      </c>
      <c r="P480" s="136" t="s">
        <v>2009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2355</v>
      </c>
      <c r="F481" s="73" t="s">
        <v>476</v>
      </c>
      <c r="G481" s="73" t="s">
        <v>489</v>
      </c>
      <c r="H481" s="73" t="s">
        <v>1051</v>
      </c>
      <c r="I481" s="73" t="s">
        <v>490</v>
      </c>
      <c r="J481" s="84" t="s">
        <v>18</v>
      </c>
      <c r="K481" s="84" t="s">
        <v>1290</v>
      </c>
      <c r="L481" s="84"/>
      <c r="M481" s="84" t="s">
        <v>825</v>
      </c>
      <c r="N481" s="84"/>
      <c r="O481" s="31">
        <f t="shared" si="40"/>
        <v>28</v>
      </c>
      <c r="P481" s="136" t="s">
        <v>2010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2355</v>
      </c>
      <c r="F482" t="s">
        <v>476</v>
      </c>
      <c r="G482" t="s">
        <v>491</v>
      </c>
      <c r="H482" t="s">
        <v>1051</v>
      </c>
      <c r="I482" t="s">
        <v>492</v>
      </c>
      <c r="J482" s="30" t="s">
        <v>18</v>
      </c>
      <c r="K482" s="30" t="s">
        <v>1045</v>
      </c>
      <c r="L482" s="30" t="s">
        <v>1247</v>
      </c>
      <c r="M482" s="30" t="s">
        <v>826</v>
      </c>
      <c r="N482" s="30"/>
      <c r="O482" s="31">
        <f t="shared" si="40"/>
        <v>27</v>
      </c>
      <c r="P482" s="136" t="s">
        <v>2011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2239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476</v>
      </c>
      <c r="G483" s="73" t="s">
        <v>1177</v>
      </c>
      <c r="H483" s="73" t="s">
        <v>1051</v>
      </c>
      <c r="I483" s="73" t="s">
        <v>1178</v>
      </c>
      <c r="J483" s="84" t="s">
        <v>1103</v>
      </c>
      <c r="K483" s="84" t="s">
        <v>1290</v>
      </c>
      <c r="L483" s="84"/>
      <c r="M483" s="84" t="s">
        <v>1179</v>
      </c>
      <c r="N483" s="84"/>
      <c r="O483" s="131">
        <f t="shared" si="40"/>
        <v>28</v>
      </c>
      <c r="P483" s="136" t="s">
        <v>2012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2391</v>
      </c>
      <c r="F484" s="73" t="s">
        <v>476</v>
      </c>
      <c r="G484" s="73" t="s">
        <v>1180</v>
      </c>
      <c r="H484" s="73" t="s">
        <v>1051</v>
      </c>
      <c r="I484" s="73" t="s">
        <v>1178</v>
      </c>
      <c r="J484" s="84" t="s">
        <v>1103</v>
      </c>
      <c r="K484" s="84" t="s">
        <v>27</v>
      </c>
      <c r="L484" s="84"/>
      <c r="M484" s="84" t="s">
        <v>1181</v>
      </c>
      <c r="N484" s="84"/>
      <c r="O484" s="85">
        <f t="shared" si="40"/>
        <v>28</v>
      </c>
      <c r="P484" s="136" t="s">
        <v>2013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2356</v>
      </c>
      <c r="F485" t="s">
        <v>476</v>
      </c>
      <c r="G485" t="s">
        <v>1210</v>
      </c>
      <c r="H485" t="s">
        <v>1051</v>
      </c>
      <c r="I485" t="s">
        <v>1226</v>
      </c>
      <c r="J485" t="s">
        <v>72</v>
      </c>
      <c r="K485" t="s">
        <v>27</v>
      </c>
      <c r="L485"/>
      <c r="M485" s="30" t="s">
        <v>1271</v>
      </c>
      <c r="N485" s="30"/>
      <c r="O485" s="31">
        <f t="shared" si="40"/>
        <v>28</v>
      </c>
      <c r="P485" s="136" t="s">
        <v>2014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2356</v>
      </c>
      <c r="F486" t="s">
        <v>476</v>
      </c>
      <c r="G486" t="s">
        <v>1211</v>
      </c>
      <c r="H486" t="s">
        <v>1051</v>
      </c>
      <c r="I486" t="s">
        <v>1226</v>
      </c>
      <c r="J486" t="s">
        <v>72</v>
      </c>
      <c r="K486" t="s">
        <v>27</v>
      </c>
      <c r="L486"/>
      <c r="M486" s="30" t="s">
        <v>1272</v>
      </c>
      <c r="N486" s="30"/>
      <c r="O486" s="31">
        <f t="shared" si="40"/>
        <v>28</v>
      </c>
      <c r="P486" s="136" t="s">
        <v>2015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2355</v>
      </c>
      <c r="F487" t="s">
        <v>476</v>
      </c>
      <c r="G487" t="s">
        <v>1329</v>
      </c>
      <c r="H487" t="s">
        <v>1051</v>
      </c>
      <c r="I487" s="68" t="s">
        <v>1330</v>
      </c>
      <c r="J487" t="s">
        <v>72</v>
      </c>
      <c r="K487" t="s">
        <v>27</v>
      </c>
      <c r="L487"/>
      <c r="M487" s="30" t="s">
        <v>1319</v>
      </c>
      <c r="N487" s="30"/>
      <c r="O487" s="31">
        <f t="shared" si="40"/>
        <v>28</v>
      </c>
      <c r="P487" s="136" t="s">
        <v>2016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476</v>
      </c>
      <c r="G488" s="73" t="s">
        <v>1340</v>
      </c>
      <c r="H488" s="73" t="s">
        <v>1051</v>
      </c>
      <c r="I488" s="135" t="s">
        <v>1347</v>
      </c>
      <c r="J488" s="73" t="s">
        <v>14</v>
      </c>
      <c r="K488" s="73" t="s">
        <v>1290</v>
      </c>
      <c r="M488" s="84" t="s">
        <v>1409</v>
      </c>
      <c r="N488" s="84"/>
      <c r="O488" s="85">
        <f t="shared" si="40"/>
        <v>28</v>
      </c>
      <c r="P488" s="136" t="s">
        <v>2017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476</v>
      </c>
      <c r="G489" s="73" t="s">
        <v>1587</v>
      </c>
      <c r="H489" s="73" t="s">
        <v>1051</v>
      </c>
      <c r="I489" s="135" t="s">
        <v>1592</v>
      </c>
      <c r="J489" s="73" t="s">
        <v>14</v>
      </c>
      <c r="K489" s="73" t="s">
        <v>1290</v>
      </c>
      <c r="M489" s="84" t="s">
        <v>1594</v>
      </c>
      <c r="N489" s="84"/>
      <c r="O489" s="85">
        <f t="shared" si="40"/>
        <v>28</v>
      </c>
      <c r="P489" s="136" t="s">
        <v>2134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476</v>
      </c>
      <c r="G490" s="73" t="s">
        <v>1605</v>
      </c>
      <c r="H490" s="73" t="s">
        <v>1051</v>
      </c>
      <c r="I490" s="135" t="s">
        <v>1598</v>
      </c>
      <c r="J490" s="73" t="s">
        <v>18</v>
      </c>
      <c r="K490" s="73" t="s">
        <v>1290</v>
      </c>
      <c r="M490" s="84" t="s">
        <v>1606</v>
      </c>
      <c r="N490" s="84"/>
      <c r="O490" s="85">
        <f t="shared" si="40"/>
        <v>24</v>
      </c>
      <c r="P490" s="136" t="s">
        <v>2135</v>
      </c>
      <c r="Q490" s="85">
        <f t="shared" si="41"/>
        <v>4</v>
      </c>
      <c r="R490" s="86">
        <f t="shared" si="42"/>
        <v>0.8571428571428571</v>
      </c>
      <c r="S490" s="70"/>
      <c r="T490" s="87"/>
      <c r="U490" s="87"/>
      <c r="V490" s="70" t="s">
        <v>2239</v>
      </c>
      <c r="W490" s="70" t="s">
        <v>2239</v>
      </c>
      <c r="X490" s="70" t="s">
        <v>2239</v>
      </c>
      <c r="Y490" s="70" t="s">
        <v>2239</v>
      </c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476</v>
      </c>
      <c r="G491" s="73" t="s">
        <v>1600</v>
      </c>
      <c r="H491" s="73" t="s">
        <v>1051</v>
      </c>
      <c r="I491" s="135" t="s">
        <v>1599</v>
      </c>
      <c r="J491" s="73" t="s">
        <v>1103</v>
      </c>
      <c r="K491" s="73" t="s">
        <v>1290</v>
      </c>
      <c r="M491" s="84" t="s">
        <v>1604</v>
      </c>
      <c r="N491" s="84"/>
      <c r="O491" s="85">
        <f t="shared" si="40"/>
        <v>28</v>
      </c>
      <c r="P491" s="136" t="s">
        <v>2136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476</v>
      </c>
      <c r="G492" s="73" t="s">
        <v>1601</v>
      </c>
      <c r="H492" s="73" t="s">
        <v>1051</v>
      </c>
      <c r="I492" s="135" t="s">
        <v>1602</v>
      </c>
      <c r="J492" s="73" t="s">
        <v>1103</v>
      </c>
      <c r="K492" s="73" t="s">
        <v>1290</v>
      </c>
      <c r="M492" s="84" t="s">
        <v>1603</v>
      </c>
      <c r="N492" s="84"/>
      <c r="O492" s="85">
        <f t="shared" si="40"/>
        <v>28</v>
      </c>
      <c r="P492" s="136" t="s">
        <v>2137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476</v>
      </c>
      <c r="G493" s="73" t="s">
        <v>2248</v>
      </c>
      <c r="H493" s="73" t="s">
        <v>1051</v>
      </c>
      <c r="I493" s="135" t="s">
        <v>2249</v>
      </c>
      <c r="J493" s="30" t="s">
        <v>14</v>
      </c>
      <c r="K493" s="73" t="s">
        <v>1290</v>
      </c>
      <c r="M493" s="84" t="s">
        <v>2271</v>
      </c>
      <c r="N493" s="84"/>
      <c r="O493" s="85">
        <f t="shared" si="40"/>
        <v>28</v>
      </c>
      <c r="P493" s="136" t="s">
        <v>2272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1052</v>
      </c>
      <c r="I494" s="73" t="s">
        <v>495</v>
      </c>
      <c r="J494" s="84" t="s">
        <v>18</v>
      </c>
      <c r="K494" s="84" t="s">
        <v>1290</v>
      </c>
      <c r="L494" s="84"/>
      <c r="M494" s="84" t="s">
        <v>828</v>
      </c>
      <c r="N494" s="84"/>
      <c r="O494" s="131">
        <f t="shared" si="40"/>
        <v>28</v>
      </c>
      <c r="P494" s="136" t="s">
        <v>2018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1052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 t="shared" si="40"/>
        <v>28</v>
      </c>
      <c r="P495" s="136"/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2392</v>
      </c>
      <c r="F496" t="s">
        <v>226</v>
      </c>
      <c r="G496" t="s">
        <v>1023</v>
      </c>
      <c r="H496" t="s">
        <v>1052</v>
      </c>
      <c r="I496" t="s">
        <v>506</v>
      </c>
      <c r="J496" s="30" t="s">
        <v>72</v>
      </c>
      <c r="K496" s="30" t="s">
        <v>27</v>
      </c>
      <c r="L496" s="30"/>
      <c r="M496" s="30" t="s">
        <v>835</v>
      </c>
      <c r="N496" s="30"/>
      <c r="O496" s="31">
        <f t="shared" si="40"/>
        <v>28</v>
      </c>
      <c r="P496" s="136" t="s">
        <v>2020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2392</v>
      </c>
      <c r="F497" t="s">
        <v>226</v>
      </c>
      <c r="G497" t="s">
        <v>1024</v>
      </c>
      <c r="H497" t="s">
        <v>1052</v>
      </c>
      <c r="I497" t="s">
        <v>506</v>
      </c>
      <c r="J497" s="30" t="s">
        <v>72</v>
      </c>
      <c r="K497" s="30" t="s">
        <v>27</v>
      </c>
      <c r="L497" s="30"/>
      <c r="M497" s="30" t="s">
        <v>836</v>
      </c>
      <c r="N497" s="30"/>
      <c r="O497" s="31">
        <f t="shared" si="40"/>
        <v>28</v>
      </c>
      <c r="P497" s="136" t="s">
        <v>2021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226</v>
      </c>
      <c r="G498" t="s">
        <v>498</v>
      </c>
      <c r="H498" t="s">
        <v>1052</v>
      </c>
      <c r="I498" t="s">
        <v>499</v>
      </c>
      <c r="J498" s="30" t="s">
        <v>72</v>
      </c>
      <c r="K498" s="30" t="s">
        <v>19</v>
      </c>
      <c r="L498" s="30"/>
      <c r="M498" s="30" t="s">
        <v>830</v>
      </c>
      <c r="N498" s="30"/>
      <c r="O498" s="31">
        <f t="shared" si="40"/>
        <v>28</v>
      </c>
      <c r="P498" s="136"/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226</v>
      </c>
      <c r="G499" t="s">
        <v>500</v>
      </c>
      <c r="H499" t="s">
        <v>1052</v>
      </c>
      <c r="I499" t="s">
        <v>499</v>
      </c>
      <c r="J499" s="30" t="s">
        <v>72</v>
      </c>
      <c r="K499" s="30" t="s">
        <v>19</v>
      </c>
      <c r="L499" s="30"/>
      <c r="M499" s="30" t="s">
        <v>831</v>
      </c>
      <c r="N499" s="30"/>
      <c r="O499" s="31">
        <f t="shared" si="40"/>
        <v>26</v>
      </c>
      <c r="P499" s="136"/>
      <c r="Q499" s="31">
        <f t="shared" si="41"/>
        <v>2</v>
      </c>
      <c r="R499" s="32">
        <f t="shared" si="42"/>
        <v>0.9285714285714286</v>
      </c>
      <c r="S499" s="70"/>
      <c r="T499" s="70"/>
      <c r="U499" s="70"/>
      <c r="V499" s="70"/>
      <c r="W499" s="70"/>
      <c r="X499" s="70" t="s">
        <v>2239</v>
      </c>
      <c r="Y499" s="70" t="s">
        <v>2239</v>
      </c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226</v>
      </c>
      <c r="G500" t="s">
        <v>501</v>
      </c>
      <c r="H500" t="s">
        <v>1052</v>
      </c>
      <c r="I500" t="s">
        <v>502</v>
      </c>
      <c r="J500" s="30" t="s">
        <v>72</v>
      </c>
      <c r="K500" s="30" t="s">
        <v>19</v>
      </c>
      <c r="L500" s="30"/>
      <c r="M500" s="30" t="s">
        <v>832</v>
      </c>
      <c r="N500" s="30"/>
      <c r="O500" s="31">
        <f t="shared" si="40"/>
        <v>28</v>
      </c>
      <c r="P500" s="136"/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226</v>
      </c>
      <c r="G501" t="s">
        <v>503</v>
      </c>
      <c r="H501" t="s">
        <v>1052</v>
      </c>
      <c r="I501" t="s">
        <v>502</v>
      </c>
      <c r="J501" s="30" t="s">
        <v>72</v>
      </c>
      <c r="K501" s="30" t="s">
        <v>19</v>
      </c>
      <c r="L501" s="30"/>
      <c r="M501" s="30" t="s">
        <v>833</v>
      </c>
      <c r="N501" s="30"/>
      <c r="O501" s="31">
        <f t="shared" si="40"/>
        <v>28</v>
      </c>
      <c r="P501" s="136"/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2394</v>
      </c>
      <c r="C502"/>
      <c r="D502"/>
      <c r="E502" t="s">
        <v>2392</v>
      </c>
      <c r="F502" t="s">
        <v>226</v>
      </c>
      <c r="G502" t="s">
        <v>504</v>
      </c>
      <c r="H502" t="s">
        <v>1052</v>
      </c>
      <c r="I502" t="s">
        <v>505</v>
      </c>
      <c r="J502" s="30" t="s">
        <v>14</v>
      </c>
      <c r="K502" s="30" t="s">
        <v>27</v>
      </c>
      <c r="L502" s="30"/>
      <c r="M502" s="30" t="s">
        <v>834</v>
      </c>
      <c r="N502" s="30"/>
      <c r="O502" s="31">
        <f t="shared" si="40"/>
        <v>28</v>
      </c>
      <c r="P502" s="136" t="s">
        <v>2019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2392</v>
      </c>
      <c r="F503" t="s">
        <v>226</v>
      </c>
      <c r="G503" t="s">
        <v>507</v>
      </c>
      <c r="H503" t="s">
        <v>1052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 t="shared" si="40"/>
        <v>28</v>
      </c>
      <c r="P503" s="136" t="s">
        <v>2022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2392</v>
      </c>
      <c r="F504" t="s">
        <v>226</v>
      </c>
      <c r="G504" t="s">
        <v>509</v>
      </c>
      <c r="H504" t="s">
        <v>1052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 t="shared" si="40"/>
        <v>28</v>
      </c>
      <c r="P504" s="136" t="s">
        <v>2023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2392</v>
      </c>
      <c r="F505" t="s">
        <v>226</v>
      </c>
      <c r="G505" s="30" t="s">
        <v>1084</v>
      </c>
      <c r="H505" s="30" t="s">
        <v>1052</v>
      </c>
      <c r="I505" t="s">
        <v>1085</v>
      </c>
      <c r="J505" s="30" t="s">
        <v>18</v>
      </c>
      <c r="K505" s="30" t="s">
        <v>27</v>
      </c>
      <c r="L505" s="30"/>
      <c r="M505" s="30" t="s">
        <v>1086</v>
      </c>
      <c r="N505" s="30"/>
      <c r="O505" s="31">
        <f t="shared" si="40"/>
        <v>28</v>
      </c>
      <c r="P505" s="136" t="s">
        <v>2024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2392</v>
      </c>
      <c r="F506" t="s">
        <v>226</v>
      </c>
      <c r="G506" s="30" t="s">
        <v>1089</v>
      </c>
      <c r="H506" s="30" t="s">
        <v>1052</v>
      </c>
      <c r="I506" t="s">
        <v>1087</v>
      </c>
      <c r="J506" s="30" t="s">
        <v>18</v>
      </c>
      <c r="K506" s="30" t="s">
        <v>27</v>
      </c>
      <c r="L506" s="30"/>
      <c r="M506" s="30" t="s">
        <v>1088</v>
      </c>
      <c r="N506" s="30"/>
      <c r="O506" s="31">
        <f t="shared" si="40"/>
        <v>28</v>
      </c>
      <c r="P506" s="136" t="s">
        <v>2025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2394</v>
      </c>
      <c r="C507"/>
      <c r="D507"/>
      <c r="E507" t="s">
        <v>2392</v>
      </c>
      <c r="F507" t="s">
        <v>226</v>
      </c>
      <c r="G507" s="30" t="s">
        <v>1090</v>
      </c>
      <c r="H507" s="30" t="s">
        <v>1052</v>
      </c>
      <c r="I507" t="s">
        <v>1091</v>
      </c>
      <c r="J507" s="30" t="s">
        <v>18</v>
      </c>
      <c r="K507" s="30" t="s">
        <v>27</v>
      </c>
      <c r="L507" s="30"/>
      <c r="M507" s="30" t="s">
        <v>1092</v>
      </c>
      <c r="N507" s="30"/>
      <c r="O507" s="31">
        <f t="shared" si="40"/>
        <v>28</v>
      </c>
      <c r="P507" s="136" t="s">
        <v>2026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2350</v>
      </c>
      <c r="F508" t="s">
        <v>511</v>
      </c>
      <c r="G508" t="s">
        <v>1025</v>
      </c>
      <c r="H508" t="s">
        <v>1052</v>
      </c>
      <c r="I508" t="s">
        <v>537</v>
      </c>
      <c r="J508" s="30" t="s">
        <v>18</v>
      </c>
      <c r="K508" s="30" t="s">
        <v>27</v>
      </c>
      <c r="L508" s="30"/>
      <c r="M508" s="30" t="s">
        <v>847</v>
      </c>
      <c r="N508" s="30"/>
      <c r="O508" s="31">
        <f t="shared" si="40"/>
        <v>28</v>
      </c>
      <c r="P508" s="136" t="s">
        <v>2036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515</v>
      </c>
      <c r="G509" t="s">
        <v>1026</v>
      </c>
      <c r="H509" t="s">
        <v>1052</v>
      </c>
      <c r="I509" t="s">
        <v>540</v>
      </c>
      <c r="J509" s="30" t="s">
        <v>14</v>
      </c>
      <c r="K509" s="30" t="s">
        <v>27</v>
      </c>
      <c r="L509" s="30"/>
      <c r="M509" s="30" t="s">
        <v>851</v>
      </c>
      <c r="N509" s="30"/>
      <c r="O509" s="31">
        <f t="shared" si="40"/>
        <v>24</v>
      </c>
      <c r="P509" s="136" t="s">
        <v>2040</v>
      </c>
      <c r="Q509" s="31">
        <f t="shared" si="41"/>
        <v>4</v>
      </c>
      <c r="R509" s="32">
        <f t="shared" si="42"/>
        <v>0.8571428571428571</v>
      </c>
      <c r="S509" s="70"/>
      <c r="T509" s="70"/>
      <c r="U509" s="70"/>
      <c r="V509" s="70" t="s">
        <v>2239</v>
      </c>
      <c r="W509" s="70" t="s">
        <v>2239</v>
      </c>
      <c r="X509" s="70" t="s">
        <v>2239</v>
      </c>
      <c r="Y509" s="70" t="s">
        <v>2239</v>
      </c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2350</v>
      </c>
      <c r="F510" t="s">
        <v>515</v>
      </c>
      <c r="G510" t="s">
        <v>513</v>
      </c>
      <c r="H510" t="s">
        <v>1052</v>
      </c>
      <c r="I510" t="s">
        <v>514</v>
      </c>
      <c r="J510" s="30" t="s">
        <v>14</v>
      </c>
      <c r="K510" s="30" t="s">
        <v>1045</v>
      </c>
      <c r="L510" s="30" t="s">
        <v>1249</v>
      </c>
      <c r="M510" s="30" t="s">
        <v>852</v>
      </c>
      <c r="N510" s="30"/>
      <c r="O510" s="31">
        <f t="shared" si="40"/>
        <v>28</v>
      </c>
      <c r="P510" s="136" t="s">
        <v>2041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1245</v>
      </c>
      <c r="F511" t="s">
        <v>515</v>
      </c>
      <c r="G511" t="s">
        <v>516</v>
      </c>
      <c r="H511" t="s">
        <v>1052</v>
      </c>
      <c r="I511" t="s">
        <v>517</v>
      </c>
      <c r="J511" s="30" t="s">
        <v>14</v>
      </c>
      <c r="K511" s="30" t="s">
        <v>1045</v>
      </c>
      <c r="L511" s="30" t="s">
        <v>1245</v>
      </c>
      <c r="M511" s="30" t="s">
        <v>853</v>
      </c>
      <c r="N511" s="30"/>
      <c r="O511" s="31">
        <f t="shared" si="40"/>
        <v>28</v>
      </c>
      <c r="P511" s="136" t="s">
        <v>2042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515</v>
      </c>
      <c r="G512" t="s">
        <v>518</v>
      </c>
      <c r="H512" t="s">
        <v>1052</v>
      </c>
      <c r="I512" t="s">
        <v>1079</v>
      </c>
      <c r="J512" s="30" t="s">
        <v>14</v>
      </c>
      <c r="K512" s="30" t="s">
        <v>1045</v>
      </c>
      <c r="L512" s="30" t="s">
        <v>1250</v>
      </c>
      <c r="M512" s="30" t="s">
        <v>854</v>
      </c>
      <c r="N512" s="30"/>
      <c r="O512" s="31">
        <f t="shared" si="40"/>
        <v>24</v>
      </c>
      <c r="P512" s="136" t="s">
        <v>2043</v>
      </c>
      <c r="Q512" s="31">
        <f t="shared" si="41"/>
        <v>4</v>
      </c>
      <c r="R512" s="32">
        <f t="shared" si="42"/>
        <v>0.8571428571428571</v>
      </c>
      <c r="S512" s="70"/>
      <c r="T512" s="70"/>
      <c r="U512" s="70"/>
      <c r="V512" s="70" t="s">
        <v>2239</v>
      </c>
      <c r="W512" s="70" t="s">
        <v>2239</v>
      </c>
      <c r="X512" s="70" t="s">
        <v>2239</v>
      </c>
      <c r="Y512" s="70" t="s">
        <v>2239</v>
      </c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515</v>
      </c>
      <c r="G513" s="73" t="s">
        <v>521</v>
      </c>
      <c r="H513" s="73" t="s">
        <v>1052</v>
      </c>
      <c r="I513" s="73" t="s">
        <v>522</v>
      </c>
      <c r="J513" s="84" t="s">
        <v>45</v>
      </c>
      <c r="K513" s="84" t="s">
        <v>1290</v>
      </c>
      <c r="L513" s="84"/>
      <c r="M513" s="84" t="s">
        <v>1354</v>
      </c>
      <c r="N513" s="84"/>
      <c r="O513" s="131">
        <f t="shared" si="40"/>
        <v>28</v>
      </c>
      <c r="P513" s="136" t="s">
        <v>2045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2350</v>
      </c>
      <c r="F514" t="s">
        <v>511</v>
      </c>
      <c r="G514" t="s">
        <v>1027</v>
      </c>
      <c r="H514" t="s">
        <v>1052</v>
      </c>
      <c r="I514" t="s">
        <v>541</v>
      </c>
      <c r="J514" s="30" t="s">
        <v>72</v>
      </c>
      <c r="K514" s="30" t="s">
        <v>27</v>
      </c>
      <c r="L514" s="30"/>
      <c r="M514" s="30" t="s">
        <v>857</v>
      </c>
      <c r="N514" s="30"/>
      <c r="O514" s="31">
        <f t="shared" si="40"/>
        <v>28</v>
      </c>
      <c r="P514" s="136" t="s">
        <v>2046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2350</v>
      </c>
      <c r="F515" t="s">
        <v>511</v>
      </c>
      <c r="G515" t="s">
        <v>1028</v>
      </c>
      <c r="H515" t="s">
        <v>1052</v>
      </c>
      <c r="I515" t="s">
        <v>541</v>
      </c>
      <c r="J515" s="30" t="s">
        <v>72</v>
      </c>
      <c r="K515" s="30" t="s">
        <v>27</v>
      </c>
      <c r="L515" s="30"/>
      <c r="M515" s="30" t="s">
        <v>858</v>
      </c>
      <c r="N515" s="30"/>
      <c r="O515" s="31">
        <f t="shared" si="40"/>
        <v>28</v>
      </c>
      <c r="P515" s="136" t="s">
        <v>2047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/>
      <c r="F516" t="s">
        <v>511</v>
      </c>
      <c r="G516" t="s">
        <v>1134</v>
      </c>
      <c r="H516" t="s">
        <v>1052</v>
      </c>
      <c r="I516" t="s">
        <v>1136</v>
      </c>
      <c r="J516" s="30" t="s">
        <v>72</v>
      </c>
      <c r="K516" s="30" t="s">
        <v>27</v>
      </c>
      <c r="L516" s="30"/>
      <c r="M516" s="30" t="s">
        <v>1137</v>
      </c>
      <c r="N516" s="30"/>
      <c r="O516" s="31">
        <f t="shared" si="40"/>
        <v>24</v>
      </c>
      <c r="P516" s="136" t="s">
        <v>2050</v>
      </c>
      <c r="Q516" s="31">
        <f t="shared" si="41"/>
        <v>4</v>
      </c>
      <c r="R516" s="32">
        <f t="shared" si="42"/>
        <v>0.8571428571428571</v>
      </c>
      <c r="S516" s="70"/>
      <c r="T516" s="70"/>
      <c r="U516" s="70"/>
      <c r="V516" s="70" t="s">
        <v>2239</v>
      </c>
      <c r="W516" s="70" t="s">
        <v>2239</v>
      </c>
      <c r="X516" s="70" t="s">
        <v>2239</v>
      </c>
      <c r="Y516" s="70" t="s">
        <v>2239</v>
      </c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/>
      <c r="F517" t="s">
        <v>511</v>
      </c>
      <c r="G517" t="s">
        <v>1135</v>
      </c>
      <c r="H517" t="s">
        <v>1052</v>
      </c>
      <c r="I517" t="s">
        <v>1136</v>
      </c>
      <c r="J517" s="30" t="s">
        <v>1103</v>
      </c>
      <c r="K517" s="30" t="s">
        <v>27</v>
      </c>
      <c r="L517" s="30"/>
      <c r="M517" s="30" t="s">
        <v>1138</v>
      </c>
      <c r="N517" s="30"/>
      <c r="O517" s="31">
        <f t="shared" si="40"/>
        <v>24</v>
      </c>
      <c r="P517" s="136" t="s">
        <v>2051</v>
      </c>
      <c r="Q517" s="31">
        <f t="shared" si="41"/>
        <v>4</v>
      </c>
      <c r="R517" s="32">
        <f t="shared" si="42"/>
        <v>0.8571428571428571</v>
      </c>
      <c r="S517" s="70"/>
      <c r="T517" s="70"/>
      <c r="U517" s="70"/>
      <c r="V517" s="70" t="s">
        <v>2239</v>
      </c>
      <c r="W517" s="70" t="s">
        <v>2239</v>
      </c>
      <c r="X517" s="70" t="s">
        <v>2239</v>
      </c>
      <c r="Y517" s="70" t="s">
        <v>2239</v>
      </c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515</v>
      </c>
      <c r="G518" s="84" t="s">
        <v>1197</v>
      </c>
      <c r="H518" s="84" t="s">
        <v>1052</v>
      </c>
      <c r="I518" s="73" t="s">
        <v>1193</v>
      </c>
      <c r="J518" s="84" t="s">
        <v>14</v>
      </c>
      <c r="K518" s="84" t="s">
        <v>1290</v>
      </c>
      <c r="L518" s="84"/>
      <c r="M518" s="84" t="s">
        <v>1194</v>
      </c>
      <c r="N518" s="84"/>
      <c r="O518" s="131">
        <f t="shared" si="40"/>
        <v>28</v>
      </c>
      <c r="P518" s="136" t="s">
        <v>2052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t="s">
        <v>515</v>
      </c>
      <c r="G519" s="30" t="s">
        <v>1514</v>
      </c>
      <c r="H519" s="30" t="s">
        <v>1052</v>
      </c>
      <c r="I519" t="s">
        <v>1515</v>
      </c>
      <c r="J519" s="30" t="s">
        <v>1103</v>
      </c>
      <c r="K519" s="30" t="s">
        <v>27</v>
      </c>
      <c r="L519" s="30"/>
      <c r="M519" s="30" t="s">
        <v>1516</v>
      </c>
      <c r="N519" s="30"/>
      <c r="O519" s="131">
        <f t="shared" si="40"/>
        <v>24</v>
      </c>
      <c r="P519" s="136" t="s">
        <v>2053</v>
      </c>
      <c r="Q519" s="131">
        <f t="shared" si="41"/>
        <v>4</v>
      </c>
      <c r="R519" s="132">
        <f t="shared" si="42"/>
        <v>0.8571428571428571</v>
      </c>
      <c r="S519" s="70"/>
      <c r="T519" s="70"/>
      <c r="U519" s="70"/>
      <c r="V519" s="70" t="s">
        <v>2239</v>
      </c>
      <c r="W519" s="70" t="s">
        <v>2239</v>
      </c>
      <c r="X519" s="70" t="s">
        <v>2239</v>
      </c>
      <c r="Y519" s="70" t="s">
        <v>2239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515</v>
      </c>
      <c r="G520" s="84" t="s">
        <v>1565</v>
      </c>
      <c r="H520" s="84" t="s">
        <v>1052</v>
      </c>
      <c r="I520" s="73" t="s">
        <v>1566</v>
      </c>
      <c r="J520" s="84" t="s">
        <v>14</v>
      </c>
      <c r="K520" s="84" t="s">
        <v>1290</v>
      </c>
      <c r="L520" s="84"/>
      <c r="M520" s="84" t="s">
        <v>1567</v>
      </c>
      <c r="N520" s="84"/>
      <c r="O520" s="131">
        <f t="shared" si="40"/>
        <v>28</v>
      </c>
      <c r="P520" s="136" t="s">
        <v>2054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t="s">
        <v>515</v>
      </c>
      <c r="G521" t="s">
        <v>523</v>
      </c>
      <c r="H521" t="s">
        <v>1052</v>
      </c>
      <c r="I521" t="s">
        <v>2210</v>
      </c>
      <c r="J521" s="30" t="s">
        <v>18</v>
      </c>
      <c r="K521" s="30" t="s">
        <v>27</v>
      </c>
      <c r="L521" s="30"/>
      <c r="M521" s="30" t="s">
        <v>839</v>
      </c>
      <c r="N521" s="30"/>
      <c r="O521" s="31">
        <f t="shared" ref="O521:O584" si="43">COUNTIF(S521:AT521,"")</f>
        <v>24</v>
      </c>
      <c r="P521" s="136" t="s">
        <v>2027</v>
      </c>
      <c r="Q521" s="31">
        <f t="shared" ref="Q521:Q584" si="44">COUNTIF(S521:AT521,"APAGADO")</f>
        <v>4</v>
      </c>
      <c r="R521" s="32">
        <f t="shared" ref="R521:R584" si="45">(O521)/(Q521+O521)</f>
        <v>0.8571428571428571</v>
      </c>
      <c r="S521" s="70"/>
      <c r="T521" s="70"/>
      <c r="U521" s="70"/>
      <c r="V521" s="70" t="s">
        <v>2239</v>
      </c>
      <c r="W521" s="70" t="s">
        <v>2239</v>
      </c>
      <c r="X521" s="70" t="s">
        <v>2239</v>
      </c>
      <c r="Y521" s="70" t="s">
        <v>2239</v>
      </c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511</v>
      </c>
      <c r="G522" t="s">
        <v>524</v>
      </c>
      <c r="H522" t="s">
        <v>1052</v>
      </c>
      <c r="I522" t="s">
        <v>1080</v>
      </c>
      <c r="J522" s="30" t="s">
        <v>18</v>
      </c>
      <c r="K522" s="30" t="s">
        <v>27</v>
      </c>
      <c r="L522" s="30"/>
      <c r="M522" s="30" t="s">
        <v>840</v>
      </c>
      <c r="N522" s="30"/>
      <c r="O522" s="31">
        <f t="shared" si="43"/>
        <v>24</v>
      </c>
      <c r="P522" s="136" t="s">
        <v>2028</v>
      </c>
      <c r="Q522" s="31">
        <f t="shared" si="44"/>
        <v>4</v>
      </c>
      <c r="R522" s="32">
        <f t="shared" si="45"/>
        <v>0.8571428571428571</v>
      </c>
      <c r="S522" s="70"/>
      <c r="T522" s="70"/>
      <c r="U522" s="70"/>
      <c r="V522" s="70" t="s">
        <v>2239</v>
      </c>
      <c r="W522" s="70" t="s">
        <v>2239</v>
      </c>
      <c r="X522" s="70" t="s">
        <v>2239</v>
      </c>
      <c r="Y522" s="70" t="s">
        <v>2239</v>
      </c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2350</v>
      </c>
      <c r="F523" t="s">
        <v>511</v>
      </c>
      <c r="G523" t="s">
        <v>525</v>
      </c>
      <c r="H523" t="s">
        <v>1052</v>
      </c>
      <c r="I523" t="s">
        <v>526</v>
      </c>
      <c r="J523" s="30" t="s">
        <v>18</v>
      </c>
      <c r="K523" s="30" t="s">
        <v>27</v>
      </c>
      <c r="L523" s="30"/>
      <c r="M523" s="30" t="s">
        <v>841</v>
      </c>
      <c r="N523" s="30"/>
      <c r="O523" s="31">
        <f t="shared" si="43"/>
        <v>28</v>
      </c>
      <c r="P523" s="136" t="s">
        <v>2029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2350</v>
      </c>
      <c r="F524" s="73" t="s">
        <v>511</v>
      </c>
      <c r="G524" s="73" t="s">
        <v>527</v>
      </c>
      <c r="H524" s="73" t="s">
        <v>1052</v>
      </c>
      <c r="I524" s="73" t="s">
        <v>528</v>
      </c>
      <c r="J524" s="84" t="s">
        <v>18</v>
      </c>
      <c r="K524" s="84" t="s">
        <v>27</v>
      </c>
      <c r="L524" s="84"/>
      <c r="M524" s="84" t="s">
        <v>842</v>
      </c>
      <c r="N524" s="84"/>
      <c r="O524" s="31">
        <f t="shared" si="43"/>
        <v>28</v>
      </c>
      <c r="P524" s="136" t="s">
        <v>2030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511</v>
      </c>
      <c r="G525" s="73" t="s">
        <v>529</v>
      </c>
      <c r="H525" s="73" t="s">
        <v>1052</v>
      </c>
      <c r="I525" s="73" t="s">
        <v>530</v>
      </c>
      <c r="J525" s="84" t="s">
        <v>18</v>
      </c>
      <c r="K525" s="84" t="s">
        <v>1290</v>
      </c>
      <c r="L525" s="84"/>
      <c r="M525" s="84" t="s">
        <v>1486</v>
      </c>
      <c r="N525" s="84"/>
      <c r="O525" s="131">
        <f t="shared" si="43"/>
        <v>28</v>
      </c>
      <c r="P525" s="136" t="s">
        <v>2031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511</v>
      </c>
      <c r="G526" t="s">
        <v>531</v>
      </c>
      <c r="H526" t="s">
        <v>1052</v>
      </c>
      <c r="I526" t="s">
        <v>1058</v>
      </c>
      <c r="J526" s="30" t="s">
        <v>18</v>
      </c>
      <c r="K526" s="30" t="s">
        <v>27</v>
      </c>
      <c r="L526" s="30"/>
      <c r="M526" s="30" t="s">
        <v>843</v>
      </c>
      <c r="N526" s="30"/>
      <c r="O526" s="31">
        <f t="shared" si="43"/>
        <v>24</v>
      </c>
      <c r="P526" s="136" t="s">
        <v>2032</v>
      </c>
      <c r="Q526" s="31">
        <f t="shared" si="44"/>
        <v>4</v>
      </c>
      <c r="R526" s="32">
        <f t="shared" si="45"/>
        <v>0.8571428571428571</v>
      </c>
      <c r="S526" s="70"/>
      <c r="T526" s="70"/>
      <c r="U526" s="70"/>
      <c r="V526" s="70" t="s">
        <v>2239</v>
      </c>
      <c r="W526" s="70" t="s">
        <v>2239</v>
      </c>
      <c r="X526" s="70" t="s">
        <v>2239</v>
      </c>
      <c r="Y526" s="70" t="s">
        <v>2239</v>
      </c>
      <c r="Z526" s="70"/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/>
      <c r="F527" t="s">
        <v>511</v>
      </c>
      <c r="G527" t="s">
        <v>532</v>
      </c>
      <c r="H527" t="s">
        <v>1051</v>
      </c>
      <c r="I527" t="s">
        <v>1057</v>
      </c>
      <c r="J527" s="30" t="s">
        <v>18</v>
      </c>
      <c r="K527" s="30" t="s">
        <v>27</v>
      </c>
      <c r="L527" s="30"/>
      <c r="M527" s="30" t="s">
        <v>844</v>
      </c>
      <c r="N527" s="30"/>
      <c r="O527" s="31">
        <f t="shared" si="43"/>
        <v>28</v>
      </c>
      <c r="P527" s="136" t="s">
        <v>2033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515</v>
      </c>
      <c r="G528" s="73" t="s">
        <v>533</v>
      </c>
      <c r="H528" s="73" t="s">
        <v>1052</v>
      </c>
      <c r="I528" s="73" t="s">
        <v>534</v>
      </c>
      <c r="J528" s="84" t="s">
        <v>18</v>
      </c>
      <c r="K528" s="84" t="s">
        <v>1290</v>
      </c>
      <c r="L528" s="84"/>
      <c r="M528" s="84" t="s">
        <v>845</v>
      </c>
      <c r="N528" s="84"/>
      <c r="O528" s="131">
        <f t="shared" si="43"/>
        <v>28</v>
      </c>
      <c r="P528" s="136" t="s">
        <v>2034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1245</v>
      </c>
      <c r="F529" t="s">
        <v>515</v>
      </c>
      <c r="G529" t="s">
        <v>535</v>
      </c>
      <c r="H529" t="s">
        <v>1052</v>
      </c>
      <c r="I529" t="s">
        <v>536</v>
      </c>
      <c r="J529" s="30" t="s">
        <v>18</v>
      </c>
      <c r="K529" s="30" t="s">
        <v>27</v>
      </c>
      <c r="L529" s="30"/>
      <c r="M529" s="30" t="s">
        <v>846</v>
      </c>
      <c r="N529" s="30"/>
      <c r="O529" s="31">
        <f t="shared" si="43"/>
        <v>28</v>
      </c>
      <c r="P529" s="136" t="s">
        <v>2035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515</v>
      </c>
      <c r="G530" t="s">
        <v>538</v>
      </c>
      <c r="H530" t="s">
        <v>1052</v>
      </c>
      <c r="I530" t="s">
        <v>539</v>
      </c>
      <c r="J530" s="30" t="s">
        <v>18</v>
      </c>
      <c r="K530" s="84" t="s">
        <v>1290</v>
      </c>
      <c r="L530" s="30"/>
      <c r="M530" s="30" t="s">
        <v>848</v>
      </c>
      <c r="N530" s="30"/>
      <c r="O530" s="31">
        <f t="shared" si="43"/>
        <v>24</v>
      </c>
      <c r="P530" s="136" t="s">
        <v>2037</v>
      </c>
      <c r="Q530" s="31">
        <f t="shared" si="44"/>
        <v>4</v>
      </c>
      <c r="R530" s="32">
        <f t="shared" si="45"/>
        <v>0.8571428571428571</v>
      </c>
      <c r="S530" s="70"/>
      <c r="T530" s="70"/>
      <c r="U530" s="70"/>
      <c r="V530" s="70" t="s">
        <v>2239</v>
      </c>
      <c r="W530" s="70" t="s">
        <v>2239</v>
      </c>
      <c r="X530" s="70" t="s">
        <v>2239</v>
      </c>
      <c r="Y530" s="70" t="s">
        <v>2239</v>
      </c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515</v>
      </c>
      <c r="G531" t="s">
        <v>1029</v>
      </c>
      <c r="H531" t="s">
        <v>1052</v>
      </c>
      <c r="I531" t="s">
        <v>510</v>
      </c>
      <c r="J531" s="30" t="s">
        <v>14</v>
      </c>
      <c r="K531" s="30" t="s">
        <v>1045</v>
      </c>
      <c r="L531" s="30" t="s">
        <v>1248</v>
      </c>
      <c r="M531" s="30" t="s">
        <v>849</v>
      </c>
      <c r="N531" s="30"/>
      <c r="O531" s="31">
        <f t="shared" si="43"/>
        <v>28</v>
      </c>
      <c r="P531" s="136" t="s">
        <v>2038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511</v>
      </c>
      <c r="G532" t="s">
        <v>1030</v>
      </c>
      <c r="H532" t="s">
        <v>1052</v>
      </c>
      <c r="I532" t="s">
        <v>512</v>
      </c>
      <c r="J532" s="30" t="s">
        <v>18</v>
      </c>
      <c r="K532" s="30" t="s">
        <v>27</v>
      </c>
      <c r="L532" s="30"/>
      <c r="M532" s="30" t="s">
        <v>850</v>
      </c>
      <c r="N532" s="30"/>
      <c r="O532" s="31">
        <f t="shared" si="43"/>
        <v>28</v>
      </c>
      <c r="P532" s="136" t="s">
        <v>2039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2350</v>
      </c>
      <c r="F533" t="s">
        <v>511</v>
      </c>
      <c r="G533" t="s">
        <v>1031</v>
      </c>
      <c r="H533" t="s">
        <v>1052</v>
      </c>
      <c r="I533" t="s">
        <v>519</v>
      </c>
      <c r="J533" s="30" t="s">
        <v>14</v>
      </c>
      <c r="K533" s="30" t="s">
        <v>1045</v>
      </c>
      <c r="L533" s="30" t="s">
        <v>1251</v>
      </c>
      <c r="M533" s="30" t="s">
        <v>855</v>
      </c>
      <c r="N533" s="30"/>
      <c r="O533" s="31">
        <f t="shared" si="43"/>
        <v>28</v>
      </c>
      <c r="P533" s="136" t="s">
        <v>2044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511</v>
      </c>
      <c r="G534" t="s">
        <v>1032</v>
      </c>
      <c r="H534" t="s">
        <v>1052</v>
      </c>
      <c r="I534" t="s">
        <v>520</v>
      </c>
      <c r="J534" s="30" t="s">
        <v>14</v>
      </c>
      <c r="K534" s="30" t="s">
        <v>19</v>
      </c>
      <c r="L534" s="30"/>
      <c r="M534" s="30" t="s">
        <v>856</v>
      </c>
      <c r="N534" s="30"/>
      <c r="O534" s="31">
        <f t="shared" si="43"/>
        <v>28</v>
      </c>
      <c r="P534" s="136"/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/>
      <c r="F535" t="s">
        <v>511</v>
      </c>
      <c r="G535" t="s">
        <v>542</v>
      </c>
      <c r="H535" t="s">
        <v>1051</v>
      </c>
      <c r="I535" t="s">
        <v>543</v>
      </c>
      <c r="J535" s="30" t="s">
        <v>72</v>
      </c>
      <c r="K535" s="30" t="s">
        <v>27</v>
      </c>
      <c r="L535" s="30"/>
      <c r="M535" s="30" t="s">
        <v>667</v>
      </c>
      <c r="N535" s="30"/>
      <c r="O535" s="31">
        <f t="shared" si="43"/>
        <v>28</v>
      </c>
      <c r="P535" s="136" t="s">
        <v>2048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/>
      <c r="F536" t="s">
        <v>511</v>
      </c>
      <c r="G536" t="s">
        <v>544</v>
      </c>
      <c r="H536" t="s">
        <v>1051</v>
      </c>
      <c r="I536" t="s">
        <v>543</v>
      </c>
      <c r="J536" s="30" t="s">
        <v>72</v>
      </c>
      <c r="K536" s="30" t="s">
        <v>27</v>
      </c>
      <c r="L536" s="30"/>
      <c r="M536" s="30" t="s">
        <v>859</v>
      </c>
      <c r="N536" s="30"/>
      <c r="O536" s="31">
        <f t="shared" si="43"/>
        <v>28</v>
      </c>
      <c r="P536" s="136" t="s">
        <v>2049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515</v>
      </c>
      <c r="G537" s="84" t="s">
        <v>1568</v>
      </c>
      <c r="H537" s="84" t="s">
        <v>1052</v>
      </c>
      <c r="I537" s="73" t="s">
        <v>1569</v>
      </c>
      <c r="J537" s="84" t="s">
        <v>14</v>
      </c>
      <c r="K537" s="84" t="s">
        <v>1290</v>
      </c>
      <c r="L537" s="84"/>
      <c r="M537" s="84" t="s">
        <v>1570</v>
      </c>
      <c r="N537" s="84"/>
      <c r="O537" s="131">
        <f t="shared" si="43"/>
        <v>28</v>
      </c>
      <c r="P537" s="136" t="s">
        <v>2055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515</v>
      </c>
      <c r="G538" s="84" t="s">
        <v>2188</v>
      </c>
      <c r="H538" s="84" t="s">
        <v>1052</v>
      </c>
      <c r="I538" s="73" t="s">
        <v>2189</v>
      </c>
      <c r="J538" s="30" t="s">
        <v>72</v>
      </c>
      <c r="K538" s="84" t="s">
        <v>1290</v>
      </c>
      <c r="L538" s="84"/>
      <c r="M538" s="84" t="s">
        <v>2310</v>
      </c>
      <c r="N538" s="84"/>
      <c r="O538" s="131">
        <f t="shared" si="43"/>
        <v>28</v>
      </c>
      <c r="P538" s="136" t="s">
        <v>2190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515</v>
      </c>
      <c r="G539" s="84" t="s">
        <v>2191</v>
      </c>
      <c r="H539" s="84" t="s">
        <v>1052</v>
      </c>
      <c r="I539" s="73" t="s">
        <v>2192</v>
      </c>
      <c r="J539" s="84" t="s">
        <v>14</v>
      </c>
      <c r="K539" s="84" t="s">
        <v>1290</v>
      </c>
      <c r="L539" s="84"/>
      <c r="M539" s="84" t="s">
        <v>2311</v>
      </c>
      <c r="N539" s="84"/>
      <c r="O539" s="131">
        <f t="shared" si="43"/>
        <v>28</v>
      </c>
      <c r="P539" s="136" t="s">
        <v>2193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2378</v>
      </c>
      <c r="F540" t="s">
        <v>406</v>
      </c>
      <c r="G540" t="s">
        <v>1033</v>
      </c>
      <c r="H540" t="s">
        <v>1051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2283</v>
      </c>
      <c r="O540" s="31">
        <f t="shared" si="43"/>
        <v>28</v>
      </c>
      <c r="P540" s="136" t="s">
        <v>2056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2378</v>
      </c>
      <c r="F541" t="s">
        <v>291</v>
      </c>
      <c r="G541" t="s">
        <v>1034</v>
      </c>
      <c r="H541" t="s">
        <v>1051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2283</v>
      </c>
      <c r="O541" s="31">
        <f t="shared" si="43"/>
        <v>28</v>
      </c>
      <c r="P541" s="136" t="s">
        <v>2057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2378</v>
      </c>
      <c r="F542" s="73" t="s">
        <v>406</v>
      </c>
      <c r="G542" s="73" t="s">
        <v>545</v>
      </c>
      <c r="H542" s="88" t="s">
        <v>1051</v>
      </c>
      <c r="I542" s="73" t="s">
        <v>546</v>
      </c>
      <c r="J542" s="89" t="s">
        <v>18</v>
      </c>
      <c r="K542" s="84" t="s">
        <v>27</v>
      </c>
      <c r="L542" s="84"/>
      <c r="M542" s="84" t="s">
        <v>866</v>
      </c>
      <c r="N542" s="84" t="s">
        <v>2283</v>
      </c>
      <c r="O542" s="31">
        <f t="shared" si="43"/>
        <v>24</v>
      </c>
      <c r="P542" s="136"/>
      <c r="Q542" s="31">
        <f t="shared" si="44"/>
        <v>4</v>
      </c>
      <c r="R542" s="32">
        <f t="shared" si="45"/>
        <v>0.8571428571428571</v>
      </c>
      <c r="S542" s="70"/>
      <c r="T542" s="70"/>
      <c r="U542" s="70"/>
      <c r="V542" s="70" t="s">
        <v>2239</v>
      </c>
      <c r="W542" s="70" t="s">
        <v>2239</v>
      </c>
      <c r="X542" s="70" t="s">
        <v>2239</v>
      </c>
      <c r="Y542" s="70" t="s">
        <v>2239</v>
      </c>
      <c r="Z542" s="70"/>
      <c r="AA542" s="70"/>
      <c r="AB542" s="70"/>
      <c r="AC542" s="70"/>
      <c r="AD542" s="70"/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2378</v>
      </c>
      <c r="F543" t="s">
        <v>406</v>
      </c>
      <c r="G543" t="s">
        <v>549</v>
      </c>
      <c r="H543" t="s">
        <v>1051</v>
      </c>
      <c r="I543" t="s">
        <v>550</v>
      </c>
      <c r="J543" s="30" t="s">
        <v>72</v>
      </c>
      <c r="K543" s="30" t="s">
        <v>27</v>
      </c>
      <c r="L543" s="30"/>
      <c r="M543" s="30" t="s">
        <v>860</v>
      </c>
      <c r="N543" s="30" t="s">
        <v>2283</v>
      </c>
      <c r="O543" s="31">
        <f t="shared" si="43"/>
        <v>28</v>
      </c>
      <c r="P543" s="136" t="s">
        <v>2058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2378</v>
      </c>
      <c r="F544" t="s">
        <v>406</v>
      </c>
      <c r="G544" t="s">
        <v>551</v>
      </c>
      <c r="H544" t="s">
        <v>1051</v>
      </c>
      <c r="I544" t="s">
        <v>550</v>
      </c>
      <c r="J544" s="30" t="s">
        <v>72</v>
      </c>
      <c r="K544" s="30" t="s">
        <v>27</v>
      </c>
      <c r="L544" s="30"/>
      <c r="M544" s="30" t="s">
        <v>861</v>
      </c>
      <c r="N544" s="30" t="s">
        <v>2283</v>
      </c>
      <c r="O544" s="31">
        <f t="shared" si="43"/>
        <v>28</v>
      </c>
      <c r="P544" s="136" t="s">
        <v>2059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2378</v>
      </c>
      <c r="F545" t="s">
        <v>406</v>
      </c>
      <c r="G545" t="s">
        <v>552</v>
      </c>
      <c r="H545" t="s">
        <v>1051</v>
      </c>
      <c r="I545" t="s">
        <v>553</v>
      </c>
      <c r="J545" s="30" t="s">
        <v>72</v>
      </c>
      <c r="K545" s="30" t="s">
        <v>27</v>
      </c>
      <c r="L545" s="30"/>
      <c r="M545" s="30" t="s">
        <v>864</v>
      </c>
      <c r="N545" s="30" t="s">
        <v>2283</v>
      </c>
      <c r="O545" s="31">
        <f t="shared" si="43"/>
        <v>28</v>
      </c>
      <c r="P545" s="136" t="s">
        <v>2060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2378</v>
      </c>
      <c r="F546" t="s">
        <v>406</v>
      </c>
      <c r="G546" t="s">
        <v>554</v>
      </c>
      <c r="H546" t="s">
        <v>1051</v>
      </c>
      <c r="I546" t="s">
        <v>553</v>
      </c>
      <c r="J546" s="30" t="s">
        <v>72</v>
      </c>
      <c r="K546" s="30" t="s">
        <v>27</v>
      </c>
      <c r="L546" s="30"/>
      <c r="M546" s="30" t="s">
        <v>865</v>
      </c>
      <c r="N546" s="30" t="s">
        <v>2283</v>
      </c>
      <c r="O546" s="31">
        <f t="shared" si="43"/>
        <v>28</v>
      </c>
      <c r="P546" s="136" t="s">
        <v>2061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2378</v>
      </c>
      <c r="F547" s="73" t="s">
        <v>406</v>
      </c>
      <c r="G547" s="73" t="s">
        <v>555</v>
      </c>
      <c r="H547" s="88" t="s">
        <v>1051</v>
      </c>
      <c r="I547" s="73" t="s">
        <v>556</v>
      </c>
      <c r="J547" s="89" t="s">
        <v>14</v>
      </c>
      <c r="K547" s="84" t="s">
        <v>27</v>
      </c>
      <c r="L547" s="84"/>
      <c r="M547" s="84" t="s">
        <v>1488</v>
      </c>
      <c r="N547" s="84" t="s">
        <v>2283</v>
      </c>
      <c r="O547" s="31">
        <f t="shared" si="43"/>
        <v>28</v>
      </c>
      <c r="P547" s="136" t="s">
        <v>2062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t="s">
        <v>386</v>
      </c>
      <c r="G548" s="30" t="s">
        <v>2148</v>
      </c>
      <c r="H548" s="73" t="s">
        <v>1051</v>
      </c>
      <c r="I548" t="s">
        <v>2149</v>
      </c>
      <c r="J548" s="84" t="s">
        <v>45</v>
      </c>
      <c r="K548" s="30" t="s">
        <v>27</v>
      </c>
      <c r="L548" s="30"/>
      <c r="M548" s="30" t="s">
        <v>2150</v>
      </c>
      <c r="N548" s="30" t="s">
        <v>2283</v>
      </c>
      <c r="O548" s="31">
        <f t="shared" si="43"/>
        <v>24</v>
      </c>
      <c r="P548" s="136" t="s">
        <v>2151</v>
      </c>
      <c r="Q548" s="31">
        <f t="shared" si="44"/>
        <v>4</v>
      </c>
      <c r="R548" s="32">
        <f t="shared" si="45"/>
        <v>0.8571428571428571</v>
      </c>
      <c r="S548" s="70"/>
      <c r="T548" s="70"/>
      <c r="U548" s="70"/>
      <c r="V548" s="70" t="s">
        <v>2239</v>
      </c>
      <c r="W548" s="70" t="s">
        <v>2239</v>
      </c>
      <c r="X548" s="70" t="s">
        <v>2239</v>
      </c>
      <c r="Y548" s="70" t="s">
        <v>2239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480</v>
      </c>
      <c r="G549" s="73" t="s">
        <v>1333</v>
      </c>
      <c r="H549" s="84" t="s">
        <v>1051</v>
      </c>
      <c r="I549" s="73" t="s">
        <v>1334</v>
      </c>
      <c r="J549" s="89" t="s">
        <v>14</v>
      </c>
      <c r="K549" s="84" t="s">
        <v>1290</v>
      </c>
      <c r="L549" s="84"/>
      <c r="M549" s="84" t="s">
        <v>1339</v>
      </c>
      <c r="N549" s="84"/>
      <c r="O549" s="131">
        <f t="shared" si="43"/>
        <v>28</v>
      </c>
      <c r="P549" s="136" t="s">
        <v>2063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/>
      <c r="B550"/>
      <c r="C550"/>
      <c r="D550"/>
      <c r="E550"/>
      <c r="F550" t="s">
        <v>480</v>
      </c>
      <c r="G550" t="s">
        <v>557</v>
      </c>
      <c r="H550" t="s">
        <v>1051</v>
      </c>
      <c r="I550" t="s">
        <v>558</v>
      </c>
      <c r="J550" s="30" t="s">
        <v>18</v>
      </c>
      <c r="K550" s="30" t="s">
        <v>27</v>
      </c>
      <c r="L550" s="30"/>
      <c r="M550" s="30" t="s">
        <v>867</v>
      </c>
      <c r="N550" s="30"/>
      <c r="O550" s="31">
        <f t="shared" si="43"/>
        <v>28</v>
      </c>
      <c r="P550" s="136" t="s">
        <v>2064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480</v>
      </c>
      <c r="G551" s="73" t="s">
        <v>559</v>
      </c>
      <c r="H551" s="73" t="s">
        <v>1051</v>
      </c>
      <c r="I551" s="73" t="s">
        <v>560</v>
      </c>
      <c r="J551" s="84" t="s">
        <v>18</v>
      </c>
      <c r="K551" s="84" t="s">
        <v>1290</v>
      </c>
      <c r="L551" s="84"/>
      <c r="M551" s="84" t="s">
        <v>1357</v>
      </c>
      <c r="N551" s="84"/>
      <c r="O551" s="131">
        <f t="shared" si="43"/>
        <v>24</v>
      </c>
      <c r="P551" s="136" t="s">
        <v>2065</v>
      </c>
      <c r="Q551" s="131">
        <f t="shared" si="44"/>
        <v>4</v>
      </c>
      <c r="R551" s="132">
        <f t="shared" si="45"/>
        <v>0.8571428571428571</v>
      </c>
      <c r="S551" s="70"/>
      <c r="T551" s="70"/>
      <c r="U551" s="70"/>
      <c r="V551" s="70" t="s">
        <v>2239</v>
      </c>
      <c r="W551" s="70" t="s">
        <v>2239</v>
      </c>
      <c r="X551" s="70" t="s">
        <v>2239</v>
      </c>
      <c r="Y551" s="70" t="s">
        <v>2239</v>
      </c>
      <c r="Z551" s="70"/>
      <c r="AA551" s="70"/>
      <c r="AB551" s="70"/>
      <c r="AC551" s="70"/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480</v>
      </c>
      <c r="G552" s="73" t="s">
        <v>561</v>
      </c>
      <c r="H552" s="73" t="s">
        <v>1051</v>
      </c>
      <c r="I552" s="73" t="s">
        <v>562</v>
      </c>
      <c r="J552" s="84" t="s">
        <v>18</v>
      </c>
      <c r="K552" s="84" t="s">
        <v>1290</v>
      </c>
      <c r="L552" s="84"/>
      <c r="M552" s="84" t="s">
        <v>1415</v>
      </c>
      <c r="N552" s="84"/>
      <c r="O552" s="131">
        <f t="shared" si="43"/>
        <v>28</v>
      </c>
      <c r="P552" s="136" t="s">
        <v>2066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2354</v>
      </c>
      <c r="F553" t="s">
        <v>480</v>
      </c>
      <c r="G553" t="s">
        <v>563</v>
      </c>
      <c r="H553" t="s">
        <v>1051</v>
      </c>
      <c r="I553" t="s">
        <v>564</v>
      </c>
      <c r="J553" s="30" t="s">
        <v>18</v>
      </c>
      <c r="K553" s="30" t="s">
        <v>1045</v>
      </c>
      <c r="L553" s="30" t="s">
        <v>1252</v>
      </c>
      <c r="M553" s="30" t="s">
        <v>868</v>
      </c>
      <c r="N553" s="30"/>
      <c r="O553" s="31">
        <f t="shared" si="43"/>
        <v>24</v>
      </c>
      <c r="P553" s="136" t="s">
        <v>2067</v>
      </c>
      <c r="Q553" s="31">
        <f t="shared" si="44"/>
        <v>4</v>
      </c>
      <c r="R553" s="32">
        <f t="shared" si="45"/>
        <v>0.8571428571428571</v>
      </c>
      <c r="S553" s="70"/>
      <c r="T553" s="70"/>
      <c r="U553" s="70"/>
      <c r="V553" s="70" t="s">
        <v>2239</v>
      </c>
      <c r="W553" s="70" t="s">
        <v>2239</v>
      </c>
      <c r="X553" s="70" t="s">
        <v>2239</v>
      </c>
      <c r="Y553" s="70" t="s">
        <v>2239</v>
      </c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476</v>
      </c>
      <c r="G554" s="73" t="s">
        <v>565</v>
      </c>
      <c r="H554" s="73" t="s">
        <v>1051</v>
      </c>
      <c r="I554" s="73" t="s">
        <v>566</v>
      </c>
      <c r="J554" s="84" t="s">
        <v>18</v>
      </c>
      <c r="K554" s="84" t="s">
        <v>1290</v>
      </c>
      <c r="L554" s="84"/>
      <c r="M554" s="84" t="s">
        <v>1487</v>
      </c>
      <c r="N554" s="84"/>
      <c r="O554" s="131">
        <f t="shared" si="43"/>
        <v>28</v>
      </c>
      <c r="P554" s="136" t="s">
        <v>2068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476</v>
      </c>
      <c r="G555" t="s">
        <v>1301</v>
      </c>
      <c r="H555" t="s">
        <v>1051</v>
      </c>
      <c r="I555" t="s">
        <v>2165</v>
      </c>
      <c r="J555" s="84" t="s">
        <v>14</v>
      </c>
      <c r="K555" s="84" t="s">
        <v>1290</v>
      </c>
      <c r="L555" s="30"/>
      <c r="M555" s="30" t="s">
        <v>2312</v>
      </c>
      <c r="N555" s="30"/>
      <c r="O555" s="31">
        <f t="shared" si="43"/>
        <v>24</v>
      </c>
      <c r="P555" s="136" t="s">
        <v>2166</v>
      </c>
      <c r="Q555" s="31">
        <f t="shared" si="44"/>
        <v>4</v>
      </c>
      <c r="R555" s="32">
        <f t="shared" si="45"/>
        <v>0.8571428571428571</v>
      </c>
      <c r="S555" s="70"/>
      <c r="T555" s="70"/>
      <c r="U555" s="70"/>
      <c r="V555" s="70" t="s">
        <v>2239</v>
      </c>
      <c r="W555" s="70" t="s">
        <v>2239</v>
      </c>
      <c r="X555" s="70" t="s">
        <v>2239</v>
      </c>
      <c r="Y555" s="70" t="s">
        <v>2239</v>
      </c>
      <c r="Z555" s="70"/>
      <c r="AA555" s="70"/>
      <c r="AB555" s="70"/>
      <c r="AC555" s="70"/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480</v>
      </c>
      <c r="G556" t="s">
        <v>2107</v>
      </c>
      <c r="H556" t="s">
        <v>1051</v>
      </c>
      <c r="I556" s="73" t="s">
        <v>2108</v>
      </c>
      <c r="J556" s="84" t="s">
        <v>14</v>
      </c>
      <c r="K556" s="84" t="s">
        <v>1290</v>
      </c>
      <c r="L556" s="30"/>
      <c r="M556" s="30" t="s">
        <v>2313</v>
      </c>
      <c r="N556" s="30"/>
      <c r="O556" s="31">
        <f t="shared" si="43"/>
        <v>28</v>
      </c>
      <c r="P556" s="136" t="s">
        <v>2109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2112</v>
      </c>
      <c r="G557" s="73" t="s">
        <v>2110</v>
      </c>
      <c r="H557" t="s">
        <v>1051</v>
      </c>
      <c r="I557" s="73" t="s">
        <v>2111</v>
      </c>
      <c r="J557" s="84" t="s">
        <v>14</v>
      </c>
      <c r="K557" s="84" t="s">
        <v>1290</v>
      </c>
      <c r="L557" s="84"/>
      <c r="M557" s="84" t="s">
        <v>2314</v>
      </c>
      <c r="N557" s="84"/>
      <c r="O557" s="131">
        <f t="shared" si="43"/>
        <v>28</v>
      </c>
      <c r="P557" s="136" t="s">
        <v>2113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567</v>
      </c>
      <c r="G558" s="73" t="s">
        <v>568</v>
      </c>
      <c r="H558" s="73" t="s">
        <v>1052</v>
      </c>
      <c r="I558" s="73" t="s">
        <v>569</v>
      </c>
      <c r="J558" s="84" t="s">
        <v>14</v>
      </c>
      <c r="K558" s="84" t="s">
        <v>1290</v>
      </c>
      <c r="L558" s="84"/>
      <c r="M558" s="84" t="s">
        <v>869</v>
      </c>
      <c r="N558" s="84"/>
      <c r="O558" s="131">
        <f t="shared" si="43"/>
        <v>28</v>
      </c>
      <c r="P558" s="136" t="s">
        <v>2069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567</v>
      </c>
      <c r="G559" s="73" t="s">
        <v>1445</v>
      </c>
      <c r="H559" s="73" t="s">
        <v>1052</v>
      </c>
      <c r="I559" s="73" t="s">
        <v>570</v>
      </c>
      <c r="J559" s="84" t="s">
        <v>14</v>
      </c>
      <c r="K559" s="84" t="s">
        <v>1290</v>
      </c>
      <c r="L559" s="84"/>
      <c r="M559" s="84" t="s">
        <v>870</v>
      </c>
      <c r="N559" s="84"/>
      <c r="O559" s="131">
        <f t="shared" si="43"/>
        <v>28</v>
      </c>
      <c r="P559" s="136" t="s">
        <v>2070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567</v>
      </c>
      <c r="G560" s="73" t="s">
        <v>1035</v>
      </c>
      <c r="H560" s="73" t="s">
        <v>1052</v>
      </c>
      <c r="I560" s="73" t="s">
        <v>571</v>
      </c>
      <c r="J560" s="84" t="s">
        <v>72</v>
      </c>
      <c r="K560" s="84" t="s">
        <v>1290</v>
      </c>
      <c r="L560" s="84"/>
      <c r="M560" s="84" t="s">
        <v>871</v>
      </c>
      <c r="N560" s="84"/>
      <c r="O560" s="131">
        <f t="shared" si="43"/>
        <v>28</v>
      </c>
      <c r="P560" s="136" t="s">
        <v>2071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567</v>
      </c>
      <c r="G561" s="73" t="s">
        <v>1036</v>
      </c>
      <c r="H561" s="73" t="s">
        <v>1052</v>
      </c>
      <c r="I561" s="73" t="s">
        <v>571</v>
      </c>
      <c r="J561" s="84" t="s">
        <v>72</v>
      </c>
      <c r="K561" s="84" t="s">
        <v>1290</v>
      </c>
      <c r="L561" s="84"/>
      <c r="M561" s="84" t="s">
        <v>872</v>
      </c>
      <c r="N561" s="84"/>
      <c r="O561" s="131">
        <f t="shared" si="43"/>
        <v>28</v>
      </c>
      <c r="P561" s="136" t="s">
        <v>2072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567</v>
      </c>
      <c r="G562" s="73" t="s">
        <v>1621</v>
      </c>
      <c r="H562" s="73" t="s">
        <v>1052</v>
      </c>
      <c r="I562" s="73" t="s">
        <v>1628</v>
      </c>
      <c r="J562" s="84" t="s">
        <v>1103</v>
      </c>
      <c r="K562" s="84" t="s">
        <v>27</v>
      </c>
      <c r="L562" s="84"/>
      <c r="M562" s="84" t="s">
        <v>1623</v>
      </c>
      <c r="N562" s="84"/>
      <c r="O562" s="131">
        <f t="shared" si="43"/>
        <v>28</v>
      </c>
      <c r="P562" s="136" t="s">
        <v>2155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567</v>
      </c>
      <c r="G563" s="73" t="s">
        <v>2101</v>
      </c>
      <c r="H563" s="73" t="s">
        <v>1052</v>
      </c>
      <c r="I563" s="73" t="s">
        <v>2102</v>
      </c>
      <c r="J563" s="30" t="s">
        <v>14</v>
      </c>
      <c r="K563" s="84" t="s">
        <v>1290</v>
      </c>
      <c r="L563" s="84"/>
      <c r="M563" s="84" t="s">
        <v>2104</v>
      </c>
      <c r="N563" s="84"/>
      <c r="O563" s="131">
        <f t="shared" si="43"/>
        <v>24</v>
      </c>
      <c r="P563" s="136"/>
      <c r="Q563" s="131">
        <f t="shared" si="44"/>
        <v>4</v>
      </c>
      <c r="R563" s="132">
        <f t="shared" si="45"/>
        <v>0.8571428571428571</v>
      </c>
      <c r="S563" s="70"/>
      <c r="T563" s="70"/>
      <c r="U563" s="70"/>
      <c r="V563" s="70" t="s">
        <v>2239</v>
      </c>
      <c r="W563" s="70" t="s">
        <v>2239</v>
      </c>
      <c r="X563" s="70" t="s">
        <v>2239</v>
      </c>
      <c r="Y563" s="70" t="s">
        <v>2239</v>
      </c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567</v>
      </c>
      <c r="G564" s="73" t="s">
        <v>1634</v>
      </c>
      <c r="H564" s="73" t="s">
        <v>1052</v>
      </c>
      <c r="I564" s="73" t="s">
        <v>1635</v>
      </c>
      <c r="J564" s="84" t="s">
        <v>14</v>
      </c>
      <c r="K564" s="84" t="s">
        <v>1290</v>
      </c>
      <c r="L564" s="84"/>
      <c r="M564" s="84" t="s">
        <v>1636</v>
      </c>
      <c r="N564" s="84"/>
      <c r="O564" s="131">
        <f t="shared" si="43"/>
        <v>28</v>
      </c>
      <c r="P564" s="136" t="s">
        <v>2156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572</v>
      </c>
      <c r="G565" t="s">
        <v>1037</v>
      </c>
      <c r="H565" t="s">
        <v>1052</v>
      </c>
      <c r="I565" t="s">
        <v>573</v>
      </c>
      <c r="J565" s="30" t="s">
        <v>72</v>
      </c>
      <c r="K565" s="84" t="s">
        <v>1290</v>
      </c>
      <c r="L565" s="30"/>
      <c r="M565" s="30" t="s">
        <v>873</v>
      </c>
      <c r="N565" s="30"/>
      <c r="O565" s="31">
        <f t="shared" si="43"/>
        <v>24</v>
      </c>
      <c r="P565" s="136" t="s">
        <v>2152</v>
      </c>
      <c r="Q565" s="31">
        <f t="shared" si="44"/>
        <v>4</v>
      </c>
      <c r="R565" s="32">
        <f t="shared" si="45"/>
        <v>0.8571428571428571</v>
      </c>
      <c r="S565" s="70"/>
      <c r="T565" s="70"/>
      <c r="U565" s="70"/>
      <c r="V565" s="70" t="s">
        <v>2239</v>
      </c>
      <c r="W565" s="70" t="s">
        <v>2239</v>
      </c>
      <c r="X565" s="70" t="s">
        <v>2239</v>
      </c>
      <c r="Y565" s="70" t="s">
        <v>2239</v>
      </c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/>
      <c r="F566" t="s">
        <v>572</v>
      </c>
      <c r="G566" t="s">
        <v>1038</v>
      </c>
      <c r="H566" t="s">
        <v>1052</v>
      </c>
      <c r="I566" t="s">
        <v>574</v>
      </c>
      <c r="J566" s="30" t="s">
        <v>14</v>
      </c>
      <c r="K566" s="30" t="s">
        <v>27</v>
      </c>
      <c r="L566" s="30"/>
      <c r="M566" s="30" t="s">
        <v>874</v>
      </c>
      <c r="N566" s="30"/>
      <c r="O566" s="31">
        <f t="shared" si="43"/>
        <v>28</v>
      </c>
      <c r="P566" s="136" t="s">
        <v>2073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572</v>
      </c>
      <c r="G567" t="s">
        <v>575</v>
      </c>
      <c r="H567" t="s">
        <v>1052</v>
      </c>
      <c r="I567" t="s">
        <v>576</v>
      </c>
      <c r="J567" s="30" t="s">
        <v>72</v>
      </c>
      <c r="K567" s="84" t="s">
        <v>1290</v>
      </c>
      <c r="L567" s="30"/>
      <c r="M567" s="30" t="s">
        <v>875</v>
      </c>
      <c r="N567" s="30"/>
      <c r="O567" s="31">
        <f t="shared" si="43"/>
        <v>24</v>
      </c>
      <c r="P567" s="136" t="s">
        <v>2153</v>
      </c>
      <c r="Q567" s="31">
        <f t="shared" si="44"/>
        <v>4</v>
      </c>
      <c r="R567" s="32">
        <f t="shared" si="45"/>
        <v>0.8571428571428571</v>
      </c>
      <c r="S567" s="70"/>
      <c r="T567" s="70"/>
      <c r="U567" s="70"/>
      <c r="V567" s="70" t="s">
        <v>2239</v>
      </c>
      <c r="W567" s="70" t="s">
        <v>2239</v>
      </c>
      <c r="X567" s="70" t="s">
        <v>2239</v>
      </c>
      <c r="Y567" s="70" t="s">
        <v>2239</v>
      </c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/>
      <c r="F568" t="s">
        <v>572</v>
      </c>
      <c r="G568" t="s">
        <v>577</v>
      </c>
      <c r="H568" t="s">
        <v>1052</v>
      </c>
      <c r="I568" t="s">
        <v>578</v>
      </c>
      <c r="J568" s="30" t="s">
        <v>14</v>
      </c>
      <c r="K568" s="30" t="s">
        <v>27</v>
      </c>
      <c r="L568" s="30"/>
      <c r="M568" s="30" t="s">
        <v>876</v>
      </c>
      <c r="N568" s="30"/>
      <c r="O568" s="31">
        <f t="shared" si="43"/>
        <v>28</v>
      </c>
      <c r="P568" s="136" t="s">
        <v>2074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572</v>
      </c>
      <c r="G569" s="73" t="s">
        <v>579</v>
      </c>
      <c r="H569" s="73" t="s">
        <v>1052</v>
      </c>
      <c r="I569" s="73" t="s">
        <v>580</v>
      </c>
      <c r="J569" s="84" t="s">
        <v>14</v>
      </c>
      <c r="K569" s="84" t="s">
        <v>1290</v>
      </c>
      <c r="L569" s="84"/>
      <c r="M569" s="84" t="s">
        <v>877</v>
      </c>
      <c r="N569" s="84"/>
      <c r="O569" s="131">
        <f t="shared" si="43"/>
        <v>28</v>
      </c>
      <c r="P569" s="136" t="s">
        <v>2075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174</v>
      </c>
      <c r="G570" t="s">
        <v>581</v>
      </c>
      <c r="H570" t="s">
        <v>1052</v>
      </c>
      <c r="I570" t="s">
        <v>1081</v>
      </c>
      <c r="J570" s="30" t="s">
        <v>18</v>
      </c>
      <c r="K570" s="30" t="s">
        <v>19</v>
      </c>
      <c r="L570" s="30"/>
      <c r="M570" s="30" t="s">
        <v>1385</v>
      </c>
      <c r="N570" s="30"/>
      <c r="O570" s="31">
        <f t="shared" si="43"/>
        <v>28</v>
      </c>
      <c r="P570" s="136" t="s">
        <v>2154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2352</v>
      </c>
      <c r="F571" t="s">
        <v>174</v>
      </c>
      <c r="G571" t="s">
        <v>1039</v>
      </c>
      <c r="H571" t="s">
        <v>1052</v>
      </c>
      <c r="I571" t="s">
        <v>1082</v>
      </c>
      <c r="J571" s="30" t="s">
        <v>72</v>
      </c>
      <c r="K571" s="30" t="s">
        <v>27</v>
      </c>
      <c r="L571" s="30"/>
      <c r="M571" s="30" t="s">
        <v>878</v>
      </c>
      <c r="N571" s="30"/>
      <c r="O571" s="31">
        <f t="shared" si="43"/>
        <v>24</v>
      </c>
      <c r="P571" s="136" t="s">
        <v>2076</v>
      </c>
      <c r="Q571" s="31">
        <f t="shared" si="44"/>
        <v>4</v>
      </c>
      <c r="R571" s="32">
        <f t="shared" si="45"/>
        <v>0.8571428571428571</v>
      </c>
      <c r="S571" s="70"/>
      <c r="T571" s="70"/>
      <c r="U571" s="70"/>
      <c r="V571" s="70" t="s">
        <v>2239</v>
      </c>
      <c r="W571" s="70" t="s">
        <v>2239</v>
      </c>
      <c r="X571" s="70" t="s">
        <v>2239</v>
      </c>
      <c r="Y571" s="70" t="s">
        <v>2239</v>
      </c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2352</v>
      </c>
      <c r="F572" t="s">
        <v>174</v>
      </c>
      <c r="G572" t="s">
        <v>1040</v>
      </c>
      <c r="H572" t="s">
        <v>1052</v>
      </c>
      <c r="I572" t="s">
        <v>1082</v>
      </c>
      <c r="J572" s="30" t="s">
        <v>72</v>
      </c>
      <c r="K572" s="30" t="s">
        <v>27</v>
      </c>
      <c r="L572" s="30"/>
      <c r="M572" s="30" t="s">
        <v>879</v>
      </c>
      <c r="N572" s="30"/>
      <c r="O572" s="31">
        <f t="shared" si="43"/>
        <v>24</v>
      </c>
      <c r="P572" s="136" t="s">
        <v>2077</v>
      </c>
      <c r="Q572" s="31">
        <f t="shared" si="44"/>
        <v>4</v>
      </c>
      <c r="R572" s="32">
        <f t="shared" si="45"/>
        <v>0.8571428571428571</v>
      </c>
      <c r="S572" s="70"/>
      <c r="T572" s="70"/>
      <c r="U572" s="70"/>
      <c r="V572" s="70" t="s">
        <v>2239</v>
      </c>
      <c r="W572" s="70" t="s">
        <v>2239</v>
      </c>
      <c r="X572" s="70" t="s">
        <v>2239</v>
      </c>
      <c r="Y572" s="70" t="s">
        <v>2239</v>
      </c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2352</v>
      </c>
      <c r="F573" t="s">
        <v>174</v>
      </c>
      <c r="G573" t="s">
        <v>1041</v>
      </c>
      <c r="H573" t="s">
        <v>1052</v>
      </c>
      <c r="I573" t="s">
        <v>1096</v>
      </c>
      <c r="J573" s="30" t="s">
        <v>14</v>
      </c>
      <c r="K573" s="30" t="s">
        <v>27</v>
      </c>
      <c r="L573" s="30"/>
      <c r="M573" s="30" t="s">
        <v>880</v>
      </c>
      <c r="N573" s="30"/>
      <c r="O573" s="31">
        <f t="shared" si="43"/>
        <v>24</v>
      </c>
      <c r="P573" s="136" t="s">
        <v>2078</v>
      </c>
      <c r="Q573" s="31">
        <f t="shared" si="44"/>
        <v>4</v>
      </c>
      <c r="R573" s="32">
        <f t="shared" si="45"/>
        <v>0.8571428571428571</v>
      </c>
      <c r="S573" s="70"/>
      <c r="T573" s="70"/>
      <c r="U573" s="70"/>
      <c r="V573" s="70" t="s">
        <v>2239</v>
      </c>
      <c r="W573" s="70" t="s">
        <v>2239</v>
      </c>
      <c r="X573" s="70" t="s">
        <v>2239</v>
      </c>
      <c r="Y573" s="70" t="s">
        <v>2239</v>
      </c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/>
      <c r="B574"/>
      <c r="C574"/>
      <c r="D574"/>
      <c r="E574"/>
      <c r="F574" t="s">
        <v>174</v>
      </c>
      <c r="G574" t="s">
        <v>582</v>
      </c>
      <c r="H574" t="s">
        <v>1052</v>
      </c>
      <c r="I574" t="s">
        <v>1083</v>
      </c>
      <c r="J574" s="30" t="s">
        <v>14</v>
      </c>
      <c r="K574" s="30" t="s">
        <v>27</v>
      </c>
      <c r="L574" s="30"/>
      <c r="M574" s="30" t="s">
        <v>1209</v>
      </c>
      <c r="N574" s="30"/>
      <c r="O574" s="31">
        <f t="shared" si="43"/>
        <v>24</v>
      </c>
      <c r="P574" s="136" t="s">
        <v>2079</v>
      </c>
      <c r="Q574" s="31">
        <f t="shared" si="44"/>
        <v>4</v>
      </c>
      <c r="R574" s="32">
        <f t="shared" si="45"/>
        <v>0.8571428571428571</v>
      </c>
      <c r="S574" s="70"/>
      <c r="T574" s="70"/>
      <c r="U574" s="70"/>
      <c r="V574" s="70" t="s">
        <v>2239</v>
      </c>
      <c r="W574" s="70" t="s">
        <v>2239</v>
      </c>
      <c r="X574" s="70" t="s">
        <v>2239</v>
      </c>
      <c r="Y574" s="70" t="s">
        <v>2239</v>
      </c>
      <c r="Z574" s="70"/>
      <c r="AA574" s="70"/>
      <c r="AB574" s="70"/>
      <c r="AC574" s="70"/>
      <c r="AD574" s="70"/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2352</v>
      </c>
      <c r="F575" t="s">
        <v>583</v>
      </c>
      <c r="G575" t="s">
        <v>1042</v>
      </c>
      <c r="H575" t="s">
        <v>1052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 t="shared" si="43"/>
        <v>24</v>
      </c>
      <c r="P575" s="136" t="s">
        <v>2081</v>
      </c>
      <c r="Q575" s="31">
        <f t="shared" si="44"/>
        <v>4</v>
      </c>
      <c r="R575" s="32">
        <f t="shared" si="45"/>
        <v>0.8571428571428571</v>
      </c>
      <c r="S575" s="70"/>
      <c r="T575" s="70"/>
      <c r="U575" s="70"/>
      <c r="V575" s="70" t="s">
        <v>2239</v>
      </c>
      <c r="W575" s="70" t="s">
        <v>2239</v>
      </c>
      <c r="X575" s="70" t="s">
        <v>2239</v>
      </c>
      <c r="Y575" s="70" t="s">
        <v>2239</v>
      </c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2352</v>
      </c>
      <c r="F576" t="s">
        <v>583</v>
      </c>
      <c r="G576" t="s">
        <v>1043</v>
      </c>
      <c r="H576" t="s">
        <v>1052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 t="shared" si="43"/>
        <v>24</v>
      </c>
      <c r="P576" s="136" t="s">
        <v>2082</v>
      </c>
      <c r="Q576" s="31">
        <f t="shared" si="44"/>
        <v>4</v>
      </c>
      <c r="R576" s="32">
        <f t="shared" si="45"/>
        <v>0.8571428571428571</v>
      </c>
      <c r="S576" s="70"/>
      <c r="T576" s="70"/>
      <c r="U576" s="70"/>
      <c r="V576" s="70" t="s">
        <v>2239</v>
      </c>
      <c r="W576" s="70" t="s">
        <v>2239</v>
      </c>
      <c r="X576" s="70" t="s">
        <v>2239</v>
      </c>
      <c r="Y576" s="70" t="s">
        <v>2239</v>
      </c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2352</v>
      </c>
      <c r="F577" t="s">
        <v>583</v>
      </c>
      <c r="G577" t="s">
        <v>584</v>
      </c>
      <c r="H577" t="s">
        <v>1052</v>
      </c>
      <c r="I577" t="s">
        <v>585</v>
      </c>
      <c r="J577" s="30" t="s">
        <v>72</v>
      </c>
      <c r="K577" s="30" t="s">
        <v>27</v>
      </c>
      <c r="L577" s="30"/>
      <c r="M577" s="30" t="s">
        <v>881</v>
      </c>
      <c r="N577" s="30"/>
      <c r="O577" s="31">
        <f t="shared" si="43"/>
        <v>24</v>
      </c>
      <c r="P577" s="136" t="s">
        <v>2080</v>
      </c>
      <c r="Q577" s="31">
        <f t="shared" si="44"/>
        <v>4</v>
      </c>
      <c r="R577" s="32">
        <f t="shared" si="45"/>
        <v>0.8571428571428571</v>
      </c>
      <c r="S577" s="70"/>
      <c r="T577" s="70"/>
      <c r="U577" s="70"/>
      <c r="V577" s="70" t="s">
        <v>2239</v>
      </c>
      <c r="W577" s="70" t="s">
        <v>2239</v>
      </c>
      <c r="X577" s="70" t="s">
        <v>2239</v>
      </c>
      <c r="Y577" s="70" t="s">
        <v>2239</v>
      </c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2352</v>
      </c>
      <c r="F578" t="s">
        <v>583</v>
      </c>
      <c r="G578" t="s">
        <v>587</v>
      </c>
      <c r="H578" t="s">
        <v>1052</v>
      </c>
      <c r="I578" t="s">
        <v>586</v>
      </c>
      <c r="J578" s="30" t="s">
        <v>72</v>
      </c>
      <c r="K578" s="30" t="s">
        <v>27</v>
      </c>
      <c r="L578" s="30"/>
      <c r="M578" s="30" t="s">
        <v>884</v>
      </c>
      <c r="N578" s="30"/>
      <c r="O578" s="31">
        <f t="shared" si="43"/>
        <v>24</v>
      </c>
      <c r="P578" s="136" t="s">
        <v>2083</v>
      </c>
      <c r="Q578" s="31">
        <f t="shared" si="44"/>
        <v>4</v>
      </c>
      <c r="R578" s="32">
        <f t="shared" si="45"/>
        <v>0.8571428571428571</v>
      </c>
      <c r="S578" s="70"/>
      <c r="T578" s="70"/>
      <c r="U578" s="70"/>
      <c r="V578" s="70" t="s">
        <v>2239</v>
      </c>
      <c r="W578" s="70" t="s">
        <v>2239</v>
      </c>
      <c r="X578" s="70" t="s">
        <v>2239</v>
      </c>
      <c r="Y578" s="70" t="s">
        <v>2239</v>
      </c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588</v>
      </c>
      <c r="G579" s="73" t="s">
        <v>589</v>
      </c>
      <c r="H579" s="73" t="s">
        <v>1052</v>
      </c>
      <c r="I579" s="73" t="s">
        <v>590</v>
      </c>
      <c r="J579" s="84" t="s">
        <v>14</v>
      </c>
      <c r="K579" s="84" t="s">
        <v>1290</v>
      </c>
      <c r="L579" s="84"/>
      <c r="M579" s="84" t="s">
        <v>885</v>
      </c>
      <c r="N579" s="84"/>
      <c r="O579" s="131">
        <f t="shared" si="43"/>
        <v>28</v>
      </c>
      <c r="P579" s="136" t="s">
        <v>2169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588</v>
      </c>
      <c r="G580" s="73" t="s">
        <v>2218</v>
      </c>
      <c r="H580" s="73" t="s">
        <v>1052</v>
      </c>
      <c r="I580" s="73" t="s">
        <v>2219</v>
      </c>
      <c r="J580" s="84" t="s">
        <v>14</v>
      </c>
      <c r="K580" s="84" t="s">
        <v>1290</v>
      </c>
      <c r="L580" s="84"/>
      <c r="M580" s="84" t="s">
        <v>2220</v>
      </c>
      <c r="N580" s="84"/>
      <c r="O580" s="131">
        <f t="shared" si="43"/>
        <v>28</v>
      </c>
      <c r="P580" s="136" t="s">
        <v>2221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588</v>
      </c>
      <c r="G581" s="73" t="s">
        <v>2231</v>
      </c>
      <c r="H581" s="73" t="s">
        <v>1052</v>
      </c>
      <c r="I581" s="73" t="s">
        <v>2232</v>
      </c>
      <c r="J581" s="84" t="s">
        <v>14</v>
      </c>
      <c r="K581" s="84" t="s">
        <v>1290</v>
      </c>
      <c r="L581" s="84"/>
      <c r="M581" s="84" t="s">
        <v>2315</v>
      </c>
      <c r="N581" s="84"/>
      <c r="O581" s="131">
        <f t="shared" si="43"/>
        <v>28</v>
      </c>
      <c r="P581" s="136"/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1052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 t="shared" si="43"/>
        <v>28</v>
      </c>
      <c r="P582" s="136" t="s">
        <v>2171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1052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 t="shared" si="43"/>
        <v>28</v>
      </c>
      <c r="P583" s="136" t="s">
        <v>2172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2350</v>
      </c>
      <c r="F584" t="s">
        <v>591</v>
      </c>
      <c r="G584" s="30" t="s">
        <v>1104</v>
      </c>
      <c r="H584" s="30" t="s">
        <v>1052</v>
      </c>
      <c r="I584" t="s">
        <v>1106</v>
      </c>
      <c r="J584" s="30" t="s">
        <v>1103</v>
      </c>
      <c r="K584" s="30" t="s">
        <v>27</v>
      </c>
      <c r="L584" s="30"/>
      <c r="M584" s="30" t="s">
        <v>1111</v>
      </c>
      <c r="N584" s="30"/>
      <c r="O584" s="31">
        <f t="shared" si="43"/>
        <v>28</v>
      </c>
      <c r="P584" s="136" t="s">
        <v>2085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2350</v>
      </c>
      <c r="F585" t="s">
        <v>591</v>
      </c>
      <c r="G585" s="30" t="s">
        <v>1105</v>
      </c>
      <c r="H585" s="30" t="s">
        <v>1052</v>
      </c>
      <c r="I585" t="s">
        <v>1106</v>
      </c>
      <c r="J585" s="30" t="s">
        <v>1103</v>
      </c>
      <c r="K585" s="30" t="s">
        <v>27</v>
      </c>
      <c r="L585" s="30"/>
      <c r="M585" s="30" t="s">
        <v>1112</v>
      </c>
      <c r="N585" s="30"/>
      <c r="O585" s="31">
        <f t="shared" ref="O585:O596" si="46">COUNTIF(S585:AT585,"")</f>
        <v>28</v>
      </c>
      <c r="P585" s="136" t="s">
        <v>2084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2350</v>
      </c>
      <c r="F586" t="s">
        <v>591</v>
      </c>
      <c r="G586" s="30" t="s">
        <v>1190</v>
      </c>
      <c r="H586" s="30" t="s">
        <v>1052</v>
      </c>
      <c r="I586" t="s">
        <v>1191</v>
      </c>
      <c r="J586" s="30" t="s">
        <v>14</v>
      </c>
      <c r="K586" s="30" t="s">
        <v>27</v>
      </c>
      <c r="L586" s="30"/>
      <c r="M586" s="30" t="s">
        <v>1192</v>
      </c>
      <c r="N586" s="30"/>
      <c r="O586" s="31">
        <f t="shared" si="46"/>
        <v>27</v>
      </c>
      <c r="P586" s="136" t="s">
        <v>2086</v>
      </c>
      <c r="Q586" s="31">
        <f t="shared" si="47"/>
        <v>1</v>
      </c>
      <c r="R586" s="32">
        <f t="shared" si="48"/>
        <v>0.9642857142857143</v>
      </c>
      <c r="S586" s="70"/>
      <c r="T586" s="70"/>
      <c r="U586" s="70"/>
      <c r="V586" s="70"/>
      <c r="W586" s="70"/>
      <c r="X586" s="70"/>
      <c r="Y586" s="70" t="s">
        <v>2239</v>
      </c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591</v>
      </c>
      <c r="G587" t="s">
        <v>1044</v>
      </c>
      <c r="H587" t="s">
        <v>1052</v>
      </c>
      <c r="I587" t="s">
        <v>592</v>
      </c>
      <c r="J587" s="30" t="s">
        <v>14</v>
      </c>
      <c r="K587" s="30" t="s">
        <v>19</v>
      </c>
      <c r="L587" s="30"/>
      <c r="M587" s="30" t="s">
        <v>886</v>
      </c>
      <c r="N587" s="30"/>
      <c r="O587" s="31">
        <f t="shared" si="46"/>
        <v>28</v>
      </c>
      <c r="P587" s="136" t="s">
        <v>2170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599</v>
      </c>
      <c r="G588" s="73" t="s">
        <v>597</v>
      </c>
      <c r="H588" s="73" t="s">
        <v>1051</v>
      </c>
      <c r="I588" s="73" t="s">
        <v>598</v>
      </c>
      <c r="J588" s="84" t="s">
        <v>18</v>
      </c>
      <c r="K588" s="84" t="s">
        <v>1290</v>
      </c>
      <c r="L588" s="84"/>
      <c r="M588" s="84" t="s">
        <v>1416</v>
      </c>
      <c r="N588" s="84"/>
      <c r="O588" s="131">
        <f t="shared" si="46"/>
        <v>28</v>
      </c>
      <c r="P588" s="136" t="s">
        <v>2090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599</v>
      </c>
      <c r="G589" s="73" t="s">
        <v>1429</v>
      </c>
      <c r="H589" s="73" t="s">
        <v>1051</v>
      </c>
      <c r="I589" s="73" t="s">
        <v>1430</v>
      </c>
      <c r="J589" s="84" t="s">
        <v>45</v>
      </c>
      <c r="K589" s="84" t="s">
        <v>1290</v>
      </c>
      <c r="L589" s="84"/>
      <c r="M589" s="84" t="s">
        <v>1435</v>
      </c>
      <c r="N589" s="84"/>
      <c r="O589" s="131">
        <f t="shared" si="46"/>
        <v>28</v>
      </c>
      <c r="P589" s="136" t="s">
        <v>2091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599</v>
      </c>
      <c r="G590" s="73" t="s">
        <v>1432</v>
      </c>
      <c r="H590" s="73" t="s">
        <v>1051</v>
      </c>
      <c r="I590" s="73" t="s">
        <v>1431</v>
      </c>
      <c r="J590" s="84" t="s">
        <v>72</v>
      </c>
      <c r="K590" s="84" t="s">
        <v>1290</v>
      </c>
      <c r="L590" s="84"/>
      <c r="M590" s="84" t="s">
        <v>1436</v>
      </c>
      <c r="N590" s="84"/>
      <c r="O590" s="131">
        <f t="shared" si="46"/>
        <v>28</v>
      </c>
      <c r="P590" s="136" t="s">
        <v>2092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599</v>
      </c>
      <c r="G591" s="73" t="s">
        <v>1433</v>
      </c>
      <c r="H591" s="73" t="s">
        <v>1051</v>
      </c>
      <c r="I591" s="73" t="s">
        <v>1434</v>
      </c>
      <c r="J591" s="84" t="s">
        <v>72</v>
      </c>
      <c r="K591" s="84" t="s">
        <v>1290</v>
      </c>
      <c r="L591" s="84"/>
      <c r="M591" s="84" t="s">
        <v>1437</v>
      </c>
      <c r="N591" s="84"/>
      <c r="O591" s="131">
        <f t="shared" si="46"/>
        <v>28</v>
      </c>
      <c r="P591" s="136" t="s">
        <v>2093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599</v>
      </c>
      <c r="G592" s="73" t="s">
        <v>2094</v>
      </c>
      <c r="H592" s="73" t="s">
        <v>1051</v>
      </c>
      <c r="I592" s="73" t="s">
        <v>2095</v>
      </c>
      <c r="J592" s="84" t="s">
        <v>14</v>
      </c>
      <c r="K592" s="84" t="s">
        <v>1290</v>
      </c>
      <c r="L592" s="84"/>
      <c r="M592" s="84" t="s">
        <v>2316</v>
      </c>
      <c r="N592" s="84"/>
      <c r="O592" s="131">
        <f t="shared" si="46"/>
        <v>28</v>
      </c>
      <c r="P592" s="136" t="s">
        <v>2096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599</v>
      </c>
      <c r="G593" s="73" t="s">
        <v>2244</v>
      </c>
      <c r="H593" s="73" t="s">
        <v>1051</v>
      </c>
      <c r="I593" s="73" t="s">
        <v>2245</v>
      </c>
      <c r="J593" s="84" t="s">
        <v>14</v>
      </c>
      <c r="K593" s="84" t="s">
        <v>1290</v>
      </c>
      <c r="L593" s="84"/>
      <c r="M593" s="84" t="s">
        <v>2246</v>
      </c>
      <c r="N593" s="84"/>
      <c r="O593" s="131">
        <f t="shared" si="46"/>
        <v>28</v>
      </c>
      <c r="P593" s="136" t="s">
        <v>2247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599</v>
      </c>
      <c r="G594" s="73" t="s">
        <v>600</v>
      </c>
      <c r="H594" s="73" t="s">
        <v>1052</v>
      </c>
      <c r="I594" s="73" t="s">
        <v>601</v>
      </c>
      <c r="J594" s="84" t="s">
        <v>18</v>
      </c>
      <c r="K594" s="84" t="s">
        <v>1290</v>
      </c>
      <c r="L594" s="84"/>
      <c r="M594" s="84" t="s">
        <v>1358</v>
      </c>
      <c r="N594" s="84"/>
      <c r="O594" s="131">
        <f t="shared" si="46"/>
        <v>28</v>
      </c>
      <c r="P594" s="136" t="s">
        <v>2087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307</v>
      </c>
      <c r="G595" s="73" t="s">
        <v>602</v>
      </c>
      <c r="H595" s="73" t="s">
        <v>1052</v>
      </c>
      <c r="I595" s="73" t="s">
        <v>603</v>
      </c>
      <c r="J595" s="84" t="s">
        <v>18</v>
      </c>
      <c r="K595" s="84" t="s">
        <v>1290</v>
      </c>
      <c r="L595" s="84"/>
      <c r="M595" s="84" t="s">
        <v>1355</v>
      </c>
      <c r="N595" s="84"/>
      <c r="O595" s="131">
        <f t="shared" si="46"/>
        <v>28</v>
      </c>
      <c r="P595" s="136" t="s">
        <v>2088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599</v>
      </c>
      <c r="G596" s="73" t="s">
        <v>604</v>
      </c>
      <c r="H596" s="73" t="s">
        <v>1051</v>
      </c>
      <c r="I596" s="73" t="s">
        <v>605</v>
      </c>
      <c r="J596" s="84" t="s">
        <v>14</v>
      </c>
      <c r="K596" s="84" t="s">
        <v>1290</v>
      </c>
      <c r="L596" s="84"/>
      <c r="M596" s="84" t="s">
        <v>1489</v>
      </c>
      <c r="N596" s="84"/>
      <c r="O596" s="131">
        <f t="shared" si="46"/>
        <v>28</v>
      </c>
      <c r="P596" s="136" t="s">
        <v>2089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12">
      <filters>
        <filter val="10.20.30.51"/>
        <filter val="10.20.30.52"/>
      </filters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A8:AW596">
    <sortCondition ref="G7:G596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77" priority="1969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76" priority="1968" operator="equal">
      <formula>$H$300</formula>
    </cfRule>
  </conditionalFormatting>
  <conditionalFormatting sqref="H1:H597 I20:I21 I164:I165 I224:I225 I260 I284:I287 I297:I299 I403:I407 I419:I421 I424:I425 H679:H1048576">
    <cfRule type="cellIs" dxfId="175" priority="1514" operator="equal">
      <formula>"IPCOMS"</formula>
    </cfRule>
  </conditionalFormatting>
  <conditionalFormatting sqref="J1:J568 J583:J597 J679:J1048576">
    <cfRule type="containsText" dxfId="174" priority="1974" operator="containsText" text="fija">
      <formula>NOT(ISERROR(SEARCH("fija",J1)))</formula>
    </cfRule>
    <cfRule type="containsText" dxfId="173" priority="1975" operator="containsText" text="domo">
      <formula>NOT(ISERROR(SEARCH("domo",J1)))</formula>
    </cfRule>
  </conditionalFormatting>
  <conditionalFormatting sqref="J1:J597 J679:J1048576">
    <cfRule type="cellIs" dxfId="172" priority="1970" operator="equal">
      <formula>$J$10</formula>
    </cfRule>
  </conditionalFormatting>
  <conditionalFormatting sqref="J34:J35 J162:N232 J236:N401">
    <cfRule type="containsText" dxfId="171" priority="1442" operator="containsText" text="Radio">
      <formula>NOT(ISERROR(SEARCH("Radio",J34)))</formula>
    </cfRule>
  </conditionalFormatting>
  <conditionalFormatting sqref="J135:J148 L148:N148">
    <cfRule type="containsText" dxfId="170" priority="1456" operator="containsText" text="Radio">
      <formula>NOT(ISERROR(SEARCH("Radio",J135)))</formula>
    </cfRule>
  </conditionalFormatting>
  <conditionalFormatting sqref="J403:J407">
    <cfRule type="containsText" dxfId="169" priority="1475" operator="containsText" text="Radio">
      <formula>NOT(ISERROR(SEARCH("Radio",J403)))</formula>
    </cfRule>
  </conditionalFormatting>
  <conditionalFormatting sqref="J570">
    <cfRule type="containsText" dxfId="168" priority="1915" operator="containsText" text="fija">
      <formula>NOT(ISERROR(SEARCH("fija",J570)))</formula>
    </cfRule>
    <cfRule type="containsText" dxfId="167" priority="1917" operator="containsText" text="Radio">
      <formula>NOT(ISERROR(SEARCH("Radio",J570)))</formula>
    </cfRule>
    <cfRule type="containsText" dxfId="166" priority="1916" operator="containsText" text="domo">
      <formula>NOT(ISERROR(SEARCH("domo",J570)))</formula>
    </cfRule>
  </conditionalFormatting>
  <conditionalFormatting sqref="J570:J571">
    <cfRule type="containsText" dxfId="165" priority="1911" operator="containsText" text="domo">
      <formula>NOT(ISERROR(SEARCH("domo",J570)))</formula>
    </cfRule>
    <cfRule type="containsText" dxfId="164" priority="1910" operator="containsText" text="fija">
      <formula>NOT(ISERROR(SEARCH("fija",J570)))</formula>
    </cfRule>
  </conditionalFormatting>
  <conditionalFormatting sqref="J571">
    <cfRule type="containsText" dxfId="163" priority="1912" operator="containsText" text="Radio">
      <formula>NOT(ISERROR(SEARCH("Radio",J571)))</formula>
    </cfRule>
    <cfRule type="containsText" dxfId="162" priority="1909" operator="containsText" text="domo">
      <formula>NOT(ISERROR(SEARCH("domo",J571)))</formula>
    </cfRule>
    <cfRule type="containsText" dxfId="161" priority="1908" operator="containsText" text="fija">
      <formula>NOT(ISERROR(SEARCH("fija",J571)))</formula>
    </cfRule>
  </conditionalFormatting>
  <conditionalFormatting sqref="J574">
    <cfRule type="containsText" dxfId="160" priority="1907" operator="containsText" text="Radio">
      <formula>NOT(ISERROR(SEARCH("Radio",J574)))</formula>
    </cfRule>
    <cfRule type="containsText" dxfId="159" priority="1905" operator="containsText" text="fija">
      <formula>NOT(ISERROR(SEARCH("fija",J574)))</formula>
    </cfRule>
    <cfRule type="containsText" dxfId="158" priority="1906" operator="containsText" text="domo">
      <formula>NOT(ISERROR(SEARCH("domo",J574)))</formula>
    </cfRule>
  </conditionalFormatting>
  <conditionalFormatting sqref="J574:J575">
    <cfRule type="containsText" dxfId="157" priority="1901" operator="containsText" text="domo">
      <formula>NOT(ISERROR(SEARCH("domo",J574)))</formula>
    </cfRule>
    <cfRule type="containsText" dxfId="156" priority="1900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55" priority="1902" operator="containsText" text="Radio">
      <formula>NOT(ISERROR(SEARCH("Radio",J48)))</formula>
    </cfRule>
  </conditionalFormatting>
  <conditionalFormatting sqref="J575:J576">
    <cfRule type="containsText" dxfId="154" priority="1895" operator="containsText" text="fija">
      <formula>NOT(ISERROR(SEARCH("fija",J575)))</formula>
    </cfRule>
    <cfRule type="containsText" dxfId="153" priority="1896" operator="containsText" text="domo">
      <formula>NOT(ISERROR(SEARCH("domo",J575)))</formula>
    </cfRule>
  </conditionalFormatting>
  <conditionalFormatting sqref="J576">
    <cfRule type="containsText" dxfId="152" priority="1897" operator="containsText" text="Radio">
      <formula>NOT(ISERROR(SEARCH("Radio",J576)))</formula>
    </cfRule>
  </conditionalFormatting>
  <conditionalFormatting sqref="J576:J577">
    <cfRule type="containsText" dxfId="151" priority="1890" operator="containsText" text="fija">
      <formula>NOT(ISERROR(SEARCH("fija",J576)))</formula>
    </cfRule>
    <cfRule type="containsText" dxfId="150" priority="1891" operator="containsText" text="domo">
      <formula>NOT(ISERROR(SEARCH("domo",J576)))</formula>
    </cfRule>
  </conditionalFormatting>
  <conditionalFormatting sqref="J577">
    <cfRule type="containsText" dxfId="149" priority="1889" operator="containsText" text="domo">
      <formula>NOT(ISERROR(SEARCH("domo",J577)))</formula>
    </cfRule>
    <cfRule type="containsText" dxfId="148" priority="1888" operator="containsText" text="fija">
      <formula>NOT(ISERROR(SEARCH("fija",J577)))</formula>
    </cfRule>
    <cfRule type="containsText" dxfId="147" priority="1892" operator="containsText" text="Radio">
      <formula>NOT(ISERROR(SEARCH("Radio",J577)))</formula>
    </cfRule>
  </conditionalFormatting>
  <conditionalFormatting sqref="J581">
    <cfRule type="containsText" dxfId="146" priority="2187" operator="containsText" text="domo">
      <formula>NOT(ISERROR(SEARCH("domo",J581)))</formula>
    </cfRule>
    <cfRule type="containsText" dxfId="145" priority="2186" operator="containsText" text="fija">
      <formula>NOT(ISERROR(SEARCH("fija",J581)))</formula>
    </cfRule>
  </conditionalFormatting>
  <conditionalFormatting sqref="J584:J587">
    <cfRule type="containsText" dxfId="144" priority="1919" operator="containsText" text="domo">
      <formula>NOT(ISERROR(SEARCH("domo",J584)))</formula>
    </cfRule>
    <cfRule type="containsText" dxfId="143" priority="1918" operator="containsText" text="fija">
      <formula>NOT(ISERROR(SEARCH("fija",J584)))</formula>
    </cfRule>
  </conditionalFormatting>
  <conditionalFormatting sqref="J233:K233">
    <cfRule type="containsText" dxfId="142" priority="1477" operator="containsText" text="Radio">
      <formula>NOT(ISERROR(SEARCH("Radio",J233)))</formula>
    </cfRule>
  </conditionalFormatting>
  <conditionalFormatting sqref="J37:L47">
    <cfRule type="containsText" dxfId="141" priority="1447" operator="containsText" text="Radio">
      <formula>NOT(ISERROR(SEARCH("Radio",J37)))</formula>
    </cfRule>
  </conditionalFormatting>
  <conditionalFormatting sqref="J1:N36">
    <cfRule type="containsText" dxfId="140" priority="1512" operator="containsText" text="Radio">
      <formula>NOT(ISERROR(SEARCH("Radio",J1)))</formula>
    </cfRule>
  </conditionalFormatting>
  <conditionalFormatting sqref="J149:N161">
    <cfRule type="containsText" dxfId="139" priority="1450" operator="containsText" text="Radio">
      <formula>NOT(ISERROR(SEARCH("Radio",J149)))</formula>
    </cfRule>
  </conditionalFormatting>
  <conditionalFormatting sqref="J581:N581 K582">
    <cfRule type="containsText" dxfId="138" priority="2443" operator="containsText" text="Radio">
      <formula>NOT(ISERROR(SEARCH("Radio",J581)))</formula>
    </cfRule>
  </conditionalFormatting>
  <conditionalFormatting sqref="K1:K136 K162:K597 K679:K1048576">
    <cfRule type="cellIs" dxfId="137" priority="1516" operator="equal">
      <formula>"GPON"</formula>
    </cfRule>
    <cfRule type="cellIs" dxfId="136" priority="1515" operator="equal">
      <formula>"GPON"</formula>
    </cfRule>
  </conditionalFormatting>
  <conditionalFormatting sqref="K139">
    <cfRule type="cellIs" dxfId="135" priority="1503" operator="equal">
      <formula>"GPON"</formula>
    </cfRule>
    <cfRule type="cellIs" dxfId="134" priority="1508" operator="equal">
      <formula>"PTP A FO"</formula>
    </cfRule>
    <cfRule type="cellIs" dxfId="133" priority="1507" operator="equal">
      <formula>"PTP A FO"</formula>
    </cfRule>
    <cfRule type="cellIs" dxfId="132" priority="1506" operator="equal">
      <formula>$K$13</formula>
    </cfRule>
    <cfRule type="containsText" dxfId="131" priority="1505" operator="containsText" text="Radio">
      <formula>NOT(ISERROR(SEARCH("Radio",K139)))</formula>
    </cfRule>
    <cfRule type="cellIs" dxfId="130" priority="1504" operator="equal">
      <formula>"GPON"</formula>
    </cfRule>
  </conditionalFormatting>
  <conditionalFormatting sqref="K142:K149">
    <cfRule type="cellIs" dxfId="129" priority="1483" operator="equal">
      <formula>"PTP A FO"</formula>
    </cfRule>
    <cfRule type="cellIs" dxfId="128" priority="1482" operator="equal">
      <formula>"PTP A FO"</formula>
    </cfRule>
    <cfRule type="cellIs" dxfId="127" priority="1481" operator="equal">
      <formula>$K$13</formula>
    </cfRule>
    <cfRule type="containsText" dxfId="126" priority="1480" operator="containsText" text="Radio">
      <formula>NOT(ISERROR(SEARCH("Radio",K142)))</formula>
    </cfRule>
  </conditionalFormatting>
  <conditionalFormatting sqref="K142:K161">
    <cfRule type="cellIs" dxfId="125" priority="1449" operator="equal">
      <formula>"GPON"</formula>
    </cfRule>
    <cfRule type="cellIs" dxfId="124" priority="1448" operator="equal">
      <formula>"GPON"</formula>
    </cfRule>
  </conditionalFormatting>
  <conditionalFormatting sqref="K146:K147">
    <cfRule type="cellIs" dxfId="123" priority="1444" operator="equal">
      <formula>$K$13</formula>
    </cfRule>
    <cfRule type="containsText" dxfId="122" priority="1443" operator="containsText" text="Radio">
      <formula>NOT(ISERROR(SEARCH("Radio",K146)))</formula>
    </cfRule>
    <cfRule type="cellIs" dxfId="121" priority="1446" operator="equal">
      <formula>"PTP A FO"</formula>
    </cfRule>
    <cfRule type="cellIs" dxfId="120" priority="1445" operator="equal">
      <formula>"PTP A FO"</formula>
    </cfRule>
  </conditionalFormatting>
  <conditionalFormatting sqref="K233:K235">
    <cfRule type="cellIs" dxfId="119" priority="1496" operator="equal">
      <formula>"PTP A FO"</formula>
    </cfRule>
    <cfRule type="cellIs" dxfId="118" priority="1494" operator="equal">
      <formula>$K$13</formula>
    </cfRule>
    <cfRule type="cellIs" dxfId="117" priority="1495" operator="equal">
      <formula>"PTP A FO"</formula>
    </cfRule>
  </conditionalFormatting>
  <conditionalFormatting sqref="K234:K235">
    <cfRule type="cellIs" dxfId="116" priority="1491" operator="equal">
      <formula>"PTP A FO"</formula>
    </cfRule>
    <cfRule type="cellIs" dxfId="115" priority="1492" operator="equal">
      <formula>"PTP A FO"</formula>
    </cfRule>
    <cfRule type="cellIs" dxfId="114" priority="1490" operator="equal">
      <formula>$K$13</formula>
    </cfRule>
  </conditionalFormatting>
  <conditionalFormatting sqref="K424:K425">
    <cfRule type="cellIs" dxfId="113" priority="1502" operator="equal">
      <formula>"PTP A FO"</formula>
    </cfRule>
    <cfRule type="cellIs" dxfId="112" priority="1500" operator="equal">
      <formula>$K$13</formula>
    </cfRule>
    <cfRule type="containsText" dxfId="111" priority="1499" operator="containsText" text="Radio">
      <formula>NOT(ISERROR(SEARCH("Radio",K424)))</formula>
    </cfRule>
    <cfRule type="cellIs" dxfId="110" priority="1501" operator="equal">
      <formula>"PTP A FO"</formula>
    </cfRule>
  </conditionalFormatting>
  <conditionalFormatting sqref="K569">
    <cfRule type="containsText" dxfId="109" priority="1565" operator="containsText" text="Radio">
      <formula>NOT(ISERROR(SEARCH("Radio",K569)))</formula>
    </cfRule>
    <cfRule type="cellIs" dxfId="108" priority="1566" operator="equal">
      <formula>"PTP A FO"</formula>
    </cfRule>
  </conditionalFormatting>
  <conditionalFormatting sqref="K1:L134 K135:K136 K162:L232 K236:L423 K424:K425 K426:L568 K581:L581 K582 K583:L597 K679:L1048576">
    <cfRule type="cellIs" dxfId="107" priority="2167" operator="equal">
      <formula>"PTP A FO"</formula>
    </cfRule>
  </conditionalFormatting>
  <conditionalFormatting sqref="K1:L134 K135:K136 K162:L232 K236:L423 K424:K425 K426:L597 K679:L1048576">
    <cfRule type="cellIs" dxfId="106" priority="1972" operator="equal">
      <formula>"PTP A FO"</formula>
    </cfRule>
  </conditionalFormatting>
  <conditionalFormatting sqref="K1:L134 K135:K136 K236:L423 K424:K425 K426:L597 K679:L1048576 K162:L232">
    <cfRule type="cellIs" dxfId="105" priority="1971" operator="equal">
      <formula>$K$13</formula>
    </cfRule>
  </conditionalFormatting>
  <conditionalFormatting sqref="K149:L161">
    <cfRule type="cellIs" dxfId="104" priority="1453" operator="equal">
      <formula>"PTP A FO"</formula>
    </cfRule>
    <cfRule type="cellIs" dxfId="103" priority="1451" operator="equal">
      <formula>$K$13</formula>
    </cfRule>
    <cfRule type="cellIs" dxfId="102" priority="1452" operator="equal">
      <formula>"PTP A FO"</formula>
    </cfRule>
  </conditionalFormatting>
  <conditionalFormatting sqref="L148">
    <cfRule type="cellIs" dxfId="101" priority="1459" operator="equal">
      <formula>"PTP A FO"</formula>
    </cfRule>
    <cfRule type="cellIs" dxfId="100" priority="1458" operator="equal">
      <formula>"PTP A FO"</formula>
    </cfRule>
    <cfRule type="cellIs" dxfId="99" priority="1457" operator="equal">
      <formula>$K$13</formula>
    </cfRule>
  </conditionalFormatting>
  <conditionalFormatting sqref="R7:R597">
    <cfRule type="cellIs" dxfId="98" priority="2403" operator="greaterThan">
      <formula>0.8</formula>
    </cfRule>
    <cfRule type="cellIs" dxfId="97" priority="2402" operator="lessThan">
      <formula>0.8</formula>
    </cfRule>
  </conditionalFormatting>
  <conditionalFormatting sqref="S37:W38">
    <cfRule type="cellIs" dxfId="96" priority="261" operator="equal">
      <formula>"APAGADO"</formula>
    </cfRule>
  </conditionalFormatting>
  <conditionalFormatting sqref="S426:W426 Y426:AV426">
    <cfRule type="cellIs" dxfId="95" priority="200" operator="equal">
      <formula>"APAGADO"</formula>
    </cfRule>
  </conditionalFormatting>
  <conditionalFormatting sqref="S326:Y328">
    <cfRule type="cellIs" dxfId="94" priority="2" operator="equal">
      <formula>"APAGADO"</formula>
    </cfRule>
  </conditionalFormatting>
  <conditionalFormatting sqref="S121:AA121">
    <cfRule type="cellIs" dxfId="93" priority="293" operator="equal">
      <formula>"APAGADO"</formula>
    </cfRule>
  </conditionalFormatting>
  <conditionalFormatting sqref="S39:AT94">
    <cfRule type="cellIs" dxfId="92" priority="79" operator="equal">
      <formula>"APAGADO"</formula>
    </cfRule>
  </conditionalFormatting>
  <conditionalFormatting sqref="S96:AT120">
    <cfRule type="cellIs" dxfId="91" priority="85" operator="equal">
      <formula>"APAGADO"</formula>
    </cfRule>
  </conditionalFormatting>
  <conditionalFormatting sqref="S236:AT325">
    <cfRule type="cellIs" dxfId="90" priority="1" operator="equal">
      <formula>"APAGADO"</formula>
    </cfRule>
  </conditionalFormatting>
  <conditionalFormatting sqref="S329:AT351">
    <cfRule type="cellIs" dxfId="89" priority="54" operator="equal">
      <formula>"APAGADO"</formula>
    </cfRule>
  </conditionalFormatting>
  <conditionalFormatting sqref="S353:AT402">
    <cfRule type="cellIs" dxfId="88" priority="49" operator="equal">
      <formula>"APAGADO"</formula>
    </cfRule>
  </conditionalFormatting>
  <conditionalFormatting sqref="S8:AV36">
    <cfRule type="cellIs" dxfId="87" priority="547" operator="equal">
      <formula>"APAGADO"</formula>
    </cfRule>
  </conditionalFormatting>
  <conditionalFormatting sqref="S122:AV232">
    <cfRule type="cellIs" dxfId="86" priority="80" operator="equal">
      <formula>"APAGADO"</formula>
    </cfRule>
  </conditionalFormatting>
  <conditionalFormatting sqref="S409:AV416">
    <cfRule type="cellIs" dxfId="85" priority="132" operator="equal">
      <formula>"APAGADO"</formula>
    </cfRule>
  </conditionalFormatting>
  <conditionalFormatting sqref="S427:AV597">
    <cfRule type="cellIs" dxfId="84" priority="11" operator="equal">
      <formula>"APAGADO"</formula>
    </cfRule>
  </conditionalFormatting>
  <conditionalFormatting sqref="S679:AV755 AC679:AN1048576">
    <cfRule type="cellIs" dxfId="83" priority="1549" operator="equal">
      <formula>"apagado"</formula>
    </cfRule>
  </conditionalFormatting>
  <conditionalFormatting sqref="S679:AV1048576">
    <cfRule type="containsText" dxfId="82" priority="2099" operator="containsText" text="Caida">
      <formula>NOT(ISERROR(SEARCH("Caida",S679)))</formula>
    </cfRule>
    <cfRule type="notContainsText" dxfId="81" priority="2432" operator="notContains" text="Caida">
      <formula>ISERROR(SEARCH("Caida",S679))</formula>
    </cfRule>
  </conditionalFormatting>
  <conditionalFormatting sqref="U679:U1198">
    <cfRule type="cellIs" dxfId="80" priority="1858" operator="equal">
      <formula>"APAGADO"</formula>
    </cfRule>
    <cfRule type="cellIs" dxfId="79" priority="1754" operator="greaterThan">
      <formula>0.8</formula>
    </cfRule>
    <cfRule type="cellIs" dxfId="78" priority="1731" operator="greaterThan">
      <formula>0.8</formula>
    </cfRule>
    <cfRule type="containsText" dxfId="77" priority="1729" operator="containsText" text="Caida">
      <formula>NOT(ISERROR(SEARCH("Caida",U679)))</formula>
    </cfRule>
    <cfRule type="notContainsText" dxfId="76" priority="1728" operator="notContains" text="Caida">
      <formula>ISERROR(SEARCH("Caida",U679))</formula>
    </cfRule>
    <cfRule type="cellIs" dxfId="75" priority="1730" operator="lessThan">
      <formula>0.8</formula>
    </cfRule>
  </conditionalFormatting>
  <conditionalFormatting sqref="U679:U1048576">
    <cfRule type="cellIs" dxfId="74" priority="1748" operator="equal">
      <formula>$U$16</formula>
    </cfRule>
  </conditionalFormatting>
  <conditionalFormatting sqref="U417:AV423">
    <cfRule type="cellIs" dxfId="73" priority="237" operator="equal">
      <formula>"APAGADO"</formula>
    </cfRule>
  </conditionalFormatting>
  <conditionalFormatting sqref="V234:W234">
    <cfRule type="cellIs" dxfId="72" priority="273" operator="equal">
      <formula>"APAGADO"</formula>
    </cfRule>
  </conditionalFormatting>
  <conditionalFormatting sqref="V408:AG408">
    <cfRule type="cellIs" dxfId="71" priority="241" operator="equal">
      <formula>"APAGADO"</formula>
    </cfRule>
  </conditionalFormatting>
  <conditionalFormatting sqref="X425:X426">
    <cfRule type="cellIs" dxfId="70" priority="129" operator="equal">
      <formula>"APAGADO"</formula>
    </cfRule>
  </conditionalFormatting>
  <conditionalFormatting sqref="X406:Z407">
    <cfRule type="cellIs" dxfId="69" priority="48" operator="equal">
      <formula>"APAGADO"</formula>
    </cfRule>
  </conditionalFormatting>
  <conditionalFormatting sqref="X37:AJ37 S95:AM95 AO95:AT95 AF233:AF235 Z328:AA328 AC328:AT328 S352:AH352 AJ352:AT352 T403:U403 S403:S408 T404:T407 U404:U408 S408:T408 AI408:AK408 AQ408:AR408 S417:T425 AO679:AV1048576">
    <cfRule type="cellIs" dxfId="68" priority="1548" operator="equal">
      <formula>"APAGADO"</formula>
    </cfRule>
  </conditionalFormatting>
  <conditionalFormatting sqref="X38:AK38">
    <cfRule type="cellIs" dxfId="67" priority="1325" operator="equal">
      <formula>"APAGADO"</formula>
    </cfRule>
  </conditionalFormatting>
  <conditionalFormatting sqref="Y425">
    <cfRule type="cellIs" dxfId="66" priority="46" operator="equal">
      <formula>"APAGADO"</formula>
    </cfRule>
  </conditionalFormatting>
  <conditionalFormatting sqref="Z326:AT327">
    <cfRule type="cellIs" dxfId="65" priority="192" operator="equal">
      <formula>"APAGADO"</formula>
    </cfRule>
  </conditionalFormatting>
  <conditionalFormatting sqref="AC121:AV121">
    <cfRule type="cellIs" dxfId="64" priority="461" operator="equal">
      <formula>"APAGADO"</formula>
    </cfRule>
  </conditionalFormatting>
  <conditionalFormatting sqref="AD406">
    <cfRule type="cellIs" dxfId="63" priority="1441" operator="equal">
      <formula>"APAGADO"</formula>
    </cfRule>
  </conditionalFormatting>
  <conditionalFormatting sqref="AE406:AG407">
    <cfRule type="cellIs" dxfId="62" priority="1425" operator="equal">
      <formula>"APAGADO"</formula>
    </cfRule>
  </conditionalFormatting>
  <conditionalFormatting sqref="AH406:AH408">
    <cfRule type="cellIs" dxfId="61" priority="1402" operator="equal">
      <formula>"APAGADO"</formula>
    </cfRule>
  </conditionalFormatting>
  <conditionalFormatting sqref="AH234:AI234">
    <cfRule type="cellIs" dxfId="60" priority="1330" operator="equal">
      <formula>"APAGADO"</formula>
    </cfRule>
  </conditionalFormatting>
  <conditionalFormatting sqref="AI406:AI407">
    <cfRule type="cellIs" dxfId="59" priority="1294" operator="equal">
      <formula>"APAGADO"</formula>
    </cfRule>
  </conditionalFormatting>
  <conditionalFormatting sqref="AL234:AP234">
    <cfRule type="cellIs" dxfId="58" priority="871" operator="equal">
      <formula>"APAGADO"</formula>
    </cfRule>
  </conditionalFormatting>
  <conditionalFormatting sqref="AL406:AP408">
    <cfRule type="cellIs" dxfId="57" priority="852" operator="equal">
      <formula>"APAGADO"</formula>
    </cfRule>
  </conditionalFormatting>
  <conditionalFormatting sqref="AL37:AV38">
    <cfRule type="cellIs" dxfId="56" priority="468" operator="equal">
      <formula>"APAGADO"</formula>
    </cfRule>
  </conditionalFormatting>
  <conditionalFormatting sqref="AR234:AV234">
    <cfRule type="cellIs" dxfId="55" priority="442" operator="equal">
      <formula>"APAGADO"</formula>
    </cfRule>
  </conditionalFormatting>
  <conditionalFormatting sqref="AS407:AS408">
    <cfRule type="cellIs" dxfId="54" priority="714" operator="equal">
      <formula>"APAGADO"</formula>
    </cfRule>
  </conditionalFormatting>
  <conditionalFormatting sqref="AT408:AU408">
    <cfRule type="cellIs" dxfId="53" priority="600" operator="equal">
      <formula>"APAGADO"</formula>
    </cfRule>
  </conditionalFormatting>
  <conditionalFormatting sqref="AU39:AV120">
    <cfRule type="cellIs" dxfId="52" priority="462" operator="equal">
      <formula>"APAGADO"</formula>
    </cfRule>
  </conditionalFormatting>
  <conditionalFormatting sqref="AU236:AV402">
    <cfRule type="cellIs" dxfId="51" priority="391" operator="equal">
      <formula>"APAGADO"</formula>
    </cfRule>
  </conditionalFormatting>
  <conditionalFormatting sqref="AV406:AV408">
    <cfRule type="cellIs" dxfId="50" priority="410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1292</v>
      </c>
      <c r="D1" s="29">
        <f>COUNTIFS(A5:A602,"=paradas seguras")/2</f>
        <v>0</v>
      </c>
      <c r="E1" s="77" t="s">
        <v>1293</v>
      </c>
      <c r="F1" s="77"/>
      <c r="G1" s="77"/>
      <c r="H1" s="78">
        <f>COUNTIFS(A5:A602,"=paradas seguras")</f>
        <v>0</v>
      </c>
      <c r="I1" s="79" t="s">
        <v>1294</v>
      </c>
      <c r="J1" s="79"/>
      <c r="K1" s="80">
        <f>COUNTIFS(D5:D602,"=GFIJA")</f>
        <v>0</v>
      </c>
      <c r="L1" s="81" t="s">
        <v>1295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1511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>
        <f>'RESUMEN TOTAL'!Z205</f>
        <v>0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>
        <f>'RESUMEN TOTAL'!Z428</f>
        <v>0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>
        <f>'RESUMEN TOTAL'!Z565</f>
        <v>0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>
        <f>'RESUMEN TOTAL'!Z573</f>
        <v>0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1291</v>
      </c>
      <c r="B642" t="s">
        <v>1327</v>
      </c>
      <c r="C642" t="s">
        <v>1326</v>
      </c>
      <c r="D642" s="30" t="s">
        <v>1296</v>
      </c>
      <c r="E642" s="30" t="s">
        <v>1290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1291</v>
      </c>
      <c r="B643" t="s">
        <v>1328</v>
      </c>
      <c r="C643" t="s">
        <v>1326</v>
      </c>
      <c r="D643" t="s">
        <v>1289</v>
      </c>
      <c r="E643" s="30" t="s">
        <v>1290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K3" sqref="K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1059</v>
      </c>
      <c r="C1" s="36">
        <v>45992</v>
      </c>
    </row>
    <row r="2" spans="1:36" ht="16.5" thickTop="1" thickBot="1" x14ac:dyDescent="0.3">
      <c r="A2" s="49" t="s">
        <v>1051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1051</v>
      </c>
      <c r="E3" s="45" t="s">
        <v>1060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1052</v>
      </c>
      <c r="B4" s="41">
        <f>COUNTIFS('RESUMEN TOTAL'!H8:H627,"=COSEIDI")</f>
        <v>281</v>
      </c>
      <c r="C4" s="46">
        <v>0</v>
      </c>
      <c r="D4" s="39"/>
      <c r="E4" s="37" t="s">
        <v>1062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1052</v>
      </c>
      <c r="E5" s="47" t="s">
        <v>1061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1063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61" zoomScaleNormal="100" workbookViewId="0">
      <selection activeCell="D77" sqref="D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903</v>
      </c>
      <c r="D1" s="105" t="s">
        <v>1446</v>
      </c>
      <c r="E1" s="106" t="s">
        <v>904</v>
      </c>
    </row>
    <row r="2" spans="1:6" ht="15.6" customHeight="1" thickTop="1" x14ac:dyDescent="0.25">
      <c r="A2" s="75"/>
      <c r="B2" s="52" t="s">
        <v>1231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1458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1232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1233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1458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903</v>
      </c>
      <c r="D8" s="93" t="s">
        <v>1446</v>
      </c>
      <c r="E8" s="99" t="s">
        <v>904</v>
      </c>
      <c r="F8" s="152"/>
    </row>
    <row r="9" spans="1:6" ht="15" customHeight="1" thickTop="1" thickBot="1" x14ac:dyDescent="0.3">
      <c r="A9" s="35" t="s">
        <v>1460</v>
      </c>
      <c r="B9" s="95" t="s">
        <v>1051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1460</v>
      </c>
      <c r="B10" s="109" t="s">
        <v>1052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903</v>
      </c>
      <c r="D12" s="105" t="s">
        <v>1446</v>
      </c>
      <c r="E12" s="106" t="s">
        <v>904</v>
      </c>
    </row>
    <row r="13" spans="1:6" ht="15" customHeight="1" thickTop="1" x14ac:dyDescent="0.25">
      <c r="B13" s="52" t="s">
        <v>1231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1459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1232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1233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1459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903</v>
      </c>
      <c r="D19" s="93" t="s">
        <v>1446</v>
      </c>
      <c r="E19" s="99" t="s">
        <v>904</v>
      </c>
      <c r="F19" s="152"/>
    </row>
    <row r="20" spans="1:6" ht="16.5" thickTop="1" thickBot="1" x14ac:dyDescent="0.3">
      <c r="A20" t="s">
        <v>1461</v>
      </c>
      <c r="B20" s="95" t="s">
        <v>1051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1461</v>
      </c>
      <c r="B21" s="109" t="s">
        <v>1052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903</v>
      </c>
      <c r="D23" s="105" t="s">
        <v>1446</v>
      </c>
      <c r="E23" s="106" t="s">
        <v>904</v>
      </c>
    </row>
    <row r="24" spans="1:6" ht="15.75" thickTop="1" x14ac:dyDescent="0.25">
      <c r="B24" s="52" t="s">
        <v>1231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1452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1232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1233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1452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903</v>
      </c>
      <c r="D30" s="93" t="s">
        <v>1446</v>
      </c>
      <c r="E30" s="99" t="s">
        <v>904</v>
      </c>
      <c r="F30" s="152"/>
    </row>
    <row r="31" spans="1:6" ht="16.5" thickTop="1" thickBot="1" x14ac:dyDescent="0.3">
      <c r="B31" s="95" t="s">
        <v>1051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1052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903</v>
      </c>
      <c r="D34" s="105" t="s">
        <v>1446</v>
      </c>
      <c r="E34" s="106" t="s">
        <v>904</v>
      </c>
    </row>
    <row r="35" spans="1:6" ht="15.75" thickTop="1" x14ac:dyDescent="0.25">
      <c r="B35" s="52" t="s">
        <v>1231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1451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1232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1233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1451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903</v>
      </c>
      <c r="D41" s="93" t="s">
        <v>1446</v>
      </c>
      <c r="E41" s="99" t="s">
        <v>904</v>
      </c>
      <c r="F41" s="152"/>
    </row>
    <row r="42" spans="1:6" ht="16.5" thickTop="1" thickBot="1" x14ac:dyDescent="0.3">
      <c r="B42" s="95" t="s">
        <v>1051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1052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903</v>
      </c>
      <c r="D45" s="105" t="s">
        <v>1446</v>
      </c>
      <c r="E45" s="106" t="s">
        <v>904</v>
      </c>
    </row>
    <row r="46" spans="1:6" ht="15.75" thickTop="1" x14ac:dyDescent="0.25">
      <c r="B46" s="52" t="s">
        <v>1231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1453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1232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1233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1453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903</v>
      </c>
      <c r="D52" s="93" t="s">
        <v>1446</v>
      </c>
      <c r="E52" s="99" t="s">
        <v>904</v>
      </c>
      <c r="F52" s="152"/>
    </row>
    <row r="53" spans="1:6" ht="16.5" thickTop="1" thickBot="1" x14ac:dyDescent="0.3">
      <c r="B53" s="95" t="s">
        <v>1051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1052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903</v>
      </c>
      <c r="D56" s="105" t="s">
        <v>1446</v>
      </c>
      <c r="E56" s="106" t="s">
        <v>904</v>
      </c>
    </row>
    <row r="57" spans="1:6" ht="15.75" thickTop="1" x14ac:dyDescent="0.25">
      <c r="B57" s="52" t="s">
        <v>1231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1454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1232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1233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1454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903</v>
      </c>
      <c r="D63" s="93" t="s">
        <v>1446</v>
      </c>
      <c r="E63" s="99" t="s">
        <v>904</v>
      </c>
      <c r="F63" s="152"/>
    </row>
    <row r="64" spans="1:6" ht="16.5" thickTop="1" thickBot="1" x14ac:dyDescent="0.3">
      <c r="B64" s="95" t="s">
        <v>1051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1052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903</v>
      </c>
      <c r="D67" s="105" t="s">
        <v>1446</v>
      </c>
      <c r="E67" s="106" t="s">
        <v>904</v>
      </c>
    </row>
    <row r="68" spans="1:6" ht="15.75" thickTop="1" x14ac:dyDescent="0.25">
      <c r="B68" s="52" t="s">
        <v>1231</v>
      </c>
      <c r="C68" s="97">
        <f>CANTIDAD_DE_CAMARAS</f>
        <v>589</v>
      </c>
      <c r="D68" s="98"/>
      <c r="E68" s="103"/>
      <c r="F68" s="151">
        <v>46149</v>
      </c>
    </row>
    <row r="69" spans="1:6" x14ac:dyDescent="0.25">
      <c r="A69" t="s">
        <v>1455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2"/>
    </row>
    <row r="70" spans="1:6" x14ac:dyDescent="0.25">
      <c r="B70" s="53" t="s">
        <v>1232</v>
      </c>
      <c r="C70" s="67">
        <v>11</v>
      </c>
      <c r="D70" s="100">
        <f>C69-C70</f>
        <v>105</v>
      </c>
      <c r="E70" s="55">
        <f>D70/C68</f>
        <v>0.17826825127334464</v>
      </c>
      <c r="F70" s="152"/>
    </row>
    <row r="71" spans="1:6" x14ac:dyDescent="0.25">
      <c r="B71" s="53" t="s">
        <v>1233</v>
      </c>
      <c r="C71" s="67">
        <v>12</v>
      </c>
      <c r="D71" s="100">
        <f>D70-C71</f>
        <v>93</v>
      </c>
      <c r="E71" s="55">
        <f>D71/C68</f>
        <v>0.15789473684210525</v>
      </c>
      <c r="F71" s="152"/>
    </row>
    <row r="72" spans="1:6" x14ac:dyDescent="0.25">
      <c r="A72" t="s">
        <v>1455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903</v>
      </c>
      <c r="D74" s="93" t="s">
        <v>1446</v>
      </c>
      <c r="E74" s="99" t="s">
        <v>904</v>
      </c>
      <c r="F74" s="152"/>
    </row>
    <row r="75" spans="1:6" ht="16.5" thickTop="1" thickBot="1" x14ac:dyDescent="0.3">
      <c r="B75" s="95" t="s">
        <v>1051</v>
      </c>
      <c r="C75" s="96">
        <v>307</v>
      </c>
      <c r="D75" s="112">
        <v>38</v>
      </c>
      <c r="E75" s="102">
        <f>D75/C75</f>
        <v>0.12377850162866449</v>
      </c>
      <c r="F75" s="152"/>
    </row>
    <row r="76" spans="1:6" ht="15.75" thickBot="1" x14ac:dyDescent="0.3">
      <c r="B76" s="109" t="s">
        <v>1052</v>
      </c>
      <c r="C76" s="110">
        <f>COSEIDIcam</f>
        <v>281</v>
      </c>
      <c r="D76" s="110">
        <v>78</v>
      </c>
      <c r="E76" s="111">
        <f>D76/C76</f>
        <v>0.27758007117437722</v>
      </c>
      <c r="F76" s="153"/>
    </row>
    <row r="77" spans="1:6" ht="16.5" thickTop="1" thickBot="1" x14ac:dyDescent="0.3"/>
    <row r="78" spans="1:6" ht="16.5" thickTop="1" thickBot="1" x14ac:dyDescent="0.3">
      <c r="C78" s="104" t="s">
        <v>903</v>
      </c>
      <c r="D78" s="105" t="s">
        <v>1446</v>
      </c>
      <c r="E78" s="106" t="s">
        <v>904</v>
      </c>
    </row>
    <row r="79" spans="1:6" ht="15.75" thickTop="1" x14ac:dyDescent="0.25">
      <c r="B79" s="52" t="s">
        <v>1231</v>
      </c>
      <c r="C79" s="97">
        <f>CANTIDAD_DE_CAMARAS</f>
        <v>589</v>
      </c>
      <c r="D79" s="98"/>
      <c r="E79" s="103"/>
      <c r="F79" s="151">
        <v>46120</v>
      </c>
    </row>
    <row r="80" spans="1:6" x14ac:dyDescent="0.25">
      <c r="A80" t="s">
        <v>1450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2"/>
    </row>
    <row r="81" spans="1:6" x14ac:dyDescent="0.25">
      <c r="B81" s="53" t="s">
        <v>1232</v>
      </c>
      <c r="C81" s="67">
        <v>7</v>
      </c>
      <c r="D81" s="100">
        <f>C80-C81</f>
        <v>-7</v>
      </c>
      <c r="E81" s="55">
        <f>D81/C79</f>
        <v>-1.1884550084889643E-2</v>
      </c>
      <c r="F81" s="152"/>
    </row>
    <row r="82" spans="1:6" x14ac:dyDescent="0.25">
      <c r="B82" s="53" t="s">
        <v>1233</v>
      </c>
      <c r="C82" s="67">
        <v>10</v>
      </c>
      <c r="D82" s="100">
        <f>D81-C82</f>
        <v>-17</v>
      </c>
      <c r="E82" s="55">
        <f>D82/C79</f>
        <v>-2.8862478777589132E-2</v>
      </c>
      <c r="F82" s="152"/>
    </row>
    <row r="83" spans="1:6" x14ac:dyDescent="0.25">
      <c r="A83" t="s">
        <v>1450</v>
      </c>
      <c r="B83" s="53" t="s">
        <v>15</v>
      </c>
      <c r="C83" s="91">
        <v>5</v>
      </c>
      <c r="D83" s="100">
        <f>D82-C83</f>
        <v>-22</v>
      </c>
      <c r="E83" s="55">
        <f>D83/C79</f>
        <v>-3.7351443123938878E-2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903</v>
      </c>
      <c r="D85" s="93" t="s">
        <v>1446</v>
      </c>
      <c r="E85" s="99" t="s">
        <v>904</v>
      </c>
      <c r="F85" s="152"/>
    </row>
    <row r="86" spans="1:6" ht="16.5" thickTop="1" thickBot="1" x14ac:dyDescent="0.3">
      <c r="B86" s="95" t="s">
        <v>1051</v>
      </c>
      <c r="C86" s="96">
        <v>307</v>
      </c>
      <c r="D86" s="112">
        <v>53</v>
      </c>
      <c r="E86" s="102">
        <f>D86/C86</f>
        <v>0.17263843648208468</v>
      </c>
      <c r="F86" s="152"/>
    </row>
    <row r="87" spans="1:6" ht="15.75" thickBot="1" x14ac:dyDescent="0.3">
      <c r="B87" s="109" t="s">
        <v>1052</v>
      </c>
      <c r="C87" s="110">
        <f>COSEIDIcam</f>
        <v>281</v>
      </c>
      <c r="D87" s="110">
        <v>51</v>
      </c>
      <c r="E87" s="111">
        <f>D87/C87</f>
        <v>0.18149466192170818</v>
      </c>
      <c r="F87" s="153"/>
    </row>
    <row r="88" spans="1:6" ht="16.5" thickTop="1" thickBot="1" x14ac:dyDescent="0.3"/>
    <row r="89" spans="1:6" ht="16.5" thickTop="1" thickBot="1" x14ac:dyDescent="0.3">
      <c r="C89" s="104" t="s">
        <v>903</v>
      </c>
      <c r="D89" s="105" t="s">
        <v>1446</v>
      </c>
      <c r="E89" s="106" t="s">
        <v>904</v>
      </c>
    </row>
    <row r="90" spans="1:6" ht="15.75" thickTop="1" x14ac:dyDescent="0.25">
      <c r="B90" s="52" t="s">
        <v>1231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1456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1232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1233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1456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903</v>
      </c>
      <c r="D96" s="93" t="s">
        <v>1446</v>
      </c>
      <c r="E96" s="99" t="s">
        <v>904</v>
      </c>
      <c r="F96" s="152"/>
    </row>
    <row r="97" spans="1:6" ht="16.5" thickTop="1" thickBot="1" x14ac:dyDescent="0.3">
      <c r="B97" s="95" t="s">
        <v>1051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1052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903</v>
      </c>
      <c r="D100" s="105" t="s">
        <v>1446</v>
      </c>
      <c r="E100" s="106" t="s">
        <v>904</v>
      </c>
    </row>
    <row r="101" spans="1:6" ht="15.75" thickTop="1" x14ac:dyDescent="0.25">
      <c r="B101" s="52" t="s">
        <v>1231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1457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1232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1233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1457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903</v>
      </c>
      <c r="D107" s="93" t="s">
        <v>1446</v>
      </c>
      <c r="E107" s="99" t="s">
        <v>904</v>
      </c>
      <c r="F107" s="152"/>
    </row>
    <row r="108" spans="1:6" ht="16.5" thickTop="1" thickBot="1" x14ac:dyDescent="0.3">
      <c r="B108" s="95" t="s">
        <v>1051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1052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903</v>
      </c>
      <c r="D111" s="105" t="s">
        <v>1446</v>
      </c>
      <c r="E111" s="106" t="s">
        <v>904</v>
      </c>
    </row>
    <row r="112" spans="1:6" ht="15.75" thickTop="1" x14ac:dyDescent="0.25">
      <c r="B112" s="52" t="s">
        <v>1231</v>
      </c>
      <c r="C112" s="97">
        <f>CANTIDAD_DE_CAMARAS</f>
        <v>589</v>
      </c>
      <c r="D112" s="98"/>
      <c r="E112" s="103"/>
      <c r="F112" s="151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2"/>
    </row>
    <row r="114" spans="2:6" x14ac:dyDescent="0.25">
      <c r="B114" s="53" t="s">
        <v>1232</v>
      </c>
      <c r="C114" s="67">
        <v>4</v>
      </c>
      <c r="D114" s="100">
        <f>C113-C114</f>
        <v>-4</v>
      </c>
      <c r="E114" s="55">
        <f>D114/C112</f>
        <v>-6.7911714770797962E-3</v>
      </c>
      <c r="F114" s="152"/>
    </row>
    <row r="115" spans="2:6" x14ac:dyDescent="0.25">
      <c r="B115" s="53" t="s">
        <v>1233</v>
      </c>
      <c r="C115" s="67">
        <v>7</v>
      </c>
      <c r="D115" s="100">
        <f>D114-C115</f>
        <v>-11</v>
      </c>
      <c r="E115" s="55">
        <f>D115/C112</f>
        <v>-1.8675721561969439E-2</v>
      </c>
      <c r="F115" s="152"/>
    </row>
    <row r="116" spans="2:6" x14ac:dyDescent="0.25">
      <c r="B116" s="53" t="s">
        <v>15</v>
      </c>
      <c r="C116" s="91">
        <v>5</v>
      </c>
      <c r="D116" s="100">
        <f>D115-C116</f>
        <v>-16</v>
      </c>
      <c r="E116" s="55">
        <f>D116/C112</f>
        <v>-2.7164685908319185E-2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903</v>
      </c>
      <c r="D118" s="93" t="s">
        <v>1446</v>
      </c>
      <c r="E118" s="99" t="s">
        <v>904</v>
      </c>
      <c r="F118" s="152"/>
    </row>
    <row r="119" spans="2:6" ht="16.5" thickTop="1" thickBot="1" x14ac:dyDescent="0.3">
      <c r="B119" s="95" t="s">
        <v>1051</v>
      </c>
      <c r="C119" s="96">
        <v>307</v>
      </c>
      <c r="D119" s="112">
        <f>Hoja1!P3</f>
        <v>0</v>
      </c>
      <c r="E119" s="102">
        <f>D119/C119</f>
        <v>0</v>
      </c>
      <c r="F119" s="152"/>
    </row>
    <row r="120" spans="2:6" ht="15.75" thickBot="1" x14ac:dyDescent="0.3">
      <c r="B120" s="109" t="s">
        <v>1052</v>
      </c>
      <c r="C120" s="110">
        <f>COSEIDIcam</f>
        <v>281</v>
      </c>
      <c r="D120" s="110">
        <f>Hoja1!P5</f>
        <v>0</v>
      </c>
      <c r="E120" s="111">
        <f>D120/C120</f>
        <v>0</v>
      </c>
      <c r="F120" s="153"/>
    </row>
    <row r="121" spans="2:6" ht="16.5" thickTop="1" thickBot="1" x14ac:dyDescent="0.3"/>
    <row r="122" spans="2:6" ht="16.5" thickTop="1" thickBot="1" x14ac:dyDescent="0.3">
      <c r="C122" s="104" t="s">
        <v>903</v>
      </c>
      <c r="D122" s="105" t="s">
        <v>1446</v>
      </c>
      <c r="E122" s="106" t="s">
        <v>904</v>
      </c>
    </row>
    <row r="123" spans="2:6" ht="15.75" thickTop="1" x14ac:dyDescent="0.25">
      <c r="B123" s="52" t="s">
        <v>1231</v>
      </c>
      <c r="C123" s="97">
        <f>CANTIDAD_DE_CAMARAS</f>
        <v>589</v>
      </c>
      <c r="D123" s="98"/>
      <c r="E123" s="103"/>
      <c r="F123" s="151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2"/>
    </row>
    <row r="125" spans="2:6" x14ac:dyDescent="0.25">
      <c r="B125" s="53" t="s">
        <v>1232</v>
      </c>
      <c r="C125" s="67">
        <v>8</v>
      </c>
      <c r="D125" s="100">
        <f>C124-C125</f>
        <v>-8</v>
      </c>
      <c r="E125" s="55">
        <f>D125/C123</f>
        <v>-1.3582342954159592E-2</v>
      </c>
      <c r="F125" s="152"/>
    </row>
    <row r="126" spans="2:6" x14ac:dyDescent="0.25">
      <c r="B126" s="53" t="s">
        <v>1233</v>
      </c>
      <c r="C126" s="67">
        <v>8</v>
      </c>
      <c r="D126" s="100">
        <f>D125-C126</f>
        <v>-16</v>
      </c>
      <c r="E126" s="55">
        <f>D126/C123</f>
        <v>-2.7164685908319185E-2</v>
      </c>
      <c r="F126" s="152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903</v>
      </c>
      <c r="D129" s="93" t="s">
        <v>1446</v>
      </c>
      <c r="E129" s="99" t="s">
        <v>904</v>
      </c>
      <c r="F129" s="152"/>
    </row>
    <row r="130" spans="2:6" ht="16.5" thickTop="1" thickBot="1" x14ac:dyDescent="0.3">
      <c r="B130" s="95" t="s">
        <v>1051</v>
      </c>
      <c r="C130" s="96">
        <v>307</v>
      </c>
      <c r="D130" s="112">
        <f>Hoja1!Q3</f>
        <v>0</v>
      </c>
      <c r="E130" s="102">
        <f>D130/C130</f>
        <v>0</v>
      </c>
      <c r="F130" s="152"/>
    </row>
    <row r="131" spans="2:6" ht="15.75" thickBot="1" x14ac:dyDescent="0.3">
      <c r="B131" s="109" t="s">
        <v>1052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53"/>
    </row>
    <row r="132" spans="2:6" ht="16.5" thickTop="1" thickBot="1" x14ac:dyDescent="0.3"/>
    <row r="133" spans="2:6" ht="16.5" thickTop="1" thickBot="1" x14ac:dyDescent="0.3">
      <c r="C133" s="104" t="s">
        <v>903</v>
      </c>
      <c r="D133" s="105" t="s">
        <v>1446</v>
      </c>
      <c r="E133" s="106" t="s">
        <v>904</v>
      </c>
    </row>
    <row r="134" spans="2:6" ht="15.75" thickTop="1" x14ac:dyDescent="0.25">
      <c r="B134" s="52" t="s">
        <v>1231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1232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1233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903</v>
      </c>
      <c r="D140" s="93" t="s">
        <v>1446</v>
      </c>
      <c r="E140" s="99" t="s">
        <v>904</v>
      </c>
      <c r="F140" s="152"/>
    </row>
    <row r="141" spans="2:6" ht="16.5" thickTop="1" thickBot="1" x14ac:dyDescent="0.3">
      <c r="B141" s="95" t="s">
        <v>1051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1052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903</v>
      </c>
      <c r="D144" s="105" t="s">
        <v>1446</v>
      </c>
      <c r="E144" s="106" t="s">
        <v>904</v>
      </c>
    </row>
    <row r="145" spans="2:6" ht="15.75" thickTop="1" x14ac:dyDescent="0.25">
      <c r="B145" s="52" t="s">
        <v>1231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1232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1233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903</v>
      </c>
      <c r="D151" s="93" t="s">
        <v>1446</v>
      </c>
      <c r="E151" s="99" t="s">
        <v>904</v>
      </c>
      <c r="F151" s="152"/>
    </row>
    <row r="152" spans="2:6" ht="16.5" thickTop="1" thickBot="1" x14ac:dyDescent="0.3">
      <c r="B152" s="95" t="s">
        <v>1051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1052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903</v>
      </c>
      <c r="D155" s="105" t="s">
        <v>1446</v>
      </c>
      <c r="E155" s="106" t="s">
        <v>904</v>
      </c>
    </row>
    <row r="156" spans="2:6" ht="15.75" thickTop="1" x14ac:dyDescent="0.25">
      <c r="B156" s="52" t="s">
        <v>1231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1232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1233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903</v>
      </c>
      <c r="D162" s="93" t="s">
        <v>1446</v>
      </c>
      <c r="E162" s="99" t="s">
        <v>904</v>
      </c>
      <c r="F162" s="152"/>
    </row>
    <row r="163" spans="2:6" ht="16.5" thickTop="1" thickBot="1" x14ac:dyDescent="0.3">
      <c r="B163" s="95" t="s">
        <v>1051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1052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903</v>
      </c>
      <c r="D166" s="105" t="s">
        <v>1446</v>
      </c>
      <c r="E166" s="106" t="s">
        <v>904</v>
      </c>
    </row>
    <row r="167" spans="2:6" ht="15.75" thickTop="1" x14ac:dyDescent="0.25">
      <c r="B167" s="52" t="s">
        <v>1231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1232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1233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903</v>
      </c>
      <c r="D173" s="93" t="s">
        <v>1446</v>
      </c>
      <c r="E173" s="99" t="s">
        <v>904</v>
      </c>
      <c r="F173" s="152"/>
    </row>
    <row r="174" spans="2:6" ht="16.5" thickTop="1" thickBot="1" x14ac:dyDescent="0.3">
      <c r="B174" s="95" t="s">
        <v>1051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1052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903</v>
      </c>
      <c r="D177" s="105" t="s">
        <v>1446</v>
      </c>
      <c r="E177" s="106" t="s">
        <v>904</v>
      </c>
    </row>
    <row r="178" spans="2:6" ht="15.75" thickTop="1" x14ac:dyDescent="0.25">
      <c r="B178" s="52" t="s">
        <v>1231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1232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1233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903</v>
      </c>
      <c r="D184" s="93" t="s">
        <v>1446</v>
      </c>
      <c r="E184" s="99" t="s">
        <v>904</v>
      </c>
      <c r="F184" s="152"/>
    </row>
    <row r="185" spans="2:6" ht="16.5" thickTop="1" thickBot="1" x14ac:dyDescent="0.3">
      <c r="B185" s="95" t="s">
        <v>1051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1052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903</v>
      </c>
      <c r="D188" s="105" t="s">
        <v>1446</v>
      </c>
      <c r="E188" s="106" t="s">
        <v>904</v>
      </c>
    </row>
    <row r="189" spans="2:6" ht="15.75" thickTop="1" x14ac:dyDescent="0.25">
      <c r="B189" s="52" t="s">
        <v>1231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1232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1233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903</v>
      </c>
      <c r="D195" s="93" t="s">
        <v>1446</v>
      </c>
      <c r="E195" s="99" t="s">
        <v>904</v>
      </c>
      <c r="F195" s="152"/>
    </row>
    <row r="196" spans="2:6" ht="16.5" thickTop="1" thickBot="1" x14ac:dyDescent="0.3">
      <c r="B196" s="95" t="s">
        <v>1051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1052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903</v>
      </c>
      <c r="D199" s="105" t="s">
        <v>1446</v>
      </c>
      <c r="E199" s="106" t="s">
        <v>904</v>
      </c>
    </row>
    <row r="200" spans="2:6" ht="15.75" thickTop="1" x14ac:dyDescent="0.25">
      <c r="B200" s="52" t="s">
        <v>1231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1232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1233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903</v>
      </c>
      <c r="D206" s="93" t="s">
        <v>1446</v>
      </c>
      <c r="E206" s="99" t="s">
        <v>904</v>
      </c>
      <c r="F206" s="152"/>
    </row>
    <row r="207" spans="2:6" ht="16.5" thickTop="1" thickBot="1" x14ac:dyDescent="0.3">
      <c r="B207" s="95" t="s">
        <v>1051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1052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903</v>
      </c>
      <c r="D210" s="105" t="s">
        <v>1446</v>
      </c>
      <c r="E210" s="106" t="s">
        <v>904</v>
      </c>
    </row>
    <row r="211" spans="2:6" ht="15.75" thickTop="1" x14ac:dyDescent="0.25">
      <c r="B211" s="52" t="s">
        <v>1231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1232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1233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903</v>
      </c>
      <c r="D217" s="93" t="s">
        <v>1446</v>
      </c>
      <c r="E217" s="99" t="s">
        <v>904</v>
      </c>
      <c r="F217" s="152"/>
    </row>
    <row r="218" spans="2:6" ht="16.5" thickTop="1" thickBot="1" x14ac:dyDescent="0.3">
      <c r="B218" s="95" t="s">
        <v>1051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1052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903</v>
      </c>
      <c r="D222" s="105" t="s">
        <v>1446</v>
      </c>
      <c r="E222" s="106" t="s">
        <v>904</v>
      </c>
    </row>
    <row r="223" spans="2:6" ht="15.75" thickTop="1" x14ac:dyDescent="0.25">
      <c r="B223" s="52" t="s">
        <v>1231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1232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1233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903</v>
      </c>
      <c r="D229" s="93" t="s">
        <v>1446</v>
      </c>
      <c r="E229" s="99" t="s">
        <v>904</v>
      </c>
      <c r="F229" s="152"/>
    </row>
    <row r="230" spans="2:6" ht="16.5" thickTop="1" thickBot="1" x14ac:dyDescent="0.3">
      <c r="B230" s="95" t="s">
        <v>1051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1052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903</v>
      </c>
      <c r="D234" s="105" t="s">
        <v>1446</v>
      </c>
      <c r="E234" s="106" t="s">
        <v>904</v>
      </c>
    </row>
    <row r="235" spans="2:6" ht="15.75" thickTop="1" x14ac:dyDescent="0.25">
      <c r="B235" s="52" t="s">
        <v>1231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1232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1233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903</v>
      </c>
      <c r="D241" s="93" t="s">
        <v>1446</v>
      </c>
      <c r="E241" s="99" t="s">
        <v>904</v>
      </c>
      <c r="F241" s="152"/>
    </row>
    <row r="242" spans="2:6" ht="16.5" thickTop="1" thickBot="1" x14ac:dyDescent="0.3">
      <c r="B242" s="95" t="s">
        <v>1051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1052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903</v>
      </c>
      <c r="D246" s="105" t="s">
        <v>1446</v>
      </c>
      <c r="E246" s="106" t="s">
        <v>904</v>
      </c>
    </row>
    <row r="247" spans="2:6" ht="15.75" thickTop="1" x14ac:dyDescent="0.25">
      <c r="B247" s="52" t="s">
        <v>1231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1232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1233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903</v>
      </c>
      <c r="D253" s="93">
        <v>0</v>
      </c>
      <c r="E253" s="99" t="s">
        <v>904</v>
      </c>
      <c r="F253" s="152"/>
    </row>
    <row r="254" spans="2:6" ht="16.5" thickTop="1" thickBot="1" x14ac:dyDescent="0.3">
      <c r="B254" s="95" t="s">
        <v>1051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1052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903</v>
      </c>
      <c r="D258" s="105" t="s">
        <v>1446</v>
      </c>
      <c r="E258" s="106" t="s">
        <v>904</v>
      </c>
    </row>
    <row r="259" spans="2:6" ht="15.75" thickTop="1" x14ac:dyDescent="0.25">
      <c r="B259" s="52" t="s">
        <v>1231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1232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1233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903</v>
      </c>
      <c r="D265" s="93" t="s">
        <v>1446</v>
      </c>
      <c r="E265" s="99" t="s">
        <v>904</v>
      </c>
      <c r="F265" s="152"/>
    </row>
    <row r="266" spans="2:6" ht="16.5" thickTop="1" thickBot="1" x14ac:dyDescent="0.3">
      <c r="B266" s="95" t="s">
        <v>1051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1052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903</v>
      </c>
      <c r="D269" s="105" t="s">
        <v>1446</v>
      </c>
      <c r="E269" s="106" t="s">
        <v>904</v>
      </c>
    </row>
    <row r="270" spans="2:6" ht="15.75" thickTop="1" x14ac:dyDescent="0.25">
      <c r="B270" s="52" t="s">
        <v>1231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1232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1233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903</v>
      </c>
      <c r="D276" s="93" t="s">
        <v>1446</v>
      </c>
      <c r="E276" s="99" t="s">
        <v>904</v>
      </c>
      <c r="F276" s="152"/>
    </row>
    <row r="277" spans="2:6" ht="16.5" thickTop="1" thickBot="1" x14ac:dyDescent="0.3">
      <c r="B277" s="95" t="s">
        <v>1051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1052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903</v>
      </c>
      <c r="D280" s="105" t="s">
        <v>1446</v>
      </c>
      <c r="E280" s="106" t="s">
        <v>904</v>
      </c>
    </row>
    <row r="281" spans="2:6" ht="15.75" thickTop="1" x14ac:dyDescent="0.25">
      <c r="B281" s="52" t="s">
        <v>1231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1232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1233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903</v>
      </c>
      <c r="D287" s="93" t="s">
        <v>1446</v>
      </c>
      <c r="E287" s="99" t="s">
        <v>904</v>
      </c>
      <c r="F287" s="152"/>
    </row>
    <row r="288" spans="2:6" ht="16.5" thickTop="1" thickBot="1" x14ac:dyDescent="0.3">
      <c r="B288" s="95" t="s">
        <v>1051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1052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903</v>
      </c>
      <c r="D291" s="105" t="s">
        <v>1446</v>
      </c>
      <c r="E291" s="106" t="s">
        <v>904</v>
      </c>
    </row>
    <row r="292" spans="2:6" ht="15.75" thickTop="1" x14ac:dyDescent="0.25">
      <c r="B292" s="52" t="s">
        <v>1231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1232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1233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903</v>
      </c>
      <c r="D298" s="93" t="s">
        <v>1446</v>
      </c>
      <c r="E298" s="99" t="s">
        <v>904</v>
      </c>
      <c r="F298" s="152"/>
    </row>
    <row r="299" spans="2:6" ht="16.5" thickTop="1" thickBot="1" x14ac:dyDescent="0.3">
      <c r="B299" s="95" t="s">
        <v>1051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1052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903</v>
      </c>
      <c r="D302" s="105" t="s">
        <v>1446</v>
      </c>
      <c r="E302" s="106" t="s">
        <v>904</v>
      </c>
    </row>
    <row r="303" spans="2:6" ht="15.75" thickTop="1" x14ac:dyDescent="0.25">
      <c r="B303" s="52" t="s">
        <v>1231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1232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1233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903</v>
      </c>
      <c r="D309" s="93" t="s">
        <v>1446</v>
      </c>
      <c r="E309" s="99" t="s">
        <v>904</v>
      </c>
      <c r="F309" s="152"/>
    </row>
    <row r="310" spans="2:6" ht="16.5" thickTop="1" thickBot="1" x14ac:dyDescent="0.3">
      <c r="B310" s="95" t="s">
        <v>1051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1052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903</v>
      </c>
      <c r="D313" s="105" t="s">
        <v>1446</v>
      </c>
      <c r="E313" s="106" t="s">
        <v>904</v>
      </c>
    </row>
    <row r="314" spans="2:6" ht="15.75" thickTop="1" x14ac:dyDescent="0.25">
      <c r="B314" s="52" t="s">
        <v>1231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1232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1233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903</v>
      </c>
      <c r="D320" s="93" t="s">
        <v>1446</v>
      </c>
      <c r="E320" s="99" t="s">
        <v>904</v>
      </c>
      <c r="F320" s="152"/>
    </row>
    <row r="321" spans="2:6" ht="16.5" thickTop="1" thickBot="1" x14ac:dyDescent="0.3">
      <c r="B321" s="95" t="s">
        <v>1051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1052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903</v>
      </c>
      <c r="D324" s="105" t="s">
        <v>1446</v>
      </c>
      <c r="E324" s="106" t="s">
        <v>904</v>
      </c>
    </row>
    <row r="325" spans="2:6" ht="15.75" thickTop="1" x14ac:dyDescent="0.25">
      <c r="B325" s="52" t="s">
        <v>1231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1232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1233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903</v>
      </c>
      <c r="D331" s="93" t="s">
        <v>1446</v>
      </c>
      <c r="E331" s="99" t="s">
        <v>904</v>
      </c>
      <c r="F331" s="152"/>
    </row>
    <row r="332" spans="2:6" ht="16.5" thickTop="1" thickBot="1" x14ac:dyDescent="0.3">
      <c r="B332" s="95" t="s">
        <v>1051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1052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903</v>
      </c>
      <c r="D336" s="105" t="s">
        <v>1446</v>
      </c>
      <c r="E336" s="106" t="s">
        <v>904</v>
      </c>
    </row>
    <row r="337" spans="2:6" ht="15.75" thickTop="1" x14ac:dyDescent="0.25">
      <c r="B337" s="52" t="s">
        <v>1231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1232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1233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903</v>
      </c>
      <c r="D343" s="93" t="s">
        <v>1446</v>
      </c>
      <c r="E343" s="99" t="s">
        <v>904</v>
      </c>
      <c r="F343" s="152"/>
    </row>
    <row r="344" spans="2:6" ht="16.5" thickTop="1" thickBot="1" x14ac:dyDescent="0.3">
      <c r="B344" s="95" t="s">
        <v>1051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1052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2026-05-07T19:35:39Z</dcterms:modified>
</cp:coreProperties>
</file>