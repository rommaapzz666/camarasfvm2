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C20F8464-7685-4E7E-8BB9-C429E2141731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I2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<sst xmlns="http://schemas.openxmlformats.org/spreadsheetml/2006/main" count="7744" uniqueCount="2289">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</sst>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7" zoomScaleNormal="57" workbookViewId="0">
      <pane xSplit="12" ySplit="7" topLeftCell="AP441" activePane="bottomRight" state="frozen"/>
      <selection pane="topRight" activeCell="M1" sqref="M1"/>
      <selection pane="bottomLeft" activeCell="A5" sqref="A5"/>
      <selection pane="bottomRight" activeCell="C511" sqref="C51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0.15339233038348082</v>
      </c>
      <c r="AN1" s="3">
        <f t="shared" si="1"/>
        <v>0.14836795252225518</v>
      </c>
      <c r="AO1" s="3">
        <f t="shared" si="1"/>
        <v>0.14456035767511177</v>
      </c>
      <c r="AP1" s="3">
        <f t="shared" si="1"/>
        <v>0.14836795252225518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104</v>
      </c>
      <c r="AN3" s="126">
        <f t="shared" si="4"/>
        <v>100</v>
      </c>
      <c r="AO3" s="126">
        <f t="shared" si="4"/>
        <v>97</v>
      </c>
      <c r="AP3" s="126">
        <f t="shared" si="4"/>
        <v>100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61</v>
      </c>
      <c r="AN4" s="10">
        <f>COUNTIFS(AN8:AN689, "=APAGADO",F8:F689,"=Fibra Optica")</f>
        <v>55</v>
      </c>
      <c r="AO4" s="10">
        <f>COUNTIFS(AO8:AO689, "=APAGADO",F8:F689,"=Fibra Optica")</f>
        <v>50</v>
      </c>
      <c r="AP4" s="10">
        <f>COUNTIFS(AP8:AP689, "=APAGADO",F8:F689,"=Fibra Optica")</f>
        <v>46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6</v>
      </c>
      <c r="AN5" s="130">
        <f>COUNTIFS(AN8:AN689, "=APAGADO",F8:F689,"=RADIO")</f>
        <v>5</v>
      </c>
      <c r="AO5" s="130">
        <f>COUNTIFS(AO8:AO689, "=APAGADO",F8:F689,"=RADIO")</f>
        <v>5</v>
      </c>
      <c r="AP5" s="130">
        <f>COUNTIFS(AP8:AP689, "=APAGADO",F8:F689,"=RADIO")</f>
        <v>5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11</v>
      </c>
      <c r="AN6" s="10">
        <f>COUNTIFS(AN8:AN689, "=APAGADO",F8:F689,"=PTO A FO")</f>
        <v>10</v>
      </c>
      <c r="AO6" s="10">
        <f>COUNTIFS(AO8:AO689, "=APAGADO",F8:F689,"=PTO A FO")</f>
        <v>10</v>
      </c>
      <c r="AP6" s="10">
        <f>COUNTIFS(AP8:AP689, "=APAGADO",F8:F689,"=PTO A FO")</f>
        <v>17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15</v>
      </c>
      <c r="J8" s="147" t="s">
        <v>1667</v>
      </c>
      <c r="K8" s="31">
        <f t="shared" ref="K8:K85" si="6">COUNTIF(M8:AN8,"APAGADO")</f>
        <v>13</v>
      </c>
      <c r="L8" s="32">
        <f t="shared" ref="L8:L85" si="7">(I8)/(K8+I8)</f>
        <v>0.5357142857142857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 t="s">
        <v>2213</v>
      </c>
      <c r="AN8" s="70" t="s">
        <v>2213</v>
      </c>
      <c r="AO8" s="70" t="s">
        <v>2213</v>
      </c>
      <c r="AP8" s="70" t="s">
        <v>2213</v>
      </c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15</v>
      </c>
      <c r="J9" s="147" t="s">
        <v>1668</v>
      </c>
      <c r="K9" s="31">
        <f t="shared" si="6"/>
        <v>13</v>
      </c>
      <c r="L9" s="32">
        <f t="shared" si="7"/>
        <v>0.5357142857142857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 t="s">
        <v>2213</v>
      </c>
      <c r="AN9" s="70" t="s">
        <v>2213</v>
      </c>
      <c r="AO9" s="70" t="s">
        <v>2213</v>
      </c>
      <c r="AP9" s="70" t="s">
        <v>2213</v>
      </c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 t="s">
        <v>2213</v>
      </c>
      <c r="AN14" s="70"/>
      <c r="AO14" s="70" t="s">
        <v>2213</v>
      </c>
      <c r="AP14" s="70" t="s">
        <v>2213</v>
      </c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</v>
      </c>
      <c r="J17" s="150" t="s">
        <v>1676</v>
      </c>
      <c r="K17" s="142">
        <f t="shared" si="6"/>
        <v>27</v>
      </c>
      <c r="L17" s="143">
        <f t="shared" si="7"/>
        <v>3.5714285714285712E-2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 t="s">
        <v>2213</v>
      </c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</v>
      </c>
      <c r="J19" s="147" t="s">
        <v>1677</v>
      </c>
      <c r="K19" s="31">
        <f t="shared" si="6"/>
        <v>27</v>
      </c>
      <c r="L19" s="32">
        <f t="shared" si="7"/>
        <v>3.5714285714285712E-2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 t="s">
        <v>2213</v>
      </c>
      <c r="AN19" s="70" t="s">
        <v>2213</v>
      </c>
      <c r="AO19" s="70" t="s">
        <v>2213</v>
      </c>
      <c r="AP19" s="70" t="s">
        <v>2213</v>
      </c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</v>
      </c>
      <c r="J20" s="147" t="s">
        <v>1678</v>
      </c>
      <c r="K20" s="31">
        <f t="shared" si="6"/>
        <v>27</v>
      </c>
      <c r="L20" s="32">
        <f t="shared" si="7"/>
        <v>3.5714285714285712E-2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 t="s">
        <v>2213</v>
      </c>
      <c r="AN20" s="70" t="s">
        <v>2213</v>
      </c>
      <c r="AO20" s="70" t="s">
        <v>2213</v>
      </c>
      <c r="AP20" s="89" t="s">
        <v>2213</v>
      </c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27</v>
      </c>
      <c r="J21" s="147" t="s">
        <v>1679</v>
      </c>
      <c r="K21" s="31">
        <f t="shared" si="6"/>
        <v>1</v>
      </c>
      <c r="L21" s="32">
        <f t="shared" si="7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 t="s">
        <v>2213</v>
      </c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 t="s">
        <v>2213</v>
      </c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 t="s">
        <v>2213</v>
      </c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 t="s">
        <v>2213</v>
      </c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 t="s">
        <v>2213</v>
      </c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0</v>
      </c>
      <c r="J34" s="147" t="s">
        <v>1689</v>
      </c>
      <c r="K34" s="134">
        <f t="shared" si="6"/>
        <v>28</v>
      </c>
      <c r="L34" s="135">
        <f t="shared" si="7"/>
        <v>0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 t="s">
        <v>2213</v>
      </c>
      <c r="AN34" s="136" t="s">
        <v>2213</v>
      </c>
      <c r="AO34" s="136" t="s">
        <v>2213</v>
      </c>
      <c r="AP34" s="136" t="s">
        <v>2213</v>
      </c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0</v>
      </c>
      <c r="J36" s="87" t="s">
        <v>2157</v>
      </c>
      <c r="K36" s="142">
        <f t="shared" si="6"/>
        <v>28</v>
      </c>
      <c r="L36" s="143">
        <f t="shared" si="7"/>
        <v>0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 t="s">
        <v>2213</v>
      </c>
      <c r="AN36" s="70" t="s">
        <v>2213</v>
      </c>
      <c r="AO36" s="70" t="s">
        <v>2213</v>
      </c>
      <c r="AP36" s="89" t="s">
        <v>2213</v>
      </c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19</v>
      </c>
      <c r="J38" s="147" t="s">
        <v>1690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 t="s">
        <v>2213</v>
      </c>
      <c r="AN38" s="70" t="s">
        <v>2213</v>
      </c>
      <c r="AO38" s="70" t="s">
        <v>2213</v>
      </c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19</v>
      </c>
      <c r="J39" s="147" t="s">
        <v>1691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 t="s">
        <v>2213</v>
      </c>
      <c r="AN39" s="70" t="s">
        <v>2213</v>
      </c>
      <c r="AO39" s="70" t="s">
        <v>2213</v>
      </c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17</v>
      </c>
      <c r="J43" s="87" t="s">
        <v>2192</v>
      </c>
      <c r="K43" s="31">
        <f t="shared" si="6"/>
        <v>11</v>
      </c>
      <c r="L43" s="32">
        <f t="shared" si="7"/>
        <v>0.6071428571428571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 t="s">
        <v>2213</v>
      </c>
      <c r="AN43" s="70" t="s">
        <v>2213</v>
      </c>
      <c r="AO43" s="70" t="s">
        <v>2213</v>
      </c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26</v>
      </c>
      <c r="J44" s="153" t="s">
        <v>2248</v>
      </c>
      <c r="K44" s="31">
        <f t="shared" si="6"/>
        <v>2</v>
      </c>
      <c r="L44" s="32">
        <f t="shared" si="7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 t="s">
        <v>2213</v>
      </c>
      <c r="AN44" s="70" t="s">
        <v>2213</v>
      </c>
      <c r="AO44" s="70" t="s">
        <v>2213</v>
      </c>
      <c r="AP44" s="70" t="s">
        <v>2213</v>
      </c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26</v>
      </c>
      <c r="J45" s="153" t="s">
        <v>2253</v>
      </c>
      <c r="K45" s="31">
        <f t="shared" si="6"/>
        <v>2</v>
      </c>
      <c r="L45" s="32">
        <f t="shared" si="7"/>
        <v>0.9285714285714286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 t="s">
        <v>2213</v>
      </c>
      <c r="AN45" s="70" t="s">
        <v>2213</v>
      </c>
      <c r="AO45" s="70" t="s">
        <v>2213</v>
      </c>
      <c r="AP45" s="70" t="s">
        <v>2213</v>
      </c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</v>
      </c>
      <c r="J89" s="147" t="s">
        <v>1733</v>
      </c>
      <c r="K89" s="31">
        <f t="shared" si="9"/>
        <v>26</v>
      </c>
      <c r="L89" s="32">
        <f t="shared" si="10"/>
        <v>7.1428571428571425E-2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 t="s">
        <v>2213</v>
      </c>
      <c r="AO89" s="70" t="s">
        <v>2213</v>
      </c>
      <c r="AP89" s="70" t="s">
        <v>2213</v>
      </c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24</v>
      </c>
      <c r="J95" s="147" t="s">
        <v>1739</v>
      </c>
      <c r="K95" s="142">
        <f t="shared" si="9"/>
        <v>4</v>
      </c>
      <c r="L95" s="143">
        <f t="shared" si="10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 t="s">
        <v>2213</v>
      </c>
      <c r="AO95" s="70" t="s">
        <v>2213</v>
      </c>
      <c r="AP95" s="89" t="s">
        <v>2213</v>
      </c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 t="s">
        <v>2213</v>
      </c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</v>
      </c>
      <c r="J99" s="147" t="s">
        <v>1743</v>
      </c>
      <c r="K99" s="142">
        <f t="shared" si="9"/>
        <v>27</v>
      </c>
      <c r="L99" s="143">
        <f t="shared" si="10"/>
        <v>3.5714285714285712E-2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 t="s">
        <v>2213</v>
      </c>
      <c r="AO99" s="70" t="s">
        <v>2213</v>
      </c>
      <c r="AP99" s="89" t="s">
        <v>2213</v>
      </c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23</v>
      </c>
      <c r="J112" s="147" t="s">
        <v>1756</v>
      </c>
      <c r="K112" s="142">
        <f t="shared" si="9"/>
        <v>5</v>
      </c>
      <c r="L112" s="143">
        <f t="shared" si="10"/>
        <v>0.8214285714285714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 t="s">
        <v>2213</v>
      </c>
      <c r="AN112" s="70" t="s">
        <v>2213</v>
      </c>
      <c r="AO112" s="70" t="s">
        <v>2213</v>
      </c>
      <c r="AP112" s="89" t="s">
        <v>2213</v>
      </c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23</v>
      </c>
      <c r="J113" s="147" t="s">
        <v>1755</v>
      </c>
      <c r="K113" s="142">
        <f t="shared" si="9"/>
        <v>5</v>
      </c>
      <c r="L113" s="143">
        <f t="shared" si="10"/>
        <v>0.8214285714285714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 t="s">
        <v>2213</v>
      </c>
      <c r="AN113" s="70" t="s">
        <v>2213</v>
      </c>
      <c r="AO113" s="70" t="s">
        <v>2213</v>
      </c>
      <c r="AP113" s="89" t="s">
        <v>2213</v>
      </c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 t="s">
        <v>2213</v>
      </c>
      <c r="AP120" s="89" t="s">
        <v>2213</v>
      </c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 t="s">
        <v>2213</v>
      </c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 t="s">
        <v>2213</v>
      </c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16</v>
      </c>
      <c r="J151" s="87"/>
      <c r="K151" s="31">
        <f t="shared" si="9"/>
        <v>12</v>
      </c>
      <c r="L151" s="32">
        <f t="shared" si="10"/>
        <v>0.5714285714285714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2213</v>
      </c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0</v>
      </c>
      <c r="J168" s="147" t="s">
        <v>1801</v>
      </c>
      <c r="K168" s="31">
        <f t="shared" si="12"/>
        <v>28</v>
      </c>
      <c r="L168" s="32">
        <f t="shared" si="13"/>
        <v>0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 t="s">
        <v>2213</v>
      </c>
      <c r="AN168" s="70" t="s">
        <v>2213</v>
      </c>
      <c r="AO168" s="70" t="s">
        <v>2213</v>
      </c>
      <c r="AP168" s="70" t="s">
        <v>2213</v>
      </c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17</v>
      </c>
      <c r="J169" s="147" t="s">
        <v>1802</v>
      </c>
      <c r="K169" s="31">
        <f t="shared" si="12"/>
        <v>11</v>
      </c>
      <c r="L169" s="32">
        <f t="shared" si="13"/>
        <v>0.6071428571428571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 t="s">
        <v>2213</v>
      </c>
      <c r="AN169" s="70" t="s">
        <v>2213</v>
      </c>
      <c r="AO169" s="70" t="s">
        <v>2213</v>
      </c>
      <c r="AP169" s="70" t="s">
        <v>2213</v>
      </c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16</v>
      </c>
      <c r="J180" s="147" t="s">
        <v>1812</v>
      </c>
      <c r="K180" s="31">
        <f t="shared" si="12"/>
        <v>12</v>
      </c>
      <c r="L180" s="32">
        <f t="shared" si="13"/>
        <v>0.5714285714285714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 t="s">
        <v>2213</v>
      </c>
      <c r="AN180" s="70" t="s">
        <v>2213</v>
      </c>
      <c r="AO180" s="70" t="s">
        <v>2213</v>
      </c>
      <c r="AP180" s="70" t="s">
        <v>2213</v>
      </c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16</v>
      </c>
      <c r="J181" s="147" t="s">
        <v>1813</v>
      </c>
      <c r="K181" s="31">
        <f t="shared" si="12"/>
        <v>12</v>
      </c>
      <c r="L181" s="32">
        <f t="shared" si="13"/>
        <v>0.5714285714285714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 t="s">
        <v>2213</v>
      </c>
      <c r="AN181" s="70" t="s">
        <v>2213</v>
      </c>
      <c r="AO181" s="70" t="s">
        <v>2213</v>
      </c>
      <c r="AP181" s="70" t="s">
        <v>2213</v>
      </c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16</v>
      </c>
      <c r="J182" s="147" t="s">
        <v>1814</v>
      </c>
      <c r="K182" s="31">
        <f t="shared" si="12"/>
        <v>12</v>
      </c>
      <c r="L182" s="32">
        <f t="shared" si="13"/>
        <v>0.5714285714285714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 t="s">
        <v>2213</v>
      </c>
      <c r="AN182" s="70" t="s">
        <v>2213</v>
      </c>
      <c r="AO182" s="70" t="s">
        <v>2213</v>
      </c>
      <c r="AP182" s="70" t="s">
        <v>2213</v>
      </c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14</v>
      </c>
      <c r="J183" s="147" t="s">
        <v>1815</v>
      </c>
      <c r="K183" s="31">
        <f t="shared" si="12"/>
        <v>14</v>
      </c>
      <c r="L183" s="32">
        <f t="shared" si="13"/>
        <v>0.5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 t="s">
        <v>2213</v>
      </c>
      <c r="AN183" s="70" t="s">
        <v>2213</v>
      </c>
      <c r="AO183" s="70" t="s">
        <v>2213</v>
      </c>
      <c r="AP183" s="70" t="s">
        <v>2213</v>
      </c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26</v>
      </c>
      <c r="J191" s="147" t="s">
        <v>1820</v>
      </c>
      <c r="K191" s="31">
        <f t="shared" si="12"/>
        <v>2</v>
      </c>
      <c r="L191" s="32">
        <f t="shared" si="13"/>
        <v>0.9285714285714286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 t="s">
        <v>2213</v>
      </c>
      <c r="AN191" s="70" t="s">
        <v>2213</v>
      </c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26</v>
      </c>
      <c r="J192" s="147" t="s">
        <v>1821</v>
      </c>
      <c r="K192" s="31">
        <f t="shared" si="12"/>
        <v>2</v>
      </c>
      <c r="L192" s="32">
        <f t="shared" si="13"/>
        <v>0.9285714285714286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 t="s">
        <v>2213</v>
      </c>
      <c r="AN192" s="70" t="s">
        <v>2213</v>
      </c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</v>
      </c>
      <c r="J193" s="87"/>
      <c r="K193" s="138">
        <f t="shared" si="12"/>
        <v>27</v>
      </c>
      <c r="L193" s="139">
        <f t="shared" si="13"/>
        <v>3.5714285714285712E-2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 t="s">
        <v>2213</v>
      </c>
      <c r="AN193" s="140" t="s">
        <v>2213</v>
      </c>
      <c r="AO193" s="140" t="s">
        <v>2213</v>
      </c>
      <c r="AP193" s="140" t="s">
        <v>2213</v>
      </c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1822</v>
      </c>
      <c r="K194" s="142">
        <f t="shared" si="12"/>
        <v>16</v>
      </c>
      <c r="L194" s="143">
        <f t="shared" si="13"/>
        <v>0.42857142857142855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 t="s">
        <v>2213</v>
      </c>
      <c r="AN194" s="70"/>
      <c r="AO194" s="70" t="s">
        <v>2213</v>
      </c>
      <c r="AP194" s="89" t="s">
        <v>2213</v>
      </c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9</v>
      </c>
      <c r="J195" s="147" t="s">
        <v>1823</v>
      </c>
      <c r="K195" s="142">
        <f t="shared" si="12"/>
        <v>19</v>
      </c>
      <c r="L195" s="143">
        <f t="shared" si="13"/>
        <v>0.32142857142857145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 t="s">
        <v>2213</v>
      </c>
      <c r="AN195" s="70"/>
      <c r="AO195" s="70" t="s">
        <v>2213</v>
      </c>
      <c r="AP195" s="89" t="s">
        <v>2213</v>
      </c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 t="s">
        <v>2213</v>
      </c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0</v>
      </c>
      <c r="J201" s="147" t="s">
        <v>1828</v>
      </c>
      <c r="K201" s="31">
        <f t="shared" si="12"/>
        <v>28</v>
      </c>
      <c r="L201" s="32">
        <f t="shared" si="13"/>
        <v>0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 t="s">
        <v>2213</v>
      </c>
      <c r="AN201" s="70" t="s">
        <v>2213</v>
      </c>
      <c r="AO201" s="70" t="s">
        <v>2213</v>
      </c>
      <c r="AP201" s="70" t="s">
        <v>2213</v>
      </c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 t="s">
        <v>2213</v>
      </c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10</v>
      </c>
      <c r="J211" s="147" t="s">
        <v>1837</v>
      </c>
      <c r="K211" s="142">
        <f t="shared" si="12"/>
        <v>18</v>
      </c>
      <c r="L211" s="143">
        <f t="shared" si="13"/>
        <v>0.35714285714285715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 t="s">
        <v>2213</v>
      </c>
      <c r="AN211" s="70" t="s">
        <v>2213</v>
      </c>
      <c r="AO211" s="70" t="s">
        <v>2213</v>
      </c>
      <c r="AP211" s="89" t="s">
        <v>2213</v>
      </c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 t="s">
        <v>2213</v>
      </c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8</v>
      </c>
      <c r="J219" s="87"/>
      <c r="K219" s="31">
        <f t="shared" si="12"/>
        <v>20</v>
      </c>
      <c r="L219" s="32">
        <f t="shared" si="13"/>
        <v>0.2857142857142857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 t="s">
        <v>2213</v>
      </c>
      <c r="AN219" s="70" t="s">
        <v>2213</v>
      </c>
      <c r="AO219" s="70" t="s">
        <v>2213</v>
      </c>
      <c r="AP219" s="70" t="s">
        <v>2213</v>
      </c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8</v>
      </c>
      <c r="J220" s="87"/>
      <c r="K220" s="31">
        <f t="shared" si="12"/>
        <v>20</v>
      </c>
      <c r="L220" s="32">
        <f t="shared" si="13"/>
        <v>0.2857142857142857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 t="s">
        <v>2213</v>
      </c>
      <c r="AN220" s="70" t="s">
        <v>2213</v>
      </c>
      <c r="AO220" s="70" t="s">
        <v>2213</v>
      </c>
      <c r="AP220" s="70" t="s">
        <v>2213</v>
      </c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15</v>
      </c>
      <c r="J232" s="147" t="s">
        <v>1852</v>
      </c>
      <c r="K232" s="31">
        <f t="shared" si="12"/>
        <v>13</v>
      </c>
      <c r="L232" s="32">
        <f t="shared" si="13"/>
        <v>0.5357142857142857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 t="s">
        <v>2213</v>
      </c>
      <c r="AN232" s="70" t="s">
        <v>2213</v>
      </c>
      <c r="AO232" s="70" t="s">
        <v>2213</v>
      </c>
      <c r="AP232" s="70" t="s">
        <v>2213</v>
      </c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 t="s">
        <v>2213</v>
      </c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</v>
      </c>
      <c r="J234" s="147" t="s">
        <v>1854</v>
      </c>
      <c r="K234" s="31">
        <f t="shared" si="12"/>
        <v>27</v>
      </c>
      <c r="L234" s="32">
        <f t="shared" si="13"/>
        <v>3.5714285714285712E-2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 t="s">
        <v>2213</v>
      </c>
      <c r="AN234" s="70" t="s">
        <v>2213</v>
      </c>
      <c r="AO234" s="70" t="s">
        <v>2213</v>
      </c>
      <c r="AP234" s="70" t="s">
        <v>2213</v>
      </c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 t="s">
        <v>2213</v>
      </c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 t="s">
        <v>2213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 t="s">
        <v>2213</v>
      </c>
      <c r="AN246" s="70" t="s">
        <v>2213</v>
      </c>
      <c r="AO246" s="70" t="s">
        <v>2213</v>
      </c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1876</v>
      </c>
      <c r="K260" s="31">
        <f t="shared" si="15"/>
        <v>4</v>
      </c>
      <c r="L260" s="32">
        <f t="shared" si="16"/>
        <v>0.8571428571428571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 t="s">
        <v>2213</v>
      </c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1864</v>
      </c>
      <c r="K262" s="31">
        <f t="shared" si="15"/>
        <v>4</v>
      </c>
      <c r="L262" s="32">
        <f t="shared" si="16"/>
        <v>0.8571428571428571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 t="s">
        <v>2213</v>
      </c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27</v>
      </c>
      <c r="J264" s="147" t="s">
        <v>1879</v>
      </c>
      <c r="K264" s="31">
        <f t="shared" si="15"/>
        <v>1</v>
      </c>
      <c r="L264" s="32">
        <f t="shared" si="16"/>
        <v>0.9642857142857143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 t="s">
        <v>2213</v>
      </c>
      <c r="AO264" s="70" t="s">
        <v>2213</v>
      </c>
      <c r="AP264" s="70" t="s">
        <v>2213</v>
      </c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</v>
      </c>
      <c r="J281" s="147" t="s">
        <v>1893</v>
      </c>
      <c r="K281" s="31">
        <f t="shared" si="15"/>
        <v>27</v>
      </c>
      <c r="L281" s="32">
        <f t="shared" si="16"/>
        <v>3.5714285714285712E-2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 t="s">
        <v>2213</v>
      </c>
      <c r="AN281" s="70" t="s">
        <v>2213</v>
      </c>
      <c r="AO281" s="70" t="s">
        <v>2213</v>
      </c>
      <c r="AP281" s="70" t="s">
        <v>2213</v>
      </c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0</v>
      </c>
      <c r="J296" s="147" t="s">
        <v>1907</v>
      </c>
      <c r="K296" s="31">
        <f t="shared" si="15"/>
        <v>28</v>
      </c>
      <c r="L296" s="32">
        <f t="shared" si="16"/>
        <v>0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 t="s">
        <v>2213</v>
      </c>
      <c r="AN296" s="70" t="s">
        <v>2213</v>
      </c>
      <c r="AO296" s="70" t="s">
        <v>2213</v>
      </c>
      <c r="AP296" s="70" t="s">
        <v>2213</v>
      </c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0</v>
      </c>
      <c r="J308" s="147" t="s">
        <v>1918</v>
      </c>
      <c r="K308" s="142">
        <f t="shared" si="15"/>
        <v>28</v>
      </c>
      <c r="L308" s="143">
        <f t="shared" si="16"/>
        <v>0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 t="s">
        <v>2213</v>
      </c>
      <c r="AN308" s="70" t="s">
        <v>2213</v>
      </c>
      <c r="AO308" s="70" t="s">
        <v>2213</v>
      </c>
      <c r="AP308" s="89" t="s">
        <v>2213</v>
      </c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0</v>
      </c>
      <c r="J310" s="147" t="s">
        <v>1919</v>
      </c>
      <c r="K310" s="31">
        <f t="shared" ref="K310:K380" si="18">COUNTIF(M310:AN310,"APAGADO")</f>
        <v>28</v>
      </c>
      <c r="L310" s="32">
        <f t="shared" ref="L310:L380" si="19">(I310)/(K310+I310)</f>
        <v>0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 t="s">
        <v>2213</v>
      </c>
      <c r="AN310" s="70" t="s">
        <v>2213</v>
      </c>
      <c r="AO310" s="70" t="s">
        <v>2213</v>
      </c>
      <c r="AP310" s="89" t="s">
        <v>2213</v>
      </c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0</v>
      </c>
      <c r="J311" s="147" t="s">
        <v>1920</v>
      </c>
      <c r="K311" s="142">
        <f t="shared" si="18"/>
        <v>28</v>
      </c>
      <c r="L311" s="143">
        <f t="shared" si="19"/>
        <v>0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 t="s">
        <v>2213</v>
      </c>
      <c r="AN311" s="70" t="s">
        <v>2213</v>
      </c>
      <c r="AO311" s="70" t="s">
        <v>2213</v>
      </c>
      <c r="AP311" s="89" t="s">
        <v>2213</v>
      </c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0</v>
      </c>
      <c r="J312" s="87" t="s">
        <v>2197</v>
      </c>
      <c r="K312" s="142">
        <f t="shared" si="18"/>
        <v>28</v>
      </c>
      <c r="L312" s="143">
        <f t="shared" si="19"/>
        <v>0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 t="s">
        <v>2213</v>
      </c>
      <c r="AN312" s="70" t="s">
        <v>2213</v>
      </c>
      <c r="AO312" s="70" t="s">
        <v>2213</v>
      </c>
      <c r="AP312" s="89" t="s">
        <v>2213</v>
      </c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0</v>
      </c>
      <c r="J313" s="147" t="s">
        <v>1921</v>
      </c>
      <c r="K313" s="142">
        <f t="shared" si="18"/>
        <v>28</v>
      </c>
      <c r="L313" s="143">
        <f t="shared" si="19"/>
        <v>0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 t="s">
        <v>2213</v>
      </c>
      <c r="AN313" s="70" t="s">
        <v>2213</v>
      </c>
      <c r="AO313" s="70" t="s">
        <v>2213</v>
      </c>
      <c r="AP313" s="89" t="s">
        <v>2213</v>
      </c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</v>
      </c>
      <c r="J314" s="147" t="s">
        <v>1922</v>
      </c>
      <c r="K314" s="31">
        <f t="shared" si="18"/>
        <v>26</v>
      </c>
      <c r="L314" s="32">
        <f t="shared" si="19"/>
        <v>7.1428571428571425E-2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 t="s">
        <v>2213</v>
      </c>
      <c r="AN314" s="70" t="s">
        <v>2213</v>
      </c>
      <c r="AO314" s="70" t="s">
        <v>2213</v>
      </c>
      <c r="AP314" s="70" t="s">
        <v>2213</v>
      </c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13</v>
      </c>
      <c r="J315" s="147" t="s">
        <v>1923</v>
      </c>
      <c r="K315" s="31">
        <f t="shared" si="18"/>
        <v>15</v>
      </c>
      <c r="L315" s="32">
        <f t="shared" si="19"/>
        <v>0.4642857142857143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 t="s">
        <v>2213</v>
      </c>
      <c r="AN315" s="70" t="s">
        <v>2213</v>
      </c>
      <c r="AO315" s="70" t="s">
        <v>2213</v>
      </c>
      <c r="AP315" s="70" t="s">
        <v>2213</v>
      </c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20</v>
      </c>
      <c r="J316" s="147" t="s">
        <v>1924</v>
      </c>
      <c r="K316" s="31">
        <f t="shared" si="18"/>
        <v>8</v>
      </c>
      <c r="L316" s="32">
        <f t="shared" si="19"/>
        <v>0.7142857142857143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 t="s">
        <v>2213</v>
      </c>
      <c r="AN316" s="70" t="s">
        <v>2213</v>
      </c>
      <c r="AO316" s="70" t="s">
        <v>2213</v>
      </c>
      <c r="AP316" s="70" t="s">
        <v>2213</v>
      </c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18</v>
      </c>
      <c r="J326" s="147" t="s">
        <v>1934</v>
      </c>
      <c r="K326" s="31">
        <f t="shared" si="18"/>
        <v>10</v>
      </c>
      <c r="L326" s="32">
        <f t="shared" si="19"/>
        <v>0.6428571428571429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 t="s">
        <v>2213</v>
      </c>
      <c r="AN326" s="70" t="s">
        <v>2213</v>
      </c>
      <c r="AO326" s="70" t="s">
        <v>2213</v>
      </c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17</v>
      </c>
      <c r="J327" s="147" t="s">
        <v>1935</v>
      </c>
      <c r="K327" s="31">
        <f t="shared" si="18"/>
        <v>11</v>
      </c>
      <c r="L327" s="32">
        <f t="shared" si="19"/>
        <v>0.6071428571428571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 t="s">
        <v>2213</v>
      </c>
      <c r="AN327" s="70" t="s">
        <v>2213</v>
      </c>
      <c r="AO327" s="70" t="s">
        <v>2213</v>
      </c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17</v>
      </c>
      <c r="J328" s="147" t="s">
        <v>1936</v>
      </c>
      <c r="K328" s="31">
        <f t="shared" si="18"/>
        <v>11</v>
      </c>
      <c r="L328" s="32">
        <f t="shared" si="19"/>
        <v>0.6071428571428571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 t="s">
        <v>2213</v>
      </c>
      <c r="AN328" s="70" t="s">
        <v>2213</v>
      </c>
      <c r="AO328" s="70" t="s">
        <v>2213</v>
      </c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17</v>
      </c>
      <c r="J329" s="147" t="s">
        <v>1937</v>
      </c>
      <c r="K329" s="31">
        <f t="shared" si="18"/>
        <v>11</v>
      </c>
      <c r="L329" s="32">
        <f t="shared" si="19"/>
        <v>0.6071428571428571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 t="s">
        <v>2213</v>
      </c>
      <c r="AN329" s="70" t="s">
        <v>2213</v>
      </c>
      <c r="AO329" s="70" t="s">
        <v>2213</v>
      </c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17</v>
      </c>
      <c r="J330" s="153" t="s">
        <v>2241</v>
      </c>
      <c r="K330" s="31">
        <f t="shared" si="18"/>
        <v>11</v>
      </c>
      <c r="L330" s="32">
        <f t="shared" si="19"/>
        <v>0.6071428571428571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 t="s">
        <v>2213</v>
      </c>
      <c r="AN330" s="70" t="s">
        <v>2213</v>
      </c>
      <c r="AO330" s="70" t="s">
        <v>2213</v>
      </c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17</v>
      </c>
      <c r="J331" s="147" t="s">
        <v>2245</v>
      </c>
      <c r="K331" s="31">
        <f t="shared" si="18"/>
        <v>11</v>
      </c>
      <c r="L331" s="32">
        <f t="shared" si="19"/>
        <v>0.6071428571428571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 t="s">
        <v>2213</v>
      </c>
      <c r="AN331" s="70" t="s">
        <v>2213</v>
      </c>
      <c r="AO331" s="70" t="s">
        <v>2213</v>
      </c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 t="s">
        <v>2213</v>
      </c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27</v>
      </c>
      <c r="J364" s="147" t="s">
        <v>2147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2213</v>
      </c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</v>
      </c>
      <c r="J375" s="73"/>
      <c r="K375" s="31">
        <f t="shared" si="18"/>
        <v>27</v>
      </c>
      <c r="L375" s="32">
        <f t="shared" si="19"/>
        <v>3.5714285714285712E-2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 t="s">
        <v>2213</v>
      </c>
      <c r="AN375" s="93" t="s">
        <v>2213</v>
      </c>
      <c r="AO375" s="93" t="s">
        <v>2213</v>
      </c>
      <c r="AP375" s="93" t="s">
        <v>2213</v>
      </c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19</v>
      </c>
      <c r="J378" s="147" t="s">
        <v>1975</v>
      </c>
      <c r="K378" s="31">
        <f t="shared" si="18"/>
        <v>9</v>
      </c>
      <c r="L378" s="32">
        <f t="shared" si="19"/>
        <v>0.6785714285714286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 t="s">
        <v>2213</v>
      </c>
      <c r="AN378" s="70" t="s">
        <v>2213</v>
      </c>
      <c r="AO378" s="70" t="s">
        <v>2213</v>
      </c>
      <c r="AP378" s="70" t="s">
        <v>2213</v>
      </c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19</v>
      </c>
      <c r="J379" s="147" t="s">
        <v>1976</v>
      </c>
      <c r="K379" s="31">
        <f t="shared" si="18"/>
        <v>9</v>
      </c>
      <c r="L379" s="32">
        <f t="shared" si="19"/>
        <v>0.6785714285714286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 t="s">
        <v>2213</v>
      </c>
      <c r="AN379" s="70" t="s">
        <v>2213</v>
      </c>
      <c r="AO379" s="70" t="s">
        <v>2213</v>
      </c>
      <c r="AP379" s="70" t="s">
        <v>2213</v>
      </c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19</v>
      </c>
      <c r="J380" s="147" t="s">
        <v>1977</v>
      </c>
      <c r="K380" s="31">
        <f t="shared" si="18"/>
        <v>9</v>
      </c>
      <c r="L380" s="32">
        <f t="shared" si="19"/>
        <v>0.6785714285714286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 t="s">
        <v>2213</v>
      </c>
      <c r="AN380" s="70" t="s">
        <v>2213</v>
      </c>
      <c r="AO380" s="70" t="s">
        <v>2213</v>
      </c>
      <c r="AP380" s="70" t="s">
        <v>2213</v>
      </c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 t="s">
        <v>2213</v>
      </c>
      <c r="AN383" s="70" t="s">
        <v>2213</v>
      </c>
      <c r="AO383" s="70"/>
      <c r="AP383" s="70" t="s">
        <v>2213</v>
      </c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 t="s">
        <v>2213</v>
      </c>
      <c r="AN384" s="70" t="s">
        <v>2213</v>
      </c>
      <c r="AO384" s="70" t="s">
        <v>2213</v>
      </c>
      <c r="AP384" s="70" t="s">
        <v>2213</v>
      </c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21</v>
      </c>
      <c r="J385" s="147" t="s">
        <v>1982</v>
      </c>
      <c r="K385" s="31">
        <f t="shared" si="21"/>
        <v>7</v>
      </c>
      <c r="L385" s="32">
        <f t="shared" si="22"/>
        <v>0.75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 t="s">
        <v>2213</v>
      </c>
      <c r="AN385" s="70" t="s">
        <v>2213</v>
      </c>
      <c r="AO385" s="70" t="s">
        <v>2213</v>
      </c>
      <c r="AP385" s="70" t="s">
        <v>2213</v>
      </c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21</v>
      </c>
      <c r="J386" s="147" t="s">
        <v>1983</v>
      </c>
      <c r="K386" s="31">
        <f t="shared" si="21"/>
        <v>7</v>
      </c>
      <c r="L386" s="32">
        <f t="shared" si="22"/>
        <v>0.75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 t="s">
        <v>2213</v>
      </c>
      <c r="AN386" s="70" t="s">
        <v>2213</v>
      </c>
      <c r="AO386" s="70" t="s">
        <v>2213</v>
      </c>
      <c r="AP386" s="70" t="s">
        <v>2213</v>
      </c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0</v>
      </c>
      <c r="J388" s="147" t="s">
        <v>1985</v>
      </c>
      <c r="K388" s="31">
        <f t="shared" si="21"/>
        <v>28</v>
      </c>
      <c r="L388" s="32">
        <f t="shared" si="22"/>
        <v>0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 t="s">
        <v>2213</v>
      </c>
      <c r="AN388" s="70" t="s">
        <v>2213</v>
      </c>
      <c r="AO388" s="70" t="s">
        <v>2213</v>
      </c>
      <c r="AP388" s="70" t="s">
        <v>2213</v>
      </c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0</v>
      </c>
      <c r="J389" s="147" t="s">
        <v>1986</v>
      </c>
      <c r="K389" s="31">
        <f t="shared" si="21"/>
        <v>28</v>
      </c>
      <c r="L389" s="32">
        <f t="shared" si="22"/>
        <v>0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 t="s">
        <v>2213</v>
      </c>
      <c r="AN389" s="70" t="s">
        <v>2213</v>
      </c>
      <c r="AO389" s="70" t="s">
        <v>2213</v>
      </c>
      <c r="AP389" s="70" t="s">
        <v>2213</v>
      </c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0</v>
      </c>
      <c r="J393" s="87"/>
      <c r="K393" s="31">
        <f t="shared" si="21"/>
        <v>28</v>
      </c>
      <c r="L393" s="32">
        <f t="shared" si="22"/>
        <v>0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 t="s">
        <v>2213</v>
      </c>
      <c r="AN393" s="84" t="s">
        <v>2213</v>
      </c>
      <c r="AO393" s="84" t="s">
        <v>2213</v>
      </c>
      <c r="AP393" s="90" t="s">
        <v>2213</v>
      </c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10</v>
      </c>
      <c r="J395" s="87"/>
      <c r="K395" s="31">
        <f t="shared" si="21"/>
        <v>18</v>
      </c>
      <c r="L395" s="32">
        <f t="shared" si="22"/>
        <v>0.35714285714285715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 t="s">
        <v>2213</v>
      </c>
      <c r="AN395" s="70" t="s">
        <v>2213</v>
      </c>
      <c r="AO395" s="70" t="s">
        <v>2213</v>
      </c>
      <c r="AP395" s="70" t="s">
        <v>2213</v>
      </c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0</v>
      </c>
      <c r="J399" s="147" t="s">
        <v>1991</v>
      </c>
      <c r="K399" s="87">
        <f t="shared" si="21"/>
        <v>28</v>
      </c>
      <c r="L399" s="88">
        <f t="shared" si="22"/>
        <v>0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 t="s">
        <v>2213</v>
      </c>
      <c r="AN399" s="89" t="s">
        <v>2213</v>
      </c>
      <c r="AO399" s="89" t="s">
        <v>2213</v>
      </c>
      <c r="AP399" s="89" t="s">
        <v>2213</v>
      </c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0</v>
      </c>
      <c r="J401" s="147" t="s">
        <v>1992</v>
      </c>
      <c r="K401" s="31">
        <f t="shared" si="21"/>
        <v>28</v>
      </c>
      <c r="L401" s="32">
        <f t="shared" si="22"/>
        <v>0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 t="s">
        <v>2213</v>
      </c>
      <c r="AN401" s="70" t="s">
        <v>2213</v>
      </c>
      <c r="AO401" s="70" t="s">
        <v>2213</v>
      </c>
      <c r="AP401" s="70" t="s">
        <v>2213</v>
      </c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0</v>
      </c>
      <c r="J402" s="147" t="s">
        <v>1993</v>
      </c>
      <c r="K402" s="31">
        <f t="shared" si="21"/>
        <v>28</v>
      </c>
      <c r="L402" s="32">
        <f t="shared" si="22"/>
        <v>0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 t="s">
        <v>2213</v>
      </c>
      <c r="AN402" s="70" t="s">
        <v>2213</v>
      </c>
      <c r="AO402" s="70" t="s">
        <v>2213</v>
      </c>
      <c r="AP402" s="70" t="s">
        <v>2213</v>
      </c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7</v>
      </c>
      <c r="J407" s="87" t="s">
        <v>2152</v>
      </c>
      <c r="K407" s="142">
        <f t="shared" si="21"/>
        <v>21</v>
      </c>
      <c r="L407" s="143">
        <f t="shared" si="22"/>
        <v>0.25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 t="s">
        <v>2213</v>
      </c>
      <c r="AN407" s="70" t="s">
        <v>2213</v>
      </c>
      <c r="AO407" s="70" t="s">
        <v>2213</v>
      </c>
      <c r="AP407" s="89" t="s">
        <v>2213</v>
      </c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3</v>
      </c>
      <c r="J413" s="147" t="s">
        <v>1998</v>
      </c>
      <c r="K413" s="142">
        <f t="shared" si="21"/>
        <v>25</v>
      </c>
      <c r="L413" s="143">
        <f t="shared" si="22"/>
        <v>0.10714285714285714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 t="s">
        <v>2213</v>
      </c>
      <c r="AN413" s="70" t="s">
        <v>2213</v>
      </c>
      <c r="AO413" s="70" t="s">
        <v>2213</v>
      </c>
      <c r="AP413" s="89" t="s">
        <v>2213</v>
      </c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0</v>
      </c>
      <c r="J415" s="87"/>
      <c r="K415" s="31">
        <f t="shared" si="21"/>
        <v>28</v>
      </c>
      <c r="L415" s="32">
        <f t="shared" si="22"/>
        <v>0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 t="s">
        <v>2213</v>
      </c>
      <c r="AN415" s="93" t="s">
        <v>2213</v>
      </c>
      <c r="AO415" s="93" t="s">
        <v>2213</v>
      </c>
      <c r="AP415" s="93" t="s">
        <v>2213</v>
      </c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5</v>
      </c>
      <c r="J416" s="147" t="s">
        <v>2000</v>
      </c>
      <c r="K416" s="142">
        <f t="shared" si="21"/>
        <v>23</v>
      </c>
      <c r="L416" s="143">
        <f t="shared" si="22"/>
        <v>0.17857142857142858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 t="s">
        <v>2213</v>
      </c>
      <c r="AN416" s="70" t="s">
        <v>2213</v>
      </c>
      <c r="AO416" s="70" t="s">
        <v>2213</v>
      </c>
      <c r="AP416" s="89" t="s">
        <v>2213</v>
      </c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</v>
      </c>
      <c r="J420" s="147" t="s">
        <v>2003</v>
      </c>
      <c r="K420" s="31">
        <f t="shared" si="21"/>
        <v>26</v>
      </c>
      <c r="L420" s="32">
        <f t="shared" si="22"/>
        <v>7.1428571428571425E-2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 t="s">
        <v>2213</v>
      </c>
      <c r="AN420" s="70" t="s">
        <v>2213</v>
      </c>
      <c r="AO420" s="70" t="s">
        <v>2213</v>
      </c>
      <c r="AP420" s="70" t="s">
        <v>2213</v>
      </c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</v>
      </c>
      <c r="J421" s="147" t="s">
        <v>2004</v>
      </c>
      <c r="K421" s="31">
        <f t="shared" si="21"/>
        <v>26</v>
      </c>
      <c r="L421" s="32">
        <f t="shared" si="22"/>
        <v>7.1428571428571425E-2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 t="s">
        <v>2213</v>
      </c>
      <c r="AN421" s="70" t="s">
        <v>2213</v>
      </c>
      <c r="AO421" s="70" t="s">
        <v>2213</v>
      </c>
      <c r="AP421" s="70" t="s">
        <v>2213</v>
      </c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14</v>
      </c>
      <c r="J429" s="147" t="s">
        <v>2011</v>
      </c>
      <c r="K429" s="31">
        <f t="shared" si="21"/>
        <v>14</v>
      </c>
      <c r="L429" s="32">
        <f t="shared" si="22"/>
        <v>0.5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 t="s">
        <v>2213</v>
      </c>
      <c r="AN429" s="70" t="s">
        <v>2213</v>
      </c>
      <c r="AO429" s="70" t="s">
        <v>2213</v>
      </c>
      <c r="AP429" s="70" t="s">
        <v>2213</v>
      </c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9</v>
      </c>
      <c r="J430" s="147" t="s">
        <v>2012</v>
      </c>
      <c r="K430" s="31">
        <f t="shared" si="21"/>
        <v>19</v>
      </c>
      <c r="L430" s="32">
        <f t="shared" si="22"/>
        <v>0.32142857142857145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 t="s">
        <v>2213</v>
      </c>
      <c r="AN430" s="70" t="s">
        <v>2213</v>
      </c>
      <c r="AO430" s="70" t="s">
        <v>2213</v>
      </c>
      <c r="AP430" s="70" t="s">
        <v>2213</v>
      </c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</v>
      </c>
      <c r="J436" s="147" t="s">
        <v>2017</v>
      </c>
      <c r="K436" s="31">
        <f t="shared" si="21"/>
        <v>26</v>
      </c>
      <c r="L436" s="32">
        <f t="shared" si="22"/>
        <v>7.1428571428571425E-2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 t="s">
        <v>2213</v>
      </c>
      <c r="AN436" s="70" t="s">
        <v>2213</v>
      </c>
      <c r="AO436" s="70" t="s">
        <v>2213</v>
      </c>
      <c r="AP436" s="70" t="s">
        <v>2213</v>
      </c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10</v>
      </c>
      <c r="J441" s="147" t="s">
        <v>2018</v>
      </c>
      <c r="K441" s="31">
        <f t="shared" si="21"/>
        <v>18</v>
      </c>
      <c r="L441" s="32">
        <f t="shared" si="22"/>
        <v>0.35714285714285715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 t="s">
        <v>2213</v>
      </c>
      <c r="AN441" s="70" t="s">
        <v>2213</v>
      </c>
      <c r="AO441" s="70" t="s">
        <v>2213</v>
      </c>
      <c r="AP441" s="70" t="s">
        <v>2213</v>
      </c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0</v>
      </c>
      <c r="J442" s="147" t="s">
        <v>2019</v>
      </c>
      <c r="K442" s="31">
        <f t="shared" si="21"/>
        <v>28</v>
      </c>
      <c r="L442" s="32">
        <f t="shared" si="22"/>
        <v>0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 t="s">
        <v>2213</v>
      </c>
      <c r="AN442" s="70" t="s">
        <v>2213</v>
      </c>
      <c r="AO442" s="70" t="s">
        <v>2213</v>
      </c>
      <c r="AP442" s="70" t="s">
        <v>2213</v>
      </c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27</v>
      </c>
      <c r="J444" s="147" t="s">
        <v>2021</v>
      </c>
      <c r="K444" s="142">
        <f t="shared" si="21"/>
        <v>1</v>
      </c>
      <c r="L444" s="143">
        <f t="shared" si="22"/>
        <v>0.9642857142857143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 t="s">
        <v>2213</v>
      </c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27</v>
      </c>
      <c r="J445" s="147" t="s">
        <v>2022</v>
      </c>
      <c r="K445" s="142">
        <f t="shared" si="21"/>
        <v>1</v>
      </c>
      <c r="L445" s="143">
        <f t="shared" si="22"/>
        <v>0.9642857142857143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 t="s">
        <v>2213</v>
      </c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14</v>
      </c>
      <c r="J446" s="147" t="s">
        <v>2023</v>
      </c>
      <c r="K446" s="31">
        <f t="shared" si="21"/>
        <v>14</v>
      </c>
      <c r="L446" s="32">
        <f t="shared" si="22"/>
        <v>0.5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 t="s">
        <v>2213</v>
      </c>
      <c r="AN446" s="70" t="s">
        <v>2213</v>
      </c>
      <c r="AO446" s="70" t="s">
        <v>2213</v>
      </c>
      <c r="AP446" s="70" t="s">
        <v>2213</v>
      </c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13</v>
      </c>
      <c r="J447" s="147" t="s">
        <v>2024</v>
      </c>
      <c r="K447" s="31">
        <f t="shared" si="21"/>
        <v>15</v>
      </c>
      <c r="L447" s="32">
        <f t="shared" si="22"/>
        <v>0.4642857142857143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 t="s">
        <v>2213</v>
      </c>
      <c r="AN447" s="70" t="s">
        <v>2213</v>
      </c>
      <c r="AO447" s="70" t="s">
        <v>2213</v>
      </c>
      <c r="AP447" s="70" t="s">
        <v>2213</v>
      </c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0</v>
      </c>
      <c r="J456" s="147" t="s">
        <v>2027</v>
      </c>
      <c r="K456" s="142">
        <f t="shared" si="21"/>
        <v>28</v>
      </c>
      <c r="L456" s="143">
        <f t="shared" si="22"/>
        <v>0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 t="s">
        <v>2213</v>
      </c>
      <c r="AN456" s="70" t="s">
        <v>2213</v>
      </c>
      <c r="AO456" s="70" t="s">
        <v>2213</v>
      </c>
      <c r="AP456" s="89" t="s">
        <v>2213</v>
      </c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0</v>
      </c>
      <c r="J457" s="147" t="s">
        <v>2028</v>
      </c>
      <c r="K457" s="142">
        <f t="shared" si="21"/>
        <v>28</v>
      </c>
      <c r="L457" s="143">
        <f t="shared" si="22"/>
        <v>0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 t="s">
        <v>2213</v>
      </c>
      <c r="AN457" s="70" t="s">
        <v>2213</v>
      </c>
      <c r="AO457" s="70" t="s">
        <v>2213</v>
      </c>
      <c r="AP457" s="89" t="s">
        <v>2213</v>
      </c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</v>
      </c>
      <c r="J458" s="87"/>
      <c r="K458" s="142">
        <f t="shared" si="21"/>
        <v>27</v>
      </c>
      <c r="L458" s="143">
        <f t="shared" si="22"/>
        <v>3.5714285714285712E-2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 t="s">
        <v>2213</v>
      </c>
      <c r="AN458" s="70"/>
      <c r="AO458" s="70" t="s">
        <v>2213</v>
      </c>
      <c r="AP458" s="89" t="s">
        <v>2213</v>
      </c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21</v>
      </c>
      <c r="J460" s="153"/>
      <c r="K460" s="142">
        <f t="shared" si="21"/>
        <v>7</v>
      </c>
      <c r="L460" s="143">
        <f t="shared" si="22"/>
        <v>0.75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 t="s">
        <v>2213</v>
      </c>
      <c r="AN460" s="70" t="s">
        <v>2213</v>
      </c>
      <c r="AO460" s="70" t="s">
        <v>2213</v>
      </c>
      <c r="AP460" s="89" t="s">
        <v>2213</v>
      </c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 t="s">
        <v>2213</v>
      </c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 t="s">
        <v>2213</v>
      </c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 t="s">
        <v>2213</v>
      </c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21</v>
      </c>
      <c r="J496" s="147" t="s">
        <v>2055</v>
      </c>
      <c r="K496" s="31">
        <f t="shared" si="24"/>
        <v>7</v>
      </c>
      <c r="L496" s="32">
        <f t="shared" si="25"/>
        <v>0.75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 t="s">
        <v>2213</v>
      </c>
      <c r="AN496" s="70" t="s">
        <v>2213</v>
      </c>
      <c r="AO496" s="70"/>
      <c r="AP496" s="70" t="s">
        <v>2213</v>
      </c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21</v>
      </c>
      <c r="J503" s="147" t="s">
        <v>2062</v>
      </c>
      <c r="K503" s="31">
        <f t="shared" si="24"/>
        <v>7</v>
      </c>
      <c r="L503" s="32">
        <f t="shared" si="25"/>
        <v>0.75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 t="s">
        <v>2213</v>
      </c>
      <c r="AN503" s="70" t="s">
        <v>2213</v>
      </c>
      <c r="AO503" s="70"/>
      <c r="AP503" s="70" t="s">
        <v>2213</v>
      </c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17</v>
      </c>
      <c r="J505" s="147" t="s">
        <v>2064</v>
      </c>
      <c r="K505" s="31">
        <f t="shared" si="24"/>
        <v>11</v>
      </c>
      <c r="L505" s="32">
        <f t="shared" si="25"/>
        <v>0.6071428571428571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 t="s">
        <v>2213</v>
      </c>
      <c r="AN505" s="70"/>
      <c r="AO505" s="70" t="s">
        <v>2213</v>
      </c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21</v>
      </c>
      <c r="J508" s="147" t="s">
        <v>2067</v>
      </c>
      <c r="K508" s="31">
        <f t="shared" si="24"/>
        <v>7</v>
      </c>
      <c r="L508" s="32">
        <f t="shared" si="25"/>
        <v>0.75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 t="s">
        <v>2213</v>
      </c>
      <c r="AN508" s="70" t="s">
        <v>2213</v>
      </c>
      <c r="AO508" s="70"/>
      <c r="AP508" s="70" t="s">
        <v>2213</v>
      </c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0</v>
      </c>
      <c r="J510" s="147" t="s">
        <v>2069</v>
      </c>
      <c r="K510" s="31">
        <f t="shared" si="24"/>
        <v>28</v>
      </c>
      <c r="L510" s="32">
        <f t="shared" si="25"/>
        <v>0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 t="s">
        <v>2213</v>
      </c>
      <c r="AN510" s="70" t="s">
        <v>2213</v>
      </c>
      <c r="AO510" s="70" t="s">
        <v>2213</v>
      </c>
      <c r="AP510" s="70" t="s">
        <v>2213</v>
      </c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21</v>
      </c>
      <c r="J511" s="147" t="s">
        <v>2070</v>
      </c>
      <c r="K511" s="31">
        <f t="shared" si="24"/>
        <v>7</v>
      </c>
      <c r="L511" s="32">
        <f t="shared" si="25"/>
        <v>0.75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 t="s">
        <v>2213</v>
      </c>
      <c r="AN511" s="70" t="s">
        <v>2213</v>
      </c>
      <c r="AO511" s="70"/>
      <c r="AP511" s="70" t="s">
        <v>2213</v>
      </c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21</v>
      </c>
      <c r="J514" s="147" t="s">
        <v>2072</v>
      </c>
      <c r="K514" s="31">
        <f t="shared" si="24"/>
        <v>7</v>
      </c>
      <c r="L514" s="32">
        <f t="shared" si="25"/>
        <v>0.75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 t="s">
        <v>2213</v>
      </c>
      <c r="AN514" s="70" t="s">
        <v>2213</v>
      </c>
      <c r="AO514" s="70"/>
      <c r="AP514" s="70" t="s">
        <v>2213</v>
      </c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21</v>
      </c>
      <c r="J515" s="147" t="s">
        <v>2073</v>
      </c>
      <c r="K515" s="31">
        <f t="shared" si="24"/>
        <v>7</v>
      </c>
      <c r="L515" s="32">
        <f t="shared" si="25"/>
        <v>0.75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 t="s">
        <v>2213</v>
      </c>
      <c r="AN515" s="70" t="s">
        <v>2213</v>
      </c>
      <c r="AO515" s="70"/>
      <c r="AP515" s="70" t="s">
        <v>2213</v>
      </c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3</v>
      </c>
      <c r="J520" s="147" t="s">
        <v>2078</v>
      </c>
      <c r="K520" s="142">
        <f t="shared" si="24"/>
        <v>25</v>
      </c>
      <c r="L520" s="143">
        <f t="shared" si="25"/>
        <v>0.10714285714285714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 t="s">
        <v>2213</v>
      </c>
      <c r="AN520" s="70" t="s">
        <v>2213</v>
      </c>
      <c r="AO520" s="70" t="s">
        <v>2213</v>
      </c>
      <c r="AP520" s="89" t="s">
        <v>2213</v>
      </c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11</v>
      </c>
      <c r="J525" s="147" t="s">
        <v>2234</v>
      </c>
      <c r="K525" s="142">
        <f t="shared" si="24"/>
        <v>17</v>
      </c>
      <c r="L525" s="143">
        <f t="shared" si="25"/>
        <v>0.39285714285714285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 t="s">
        <v>2213</v>
      </c>
      <c r="AO525" s="70" t="s">
        <v>2213</v>
      </c>
      <c r="AP525" s="89" t="s">
        <v>2213</v>
      </c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</v>
      </c>
      <c r="J539" s="147" t="s">
        <v>2094</v>
      </c>
      <c r="K539" s="142">
        <f t="shared" si="27"/>
        <v>26</v>
      </c>
      <c r="L539" s="143">
        <f t="shared" si="28"/>
        <v>7.1428571428571425E-2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 t="s">
        <v>2213</v>
      </c>
      <c r="AO539" s="70" t="s">
        <v>2213</v>
      </c>
      <c r="AP539" s="89" t="s">
        <v>2213</v>
      </c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23</v>
      </c>
      <c r="J547" s="87"/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 t="s">
        <v>2213</v>
      </c>
      <c r="AN547" s="70" t="s">
        <v>2213</v>
      </c>
      <c r="AO547" s="70" t="s">
        <v>2213</v>
      </c>
      <c r="AP547" s="89" t="s">
        <v>2213</v>
      </c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0</v>
      </c>
      <c r="J548" s="87" t="s">
        <v>2189</v>
      </c>
      <c r="K548" s="142">
        <f t="shared" si="27"/>
        <v>28</v>
      </c>
      <c r="L548" s="143">
        <f t="shared" si="28"/>
        <v>0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 t="s">
        <v>2213</v>
      </c>
      <c r="AN548" s="70" t="s">
        <v>2213</v>
      </c>
      <c r="AO548" s="70" t="s">
        <v>2213</v>
      </c>
      <c r="AP548" s="89" t="s">
        <v>2213</v>
      </c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4</v>
      </c>
      <c r="J550" s="147" t="s">
        <v>2099</v>
      </c>
      <c r="K550" s="31">
        <f t="shared" si="27"/>
        <v>24</v>
      </c>
      <c r="L550" s="32">
        <f t="shared" si="28"/>
        <v>0.14285714285714285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 t="s">
        <v>2213</v>
      </c>
      <c r="AN550" s="70"/>
      <c r="AO550" s="70" t="s">
        <v>2213</v>
      </c>
      <c r="AP550" s="70" t="s">
        <v>2213</v>
      </c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3</v>
      </c>
      <c r="J552" s="147" t="s">
        <v>2100</v>
      </c>
      <c r="K552" s="31">
        <f t="shared" si="27"/>
        <v>25</v>
      </c>
      <c r="L552" s="32">
        <f t="shared" si="28"/>
        <v>0.10714285714285714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 t="s">
        <v>2213</v>
      </c>
      <c r="AN552" s="70" t="s">
        <v>2213</v>
      </c>
      <c r="AO552" s="70" t="s">
        <v>2213</v>
      </c>
      <c r="AP552" s="70" t="s">
        <v>2213</v>
      </c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4</v>
      </c>
      <c r="J553" s="147" t="s">
        <v>2101</v>
      </c>
      <c r="K553" s="142">
        <f t="shared" si="27"/>
        <v>24</v>
      </c>
      <c r="L553" s="143">
        <f t="shared" si="28"/>
        <v>0.14285714285714285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 t="s">
        <v>2213</v>
      </c>
      <c r="AN553" s="70" t="s">
        <v>2213</v>
      </c>
      <c r="AO553" s="70" t="s">
        <v>2213</v>
      </c>
      <c r="AP553" s="89" t="s">
        <v>2213</v>
      </c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0</v>
      </c>
      <c r="J559" s="147" t="s">
        <v>2105</v>
      </c>
      <c r="K559" s="31">
        <f t="shared" si="27"/>
        <v>28</v>
      </c>
      <c r="L559" s="32">
        <f t="shared" si="28"/>
        <v>0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 t="s">
        <v>2213</v>
      </c>
      <c r="AN559" s="70" t="s">
        <v>2213</v>
      </c>
      <c r="AO559" s="70" t="s">
        <v>2213</v>
      </c>
      <c r="AP559" s="70" t="s">
        <v>2213</v>
      </c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</v>
      </c>
      <c r="J577" s="147" t="s">
        <v>2116</v>
      </c>
      <c r="K577" s="142">
        <f t="shared" si="27"/>
        <v>27</v>
      </c>
      <c r="L577" s="143">
        <f t="shared" si="28"/>
        <v>3.5714285714285712E-2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 t="s">
        <v>2213</v>
      </c>
      <c r="AN577" s="70" t="s">
        <v>2213</v>
      </c>
      <c r="AO577" s="70" t="s">
        <v>2213</v>
      </c>
      <c r="AP577" s="89" t="s">
        <v>2213</v>
      </c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317" zoomScaleNormal="100" workbookViewId="0">
      <selection activeCell="B324" sqref="B324:F3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97</v>
      </c>
      <c r="D315" s="54"/>
      <c r="E315" s="55">
        <f>C315/C314</f>
        <v>0.16898954703832753</v>
      </c>
      <c r="F315" s="155"/>
    </row>
    <row r="316" spans="2:6" x14ac:dyDescent="0.25">
      <c r="B316" s="53" t="s">
        <v>1243</v>
      </c>
      <c r="C316" s="67">
        <v>4</v>
      </c>
      <c r="D316" s="103">
        <v>93</v>
      </c>
      <c r="E316" s="55">
        <f>D316/C314</f>
        <v>0.16202090592334495</v>
      </c>
      <c r="F316" s="155"/>
    </row>
    <row r="317" spans="2:6" x14ac:dyDescent="0.25">
      <c r="B317" s="53" t="s">
        <v>1244</v>
      </c>
      <c r="C317" s="67">
        <v>3</v>
      </c>
      <c r="D317" s="103">
        <v>90</v>
      </c>
      <c r="E317" s="55">
        <f>D317/C314</f>
        <v>0.156794425087108</v>
      </c>
      <c r="F317" s="155"/>
    </row>
    <row r="318" spans="2:6" x14ac:dyDescent="0.25">
      <c r="B318" s="53" t="s">
        <v>16</v>
      </c>
      <c r="C318" s="94">
        <v>5</v>
      </c>
      <c r="D318" s="103">
        <v>85</v>
      </c>
      <c r="E318" s="55">
        <f>D318/C314</f>
        <v>0.1480836236933798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37</v>
      </c>
      <c r="E321" s="105">
        <v>0.12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60</v>
      </c>
      <c r="E322" s="114">
        <v>0.22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100</v>
      </c>
      <c r="D326" s="54"/>
      <c r="E326" s="55">
        <f>C326/C325</f>
        <v>0.17421602787456447</v>
      </c>
      <c r="F326" s="155"/>
    </row>
    <row r="327" spans="2:6" x14ac:dyDescent="0.25">
      <c r="B327" s="53" t="s">
        <v>1243</v>
      </c>
      <c r="C327" s="67">
        <v>4</v>
      </c>
      <c r="D327" s="103">
        <v>96</v>
      </c>
      <c r="E327" s="55">
        <f>D327/C325</f>
        <v>0.1672473867595819</v>
      </c>
      <c r="F327" s="155"/>
    </row>
    <row r="328" spans="2:6" x14ac:dyDescent="0.25">
      <c r="B328" s="53" t="s">
        <v>1244</v>
      </c>
      <c r="C328" s="67">
        <v>3</v>
      </c>
      <c r="D328" s="103">
        <v>93</v>
      </c>
      <c r="E328" s="55">
        <f>D328/C325</f>
        <v>0.16202090592334495</v>
      </c>
      <c r="F328" s="155"/>
    </row>
    <row r="329" spans="2:6" x14ac:dyDescent="0.25">
      <c r="B329" s="53" t="s">
        <v>16</v>
      </c>
      <c r="C329" s="94">
        <v>5</v>
      </c>
      <c r="D329" s="103">
        <v>88</v>
      </c>
      <c r="E329" s="55">
        <f>D329/C325</f>
        <v>0.15331010452961671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39</v>
      </c>
      <c r="E332" s="105">
        <v>0.13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61</v>
      </c>
      <c r="E333" s="114">
        <v>0.23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 t="str">
        <f>'RESUMEN TOTAL'!AM8</f>
        <v>APAGADO</v>
      </c>
      <c r="AG5" s="70" t="str">
        <f>'RESUMEN TOTAL'!AN8</f>
        <v>APAGADO</v>
      </c>
      <c r="AH5" s="70" t="str">
        <f>'RESUMEN TOTAL'!AO8</f>
        <v>APAGADO</v>
      </c>
      <c r="AI5" s="70" t="str">
        <f>'RESUMEN TOTAL'!AP8</f>
        <v>APAGADO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 t="str">
        <f>'RESUMEN TOTAL'!AP9</f>
        <v>APAGADO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 t="str">
        <f>'RESUMEN TOTAL'!AM14</f>
        <v>APAGADO</v>
      </c>
      <c r="AG11" s="70">
        <f>'RESUMEN TOTAL'!AN14</f>
        <v>0</v>
      </c>
      <c r="AH11" s="70" t="str">
        <f>'RESUMEN TOTAL'!AO14</f>
        <v>APAGADO</v>
      </c>
      <c r="AI11" s="70" t="str">
        <f>'RESUMEN TOTAL'!AP14</f>
        <v>APAGADO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 t="str">
        <f>'RESUMEN TOTAL'!AN17</f>
        <v>APAGADO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 t="str">
        <f>'RESUMEN TOTAL'!AP19</f>
        <v>APAGADO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 t="str">
        <f>'RESUMEN TOTAL'!AP24</f>
        <v>APAGADO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 t="str">
        <f>'RESUMEN TOTAL'!AP25</f>
        <v>APAGADO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 t="str">
        <f>'RESUMEN TOTAL'!AP26</f>
        <v>APAGADO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 t="str">
        <f>'RESUMEN TOTAL'!AP27</f>
        <v>APAGADO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 t="str">
        <f>'RESUMEN TOTAL'!AN89</f>
        <v>APAGADO</v>
      </c>
      <c r="AH68" s="70" t="str">
        <f>'RESUMEN TOTAL'!AO89</f>
        <v>APAGADO</v>
      </c>
      <c r="AI68" s="70" t="str">
        <f>'RESUMEN TOTAL'!AP89</f>
        <v>APAGADO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 t="str">
        <f>'RESUMEN TOTAL'!AN95</f>
        <v>APAGADO</v>
      </c>
      <c r="AH74" s="70" t="str">
        <f>'RESUMEN TOTAL'!AO95</f>
        <v>APAGADO</v>
      </c>
      <c r="AI74" s="70" t="str">
        <f>'RESUMEN TOTAL'!AP95</f>
        <v>APAGADO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 t="str">
        <f>'RESUMEN TOTAL'!AO96</f>
        <v>APAGADO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 t="str">
        <f>'RESUMEN TOTAL'!AN99</f>
        <v>APAGADO</v>
      </c>
      <c r="AH78" s="70" t="str">
        <f>'RESUMEN TOTAL'!AO99</f>
        <v>APAGADO</v>
      </c>
      <c r="AI78" s="70" t="str">
        <f>'RESUMEN TOTAL'!AP99</f>
        <v>APAGADO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 t="str">
        <f>'RESUMEN TOTAL'!AM112</f>
        <v>APAGADO</v>
      </c>
      <c r="AG91" s="70" t="str">
        <f>'RESUMEN TOTAL'!AN112</f>
        <v>APAGADO</v>
      </c>
      <c r="AH91" s="70" t="str">
        <f>'RESUMEN TOTAL'!AO112</f>
        <v>APAGADO</v>
      </c>
      <c r="AI91" s="70" t="str">
        <f>'RESUMEN TOTAL'!AP112</f>
        <v>APAGADO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 t="str">
        <f>'RESUMEN TOTAL'!AM113</f>
        <v>APAGADO</v>
      </c>
      <c r="AG92" s="70" t="str">
        <f>'RESUMEN TOTAL'!AN113</f>
        <v>APAGADO</v>
      </c>
      <c r="AH92" s="70" t="str">
        <f>'RESUMEN TOTAL'!AO113</f>
        <v>APAGADO</v>
      </c>
      <c r="AI92" s="70" t="str">
        <f>'RESUMEN TOTAL'!AP113</f>
        <v>APAGADO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 t="str">
        <f>'RESUMEN TOTAL'!AO120</f>
        <v>APAGADO</v>
      </c>
      <c r="AI99" s="70" t="str">
        <f>'RESUMEN TOTAL'!AP120</f>
        <v>APAGADO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 t="str">
        <f>'RESUMEN TOTAL'!AP130</f>
        <v>APAGADO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 t="str">
        <f>'RESUMEN TOTAL'!AP145</f>
        <v>APAGADO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 t="str">
        <f>'RESUMEN TOTAL'!AM151</f>
        <v>APAGADO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 t="str">
        <f>'RESUMEN TOTAL'!AM180</f>
        <v>APAGADO</v>
      </c>
      <c r="AG140" s="70" t="str">
        <f>'RESUMEN TOTAL'!AN180</f>
        <v>APAGADO</v>
      </c>
      <c r="AH140" s="70" t="str">
        <f>'RESUMEN TOTAL'!AO180</f>
        <v>APAGADO</v>
      </c>
      <c r="AI140" s="70" t="str">
        <f>'RESUMEN TOTAL'!AP180</f>
        <v>APAGADO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 t="str">
        <f>'RESUMEN TOTAL'!AM181</f>
        <v>APAGADO</v>
      </c>
      <c r="AG141" s="70" t="str">
        <f>'RESUMEN TOTAL'!AN181</f>
        <v>APAGADO</v>
      </c>
      <c r="AH141" s="70" t="str">
        <f>'RESUMEN TOTAL'!AO181</f>
        <v>APAGADO</v>
      </c>
      <c r="AI141" s="70" t="str">
        <f>'RESUMEN TOTAL'!AP181</f>
        <v>APAGADO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 t="str">
        <f>'RESUMEN TOTAL'!AM182</f>
        <v>APAGADO</v>
      </c>
      <c r="AG142" s="70" t="str">
        <f>'RESUMEN TOTAL'!AN182</f>
        <v>APAGADO</v>
      </c>
      <c r="AH142" s="70" t="str">
        <f>'RESUMEN TOTAL'!AO182</f>
        <v>APAGADO</v>
      </c>
      <c r="AI142" s="70" t="str">
        <f>'RESUMEN TOTAL'!AP182</f>
        <v>APAGADO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 t="str">
        <f>'RESUMEN TOTAL'!AM183</f>
        <v>APAGADO</v>
      </c>
      <c r="AG143" s="70" t="str">
        <f>'RESUMEN TOTAL'!AN183</f>
        <v>APAGADO</v>
      </c>
      <c r="AH143" s="70" t="str">
        <f>'RESUMEN TOTAL'!AO183</f>
        <v>APAGADO</v>
      </c>
      <c r="AI143" s="70" t="str">
        <f>'RESUMEN TOTAL'!AP183</f>
        <v>APAGADO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 t="str">
        <f>'RESUMEN TOTAL'!AM191</f>
        <v>APAGADO</v>
      </c>
      <c r="AG146" s="70" t="str">
        <f>'RESUMEN TOTAL'!AN191</f>
        <v>APAGADO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 t="str">
        <f>'RESUMEN TOTAL'!AM192</f>
        <v>APAGADO</v>
      </c>
      <c r="AG147" s="70" t="str">
        <f>'RESUMEN TOTAL'!AN192</f>
        <v>APAGADO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 t="str">
        <f>'RESUMEN TOTAL'!AM193</f>
        <v>APAGADO</v>
      </c>
      <c r="AG148" s="70" t="str">
        <f>'RESUMEN TOTAL'!AN193</f>
        <v>APAGADO</v>
      </c>
      <c r="AH148" s="70" t="str">
        <f>'RESUMEN TOTAL'!AO193</f>
        <v>APAGADO</v>
      </c>
      <c r="AI148" s="70" t="str">
        <f>'RESUMEN TOTAL'!AP193</f>
        <v>APAGADO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>
        <f>'RESUMEN TOTAL'!AN194</f>
        <v>0</v>
      </c>
      <c r="AH149" s="70" t="str">
        <f>'RESUMEN TOTAL'!AO194</f>
        <v>APAGADO</v>
      </c>
      <c r="AI149" s="70" t="str">
        <f>'RESUMEN TOTAL'!AP194</f>
        <v>APAGADO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 t="str">
        <f>'RESUMEN TOTAL'!AM195</f>
        <v>APAGADO</v>
      </c>
      <c r="AG150" s="70">
        <f>'RESUMEN TOTAL'!AN195</f>
        <v>0</v>
      </c>
      <c r="AH150" s="70" t="str">
        <f>'RESUMEN TOTAL'!AO195</f>
        <v>APAGADO</v>
      </c>
      <c r="AI150" s="70" t="str">
        <f>'RESUMEN TOTAL'!AP195</f>
        <v>APAGADO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 t="str">
        <f>'RESUMEN TOTAL'!AO200</f>
        <v>APAGADO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 t="str">
        <f>'RESUMEN TOTAL'!AM201</f>
        <v>APAGADO</v>
      </c>
      <c r="AG156" s="70" t="str">
        <f>'RESUMEN TOTAL'!AN201</f>
        <v>APAGADO</v>
      </c>
      <c r="AH156" s="70" t="str">
        <f>'RESUMEN TOTAL'!AO201</f>
        <v>APAGADO</v>
      </c>
      <c r="AI156" s="70" t="str">
        <f>'RESUMEN TOTAL'!AP201</f>
        <v>APAGADO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 t="str">
        <f>'RESUMEN TOTAL'!AO204</f>
        <v>APAGADO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 t="str">
        <f>'RESUMEN TOTAL'!AM211</f>
        <v>APAGADO</v>
      </c>
      <c r="AG166" s="70" t="str">
        <f>'RESUMEN TOTAL'!AN211</f>
        <v>APAGADO</v>
      </c>
      <c r="AH166" s="70" t="str">
        <f>'RESUMEN TOTAL'!AO211</f>
        <v>APAGADO</v>
      </c>
      <c r="AI166" s="70" t="str">
        <f>'RESUMEN TOTAL'!AP211</f>
        <v>APAGADO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 t="str">
        <f>'RESUMEN TOTAL'!AM219</f>
        <v>APAGADO</v>
      </c>
      <c r="AG170" s="70" t="str">
        <f>'RESUMEN TOTAL'!AN219</f>
        <v>APAGADO</v>
      </c>
      <c r="AH170" s="70" t="str">
        <f>'RESUMEN TOTAL'!AO219</f>
        <v>APAGADO</v>
      </c>
      <c r="AI170" s="70" t="str">
        <f>'RESUMEN TOTAL'!AP219</f>
        <v>APAGADO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 t="str">
        <f>'RESUMEN TOTAL'!AM220</f>
        <v>APAGADO</v>
      </c>
      <c r="AG171" s="70" t="str">
        <f>'RESUMEN TOTAL'!AN220</f>
        <v>APAGADO</v>
      </c>
      <c r="AH171" s="70" t="str">
        <f>'RESUMEN TOTAL'!AO220</f>
        <v>APAGADO</v>
      </c>
      <c r="AI171" s="70" t="str">
        <f>'RESUMEN TOTAL'!AP220</f>
        <v>APAGADO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 t="str">
        <f>'RESUMEN TOTAL'!AM232</f>
        <v>APAGADO</v>
      </c>
      <c r="AG179" s="70" t="str">
        <f>'RESUMEN TOTAL'!AN232</f>
        <v>APAGADO</v>
      </c>
      <c r="AH179" s="70" t="str">
        <f>'RESUMEN TOTAL'!AO232</f>
        <v>APAGADO</v>
      </c>
      <c r="AI179" s="70" t="str">
        <f>'RESUMEN TOTAL'!AP232</f>
        <v>APAGADO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 t="str">
        <f>'RESUMEN TOTAL'!AM233</f>
        <v>APAGADO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 t="str">
        <f>'RESUMEN TOTAL'!AM234</f>
        <v>APAGADO</v>
      </c>
      <c r="AG181" s="70" t="str">
        <f>'RESUMEN TOTAL'!AN234</f>
        <v>APAGADO</v>
      </c>
      <c r="AH181" s="70" t="str">
        <f>'RESUMEN TOTAL'!AO234</f>
        <v>APAGADO</v>
      </c>
      <c r="AI181" s="70" t="str">
        <f>'RESUMEN TOTAL'!AP234</f>
        <v>APAGADO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 t="str">
        <f>'RESUMEN TOTAL'!AM242</f>
        <v>APAGADO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 t="str">
        <f>'RESUMEN TOTAL'!AM243</f>
        <v>APAGADO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 t="str">
        <f>'RESUMEN TOTAL'!AM246</f>
        <v>APAGADO</v>
      </c>
      <c r="AG193" s="70" t="str">
        <f>'RESUMEN TOTAL'!AN246</f>
        <v>APAGADO</v>
      </c>
      <c r="AH193" s="70" t="str">
        <f>'RESUMEN TOTAL'!AO246</f>
        <v>APAGADO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 t="str">
        <f>'RESUMEN TOTAL'!AM260</f>
        <v>APAGADO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 t="str">
        <f>'RESUMEN TOTAL'!AM262</f>
        <v>APAGADO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 t="str">
        <f>'RESUMEN TOTAL'!AN264</f>
        <v>APAGADO</v>
      </c>
      <c r="AH211" s="70" t="str">
        <f>'RESUMEN TOTAL'!AO264</f>
        <v>APAGADO</v>
      </c>
      <c r="AI211" s="70" t="str">
        <f>'RESUMEN TOTAL'!AP264</f>
        <v>APAGADO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 t="str">
        <f>'RESUMEN TOTAL'!AM281</f>
        <v>APAGADO</v>
      </c>
      <c r="AG224" s="70" t="str">
        <f>'RESUMEN TOTAL'!AN281</f>
        <v>APAGADO</v>
      </c>
      <c r="AH224" s="70" t="str">
        <f>'RESUMEN TOTAL'!AO281</f>
        <v>APAGADO</v>
      </c>
      <c r="AI224" s="70" t="str">
        <f>'RESUMEN TOTAL'!AP281</f>
        <v>APAGADO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 t="str">
        <f>'RESUMEN TOTAL'!AM296</f>
        <v>APAGADO</v>
      </c>
      <c r="AG236" s="70" t="str">
        <f>'RESUMEN TOTAL'!AN296</f>
        <v>APAGADO</v>
      </c>
      <c r="AH236" s="70" t="str">
        <f>'RESUMEN TOTAL'!AO296</f>
        <v>APAGADO</v>
      </c>
      <c r="AI236" s="70" t="str">
        <f>'RESUMEN TOTAL'!AP296</f>
        <v>APAGADO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 t="str">
        <f>'RESUMEN TOTAL'!AM308</f>
        <v>APAGADO</v>
      </c>
      <c r="AG248" s="70" t="str">
        <f>'RESUMEN TOTAL'!AN308</f>
        <v>APAGADO</v>
      </c>
      <c r="AH248" s="70" t="str">
        <f>'RESUMEN TOTAL'!AO308</f>
        <v>APAGADO</v>
      </c>
      <c r="AI248" s="70" t="str">
        <f>'RESUMEN TOTAL'!AP308</f>
        <v>APAGADO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 t="str">
        <f>'RESUMEN TOTAL'!AM310</f>
        <v>APAGADO</v>
      </c>
      <c r="AG250" s="70" t="str">
        <f>'RESUMEN TOTAL'!AN310</f>
        <v>APAGADO</v>
      </c>
      <c r="AH250" s="70" t="str">
        <f>'RESUMEN TOTAL'!AO310</f>
        <v>APAGADO</v>
      </c>
      <c r="AI250" s="70" t="str">
        <f>'RESUMEN TOTAL'!AP310</f>
        <v>APAGADO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 t="str">
        <f>'RESUMEN TOTAL'!AM311</f>
        <v>APAGADO</v>
      </c>
      <c r="AG251" s="70" t="str">
        <f>'RESUMEN TOTAL'!AN311</f>
        <v>APAGADO</v>
      </c>
      <c r="AH251" s="70" t="str">
        <f>'RESUMEN TOTAL'!AO311</f>
        <v>APAGADO</v>
      </c>
      <c r="AI251" s="70" t="str">
        <f>'RESUMEN TOTAL'!AP311</f>
        <v>APAGADO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 t="str">
        <f>'RESUMEN TOTAL'!AM312</f>
        <v>APAGADO</v>
      </c>
      <c r="AG252" s="70" t="str">
        <f>'RESUMEN TOTAL'!AN312</f>
        <v>APAGADO</v>
      </c>
      <c r="AH252" s="70" t="str">
        <f>'RESUMEN TOTAL'!AO312</f>
        <v>APAGADO</v>
      </c>
      <c r="AI252" s="70" t="str">
        <f>'RESUMEN TOTAL'!AP312</f>
        <v>APAGADO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 t="str">
        <f>'RESUMEN TOTAL'!AM313</f>
        <v>APAGADO</v>
      </c>
      <c r="AG253" s="70" t="str">
        <f>'RESUMEN TOTAL'!AN313</f>
        <v>APAGADO</v>
      </c>
      <c r="AH253" s="70" t="str">
        <f>'RESUMEN TOTAL'!AO313</f>
        <v>APAGADO</v>
      </c>
      <c r="AI253" s="70" t="str">
        <f>'RESUMEN TOTAL'!AP313</f>
        <v>APAGADO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 t="str">
        <f>'RESUMEN TOTAL'!AM314</f>
        <v>APAGADO</v>
      </c>
      <c r="AG254" s="70" t="str">
        <f>'RESUMEN TOTAL'!AN314</f>
        <v>APAGADO</v>
      </c>
      <c r="AH254" s="70" t="str">
        <f>'RESUMEN TOTAL'!AO314</f>
        <v>APAGADO</v>
      </c>
      <c r="AI254" s="70" t="str">
        <f>'RESUMEN TOTAL'!AP314</f>
        <v>APAGADO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 t="str">
        <f>'RESUMEN TOTAL'!AM315</f>
        <v>APAGADO</v>
      </c>
      <c r="AG255" s="70" t="str">
        <f>'RESUMEN TOTAL'!AN315</f>
        <v>APAGADO</v>
      </c>
      <c r="AH255" s="70" t="str">
        <f>'RESUMEN TOTAL'!AO315</f>
        <v>APAGADO</v>
      </c>
      <c r="AI255" s="70" t="str">
        <f>'RESUMEN TOTAL'!AP315</f>
        <v>APAGADO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 t="str">
        <f>'RESUMEN TOTAL'!AM316</f>
        <v>APAGADO</v>
      </c>
      <c r="AG256" s="70" t="str">
        <f>'RESUMEN TOTAL'!AN316</f>
        <v>APAGADO</v>
      </c>
      <c r="AH256" s="70" t="str">
        <f>'RESUMEN TOTAL'!AO316</f>
        <v>APAGADO</v>
      </c>
      <c r="AI256" s="70" t="str">
        <f>'RESUMEN TOTAL'!AP316</f>
        <v>APAGADO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 t="str">
        <f>'RESUMEN TOTAL'!AM350</f>
        <v>APAGADO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 t="str">
        <f>'RESUMEN TOTAL'!AM375</f>
        <v>APAGADO</v>
      </c>
      <c r="AG301" s="70" t="str">
        <f>'RESUMEN TOTAL'!AN375</f>
        <v>APAGADO</v>
      </c>
      <c r="AH301" s="70" t="str">
        <f>'RESUMEN TOTAL'!AO375</f>
        <v>APAGADO</v>
      </c>
      <c r="AI301" s="70" t="str">
        <f>'RESUMEN TOTAL'!AP375</f>
        <v>APAGADO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 t="str">
        <f>'RESUMEN TOTAL'!AM378</f>
        <v>APAGADO</v>
      </c>
      <c r="AG304" s="70" t="str">
        <f>'RESUMEN TOTAL'!AN378</f>
        <v>APAGADO</v>
      </c>
      <c r="AH304" s="70" t="str">
        <f>'RESUMEN TOTAL'!AO378</f>
        <v>APAGADO</v>
      </c>
      <c r="AI304" s="70" t="str">
        <f>'RESUMEN TOTAL'!AP378</f>
        <v>APAGADO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 t="str">
        <f>'RESUMEN TOTAL'!AM379</f>
        <v>APAGADO</v>
      </c>
      <c r="AG305" s="70" t="str">
        <f>'RESUMEN TOTAL'!AN379</f>
        <v>APAGADO</v>
      </c>
      <c r="AH305" s="70" t="str">
        <f>'RESUMEN TOTAL'!AO379</f>
        <v>APAGADO</v>
      </c>
      <c r="AI305" s="70" t="str">
        <f>'RESUMEN TOTAL'!AP379</f>
        <v>APAGADO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 t="str">
        <f>'RESUMEN TOTAL'!AM380</f>
        <v>APAGADO</v>
      </c>
      <c r="AG306" s="70" t="str">
        <f>'RESUMEN TOTAL'!AN380</f>
        <v>APAGADO</v>
      </c>
      <c r="AH306" s="70" t="str">
        <f>'RESUMEN TOTAL'!AO380</f>
        <v>APAGADO</v>
      </c>
      <c r="AI306" s="70" t="str">
        <f>'RESUMEN TOTAL'!AP380</f>
        <v>APAGADO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 t="str">
        <f>'RESUMEN TOTAL'!AM383</f>
        <v>APAGADO</v>
      </c>
      <c r="AG309" s="70" t="str">
        <f>'RESUMEN TOTAL'!AN383</f>
        <v>APAGADO</v>
      </c>
      <c r="AH309" s="70">
        <f>'RESUMEN TOTAL'!AO383</f>
        <v>0</v>
      </c>
      <c r="AI309" s="70" t="str">
        <f>'RESUMEN TOTAL'!AP383</f>
        <v>APAGADO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 t="str">
        <f>'RESUMEN TOTAL'!AM384</f>
        <v>APAGADO</v>
      </c>
      <c r="AG310" s="70" t="str">
        <f>'RESUMEN TOTAL'!AN384</f>
        <v>APAGADO</v>
      </c>
      <c r="AH310" s="70" t="str">
        <f>'RESUMEN TOTAL'!AO384</f>
        <v>APAGADO</v>
      </c>
      <c r="AI310" s="70" t="str">
        <f>'RESUMEN TOTAL'!AP384</f>
        <v>APAGADO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 t="str">
        <f>'RESUMEN TOTAL'!AM385</f>
        <v>APAGADO</v>
      </c>
      <c r="AG311" s="70" t="str">
        <f>'RESUMEN TOTAL'!AN385</f>
        <v>APAGADO</v>
      </c>
      <c r="AH311" s="70" t="str">
        <f>'RESUMEN TOTAL'!AO385</f>
        <v>APAGADO</v>
      </c>
      <c r="AI311" s="70" t="str">
        <f>'RESUMEN TOTAL'!AP385</f>
        <v>APAGADO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 t="str">
        <f>'RESUMEN TOTAL'!AM386</f>
        <v>APAGADO</v>
      </c>
      <c r="AG312" s="70" t="str">
        <f>'RESUMEN TOTAL'!AN386</f>
        <v>APAGADO</v>
      </c>
      <c r="AH312" s="70" t="str">
        <f>'RESUMEN TOTAL'!AO386</f>
        <v>APAGADO</v>
      </c>
      <c r="AI312" s="70" t="str">
        <f>'RESUMEN TOTAL'!AP386</f>
        <v>APAGADO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 t="str">
        <f>'RESUMEN TOTAL'!AM388</f>
        <v>APAGADO</v>
      </c>
      <c r="AG314" s="70" t="str">
        <f>'RESUMEN TOTAL'!AN388</f>
        <v>APAGADO</v>
      </c>
      <c r="AH314" s="70" t="str">
        <f>'RESUMEN TOTAL'!AO388</f>
        <v>APAGADO</v>
      </c>
      <c r="AI314" s="70" t="str">
        <f>'RESUMEN TOTAL'!AP388</f>
        <v>APAGADO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 t="str">
        <f>'RESUMEN TOTAL'!AM389</f>
        <v>APAGADO</v>
      </c>
      <c r="AG315" s="70" t="str">
        <f>'RESUMEN TOTAL'!AN389</f>
        <v>APAGADO</v>
      </c>
      <c r="AH315" s="70" t="str">
        <f>'RESUMEN TOTAL'!AO389</f>
        <v>APAGADO</v>
      </c>
      <c r="AI315" s="70" t="str">
        <f>'RESUMEN TOTAL'!AP389</f>
        <v>APAGADO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 t="str">
        <f>'RESUMEN TOTAL'!AM395</f>
        <v>APAGADO</v>
      </c>
      <c r="AG316" s="70" t="str">
        <f>'RESUMEN TOTAL'!AN395</f>
        <v>APAGADO</v>
      </c>
      <c r="AH316" s="70" t="str">
        <f>'RESUMEN TOTAL'!AO395</f>
        <v>APAGADO</v>
      </c>
      <c r="AI316" s="70" t="str">
        <f>'RESUMEN TOTAL'!AP395</f>
        <v>APAGADO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 t="str">
        <f>'RESUMEN TOTAL'!AM399</f>
        <v>APAGADO</v>
      </c>
      <c r="AG320" s="70" t="str">
        <f>'RESUMEN TOTAL'!AN399</f>
        <v>APAGADO</v>
      </c>
      <c r="AH320" s="70" t="str">
        <f>'RESUMEN TOTAL'!AO399</f>
        <v>APAGADO</v>
      </c>
      <c r="AI320" s="70" t="str">
        <f>'RESUMEN TOTAL'!AP399</f>
        <v>APAGADO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 t="str">
        <f>'RESUMEN TOTAL'!AM401</f>
        <v>APAGADO</v>
      </c>
      <c r="AG322" s="70" t="str">
        <f>'RESUMEN TOTAL'!AN401</f>
        <v>APAGADO</v>
      </c>
      <c r="AH322" s="70" t="str">
        <f>'RESUMEN TOTAL'!AO401</f>
        <v>APAGADO</v>
      </c>
      <c r="AI322" s="70" t="str">
        <f>'RESUMEN TOTAL'!AP401</f>
        <v>APAGADO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 t="str">
        <f>'RESUMEN TOTAL'!AM402</f>
        <v>APAGADO</v>
      </c>
      <c r="AG323" s="70" t="str">
        <f>'RESUMEN TOTAL'!AN402</f>
        <v>APAGADO</v>
      </c>
      <c r="AH323" s="70" t="str">
        <f>'RESUMEN TOTAL'!AO402</f>
        <v>APAGADO</v>
      </c>
      <c r="AI323" s="70" t="str">
        <f>'RESUMEN TOTAL'!AP402</f>
        <v>APAGADO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 t="str">
        <f>'RESUMEN TOTAL'!AM413</f>
        <v>APAGADO</v>
      </c>
      <c r="AG327" s="70" t="str">
        <f>'RESUMEN TOTAL'!AN413</f>
        <v>APAGADO</v>
      </c>
      <c r="AH327" s="70" t="str">
        <f>'RESUMEN TOTAL'!AO413</f>
        <v>APAGADO</v>
      </c>
      <c r="AI327" s="70" t="str">
        <f>'RESUMEN TOTAL'!AP413</f>
        <v>APAGADO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 t="str">
        <f>'RESUMEN TOTAL'!AM415</f>
        <v>APAGADO</v>
      </c>
      <c r="AG329" s="70" t="str">
        <f>'RESUMEN TOTAL'!AN415</f>
        <v>APAGADO</v>
      </c>
      <c r="AH329" s="70" t="str">
        <f>'RESUMEN TOTAL'!AO415</f>
        <v>APAGADO</v>
      </c>
      <c r="AI329" s="70" t="str">
        <f>'RESUMEN TOTAL'!AP415</f>
        <v>APAGADO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 t="str">
        <f>'RESUMEN TOTAL'!AM416</f>
        <v>APAGADO</v>
      </c>
      <c r="AG330" s="70" t="str">
        <f>'RESUMEN TOTAL'!AN416</f>
        <v>APAGADO</v>
      </c>
      <c r="AH330" s="70" t="str">
        <f>'RESUMEN TOTAL'!AO416</f>
        <v>APAGADO</v>
      </c>
      <c r="AI330" s="70" t="str">
        <f>'RESUMEN TOTAL'!AP416</f>
        <v>APAGADO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 t="str">
        <f>'RESUMEN TOTAL'!AM420</f>
        <v>APAGADO</v>
      </c>
      <c r="AG334" s="70" t="str">
        <f>'RESUMEN TOTAL'!AN420</f>
        <v>APAGADO</v>
      </c>
      <c r="AH334" s="70" t="str">
        <f>'RESUMEN TOTAL'!AO420</f>
        <v>APAGADO</v>
      </c>
      <c r="AI334" s="70" t="str">
        <f>'RESUMEN TOTAL'!AP420</f>
        <v>APAGADO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 t="str">
        <f>'RESUMEN TOTAL'!AM421</f>
        <v>APAGADO</v>
      </c>
      <c r="AG335" s="70" t="str">
        <f>'RESUMEN TOTAL'!AN421</f>
        <v>APAGADO</v>
      </c>
      <c r="AH335" s="70" t="str">
        <f>'RESUMEN TOTAL'!AO421</f>
        <v>APAGADO</v>
      </c>
      <c r="AI335" s="70" t="str">
        <f>'RESUMEN TOTAL'!AP421</f>
        <v>APAGADO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 t="str">
        <f>'RESUMEN TOTAL'!AM429</f>
        <v>APAGADO</v>
      </c>
      <c r="AG340" s="70" t="str">
        <f>'RESUMEN TOTAL'!AN429</f>
        <v>APAGADO</v>
      </c>
      <c r="AH340" s="70" t="str">
        <f>'RESUMEN TOTAL'!AO429</f>
        <v>APAGADO</v>
      </c>
      <c r="AI340" s="70" t="str">
        <f>'RESUMEN TOTAL'!AP429</f>
        <v>APAGADO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 t="str">
        <f>'RESUMEN TOTAL'!AM430</f>
        <v>APAGADO</v>
      </c>
      <c r="AG341" s="70" t="str">
        <f>'RESUMEN TOTAL'!AN430</f>
        <v>APAGADO</v>
      </c>
      <c r="AH341" s="70" t="str">
        <f>'RESUMEN TOTAL'!AO430</f>
        <v>APAGADO</v>
      </c>
      <c r="AI341" s="70" t="str">
        <f>'RESUMEN TOTAL'!AP430</f>
        <v>APAGADO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 t="str">
        <f>'RESUMEN TOTAL'!AM436</f>
        <v>APAGADO</v>
      </c>
      <c r="AG347" s="70" t="str">
        <f>'RESUMEN TOTAL'!AN436</f>
        <v>APAGADO</v>
      </c>
      <c r="AH347" s="70" t="str">
        <f>'RESUMEN TOTAL'!AO436</f>
        <v>APAGADO</v>
      </c>
      <c r="AI347" s="70" t="str">
        <f>'RESUMEN TOTAL'!AP436</f>
        <v>APAGADO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 t="str">
        <f>'RESUMEN TOTAL'!AM441</f>
        <v>APAGADO</v>
      </c>
      <c r="AG352" s="70" t="str">
        <f>'RESUMEN TOTAL'!AN441</f>
        <v>APAGADO</v>
      </c>
      <c r="AH352" s="70" t="str">
        <f>'RESUMEN TOTAL'!AO441</f>
        <v>APAGADO</v>
      </c>
      <c r="AI352" s="70" t="str">
        <f>'RESUMEN TOTAL'!AP441</f>
        <v>APAGADO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 t="str">
        <f>'RESUMEN TOTAL'!AM442</f>
        <v>APAGADO</v>
      </c>
      <c r="AG353" s="70" t="str">
        <f>'RESUMEN TOTAL'!AN442</f>
        <v>APAGADO</v>
      </c>
      <c r="AH353" s="70" t="str">
        <f>'RESUMEN TOTAL'!AO442</f>
        <v>APAGADO</v>
      </c>
      <c r="AI353" s="70" t="str">
        <f>'RESUMEN TOTAL'!AP442</f>
        <v>APAGADO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 t="str">
        <f>'RESUMEN TOTAL'!AN444</f>
        <v>APAGADO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 t="str">
        <f>'RESUMEN TOTAL'!AN445</f>
        <v>APAGADO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 t="str">
        <f>'RESUMEN TOTAL'!AM446</f>
        <v>APAGADO</v>
      </c>
      <c r="AG357" s="70" t="str">
        <f>'RESUMEN TOTAL'!AN446</f>
        <v>APAGADO</v>
      </c>
      <c r="AH357" s="70" t="str">
        <f>'RESUMEN TOTAL'!AO446</f>
        <v>APAGADO</v>
      </c>
      <c r="AI357" s="70" t="str">
        <f>'RESUMEN TOTAL'!AP446</f>
        <v>APAGADO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 t="str">
        <f>'RESUMEN TOTAL'!AM447</f>
        <v>APAGADO</v>
      </c>
      <c r="AG358" s="70" t="str">
        <f>'RESUMEN TOTAL'!AN447</f>
        <v>APAGADO</v>
      </c>
      <c r="AH358" s="70" t="str">
        <f>'RESUMEN TOTAL'!AO447</f>
        <v>APAGADO</v>
      </c>
      <c r="AI358" s="70" t="str">
        <f>'RESUMEN TOTAL'!AP447</f>
        <v>APAGADO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 t="str">
        <f>'RESUMEN TOTAL'!AM456</f>
        <v>APAGADO</v>
      </c>
      <c r="AG361" s="70" t="str">
        <f>'RESUMEN TOTAL'!AN456</f>
        <v>APAGADO</v>
      </c>
      <c r="AH361" s="70" t="str">
        <f>'RESUMEN TOTAL'!AO456</f>
        <v>APAGADO</v>
      </c>
      <c r="AI361" s="70" t="str">
        <f>'RESUMEN TOTAL'!AP456</f>
        <v>APAGADO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 t="str">
        <f>'RESUMEN TOTAL'!AM457</f>
        <v>APAGADO</v>
      </c>
      <c r="AG362" s="70" t="str">
        <f>'RESUMEN TOTAL'!AN457</f>
        <v>APAGADO</v>
      </c>
      <c r="AH362" s="70" t="str">
        <f>'RESUMEN TOTAL'!AO457</f>
        <v>APAGADO</v>
      </c>
      <c r="AI362" s="70" t="str">
        <f>'RESUMEN TOTAL'!AP457</f>
        <v>APAGADO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 t="str">
        <f>'RESUMEN TOTAL'!AM458</f>
        <v>APAGADO</v>
      </c>
      <c r="AG363" s="70">
        <f>'RESUMEN TOTAL'!AN458</f>
        <v>0</v>
      </c>
      <c r="AH363" s="70" t="str">
        <f>'RESUMEN TOTAL'!AO458</f>
        <v>APAGADO</v>
      </c>
      <c r="AI363" s="70" t="str">
        <f>'RESUMEN TOTAL'!AP458</f>
        <v>APAGADO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 t="str">
        <f>'RESUMEN TOTAL'!AP466</f>
        <v>APAGADO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 t="str">
        <f>'RESUMEN TOTAL'!AP467</f>
        <v>APAGADO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 t="str">
        <f>'RESUMEN TOTAL'!AP469</f>
        <v>APAGADO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 t="str">
        <f>'RESUMEN TOTAL'!AM496</f>
        <v>APAGADO</v>
      </c>
      <c r="AG393" s="70" t="str">
        <f>'RESUMEN TOTAL'!AN496</f>
        <v>APAGADO</v>
      </c>
      <c r="AH393" s="70">
        <f>'RESUMEN TOTAL'!AO496</f>
        <v>0</v>
      </c>
      <c r="AI393" s="70" t="str">
        <f>'RESUMEN TOTAL'!AP496</f>
        <v>APAGADO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 t="str">
        <f>'RESUMEN TOTAL'!AM503</f>
        <v>APAGADO</v>
      </c>
      <c r="AG400" s="70" t="str">
        <f>'RESUMEN TOTAL'!AN503</f>
        <v>APAGADO</v>
      </c>
      <c r="AH400" s="70">
        <f>'RESUMEN TOTAL'!AO503</f>
        <v>0</v>
      </c>
      <c r="AI400" s="70" t="str">
        <f>'RESUMEN TOTAL'!AP503</f>
        <v>APAGADO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 t="str">
        <f>'RESUMEN TOTAL'!AM505</f>
        <v>APAGADO</v>
      </c>
      <c r="AG402" s="70">
        <f>'RESUMEN TOTAL'!AN505</f>
        <v>0</v>
      </c>
      <c r="AH402" s="70" t="str">
        <f>'RESUMEN TOTAL'!AO505</f>
        <v>APAGADO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 t="str">
        <f>'RESUMEN TOTAL'!AM508</f>
        <v>APAGADO</v>
      </c>
      <c r="AG405" s="70" t="str">
        <f>'RESUMEN TOTAL'!AN508</f>
        <v>APAGADO</v>
      </c>
      <c r="AH405" s="70">
        <f>'RESUMEN TOTAL'!AO508</f>
        <v>0</v>
      </c>
      <c r="AI405" s="70" t="str">
        <f>'RESUMEN TOTAL'!AP508</f>
        <v>APAGADO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 t="str">
        <f>'RESUMEN TOTAL'!AM510</f>
        <v>APAGADO</v>
      </c>
      <c r="AG407" s="70" t="str">
        <f>'RESUMEN TOTAL'!AN510</f>
        <v>APAGADO</v>
      </c>
      <c r="AH407" s="70" t="str">
        <f>'RESUMEN TOTAL'!AO510</f>
        <v>APAGADO</v>
      </c>
      <c r="AI407" s="70" t="str">
        <f>'RESUMEN TOTAL'!AP510</f>
        <v>APAGADO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 t="str">
        <f>'RESUMEN TOTAL'!AM511</f>
        <v>APAGADO</v>
      </c>
      <c r="AG408" s="70" t="str">
        <f>'RESUMEN TOTAL'!AN511</f>
        <v>APAGADO</v>
      </c>
      <c r="AH408" s="70">
        <f>'RESUMEN TOTAL'!AO511</f>
        <v>0</v>
      </c>
      <c r="AI408" s="70" t="str">
        <f>'RESUMEN TOTAL'!AP511</f>
        <v>APAGADO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 t="str">
        <f>'RESUMEN TOTAL'!AM514</f>
        <v>APAGADO</v>
      </c>
      <c r="AG411" s="70" t="str">
        <f>'RESUMEN TOTAL'!AN514</f>
        <v>APAGADO</v>
      </c>
      <c r="AH411" s="70">
        <f>'RESUMEN TOTAL'!AO514</f>
        <v>0</v>
      </c>
      <c r="AI411" s="70" t="str">
        <f>'RESUMEN TOTAL'!AP514</f>
        <v>APAGADO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 t="str">
        <f>'RESUMEN TOTAL'!AM515</f>
        <v>APAGADO</v>
      </c>
      <c r="AG412" s="70" t="str">
        <f>'RESUMEN TOTAL'!AN515</f>
        <v>APAGADO</v>
      </c>
      <c r="AH412" s="70">
        <f>'RESUMEN TOTAL'!AO515</f>
        <v>0</v>
      </c>
      <c r="AI412" s="70" t="str">
        <f>'RESUMEN TOTAL'!AP515</f>
        <v>APAGADO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 t="str">
        <f>'RESUMEN TOTAL'!AM520</f>
        <v>APAGADO</v>
      </c>
      <c r="AG417" s="70" t="str">
        <f>'RESUMEN TOTAL'!AN520</f>
        <v>APAGADO</v>
      </c>
      <c r="AH417" s="70" t="str">
        <f>'RESUMEN TOTAL'!AO520</f>
        <v>APAGADO</v>
      </c>
      <c r="AI417" s="70" t="str">
        <f>'RESUMEN TOTAL'!AP520</f>
        <v>APAGADO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 t="str">
        <f>'RESUMEN TOTAL'!AN539</f>
        <v>APAGADO</v>
      </c>
      <c r="AH430" s="70" t="str">
        <f>'RESUMEN TOTAL'!AO539</f>
        <v>APAGADO</v>
      </c>
      <c r="AI430" s="70" t="str">
        <f>'RESUMEN TOTAL'!AP539</f>
        <v>APAGADO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 t="str">
        <f>'RESUMEN TOTAL'!AM550</f>
        <v>APAGADO</v>
      </c>
      <c r="AG437" s="70">
        <f>'RESUMEN TOTAL'!AN550</f>
        <v>0</v>
      </c>
      <c r="AH437" s="70" t="str">
        <f>'RESUMEN TOTAL'!AO550</f>
        <v>APAGADO</v>
      </c>
      <c r="AI437" s="70" t="str">
        <f>'RESUMEN TOTAL'!AP550</f>
        <v>APAGADO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 t="str">
        <f>'RESUMEN TOTAL'!AM552</f>
        <v>APAGADO</v>
      </c>
      <c r="AG439" s="70" t="str">
        <f>'RESUMEN TOTAL'!AN552</f>
        <v>APAGADO</v>
      </c>
      <c r="AH439" s="70" t="str">
        <f>'RESUMEN TOTAL'!AO552</f>
        <v>APAGADO</v>
      </c>
      <c r="AI439" s="70" t="str">
        <f>'RESUMEN TOTAL'!AP552</f>
        <v>APAGADO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 t="str">
        <f>'RESUMEN TOTAL'!AM553</f>
        <v>APAGADO</v>
      </c>
      <c r="AG440" s="70" t="str">
        <f>'RESUMEN TOTAL'!AN553</f>
        <v>APAGADO</v>
      </c>
      <c r="AH440" s="70" t="str">
        <f>'RESUMEN TOTAL'!AO553</f>
        <v>APAGADO</v>
      </c>
      <c r="AI440" s="70" t="str">
        <f>'RESUMEN TOTAL'!AP553</f>
        <v>APAGADO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 t="str">
        <f>'RESUMEN TOTAL'!AM559</f>
        <v>APAGADO</v>
      </c>
      <c r="AG445" s="70" t="str">
        <f>'RESUMEN TOTAL'!AN559</f>
        <v>APAGADO</v>
      </c>
      <c r="AH445" s="70" t="str">
        <f>'RESUMEN TOTAL'!AO559</f>
        <v>APAGADO</v>
      </c>
      <c r="AI445" s="70" t="str">
        <f>'RESUMEN TOTAL'!AP559</f>
        <v>APAGADO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 t="str">
        <f>'RESUMEN TOTAL'!AM577</f>
        <v>APAGADO</v>
      </c>
      <c r="AG460" s="70" t="str">
        <f>'RESUMEN TOTAL'!AN577</f>
        <v>APAGADO</v>
      </c>
      <c r="AH460" s="70" t="str">
        <f>'RESUMEN TOTAL'!AO577</f>
        <v>APAGADO</v>
      </c>
      <c r="AI460" s="70" t="str">
        <f>'RESUMEN TOTAL'!AP577</f>
        <v>APAGADO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AD1" zoomScale="90" zoomScaleNormal="90" workbookViewId="0">
      <selection activeCell="AE20" sqref="A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36</v>
      </c>
      <c r="AG3" s="46">
        <f>COUNTIFS('RESUMEN TOTAL'!AN8:AN689,"=APAGADO",'RESUMEN TOTAL'!C8:C689,"=BONOMO")</f>
        <v>33</v>
      </c>
      <c r="AH3" s="46">
        <v>37</v>
      </c>
      <c r="AI3" s="46">
        <v>39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0.11881188118811881</v>
      </c>
      <c r="AG4" s="50">
        <f t="shared" si="0"/>
        <v>0.10891089108910891</v>
      </c>
      <c r="AH4" s="50">
        <f t="shared" si="0"/>
        <v>0.12211221122112212</v>
      </c>
      <c r="AI4" s="50">
        <v>0.13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68</v>
      </c>
      <c r="AG5" s="46">
        <v>0</v>
      </c>
      <c r="AH5" s="46">
        <v>60</v>
      </c>
      <c r="AI5" s="46">
        <v>61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0.25185185185185183</v>
      </c>
      <c r="AG6" s="50">
        <v>0</v>
      </c>
      <c r="AH6" s="50">
        <f t="shared" si="1"/>
        <v>0.22222222222222221</v>
      </c>
      <c r="AI6" s="50">
        <v>0.23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2025-12-30T11:03:39Z</dcterms:modified>
</cp:coreProperties>
</file>