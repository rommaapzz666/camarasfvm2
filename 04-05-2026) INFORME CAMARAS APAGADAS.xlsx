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0AEEAEC7-4A0A-445D-89AC-49D05766299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42" i="2" l="1"/>
  <c r="Q442" i="2"/>
  <c r="O443" i="2"/>
  <c r="Q443" i="2"/>
  <c r="O444" i="2"/>
  <c r="Q444" i="2"/>
  <c r="O445" i="2"/>
  <c r="Q445" i="2"/>
  <c r="O446" i="2"/>
  <c r="Q446" i="2"/>
  <c r="O447" i="2"/>
  <c r="Q447" i="2"/>
  <c r="O448" i="2"/>
  <c r="Q448" i="2"/>
  <c r="O449" i="2"/>
  <c r="Q449" i="2"/>
  <c r="O450" i="2"/>
  <c r="Q450" i="2"/>
  <c r="O451" i="2"/>
  <c r="Q451" i="2"/>
  <c r="O452" i="2"/>
  <c r="Q452" i="2"/>
  <c r="O453" i="2"/>
  <c r="Q453" i="2"/>
  <c r="R453" i="2" s="1"/>
  <c r="O454" i="2"/>
  <c r="Q454" i="2"/>
  <c r="O455" i="2"/>
  <c r="Q455" i="2"/>
  <c r="O456" i="2"/>
  <c r="Q456" i="2"/>
  <c r="O457" i="2"/>
  <c r="Q457" i="2"/>
  <c r="O458" i="2"/>
  <c r="Q458" i="2"/>
  <c r="O459" i="2"/>
  <c r="Q459" i="2"/>
  <c r="O460" i="2"/>
  <c r="Q460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R493" i="2" s="1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6" i="2"/>
  <c r="Q506" i="2"/>
  <c r="O507" i="2"/>
  <c r="Q507" i="2"/>
  <c r="O508" i="2"/>
  <c r="Q508" i="2"/>
  <c r="O509" i="2"/>
  <c r="Q509" i="2"/>
  <c r="O510" i="2"/>
  <c r="Q510" i="2"/>
  <c r="O511" i="2"/>
  <c r="Q511" i="2"/>
  <c r="O512" i="2"/>
  <c r="Q512" i="2"/>
  <c r="O513" i="2"/>
  <c r="Q513" i="2"/>
  <c r="O514" i="2"/>
  <c r="Q514" i="2"/>
  <c r="O515" i="2"/>
  <c r="Q515" i="2"/>
  <c r="O516" i="2"/>
  <c r="Q516" i="2"/>
  <c r="O517" i="2"/>
  <c r="Q517" i="2"/>
  <c r="O518" i="2"/>
  <c r="Q518" i="2"/>
  <c r="O519" i="2"/>
  <c r="Q519" i="2"/>
  <c r="O520" i="2"/>
  <c r="Q520" i="2"/>
  <c r="R520" i="2" s="1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32" i="2"/>
  <c r="Q532" i="2"/>
  <c r="R532" i="2" s="1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40" i="2"/>
  <c r="Q540" i="2"/>
  <c r="R540" i="2" s="1"/>
  <c r="O541" i="2"/>
  <c r="Q541" i="2"/>
  <c r="O542" i="2"/>
  <c r="Q542" i="2"/>
  <c r="O543" i="2"/>
  <c r="Q543" i="2"/>
  <c r="O544" i="2"/>
  <c r="Q544" i="2"/>
  <c r="O545" i="2"/>
  <c r="Q545" i="2"/>
  <c r="O546" i="2"/>
  <c r="Q546" i="2"/>
  <c r="O547" i="2"/>
  <c r="Q547" i="2"/>
  <c r="O548" i="2"/>
  <c r="Q548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5" i="2"/>
  <c r="Q575" i="2"/>
  <c r="O576" i="2"/>
  <c r="Q576" i="2"/>
  <c r="O577" i="2"/>
  <c r="Q577" i="2"/>
  <c r="O578" i="2"/>
  <c r="Q578" i="2"/>
  <c r="O579" i="2"/>
  <c r="Q579" i="2"/>
  <c r="O580" i="2"/>
  <c r="Q580" i="2"/>
  <c r="O581" i="2"/>
  <c r="Q581" i="2"/>
  <c r="O582" i="2"/>
  <c r="Q582" i="2"/>
  <c r="O583" i="2"/>
  <c r="Q583" i="2"/>
  <c r="O584" i="2"/>
  <c r="Q584" i="2"/>
  <c r="O585" i="2"/>
  <c r="Q585" i="2"/>
  <c r="O586" i="2"/>
  <c r="Q586" i="2"/>
  <c r="O587" i="2"/>
  <c r="Q587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32" i="2"/>
  <c r="Q432" i="2"/>
  <c r="O433" i="2"/>
  <c r="Q433" i="2"/>
  <c r="O434" i="2"/>
  <c r="Q434" i="2"/>
  <c r="O435" i="2"/>
  <c r="Q435" i="2"/>
  <c r="O436" i="2"/>
  <c r="Q436" i="2"/>
  <c r="O437" i="2"/>
  <c r="Q437" i="2"/>
  <c r="O361" i="2"/>
  <c r="Q361" i="2"/>
  <c r="O362" i="2"/>
  <c r="Q362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6" i="2"/>
  <c r="Q386" i="2"/>
  <c r="O387" i="2"/>
  <c r="Q387" i="2"/>
  <c r="O388" i="2"/>
  <c r="Q388" i="2"/>
  <c r="O389" i="2"/>
  <c r="Q389" i="2"/>
  <c r="O390" i="2"/>
  <c r="Q390" i="2"/>
  <c r="O391" i="2"/>
  <c r="Q391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0" i="2"/>
  <c r="Q400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357" i="2"/>
  <c r="Q357" i="2"/>
  <c r="O348" i="2"/>
  <c r="Q348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4" i="2"/>
  <c r="Q314" i="2"/>
  <c r="O315" i="2"/>
  <c r="Q315" i="2"/>
  <c r="O316" i="2"/>
  <c r="Q316" i="2"/>
  <c r="O317" i="2"/>
  <c r="Q317" i="2"/>
  <c r="O318" i="2"/>
  <c r="Q318" i="2"/>
  <c r="O319" i="2"/>
  <c r="Q319" i="2"/>
  <c r="O320" i="2"/>
  <c r="Q320" i="2"/>
  <c r="O321" i="2"/>
  <c r="Q321" i="2"/>
  <c r="O322" i="2"/>
  <c r="Q322" i="2"/>
  <c r="O323" i="2"/>
  <c r="Q323" i="2"/>
  <c r="O324" i="2"/>
  <c r="Q324" i="2"/>
  <c r="O325" i="2"/>
  <c r="Q325" i="2"/>
  <c r="O326" i="2"/>
  <c r="Q326" i="2"/>
  <c r="O327" i="2"/>
  <c r="Q327" i="2"/>
  <c r="O328" i="2"/>
  <c r="Q328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5" i="2"/>
  <c r="Q275" i="2"/>
  <c r="O276" i="2"/>
  <c r="Q276" i="2"/>
  <c r="O277" i="2"/>
  <c r="Q277" i="2"/>
  <c r="O278" i="2"/>
  <c r="Q278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8" i="2"/>
  <c r="Q298" i="2"/>
  <c r="O299" i="2"/>
  <c r="Q299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16" i="2"/>
  <c r="Q216" i="2"/>
  <c r="O217" i="2"/>
  <c r="Q217" i="2"/>
  <c r="O218" i="2"/>
  <c r="Q218" i="2"/>
  <c r="O219" i="2"/>
  <c r="Q219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0" i="2"/>
  <c r="Q260" i="2"/>
  <c r="O261" i="2"/>
  <c r="Q261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89" i="2"/>
  <c r="Q189" i="2"/>
  <c r="O190" i="2"/>
  <c r="Q190" i="2"/>
  <c r="O191" i="2"/>
  <c r="Q191" i="2"/>
  <c r="O192" i="2"/>
  <c r="Q192" i="2"/>
  <c r="O193" i="2"/>
  <c r="Q193" i="2"/>
  <c r="O194" i="2"/>
  <c r="Q194" i="2"/>
  <c r="O195" i="2"/>
  <c r="Q195" i="2"/>
  <c r="O196" i="2"/>
  <c r="Q196" i="2"/>
  <c r="O152" i="2"/>
  <c r="Q152" i="2"/>
  <c r="O153" i="2"/>
  <c r="Q153" i="2"/>
  <c r="O154" i="2"/>
  <c r="Q154" i="2"/>
  <c r="O155" i="2"/>
  <c r="Q155" i="2"/>
  <c r="O157" i="2"/>
  <c r="Q157" i="2"/>
  <c r="O158" i="2"/>
  <c r="Q158" i="2"/>
  <c r="O159" i="2"/>
  <c r="Q159" i="2"/>
  <c r="O160" i="2"/>
  <c r="Q160" i="2"/>
  <c r="O161" i="2"/>
  <c r="Q161" i="2"/>
  <c r="O162" i="2"/>
  <c r="Q162" i="2"/>
  <c r="O163" i="2"/>
  <c r="Q163" i="2"/>
  <c r="O164" i="2"/>
  <c r="Q164" i="2"/>
  <c r="O165" i="2"/>
  <c r="Q165" i="2"/>
  <c r="O166" i="2"/>
  <c r="Q166" i="2"/>
  <c r="O167" i="2"/>
  <c r="Q167" i="2"/>
  <c r="O168" i="2"/>
  <c r="Q168" i="2"/>
  <c r="O55" i="2"/>
  <c r="Q55" i="2"/>
  <c r="O56" i="2"/>
  <c r="Q56" i="2"/>
  <c r="O57" i="2"/>
  <c r="Q57" i="2"/>
  <c r="O58" i="2"/>
  <c r="Q58" i="2"/>
  <c r="O59" i="2"/>
  <c r="Q59" i="2"/>
  <c r="O60" i="2"/>
  <c r="Q60" i="2"/>
  <c r="O61" i="2"/>
  <c r="Q61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70" i="2"/>
  <c r="Q70" i="2"/>
  <c r="O71" i="2"/>
  <c r="Q71" i="2"/>
  <c r="O72" i="2"/>
  <c r="Q72" i="2"/>
  <c r="O73" i="2"/>
  <c r="Q73" i="2"/>
  <c r="O74" i="2"/>
  <c r="Q74" i="2"/>
  <c r="O75" i="2"/>
  <c r="Q75" i="2"/>
  <c r="O76" i="2"/>
  <c r="Q76" i="2"/>
  <c r="O77" i="2"/>
  <c r="Q77" i="2"/>
  <c r="O78" i="2"/>
  <c r="Q78" i="2"/>
  <c r="O79" i="2"/>
  <c r="Q79" i="2"/>
  <c r="O80" i="2"/>
  <c r="Q80" i="2"/>
  <c r="O81" i="2"/>
  <c r="Q81" i="2"/>
  <c r="O82" i="2"/>
  <c r="Q82" i="2"/>
  <c r="O83" i="2"/>
  <c r="Q83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119" i="2"/>
  <c r="Q119" i="2"/>
  <c r="O120" i="2"/>
  <c r="Q120" i="2"/>
  <c r="O121" i="2"/>
  <c r="Q121" i="2"/>
  <c r="O122" i="2"/>
  <c r="Q122" i="2"/>
  <c r="O123" i="2"/>
  <c r="Q123" i="2"/>
  <c r="O124" i="2"/>
  <c r="Q124" i="2"/>
  <c r="O125" i="2"/>
  <c r="Q125" i="2"/>
  <c r="O126" i="2"/>
  <c r="Q126" i="2"/>
  <c r="O127" i="2"/>
  <c r="Q127" i="2"/>
  <c r="O128" i="2"/>
  <c r="Q128" i="2"/>
  <c r="O129" i="2"/>
  <c r="Q129" i="2"/>
  <c r="O130" i="2"/>
  <c r="Q130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144" i="2"/>
  <c r="Q144" i="2"/>
  <c r="O145" i="2"/>
  <c r="Q145" i="2"/>
  <c r="O146" i="2"/>
  <c r="Q146" i="2"/>
  <c r="O147" i="2"/>
  <c r="Q147" i="2"/>
  <c r="O148" i="2"/>
  <c r="Q148" i="2"/>
  <c r="O149" i="2"/>
  <c r="Q149" i="2"/>
  <c r="O150" i="2"/>
  <c r="Q150" i="2"/>
  <c r="O48" i="2"/>
  <c r="Q48" i="2"/>
  <c r="O49" i="2"/>
  <c r="Q49" i="2"/>
  <c r="O50" i="2"/>
  <c r="Q50" i="2"/>
  <c r="O51" i="2"/>
  <c r="Q51" i="2"/>
  <c r="O52" i="2"/>
  <c r="Q52" i="2"/>
  <c r="O53" i="2"/>
  <c r="Q53" i="2"/>
  <c r="O30" i="2"/>
  <c r="Q30" i="2"/>
  <c r="O31" i="2"/>
  <c r="Q31" i="2"/>
  <c r="O32" i="2"/>
  <c r="Q32" i="2"/>
  <c r="O33" i="2"/>
  <c r="Q33" i="2"/>
  <c r="O34" i="2"/>
  <c r="Q34" i="2"/>
  <c r="O36" i="2"/>
  <c r="Q36" i="2"/>
  <c r="O37" i="2"/>
  <c r="Q37" i="2"/>
  <c r="O38" i="2"/>
  <c r="Q38" i="2"/>
  <c r="O39" i="2"/>
  <c r="Q39" i="2"/>
  <c r="O40" i="2"/>
  <c r="Q40" i="2"/>
  <c r="O41" i="2"/>
  <c r="Q41" i="2"/>
  <c r="O42" i="2"/>
  <c r="Q42" i="2"/>
  <c r="O43" i="2"/>
  <c r="Q43" i="2"/>
  <c r="O44" i="2"/>
  <c r="Q44" i="2"/>
  <c r="O45" i="2"/>
  <c r="Q45" i="2"/>
  <c r="O8" i="2"/>
  <c r="Q8" i="2"/>
  <c r="O9" i="2"/>
  <c r="Q9" i="2"/>
  <c r="O10" i="2"/>
  <c r="Q10" i="2"/>
  <c r="O11" i="2"/>
  <c r="Q11" i="2"/>
  <c r="O12" i="2"/>
  <c r="Q12" i="2"/>
  <c r="O13" i="2"/>
  <c r="Q13" i="2"/>
  <c r="O14" i="2"/>
  <c r="Q14" i="2"/>
  <c r="O15" i="2"/>
  <c r="Q15" i="2"/>
  <c r="O16" i="2"/>
  <c r="Q16" i="2"/>
  <c r="O17" i="2"/>
  <c r="Q17" i="2"/>
  <c r="O18" i="2"/>
  <c r="Q18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E86" i="24"/>
  <c r="L3" i="25"/>
  <c r="E75" i="24"/>
  <c r="E9" i="24"/>
  <c r="E20" i="24"/>
  <c r="E31" i="24"/>
  <c r="E42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139" i="2" l="1"/>
  <c r="R45" i="2"/>
  <c r="R249" i="2"/>
  <c r="R289" i="2"/>
  <c r="R415" i="2"/>
  <c r="R411" i="2"/>
  <c r="R379" i="2"/>
  <c r="R436" i="2"/>
  <c r="R107" i="2"/>
  <c r="R99" i="2"/>
  <c r="R95" i="2"/>
  <c r="R93" i="2"/>
  <c r="R91" i="2"/>
  <c r="R83" i="2"/>
  <c r="R79" i="2"/>
  <c r="R77" i="2"/>
  <c r="R75" i="2"/>
  <c r="R67" i="2"/>
  <c r="R63" i="2"/>
  <c r="R61" i="2"/>
  <c r="R59" i="2"/>
  <c r="R256" i="2"/>
  <c r="R44" i="2"/>
  <c r="R42" i="2"/>
  <c r="R38" i="2"/>
  <c r="R51" i="2"/>
  <c r="R49" i="2"/>
  <c r="R148" i="2"/>
  <c r="R140" i="2"/>
  <c r="R92" i="2"/>
  <c r="R60" i="2"/>
  <c r="R211" i="2"/>
  <c r="R580" i="2"/>
  <c r="R578" i="2"/>
  <c r="R138" i="2"/>
  <c r="R136" i="2"/>
  <c r="R132" i="2"/>
  <c r="R122" i="2"/>
  <c r="R120" i="2"/>
  <c r="R116" i="2"/>
  <c r="R108" i="2"/>
  <c r="R201" i="2"/>
  <c r="R552" i="2"/>
  <c r="R544" i="2"/>
  <c r="R533" i="2"/>
  <c r="R23" i="2"/>
  <c r="R15" i="2"/>
  <c r="R11" i="2"/>
  <c r="R9" i="2"/>
  <c r="R241" i="2"/>
  <c r="R231" i="2"/>
  <c r="R223" i="2"/>
  <c r="R221" i="2"/>
  <c r="R216" i="2"/>
  <c r="R212" i="2"/>
  <c r="R200" i="2"/>
  <c r="R272" i="2"/>
  <c r="R266" i="2"/>
  <c r="R418" i="2"/>
  <c r="R400" i="2"/>
  <c r="R394" i="2"/>
  <c r="R386" i="2"/>
  <c r="R596" i="2"/>
  <c r="R240" i="2"/>
  <c r="R577" i="2"/>
  <c r="R534" i="2"/>
  <c r="R37" i="2"/>
  <c r="R32" i="2"/>
  <c r="R30" i="2"/>
  <c r="R52" i="2"/>
  <c r="R147" i="2"/>
  <c r="R143" i="2"/>
  <c r="R141" i="2"/>
  <c r="R106" i="2"/>
  <c r="R104" i="2"/>
  <c r="R100" i="2"/>
  <c r="R90" i="2"/>
  <c r="R88" i="2"/>
  <c r="R84" i="2"/>
  <c r="R76" i="2"/>
  <c r="R248" i="2"/>
  <c r="R228" i="2"/>
  <c r="R219" i="2"/>
  <c r="R210" i="2"/>
  <c r="R208" i="2"/>
  <c r="R204" i="2"/>
  <c r="R391" i="2"/>
  <c r="R367" i="2"/>
  <c r="R572" i="2"/>
  <c r="R564" i="2"/>
  <c r="R558" i="2"/>
  <c r="R531" i="2"/>
  <c r="R529" i="2"/>
  <c r="R525" i="2"/>
  <c r="R513" i="2"/>
  <c r="R505" i="2"/>
  <c r="R501" i="2"/>
  <c r="R473" i="2"/>
  <c r="R469" i="2"/>
  <c r="R22" i="2"/>
  <c r="R20" i="2"/>
  <c r="R8" i="2"/>
  <c r="R53" i="2"/>
  <c r="R131" i="2"/>
  <c r="R127" i="2"/>
  <c r="R125" i="2"/>
  <c r="R123" i="2"/>
  <c r="R115" i="2"/>
  <c r="R111" i="2"/>
  <c r="R109" i="2"/>
  <c r="R74" i="2"/>
  <c r="R72" i="2"/>
  <c r="R68" i="2"/>
  <c r="R58" i="2"/>
  <c r="R56" i="2"/>
  <c r="R166" i="2"/>
  <c r="R158" i="2"/>
  <c r="R178" i="2"/>
  <c r="R257" i="2"/>
  <c r="R213" i="2"/>
  <c r="R277" i="2"/>
  <c r="R273" i="2"/>
  <c r="R334" i="2"/>
  <c r="R423" i="2"/>
  <c r="R124" i="2"/>
  <c r="R193" i="2"/>
  <c r="R329" i="2"/>
  <c r="R321" i="2"/>
  <c r="R317" i="2"/>
  <c r="R344" i="2"/>
  <c r="R430" i="2"/>
  <c r="R569" i="2"/>
  <c r="R565" i="2"/>
  <c r="R557" i="2"/>
  <c r="R545" i="2"/>
  <c r="R541" i="2"/>
  <c r="R537" i="2"/>
  <c r="R508" i="2"/>
  <c r="R500" i="2"/>
  <c r="R494" i="2"/>
  <c r="R476" i="2"/>
  <c r="R468" i="2"/>
  <c r="R157" i="2"/>
  <c r="R185" i="2"/>
  <c r="R181" i="2"/>
  <c r="R179" i="2"/>
  <c r="R177" i="2"/>
  <c r="R207" i="2"/>
  <c r="R301" i="2"/>
  <c r="R297" i="2"/>
  <c r="R410" i="2"/>
  <c r="R406" i="2"/>
  <c r="R387" i="2"/>
  <c r="R378" i="2"/>
  <c r="R370" i="2"/>
  <c r="R368" i="2"/>
  <c r="R595" i="2"/>
  <c r="R593" i="2"/>
  <c r="R589" i="2"/>
  <c r="R481" i="2"/>
  <c r="R477" i="2"/>
  <c r="R470" i="2"/>
  <c r="R467" i="2"/>
  <c r="R465" i="2"/>
  <c r="R461" i="2"/>
  <c r="R592" i="2"/>
  <c r="R584" i="2"/>
  <c r="R488" i="2"/>
  <c r="R480" i="2"/>
  <c r="R456" i="2"/>
  <c r="R448" i="2"/>
  <c r="R444" i="2"/>
  <c r="R165" i="2"/>
  <c r="R194" i="2"/>
  <c r="R192" i="2"/>
  <c r="R186" i="2"/>
  <c r="R304" i="2"/>
  <c r="R296" i="2"/>
  <c r="R284" i="2"/>
  <c r="R322" i="2"/>
  <c r="R318" i="2"/>
  <c r="R314" i="2"/>
  <c r="R341" i="2"/>
  <c r="R399" i="2"/>
  <c r="R432" i="2"/>
  <c r="R16" i="2"/>
  <c r="R164" i="2"/>
  <c r="R152" i="2"/>
  <c r="R195" i="2"/>
  <c r="R260" i="2"/>
  <c r="R258" i="2"/>
  <c r="R255" i="2"/>
  <c r="R244" i="2"/>
  <c r="R242" i="2"/>
  <c r="R239" i="2"/>
  <c r="R224" i="2"/>
  <c r="R278" i="2"/>
  <c r="R325" i="2"/>
  <c r="R323" i="2"/>
  <c r="R357" i="2"/>
  <c r="R407" i="2"/>
  <c r="R395" i="2"/>
  <c r="R388" i="2"/>
  <c r="R385" i="2"/>
  <c r="R433" i="2"/>
  <c r="R585" i="2"/>
  <c r="R570" i="2"/>
  <c r="R548" i="2"/>
  <c r="R546" i="2"/>
  <c r="R521" i="2"/>
  <c r="R506" i="2"/>
  <c r="R484" i="2"/>
  <c r="R482" i="2"/>
  <c r="R457" i="2"/>
  <c r="R449" i="2"/>
  <c r="R445" i="2"/>
  <c r="R19" i="2"/>
  <c r="R17" i="2"/>
  <c r="R14" i="2"/>
  <c r="R12" i="2"/>
  <c r="R41" i="2"/>
  <c r="R39" i="2"/>
  <c r="R36" i="2"/>
  <c r="R33" i="2"/>
  <c r="R48" i="2"/>
  <c r="R149" i="2"/>
  <c r="R146" i="2"/>
  <c r="R144" i="2"/>
  <c r="R135" i="2"/>
  <c r="R133" i="2"/>
  <c r="R130" i="2"/>
  <c r="R128" i="2"/>
  <c r="R119" i="2"/>
  <c r="R117" i="2"/>
  <c r="R114" i="2"/>
  <c r="R112" i="2"/>
  <c r="R103" i="2"/>
  <c r="R101" i="2"/>
  <c r="R98" i="2"/>
  <c r="R96" i="2"/>
  <c r="R87" i="2"/>
  <c r="R85" i="2"/>
  <c r="R82" i="2"/>
  <c r="R80" i="2"/>
  <c r="R71" i="2"/>
  <c r="R69" i="2"/>
  <c r="R66" i="2"/>
  <c r="R64" i="2"/>
  <c r="R55" i="2"/>
  <c r="R167" i="2"/>
  <c r="R189" i="2"/>
  <c r="R187" i="2"/>
  <c r="R184" i="2"/>
  <c r="R305" i="2"/>
  <c r="R298" i="2"/>
  <c r="R274" i="2"/>
  <c r="R419" i="2"/>
  <c r="R412" i="2"/>
  <c r="R398" i="2"/>
  <c r="R382" i="2"/>
  <c r="R375" i="2"/>
  <c r="R363" i="2"/>
  <c r="R594" i="2"/>
  <c r="R573" i="2"/>
  <c r="R566" i="2"/>
  <c r="R563" i="2"/>
  <c r="R526" i="2"/>
  <c r="R509" i="2"/>
  <c r="R502" i="2"/>
  <c r="R499" i="2"/>
  <c r="R462" i="2"/>
  <c r="R161" i="2"/>
  <c r="R159" i="2"/>
  <c r="R155" i="2"/>
  <c r="R176" i="2"/>
  <c r="R252" i="2"/>
  <c r="R250" i="2"/>
  <c r="R247" i="2"/>
  <c r="R236" i="2"/>
  <c r="R199" i="2"/>
  <c r="R292" i="2"/>
  <c r="R287" i="2"/>
  <c r="R285" i="2"/>
  <c r="R330" i="2"/>
  <c r="R426" i="2"/>
  <c r="R424" i="2"/>
  <c r="R422" i="2"/>
  <c r="R402" i="2"/>
  <c r="R374" i="2"/>
  <c r="R366" i="2"/>
  <c r="R362" i="2"/>
  <c r="R576" i="2"/>
  <c r="R553" i="2"/>
  <c r="R538" i="2"/>
  <c r="R516" i="2"/>
  <c r="R514" i="2"/>
  <c r="R512" i="2"/>
  <c r="R489" i="2"/>
  <c r="R474" i="2"/>
  <c r="R452" i="2"/>
  <c r="R450" i="2"/>
  <c r="R333" i="2"/>
  <c r="R403" i="2"/>
  <c r="R383" i="2"/>
  <c r="R581" i="2"/>
  <c r="R517" i="2"/>
  <c r="R492" i="2"/>
  <c r="R21" i="2"/>
  <c r="R18" i="2"/>
  <c r="R13" i="2"/>
  <c r="R10" i="2"/>
  <c r="R43" i="2"/>
  <c r="R40" i="2"/>
  <c r="R34" i="2"/>
  <c r="R31" i="2"/>
  <c r="R50" i="2"/>
  <c r="R150" i="2"/>
  <c r="R145" i="2"/>
  <c r="R142" i="2"/>
  <c r="R137" i="2"/>
  <c r="R134" i="2"/>
  <c r="R129" i="2"/>
  <c r="R126" i="2"/>
  <c r="R121" i="2"/>
  <c r="R118" i="2"/>
  <c r="R113" i="2"/>
  <c r="R110" i="2"/>
  <c r="R105" i="2"/>
  <c r="R102" i="2"/>
  <c r="R97" i="2"/>
  <c r="R94" i="2"/>
  <c r="R89" i="2"/>
  <c r="R86" i="2"/>
  <c r="R81" i="2"/>
  <c r="R78" i="2"/>
  <c r="R73" i="2"/>
  <c r="R70" i="2"/>
  <c r="R65" i="2"/>
  <c r="R62" i="2"/>
  <c r="R293" i="2"/>
  <c r="R269" i="2"/>
  <c r="R371" i="2"/>
  <c r="R561" i="2"/>
  <c r="R497" i="2"/>
  <c r="R153" i="2"/>
  <c r="R182" i="2"/>
  <c r="R253" i="2"/>
  <c r="R237" i="2"/>
  <c r="R288" i="2"/>
  <c r="R427" i="2"/>
  <c r="R556" i="2"/>
  <c r="R162" i="2"/>
  <c r="R190" i="2"/>
  <c r="R261" i="2"/>
  <c r="R245" i="2"/>
  <c r="R227" i="2"/>
  <c r="R281" i="2"/>
  <c r="R326" i="2"/>
  <c r="R340" i="2"/>
  <c r="R588" i="2"/>
  <c r="R549" i="2"/>
  <c r="R524" i="2"/>
  <c r="R485" i="2"/>
  <c r="R460" i="2"/>
  <c r="R230" i="2"/>
  <c r="R225" i="2"/>
  <c r="R222" i="2"/>
  <c r="R306" i="2"/>
  <c r="R286" i="2"/>
  <c r="R331" i="2"/>
  <c r="R319" i="2"/>
  <c r="R348" i="2"/>
  <c r="R420" i="2"/>
  <c r="R417" i="2"/>
  <c r="R408" i="2"/>
  <c r="R396" i="2"/>
  <c r="R376" i="2"/>
  <c r="R364" i="2"/>
  <c r="R586" i="2"/>
  <c r="R574" i="2"/>
  <c r="R554" i="2"/>
  <c r="R542" i="2"/>
  <c r="R522" i="2"/>
  <c r="R510" i="2"/>
  <c r="R490" i="2"/>
  <c r="R478" i="2"/>
  <c r="R458" i="2"/>
  <c r="R446" i="2"/>
  <c r="R57" i="2"/>
  <c r="R168" i="2"/>
  <c r="R163" i="2"/>
  <c r="R160" i="2"/>
  <c r="R154" i="2"/>
  <c r="R196" i="2"/>
  <c r="R191" i="2"/>
  <c r="R188" i="2"/>
  <c r="R183" i="2"/>
  <c r="R180" i="2"/>
  <c r="R175" i="2"/>
  <c r="R259" i="2"/>
  <c r="R254" i="2"/>
  <c r="R251" i="2"/>
  <c r="R246" i="2"/>
  <c r="R243" i="2"/>
  <c r="R238" i="2"/>
  <c r="R235" i="2"/>
  <c r="R233" i="2"/>
  <c r="R209" i="2"/>
  <c r="R294" i="2"/>
  <c r="R282" i="2"/>
  <c r="R280" i="2"/>
  <c r="R270" i="2"/>
  <c r="R268" i="2"/>
  <c r="R327" i="2"/>
  <c r="R324" i="2"/>
  <c r="R315" i="2"/>
  <c r="R428" i="2"/>
  <c r="R404" i="2"/>
  <c r="R384" i="2"/>
  <c r="R372" i="2"/>
  <c r="R582" i="2"/>
  <c r="R562" i="2"/>
  <c r="R560" i="2"/>
  <c r="R550" i="2"/>
  <c r="R530" i="2"/>
  <c r="R528" i="2"/>
  <c r="R518" i="2"/>
  <c r="R498" i="2"/>
  <c r="R496" i="2"/>
  <c r="R486" i="2"/>
  <c r="R466" i="2"/>
  <c r="R464" i="2"/>
  <c r="R454" i="2"/>
  <c r="R232" i="2"/>
  <c r="R229" i="2"/>
  <c r="R217" i="2"/>
  <c r="R215" i="2"/>
  <c r="R205" i="2"/>
  <c r="R203" i="2"/>
  <c r="R302" i="2"/>
  <c r="R300" i="2"/>
  <c r="R290" i="2"/>
  <c r="R276" i="2"/>
  <c r="R342" i="2"/>
  <c r="R416" i="2"/>
  <c r="R414" i="2"/>
  <c r="R392" i="2"/>
  <c r="R390" i="2"/>
  <c r="R380" i="2"/>
  <c r="R437" i="2"/>
  <c r="R435" i="2"/>
  <c r="R590" i="2"/>
  <c r="R568" i="2"/>
  <c r="R536" i="2"/>
  <c r="R504" i="2"/>
  <c r="R472" i="2"/>
  <c r="R442" i="2"/>
  <c r="R218" i="2"/>
  <c r="R295" i="2"/>
  <c r="R332" i="2"/>
  <c r="R425" i="2"/>
  <c r="R393" i="2"/>
  <c r="R361" i="2"/>
  <c r="R571" i="2"/>
  <c r="R539" i="2"/>
  <c r="R507" i="2"/>
  <c r="R475" i="2"/>
  <c r="R443" i="2"/>
  <c r="R226" i="2"/>
  <c r="R303" i="2"/>
  <c r="R271" i="2"/>
  <c r="R339" i="2"/>
  <c r="R401" i="2"/>
  <c r="R369" i="2"/>
  <c r="R579" i="2"/>
  <c r="R547" i="2"/>
  <c r="R515" i="2"/>
  <c r="R483" i="2"/>
  <c r="R451" i="2"/>
  <c r="R202" i="2"/>
  <c r="R279" i="2"/>
  <c r="R316" i="2"/>
  <c r="R409" i="2"/>
  <c r="R377" i="2"/>
  <c r="R587" i="2"/>
  <c r="R555" i="2"/>
  <c r="R523" i="2"/>
  <c r="R491" i="2"/>
  <c r="R459" i="2"/>
  <c r="R234" i="2"/>
  <c r="R214" i="2"/>
  <c r="R206" i="2"/>
  <c r="R307" i="2"/>
  <c r="R299" i="2"/>
  <c r="R291" i="2"/>
  <c r="R283" i="2"/>
  <c r="R275" i="2"/>
  <c r="R267" i="2"/>
  <c r="R328" i="2"/>
  <c r="R320" i="2"/>
  <c r="R343" i="2"/>
  <c r="R429" i="2"/>
  <c r="R421" i="2"/>
  <c r="R413" i="2"/>
  <c r="R405" i="2"/>
  <c r="R397" i="2"/>
  <c r="R389" i="2"/>
  <c r="R381" i="2"/>
  <c r="R373" i="2"/>
  <c r="R365" i="2"/>
  <c r="R434" i="2"/>
  <c r="R591" i="2"/>
  <c r="R583" i="2"/>
  <c r="R575" i="2"/>
  <c r="R567" i="2"/>
  <c r="R559" i="2"/>
  <c r="R551" i="2"/>
  <c r="R543" i="2"/>
  <c r="R535" i="2"/>
  <c r="R527" i="2"/>
  <c r="R519" i="2"/>
  <c r="R511" i="2"/>
  <c r="R503" i="2"/>
  <c r="R495" i="2"/>
  <c r="R487" i="2"/>
  <c r="R479" i="2"/>
  <c r="R471" i="2"/>
  <c r="R463" i="2"/>
  <c r="R455" i="2"/>
  <c r="R447" i="2"/>
  <c r="D327" i="24"/>
  <c r="D328" i="24" s="1"/>
  <c r="D340" i="24"/>
  <c r="W3" i="25"/>
  <c r="D196" i="24" s="1"/>
  <c r="E196" i="24" s="1"/>
  <c r="Q3" i="25"/>
  <c r="D130" i="24" s="1"/>
  <c r="E130" i="24" s="1"/>
  <c r="AC3" i="2"/>
  <c r="C113" i="24" s="1"/>
  <c r="D114" i="24" s="1"/>
  <c r="O5" i="25"/>
  <c r="P5" i="25"/>
  <c r="D120" i="24" s="1"/>
  <c r="O3" i="25"/>
  <c r="E108" i="24" s="1"/>
  <c r="B4" i="25"/>
  <c r="C219" i="24" s="1"/>
  <c r="B2" i="25"/>
  <c r="AI4" i="25" s="1"/>
  <c r="Q47" i="2"/>
  <c r="O47" i="2"/>
  <c r="Q46" i="2"/>
  <c r="O46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7" i="2"/>
  <c r="R46" i="2"/>
  <c r="D116" i="24" l="1"/>
  <c r="Q174" i="2" l="1"/>
  <c r="Q173" i="2"/>
  <c r="O174" i="2"/>
  <c r="O173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AE5" i="25"/>
  <c r="D289" i="24" s="1"/>
  <c r="E289" i="24" s="1"/>
  <c r="AD5" i="25"/>
  <c r="D278" i="24" s="1"/>
  <c r="E278" i="24" s="1"/>
  <c r="AC5" i="25"/>
  <c r="E267" i="24" s="1"/>
  <c r="AB5" i="25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E266" i="24" s="1"/>
  <c r="AB3" i="25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AB6" i="2"/>
  <c r="AB5" i="2"/>
  <c r="AB4" i="2"/>
  <c r="AA6" i="2"/>
  <c r="AA5" i="2"/>
  <c r="AA4" i="2"/>
  <c r="Z6" i="2"/>
  <c r="Z5" i="2"/>
  <c r="Z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3" i="2"/>
  <c r="R174" i="2"/>
  <c r="Q358" i="2"/>
  <c r="Q359" i="2"/>
  <c r="Q360" i="2"/>
  <c r="O358" i="2"/>
  <c r="O359" i="2"/>
  <c r="O360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8" i="2"/>
  <c r="R360" i="2"/>
  <c r="R359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45" i="2"/>
  <c r="Q345" i="2"/>
  <c r="D60" i="24" l="1"/>
  <c r="D172" i="24"/>
  <c r="R345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C47" i="24" s="1"/>
  <c r="V3" i="2"/>
  <c r="C36" i="24" s="1"/>
  <c r="U3" i="2"/>
  <c r="C25" i="24" s="1"/>
  <c r="Z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Z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24" i="2"/>
  <c r="O25" i="2"/>
  <c r="O26" i="2"/>
  <c r="O27" i="2"/>
  <c r="O28" i="2"/>
  <c r="O29" i="2"/>
  <c r="O54" i="2"/>
  <c r="O151" i="2"/>
  <c r="O169" i="2"/>
  <c r="O170" i="2"/>
  <c r="O171" i="2"/>
  <c r="O172" i="2"/>
  <c r="O197" i="2"/>
  <c r="O198" i="2"/>
  <c r="O262" i="2"/>
  <c r="O263" i="2"/>
  <c r="O308" i="2"/>
  <c r="O309" i="2"/>
  <c r="O311" i="2"/>
  <c r="O312" i="2"/>
  <c r="O310" i="2"/>
  <c r="O313" i="2"/>
  <c r="O335" i="2"/>
  <c r="O336" i="2"/>
  <c r="O337" i="2"/>
  <c r="O346" i="2"/>
  <c r="O347" i="2"/>
  <c r="O349" i="2"/>
  <c r="O350" i="2"/>
  <c r="O351" i="2"/>
  <c r="O352" i="2"/>
  <c r="O353" i="2"/>
  <c r="O354" i="2"/>
  <c r="O355" i="2"/>
  <c r="O356" i="2"/>
  <c r="O431" i="2"/>
  <c r="O438" i="2"/>
  <c r="O439" i="2"/>
  <c r="O440" i="2"/>
  <c r="Q440" i="2"/>
  <c r="Q439" i="2"/>
  <c r="Q438" i="2"/>
  <c r="Q431" i="2"/>
  <c r="Q355" i="2"/>
  <c r="Q354" i="2"/>
  <c r="Q353" i="2"/>
  <c r="Q352" i="2"/>
  <c r="Q351" i="2"/>
  <c r="Q350" i="2"/>
  <c r="Q349" i="2"/>
  <c r="Q347" i="2"/>
  <c r="Q346" i="2"/>
  <c r="Q337" i="2"/>
  <c r="Q336" i="2"/>
  <c r="Q335" i="2"/>
  <c r="Q313" i="2"/>
  <c r="Q310" i="2"/>
  <c r="Q312" i="2"/>
  <c r="Q311" i="2"/>
  <c r="Q309" i="2"/>
  <c r="Q308" i="2"/>
  <c r="Q263" i="2"/>
  <c r="Q262" i="2"/>
  <c r="Q198" i="2"/>
  <c r="Q197" i="2"/>
  <c r="Q172" i="2"/>
  <c r="Q171" i="2"/>
  <c r="Q170" i="2"/>
  <c r="Q169" i="2"/>
  <c r="Q151" i="2"/>
  <c r="Q54" i="2"/>
  <c r="Q356" i="2"/>
  <c r="Q28" i="2"/>
  <c r="Q27" i="2"/>
  <c r="Q26" i="2"/>
  <c r="Q25" i="2"/>
  <c r="Q24" i="2"/>
  <c r="AB1" i="2" l="1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Z1" i="2"/>
  <c r="AL1" i="2"/>
  <c r="AC1" i="2"/>
  <c r="Y1" i="2"/>
  <c r="AS1" i="2"/>
  <c r="R151" i="2"/>
  <c r="R312" i="2"/>
  <c r="R54" i="2"/>
  <c r="R172" i="2"/>
  <c r="R439" i="2"/>
  <c r="R313" i="2"/>
  <c r="R28" i="2"/>
  <c r="R198" i="2"/>
  <c r="R27" i="2"/>
  <c r="R169" i="2"/>
  <c r="R170" i="2"/>
  <c r="R431" i="2"/>
  <c r="R308" i="2"/>
  <c r="R311" i="2"/>
  <c r="R336" i="2"/>
  <c r="R350" i="2"/>
  <c r="R26" i="2"/>
  <c r="R25" i="2"/>
  <c r="R351" i="2"/>
  <c r="R440" i="2"/>
  <c r="R263" i="2"/>
  <c r="R352" i="2"/>
  <c r="R353" i="2"/>
  <c r="R347" i="2"/>
  <c r="R355" i="2"/>
  <c r="R346" i="2"/>
  <c r="R335" i="2"/>
  <c r="R24" i="2"/>
  <c r="R356" i="2"/>
  <c r="R197" i="2"/>
  <c r="R349" i="2"/>
  <c r="R171" i="2"/>
  <c r="R309" i="2"/>
  <c r="R310" i="2"/>
  <c r="R337" i="2"/>
  <c r="R262" i="2"/>
  <c r="R354" i="2"/>
  <c r="R438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29" i="2"/>
  <c r="D5" i="24" l="1"/>
  <c r="E4" i="24"/>
  <c r="R29" i="2"/>
  <c r="AO1" i="2"/>
  <c r="D6" i="24" l="1"/>
  <c r="E6" i="24" s="1"/>
  <c r="E5" i="24"/>
  <c r="Q338" i="2" l="1"/>
  <c r="O338" i="2"/>
  <c r="R338" i="2" l="1"/>
  <c r="Q441" i="2" l="1"/>
  <c r="O441" i="2"/>
  <c r="R441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<sst xmlns="http://schemas.openxmlformats.org/spreadsheetml/2006/main" count="5522" uniqueCount="2384">
  <si>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</si>
  <si>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</si>
  <si>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</si>
  <si>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</si>
  <si>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</si>
  <si>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</si>
  <si>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</si>
  <si>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</si>
  <si>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</si>
  <si>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</si>
  <si>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</si>
  <si>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</si>
  <si>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</si>
  <si>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</si>
  <si>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</si>
  <si>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</si>
  <si>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</si>
  <si>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</si>
  <si>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</si>
  <si>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</si>
  <si>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</si>
  <si>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</si>
  <si>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</si>
  <si>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</si>
  <si>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</si>
  <si>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</si>
  <si>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</si>
  <si>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</si>
  <si>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</si>
  <si>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</si>
  <si>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</si>
  <si>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</si>
  <si>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</si>
  <si>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</si>
  <si>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</si>
  <si>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</si>
  <si>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</si>
  <si>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</si>
  <si>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</si>
  <si>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</si>
  <si>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</si>
  <si>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</si>
  <si>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</si>
  <si>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</si>
  <si>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</si>
  <si>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</si>
  <si>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</si>
  <si>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</si>
  <si>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</si>
  <si>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</si>
  <si>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</si>
  <si>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</si>
  <si>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</si>
  <si>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</si>
  <si>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</si>
  <si>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</si>
  <si>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</si>
  <si>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</si>
  <si>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</si>
  <si>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</si>
  <si>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</si>
  <si>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</si>
  <si>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</si>
  <si>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</si>
  <si>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</si>
  <si>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</si>
  <si>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</si>
  <si>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</si>
  <si>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</si>
  <si>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</si>
  <si>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</si>
  <si>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</si>
  <si>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</si>
  <si>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</si>
  <si>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</si>
  <si>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</si>
  <si>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</si>
  <si>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</si>
  <si>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</si>
  <si>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</si>
  <si>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</si>
  <si>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</si>
  <si>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</si>
  <si>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</si>
  <si>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</si>
  <si>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</si>
  <si>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</si>
  <si>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</si>
  <si>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</si>
  <si>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</si>
  <si>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</si>
  <si>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</si>
  <si>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</si>
  <si>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</si>
  <si>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</si>
  <si>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</si>
  <si>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</si>
  <si>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</si>
  <si>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</si>
  <si>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</si>
  <si>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</si>
  <si>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</si>
  <si>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</si>
  <si>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</si>
  <si>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</si>
  <si>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</si>
  <si>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</si>
  <si>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</si>
  <si>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</si>
  <si>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</si>
  <si>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</si>
  <si>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</si>
  <si>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</si>
  <si>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</si>
  <si>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</si>
  <si>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</si>
  <si>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</si>
  <si>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</si>
  <si>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</si>
  <si>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</si>
  <si>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</si>
  <si>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</si>
  <si>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</si>
  <si>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</si>
  <si>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</si>
  <si>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</si>
  <si>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</si>
  <si>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</si>
  <si>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</si>
  <si>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</si>
  <si>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</si>
  <si>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</si>
  <si>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</si>
  <si>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</si>
  <si>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</si>
  <si>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</si>
  <si>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</si>
  <si>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</si>
  <si>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</si>
  <si>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</si>
  <si>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</si>
  <si>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</si>
  <si>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</si>
  <si>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</si>
  <si>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</si>
  <si>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</si>
  <si>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</si>
  <si>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</si>
  <si>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</si>
  <si>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</si>
  <si>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</si>
  <si>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</si>
  <si>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</si>
  <si>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</si>
  <si>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</si>
  <si>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</si>
  <si>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</si>
  <si>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</si>
  <si>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</si>
  <si>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</si>
  <si>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</si>
  <si>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</si>
  <si>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</si>
  <si>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</si>
  <si>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</si>
  <si>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</si>
  <si>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</si>
  <si>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</si>
  <si>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</si>
  <si>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</si>
  <si>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</si>
  <si>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</si>
  <si>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</si>
  <si>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</si>
  <si>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</si>
  <si>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</si>
  <si>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</si>
  <si>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</si>
  <si>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</si>
  <si>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</si>
  <si>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</si>
  <si>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</si>
  <si>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</si>
  <si>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</si>
  <si>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</si>
  <si>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</si>
  <si>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</si>
  <si>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</si>
  <si>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</si>
  <si>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</si>
  <si>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</si>
  <si>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</si>
  <si>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</si>
  <si>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</si>
  <si>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</si>
  <si>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</si>
  <si>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</si>
  <si>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</si>
  <si>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</si>
  <si>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</si>
  <si>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</si>
  <si>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</si>
  <si>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</si>
  <si>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</si>
  <si>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</si>
  <si>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</si>
  <si>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</si>
  <si>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</si>
  <si>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</si>
  <si>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</si>
  <si>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</si>
  <si>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</si>
  <si>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</si>
  <si>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</si>
  <si>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</si>
  <si>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</si>
  <si>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</si>
  <si>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</si>
  <si>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</si>
  <si>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</si>
  <si>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</si>
  <si>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</si>
  <si>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</si>
  <si>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</si>
  <si>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</si>
  <si>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</si>
  <si>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</si>
  <si>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</si>
  <si>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</si>
  <si>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</si>
  <si>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</si>
  <si>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</si>
  <si>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</si>
  <si>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</si>
  <si>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</si>
  <si>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</si>
  <si>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</si>
  <si>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</si>
  <si>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</si>
  <si>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</si>
  <si>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</si>
  <si>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</si>
  <si>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</si>
  <si>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</si>
  <si>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</si>
  <si>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</si>
  <si>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</si>
  <si>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</si>
  <si>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</si>
  <si>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</si>
  <si>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</si>
  <si>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</si>
  <si>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</si>
  <si>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</si>
  <si>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</si>
  <si>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</si>
  <si>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</si>
  <si>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</si>
  <si>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</si>
  <si>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</si>
  <si>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</si>
  <si>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</si>
  <si>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</si>
  <si>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</si>
  <si>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</si>
  <si>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</si>
  <si>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</si>
  <si>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</si>
  <si>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</si>
  <si>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</si>
  <si>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</si>
  <si>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</si>
  <si>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</si>
  <si>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</si>
  <si>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</si>
  <si>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</si>
  <si>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</si>
  <si>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</si>
  <si>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</si>
  <si>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</si>
  <si>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</si>
  <si>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</si>
  <si>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</si>
  <si>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</si>
  <si>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</si>
  <si>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</si>
  <si>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</si>
  <si>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</si>
  <si>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</si>
  <si>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</si>
  <si>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</si>
  <si>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</si>
  <si>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</si>
  <si>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</si>
  <si>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</si>
  <si>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</si>
  <si>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</si>
  <si>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</si>
  <si>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</si>
  <si>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</si>
  <si>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</si>
  <si>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</si>
  <si>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</si>
  <si>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</si>
  <si>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</si>
  <si>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</si>
  <si>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</si>
  <si>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</si>
  <si>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</si>
  <si>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</si>
  <si>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</si>
  <si>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</si>
  <si>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</si>
  <si>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</si>
  <si>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</si>
  <si>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</si>
  <si>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</si>
  <si>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</si>
  <si>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</si>
  <si>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</si>
  <si>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</si>
  <si>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</si>
  <si>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</si>
  <si>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</si>
  <si>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</si>
  <si>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</si>
  <si>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</si>
  <si>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</si>
  <si>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</si>
  <si>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</si>
  <si>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</si>
  <si>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</si>
  <si>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</si>
  <si>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</si>
  <si>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</si>
  <si>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</si>
  <si>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</si>
  <si>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</si>
  <si>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</si>
  <si>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</si>
  <si>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</si>
  <si>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</si>
  <si>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</si>
  <si>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</si>
  <si>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</si>
  <si>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</si>
  <si>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</si>
  <si>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</si>
  <si>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</si>
  <si>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</si>
  <si>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</si>
  <si>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</si>
  <si>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</si>
  <si>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</si>
  <si>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</si>
  <si>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</si>
  <si>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</si>
  <si>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</si>
  <si>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</si>
  <si>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</si>
  <si>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</si>
  <si>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</si>
  <si>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</si>
  <si>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</si>
  <si>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</si>
  <si>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</si>
  <si>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</si>
  <si>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</si>
  <si>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</si>
  <si>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</si>
  <si>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</si>
  <si>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</si>
  <si>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</si>
  <si>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</si>
  <si>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</si>
  <si>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</si>
  <si>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</si>
  <si>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</si>
  <si>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</si>
  <si>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</si>
  <si>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</si>
  <si>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</si>
  <si>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</si>
  <si>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</si>
  <si>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</si>
  <si>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</si>
  <si>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</si>
  <si>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</si>
  <si>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</si>
  <si>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</si>
  <si>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</si>
  <si>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</si>
  <si>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</si>
  <si>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</si>
  <si>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</si>
  <si>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</si>
  <si>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</si>
  <si>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</si>
  <si>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</si>
  <si>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</si>
  <si>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</si>
  <si>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</si>
  <si>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</si>
  <si>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</si>
  <si>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</si>
  <si>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</si>
  <si>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</si>
  <si>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</si>
  <si>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</si>
  <si>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</si>
  <si>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</si>
  <si>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</si>
  <si>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</si>
  <si>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</si>
  <si>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</si>
  <si>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</si>
  <si>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</si>
  <si>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</si>
  <si>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</si>
  <si>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</si>
  <si>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</si>
  <si>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</si>
  <si>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</si>
  <si>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</si>
  <si>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</si>
  <si>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</si>
  <si>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</si>
  <si>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</si>
  <si>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</si>
  <si>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</si>
  <si>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</si>
  <si>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</si>
  <si>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</si>
  <si>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</si>
  <si>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</si>
  <si>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</si>
  <si>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</si>
  <si>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</si>
  <si>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</si>
  <si>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</si>
  <si>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</si>
  <si>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</si>
  <si>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</si>
  <si>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</si>
  <si>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</si>
  <si>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</si>
  <si>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</si>
  <si>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</si>
  <si>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</si>
  <si>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</si>
  <si>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</si>
  <si>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</si>
  <si>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</si>
  <si>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</si>
  <si>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</si>
  <si>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</si>
  <si>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</si>
  <si>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</si>
  <si>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</si>
  <si>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</si>
  <si>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</si>
  <si>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</si>
  <si>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</si>
  <si>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</si>
  <si>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</si>
  <si>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</si>
  <si>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</si>
  <si>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</si>
  <si>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</si>
  <si>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</si>
  <si>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</si>
  <si>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</si>
  <si>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</si>
  <si>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</si>
  <si>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</si>
  <si>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</si>
  <si>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</si>
  <si>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</si>
  <si>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</si>
  <si>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</si>
  <si>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</si>
  <si>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</si>
  <si>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</si>
  <si>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</si>
  <si>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</si>
  <si>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</si>
  <si>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</si>
  <si>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</si>
  <si>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</si>
  <si>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</si>
  <si>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</si>
  <si>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</si>
  <si>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</si>
  <si>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</si>
  <si>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</si>
  <si>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</si>
  <si>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</si>
  <si>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</si>
  <si>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</si>
  <si>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</si>
  <si>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</si>
  <si>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</si>
  <si>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</si>
  <si>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</si>
  <si>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</si>
  <si>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</si>
  <si>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</si>
  <si>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</si>
  <si>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</si>
  <si>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</si>
  <si>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</si>
  <si>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</si>
  <si>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</si>
  <si>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</si>
  <si>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</si>
  <si>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</si>
  <si>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</si>
  <si>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</si>
  <si>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</si>
  <si>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</si>
  <si>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</si>
  <si>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</si>
  <si>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</si>
  <si>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</si>
  <si>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</si>
  <si>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</si>
  <si>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</si>
  <si>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</si>
  <si>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</si>
  <si>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</si>
  <si>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</si>
  <si>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</si>
  <si>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</si>
  <si>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</si>
  <si>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</si>
  <si>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</si>
  <si>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</si>
  <si>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</si>
  <si>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</si>
  <si>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</si>
  <si>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</si>
  <si>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</si>
  <si>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</si>
  <si>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</si>
  <si>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</si>
  <si>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</si>
  <si>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</si>
  <si>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</si>
  <si>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</si>
  <si>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</si>
  <si>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</si>
  <si>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</si>
  <si>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</si>
  <si>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</si>
  <si>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</si>
  <si>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</si>
  <si>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</si>
  <si>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</si>
  <si>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</si>
  <si>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</si>
  <si>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</si>
  <si>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</si>
  <si>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</si>
  <si>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</si>
  <si>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</si>
  <si>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</si>
  <si>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</si>
  <si>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</si>
  <si>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</si>
  <si>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</si>
  <si>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</si>
  <si>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</si>
  <si>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</si>
  <si>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</si>
  <si>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</si>
  <si>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</si>
  <si>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</si>
  <si>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</si>
  <si>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</si>
  <si>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</si>
  <si>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</si>
  <si>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</si>
  <si>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</si>
  <si>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</si>
  <si>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</si>
  <si>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</si>
  <si>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</si>
  <si>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</si>
  <si>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</si>
  <si>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</si>
  <si>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</si>
  <si>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</si>
  <si>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</si>
  <si>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</si>
  <si>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</si>
  <si>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</si>
  <si>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</si>
  <si>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</si>
  <si>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</si>
  <si>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</si>
  <si>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</si>
  <si>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</si>
  <si>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</si>
  <si>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</si>
  <si>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</si>
  <si>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</si>
  <si>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</si>
  <si>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</si>
  <si>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</si>
  <si>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</si>
  <si>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</si>
  <si>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</si>
  <si>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</si>
  <si>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</si>
  <si>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</si>
  <si>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</si>
  <si>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</si>
  <si>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</si>
  <si>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</si>
  <si>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</si>
  <si>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</si>
  <si>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</si>
  <si>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</si>
  <si>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</si>
  <si>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</si>
  <si>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</si>
  <si>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</si>
  <si>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</si>
  <si>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</si>
  <si>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</si>
  <si>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</si>
  <si>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</si>
  <si>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</si>
  <si>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</si>
  <si>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</si>
  <si>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</si>
  <si>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</si>
  <si>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</si>
  <si>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</si>
  <si>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</si>
  <si>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</si>
  <si>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</si>
  <si>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</si>
  <si>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</si>
  <si>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</si>
  <si>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</si>
  <si>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</si>
  <si>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</si>
  <si>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</si>
  <si>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</si>
  <si>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</si>
  <si>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</si>
  <si>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</si>
  <si>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</si>
  <si>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</si>
  <si>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</si>
  <si>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</si>
  <si>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</si>
  <si>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</si>
  <si>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</si>
  <si>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</si>
  <si>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</si>
  <si>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</si>
  <si>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</si>
  <si>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</si>
  <si>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</si>
  <si>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</si>
  <si>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</si>
  <si>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</si>
  <si>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</si>
  <si>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</si>
  <si>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</si>
  <si>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</si>
  <si>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</si>
  <si>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</si>
  <si>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</si>
  <si>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</si>
  <si>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</si>
  <si>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</si>
  <si>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</si>
  <si>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</si>
  <si>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</si>
  <si>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</si>
  <si>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</si>
  <si>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</si>
  <si>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</si>
  <si>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</si>
  <si>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</si>
  <si>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</si>
  <si>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</si>
  <si>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</si>
  <si>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</si>
  <si>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</si>
  <si>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</si>
  <si>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</si>
  <si>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</si>
  <si>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</si>
  <si>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</si>
  <si>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</si>
  <si>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</si>
  <si>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</si>
  <si>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</si>
  <si>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</si>
  <si>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</si>
  <si>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</si>
  <si>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</si>
  <si>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</si>
  <si>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</si>
  <si>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</si>
  <si>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</si>
  <si>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</si>
  <si>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</si>
  <si>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</si>
  <si>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</si>
  <si>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</si>
  <si>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</si>
  <si>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</si>
  <si>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</si>
  <si>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</si>
  <si>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</si>
  <si>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</si>
  <si>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</si>
  <si>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</si>
  <si>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</si>
  <si>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</si>
  <si>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</si>
  <si>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</si>
  <si>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</si>
  <si>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</si>
  <si>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</si>
  <si>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</si>
  <si>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</si>
  <si>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</si>
  <si>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</si>
  <si>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</si>
  <si>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</si>
  <si>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</si>
  <si>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</si>
  <si>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</si>
  <si>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</si>
  <si>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</si>
  <si>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</si>
  <si>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</si>
  <si>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</si>
  <si>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</si>
  <si>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</si>
  <si>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</si>
  <si>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</si>
  <si>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</si>
  <si>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</si>
  <si>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</si>
  <si>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</si>
  <si>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</si>
  <si>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</si>
  <si>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</si>
  <si>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</si>
  <si>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</si>
  <si>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</si>
  <si>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</si>
  <si>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</si>
  <si>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</si>
  <si>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</si>
  <si>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</si>
  <si>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</si>
  <si>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</si>
  <si>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</si>
  <si>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</si>
  <si>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</si>
  <si>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</si>
  <si>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</si>
  <si>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</si>
  <si>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</si>
  <si>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</si>
  <si>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</si>
  <si>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</si>
  <si>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</si>
  <si>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</si>
  <si>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</si>
  <si>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</si>
  <si>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</si>
  <si>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</si>
  <si>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</si>
  <si>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</si>
  <si>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</si>
  <si>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</si>
  <si>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</si>
  <si>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</si>
  <si>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</si>
  <si>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</si>
  <si>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</si>
  <si>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</si>
  <si>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</si>
  <si>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</si>
  <si>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</si>
  <si>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</si>
  <si>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</si>
  <si>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</si>
  <si>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</si>
  <si>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</si>
  <si>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</si>
  <si>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</si>
  <si>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</si>
  <si>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</si>
  <si>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</si>
  <si>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</si>
  <si>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</si>
  <si>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</si>
  <si>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</si>
  <si>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</si>
  <si>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</si>
  <si>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</si>
  <si>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</si>
  <si>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</si>
  <si>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</si>
  <si>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</si>
  <si>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</si>
  <si>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</si>
  <si>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</si>
  <si>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</si>
  <si>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</si>
  <si>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</si>
  <si>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</si>
  <si>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</si>
  <si>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</si>
  <si>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</si>
  <si>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</si>
  <si>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</si>
  <si>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</si>
  <si>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</si>
  <si>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</si>
  <si>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</si>
  <si>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</si>
  <si>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</si>
  <si>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</si>
  <si>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</si>
  <si>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</si>
  <si>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</si>
  <si>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</si>
  <si>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</si>
  <si>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</si>
  <si>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</si>
  <si>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</si>
  <si>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</si>
  <si>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</si>
  <si>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</si>
  <si>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</si>
  <si>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</si>
  <si>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</si>
  <si>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</si>
  <si>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</si>
  <si>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</si>
  <si>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</si>
  <si>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</si>
  <si>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</si>
  <si>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</si>
  <si>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</si>
  <si>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</si>
  <si>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</si>
  <si>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</si>
  <si>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</si>
  <si>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</si>
  <si>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</si>
  <si>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</si>
  <si>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</si>
  <si>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</si>
  <si>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</si>
  <si>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</si>
  <si>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</si>
  <si>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</si>
  <si>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</si>
  <si>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</si>
  <si>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</si>
  <si>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</si>
  <si>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</si>
  <si>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</si>
  <si>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</si>
  <si>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</si>
  <si>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</si>
  <si>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</si>
  <si>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</si>
  <si>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</si>
  <si>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</si>
  <si>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</si>
  <si>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</si>
  <si>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</si>
  <si>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</si>
  <si>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</si>
  <si>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</si>
  <si>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</si>
  <si>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</si>
  <si>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</si>
  <si>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</si>
  <si>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</si>
  <si>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</si>
  <si>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</si>
  <si>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</si>
  <si>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</si>
  <si>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</si>
  <si>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</si>
  <si>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</si>
  <si>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</si>
  <si>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</si>
  <si>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</si>
  <si>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</si>
  <si>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</si>
  <si>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</si>
  <si>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</si>
  <si>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</si>
  <si>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</si>
  <si>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</si>
  <si>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</si>
  <si>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</si>
  <si>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</si>
  <si>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</si>
  <si>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</si>
  <si>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</si>
  <si>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</si>
  <si>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</si>
  <si>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</si>
  <si>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</si>
  <si>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</si>
  <si>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</si>
  <si>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</si>
  <si>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</si>
  <si>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</si>
  <si>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</si>
  <si>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</si>
  <si>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</si>
  <si>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</si>
  <si>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</si>
  <si>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</si>
  <si>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</si>
  <si>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</si>
  <si>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</si>
  <si>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</si>
  <si>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</si>
  <si>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</si>
  <si>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</si>
  <si>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</si>
  <si>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</si>
  <si>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</si>
  <si>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</si>
  <si>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</si>
  <si>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</si>
  <si>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</si>
  <si>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</si>
  <si>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</si>
  <si>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</si>
  <si>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</si>
  <si>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</si>
  <si>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</si>
  <si>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</si>
  <si>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</si>
  <si>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</si>
  <si>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</si>
  <si>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</si>
  <si>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</si>
  <si>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</si>
  <si>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</si>
  <si>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</si>
  <si>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</si>
  <si>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</si>
  <si>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</si>
  <si>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</si>
  <si>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</si>
  <si>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</si>
  <si>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</si>
  <si>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</si>
  <si>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</si>
  <si>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</si>
  <si>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</si>
  <si>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</si>
  <si>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</si>
  <si>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</si>
  <si>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</si>
  <si>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</si>
  <si>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</si>
  <si>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</si>
  <si>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</si>
  <si>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</si>
  <si>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</si>
  <si>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</si>
  <si>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</si>
  <si>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</si>
  <si>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</si>
  <si>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</si>
  <si>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</si>
  <si>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</si>
  <si>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</si>
  <si>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</si>
  <si>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</si>
  <si>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</si>
  <si>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</si>
  <si>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</si>
  <si>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</si>
  <si>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</si>
  <si>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</si>
  <si>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</si>
  <si>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</si>
  <si>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</si>
  <si>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</si>
  <si>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</si>
  <si>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</si>
  <si>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</si>
  <si>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</si>
  <si>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</si>
  <si>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</si>
  <si>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</si>
  <si>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</si>
  <si>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</si>
  <si>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</si>
  <si>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</si>
  <si>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</si>
  <si>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</si>
  <si>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</si>
  <si>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</si>
  <si>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</si>
  <si>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</si>
  <si>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</si>
  <si>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</si>
  <si>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</si>
  <si>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</si>
  <si>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</si>
  <si>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</si>
  <si>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</si>
  <si>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</si>
  <si>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</si>
  <si>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</si>
  <si>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</si>
  <si>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</si>
  <si>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</si>
  <si>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</si>
  <si>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</si>
  <si>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</si>
  <si>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</si>
  <si>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</si>
  <si>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</si>
  <si>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</si>
  <si>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</si>
  <si>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</si>
  <si>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</si>
  <si>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</si>
  <si>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</si>
  <si>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</si>
  <si>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</si>
  <si>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</si>
  <si>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</si>
  <si>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</si>
  <si>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</si>
  <si>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</si>
  <si>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</si>
  <si>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</si>
  <si>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</si>
  <si>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</si>
  <si>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</si>
  <si>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</si>
  <si>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</si>
  <si>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</si>
  <si>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</si>
  <si>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</si>
  <si>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</si>
  <si>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</si>
  <si>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</si>
  <si>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</si>
  <si>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</si>
  <si>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</si>
  <si>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</si>
  <si>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</si>
  <si>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</si>
  <si>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</si>
  <si>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</si>
  <si>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</si>
  <si>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</si>
  <si>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</si>
  <si>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</si>
  <si>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</si>
  <si>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</si>
  <si>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</si>
  <si>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</si>
  <si>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</si>
  <si>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</si>
  <si>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</si>
  <si>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</si>
  <si>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</si>
  <si>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</si>
  <si>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</si>
  <si>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</si>
  <si>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</si>
  <si>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</si>
  <si>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</si>
  <si>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</si>
  <si>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</si>
  <si>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</si>
  <si>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</si>
  <si>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</si>
  <si>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</si>
  <si>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</si>
  <si>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</si>
  <si>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</si>
  <si>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</si>
  <si>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</si>
  <si>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</si>
  <si>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</si>
  <si>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</si>
  <si>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</si>
  <si>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</si>
  <si>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</si>
  <si>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</si>
  <si>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</si>
  <si>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</si>
  <si>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</si>
  <si>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</si>
  <si>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</si>
  <si>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</si>
  <si>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</si>
  <si>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</si>
  <si>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</si>
  <si>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</si>
  <si>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</si>
  <si>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</si>
  <si>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</si>
  <si>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</si>
  <si>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</si>
  <si>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</si>
  <si>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</si>
  <si>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</si>
  <si>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</si>
  <si>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</si>
  <si>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</si>
  <si>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</si>
  <si>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</si>
  <si>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</si>
  <si>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</si>
  <si>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</si>
  <si>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</si>
  <si>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</si>
  <si>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</si>
  <si>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</si>
  <si>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</si>
  <si>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</si>
  <si>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</si>
  <si>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</si>
  <si>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</si>
  <si>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</si>
  <si>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</si>
  <si>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</si>
  <si>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</si>
  <si>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</si>
  <si>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</si>
  <si>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</si>
  <si>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</si>
  <si>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</si>
  <si>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</si>
  <si>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</si>
  <si>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</si>
  <si>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</si>
  <si>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</si>
  <si>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</si>
  <si>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</si>
  <si>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</si>
  <si>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</si>
  <si>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</si>
  <si>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</si>
  <si>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</si>
  <si>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</si>
  <si>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</si>
  <si>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</si>
  <si>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</si>
  <si>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</si>
  <si>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</si>
  <si>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</si>
  <si>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</si>
  <si>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</si>
  <si>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</si>
  <si>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</si>
  <si>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</si>
  <si>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</si>
  <si>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</si>
  <si>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</si>
  <si>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</si>
  <si>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</si>
  <si>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</si>
  <si>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</si>
  <si>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</si>
  <si>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</si>
  <si>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</si>
  <si>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</si>
  <si>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</si>
  <si>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</si>
  <si>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</si>
  <si>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</si>
  <si>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</si>
  <si>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</si>
  <si>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</si>
  <si>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</si>
  <si>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</si>
  <si>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</si>
  <si>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</si>
  <si>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</si>
  <si>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</si>
  <si>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</si>
  <si>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</si>
  <si>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</si>
  <si>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</si>
  <si>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</si>
  <si>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</si>
  <si>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</si>
  <si>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</si>
  <si>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</si>
  <si>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</si>
  <si>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</si>
  <si>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</si>
  <si>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</si>
  <si>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</si>
  <si>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</si>
  <si>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</si>
  <si>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</si>
  <si>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</si>
  <si>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</si>
  <si>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</si>
  <si>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</si>
  <si>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</si>
  <si>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</si>
  <si>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</si>
  <si>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</si>
  <si>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</si>
  <si>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</si>
  <si>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</si>
  <si>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</si>
  <si>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</si>
  <si>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</si>
  <si>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</si>
  <si>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</si>
  <si>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</si>
  <si>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</si>
  <si>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</si>
  <si>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</si>
  <si>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</si>
  <si>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</si>
  <si>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</si>
  <si>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</si>
  <si>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</si>
  <si>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</si>
  <si>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</si>
  <si>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</si>
  <si>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</si>
  <si>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</si>
  <si>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</si>
  <si>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</si>
  <si>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</si>
  <si>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</si>
  <si>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</si>
  <si>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</si>
  <si>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</si>
  <si>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</si>
  <si>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</si>
  <si>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</si>
  <si>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</si>
  <si>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</si>
  <si>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</si>
  <si>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</si>
  <si>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</si>
  <si>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</si>
  <si>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</si>
  <si>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</si>
  <si>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</si>
  <si>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</si>
  <si>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</si>
  <si>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</si>
  <si>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</si>
  <si>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</si>
  <si>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</si>
  <si>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</si>
  <si>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</si>
  <si>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</si>
  <si>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</si>
  <si>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</si>
  <si>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</si>
  <si>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</si>
  <si>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</si>
  <si>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</si>
  <si>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</si>
  <si>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</si>
  <si>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</si>
  <si>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</si>
  <si>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</si>
  <si>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</si>
  <si>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</si>
  <si>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</si>
  <si>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</si>
  <si>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</si>
  <si>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</si>
  <si>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</si>
  <si>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</si>
  <si>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</si>
  <si>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</si>
  <si>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</si>
  <si>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</si>
  <si>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</si>
  <si>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</si>
  <si>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</si>
  <si>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</si>
  <si>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</si>
  <si>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</si>
  <si>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</si>
  <si>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</si>
  <si>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</si>
  <si>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</si>
  <si>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</si>
  <si>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</si>
  <si>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</si>
  <si>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</si>
  <si>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</si>
  <si>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</si>
  <si>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</si>
  <si>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</si>
  <si>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</si>
  <si>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</si>
  <si>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</si>
  <si>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</si>
  <si>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</si>
  <si>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</si>
  <si>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</si>
  <si>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</si>
  <si>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</si>
  <si>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</si>
  <si>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</si>
  <si>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</si>
  <si>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</si>
  <si>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</si>
  <si>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</si>
  <si>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</si>
  <si>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</si>
  <si>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</si>
  <si>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</si>
  <si>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</si>
  <si>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</si>
  <si>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</si>
  <si>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</si>
  <si>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</si>
  <si>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</si>
  <si>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</si>
  <si>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</si>
  <si>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</si>
  <si>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</si>
  <si>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</si>
  <si>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</si>
  <si>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</si>
  <si>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</si>
  <si>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</si>
  <si>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</si>
  <si>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</si>
  <si>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</si>
  <si>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</si>
  <si>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</si>
  <si>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</si>
  <si>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</si>
  <si>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</si>
  <si>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</si>
  <si>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</si>
  <si>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</si>
  <si>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</si>
  <si>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</si>
  <si>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</si>
  <si>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</si>
  <si>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</si>
  <si>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</si>
  <si>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</si>
  <si>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</si>
  <si>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</si>
  <si>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</si>
  <si>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</si>
  <si>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</si>
  <si>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</si>
  <si>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</si>
  <si>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</si>
  <si>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</si>
  <si>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</si>
  <si>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</si>
  <si>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</si>
  <si>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</si>
  <si>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</si>
  <si>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</si>
  <si>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</si>
  <si>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</si>
  <si>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</si>
  <si>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</si>
  <si>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</si>
  <si>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</si>
  <si>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</si>
  <si>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</si>
  <si>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</si>
  <si>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</si>
  <si>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</si>
  <si>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</si>
  <si>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</si>
  <si>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</si>
  <si>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</si>
  <si>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</si>
  <si>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</si>
  <si>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</si>
  <si>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</si>
  <si>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</si>
  <si>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</si>
  <si>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</si>
  <si>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</si>
  <si>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</si>
  <si>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</si>
  <si>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</si>
  <si>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</si>
  <si>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</si>
  <si>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</si>
  <si>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</si>
  <si>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</si>
  <si>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</si>
  <si>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</si>
  <si>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</si>
  <si>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</si>
  <si>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</si>
  <si>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</si>
  <si>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</si>
  <si>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</si>
  <si>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</si>
  <si>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</si>
  <si>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</si>
  <si>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</si>
  <si>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</si>
  <si>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</si>
  <si>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</si>
  <si>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</si>
  <si>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</si>
  <si>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</si>
  <si>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</si>
  <si>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</si>
  <si>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</si>
  <si>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</si>
  <si>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</si>
  <si>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</si>
  <si>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</si>
  <si>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</si>
  <si>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</si>
  <si>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</si>
  <si>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</si>
  <si>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</si>
  <si>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</si>
  <si>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</si>
  <si>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</si>
  <si>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</si>
  <si>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</si>
  <si>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</si>
  <si>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</si>
  <si>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</si>
  <si>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</si>
  <si>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</si>
  <si>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</si>
  <si>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</si>
  <si>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</si>
  <si>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</si>
  <si>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</si>
  <si>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</si>
  <si>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</si>
  <si>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</si>
  <si>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</si>
  <si>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</si>
  <si>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</si>
  <si>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</si>
  <si>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</si>
  <si>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</si>
  <si>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</si>
  <si>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</si>
  <si>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</si>
  <si>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</si>
  <si>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</si>
  <si>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</si>
  <si>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</si>
  <si>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</si>
  <si>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</si>
  <si>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</si>
  <si>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</si>
  <si>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</si>
  <si>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</si>
  <si>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</si>
  <si>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</si>
  <si>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</si>
  <si>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</si>
  <si>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</si>
  <si>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</si>
  <si>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</si>
  <si>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</si>
  <si>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</si>
  <si>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</si>
  <si>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</si>
  <si>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</si>
  <si>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</si>
  <si>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</si>
  <si>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</si>
  <si>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</si>
  <si>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</si>
  <si>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</si>
  <si>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</si>
  <si>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</si>
  <si>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</si>
  <si>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</si>
  <si>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</si>
  <si>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</si>
  <si>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</si>
  <si>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</si>
  <si>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</si>
  <si>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</si>
  <si>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</si>
  <si>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</si>
  <si>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</si>
  <si>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</si>
  <si>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</si>
  <si>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</si>
  <si>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</si>
  <si>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</si>
  <si>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</si>
  <si>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</si>
  <si>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</si>
  <si>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</si>
  <si>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</si>
  <si>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</si>
  <si>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</si>
  <si>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</si>
  <si>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</si>
  <si>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</si>
  <si>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</si>
  <si>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</si>
  <si>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</si>
  <si>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</si>
  <si>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</si>
  <si>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</si>
  <si>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</si>
  <si>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</si>
  <si>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</si>
  <si>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</si>
  <si>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</si>
  <si>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</si>
  <si>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</si>
  <si>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</si>
  <si>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</si>
  <si>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</si>
  <si>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</si>
  <si>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</si>
  <si>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</si>
  <si>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</si>
  <si>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</si>
  <si>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</si>
  <si>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</si>
  <si>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</si>
  <si>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</si>
  <si>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</si>
  <si>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</si>
  <si>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</si>
  <si>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</si>
  <si>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</si>
  <si>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</si>
  <si>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</si>
  <si>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</si>
  <si>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</si>
  <si>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</si>
  <si>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</si>
  <si>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</si>
  <si>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</si>
  <si>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</si>
  <si>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</si>
  <si>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</si>
  <si>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</si>
  <si>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</si>
  <si>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</si>
  <si>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</si>
  <si>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</si>
  <si>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</si>
  <si>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</si>
  <si>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</si>
  <si>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</si>
  <si>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</si>
  <si>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</si>
  <si>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</si>
  <si>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</si>
  <si>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</si>
  <si>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</si>
  <si>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</si>
  <si>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</si>
  <si>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</si>
  <si>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</si>
  <si>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</si>
  <si>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</si>
  <si>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</si>
  <si>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</si>
  <si>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</si>
  <si>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</si>
  <si>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</si>
  <si>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</si>
  <si>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</si>
  <si>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</si>
  <si>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</si>
  <si>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</si>
  <si>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</si>
  <si>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</si>
  <si>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</si>
  <si>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</si>
  <si>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</si>
  <si>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</si>
  <si>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</si>
  <si>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</si>
  <si>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</si>
  <si>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</si>
  <si>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</si>
  <si>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</si>
  <si>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</si>
  <si>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</si>
  <si>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</si>
  <si>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</si>
  <si>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</si>
  <si>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</si>
  <si>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</si>
  <si>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</si>
  <si>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</si>
  <si>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</si>
  <si>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</si>
  <si>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</si>
  <si>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</si>
  <si>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</si>
  <si>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</si>
  <si>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</si>
  <si>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</si>
  <si>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</si>
  <si>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</si>
  <si>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</si>
  <si>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</si>
  <si>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</si>
  <si>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</si>
  <si>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</si>
  <si>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</si>
  <si>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</si>
  <si>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</si>
  <si>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</si>
  <si>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</si>
  <si>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</si>
  <si>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</si>
  <si>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</si>
  <si>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</si>
  <si>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</si>
  <si>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</si>
  <si>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</si>
  <si>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</si>
  <si>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</si>
  <si>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</si>
  <si>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</si>
  <si>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</si>
  <si>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</si>
  <si>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</si>
  <si>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</si>
  <si>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</si>
  <si>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</si>
  <si>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</si>
  <si>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</si>
  <si>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</si>
  <si>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</si>
  <si>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</si>
  <si>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</si>
  <si>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</si>
  <si>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</si>
  <si>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</si>
  <si>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</si>
  <si>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</si>
  <si>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</si>
  <si>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</si>
  <si>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</si>
  <si>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</si>
  <si>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</si>
  <si>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</si>
  <si>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</si>
  <si>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</si>
  <si>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</si>
  <si>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</si>
  <si>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</si>
  <si>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</si>
  <si>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</si>
  <si>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</si>
  <si>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</si>
  <si>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</si>
  <si>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</si>
  <si>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</si>
  <si>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</si>
  <si>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</si>
  <si>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</si>
  <si>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</si>
  <si>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</si>
  <si>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</si>
  <si>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</si>
  <si>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</si>
  <si>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</si>
  <si>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</si>
  <si>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</si>
  <si>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</si>
  <si>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</si>
  <si>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</si>
  <si>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</si>
  <si>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</si>
  <si>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</si>
  <si>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</si>
  <si>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</si>
  <si>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</si>
  <si>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</si>
  <si>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</si>
  <si>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</si>
  <si>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</si>
  <si>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</si>
  <si>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</si>
  <si>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</si>
  <si>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</si>
  <si>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</si>
  <si>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</si>
  <si>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</si>
  <si>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</si>
  <si>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</si>
  <si>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</si>
  <si>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</si>
  <si>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</si>
  <si>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</si>
  <si>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</si>
  <si>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</si>
  <si>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</si>
  <si>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</si>
  <si>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</si>
  <si>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</si>
  <si>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</si>
  <si>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</si>
  <si>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</si>
  <si>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</si>
  <si>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</si>
  <si>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</si>
  <si>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</si>
  <si>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</si>
  <si>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</si>
  <si>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</si>
  <si>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</si>
  <si>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</si>
  <si>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</si>
  <si>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</si>
  <si>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</si>
  <si>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</si>
  <si>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</si>
  <si>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</si>
  <si>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</si>
  <si>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</si>
  <si>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</si>
  <si>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</si>
  <si>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</si>
  <si>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</si>
  <si>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</si>
  <si>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</si>
  <si>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</si>
  <si>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</si>
  <si>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</si>
  <si>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</si>
  <si>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</si>
  <si>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</si>
  <si>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</si>
  <si>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</si>
  <si>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</si>
  <si>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</si>
  <si>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</si>
  <si>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</si>
  <si>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</si>
  <si>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</si>
  <si>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</si>
  <si>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</si>
  <si>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</si>
  <si>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</si>
  <si>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</si>
  <si>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</si>
  <si>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</si>
  <si>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</si>
  <si>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</si>
  <si>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</si>
  <si>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</si>
  <si>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</si>
  <si>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</si>
  <si>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</si>
  <si>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</si>
  <si>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</si>
  <si>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</si>
  <si>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</si>
  <si>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</si>
  <si>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</si>
  <si>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</si>
  <si>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</si>
  <si>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</si>
  <si>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</si>
  <si>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</si>
  <si>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</si>
  <si>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</si>
  <si>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</si>
  <si>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</si>
  <si>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</si>
  <si>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</si>
  <si>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</si>
  <si>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</si>
  <si>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</si>
  <si>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</si>
  <si>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</si>
  <si>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</si>
  <si>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</si>
  <si>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</si>
  <si>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</si>
  <si>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</si>
  <si>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</si>
  <si>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</si>
  <si>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</si>
  <si>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</si>
  <si>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</si>
  <si>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</si>
  <si>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</si>
  <si>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</si>
  <si>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</si>
  <si>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</si>
  <si>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</si>
  <si>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</si>
  <si>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</si>
  <si>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</si>
  <si>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</si>
  <si>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</si>
  <si>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</si>
  <si>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</si>
  <si>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</si>
  <si>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</si>
  <si>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</si>
  <si>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</si>
  <si>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</si>
  <si>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</si>
  <si>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</si>
  <si>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</si>
  <si>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</si>
  <si>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</si>
  <si>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</si>
  <si>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</si>
  <si>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</si>
  <si>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</si>
  <si>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</si>
  <si>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</si>
  <si>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</si>
  <si>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</si>
  <si>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</si>
  <si>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</si>
  <si>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</si>
  <si>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</si>
  <si>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</si>
  <si>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</si>
  <si>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</si>
  <si>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</si>
  <si>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</si>
  <si>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</si>
  <si>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</si>
  <si>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</si>
  <si>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</si>
  <si>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</si>
  <si>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</si>
  <si>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</si>
  <si>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</si>
  <si>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</si>
  <si>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</si>
  <si>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</si>
  <si>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</si>
  <si>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</si>
  <si>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</si>
  <si>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</si>
  <si>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</si>
  <si>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</si>
  <si>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</si>
  <si>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</si>
  <si>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</si>
  <si>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</si>
  <si>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</si>
  <si>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</si>
  <si>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</si>
  <si>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</si>
  <si>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</si>
  <si>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</si>
  <si>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</si>
  <si>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</si>
  <si>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</si>
  <si>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</si>
  <si>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</si>
  <si>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</si>
  <si>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</si>
  <si>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</si>
  <si>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</si>
  <si>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</si>
  <si>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</si>
  <si>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</si>
  <si>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</si>
  <si>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</si>
  <si>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</si>
  <si>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</si>
  <si>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</si>
  <si>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</si>
  <si>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</si>
  <si>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</si>
  <si>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</si>
  <si>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</si>
  <si>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</si>
  <si>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</si>
  <si>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</si>
  <si>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</si>
  <si>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</si>
  <si>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</si>
  <si>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</si>
  <si>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</si>
  <si>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</si>
  <si>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</si>
  <si>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</si>
  <si>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</si>
  <si>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</si>
  <si>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</si>
  <si>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</si>
  <si>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</si>
  <si>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</si>
  <si>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</si>
  <si>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</si>
  <si>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</si>
  <si>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</si>
  <si>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</si>
  <si>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</si>
  <si>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</si>
  <si>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</si>
  <si>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</si>
  <si>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</si>
  <si>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</si>
  <si>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</si>
  <si>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</si>
  <si>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</si>
  <si>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</si>
  <si>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</si>
  <si>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</si>
  <si>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</si>
  <si>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</si>
  <si>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</si>
  <si>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</si>
  <si>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</si>
  <si>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</si>
  <si>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</si>
  <si>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</si>
  <si>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</si>
  <si>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</si>
  <si>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</si>
  <si>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</si>
  <si>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</si>
  <si>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</si>
  <si>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</si>
  <si>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</si>
  <si>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</si>
  <si>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</si>
  <si>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</si>
  <si>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</si>
  <si>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</si>
  <si>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</si>
  <si>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</si>
  <si>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</si>
  <si>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</si>
  <si>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</si>
  <si>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</si>
  <si>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</si>
  <si>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</si>
  <si>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</si>
  <si>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</si>
  <si>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</si>
  <si>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</si>
  <si>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</si>
  <si>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</si>
  <si>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</si>
  <si>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</si>
  <si>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</si>
  <si>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</si>
  <si>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</si>
  <si>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</si>
  <si>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</si>
  <si>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</si>
  <si>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</si>
  <si>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</si>
  <si>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</si>
  <si>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</si>
  <si>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</si>
  <si>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</si>
  <si>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</si>
  <si>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</si>
  <si>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</si>
  <si>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</si>
  <si>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</si>
  <si>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</si>
  <si>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</si>
  <si>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</si>
  <si>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</si>
  <si>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</si>
  <si>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</si>
  <si>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</si>
  <si>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</si>
  <si>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</si>
  <si>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</si>
  <si>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</si>
  <si>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</si>
  <si>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</si>
  <si>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</si>
  <si>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</si>
  <si>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</si>
  <si>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</si>
  <si>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</si>
  <si>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</si>
  <si>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</si>
  <si>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</si>
  <si>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</si>
  <si>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</si>
  <si>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</si>
  <si>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</si>
  <si>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</si>
  <si>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</si>
  <si>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</si>
  <si>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</si>
  <si>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</si>
  <si>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</si>
  <si>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</si>
  <si>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</si>
  <si>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</si>
  <si>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</si>
  <si>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</si>
  <si>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</si>
  <si>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</si>
  <si>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</si>
  <si>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</si>
  <si>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</si>
  <si>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</si>
  <si>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</si>
  <si>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</si>
  <si>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</si>
  <si>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</si>
  <si>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</si>
  <si>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</si>
  <si>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</si>
  <si>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</si>
  <si>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</si>
  <si>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</si>
  <si>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</si>
  <si>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</si>
  <si>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</si>
  <si>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</si>
  <si>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</si>
  <si>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</si>
  <si>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</si>
  <si>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</si>
  <si>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</si>
  <si>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</si>
  <si>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</si>
  <si>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</si>
  <si>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</si>
  <si>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</si>
  <si>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</si>
  <si>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</si>
  <si>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</si>
  <si>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</si>
  <si>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</si>
  <si>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</si>
  <si>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</si>
  <si>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</si>
  <si>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</si>
  <si>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</si>
  <si>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</si>
  <si>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</si>
  <si>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</si>
  <si>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</si>
  <si>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</si>
  <si>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</si>
  <si>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</si>
  <si>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</si>
  <si>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</si>
  <si>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</si>
  <si>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</si>
  <si>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</si>
  <si>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</si>
  <si>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</si>
  <si>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</si>
  <si>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</si>
  <si>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</si>
  <si>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</si>
  <si>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</si>
  <si>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</si>
  <si>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</si>
  <si>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</si>
  <si>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</si>
  <si>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</si>
  <si>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</si>
  <si>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</si>
  <si>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</si>
  <si>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</si>
  <si>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</si>
  <si>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</si>
  <si>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</si>
  <si>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</si>
  <si>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</si>
  <si>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</si>
  <si>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</si>
  <si>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</si>
  <si>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</si>
  <si>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</si>
  <si>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</si>
  <si>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</si>
  <si>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</si>
  <si>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</si>
  <si>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</si>
  <si>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</si>
  <si>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</si>
  <si>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</si>
  <si>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</si>
  <si>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</si>
  <si>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</si>
  <si>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</si>
  <si>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</si>
  <si>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</si>
  <si>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</si>
  <si>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</si>
  <si>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</si>
  <si>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</si>
  <si>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</si>
  <si>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</si>
  <si>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</si>
  <si>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</si>
  <si>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</si>
  <si>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</si>
  <si>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</si>
  <si>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</si>
  <si>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</si>
  <si>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</si>
  <si>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</si>
  <si>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</si>
  <si>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</si>
  <si>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</si>
  <si>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</si>
  <si>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</si>
  <si>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</si>
  <si>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</si>
  <si>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</si>
  <si>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</si>
  <si>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</si>
  <si>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</si>
  <si>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</si>
  <si>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</si>
  <si>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</si>
  <si>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</si>
  <si>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</si>
  <si>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</si>
  <si>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</si>
  <si>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</si>
  <si>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</si>
  <si>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</si>
  <si>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</si>
  <si>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</si>
  <si>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</si>
  <si>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</si>
  <si>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</si>
  <si>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</si>
  <si>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</si>
  <si>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</si>
  <si>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</si>
  <si>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</si>
  <si>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</si>
  <si>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</si>
  <si>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</si>
  <si>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</si>
  <si>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</si>
  <si>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</si>
  <si>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</si>
  <si>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</si>
  <si>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</si>
  <si>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</si>
  <si>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</si>
  <si>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</si>
  <si>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</si>
  <si>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</si>
  <si>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</si>
  <si>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</si>
  <si>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</si>
  <si>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</si>
  <si>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</si>
  <si>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</si>
  <si>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</si>
  <si>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</si>
  <si>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</si>
  <si>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</si>
  <si>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</si>
  <si>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</si>
  <si>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</si>
  <si>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</si>
  <si>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</si>
  <si>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</si>
  <si>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</si>
  <si>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</si>
  <si>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</si>
  <si>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</si>
  <si>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</si>
  <si>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</si>
  <si>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</si>
  <si>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</si>
  <si>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</si>
  <si>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</si>
  <si>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</si>
  <si>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</si>
  <si>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</si>
  <si>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</si>
  <si>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</si>
  <si>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</si>
  <si>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</si>
  <si>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</si>
  <si>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</si>
  <si>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</si>
  <si>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</si>
  <si>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</si>
  <si>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</si>
  <si>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</si>
  <si>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</si>
  <si>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</si>
  <si>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</si>
  <si>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</si>
  <si>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</si>
  <si>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</si>
  <si>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</si>
  <si>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</si>
  <si>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</si>
  <si>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</si>
  <si>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</si>
  <si>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</si>
  <si>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</si>
  <si>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</si>
  <si>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</si>
  <si>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</si>
  <si>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</si>
  <si>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</si>
  <si>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</si>
  <si>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</si>
  <si>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</si>
  <si>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</si>
  <si>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</si>
  <si>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</si>
  <si>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</si>
  <si>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</si>
  <si>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</si>
  <si>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</si>
  <si>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</si>
  <si>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</si>
  <si>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</si>
  <si>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</si>
  <si>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</si>
  <si>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</si>
  <si>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</si>
  <si>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</si>
  <si>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</si>
  <si>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</si>
  <si>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</si>
  <si>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</si>
  <si>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</si>
  <si>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</si>
  <si>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</si>
  <si>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</si>
  <si>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</si>
  <si>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</si>
  <si>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</si>
  <si>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</si>
  <si>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</si>
  <si>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</si>
  <si>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</si>
  <si>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</si>
  <si>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</si>
  <si>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</si>
  <si>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</si>
  <si>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</si>
  <si>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</si>
  <si>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</si>
  <si>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</si>
  <si>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</si>
  <si>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</si>
  <si>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</si>
  <si>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</si>
  <si>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</si>
  <si>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</si>
  <si>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</si>
  <si>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</si>
  <si>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</si>
  <si>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</si>
  <si>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</si>
  <si>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</si>
  <si>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</si>
  <si>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</si>
  <si>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</si>
  <si>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</si>
  <si>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</si>
  <si>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</si>
  <si>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</si>
  <si>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</si>
  <si>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</si>
  <si>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</si>
  <si>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</si>
  <si>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</si>
  <si>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</si>
  <si>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</si>
  <si>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</si>
  <si>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</si>
  <si>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</si>
  <si>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</si>
  <si>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</si>
  <si>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</si>
  <si>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</si>
  <si>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</si>
  <si>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</si>
  <si>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</si>
  <si>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</si>
  <si>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</si>
  <si>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</si>
  <si>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</si>
  <si>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</si>
  <si>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</si>
  <si>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</si>
  <si>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</si>
  <si>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</si>
  <si>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</si>
  <si>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</si>
  <si>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</si>
  <si>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</si>
  <si>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</si>
  <si>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</si>
  <si>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</si>
  <si>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</si>
  <si>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</si>
  <si>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</si>
  <si>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</si>
  <si>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</si>
  <si>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</si>
  <si>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</si>
  <si>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</si>
  <si>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</si>
  <si>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</si>
  <si>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</si>
  <si>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</si>
  <si>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</si>
  <si>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</si>
  <si>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</si>
  <si>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</si>
  <si>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</si>
  <si>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</si>
  <si>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</si>
  <si>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</si>
  <si>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</si>
  <si>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</si>
  <si>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</si>
  <si>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</si>
  <si>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</si>
  <si>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</si>
  <si>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</si>
  <si>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</si>
  <si>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</si>
  <si>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</si>
  <si>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</si>
  <si>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</si>
  <si>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</si>
  <si>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</si>
  <si>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</si>
  <si>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</si>
  <si>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</si>
  <si>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</si>
  <si>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</si>
  <si>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</si>
  <si>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</si>
  <si>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</si>
  <si>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</si>
  <si>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</si>
  <si>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</si>
  <si>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</si>
  <si>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</si>
  <si>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</si>
  <si>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</si>
  <si>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</si>
  <si>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</si>
  <si>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</si>
  <si>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PUNTO SEGURO SAN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</si>
</sst>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6"/>
  <sheetViews>
    <sheetView tabSelected="1" zoomScaleNormal="100" zoomScaleSheetLayoutView="100" workbookViewId="0">
      <pane xSplit="18" ySplit="7" topLeftCell="S317" activePane="bottomRight" state="frozen"/>
      <selection activeCell="G1" sqref="G1"/>
      <selection pane="topRight" activeCell="S1" sqref="S1"/>
      <selection pane="bottomLeft" activeCell="G8" sqref="G8"/>
      <selection pane="bottomRight" activeCell="E324" sqref="E324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7.7109375" style="8" customWidth="1"/>
    <col min="5" max="5" width="26.7109375" style="8" customWidth="1"/>
    <col min="6" max="6" width="28.85546875" customWidth="1"/>
    <col min="7" max="7" width="46.28515625" style="30" customWidth="1"/>
    <col min="8" max="8" width="12.7109375" style="30" hidden="1" customWidth="1"/>
    <col min="9" max="9" width="21.7109375" hidden="1" customWidth="1"/>
    <col min="10" max="10" width="18.42578125" style="61" hidden="1" customWidth="1"/>
    <col min="11" max="11" width="14.28515625" style="65" hidden="1" customWidth="1"/>
    <col min="12" max="12" width="24.5703125" style="65" hidden="1" customWidth="1"/>
    <col min="13" max="13" width="14.85546875" style="65" hidden="1" customWidth="1"/>
    <col min="14" max="14" width="9.140625" style="65" hidden="1" customWidth="1"/>
    <col min="15" max="15" width="24" hidden="1" customWidth="1"/>
    <col min="16" max="16" width="16.85546875" hidden="1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5" width="12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2367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2374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9" t="s">
        <v>6</v>
      </c>
      <c r="J3" s="120"/>
      <c r="K3" s="121"/>
      <c r="L3" s="64"/>
      <c r="M3" s="121"/>
      <c r="N3" s="121"/>
      <c r="O3" s="122"/>
      <c r="P3" s="122"/>
      <c r="Q3" s="122"/>
      <c r="R3" s="123"/>
      <c r="S3" s="124">
        <f t="shared" ref="S3:AV3" si="3">COUNTIF(S7:S750, "apagado")</f>
        <v>0</v>
      </c>
      <c r="T3" s="124">
        <f t="shared" si="3"/>
        <v>0</v>
      </c>
      <c r="U3" s="124">
        <f t="shared" si="3"/>
        <v>0</v>
      </c>
      <c r="V3" s="124">
        <f t="shared" si="3"/>
        <v>115</v>
      </c>
      <c r="W3" s="124">
        <f t="shared" si="3"/>
        <v>0</v>
      </c>
      <c r="X3" s="124">
        <f t="shared" si="3"/>
        <v>0</v>
      </c>
      <c r="Y3" s="124">
        <f t="shared" si="3"/>
        <v>0</v>
      </c>
      <c r="Z3" s="124">
        <f t="shared" si="3"/>
        <v>0</v>
      </c>
      <c r="AA3" s="124">
        <f t="shared" si="3"/>
        <v>0</v>
      </c>
      <c r="AB3" s="124">
        <f t="shared" si="3"/>
        <v>0</v>
      </c>
      <c r="AC3" s="124">
        <f t="shared" si="3"/>
        <v>0</v>
      </c>
      <c r="AD3" s="124">
        <f t="shared" si="3"/>
        <v>0</v>
      </c>
      <c r="AE3" s="124">
        <f t="shared" si="3"/>
        <v>0</v>
      </c>
      <c r="AF3" s="124">
        <f t="shared" si="3"/>
        <v>0</v>
      </c>
      <c r="AG3" s="124">
        <f t="shared" si="3"/>
        <v>0</v>
      </c>
      <c r="AH3" s="124">
        <f t="shared" si="3"/>
        <v>0</v>
      </c>
      <c r="AI3" s="124">
        <f t="shared" si="3"/>
        <v>0</v>
      </c>
      <c r="AJ3" s="124">
        <f t="shared" si="3"/>
        <v>0</v>
      </c>
      <c r="AK3" s="124">
        <f t="shared" si="3"/>
        <v>0</v>
      </c>
      <c r="AL3" s="124">
        <f t="shared" si="3"/>
        <v>0</v>
      </c>
      <c r="AM3" s="124">
        <f t="shared" si="3"/>
        <v>0</v>
      </c>
      <c r="AN3" s="124">
        <f t="shared" si="3"/>
        <v>0</v>
      </c>
      <c r="AO3" s="124">
        <f t="shared" si="3"/>
        <v>0</v>
      </c>
      <c r="AP3" s="124">
        <f t="shared" si="3"/>
        <v>0</v>
      </c>
      <c r="AQ3" s="124">
        <f t="shared" si="3"/>
        <v>0</v>
      </c>
      <c r="AR3" s="124">
        <f t="shared" si="3"/>
        <v>0</v>
      </c>
      <c r="AS3" s="124">
        <f t="shared" si="3"/>
        <v>0</v>
      </c>
      <c r="AT3" s="124">
        <f t="shared" si="3"/>
        <v>0</v>
      </c>
      <c r="AU3" s="124">
        <f t="shared" si="3"/>
        <v>0</v>
      </c>
      <c r="AV3" s="124">
        <f t="shared" si="3"/>
        <v>0</v>
      </c>
    </row>
    <row r="4" spans="1:49" s="8" customFormat="1" ht="15.75" thickTop="1" x14ac:dyDescent="0.25">
      <c r="F4" s="114"/>
      <c r="G4" s="58"/>
      <c r="H4" s="58"/>
      <c r="I4" s="21" t="s">
        <v>1448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60</v>
      </c>
      <c r="W4" s="10">
        <f>COUNTIFS(W8:W704, "=APAGADO",K8:K704,"=Fibra Optica")</f>
        <v>0</v>
      </c>
      <c r="X4" s="10">
        <f>COUNTIFS(X8:X704, "=APAGADO",K8:K704,"=Fibra Optica")</f>
        <v>0</v>
      </c>
      <c r="Y4" s="10">
        <f>COUNTIFS(Y8:Y704, "=APAGADO",K8:K704,"=Fibra Optica")</f>
        <v>0</v>
      </c>
      <c r="Z4" s="10">
        <f>COUNTIFS(Z8:Z704, "=APAGADO",K8:K704,"=Fibra Optica")</f>
        <v>0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0</v>
      </c>
      <c r="AD4" s="10">
        <f>COUNTIFS(AD8:AD704, "=APAGADO",K8:K704,"=Fibra Optica")</f>
        <v>0</v>
      </c>
      <c r="AE4" s="10">
        <f>COUNTIFS(AE8:AE704, "=APAGADO",K8:K704,"=Fibra Optica")</f>
        <v>0</v>
      </c>
      <c r="AF4" s="10">
        <f>COUNTIFS(AF8:AF704, "=APAGADO",K8:K704,"=Fibra Optica")</f>
        <v>0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4"/>
      <c r="G5" s="58"/>
      <c r="H5" s="58"/>
      <c r="I5" s="125" t="s">
        <v>1449</v>
      </c>
      <c r="J5" s="126"/>
      <c r="K5" s="126"/>
      <c r="L5" s="64"/>
      <c r="M5" s="126"/>
      <c r="N5" s="126"/>
      <c r="O5" s="125"/>
      <c r="P5" s="125"/>
      <c r="Q5" s="125"/>
      <c r="R5" s="127"/>
      <c r="S5" s="128">
        <f>COUNTIFS(S8:S704, "=APAGADO",K8:K704,"=RADIO")</f>
        <v>0</v>
      </c>
      <c r="T5" s="128">
        <f>COUNTIFS(T8:T704, "=APAGADO",K8:K704,"=RADIO")</f>
        <v>0</v>
      </c>
      <c r="U5" s="128">
        <f>COUNTIFS(U8:U704, "=APAGADO",K8:K704,"=RADIO")</f>
        <v>0</v>
      </c>
      <c r="V5" s="128">
        <f>COUNTIFS(V8:V704, "=APAGADO",K8:K704,"=RADIO")</f>
        <v>5</v>
      </c>
      <c r="W5" s="128">
        <f>COUNTIFS(W8:W704, "=APAGADO",K8:K704,"=RADIO")</f>
        <v>0</v>
      </c>
      <c r="X5" s="128">
        <f>COUNTIFS(X8:X704, "=APAGADO",K8:K704,"=RADIO")</f>
        <v>0</v>
      </c>
      <c r="Y5" s="128">
        <f>COUNTIFS(Y8:Y704, "=APAGADO",K8:K704,"=RADIO")</f>
        <v>0</v>
      </c>
      <c r="Z5" s="128">
        <f>COUNTIFS(Z8:Z704, "=APAGADO",K8:K704,"=RADIO")</f>
        <v>0</v>
      </c>
      <c r="AA5" s="128">
        <f>COUNTIFS(AA8:AA704, "=APAGADO",K8:K704,"=RADIO")</f>
        <v>0</v>
      </c>
      <c r="AB5" s="128">
        <f>COUNTIFS(AB8:AB704, "=APAGADO",K8:K704,"=RADIO")</f>
        <v>0</v>
      </c>
      <c r="AC5" s="128">
        <f>COUNTIFS(AC8:AC704, "=APAGADO",K8:K704,"=RADIO")</f>
        <v>0</v>
      </c>
      <c r="AD5" s="128">
        <f>COUNTIFS(AD8:AD704, "=APAGADO",K8:K704,"=RADIO")</f>
        <v>0</v>
      </c>
      <c r="AE5" s="128">
        <f>COUNTIFS(AE8:AE704, "=APAGADO",K8:K704,"=RADIO")</f>
        <v>0</v>
      </c>
      <c r="AF5" s="128">
        <f>COUNTIFS(AF8:AF704, "=APAGADO",K8:K704,"=RADIO")</f>
        <v>0</v>
      </c>
      <c r="AG5" s="128">
        <f>COUNTIFS(AG8:AG704, "=APAGADO",K8:K704,"=RADIO")</f>
        <v>0</v>
      </c>
      <c r="AH5" s="128">
        <f>COUNTIFS(AH8:AH704, "=APAGADO",K8:K704,"=RADIO")</f>
        <v>0</v>
      </c>
      <c r="AI5" s="128">
        <f>COUNTIFS(AI8:AI704, "=APAGADO",K8:K704,"=RADIO")</f>
        <v>0</v>
      </c>
      <c r="AJ5" s="128">
        <f>COUNTIFS(AJ8:AJ704, "=APAGADO",K8:K704,"=RADIO")</f>
        <v>0</v>
      </c>
      <c r="AK5" s="128">
        <f>COUNTIFS(AK8:AK704, "=APAGADO",K8:K704,"=RADIO")</f>
        <v>0</v>
      </c>
      <c r="AL5" s="128">
        <f>COUNTIFS(AL8:AL704, "=APAGADO",K8:K704,"=RADIO")</f>
        <v>0</v>
      </c>
      <c r="AM5" s="128">
        <f>COUNTIFS(AM8:AM704, "=APAGADO",K8:K704,"=RADIO")</f>
        <v>0</v>
      </c>
      <c r="AN5" s="128">
        <f>COUNTIFS(AN8:AN704, "=APAGADO",K8:K704,"=RADIO")</f>
        <v>0</v>
      </c>
      <c r="AO5" s="128">
        <f>COUNTIFS(AO8:AO704, "=APAGADO",K8:K704,"=RADIO")</f>
        <v>0</v>
      </c>
      <c r="AP5" s="128">
        <f>COUNTIFS(AP8:AP704, "=APAGADO",K8:K704,"=RADIO")</f>
        <v>0</v>
      </c>
      <c r="AQ5" s="128">
        <f>COUNTIFS(AQ8:AQ704, "=APAGADO",K8:K704,"=RADIO")</f>
        <v>0</v>
      </c>
      <c r="AR5" s="128">
        <f>COUNTIFS(AR8:AR704, "=APAGADO",K8:K704,"=RADIO")</f>
        <v>0</v>
      </c>
      <c r="AS5" s="128">
        <f>COUNTIFS(AS8:AS704, "=APAGADO",K8:K704,"=RADIO")</f>
        <v>0</v>
      </c>
      <c r="AT5" s="128">
        <f>COUNTIFS(AT8:AT704, "=APAGADO",K8:K704,"=RADIO")</f>
        <v>0</v>
      </c>
      <c r="AU5" s="128">
        <f>COUNTIFS(AU8:AU704, "=APAGADO",L8:L704,"=RADIO")</f>
        <v>0</v>
      </c>
      <c r="AV5" s="128">
        <f>COUNTIFS(AV8:AV704, "=APAGADO",M8:M704,"=RADIO")</f>
        <v>0</v>
      </c>
    </row>
    <row r="6" spans="1:49" s="8" customFormat="1" ht="17.25" customHeight="1" thickBot="1" x14ac:dyDescent="0.3">
      <c r="F6" s="114"/>
      <c r="G6" s="58"/>
      <c r="H6" s="58"/>
      <c r="I6" s="21" t="s">
        <v>1450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11</v>
      </c>
      <c r="W6" s="10">
        <f>COUNTIFS(W8:W704, "=APAGADO",K8:K704,"=PTO A FO")</f>
        <v>0</v>
      </c>
      <c r="X6" s="10">
        <f>COUNTIFS(X8:X704, "=APAGADO",K8:K704,"=PTO A FO")</f>
        <v>0</v>
      </c>
      <c r="Y6" s="10">
        <f>COUNTIFS(Y8:Y704, "=APAGADO",K8:K704,"=PTO A FO")</f>
        <v>0</v>
      </c>
      <c r="Z6" s="10">
        <f>COUNTIFS(Z8:Z704, "=APAGADO",K8:K704,"=PTO A FO")</f>
        <v>0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0</v>
      </c>
      <c r="AD6" s="10">
        <f>COUNTIFS(AD8:AD704, "=APAGADO",K8:K704,"=PTO A FO")</f>
        <v>0</v>
      </c>
      <c r="AE6" s="10">
        <f>COUNTIFS(AE8:AE704, "=APAGADO",K8:K704,"=PTO A FO")</f>
        <v>0</v>
      </c>
      <c r="AF6" s="10">
        <f>COUNTIFS(AF8:AF704, "=APAGADO",K8:K704,"=PTO A FO")</f>
        <v>0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8" customFormat="1" ht="19.5" customHeight="1" thickTop="1" thickBot="1" x14ac:dyDescent="0.35">
      <c r="A7" s="146" t="s">
        <v>2342</v>
      </c>
      <c r="B7" s="146" t="s">
        <v>2343</v>
      </c>
      <c r="C7" s="146" t="s">
        <v>2344</v>
      </c>
      <c r="D7" s="146" t="s">
        <v>2345</v>
      </c>
      <c r="E7" s="146" t="s">
        <v>2347</v>
      </c>
      <c r="F7" s="35" t="s">
        <v>7</v>
      </c>
      <c r="G7" s="115" t="s">
        <v>2287</v>
      </c>
      <c r="H7" s="35" t="s">
        <v>1051</v>
      </c>
      <c r="I7" s="35" t="s">
        <v>8</v>
      </c>
      <c r="J7" s="115" t="s">
        <v>9</v>
      </c>
      <c r="K7" s="115" t="s">
        <v>10</v>
      </c>
      <c r="L7" s="115" t="s">
        <v>1238</v>
      </c>
      <c r="M7" s="115" t="s">
        <v>2341</v>
      </c>
      <c r="N7" s="115" t="s">
        <v>2283</v>
      </c>
      <c r="O7" s="19" t="s">
        <v>2</v>
      </c>
      <c r="P7" s="19" t="s">
        <v>1644</v>
      </c>
      <c r="Q7" s="19" t="s">
        <v>3</v>
      </c>
      <c r="R7" s="116" t="s">
        <v>4</v>
      </c>
      <c r="S7" s="117">
        <v>46143</v>
      </c>
      <c r="T7" s="117">
        <v>46144</v>
      </c>
      <c r="U7" s="117">
        <v>46145</v>
      </c>
      <c r="V7" s="117">
        <v>46146</v>
      </c>
      <c r="W7" s="117">
        <v>46147</v>
      </c>
      <c r="X7" s="117">
        <v>46148</v>
      </c>
      <c r="Y7" s="117">
        <v>46149</v>
      </c>
      <c r="Z7" s="117">
        <v>46150</v>
      </c>
      <c r="AA7" s="117">
        <v>46151</v>
      </c>
      <c r="AB7" s="117">
        <v>46152</v>
      </c>
      <c r="AC7" s="117">
        <v>46153</v>
      </c>
      <c r="AD7" s="117">
        <v>46154</v>
      </c>
      <c r="AE7" s="117">
        <v>46155</v>
      </c>
      <c r="AF7" s="117">
        <v>46156</v>
      </c>
      <c r="AG7" s="117">
        <v>46157</v>
      </c>
      <c r="AH7" s="117">
        <v>46158</v>
      </c>
      <c r="AI7" s="117">
        <v>46159</v>
      </c>
      <c r="AJ7" s="117">
        <v>46160</v>
      </c>
      <c r="AK7" s="117">
        <v>46161</v>
      </c>
      <c r="AL7" s="117">
        <v>46162</v>
      </c>
      <c r="AM7" s="117">
        <v>46163</v>
      </c>
      <c r="AN7" s="117">
        <v>46164</v>
      </c>
      <c r="AO7" s="117">
        <v>46165</v>
      </c>
      <c r="AP7" s="117">
        <v>46166</v>
      </c>
      <c r="AQ7" s="117">
        <v>46167</v>
      </c>
      <c r="AR7" s="117">
        <v>46168</v>
      </c>
      <c r="AS7" s="117">
        <v>46169</v>
      </c>
      <c r="AT7" s="117">
        <v>46170</v>
      </c>
      <c r="AU7" s="117">
        <v>46171</v>
      </c>
      <c r="AV7" s="117">
        <v>46172</v>
      </c>
      <c r="AW7" s="117">
        <v>46173</v>
      </c>
    </row>
    <row r="8" spans="1:49" ht="12.75" customHeight="1" thickBot="1" x14ac:dyDescent="0.3">
      <c r="A8">
        <v>1</v>
      </c>
      <c r="B8">
        <v>19</v>
      </c>
      <c r="C8"/>
      <c r="D8"/>
      <c r="E8" s="8" t="s">
        <v>2346</v>
      </c>
      <c r="F8" t="s">
        <v>25</v>
      </c>
      <c r="G8" t="s">
        <v>28</v>
      </c>
      <c r="H8" t="s">
        <v>1052</v>
      </c>
      <c r="I8" t="s">
        <v>29</v>
      </c>
      <c r="J8" s="30" t="s">
        <v>18</v>
      </c>
      <c r="K8" s="30" t="s">
        <v>27</v>
      </c>
      <c r="L8" s="30"/>
      <c r="M8" s="30" t="s">
        <v>607</v>
      </c>
      <c r="N8" s="30"/>
      <c r="O8" s="31">
        <f t="shared" ref="O8:O87" si="4">COUNTIF(S8:AT8,"")</f>
        <v>28</v>
      </c>
      <c r="P8" s="137" t="s">
        <v>1645</v>
      </c>
      <c r="Q8" s="31">
        <f t="shared" ref="Q8:Q87" si="5">COUNTIF(S8:AT8,"APAGADO")</f>
        <v>0</v>
      </c>
      <c r="R8" s="32">
        <f t="shared" ref="R8:R87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A9">
        <v>1</v>
      </c>
      <c r="B9">
        <v>19</v>
      </c>
      <c r="C9"/>
      <c r="D9"/>
      <c r="E9" s="8" t="s">
        <v>2346</v>
      </c>
      <c r="F9" t="s">
        <v>25</v>
      </c>
      <c r="G9" t="s">
        <v>30</v>
      </c>
      <c r="H9" t="s">
        <v>1052</v>
      </c>
      <c r="I9" t="s">
        <v>31</v>
      </c>
      <c r="J9" s="30" t="s">
        <v>18</v>
      </c>
      <c r="K9" s="30" t="s">
        <v>1046</v>
      </c>
      <c r="L9" s="30" t="s">
        <v>1241</v>
      </c>
      <c r="M9" s="30" t="s">
        <v>608</v>
      </c>
      <c r="N9" s="30"/>
      <c r="O9" s="31">
        <f t="shared" si="4"/>
        <v>28</v>
      </c>
      <c r="P9" s="137" t="s">
        <v>1646</v>
      </c>
      <c r="Q9" s="31">
        <f t="shared" si="5"/>
        <v>0</v>
      </c>
      <c r="R9" s="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</row>
    <row r="10" spans="1:49" s="73" customFormat="1" ht="12.75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905</v>
      </c>
      <c r="H10" s="73" t="s">
        <v>1052</v>
      </c>
      <c r="I10" s="73" t="s">
        <v>32</v>
      </c>
      <c r="J10" s="85" t="s">
        <v>18</v>
      </c>
      <c r="K10" s="85" t="s">
        <v>1291</v>
      </c>
      <c r="L10" s="85"/>
      <c r="M10" s="85" t="s">
        <v>609</v>
      </c>
      <c r="N10" s="85"/>
      <c r="O10" s="132">
        <f t="shared" si="4"/>
        <v>28</v>
      </c>
      <c r="P10" s="137" t="s">
        <v>1647</v>
      </c>
      <c r="Q10" s="132">
        <f t="shared" si="5"/>
        <v>0</v>
      </c>
      <c r="R10" s="133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 s="8"/>
      <c r="B11" s="8"/>
      <c r="C11" s="8"/>
      <c r="D11" s="8"/>
      <c r="E11" s="8"/>
      <c r="F11" s="73" t="s">
        <v>25</v>
      </c>
      <c r="G11" s="73" t="s">
        <v>906</v>
      </c>
      <c r="H11" s="73" t="s">
        <v>1052</v>
      </c>
      <c r="I11" s="73" t="s">
        <v>33</v>
      </c>
      <c r="J11" s="85" t="s">
        <v>18</v>
      </c>
      <c r="K11" s="85" t="s">
        <v>1291</v>
      </c>
      <c r="L11" s="85"/>
      <c r="M11" s="85" t="s">
        <v>610</v>
      </c>
      <c r="N11" s="85"/>
      <c r="O11" s="132">
        <f t="shared" si="4"/>
        <v>28</v>
      </c>
      <c r="P11" s="137" t="s">
        <v>1648</v>
      </c>
      <c r="Q11" s="132">
        <f t="shared" si="5"/>
        <v>0</v>
      </c>
      <c r="R11" s="133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8"/>
      <c r="F12" s="73" t="s">
        <v>25</v>
      </c>
      <c r="G12" s="73" t="s">
        <v>34</v>
      </c>
      <c r="H12" s="73" t="s">
        <v>1052</v>
      </c>
      <c r="I12" s="73" t="s">
        <v>35</v>
      </c>
      <c r="J12" s="85" t="s">
        <v>18</v>
      </c>
      <c r="K12" s="85" t="s">
        <v>1291</v>
      </c>
      <c r="L12" s="85" t="s">
        <v>1240</v>
      </c>
      <c r="M12" s="85" t="s">
        <v>611</v>
      </c>
      <c r="N12" s="85"/>
      <c r="O12" s="132">
        <f t="shared" si="4"/>
        <v>28</v>
      </c>
      <c r="P12" s="137" t="s">
        <v>1649</v>
      </c>
      <c r="Q12" s="132">
        <f t="shared" si="5"/>
        <v>0</v>
      </c>
      <c r="R12" s="133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907</v>
      </c>
      <c r="H13" s="73" t="s">
        <v>1052</v>
      </c>
      <c r="I13" s="73" t="s">
        <v>26</v>
      </c>
      <c r="J13" s="85" t="s">
        <v>18</v>
      </c>
      <c r="K13" s="85" t="s">
        <v>1291</v>
      </c>
      <c r="L13" s="85" t="s">
        <v>1240</v>
      </c>
      <c r="M13" s="85" t="s">
        <v>612</v>
      </c>
      <c r="N13" s="85"/>
      <c r="O13" s="132">
        <f t="shared" si="4"/>
        <v>28</v>
      </c>
      <c r="P13" s="137" t="s">
        <v>1650</v>
      </c>
      <c r="Q13" s="132">
        <f t="shared" si="5"/>
        <v>0</v>
      </c>
      <c r="R13" s="133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A14">
        <v>1</v>
      </c>
      <c r="B14">
        <v>19</v>
      </c>
      <c r="C14"/>
      <c r="D14"/>
      <c r="E14" s="8" t="s">
        <v>2346</v>
      </c>
      <c r="F14" t="s">
        <v>25</v>
      </c>
      <c r="G14" t="s">
        <v>36</v>
      </c>
      <c r="H14" t="s">
        <v>1052</v>
      </c>
      <c r="I14" t="s">
        <v>37</v>
      </c>
      <c r="J14" s="30" t="s">
        <v>14</v>
      </c>
      <c r="K14" s="30" t="s">
        <v>1046</v>
      </c>
      <c r="L14" s="30" t="s">
        <v>1241</v>
      </c>
      <c r="M14" s="30" t="s">
        <v>614</v>
      </c>
      <c r="N14" s="30"/>
      <c r="O14" s="31">
        <f t="shared" si="4"/>
        <v>28</v>
      </c>
      <c r="P14" s="137" t="s">
        <v>1651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</row>
    <row r="15" spans="1:49" ht="15.75" thickBot="1" x14ac:dyDescent="0.3">
      <c r="A15"/>
      <c r="B15"/>
      <c r="C15"/>
      <c r="D15"/>
      <c r="E15"/>
      <c r="F15" t="s">
        <v>25</v>
      </c>
      <c r="G15" t="s">
        <v>908</v>
      </c>
      <c r="H15" t="s">
        <v>1052</v>
      </c>
      <c r="I15" t="s">
        <v>38</v>
      </c>
      <c r="J15" s="30" t="s">
        <v>14</v>
      </c>
      <c r="K15" s="30" t="s">
        <v>27</v>
      </c>
      <c r="L15" s="30"/>
      <c r="M15" s="30" t="s">
        <v>615</v>
      </c>
      <c r="N15" s="30"/>
      <c r="O15" s="31">
        <f t="shared" si="4"/>
        <v>27</v>
      </c>
      <c r="P15" s="137" t="s">
        <v>1652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 t="s">
        <v>2240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</row>
    <row r="16" spans="1:49" ht="16.5" customHeight="1" thickBot="1" x14ac:dyDescent="0.3">
      <c r="F16" t="s">
        <v>25</v>
      </c>
      <c r="G16" t="s">
        <v>909</v>
      </c>
      <c r="H16" t="s">
        <v>1052</v>
      </c>
      <c r="I16" t="s">
        <v>39</v>
      </c>
      <c r="J16" s="30" t="s">
        <v>14</v>
      </c>
      <c r="K16" s="30" t="s">
        <v>27</v>
      </c>
      <c r="L16" s="30"/>
      <c r="M16" s="30" t="s">
        <v>616</v>
      </c>
      <c r="N16" s="30"/>
      <c r="O16" s="31">
        <f t="shared" si="4"/>
        <v>27</v>
      </c>
      <c r="P16" s="137" t="s">
        <v>1653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 t="s">
        <v>2240</v>
      </c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</row>
    <row r="17" spans="1:48" s="73" customFormat="1" ht="15.75" customHeight="1" thickBot="1" x14ac:dyDescent="0.3">
      <c r="A17" s="8"/>
      <c r="B17" s="8"/>
      <c r="C17" s="8"/>
      <c r="D17" s="8"/>
      <c r="E17" s="8"/>
      <c r="F17" s="73" t="s">
        <v>25</v>
      </c>
      <c r="G17" s="73" t="s">
        <v>910</v>
      </c>
      <c r="H17" s="73" t="s">
        <v>1052</v>
      </c>
      <c r="I17" s="73" t="s">
        <v>911</v>
      </c>
      <c r="J17" s="85" t="s">
        <v>18</v>
      </c>
      <c r="K17" s="85" t="s">
        <v>1291</v>
      </c>
      <c r="L17" s="85"/>
      <c r="M17" s="85" t="s">
        <v>1203</v>
      </c>
      <c r="N17" s="85"/>
      <c r="O17" s="132">
        <f t="shared" si="4"/>
        <v>28</v>
      </c>
      <c r="P17" s="137" t="s">
        <v>1654</v>
      </c>
      <c r="Q17" s="132">
        <f t="shared" si="5"/>
        <v>0</v>
      </c>
      <c r="R17" s="133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</row>
    <row r="18" spans="1:48" ht="12.75" customHeight="1" thickBot="1" x14ac:dyDescent="0.3">
      <c r="F18" t="s">
        <v>25</v>
      </c>
      <c r="G18" t="s">
        <v>1511</v>
      </c>
      <c r="H18" t="s">
        <v>1052</v>
      </c>
      <c r="I18" s="68" t="s">
        <v>1512</v>
      </c>
      <c r="J18" s="30" t="s">
        <v>72</v>
      </c>
      <c r="K18" s="85" t="s">
        <v>1291</v>
      </c>
      <c r="L18" s="30"/>
      <c r="M18" s="30" t="s">
        <v>1513</v>
      </c>
      <c r="N18" s="30"/>
      <c r="O18" s="31">
        <f t="shared" si="4"/>
        <v>28</v>
      </c>
      <c r="P18" s="137" t="s">
        <v>2128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8" ht="15.75" thickBot="1" x14ac:dyDescent="0.3">
      <c r="F19" t="s">
        <v>40</v>
      </c>
      <c r="G19" t="s">
        <v>912</v>
      </c>
      <c r="H19" t="s">
        <v>1052</v>
      </c>
      <c r="I19" t="s">
        <v>41</v>
      </c>
      <c r="J19" s="30" t="s">
        <v>18</v>
      </c>
      <c r="K19" s="30" t="s">
        <v>27</v>
      </c>
      <c r="L19" s="30"/>
      <c r="M19" s="30" t="s">
        <v>617</v>
      </c>
      <c r="N19" s="30"/>
      <c r="O19" s="31">
        <f t="shared" si="4"/>
        <v>28</v>
      </c>
      <c r="P19" s="137" t="s">
        <v>1655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8" s="73" customFormat="1" ht="15.75" thickBot="1" x14ac:dyDescent="0.3">
      <c r="A20"/>
      <c r="B20"/>
      <c r="C20"/>
      <c r="D20"/>
      <c r="E20"/>
      <c r="F20" s="73" t="s">
        <v>40</v>
      </c>
      <c r="G20" s="73" t="s">
        <v>1525</v>
      </c>
      <c r="H20" s="73" t="s">
        <v>1052</v>
      </c>
      <c r="I20" s="73" t="s">
        <v>1526</v>
      </c>
      <c r="J20" s="85" t="s">
        <v>72</v>
      </c>
      <c r="K20" s="85" t="s">
        <v>1291</v>
      </c>
      <c r="L20" s="85"/>
      <c r="M20" s="85" t="s">
        <v>1527</v>
      </c>
      <c r="N20" s="85"/>
      <c r="O20" s="31">
        <f t="shared" si="4"/>
        <v>28</v>
      </c>
      <c r="P20" s="137" t="s">
        <v>1656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</row>
    <row r="21" spans="1:48" s="73" customFormat="1" ht="15.75" thickBot="1" x14ac:dyDescent="0.3">
      <c r="A21"/>
      <c r="B21"/>
      <c r="C21"/>
      <c r="D21"/>
      <c r="E21"/>
      <c r="F21" s="73" t="s">
        <v>40</v>
      </c>
      <c r="G21" s="73" t="s">
        <v>1554</v>
      </c>
      <c r="H21" s="73" t="s">
        <v>1052</v>
      </c>
      <c r="I21" s="73" t="s">
        <v>1555</v>
      </c>
      <c r="J21" s="85" t="s">
        <v>72</v>
      </c>
      <c r="K21" s="85" t="s">
        <v>1291</v>
      </c>
      <c r="L21" s="85"/>
      <c r="M21" s="85" t="s">
        <v>1556</v>
      </c>
      <c r="N21" s="85"/>
      <c r="O21" s="31">
        <f t="shared" si="4"/>
        <v>28</v>
      </c>
      <c r="P21" s="137" t="s">
        <v>1657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</row>
    <row r="22" spans="1:48" ht="15.75" thickBot="1" x14ac:dyDescent="0.3">
      <c r="F22" t="s">
        <v>42</v>
      </c>
      <c r="G22" t="s">
        <v>913</v>
      </c>
      <c r="H22" t="s">
        <v>1052</v>
      </c>
      <c r="I22" t="s">
        <v>43</v>
      </c>
      <c r="J22" s="30" t="s">
        <v>14</v>
      </c>
      <c r="K22" s="30" t="s">
        <v>27</v>
      </c>
      <c r="L22" s="30"/>
      <c r="M22" s="30" t="s">
        <v>618</v>
      </c>
      <c r="N22" s="30" t="s">
        <v>2284</v>
      </c>
      <c r="O22" s="31">
        <f t="shared" si="4"/>
        <v>28</v>
      </c>
      <c r="P22" s="137" t="s">
        <v>2286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8" ht="15.75" thickBot="1" x14ac:dyDescent="0.3">
      <c r="F23" t="s">
        <v>42</v>
      </c>
      <c r="G23" t="s">
        <v>1258</v>
      </c>
      <c r="H23" t="s">
        <v>1052</v>
      </c>
      <c r="I23" t="s">
        <v>1259</v>
      </c>
      <c r="J23" s="30" t="s">
        <v>14</v>
      </c>
      <c r="K23" s="30" t="s">
        <v>27</v>
      </c>
      <c r="L23" s="30"/>
      <c r="M23" s="30" t="s">
        <v>1346</v>
      </c>
      <c r="N23" s="30"/>
      <c r="O23" s="31">
        <f t="shared" si="4"/>
        <v>28</v>
      </c>
      <c r="P23" s="137" t="s">
        <v>1658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8" ht="15.75" thickBot="1" x14ac:dyDescent="0.3">
      <c r="A24"/>
      <c r="B24"/>
      <c r="C24"/>
      <c r="D24"/>
      <c r="E24" t="s">
        <v>2366</v>
      </c>
      <c r="F24" t="s">
        <v>1184</v>
      </c>
      <c r="G24" s="30" t="s">
        <v>1168</v>
      </c>
      <c r="H24" s="30" t="s">
        <v>1053</v>
      </c>
      <c r="I24" t="s">
        <v>1152</v>
      </c>
      <c r="J24" s="30" t="s">
        <v>72</v>
      </c>
      <c r="K24" s="30" t="s">
        <v>1046</v>
      </c>
      <c r="L24" s="30"/>
      <c r="M24" s="30" t="s">
        <v>1155</v>
      </c>
      <c r="N24" s="30"/>
      <c r="O24" s="31">
        <f t="shared" si="4"/>
        <v>28</v>
      </c>
      <c r="P24" s="137" t="s">
        <v>1659</v>
      </c>
      <c r="Q24" s="31">
        <f t="shared" si="5"/>
        <v>0</v>
      </c>
      <c r="R24" s="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</row>
    <row r="25" spans="1:48" ht="15.75" thickBot="1" x14ac:dyDescent="0.3">
      <c r="A25"/>
      <c r="B25"/>
      <c r="C25"/>
      <c r="D25"/>
      <c r="E25" t="s">
        <v>2366</v>
      </c>
      <c r="F25" t="s">
        <v>1184</v>
      </c>
      <c r="G25" s="30" t="s">
        <v>1169</v>
      </c>
      <c r="H25" s="30" t="s">
        <v>1053</v>
      </c>
      <c r="I25" t="s">
        <v>1152</v>
      </c>
      <c r="J25" s="30" t="s">
        <v>72</v>
      </c>
      <c r="K25" s="30" t="s">
        <v>1046</v>
      </c>
      <c r="L25" s="30"/>
      <c r="M25" s="30" t="s">
        <v>1156</v>
      </c>
      <c r="N25" s="30"/>
      <c r="O25" s="31">
        <f t="shared" si="4"/>
        <v>28</v>
      </c>
      <c r="P25" s="137" t="s">
        <v>1660</v>
      </c>
      <c r="Q25" s="31">
        <f t="shared" si="5"/>
        <v>0</v>
      </c>
      <c r="R25" s="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</row>
    <row r="26" spans="1:48" ht="15.75" thickBot="1" x14ac:dyDescent="0.3">
      <c r="A26"/>
      <c r="B26"/>
      <c r="C26"/>
      <c r="D26"/>
      <c r="E26" t="s">
        <v>2366</v>
      </c>
      <c r="F26" t="s">
        <v>1184</v>
      </c>
      <c r="G26" s="30" t="s">
        <v>1167</v>
      </c>
      <c r="H26" s="30" t="s">
        <v>1053</v>
      </c>
      <c r="I26" t="s">
        <v>1151</v>
      </c>
      <c r="J26" s="30" t="s">
        <v>72</v>
      </c>
      <c r="K26" s="30" t="s">
        <v>1046</v>
      </c>
      <c r="L26" s="30"/>
      <c r="M26" s="30" t="s">
        <v>1154</v>
      </c>
      <c r="N26" s="30"/>
      <c r="O26" s="31">
        <f t="shared" si="4"/>
        <v>27</v>
      </c>
      <c r="P26" s="137" t="s">
        <v>1661</v>
      </c>
      <c r="Q26" s="31">
        <f t="shared" si="5"/>
        <v>1</v>
      </c>
      <c r="R26" s="32">
        <f t="shared" si="6"/>
        <v>0.9642857142857143</v>
      </c>
      <c r="S26" s="70"/>
      <c r="T26" s="70"/>
      <c r="U26" s="70"/>
      <c r="V26" s="70" t="s">
        <v>2240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</row>
    <row r="27" spans="1:48" ht="15.75" thickBot="1" x14ac:dyDescent="0.3">
      <c r="A27"/>
      <c r="B27"/>
      <c r="C27"/>
      <c r="D27"/>
      <c r="E27" t="s">
        <v>2366</v>
      </c>
      <c r="F27" t="s">
        <v>1184</v>
      </c>
      <c r="G27" s="30" t="s">
        <v>1166</v>
      </c>
      <c r="H27" s="30" t="s">
        <v>1053</v>
      </c>
      <c r="I27" t="s">
        <v>1151</v>
      </c>
      <c r="J27" s="30" t="s">
        <v>72</v>
      </c>
      <c r="K27" s="30" t="s">
        <v>1046</v>
      </c>
      <c r="L27" s="30"/>
      <c r="M27" s="30" t="s">
        <v>1161</v>
      </c>
      <c r="N27" s="30"/>
      <c r="O27" s="31">
        <f t="shared" si="4"/>
        <v>28</v>
      </c>
      <c r="P27" s="137" t="s">
        <v>1662</v>
      </c>
      <c r="Q27" s="31">
        <f t="shared" si="5"/>
        <v>0</v>
      </c>
      <c r="R27" s="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8" ht="15.75" thickBot="1" x14ac:dyDescent="0.3">
      <c r="A28"/>
      <c r="B28"/>
      <c r="C28"/>
      <c r="D28"/>
      <c r="E28" t="s">
        <v>2366</v>
      </c>
      <c r="F28" t="s">
        <v>1184</v>
      </c>
      <c r="G28" s="30" t="s">
        <v>1170</v>
      </c>
      <c r="H28" s="30" t="s">
        <v>1053</v>
      </c>
      <c r="I28" t="s">
        <v>1153</v>
      </c>
      <c r="J28" s="30" t="s">
        <v>72</v>
      </c>
      <c r="K28" s="30" t="s">
        <v>1046</v>
      </c>
      <c r="L28" s="30"/>
      <c r="M28" s="30" t="s">
        <v>1157</v>
      </c>
      <c r="N28" s="30"/>
      <c r="O28" s="31">
        <f t="shared" si="4"/>
        <v>28</v>
      </c>
      <c r="P28" s="137" t="s">
        <v>1663</v>
      </c>
      <c r="Q28" s="31">
        <f t="shared" si="5"/>
        <v>0</v>
      </c>
      <c r="R28" s="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8" ht="15.75" thickBot="1" x14ac:dyDescent="0.3">
      <c r="A29"/>
      <c r="B29"/>
      <c r="C29"/>
      <c r="D29"/>
      <c r="E29" t="s">
        <v>2366</v>
      </c>
      <c r="F29" t="s">
        <v>1184</v>
      </c>
      <c r="G29" s="30" t="s">
        <v>1171</v>
      </c>
      <c r="H29" s="30" t="s">
        <v>1053</v>
      </c>
      <c r="I29" t="s">
        <v>1153</v>
      </c>
      <c r="J29" s="30" t="s">
        <v>72</v>
      </c>
      <c r="K29" s="30" t="s">
        <v>1046</v>
      </c>
      <c r="L29" s="30"/>
      <c r="M29" s="30" t="s">
        <v>1158</v>
      </c>
      <c r="N29" s="30"/>
      <c r="O29" s="31">
        <f t="shared" si="4"/>
        <v>28</v>
      </c>
      <c r="P29" s="137" t="s">
        <v>1664</v>
      </c>
      <c r="Q29" s="31">
        <f t="shared" si="5"/>
        <v>0</v>
      </c>
      <c r="R29" s="32">
        <f t="shared" si="6"/>
        <v>1</v>
      </c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8" s="73" customFormat="1" ht="15.75" thickBot="1" x14ac:dyDescent="0.3">
      <c r="A30"/>
      <c r="B30"/>
      <c r="C30"/>
      <c r="D30"/>
      <c r="E30"/>
      <c r="F30" s="73" t="s">
        <v>1184</v>
      </c>
      <c r="G30" s="85" t="s">
        <v>2276</v>
      </c>
      <c r="H30" s="73" t="s">
        <v>1053</v>
      </c>
      <c r="I30" s="73" t="s">
        <v>1337</v>
      </c>
      <c r="J30" s="85" t="s">
        <v>18</v>
      </c>
      <c r="K30" s="85" t="s">
        <v>1291</v>
      </c>
      <c r="L30" s="85"/>
      <c r="M30" s="85" t="s">
        <v>1344</v>
      </c>
      <c r="N30" s="85"/>
      <c r="O30" s="132">
        <f t="shared" si="4"/>
        <v>28</v>
      </c>
      <c r="P30" s="137" t="s">
        <v>1665</v>
      </c>
      <c r="Q30" s="132">
        <f t="shared" si="5"/>
        <v>0</v>
      </c>
      <c r="R30" s="133">
        <f t="shared" si="6"/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s="73" customFormat="1" ht="15.75" thickBot="1" x14ac:dyDescent="0.3">
      <c r="A31" s="8"/>
      <c r="B31" s="8"/>
      <c r="C31" s="8"/>
      <c r="D31" s="8"/>
      <c r="E31" s="8"/>
      <c r="F31" s="73" t="s">
        <v>1184</v>
      </c>
      <c r="G31" s="85" t="s">
        <v>2277</v>
      </c>
      <c r="H31" s="85" t="s">
        <v>1053</v>
      </c>
      <c r="I31" s="73" t="s">
        <v>1579</v>
      </c>
      <c r="J31" s="85" t="s">
        <v>18</v>
      </c>
      <c r="K31" s="85" t="s">
        <v>1291</v>
      </c>
      <c r="L31" s="85"/>
      <c r="M31" s="85" t="s">
        <v>1580</v>
      </c>
      <c r="N31" s="85"/>
      <c r="O31" s="132">
        <f t="shared" si="4"/>
        <v>28</v>
      </c>
      <c r="P31" s="137" t="s">
        <v>2129</v>
      </c>
      <c r="Q31" s="132">
        <f t="shared" si="5"/>
        <v>0</v>
      </c>
      <c r="R31" s="133">
        <f t="shared" si="6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s="73" customFormat="1" ht="15.75" thickBot="1" x14ac:dyDescent="0.3">
      <c r="A32" s="8"/>
      <c r="B32" s="8"/>
      <c r="C32" s="8"/>
      <c r="D32" s="8"/>
      <c r="E32" s="8"/>
      <c r="F32" s="73" t="s">
        <v>1184</v>
      </c>
      <c r="G32" s="85" t="s">
        <v>2278</v>
      </c>
      <c r="H32" s="85" t="s">
        <v>1053</v>
      </c>
      <c r="I32" s="73" t="s">
        <v>1583</v>
      </c>
      <c r="J32" s="85" t="s">
        <v>72</v>
      </c>
      <c r="K32" s="85" t="s">
        <v>1291</v>
      </c>
      <c r="L32" s="85"/>
      <c r="M32" s="85" t="s">
        <v>1581</v>
      </c>
      <c r="N32" s="85"/>
      <c r="O32" s="132">
        <f t="shared" si="4"/>
        <v>28</v>
      </c>
      <c r="P32" s="137" t="s">
        <v>2130</v>
      </c>
      <c r="Q32" s="132">
        <f t="shared" si="5"/>
        <v>0</v>
      </c>
      <c r="R32" s="133">
        <f t="shared" si="6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s="73" customFormat="1" ht="15.75" thickBot="1" x14ac:dyDescent="0.3">
      <c r="A33"/>
      <c r="B33"/>
      <c r="C33"/>
      <c r="D33"/>
      <c r="E33"/>
      <c r="F33" s="73" t="s">
        <v>1184</v>
      </c>
      <c r="G33" s="85" t="s">
        <v>2279</v>
      </c>
      <c r="H33" s="85" t="s">
        <v>1053</v>
      </c>
      <c r="I33" s="73" t="s">
        <v>1583</v>
      </c>
      <c r="J33" s="85" t="s">
        <v>72</v>
      </c>
      <c r="K33" s="85" t="s">
        <v>1291</v>
      </c>
      <c r="L33" s="85"/>
      <c r="M33" s="85" t="s">
        <v>1582</v>
      </c>
      <c r="N33" s="85"/>
      <c r="O33" s="132">
        <f t="shared" si="4"/>
        <v>28</v>
      </c>
      <c r="P33" s="137" t="s">
        <v>2131</v>
      </c>
      <c r="Q33" s="132">
        <f t="shared" si="5"/>
        <v>0</v>
      </c>
      <c r="R33" s="133">
        <f t="shared" si="6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 s="73" customFormat="1" ht="15.75" thickBot="1" x14ac:dyDescent="0.3">
      <c r="A34"/>
      <c r="B34"/>
      <c r="C34"/>
      <c r="D34"/>
      <c r="E34"/>
      <c r="F34" s="73" t="s">
        <v>1184</v>
      </c>
      <c r="G34" s="85" t="s">
        <v>2280</v>
      </c>
      <c r="H34" s="85" t="s">
        <v>1053</v>
      </c>
      <c r="I34" s="73" t="s">
        <v>2259</v>
      </c>
      <c r="J34" s="85" t="s">
        <v>18</v>
      </c>
      <c r="K34" s="85" t="s">
        <v>1291</v>
      </c>
      <c r="L34" s="85"/>
      <c r="M34" s="85" t="s">
        <v>2260</v>
      </c>
      <c r="N34" s="85"/>
      <c r="O34" s="132">
        <f t="shared" si="4"/>
        <v>28</v>
      </c>
      <c r="P34" s="137" t="s">
        <v>2261</v>
      </c>
      <c r="Q34" s="132">
        <f t="shared" si="5"/>
        <v>0</v>
      </c>
      <c r="R34" s="133">
        <f t="shared" si="6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s="73" customFormat="1" ht="15.75" thickBot="1" x14ac:dyDescent="0.3">
      <c r="A35"/>
      <c r="B35"/>
      <c r="C35"/>
      <c r="D35"/>
      <c r="E35"/>
      <c r="F35" s="73" t="s">
        <v>1184</v>
      </c>
      <c r="G35" s="85" t="s">
        <v>2376</v>
      </c>
      <c r="H35" s="85" t="s">
        <v>1053</v>
      </c>
      <c r="I35" s="73" t="s">
        <v>2377</v>
      </c>
      <c r="J35" s="85"/>
      <c r="K35" s="85" t="s">
        <v>27</v>
      </c>
      <c r="L35" s="85"/>
      <c r="M35" s="85" t="s">
        <v>2378</v>
      </c>
      <c r="N35" s="85"/>
      <c r="O35" s="132"/>
      <c r="P35" s="137"/>
      <c r="Q35" s="132"/>
      <c r="R35" s="133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</row>
    <row r="36" spans="1:48" ht="15.75" thickBot="1" x14ac:dyDescent="0.3">
      <c r="F36" s="69" t="s">
        <v>2127</v>
      </c>
      <c r="G36" s="30" t="s">
        <v>1338</v>
      </c>
      <c r="H36" t="s">
        <v>1053</v>
      </c>
      <c r="I36" t="s">
        <v>1339</v>
      </c>
      <c r="J36" s="30" t="s">
        <v>18</v>
      </c>
      <c r="K36" s="30" t="s">
        <v>27</v>
      </c>
      <c r="L36" s="138"/>
      <c r="M36" s="30" t="s">
        <v>1429</v>
      </c>
      <c r="N36" s="138"/>
      <c r="O36" s="141">
        <f t="shared" si="4"/>
        <v>28</v>
      </c>
      <c r="P36" s="145" t="s">
        <v>1666</v>
      </c>
      <c r="Q36" s="141">
        <f t="shared" si="5"/>
        <v>0</v>
      </c>
      <c r="R36" s="143">
        <f t="shared" si="6"/>
        <v>1</v>
      </c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</row>
    <row r="37" spans="1:48" s="73" customFormat="1" ht="15.75" thickBot="1" x14ac:dyDescent="0.3">
      <c r="A37" s="8"/>
      <c r="B37" s="8"/>
      <c r="C37" s="8"/>
      <c r="D37" s="8"/>
      <c r="E37" s="8"/>
      <c r="F37" s="73" t="s">
        <v>2127</v>
      </c>
      <c r="G37" s="85" t="s">
        <v>1388</v>
      </c>
      <c r="H37" s="73" t="s">
        <v>1053</v>
      </c>
      <c r="I37" s="73" t="s">
        <v>1389</v>
      </c>
      <c r="J37" s="85" t="s">
        <v>18</v>
      </c>
      <c r="K37" s="85" t="s">
        <v>1291</v>
      </c>
      <c r="L37" s="85"/>
      <c r="M37" s="85" t="s">
        <v>1390</v>
      </c>
      <c r="N37" s="85"/>
      <c r="O37" s="132">
        <f t="shared" si="4"/>
        <v>27</v>
      </c>
      <c r="P37" s="137" t="s">
        <v>2132</v>
      </c>
      <c r="Q37" s="132">
        <f t="shared" si="5"/>
        <v>1</v>
      </c>
      <c r="R37" s="133">
        <f t="shared" si="6"/>
        <v>0.9642857142857143</v>
      </c>
      <c r="S37" s="70"/>
      <c r="T37" s="70"/>
      <c r="U37" s="70"/>
      <c r="V37" s="70" t="s">
        <v>2240</v>
      </c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144"/>
      <c r="AH37" s="70"/>
      <c r="AI37" s="70"/>
      <c r="AJ37" s="70"/>
      <c r="AK37" s="139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8" s="73" customFormat="1" ht="15.75" thickBot="1" x14ac:dyDescent="0.3">
      <c r="A38"/>
      <c r="B38"/>
      <c r="C38"/>
      <c r="D38"/>
      <c r="E38"/>
      <c r="F38" s="73" t="s">
        <v>2127</v>
      </c>
      <c r="G38" s="85" t="s">
        <v>2124</v>
      </c>
      <c r="H38" s="73" t="s">
        <v>1053</v>
      </c>
      <c r="I38" s="73" t="s">
        <v>2125</v>
      </c>
      <c r="J38" s="85" t="s">
        <v>18</v>
      </c>
      <c r="K38" s="85" t="s">
        <v>1291</v>
      </c>
      <c r="L38" s="85"/>
      <c r="M38" s="85" t="s">
        <v>2291</v>
      </c>
      <c r="N38" s="85"/>
      <c r="O38" s="132">
        <f t="shared" si="4"/>
        <v>27</v>
      </c>
      <c r="P38" s="137" t="s">
        <v>2126</v>
      </c>
      <c r="Q38" s="132">
        <f t="shared" si="5"/>
        <v>1</v>
      </c>
      <c r="R38" s="133">
        <f t="shared" si="6"/>
        <v>0.9642857142857143</v>
      </c>
      <c r="S38" s="70"/>
      <c r="T38" s="70"/>
      <c r="U38" s="70"/>
      <c r="V38" s="70" t="s">
        <v>2240</v>
      </c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144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 s="73" customFormat="1" ht="15.75" thickBot="1" x14ac:dyDescent="0.3">
      <c r="A39"/>
      <c r="B39"/>
      <c r="C39"/>
      <c r="D39"/>
      <c r="E39"/>
      <c r="F39" s="73" t="s">
        <v>1184</v>
      </c>
      <c r="G39" s="85" t="s">
        <v>1493</v>
      </c>
      <c r="H39" s="73" t="s">
        <v>1053</v>
      </c>
      <c r="I39" s="73" t="s">
        <v>1494</v>
      </c>
      <c r="J39" s="85" t="s">
        <v>18</v>
      </c>
      <c r="K39" s="85" t="s">
        <v>1291</v>
      </c>
      <c r="L39" s="85"/>
      <c r="M39" s="85" t="s">
        <v>1495</v>
      </c>
      <c r="N39" s="85"/>
      <c r="O39" s="132">
        <f t="shared" si="4"/>
        <v>28</v>
      </c>
      <c r="P39" s="137" t="s">
        <v>2133</v>
      </c>
      <c r="Q39" s="132">
        <f t="shared" si="5"/>
        <v>0</v>
      </c>
      <c r="R39" s="133">
        <f t="shared" si="6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 ht="15.75" thickBot="1" x14ac:dyDescent="0.3">
      <c r="A40" s="8">
        <v>2</v>
      </c>
      <c r="B40" s="8">
        <v>2</v>
      </c>
      <c r="E40" s="8" t="s">
        <v>2380</v>
      </c>
      <c r="F40" t="s">
        <v>1441</v>
      </c>
      <c r="G40" s="30" t="s">
        <v>1440</v>
      </c>
      <c r="H40" t="s">
        <v>1053</v>
      </c>
      <c r="I40" t="s">
        <v>1439</v>
      </c>
      <c r="J40" s="30" t="s">
        <v>72</v>
      </c>
      <c r="K40" s="30" t="s">
        <v>27</v>
      </c>
      <c r="L40" s="30"/>
      <c r="M40" s="85" t="s">
        <v>1443</v>
      </c>
      <c r="N40" s="85"/>
      <c r="O40" s="31">
        <f t="shared" si="4"/>
        <v>28</v>
      </c>
      <c r="P40" s="137" t="s">
        <v>1667</v>
      </c>
      <c r="Q40" s="31">
        <f t="shared" si="5"/>
        <v>0</v>
      </c>
      <c r="R40" s="32">
        <f t="shared" si="6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5.75" thickBot="1" x14ac:dyDescent="0.3">
      <c r="A41" s="8">
        <v>2</v>
      </c>
      <c r="B41" s="8">
        <v>2</v>
      </c>
      <c r="E41" s="8" t="s">
        <v>2380</v>
      </c>
      <c r="F41" t="s">
        <v>1441</v>
      </c>
      <c r="G41" s="30" t="s">
        <v>1442</v>
      </c>
      <c r="H41" t="s">
        <v>1053</v>
      </c>
      <c r="I41" t="s">
        <v>1439</v>
      </c>
      <c r="J41" s="30" t="s">
        <v>72</v>
      </c>
      <c r="K41" s="30" t="s">
        <v>27</v>
      </c>
      <c r="L41" s="30"/>
      <c r="M41" s="85" t="s">
        <v>1444</v>
      </c>
      <c r="N41" s="85"/>
      <c r="O41" s="31">
        <f t="shared" si="4"/>
        <v>28</v>
      </c>
      <c r="P41" s="137" t="s">
        <v>1668</v>
      </c>
      <c r="Q41" s="31">
        <f t="shared" si="5"/>
        <v>0</v>
      </c>
      <c r="R41" s="32">
        <f t="shared" si="6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5.75" thickBot="1" x14ac:dyDescent="0.3">
      <c r="A42"/>
      <c r="B42"/>
      <c r="C42"/>
      <c r="D42"/>
      <c r="E42"/>
      <c r="F42" t="s">
        <v>1441</v>
      </c>
      <c r="G42" s="30" t="s">
        <v>1617</v>
      </c>
      <c r="H42" t="s">
        <v>1053</v>
      </c>
      <c r="I42" t="s">
        <v>1619</v>
      </c>
      <c r="J42" s="30" t="s">
        <v>72</v>
      </c>
      <c r="K42" s="30" t="s">
        <v>27</v>
      </c>
      <c r="L42" s="30"/>
      <c r="M42" s="85" t="s">
        <v>1620</v>
      </c>
      <c r="N42" s="85"/>
      <c r="O42" s="31">
        <f t="shared" si="4"/>
        <v>28</v>
      </c>
      <c r="P42" s="137" t="s">
        <v>2134</v>
      </c>
      <c r="Q42" s="31">
        <f t="shared" si="5"/>
        <v>0</v>
      </c>
      <c r="R42" s="32">
        <f t="shared" si="6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15.75" thickBot="1" x14ac:dyDescent="0.3">
      <c r="A43"/>
      <c r="B43"/>
      <c r="C43"/>
      <c r="D43"/>
      <c r="E43"/>
      <c r="F43" t="s">
        <v>1441</v>
      </c>
      <c r="G43" s="30" t="s">
        <v>1618</v>
      </c>
      <c r="H43" t="s">
        <v>1053</v>
      </c>
      <c r="I43" t="s">
        <v>1619</v>
      </c>
      <c r="J43" s="30" t="s">
        <v>72</v>
      </c>
      <c r="K43" s="30" t="s">
        <v>27</v>
      </c>
      <c r="L43" s="30"/>
      <c r="M43" s="85" t="s">
        <v>1621</v>
      </c>
      <c r="N43" s="85"/>
      <c r="O43" s="31">
        <f t="shared" si="4"/>
        <v>28</v>
      </c>
      <c r="P43" s="137" t="s">
        <v>2158</v>
      </c>
      <c r="Q43" s="31">
        <f t="shared" si="5"/>
        <v>0</v>
      </c>
      <c r="R43" s="32">
        <f t="shared" si="6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</row>
    <row r="44" spans="1:48" ht="15.75" thickBot="1" x14ac:dyDescent="0.3">
      <c r="A44"/>
      <c r="B44"/>
      <c r="C44"/>
      <c r="D44"/>
      <c r="E44"/>
      <c r="F44" t="s">
        <v>1441</v>
      </c>
      <c r="G44" s="30" t="s">
        <v>1625</v>
      </c>
      <c r="H44" t="s">
        <v>1053</v>
      </c>
      <c r="I44" t="s">
        <v>1619</v>
      </c>
      <c r="J44" s="30" t="s">
        <v>18</v>
      </c>
      <c r="K44" s="30" t="s">
        <v>27</v>
      </c>
      <c r="L44" s="30"/>
      <c r="M44" s="85" t="s">
        <v>1623</v>
      </c>
      <c r="N44" s="85"/>
      <c r="O44" s="31">
        <f t="shared" si="4"/>
        <v>28</v>
      </c>
      <c r="P44" s="137" t="s">
        <v>2159</v>
      </c>
      <c r="Q44" s="31">
        <f t="shared" si="5"/>
        <v>0</v>
      </c>
      <c r="R44" s="32">
        <f t="shared" si="6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</row>
    <row r="45" spans="1:48" ht="15.75" thickBot="1" x14ac:dyDescent="0.3">
      <c r="A45">
        <v>2</v>
      </c>
      <c r="B45">
        <v>2</v>
      </c>
      <c r="C45"/>
      <c r="D45"/>
      <c r="E45" t="s">
        <v>2380</v>
      </c>
      <c r="F45" t="s">
        <v>1441</v>
      </c>
      <c r="G45" s="30" t="s">
        <v>1626</v>
      </c>
      <c r="H45" t="s">
        <v>1053</v>
      </c>
      <c r="I45" t="s">
        <v>1627</v>
      </c>
      <c r="J45" s="30" t="s">
        <v>18</v>
      </c>
      <c r="K45" s="30" t="s">
        <v>27</v>
      </c>
      <c r="L45" s="30"/>
      <c r="M45" s="85" t="s">
        <v>1628</v>
      </c>
      <c r="N45" s="85"/>
      <c r="O45" s="31">
        <f t="shared" si="4"/>
        <v>28</v>
      </c>
      <c r="P45" s="137" t="s">
        <v>2160</v>
      </c>
      <c r="Q45" s="31">
        <f t="shared" si="5"/>
        <v>0</v>
      </c>
      <c r="R45" s="32">
        <f t="shared" si="6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</row>
    <row r="46" spans="1:48" ht="15.75" thickBot="1" x14ac:dyDescent="0.3">
      <c r="A46"/>
      <c r="B46"/>
      <c r="C46"/>
      <c r="D46"/>
      <c r="E46" t="s">
        <v>2366</v>
      </c>
      <c r="F46" t="s">
        <v>1441</v>
      </c>
      <c r="G46" s="30" t="s">
        <v>2203</v>
      </c>
      <c r="H46" t="s">
        <v>1053</v>
      </c>
      <c r="I46" t="s">
        <v>2207</v>
      </c>
      <c r="J46" s="30" t="s">
        <v>72</v>
      </c>
      <c r="K46" s="30" t="s">
        <v>27</v>
      </c>
      <c r="L46" s="30"/>
      <c r="M46" s="85" t="s">
        <v>2292</v>
      </c>
      <c r="N46" s="85"/>
      <c r="O46" s="31">
        <f t="shared" si="4"/>
        <v>28</v>
      </c>
      <c r="P46" s="137" t="s">
        <v>2204</v>
      </c>
      <c r="Q46" s="31">
        <f t="shared" si="5"/>
        <v>0</v>
      </c>
      <c r="R46" s="32">
        <f t="shared" si="6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</row>
    <row r="47" spans="1:48" ht="15.75" thickBot="1" x14ac:dyDescent="0.3">
      <c r="A47"/>
      <c r="B47"/>
      <c r="C47"/>
      <c r="D47"/>
      <c r="E47" t="s">
        <v>2366</v>
      </c>
      <c r="F47" t="s">
        <v>1441</v>
      </c>
      <c r="G47" s="30" t="s">
        <v>2205</v>
      </c>
      <c r="H47" t="s">
        <v>1053</v>
      </c>
      <c r="I47" t="s">
        <v>2206</v>
      </c>
      <c r="J47" s="30" t="s">
        <v>72</v>
      </c>
      <c r="K47" s="30" t="s">
        <v>27</v>
      </c>
      <c r="L47" s="30"/>
      <c r="M47" s="85" t="s">
        <v>2293</v>
      </c>
      <c r="N47" s="85"/>
      <c r="O47" s="31">
        <f t="shared" si="4"/>
        <v>28</v>
      </c>
      <c r="P47" s="137" t="s">
        <v>2208</v>
      </c>
      <c r="Q47" s="31">
        <f t="shared" si="5"/>
        <v>0</v>
      </c>
      <c r="R47" s="32">
        <f t="shared" si="6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</row>
    <row r="48" spans="1:48" ht="15.75" thickBot="1" x14ac:dyDescent="0.3">
      <c r="A48"/>
      <c r="B48"/>
      <c r="C48"/>
      <c r="D48"/>
      <c r="E48"/>
      <c r="F48" t="s">
        <v>51</v>
      </c>
      <c r="G48" t="s">
        <v>70</v>
      </c>
      <c r="H48" t="s">
        <v>1052</v>
      </c>
      <c r="I48" t="s">
        <v>71</v>
      </c>
      <c r="J48" s="30" t="s">
        <v>72</v>
      </c>
      <c r="K48" s="30" t="s">
        <v>1291</v>
      </c>
      <c r="L48" s="30"/>
      <c r="M48" s="30" t="s">
        <v>619</v>
      </c>
      <c r="N48" s="30"/>
      <c r="O48" s="31">
        <f t="shared" si="4"/>
        <v>28</v>
      </c>
      <c r="P48" s="137" t="s">
        <v>1669</v>
      </c>
      <c r="Q48" s="31">
        <f t="shared" si="5"/>
        <v>0</v>
      </c>
      <c r="R48" s="32">
        <f t="shared" si="6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</row>
    <row r="49" spans="1:48" ht="15.75" thickBot="1" x14ac:dyDescent="0.3">
      <c r="A49"/>
      <c r="B49"/>
      <c r="C49"/>
      <c r="D49"/>
      <c r="E49"/>
      <c r="F49" t="s">
        <v>51</v>
      </c>
      <c r="G49" t="s">
        <v>73</v>
      </c>
      <c r="H49" t="s">
        <v>1052</v>
      </c>
      <c r="I49" t="s">
        <v>74</v>
      </c>
      <c r="J49" s="30" t="s">
        <v>72</v>
      </c>
      <c r="K49" s="30" t="s">
        <v>1291</v>
      </c>
      <c r="L49" s="30"/>
      <c r="M49" s="30" t="s">
        <v>613</v>
      </c>
      <c r="N49" s="30"/>
      <c r="O49" s="31">
        <f t="shared" si="4"/>
        <v>28</v>
      </c>
      <c r="P49" s="137" t="s">
        <v>1670</v>
      </c>
      <c r="Q49" s="31">
        <f t="shared" si="5"/>
        <v>0</v>
      </c>
      <c r="R49" s="32">
        <f t="shared" si="6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8" ht="15.75" thickBot="1" x14ac:dyDescent="0.3">
      <c r="A50">
        <v>2</v>
      </c>
      <c r="B50" t="s">
        <v>2381</v>
      </c>
      <c r="C50"/>
      <c r="D50"/>
      <c r="E50" t="s">
        <v>2349</v>
      </c>
      <c r="F50" t="s">
        <v>51</v>
      </c>
      <c r="G50" t="s">
        <v>75</v>
      </c>
      <c r="H50" t="s">
        <v>1052</v>
      </c>
      <c r="I50" t="s">
        <v>76</v>
      </c>
      <c r="J50" s="30" t="s">
        <v>18</v>
      </c>
      <c r="K50" s="30" t="s">
        <v>27</v>
      </c>
      <c r="L50" s="30"/>
      <c r="M50" s="30" t="s">
        <v>620</v>
      </c>
      <c r="N50" s="30"/>
      <c r="O50" s="31">
        <f t="shared" si="4"/>
        <v>28</v>
      </c>
      <c r="P50" s="137" t="s">
        <v>1671</v>
      </c>
      <c r="Q50" s="31">
        <f t="shared" si="5"/>
        <v>0</v>
      </c>
      <c r="R50" s="32">
        <f t="shared" si="6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8" ht="15.75" thickBot="1" x14ac:dyDescent="0.3">
      <c r="A51">
        <v>2</v>
      </c>
      <c r="B51">
        <v>20</v>
      </c>
      <c r="C51"/>
      <c r="D51"/>
      <c r="E51" t="s">
        <v>2348</v>
      </c>
      <c r="F51" t="s">
        <v>51</v>
      </c>
      <c r="G51" t="s">
        <v>77</v>
      </c>
      <c r="H51" t="s">
        <v>1052</v>
      </c>
      <c r="I51" t="s">
        <v>78</v>
      </c>
      <c r="J51" s="30" t="s">
        <v>18</v>
      </c>
      <c r="K51" s="30" t="s">
        <v>27</v>
      </c>
      <c r="L51" s="30"/>
      <c r="M51" s="30" t="s">
        <v>621</v>
      </c>
      <c r="N51" s="30"/>
      <c r="O51" s="31">
        <f t="shared" si="4"/>
        <v>28</v>
      </c>
      <c r="P51" s="137" t="s">
        <v>1672</v>
      </c>
      <c r="Q51" s="31">
        <f t="shared" si="5"/>
        <v>0</v>
      </c>
      <c r="R51" s="32">
        <f t="shared" si="6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</row>
    <row r="52" spans="1:48" ht="15.75" thickBot="1" x14ac:dyDescent="0.3">
      <c r="A52">
        <v>2</v>
      </c>
      <c r="B52">
        <v>23</v>
      </c>
      <c r="C52"/>
      <c r="D52"/>
      <c r="E52" t="s">
        <v>2349</v>
      </c>
      <c r="F52" t="s">
        <v>51</v>
      </c>
      <c r="G52" t="s">
        <v>914</v>
      </c>
      <c r="H52" t="s">
        <v>1052</v>
      </c>
      <c r="I52" t="s">
        <v>1071</v>
      </c>
      <c r="J52" s="30" t="s">
        <v>14</v>
      </c>
      <c r="K52" s="30" t="s">
        <v>27</v>
      </c>
      <c r="L52" s="30"/>
      <c r="M52" s="30" t="s">
        <v>622</v>
      </c>
      <c r="N52" s="30"/>
      <c r="O52" s="31">
        <f t="shared" si="4"/>
        <v>28</v>
      </c>
      <c r="P52" s="137" t="s">
        <v>1673</v>
      </c>
      <c r="Q52" s="31">
        <f t="shared" si="5"/>
        <v>0</v>
      </c>
      <c r="R52" s="32">
        <f t="shared" si="6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8" ht="15.75" thickBot="1" x14ac:dyDescent="0.3">
      <c r="A53">
        <v>2</v>
      </c>
      <c r="B53">
        <v>23</v>
      </c>
      <c r="C53"/>
      <c r="D53"/>
      <c r="E53" t="s">
        <v>2349</v>
      </c>
      <c r="F53" t="s">
        <v>51</v>
      </c>
      <c r="G53" t="s">
        <v>79</v>
      </c>
      <c r="H53" t="s">
        <v>1052</v>
      </c>
      <c r="I53" t="s">
        <v>80</v>
      </c>
      <c r="J53" s="30" t="s">
        <v>72</v>
      </c>
      <c r="K53" s="30" t="s">
        <v>27</v>
      </c>
      <c r="L53" s="30"/>
      <c r="M53" s="30" t="s">
        <v>623</v>
      </c>
      <c r="N53" s="30"/>
      <c r="O53" s="31">
        <f t="shared" si="4"/>
        <v>27</v>
      </c>
      <c r="P53" s="137"/>
      <c r="Q53" s="31">
        <f t="shared" si="5"/>
        <v>1</v>
      </c>
      <c r="R53" s="32">
        <f t="shared" si="6"/>
        <v>0.9642857142857143</v>
      </c>
      <c r="S53" s="70"/>
      <c r="T53" s="70"/>
      <c r="U53" s="70"/>
      <c r="V53" s="70" t="s">
        <v>2240</v>
      </c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</row>
    <row r="54" spans="1:48" ht="15.75" thickBot="1" x14ac:dyDescent="0.3">
      <c r="A54">
        <v>1</v>
      </c>
      <c r="B54">
        <v>15</v>
      </c>
      <c r="C54"/>
      <c r="D54"/>
      <c r="E54" t="s">
        <v>2382</v>
      </c>
      <c r="F54" t="s">
        <v>51</v>
      </c>
      <c r="G54" t="s">
        <v>81</v>
      </c>
      <c r="H54" t="s">
        <v>1052</v>
      </c>
      <c r="I54" t="s">
        <v>1067</v>
      </c>
      <c r="J54" s="30" t="s">
        <v>14</v>
      </c>
      <c r="K54" s="30" t="s">
        <v>27</v>
      </c>
      <c r="L54" s="30"/>
      <c r="M54" s="30" t="s">
        <v>624</v>
      </c>
      <c r="N54" s="30"/>
      <c r="O54" s="31">
        <f t="shared" si="4"/>
        <v>28</v>
      </c>
      <c r="P54" s="137" t="s">
        <v>1674</v>
      </c>
      <c r="Q54" s="31">
        <f t="shared" si="5"/>
        <v>0</v>
      </c>
      <c r="R54" s="32">
        <f t="shared" si="6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</row>
    <row r="55" spans="1:48" ht="15.75" thickBot="1" x14ac:dyDescent="0.3">
      <c r="A55">
        <v>2</v>
      </c>
      <c r="B55">
        <v>23</v>
      </c>
      <c r="C55"/>
      <c r="D55"/>
      <c r="E55" t="s">
        <v>2349</v>
      </c>
      <c r="F55" t="s">
        <v>51</v>
      </c>
      <c r="G55" t="s">
        <v>82</v>
      </c>
      <c r="H55" t="s">
        <v>1052</v>
      </c>
      <c r="I55" t="s">
        <v>1066</v>
      </c>
      <c r="J55" s="30" t="s">
        <v>18</v>
      </c>
      <c r="K55" s="30" t="s">
        <v>27</v>
      </c>
      <c r="L55" s="30"/>
      <c r="M55" s="30" t="s">
        <v>625</v>
      </c>
      <c r="N55" s="30"/>
      <c r="O55" s="31">
        <f t="shared" si="4"/>
        <v>28</v>
      </c>
      <c r="P55" s="137" t="s">
        <v>1675</v>
      </c>
      <c r="Q55" s="31">
        <f t="shared" si="5"/>
        <v>0</v>
      </c>
      <c r="R55" s="32">
        <f t="shared" si="6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8" ht="15.75" thickBot="1" x14ac:dyDescent="0.3">
      <c r="A56">
        <v>9</v>
      </c>
      <c r="B56">
        <v>1</v>
      </c>
      <c r="C56"/>
      <c r="D56"/>
      <c r="E56" t="s">
        <v>2358</v>
      </c>
      <c r="F56" t="s">
        <v>51</v>
      </c>
      <c r="G56" t="s">
        <v>83</v>
      </c>
      <c r="H56" t="s">
        <v>1052</v>
      </c>
      <c r="I56" t="s">
        <v>84</v>
      </c>
      <c r="J56" s="30" t="s">
        <v>18</v>
      </c>
      <c r="K56" s="30" t="s">
        <v>27</v>
      </c>
      <c r="L56" s="30"/>
      <c r="M56" s="30" t="s">
        <v>626</v>
      </c>
      <c r="N56" s="30"/>
      <c r="O56" s="31">
        <f t="shared" si="4"/>
        <v>28</v>
      </c>
      <c r="P56" s="137" t="s">
        <v>1676</v>
      </c>
      <c r="Q56" s="31">
        <f t="shared" si="5"/>
        <v>0</v>
      </c>
      <c r="R56" s="32">
        <f t="shared" si="6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</row>
    <row r="57" spans="1:48" ht="15.75" thickBot="1" x14ac:dyDescent="0.3">
      <c r="A57">
        <v>3</v>
      </c>
      <c r="B57">
        <v>13</v>
      </c>
      <c r="C57"/>
      <c r="D57"/>
      <c r="E57" t="s">
        <v>2350</v>
      </c>
      <c r="F57" t="s">
        <v>51</v>
      </c>
      <c r="G57" t="s">
        <v>85</v>
      </c>
      <c r="H57" t="s">
        <v>1052</v>
      </c>
      <c r="I57" t="s">
        <v>1065</v>
      </c>
      <c r="J57" s="30" t="s">
        <v>18</v>
      </c>
      <c r="K57" s="30" t="s">
        <v>27</v>
      </c>
      <c r="L57" s="30"/>
      <c r="M57" s="30" t="s">
        <v>627</v>
      </c>
      <c r="N57" s="30"/>
      <c r="O57" s="31">
        <f t="shared" si="4"/>
        <v>28</v>
      </c>
      <c r="P57" s="137" t="s">
        <v>1677</v>
      </c>
      <c r="Q57" s="31">
        <f t="shared" si="5"/>
        <v>0</v>
      </c>
      <c r="R57" s="32">
        <f t="shared" si="6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</row>
    <row r="58" spans="1:48" ht="15.75" thickBot="1" x14ac:dyDescent="0.3">
      <c r="A58">
        <v>3</v>
      </c>
      <c r="B58">
        <v>13</v>
      </c>
      <c r="C58"/>
      <c r="D58"/>
      <c r="E58" t="s">
        <v>2350</v>
      </c>
      <c r="F58" t="s">
        <v>51</v>
      </c>
      <c r="G58" t="s">
        <v>86</v>
      </c>
      <c r="H58" t="s">
        <v>1052</v>
      </c>
      <c r="I58" t="s">
        <v>87</v>
      </c>
      <c r="J58" s="30" t="s">
        <v>18</v>
      </c>
      <c r="K58" s="30" t="s">
        <v>27</v>
      </c>
      <c r="L58" s="30"/>
      <c r="M58" s="30" t="s">
        <v>628</v>
      </c>
      <c r="N58" s="30"/>
      <c r="O58" s="31">
        <f t="shared" si="4"/>
        <v>28</v>
      </c>
      <c r="P58" s="137" t="s">
        <v>1678</v>
      </c>
      <c r="Q58" s="31">
        <f t="shared" si="5"/>
        <v>0</v>
      </c>
      <c r="R58" s="32">
        <f t="shared" si="6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</row>
    <row r="59" spans="1:48" ht="15.75" thickBot="1" x14ac:dyDescent="0.3">
      <c r="A59">
        <v>3</v>
      </c>
      <c r="B59">
        <v>13</v>
      </c>
      <c r="C59"/>
      <c r="D59"/>
      <c r="E59" t="s">
        <v>2350</v>
      </c>
      <c r="F59" t="s">
        <v>51</v>
      </c>
      <c r="G59" t="s">
        <v>915</v>
      </c>
      <c r="H59" t="s">
        <v>1052</v>
      </c>
      <c r="I59" t="s">
        <v>88</v>
      </c>
      <c r="J59" s="30" t="s">
        <v>18</v>
      </c>
      <c r="K59" s="30" t="s">
        <v>27</v>
      </c>
      <c r="L59" s="30"/>
      <c r="M59" s="30" t="s">
        <v>629</v>
      </c>
      <c r="N59" s="30"/>
      <c r="O59" s="31">
        <f t="shared" si="4"/>
        <v>28</v>
      </c>
      <c r="P59" s="137" t="s">
        <v>1679</v>
      </c>
      <c r="Q59" s="31">
        <f t="shared" si="5"/>
        <v>0</v>
      </c>
      <c r="R59" s="32">
        <f t="shared" si="6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8" s="73" customFormat="1" ht="15.75" thickBot="1" x14ac:dyDescent="0.3">
      <c r="A60"/>
      <c r="B60"/>
      <c r="C60"/>
      <c r="D60"/>
      <c r="E60"/>
      <c r="F60" s="73" t="s">
        <v>51</v>
      </c>
      <c r="G60" s="73" t="s">
        <v>916</v>
      </c>
      <c r="H60" s="73" t="s">
        <v>1052</v>
      </c>
      <c r="I60" s="73" t="s">
        <v>89</v>
      </c>
      <c r="J60" s="85" t="s">
        <v>14</v>
      </c>
      <c r="K60" s="85" t="s">
        <v>1291</v>
      </c>
      <c r="L60" s="85"/>
      <c r="M60" s="85" t="s">
        <v>630</v>
      </c>
      <c r="N60" s="85"/>
      <c r="O60" s="132">
        <f t="shared" si="4"/>
        <v>28</v>
      </c>
      <c r="P60" s="137" t="s">
        <v>1680</v>
      </c>
      <c r="Q60" s="132">
        <f t="shared" si="5"/>
        <v>0</v>
      </c>
      <c r="R60" s="133">
        <f t="shared" si="6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</row>
    <row r="61" spans="1:48" ht="15.75" thickBot="1" x14ac:dyDescent="0.3">
      <c r="A61">
        <v>3</v>
      </c>
      <c r="B61">
        <v>13</v>
      </c>
      <c r="E61" t="s">
        <v>2350</v>
      </c>
      <c r="F61" t="s">
        <v>51</v>
      </c>
      <c r="G61" t="s">
        <v>90</v>
      </c>
      <c r="H61" t="s">
        <v>1052</v>
      </c>
      <c r="I61" t="s">
        <v>1069</v>
      </c>
      <c r="J61" s="30" t="s">
        <v>18</v>
      </c>
      <c r="K61" s="30" t="s">
        <v>27</v>
      </c>
      <c r="L61" s="30"/>
      <c r="M61" s="30" t="s">
        <v>631</v>
      </c>
      <c r="N61" s="30"/>
      <c r="O61" s="31">
        <f t="shared" si="4"/>
        <v>28</v>
      </c>
      <c r="P61" s="137" t="s">
        <v>1681</v>
      </c>
      <c r="Q61" s="31">
        <f t="shared" si="5"/>
        <v>0</v>
      </c>
      <c r="R61" s="32">
        <f t="shared" si="6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8" s="73" customFormat="1" ht="15.75" thickBot="1" x14ac:dyDescent="0.3">
      <c r="A62" s="8"/>
      <c r="B62" s="8"/>
      <c r="C62" s="8"/>
      <c r="D62" s="8"/>
      <c r="E62" s="8"/>
      <c r="F62" s="73" t="s">
        <v>51</v>
      </c>
      <c r="G62" s="73" t="s">
        <v>91</v>
      </c>
      <c r="H62" s="73" t="s">
        <v>1052</v>
      </c>
      <c r="I62" s="73" t="s">
        <v>92</v>
      </c>
      <c r="J62" s="85" t="s">
        <v>18</v>
      </c>
      <c r="K62" s="85" t="s">
        <v>1291</v>
      </c>
      <c r="L62" s="85"/>
      <c r="M62" s="85" t="s">
        <v>632</v>
      </c>
      <c r="N62" s="85"/>
      <c r="O62" s="132">
        <f t="shared" si="4"/>
        <v>28</v>
      </c>
      <c r="P62" s="137" t="s">
        <v>1682</v>
      </c>
      <c r="Q62" s="132">
        <f t="shared" si="5"/>
        <v>0</v>
      </c>
      <c r="R62" s="133">
        <f t="shared" si="6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</row>
    <row r="63" spans="1:48" ht="15.75" thickBot="1" x14ac:dyDescent="0.3">
      <c r="A63">
        <v>3</v>
      </c>
      <c r="B63">
        <v>13</v>
      </c>
      <c r="C63"/>
      <c r="D63"/>
      <c r="E63" t="s">
        <v>2349</v>
      </c>
      <c r="F63" t="s">
        <v>51</v>
      </c>
      <c r="G63" t="s">
        <v>93</v>
      </c>
      <c r="H63" t="s">
        <v>1052</v>
      </c>
      <c r="I63" t="s">
        <v>94</v>
      </c>
      <c r="J63" s="30" t="s">
        <v>72</v>
      </c>
      <c r="K63" s="30" t="s">
        <v>27</v>
      </c>
      <c r="L63" s="30"/>
      <c r="M63" s="30" t="s">
        <v>633</v>
      </c>
      <c r="N63" s="30"/>
      <c r="O63" s="31">
        <f t="shared" si="4"/>
        <v>28</v>
      </c>
      <c r="P63" s="137" t="s">
        <v>1683</v>
      </c>
      <c r="Q63" s="31">
        <f t="shared" si="5"/>
        <v>0</v>
      </c>
      <c r="R63" s="32">
        <f t="shared" si="6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8" ht="15.75" thickBot="1" x14ac:dyDescent="0.3">
      <c r="A64">
        <v>2</v>
      </c>
      <c r="B64">
        <v>23</v>
      </c>
      <c r="C64"/>
      <c r="D64"/>
      <c r="E64" t="s">
        <v>2349</v>
      </c>
      <c r="F64" t="s">
        <v>51</v>
      </c>
      <c r="G64" t="s">
        <v>95</v>
      </c>
      <c r="H64" t="s">
        <v>1052</v>
      </c>
      <c r="I64" t="s">
        <v>96</v>
      </c>
      <c r="J64" s="30" t="s">
        <v>18</v>
      </c>
      <c r="K64" s="30" t="s">
        <v>1046</v>
      </c>
      <c r="L64" s="30" t="s">
        <v>1242</v>
      </c>
      <c r="M64" s="30" t="s">
        <v>634</v>
      </c>
      <c r="N64" s="30"/>
      <c r="O64" s="31">
        <f t="shared" si="4"/>
        <v>28</v>
      </c>
      <c r="P64" s="137" t="s">
        <v>1684</v>
      </c>
      <c r="Q64" s="31">
        <f t="shared" si="5"/>
        <v>0</v>
      </c>
      <c r="R64" s="32">
        <f t="shared" si="6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8" ht="15.75" thickBot="1" x14ac:dyDescent="0.3">
      <c r="A65">
        <v>3</v>
      </c>
      <c r="B65">
        <v>13</v>
      </c>
      <c r="C65"/>
      <c r="D65"/>
      <c r="E65" t="s">
        <v>2350</v>
      </c>
      <c r="F65" t="s">
        <v>51</v>
      </c>
      <c r="G65" t="s">
        <v>97</v>
      </c>
      <c r="H65" t="s">
        <v>1052</v>
      </c>
      <c r="I65" t="s">
        <v>98</v>
      </c>
      <c r="J65" s="30" t="s">
        <v>72</v>
      </c>
      <c r="K65" s="30" t="s">
        <v>27</v>
      </c>
      <c r="L65" s="30"/>
      <c r="M65" s="30" t="s">
        <v>635</v>
      </c>
      <c r="N65" s="30"/>
      <c r="O65" s="31">
        <f t="shared" si="4"/>
        <v>28</v>
      </c>
      <c r="P65" s="137" t="s">
        <v>1685</v>
      </c>
      <c r="Q65" s="31">
        <f t="shared" si="5"/>
        <v>0</v>
      </c>
      <c r="R65" s="32">
        <f t="shared" si="6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</row>
    <row r="66" spans="1:48" ht="15.75" thickBot="1" x14ac:dyDescent="0.3">
      <c r="A66">
        <v>9</v>
      </c>
      <c r="B66">
        <v>1</v>
      </c>
      <c r="C66"/>
      <c r="D66"/>
      <c r="E66" t="s">
        <v>2358</v>
      </c>
      <c r="F66" t="s">
        <v>51</v>
      </c>
      <c r="G66" t="s">
        <v>99</v>
      </c>
      <c r="H66" t="s">
        <v>1052</v>
      </c>
      <c r="I66" t="s">
        <v>84</v>
      </c>
      <c r="J66" s="30" t="s">
        <v>72</v>
      </c>
      <c r="K66" s="30" t="s">
        <v>27</v>
      </c>
      <c r="L66" s="30"/>
      <c r="M66" s="30" t="s">
        <v>636</v>
      </c>
      <c r="N66" s="30"/>
      <c r="O66" s="31">
        <f t="shared" si="4"/>
        <v>28</v>
      </c>
      <c r="P66" s="137" t="s">
        <v>1686</v>
      </c>
      <c r="Q66" s="31">
        <f t="shared" si="5"/>
        <v>0</v>
      </c>
      <c r="R66" s="32">
        <f t="shared" si="6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</row>
    <row r="67" spans="1:48" s="73" customFormat="1" ht="15.75" thickBot="1" x14ac:dyDescent="0.3">
      <c r="A67"/>
      <c r="B67"/>
      <c r="C67"/>
      <c r="D67"/>
      <c r="E67"/>
      <c r="F67" s="73" t="s">
        <v>100</v>
      </c>
      <c r="G67" s="73" t="s">
        <v>101</v>
      </c>
      <c r="H67" s="73" t="s">
        <v>1052</v>
      </c>
      <c r="I67" s="73" t="s">
        <v>102</v>
      </c>
      <c r="J67" s="85" t="s">
        <v>18</v>
      </c>
      <c r="K67" s="85" t="s">
        <v>1291</v>
      </c>
      <c r="L67" s="85"/>
      <c r="M67" s="85" t="s">
        <v>637</v>
      </c>
      <c r="N67" s="85"/>
      <c r="O67" s="132">
        <f t="shared" si="4"/>
        <v>28</v>
      </c>
      <c r="P67" s="137" t="s">
        <v>1687</v>
      </c>
      <c r="Q67" s="132">
        <f t="shared" si="5"/>
        <v>0</v>
      </c>
      <c r="R67" s="133">
        <f t="shared" si="6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8" s="89" customFormat="1" ht="15.75" thickBot="1" x14ac:dyDescent="0.3">
      <c r="A68"/>
      <c r="B68"/>
      <c r="C68"/>
      <c r="D68"/>
      <c r="E68"/>
      <c r="F68" s="89" t="s">
        <v>51</v>
      </c>
      <c r="G68" s="89" t="s">
        <v>103</v>
      </c>
      <c r="H68" s="89" t="s">
        <v>1052</v>
      </c>
      <c r="I68" s="89" t="s">
        <v>104</v>
      </c>
      <c r="J68" s="90" t="s">
        <v>72</v>
      </c>
      <c r="K68" s="85" t="s">
        <v>1291</v>
      </c>
      <c r="L68" s="90"/>
      <c r="M68" s="90" t="s">
        <v>2275</v>
      </c>
      <c r="N68" s="90"/>
      <c r="O68" s="31">
        <f t="shared" si="4"/>
        <v>28</v>
      </c>
      <c r="P68" s="137" t="s">
        <v>2324</v>
      </c>
      <c r="Q68" s="31">
        <f t="shared" si="5"/>
        <v>0</v>
      </c>
      <c r="R68" s="32">
        <f t="shared" si="6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91"/>
      <c r="AL68" s="91"/>
      <c r="AM68" s="70"/>
      <c r="AN68" s="91"/>
      <c r="AO68" s="91"/>
      <c r="AP68" s="91"/>
      <c r="AQ68" s="91"/>
      <c r="AR68" s="91"/>
      <c r="AS68" s="91"/>
      <c r="AT68" s="91"/>
      <c r="AU68" s="91"/>
      <c r="AV68" s="91"/>
    </row>
    <row r="69" spans="1:48" s="73" customFormat="1" ht="15.75" thickBot="1" x14ac:dyDescent="0.3">
      <c r="A69"/>
      <c r="B69"/>
      <c r="C69"/>
      <c r="D69"/>
      <c r="E69"/>
      <c r="F69" s="73" t="s">
        <v>51</v>
      </c>
      <c r="G69" s="73" t="s">
        <v>105</v>
      </c>
      <c r="H69" s="73" t="s">
        <v>1052</v>
      </c>
      <c r="I69" s="73" t="s">
        <v>106</v>
      </c>
      <c r="J69" s="85" t="s">
        <v>18</v>
      </c>
      <c r="K69" s="85" t="s">
        <v>1291</v>
      </c>
      <c r="L69" s="85"/>
      <c r="M69" s="85" t="s">
        <v>1365</v>
      </c>
      <c r="N69" s="85"/>
      <c r="O69" s="132">
        <f t="shared" si="4"/>
        <v>27</v>
      </c>
      <c r="P69" s="137" t="s">
        <v>1688</v>
      </c>
      <c r="Q69" s="132">
        <f t="shared" si="5"/>
        <v>1</v>
      </c>
      <c r="R69" s="133">
        <f t="shared" si="6"/>
        <v>0.9642857142857143</v>
      </c>
      <c r="S69" s="70"/>
      <c r="T69" s="70"/>
      <c r="U69" s="70"/>
      <c r="V69" s="70" t="s">
        <v>2240</v>
      </c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</row>
    <row r="70" spans="1:48" ht="15.75" thickBot="1" x14ac:dyDescent="0.3">
      <c r="A70">
        <v>2</v>
      </c>
      <c r="B70">
        <v>23</v>
      </c>
      <c r="C70"/>
      <c r="D70"/>
      <c r="E70" t="s">
        <v>2350</v>
      </c>
      <c r="F70" t="s">
        <v>51</v>
      </c>
      <c r="G70" t="s">
        <v>107</v>
      </c>
      <c r="H70" t="s">
        <v>1052</v>
      </c>
      <c r="I70" t="s">
        <v>108</v>
      </c>
      <c r="J70" s="30" t="s">
        <v>18</v>
      </c>
      <c r="K70" s="30" t="s">
        <v>27</v>
      </c>
      <c r="L70" s="30"/>
      <c r="M70" s="30" t="s">
        <v>638</v>
      </c>
      <c r="N70" s="30"/>
      <c r="O70" s="31">
        <f t="shared" si="4"/>
        <v>28</v>
      </c>
      <c r="P70" s="137" t="s">
        <v>1689</v>
      </c>
      <c r="Q70" s="31">
        <f t="shared" si="5"/>
        <v>0</v>
      </c>
      <c r="R70" s="32">
        <f t="shared" si="6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</row>
    <row r="71" spans="1:48" ht="15.75" thickBot="1" x14ac:dyDescent="0.3">
      <c r="A71"/>
      <c r="B71"/>
      <c r="C71"/>
      <c r="D71"/>
      <c r="E71"/>
      <c r="F71" t="s">
        <v>51</v>
      </c>
      <c r="G71" t="s">
        <v>109</v>
      </c>
      <c r="H71" t="s">
        <v>1052</v>
      </c>
      <c r="I71" t="s">
        <v>1070</v>
      </c>
      <c r="J71" s="30" t="s">
        <v>18</v>
      </c>
      <c r="K71" s="30" t="s">
        <v>1291</v>
      </c>
      <c r="L71" s="30"/>
      <c r="M71" s="30" t="s">
        <v>2333</v>
      </c>
      <c r="N71" s="30"/>
      <c r="O71" s="31">
        <f t="shared" si="4"/>
        <v>28</v>
      </c>
      <c r="P71" s="137" t="s">
        <v>1690</v>
      </c>
      <c r="Q71" s="31">
        <f t="shared" si="5"/>
        <v>0</v>
      </c>
      <c r="R71" s="32">
        <f t="shared" si="6"/>
        <v>1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8" ht="15.75" thickBot="1" x14ac:dyDescent="0.3">
      <c r="A72"/>
      <c r="B72"/>
      <c r="C72"/>
      <c r="D72"/>
      <c r="E72"/>
      <c r="F72" t="s">
        <v>51</v>
      </c>
      <c r="G72" t="s">
        <v>110</v>
      </c>
      <c r="H72" t="s">
        <v>1052</v>
      </c>
      <c r="I72" t="s">
        <v>111</v>
      </c>
      <c r="J72" s="30" t="s">
        <v>18</v>
      </c>
      <c r="K72" s="30" t="s">
        <v>27</v>
      </c>
      <c r="L72" s="30"/>
      <c r="M72" s="30" t="s">
        <v>639</v>
      </c>
      <c r="N72" s="30"/>
      <c r="O72" s="31">
        <f t="shared" si="4"/>
        <v>28</v>
      </c>
      <c r="P72" s="137" t="s">
        <v>1691</v>
      </c>
      <c r="Q72" s="31">
        <f t="shared" si="5"/>
        <v>0</v>
      </c>
      <c r="R72" s="32">
        <f t="shared" si="6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8" ht="15.75" thickBot="1" x14ac:dyDescent="0.3">
      <c r="A73">
        <v>2</v>
      </c>
      <c r="B73">
        <v>23</v>
      </c>
      <c r="C73"/>
      <c r="D73"/>
      <c r="E73" t="s">
        <v>2349</v>
      </c>
      <c r="F73" t="s">
        <v>51</v>
      </c>
      <c r="G73" t="s">
        <v>112</v>
      </c>
      <c r="H73" t="s">
        <v>1052</v>
      </c>
      <c r="I73" t="s">
        <v>1072</v>
      </c>
      <c r="J73" s="30" t="s">
        <v>18</v>
      </c>
      <c r="K73" s="30" t="s">
        <v>27</v>
      </c>
      <c r="L73" s="30"/>
      <c r="M73" s="30" t="s">
        <v>1139</v>
      </c>
      <c r="N73" s="30"/>
      <c r="O73" s="31">
        <f t="shared" si="4"/>
        <v>28</v>
      </c>
      <c r="P73" s="137" t="s">
        <v>1692</v>
      </c>
      <c r="Q73" s="31">
        <f t="shared" si="5"/>
        <v>0</v>
      </c>
      <c r="R73" s="32">
        <f t="shared" si="6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8" ht="15.75" thickBot="1" x14ac:dyDescent="0.3">
      <c r="A74">
        <v>2</v>
      </c>
      <c r="B74">
        <v>23</v>
      </c>
      <c r="C74"/>
      <c r="D74"/>
      <c r="E74" t="s">
        <v>2349</v>
      </c>
      <c r="F74" t="s">
        <v>51</v>
      </c>
      <c r="G74" t="s">
        <v>113</v>
      </c>
      <c r="H74" t="s">
        <v>1052</v>
      </c>
      <c r="I74" t="s">
        <v>1073</v>
      </c>
      <c r="J74" s="30" t="s">
        <v>18</v>
      </c>
      <c r="K74" s="30" t="s">
        <v>1291</v>
      </c>
      <c r="L74" s="30"/>
      <c r="M74" s="30" t="s">
        <v>1463</v>
      </c>
      <c r="N74" s="30"/>
      <c r="O74" s="31">
        <f t="shared" si="4"/>
        <v>28</v>
      </c>
      <c r="P74" s="137" t="s">
        <v>1693</v>
      </c>
      <c r="Q74" s="31">
        <f t="shared" si="5"/>
        <v>0</v>
      </c>
      <c r="R74" s="32">
        <f t="shared" si="6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8" ht="15.75" thickBot="1" x14ac:dyDescent="0.3">
      <c r="A75">
        <v>2</v>
      </c>
      <c r="B75">
        <v>23</v>
      </c>
      <c r="C75"/>
      <c r="D75"/>
      <c r="E75" t="s">
        <v>2349</v>
      </c>
      <c r="F75" t="s">
        <v>51</v>
      </c>
      <c r="G75" t="s">
        <v>114</v>
      </c>
      <c r="H75" t="s">
        <v>1052</v>
      </c>
      <c r="I75" t="s">
        <v>115</v>
      </c>
      <c r="J75" s="30" t="s">
        <v>18</v>
      </c>
      <c r="K75" s="30" t="s">
        <v>27</v>
      </c>
      <c r="L75" s="30"/>
      <c r="M75" s="30" t="s">
        <v>640</v>
      </c>
      <c r="N75" s="30"/>
      <c r="O75" s="31">
        <f t="shared" si="4"/>
        <v>28</v>
      </c>
      <c r="P75" s="137" t="s">
        <v>1694</v>
      </c>
      <c r="Q75" s="31">
        <f t="shared" si="5"/>
        <v>0</v>
      </c>
      <c r="R75" s="32">
        <f t="shared" si="6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8" ht="15.75" thickBot="1" x14ac:dyDescent="0.3">
      <c r="A76">
        <v>2</v>
      </c>
      <c r="B76">
        <v>23</v>
      </c>
      <c r="C76"/>
      <c r="D76"/>
      <c r="E76" t="s">
        <v>2349</v>
      </c>
      <c r="F76" t="s">
        <v>51</v>
      </c>
      <c r="G76" t="s">
        <v>116</v>
      </c>
      <c r="H76" t="s">
        <v>1052</v>
      </c>
      <c r="I76" t="s">
        <v>117</v>
      </c>
      <c r="J76" s="30" t="s">
        <v>18</v>
      </c>
      <c r="K76" s="30" t="s">
        <v>27</v>
      </c>
      <c r="L76" s="30"/>
      <c r="M76" s="30" t="s">
        <v>641</v>
      </c>
      <c r="N76" s="30"/>
      <c r="O76" s="31">
        <f t="shared" si="4"/>
        <v>28</v>
      </c>
      <c r="P76" s="137" t="s">
        <v>1695</v>
      </c>
      <c r="Q76" s="31">
        <f t="shared" si="5"/>
        <v>0</v>
      </c>
      <c r="R76" s="32">
        <f t="shared" si="6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8" ht="15.75" thickBot="1" x14ac:dyDescent="0.3">
      <c r="A77">
        <v>3</v>
      </c>
      <c r="B77">
        <v>13</v>
      </c>
      <c r="C77"/>
      <c r="D77"/>
      <c r="E77" t="s">
        <v>2350</v>
      </c>
      <c r="F77" t="s">
        <v>51</v>
      </c>
      <c r="G77" t="s">
        <v>118</v>
      </c>
      <c r="H77" t="s">
        <v>1052</v>
      </c>
      <c r="I77" t="s">
        <v>119</v>
      </c>
      <c r="J77" s="30" t="s">
        <v>18</v>
      </c>
      <c r="K77" s="30" t="s">
        <v>27</v>
      </c>
      <c r="L77" s="30"/>
      <c r="M77" s="30" t="s">
        <v>642</v>
      </c>
      <c r="N77" s="30"/>
      <c r="O77" s="31">
        <f t="shared" si="4"/>
        <v>28</v>
      </c>
      <c r="P77" s="137" t="s">
        <v>1696</v>
      </c>
      <c r="Q77" s="31">
        <f t="shared" si="5"/>
        <v>0</v>
      </c>
      <c r="R77" s="32">
        <f t="shared" si="6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</row>
    <row r="78" spans="1:48" ht="15.75" thickBot="1" x14ac:dyDescent="0.3">
      <c r="A78">
        <v>3</v>
      </c>
      <c r="B78">
        <v>13</v>
      </c>
      <c r="C78"/>
      <c r="D78"/>
      <c r="E78" t="s">
        <v>2350</v>
      </c>
      <c r="F78" t="s">
        <v>51</v>
      </c>
      <c r="G78" t="s">
        <v>120</v>
      </c>
      <c r="H78" t="s">
        <v>1052</v>
      </c>
      <c r="I78" t="s">
        <v>121</v>
      </c>
      <c r="J78" s="30" t="s">
        <v>18</v>
      </c>
      <c r="K78" s="30" t="s">
        <v>27</v>
      </c>
      <c r="L78" s="30"/>
      <c r="M78" s="30" t="s">
        <v>643</v>
      </c>
      <c r="N78" s="30"/>
      <c r="O78" s="31">
        <f t="shared" si="4"/>
        <v>28</v>
      </c>
      <c r="P78" s="137" t="s">
        <v>1697</v>
      </c>
      <c r="Q78" s="31">
        <f t="shared" si="5"/>
        <v>0</v>
      </c>
      <c r="R78" s="32">
        <f t="shared" si="6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8" ht="15.75" thickBot="1" x14ac:dyDescent="0.3">
      <c r="A79">
        <v>3</v>
      </c>
      <c r="B79">
        <v>13</v>
      </c>
      <c r="C79"/>
      <c r="D79"/>
      <c r="E79" t="s">
        <v>2350</v>
      </c>
      <c r="F79" t="s">
        <v>51</v>
      </c>
      <c r="G79" t="s">
        <v>122</v>
      </c>
      <c r="H79" t="s">
        <v>1052</v>
      </c>
      <c r="I79" t="s">
        <v>1074</v>
      </c>
      <c r="J79" s="30" t="s">
        <v>18</v>
      </c>
      <c r="K79" s="30" t="s">
        <v>27</v>
      </c>
      <c r="L79" s="30"/>
      <c r="M79" s="30" t="s">
        <v>644</v>
      </c>
      <c r="N79" s="30"/>
      <c r="O79" s="31">
        <f t="shared" si="4"/>
        <v>28</v>
      </c>
      <c r="P79" s="137" t="s">
        <v>1698</v>
      </c>
      <c r="Q79" s="31">
        <f t="shared" si="5"/>
        <v>0</v>
      </c>
      <c r="R79" s="32">
        <f t="shared" si="6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8" ht="15.75" thickBot="1" x14ac:dyDescent="0.3">
      <c r="A80">
        <v>3</v>
      </c>
      <c r="B80">
        <v>13</v>
      </c>
      <c r="C80"/>
      <c r="D80"/>
      <c r="E80" t="s">
        <v>2350</v>
      </c>
      <c r="F80" t="s">
        <v>51</v>
      </c>
      <c r="G80" t="s">
        <v>123</v>
      </c>
      <c r="H80" t="s">
        <v>1052</v>
      </c>
      <c r="I80" t="s">
        <v>124</v>
      </c>
      <c r="J80" s="30" t="s">
        <v>18</v>
      </c>
      <c r="K80" s="30" t="s">
        <v>27</v>
      </c>
      <c r="L80" s="30"/>
      <c r="M80" s="30" t="s">
        <v>645</v>
      </c>
      <c r="N80" s="30"/>
      <c r="O80" s="31">
        <f t="shared" si="4"/>
        <v>28</v>
      </c>
      <c r="P80" s="137" t="s">
        <v>1699</v>
      </c>
      <c r="Q80" s="31">
        <f t="shared" si="5"/>
        <v>0</v>
      </c>
      <c r="R80" s="32">
        <f t="shared" si="6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8" ht="15.75" thickBot="1" x14ac:dyDescent="0.3">
      <c r="A81">
        <v>2</v>
      </c>
      <c r="B81">
        <v>23</v>
      </c>
      <c r="C81"/>
      <c r="D81"/>
      <c r="E81" t="s">
        <v>2349</v>
      </c>
      <c r="F81" t="s">
        <v>51</v>
      </c>
      <c r="G81" t="s">
        <v>125</v>
      </c>
      <c r="H81" t="s">
        <v>1052</v>
      </c>
      <c r="I81" t="s">
        <v>1055</v>
      </c>
      <c r="J81" s="30" t="s">
        <v>18</v>
      </c>
      <c r="K81" s="30" t="s">
        <v>27</v>
      </c>
      <c r="L81" s="30"/>
      <c r="M81" s="30" t="s">
        <v>646</v>
      </c>
      <c r="N81" s="30"/>
      <c r="O81" s="31">
        <f t="shared" si="4"/>
        <v>28</v>
      </c>
      <c r="P81" s="137" t="s">
        <v>1700</v>
      </c>
      <c r="Q81" s="31">
        <f t="shared" si="5"/>
        <v>0</v>
      </c>
      <c r="R81" s="32">
        <f t="shared" si="6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8" ht="15.75" thickBot="1" x14ac:dyDescent="0.3">
      <c r="A82"/>
      <c r="B82"/>
      <c r="C82"/>
      <c r="D82"/>
      <c r="E82"/>
      <c r="F82" t="s">
        <v>51</v>
      </c>
      <c r="G82" t="s">
        <v>126</v>
      </c>
      <c r="H82" t="s">
        <v>1052</v>
      </c>
      <c r="I82" t="s">
        <v>1056</v>
      </c>
      <c r="J82" s="30" t="s">
        <v>18</v>
      </c>
      <c r="K82" s="30" t="s">
        <v>27</v>
      </c>
      <c r="L82" s="30"/>
      <c r="M82" s="30" t="s">
        <v>647</v>
      </c>
      <c r="N82" s="30"/>
      <c r="O82" s="31">
        <f t="shared" si="4"/>
        <v>28</v>
      </c>
      <c r="P82" s="137" t="s">
        <v>1701</v>
      </c>
      <c r="Q82" s="31">
        <f t="shared" si="5"/>
        <v>0</v>
      </c>
      <c r="R82" s="32">
        <f t="shared" si="6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8" ht="15.75" thickBot="1" x14ac:dyDescent="0.3">
      <c r="A83"/>
      <c r="B83"/>
      <c r="C83"/>
      <c r="D83"/>
      <c r="E83"/>
      <c r="F83" t="s">
        <v>51</v>
      </c>
      <c r="G83" t="s">
        <v>127</v>
      </c>
      <c r="H83" t="s">
        <v>1052</v>
      </c>
      <c r="I83" t="s">
        <v>1057</v>
      </c>
      <c r="J83" s="30" t="s">
        <v>18</v>
      </c>
      <c r="K83" s="30" t="s">
        <v>27</v>
      </c>
      <c r="L83" s="30"/>
      <c r="M83" s="30" t="s">
        <v>648</v>
      </c>
      <c r="N83" s="30"/>
      <c r="O83" s="31">
        <f t="shared" si="4"/>
        <v>28</v>
      </c>
      <c r="P83" s="137" t="s">
        <v>1702</v>
      </c>
      <c r="Q83" s="31">
        <f t="shared" si="5"/>
        <v>0</v>
      </c>
      <c r="R83" s="32">
        <f t="shared" si="6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8" ht="15.75" thickBot="1" x14ac:dyDescent="0.3">
      <c r="A84"/>
      <c r="B84"/>
      <c r="C84"/>
      <c r="D84"/>
      <c r="E84"/>
      <c r="F84" t="s">
        <v>51</v>
      </c>
      <c r="G84" t="s">
        <v>917</v>
      </c>
      <c r="H84" t="s">
        <v>1052</v>
      </c>
      <c r="I84" t="s">
        <v>128</v>
      </c>
      <c r="J84" s="30" t="s">
        <v>18</v>
      </c>
      <c r="K84" s="30" t="s">
        <v>27</v>
      </c>
      <c r="L84" s="30"/>
      <c r="M84" s="30" t="s">
        <v>649</v>
      </c>
      <c r="N84" s="30"/>
      <c r="O84" s="31">
        <f t="shared" si="4"/>
        <v>28</v>
      </c>
      <c r="P84" s="137" t="s">
        <v>1703</v>
      </c>
      <c r="Q84" s="31">
        <f t="shared" si="5"/>
        <v>0</v>
      </c>
      <c r="R84" s="32">
        <f t="shared" si="6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144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8" ht="15.75" thickBot="1" x14ac:dyDescent="0.3">
      <c r="A85"/>
      <c r="B85"/>
      <c r="C85"/>
      <c r="D85"/>
      <c r="E85"/>
      <c r="F85" t="s">
        <v>51</v>
      </c>
      <c r="G85" t="s">
        <v>129</v>
      </c>
      <c r="H85" t="s">
        <v>1052</v>
      </c>
      <c r="I85" t="s">
        <v>130</v>
      </c>
      <c r="J85" s="30" t="s">
        <v>18</v>
      </c>
      <c r="K85" s="30" t="s">
        <v>27</v>
      </c>
      <c r="L85" s="30"/>
      <c r="M85" s="30" t="s">
        <v>650</v>
      </c>
      <c r="N85" s="30"/>
      <c r="O85" s="31">
        <f t="shared" si="4"/>
        <v>28</v>
      </c>
      <c r="P85" s="137" t="s">
        <v>1704</v>
      </c>
      <c r="Q85" s="31">
        <f t="shared" si="5"/>
        <v>0</v>
      </c>
      <c r="R85" s="32">
        <f t="shared" si="6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8" ht="15.75" thickBot="1" x14ac:dyDescent="0.3">
      <c r="A86">
        <v>2</v>
      </c>
      <c r="B86">
        <v>20</v>
      </c>
      <c r="C86"/>
      <c r="D86"/>
      <c r="E86" t="s">
        <v>2348</v>
      </c>
      <c r="F86" t="s">
        <v>51</v>
      </c>
      <c r="G86" t="s">
        <v>131</v>
      </c>
      <c r="H86" t="s">
        <v>1052</v>
      </c>
      <c r="I86" t="s">
        <v>132</v>
      </c>
      <c r="J86" s="30" t="s">
        <v>18</v>
      </c>
      <c r="K86" s="30" t="s">
        <v>27</v>
      </c>
      <c r="L86" s="30"/>
      <c r="M86" s="30" t="s">
        <v>651</v>
      </c>
      <c r="N86" s="30"/>
      <c r="O86" s="31">
        <f t="shared" si="4"/>
        <v>28</v>
      </c>
      <c r="P86" s="137" t="s">
        <v>1705</v>
      </c>
      <c r="Q86" s="31">
        <f t="shared" si="5"/>
        <v>0</v>
      </c>
      <c r="R86" s="32">
        <f t="shared" si="6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8" ht="15.75" thickBot="1" x14ac:dyDescent="0.3">
      <c r="A87">
        <v>2</v>
      </c>
      <c r="B87">
        <v>20</v>
      </c>
      <c r="C87"/>
      <c r="D87"/>
      <c r="E87" t="s">
        <v>2348</v>
      </c>
      <c r="F87" t="s">
        <v>51</v>
      </c>
      <c r="G87" t="s">
        <v>133</v>
      </c>
      <c r="H87" t="s">
        <v>1052</v>
      </c>
      <c r="I87" t="s">
        <v>134</v>
      </c>
      <c r="J87" s="30" t="s">
        <v>18</v>
      </c>
      <c r="K87" s="30" t="s">
        <v>27</v>
      </c>
      <c r="L87" s="30"/>
      <c r="M87" s="30" t="s">
        <v>652</v>
      </c>
      <c r="N87" s="30"/>
      <c r="O87" s="31">
        <f t="shared" si="4"/>
        <v>28</v>
      </c>
      <c r="P87" s="137" t="s">
        <v>1706</v>
      </c>
      <c r="Q87" s="31">
        <f t="shared" si="5"/>
        <v>0</v>
      </c>
      <c r="R87" s="32">
        <f t="shared" si="6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8" ht="15.75" thickBot="1" x14ac:dyDescent="0.3">
      <c r="A88"/>
      <c r="B88"/>
      <c r="C88"/>
      <c r="D88"/>
      <c r="E88"/>
      <c r="F88" t="s">
        <v>51</v>
      </c>
      <c r="G88" t="s">
        <v>135</v>
      </c>
      <c r="H88" t="s">
        <v>1052</v>
      </c>
      <c r="I88" t="s">
        <v>136</v>
      </c>
      <c r="J88" s="30" t="s">
        <v>18</v>
      </c>
      <c r="K88" s="30" t="s">
        <v>27</v>
      </c>
      <c r="L88" s="30"/>
      <c r="M88" s="30" t="s">
        <v>653</v>
      </c>
      <c r="N88" s="30"/>
      <c r="O88" s="31">
        <f t="shared" ref="O88:O166" si="7">COUNTIF(S88:AT88,"")</f>
        <v>28</v>
      </c>
      <c r="P88" s="137" t="s">
        <v>1707</v>
      </c>
      <c r="Q88" s="31">
        <f t="shared" ref="Q88:Q166" si="8">COUNTIF(S88:AT88,"APAGADO")</f>
        <v>0</v>
      </c>
      <c r="R88" s="32">
        <f t="shared" ref="R88:R166" si="9">(O88)/(Q88+O88)</f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8" s="73" customFormat="1" ht="15.75" thickBot="1" x14ac:dyDescent="0.3">
      <c r="A89"/>
      <c r="B89"/>
      <c r="C89"/>
      <c r="D89"/>
      <c r="E89"/>
      <c r="F89" s="73" t="s">
        <v>51</v>
      </c>
      <c r="G89" s="73" t="s">
        <v>137</v>
      </c>
      <c r="H89" s="73" t="s">
        <v>1052</v>
      </c>
      <c r="I89" s="73" t="s">
        <v>1504</v>
      </c>
      <c r="J89" s="85" t="s">
        <v>18</v>
      </c>
      <c r="K89" s="85" t="s">
        <v>1291</v>
      </c>
      <c r="L89" s="85"/>
      <c r="M89" s="85" t="s">
        <v>654</v>
      </c>
      <c r="N89" s="85"/>
      <c r="O89" s="132">
        <f t="shared" si="7"/>
        <v>28</v>
      </c>
      <c r="P89" s="137" t="s">
        <v>1708</v>
      </c>
      <c r="Q89" s="132">
        <f t="shared" si="8"/>
        <v>0</v>
      </c>
      <c r="R89" s="133">
        <f t="shared" si="9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8" ht="15.75" thickBot="1" x14ac:dyDescent="0.3">
      <c r="A90">
        <v>3</v>
      </c>
      <c r="B90">
        <v>13</v>
      </c>
      <c r="C90"/>
      <c r="D90"/>
      <c r="E90" t="s">
        <v>2350</v>
      </c>
      <c r="F90" t="s">
        <v>51</v>
      </c>
      <c r="G90" t="s">
        <v>138</v>
      </c>
      <c r="H90" t="s">
        <v>1052</v>
      </c>
      <c r="I90" t="s">
        <v>139</v>
      </c>
      <c r="J90" s="30" t="s">
        <v>18</v>
      </c>
      <c r="K90" s="30" t="s">
        <v>27</v>
      </c>
      <c r="L90" s="30"/>
      <c r="M90" s="30" t="s">
        <v>655</v>
      </c>
      <c r="N90" s="30"/>
      <c r="O90" s="31">
        <f t="shared" si="7"/>
        <v>28</v>
      </c>
      <c r="P90" s="137" t="s">
        <v>1709</v>
      </c>
      <c r="Q90" s="31">
        <f t="shared" si="8"/>
        <v>0</v>
      </c>
      <c r="R90" s="32">
        <f t="shared" si="9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8" ht="15.75" thickBot="1" x14ac:dyDescent="0.3">
      <c r="A91"/>
      <c r="B91"/>
      <c r="C91"/>
      <c r="D91"/>
      <c r="E91"/>
      <c r="F91" t="s">
        <v>51</v>
      </c>
      <c r="G91" t="s">
        <v>140</v>
      </c>
      <c r="H91" t="s">
        <v>1052</v>
      </c>
      <c r="I91" t="s">
        <v>141</v>
      </c>
      <c r="J91" s="30" t="s">
        <v>18</v>
      </c>
      <c r="K91" s="30" t="s">
        <v>27</v>
      </c>
      <c r="L91" s="30"/>
      <c r="M91" s="30" t="s">
        <v>656</v>
      </c>
      <c r="N91" s="30"/>
      <c r="O91" s="31">
        <f t="shared" si="7"/>
        <v>28</v>
      </c>
      <c r="P91" s="137" t="s">
        <v>1710</v>
      </c>
      <c r="Q91" s="31">
        <f t="shared" si="8"/>
        <v>0</v>
      </c>
      <c r="R91" s="32">
        <f t="shared" si="9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</row>
    <row r="92" spans="1:48" ht="15.75" thickBot="1" x14ac:dyDescent="0.3">
      <c r="A92">
        <v>4</v>
      </c>
      <c r="B92">
        <v>12</v>
      </c>
      <c r="C92"/>
      <c r="D92"/>
      <c r="E92" t="s">
        <v>2351</v>
      </c>
      <c r="F92" t="s">
        <v>51</v>
      </c>
      <c r="G92" t="s">
        <v>1464</v>
      </c>
      <c r="H92" t="s">
        <v>1052</v>
      </c>
      <c r="I92" t="s">
        <v>57</v>
      </c>
      <c r="J92" s="30" t="s">
        <v>72</v>
      </c>
      <c r="K92" s="30" t="s">
        <v>27</v>
      </c>
      <c r="L92" s="30"/>
      <c r="M92" s="30" t="s">
        <v>657</v>
      </c>
      <c r="N92" s="30"/>
      <c r="O92" s="31">
        <f t="shared" si="7"/>
        <v>28</v>
      </c>
      <c r="P92" s="137" t="s">
        <v>1711</v>
      </c>
      <c r="Q92" s="31">
        <f t="shared" si="8"/>
        <v>0</v>
      </c>
      <c r="R92" s="32">
        <f t="shared" si="9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</row>
    <row r="93" spans="1:48" ht="15.75" thickBot="1" x14ac:dyDescent="0.3">
      <c r="A93">
        <v>4</v>
      </c>
      <c r="B93">
        <v>12</v>
      </c>
      <c r="C93"/>
      <c r="D93"/>
      <c r="E93" t="s">
        <v>2351</v>
      </c>
      <c r="F93" t="s">
        <v>51</v>
      </c>
      <c r="G93" t="s">
        <v>1465</v>
      </c>
      <c r="H93" t="s">
        <v>1052</v>
      </c>
      <c r="I93" t="s">
        <v>57</v>
      </c>
      <c r="J93" s="30" t="s">
        <v>72</v>
      </c>
      <c r="K93" s="30" t="s">
        <v>27</v>
      </c>
      <c r="L93" s="30"/>
      <c r="M93" s="30" t="s">
        <v>658</v>
      </c>
      <c r="N93" s="30"/>
      <c r="O93" s="31">
        <f t="shared" si="7"/>
        <v>28</v>
      </c>
      <c r="P93" s="137" t="s">
        <v>1712</v>
      </c>
      <c r="Q93" s="31">
        <f t="shared" si="8"/>
        <v>0</v>
      </c>
      <c r="R93" s="32">
        <f t="shared" si="9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8" ht="15.75" thickBot="1" x14ac:dyDescent="0.3">
      <c r="A94">
        <v>3</v>
      </c>
      <c r="B94">
        <v>13</v>
      </c>
      <c r="C94"/>
      <c r="D94"/>
      <c r="E94" t="s">
        <v>2350</v>
      </c>
      <c r="F94" t="s">
        <v>51</v>
      </c>
      <c r="G94" t="s">
        <v>142</v>
      </c>
      <c r="H94" t="s">
        <v>1052</v>
      </c>
      <c r="I94" t="s">
        <v>143</v>
      </c>
      <c r="J94" s="30" t="s">
        <v>18</v>
      </c>
      <c r="K94" s="30" t="s">
        <v>27</v>
      </c>
      <c r="L94" s="30"/>
      <c r="M94" s="30" t="s">
        <v>659</v>
      </c>
      <c r="N94" s="30"/>
      <c r="O94" s="31">
        <f t="shared" si="7"/>
        <v>28</v>
      </c>
      <c r="P94" s="137" t="s">
        <v>1713</v>
      </c>
      <c r="Q94" s="31">
        <f t="shared" si="8"/>
        <v>0</v>
      </c>
      <c r="R94" s="32">
        <f t="shared" si="9"/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8" s="73" customFormat="1" ht="15.75" thickBot="1" x14ac:dyDescent="0.3">
      <c r="A95"/>
      <c r="B95"/>
      <c r="C95"/>
      <c r="D95"/>
      <c r="E95"/>
      <c r="F95" s="73" t="s">
        <v>51</v>
      </c>
      <c r="G95" s="73" t="s">
        <v>144</v>
      </c>
      <c r="H95" s="73" t="s">
        <v>1052</v>
      </c>
      <c r="I95" s="73" t="s">
        <v>145</v>
      </c>
      <c r="J95" s="85" t="s">
        <v>18</v>
      </c>
      <c r="K95" s="85" t="s">
        <v>1291</v>
      </c>
      <c r="L95" s="85"/>
      <c r="M95" s="85" t="s">
        <v>1413</v>
      </c>
      <c r="N95" s="85"/>
      <c r="O95" s="132">
        <f t="shared" si="7"/>
        <v>28</v>
      </c>
      <c r="P95" s="137" t="s">
        <v>1714</v>
      </c>
      <c r="Q95" s="132">
        <f t="shared" si="8"/>
        <v>0</v>
      </c>
      <c r="R95" s="133">
        <f t="shared" si="9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</row>
    <row r="96" spans="1:48" ht="15.75" thickBot="1" x14ac:dyDescent="0.3">
      <c r="A96"/>
      <c r="B96"/>
      <c r="C96"/>
      <c r="D96"/>
      <c r="E96"/>
      <c r="F96" t="s">
        <v>51</v>
      </c>
      <c r="G96" t="s">
        <v>146</v>
      </c>
      <c r="H96" t="s">
        <v>1052</v>
      </c>
      <c r="I96" t="s">
        <v>147</v>
      </c>
      <c r="J96" s="30" t="s">
        <v>18</v>
      </c>
      <c r="K96" s="30" t="s">
        <v>27</v>
      </c>
      <c r="L96" s="30"/>
      <c r="M96" s="30" t="s">
        <v>1445</v>
      </c>
      <c r="N96" s="30"/>
      <c r="O96" s="31">
        <f t="shared" si="7"/>
        <v>27</v>
      </c>
      <c r="P96" s="137" t="s">
        <v>1715</v>
      </c>
      <c r="Q96" s="31">
        <f t="shared" si="8"/>
        <v>1</v>
      </c>
      <c r="R96" s="32">
        <f t="shared" si="9"/>
        <v>0.9642857142857143</v>
      </c>
      <c r="S96" s="70"/>
      <c r="T96" s="70"/>
      <c r="U96" s="70"/>
      <c r="V96" s="70" t="s">
        <v>2240</v>
      </c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8" s="73" customFormat="1" ht="15.75" thickBot="1" x14ac:dyDescent="0.3">
      <c r="A97"/>
      <c r="B97"/>
      <c r="C97"/>
      <c r="D97"/>
      <c r="E97"/>
      <c r="F97" s="73" t="s">
        <v>51</v>
      </c>
      <c r="G97" s="73" t="s">
        <v>918</v>
      </c>
      <c r="H97" s="73" t="s">
        <v>1052</v>
      </c>
      <c r="I97" s="73" t="s">
        <v>148</v>
      </c>
      <c r="J97" s="85" t="s">
        <v>18</v>
      </c>
      <c r="K97" s="85" t="s">
        <v>1291</v>
      </c>
      <c r="L97" s="85"/>
      <c r="M97" s="85" t="s">
        <v>1350</v>
      </c>
      <c r="N97" s="85"/>
      <c r="O97" s="132">
        <f t="shared" si="7"/>
        <v>27</v>
      </c>
      <c r="P97" s="137" t="s">
        <v>1716</v>
      </c>
      <c r="Q97" s="132">
        <f t="shared" si="8"/>
        <v>1</v>
      </c>
      <c r="R97" s="133">
        <f t="shared" si="9"/>
        <v>0.9642857142857143</v>
      </c>
      <c r="S97" s="70"/>
      <c r="T97" s="70"/>
      <c r="U97" s="70"/>
      <c r="V97" s="70" t="s">
        <v>2240</v>
      </c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</row>
    <row r="98" spans="1:48" s="73" customFormat="1" ht="15.75" thickBot="1" x14ac:dyDescent="0.3">
      <c r="A98"/>
      <c r="B98"/>
      <c r="C98"/>
      <c r="D98"/>
      <c r="E98"/>
      <c r="F98" s="73" t="s">
        <v>51</v>
      </c>
      <c r="G98" s="73" t="s">
        <v>919</v>
      </c>
      <c r="H98" s="73" t="s">
        <v>1052</v>
      </c>
      <c r="I98" s="73" t="s">
        <v>44</v>
      </c>
      <c r="J98" s="85" t="s">
        <v>45</v>
      </c>
      <c r="K98" s="85" t="s">
        <v>1291</v>
      </c>
      <c r="L98" s="85"/>
      <c r="M98" s="85" t="s">
        <v>660</v>
      </c>
      <c r="N98" s="85"/>
      <c r="O98" s="132">
        <f t="shared" si="7"/>
        <v>28</v>
      </c>
      <c r="P98" s="137" t="s">
        <v>1717</v>
      </c>
      <c r="Q98" s="132">
        <f t="shared" si="8"/>
        <v>0</v>
      </c>
      <c r="R98" s="133">
        <f t="shared" si="9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</row>
    <row r="99" spans="1:48" s="73" customFormat="1" ht="15.75" thickBot="1" x14ac:dyDescent="0.3">
      <c r="A99"/>
      <c r="B99"/>
      <c r="C99"/>
      <c r="D99"/>
      <c r="E99"/>
      <c r="F99" s="73" t="s">
        <v>51</v>
      </c>
      <c r="G99" s="73" t="s">
        <v>149</v>
      </c>
      <c r="H99" s="73" t="s">
        <v>1052</v>
      </c>
      <c r="I99" s="73" t="s">
        <v>150</v>
      </c>
      <c r="J99" s="85" t="s">
        <v>14</v>
      </c>
      <c r="K99" s="85" t="s">
        <v>1291</v>
      </c>
      <c r="L99" s="85"/>
      <c r="M99" s="85" t="s">
        <v>1421</v>
      </c>
      <c r="N99" s="85"/>
      <c r="O99" s="132">
        <f t="shared" si="7"/>
        <v>28</v>
      </c>
      <c r="P99" s="137" t="s">
        <v>1718</v>
      </c>
      <c r="Q99" s="132">
        <f t="shared" si="8"/>
        <v>0</v>
      </c>
      <c r="R99" s="133">
        <f t="shared" si="9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</row>
    <row r="100" spans="1:48" s="73" customFormat="1" ht="15.75" thickBot="1" x14ac:dyDescent="0.3">
      <c r="A100"/>
      <c r="B100"/>
      <c r="C100"/>
      <c r="D100"/>
      <c r="E100"/>
      <c r="F100" s="73" t="s">
        <v>51</v>
      </c>
      <c r="G100" s="73" t="s">
        <v>920</v>
      </c>
      <c r="H100" s="73" t="s">
        <v>1052</v>
      </c>
      <c r="I100" s="73" t="s">
        <v>46</v>
      </c>
      <c r="J100" s="85" t="s">
        <v>18</v>
      </c>
      <c r="K100" s="85" t="s">
        <v>1291</v>
      </c>
      <c r="L100" s="85"/>
      <c r="M100" s="85" t="s">
        <v>1357</v>
      </c>
      <c r="N100" s="85"/>
      <c r="O100" s="132">
        <f t="shared" si="7"/>
        <v>28</v>
      </c>
      <c r="P100" s="137" t="s">
        <v>1719</v>
      </c>
      <c r="Q100" s="132">
        <f t="shared" si="8"/>
        <v>0</v>
      </c>
      <c r="R100" s="133">
        <f t="shared" si="9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</row>
    <row r="101" spans="1:48" s="73" customFormat="1" ht="15.75" thickBot="1" x14ac:dyDescent="0.3">
      <c r="A101"/>
      <c r="B101"/>
      <c r="C101"/>
      <c r="D101"/>
      <c r="E101"/>
      <c r="F101" s="73" t="s">
        <v>51</v>
      </c>
      <c r="G101" s="73" t="s">
        <v>47</v>
      </c>
      <c r="H101" s="73" t="s">
        <v>1052</v>
      </c>
      <c r="I101" s="73" t="s">
        <v>48</v>
      </c>
      <c r="J101" s="85" t="s">
        <v>18</v>
      </c>
      <c r="K101" s="85" t="s">
        <v>1291</v>
      </c>
      <c r="L101" s="85"/>
      <c r="M101" s="85" t="s">
        <v>1345</v>
      </c>
      <c r="N101" s="85"/>
      <c r="O101" s="132">
        <f t="shared" si="7"/>
        <v>27</v>
      </c>
      <c r="P101" s="137" t="s">
        <v>1720</v>
      </c>
      <c r="Q101" s="132">
        <f t="shared" si="8"/>
        <v>1</v>
      </c>
      <c r="R101" s="133">
        <f t="shared" si="9"/>
        <v>0.9642857142857143</v>
      </c>
      <c r="S101" s="70"/>
      <c r="T101" s="70"/>
      <c r="U101" s="70"/>
      <c r="V101" s="70" t="s">
        <v>2240</v>
      </c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</row>
    <row r="102" spans="1:48" s="73" customFormat="1" ht="15.75" thickBot="1" x14ac:dyDescent="0.3">
      <c r="A102"/>
      <c r="B102"/>
      <c r="C102"/>
      <c r="D102"/>
      <c r="E102"/>
      <c r="F102" s="73" t="s">
        <v>51</v>
      </c>
      <c r="G102" s="73" t="s">
        <v>49</v>
      </c>
      <c r="H102" s="73" t="s">
        <v>1052</v>
      </c>
      <c r="I102" s="73" t="s">
        <v>50</v>
      </c>
      <c r="J102" s="85" t="s">
        <v>18</v>
      </c>
      <c r="K102" s="85" t="s">
        <v>1291</v>
      </c>
      <c r="L102" s="85"/>
      <c r="M102" s="85" t="s">
        <v>1398</v>
      </c>
      <c r="N102" s="85"/>
      <c r="O102" s="132">
        <f t="shared" si="7"/>
        <v>28</v>
      </c>
      <c r="P102" s="137" t="s">
        <v>1721</v>
      </c>
      <c r="Q102" s="132">
        <f t="shared" si="8"/>
        <v>0</v>
      </c>
      <c r="R102" s="133">
        <f t="shared" si="9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</row>
    <row r="103" spans="1:48" s="73" customFormat="1" ht="15.75" thickBot="1" x14ac:dyDescent="0.3">
      <c r="A103"/>
      <c r="B103"/>
      <c r="C103"/>
      <c r="D103"/>
      <c r="E103"/>
      <c r="F103" s="73" t="s">
        <v>51</v>
      </c>
      <c r="G103" s="73" t="s">
        <v>52</v>
      </c>
      <c r="H103" s="73" t="s">
        <v>1052</v>
      </c>
      <c r="I103" s="73" t="s">
        <v>53</v>
      </c>
      <c r="J103" s="85" t="s">
        <v>14</v>
      </c>
      <c r="K103" s="85" t="s">
        <v>1291</v>
      </c>
      <c r="L103" s="85"/>
      <c r="M103" s="85" t="s">
        <v>1414</v>
      </c>
      <c r="N103" s="85"/>
      <c r="O103" s="132">
        <f t="shared" si="7"/>
        <v>28</v>
      </c>
      <c r="P103" s="137" t="s">
        <v>1722</v>
      </c>
      <c r="Q103" s="132">
        <f t="shared" si="8"/>
        <v>0</v>
      </c>
      <c r="R103" s="133">
        <f t="shared" si="9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</row>
    <row r="104" spans="1:48" s="73" customFormat="1" ht="15.75" thickBot="1" x14ac:dyDescent="0.3">
      <c r="A104"/>
      <c r="B104"/>
      <c r="C104"/>
      <c r="D104"/>
      <c r="E104"/>
      <c r="F104" s="73" t="s">
        <v>51</v>
      </c>
      <c r="G104" s="73" t="s">
        <v>54</v>
      </c>
      <c r="H104" s="73" t="s">
        <v>1052</v>
      </c>
      <c r="I104" s="73" t="s">
        <v>55</v>
      </c>
      <c r="J104" s="85" t="s">
        <v>14</v>
      </c>
      <c r="K104" s="85" t="s">
        <v>1291</v>
      </c>
      <c r="L104" s="85"/>
      <c r="M104" s="85" t="s">
        <v>1353</v>
      </c>
      <c r="N104" s="85"/>
      <c r="O104" s="132">
        <f t="shared" si="7"/>
        <v>28</v>
      </c>
      <c r="P104" s="137" t="s">
        <v>1723</v>
      </c>
      <c r="Q104" s="132">
        <f t="shared" si="8"/>
        <v>0</v>
      </c>
      <c r="R104" s="133">
        <f t="shared" si="9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</row>
    <row r="105" spans="1:48" ht="15.75" thickBot="1" x14ac:dyDescent="0.3">
      <c r="A105">
        <v>4</v>
      </c>
      <c r="B105">
        <v>12</v>
      </c>
      <c r="C105"/>
      <c r="D105"/>
      <c r="E105" t="s">
        <v>2351</v>
      </c>
      <c r="F105" t="s">
        <v>51</v>
      </c>
      <c r="G105" t="s">
        <v>56</v>
      </c>
      <c r="H105" t="s">
        <v>1052</v>
      </c>
      <c r="I105" t="s">
        <v>57</v>
      </c>
      <c r="J105" s="30" t="s">
        <v>14</v>
      </c>
      <c r="K105" s="30" t="s">
        <v>27</v>
      </c>
      <c r="L105" s="30"/>
      <c r="M105" s="30" t="s">
        <v>661</v>
      </c>
      <c r="N105" s="30"/>
      <c r="O105" s="31">
        <f t="shared" si="7"/>
        <v>28</v>
      </c>
      <c r="P105" s="137" t="s">
        <v>1724</v>
      </c>
      <c r="Q105" s="31">
        <f t="shared" si="8"/>
        <v>0</v>
      </c>
      <c r="R105" s="32">
        <f t="shared" si="9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8" s="73" customFormat="1" ht="15.75" thickBot="1" x14ac:dyDescent="0.3">
      <c r="A106"/>
      <c r="B106"/>
      <c r="C106"/>
      <c r="D106"/>
      <c r="E106"/>
      <c r="F106" s="73" t="s">
        <v>51</v>
      </c>
      <c r="G106" s="73" t="s">
        <v>925</v>
      </c>
      <c r="H106" s="73" t="s">
        <v>1052</v>
      </c>
      <c r="I106" s="73" t="s">
        <v>58</v>
      </c>
      <c r="J106" s="85" t="s">
        <v>14</v>
      </c>
      <c r="K106" s="85" t="s">
        <v>1291</v>
      </c>
      <c r="L106" s="85"/>
      <c r="M106" s="85" t="s">
        <v>1364</v>
      </c>
      <c r="N106" s="85"/>
      <c r="O106" s="132">
        <f t="shared" si="7"/>
        <v>28</v>
      </c>
      <c r="P106" s="137" t="s">
        <v>1725</v>
      </c>
      <c r="Q106" s="132">
        <f t="shared" si="8"/>
        <v>0</v>
      </c>
      <c r="R106" s="133">
        <f t="shared" si="9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</row>
    <row r="107" spans="1:48" ht="15.75" thickBot="1" x14ac:dyDescent="0.3">
      <c r="A107"/>
      <c r="B107"/>
      <c r="C107"/>
      <c r="D107"/>
      <c r="E107"/>
      <c r="F107" t="s">
        <v>51</v>
      </c>
      <c r="G107" t="s">
        <v>59</v>
      </c>
      <c r="H107" t="s">
        <v>1052</v>
      </c>
      <c r="I107" t="s">
        <v>60</v>
      </c>
      <c r="J107" s="30" t="s">
        <v>14</v>
      </c>
      <c r="K107" s="30" t="s">
        <v>1046</v>
      </c>
      <c r="L107" s="30" t="s">
        <v>44</v>
      </c>
      <c r="M107" s="30" t="s">
        <v>662</v>
      </c>
      <c r="N107" s="30"/>
      <c r="O107" s="31">
        <f t="shared" si="7"/>
        <v>28</v>
      </c>
      <c r="P107" s="137" t="s">
        <v>1726</v>
      </c>
      <c r="Q107" s="31">
        <f t="shared" si="8"/>
        <v>0</v>
      </c>
      <c r="R107" s="32">
        <f t="shared" si="9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8" s="73" customFormat="1" ht="15.75" thickBot="1" x14ac:dyDescent="0.3">
      <c r="A108"/>
      <c r="B108"/>
      <c r="C108"/>
      <c r="D108"/>
      <c r="E108"/>
      <c r="F108" s="73" t="s">
        <v>51</v>
      </c>
      <c r="G108" s="73" t="s">
        <v>61</v>
      </c>
      <c r="H108" s="73" t="s">
        <v>1052</v>
      </c>
      <c r="I108" s="73" t="s">
        <v>62</v>
      </c>
      <c r="J108" s="85" t="s">
        <v>14</v>
      </c>
      <c r="K108" s="85" t="s">
        <v>1291</v>
      </c>
      <c r="L108" s="85"/>
      <c r="M108" s="85" t="s">
        <v>1354</v>
      </c>
      <c r="N108" s="85"/>
      <c r="O108" s="132">
        <f t="shared" si="7"/>
        <v>28</v>
      </c>
      <c r="P108" s="137" t="s">
        <v>1727</v>
      </c>
      <c r="Q108" s="132">
        <f t="shared" si="8"/>
        <v>0</v>
      </c>
      <c r="R108" s="133">
        <f t="shared" si="9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</row>
    <row r="109" spans="1:48" ht="15.75" thickBot="1" x14ac:dyDescent="0.3">
      <c r="A109">
        <v>2</v>
      </c>
      <c r="B109">
        <v>20</v>
      </c>
      <c r="C109"/>
      <c r="D109"/>
      <c r="E109" t="s">
        <v>2348</v>
      </c>
      <c r="F109" t="s">
        <v>51</v>
      </c>
      <c r="G109" t="s">
        <v>926</v>
      </c>
      <c r="H109" t="s">
        <v>1052</v>
      </c>
      <c r="I109" t="s">
        <v>1075</v>
      </c>
      <c r="J109" s="30" t="s">
        <v>14</v>
      </c>
      <c r="K109" s="30" t="s">
        <v>1046</v>
      </c>
      <c r="L109" s="30" t="s">
        <v>1243</v>
      </c>
      <c r="M109" s="30" t="s">
        <v>663</v>
      </c>
      <c r="N109" s="30"/>
      <c r="O109" s="31">
        <f t="shared" si="7"/>
        <v>28</v>
      </c>
      <c r="P109" s="137" t="s">
        <v>1728</v>
      </c>
      <c r="Q109" s="31">
        <f t="shared" si="8"/>
        <v>0</v>
      </c>
      <c r="R109" s="32">
        <f t="shared" si="9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8" ht="15.75" thickBot="1" x14ac:dyDescent="0.3">
      <c r="A110"/>
      <c r="B110"/>
      <c r="C110"/>
      <c r="D110"/>
      <c r="E110"/>
      <c r="F110" t="s">
        <v>51</v>
      </c>
      <c r="G110" t="s">
        <v>927</v>
      </c>
      <c r="H110" t="s">
        <v>1052</v>
      </c>
      <c r="I110" t="s">
        <v>63</v>
      </c>
      <c r="J110" s="30" t="s">
        <v>14</v>
      </c>
      <c r="K110" s="30" t="s">
        <v>27</v>
      </c>
      <c r="L110" s="30"/>
      <c r="M110" s="30" t="s">
        <v>664</v>
      </c>
      <c r="N110" s="30"/>
      <c r="O110" s="31">
        <f t="shared" si="7"/>
        <v>28</v>
      </c>
      <c r="P110" s="137" t="s">
        <v>1729</v>
      </c>
      <c r="Q110" s="31">
        <f t="shared" si="8"/>
        <v>0</v>
      </c>
      <c r="R110" s="32">
        <f t="shared" si="9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</row>
    <row r="111" spans="1:48" ht="15.75" thickBot="1" x14ac:dyDescent="0.3">
      <c r="A111">
        <v>2</v>
      </c>
      <c r="B111">
        <v>23</v>
      </c>
      <c r="C111"/>
      <c r="D111"/>
      <c r="E111" t="s">
        <v>2349</v>
      </c>
      <c r="F111" t="s">
        <v>51</v>
      </c>
      <c r="G111" t="s">
        <v>151</v>
      </c>
      <c r="H111" t="s">
        <v>1052</v>
      </c>
      <c r="I111" t="s">
        <v>152</v>
      </c>
      <c r="J111" s="30" t="s">
        <v>45</v>
      </c>
      <c r="K111" s="30" t="s">
        <v>27</v>
      </c>
      <c r="L111" s="30"/>
      <c r="M111" s="30" t="s">
        <v>665</v>
      </c>
      <c r="N111" s="30"/>
      <c r="O111" s="31">
        <f t="shared" si="7"/>
        <v>28</v>
      </c>
      <c r="P111" s="137" t="s">
        <v>1730</v>
      </c>
      <c r="Q111" s="31">
        <f t="shared" si="8"/>
        <v>0</v>
      </c>
      <c r="R111" s="32">
        <f t="shared" si="9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</row>
    <row r="112" spans="1:48" s="73" customFormat="1" ht="15.75" thickBot="1" x14ac:dyDescent="0.3">
      <c r="A112"/>
      <c r="B112"/>
      <c r="C112"/>
      <c r="D112"/>
      <c r="E112"/>
      <c r="F112" s="73" t="s">
        <v>51</v>
      </c>
      <c r="G112" s="73" t="s">
        <v>921</v>
      </c>
      <c r="H112" s="73" t="s">
        <v>1052</v>
      </c>
      <c r="I112" s="73" t="s">
        <v>153</v>
      </c>
      <c r="J112" s="85" t="s">
        <v>45</v>
      </c>
      <c r="K112" s="85" t="s">
        <v>1291</v>
      </c>
      <c r="L112" s="85"/>
      <c r="M112" s="85" t="s">
        <v>1049</v>
      </c>
      <c r="N112" s="85"/>
      <c r="O112" s="132">
        <f t="shared" si="7"/>
        <v>28</v>
      </c>
      <c r="P112" s="137" t="s">
        <v>1731</v>
      </c>
      <c r="Q112" s="132">
        <f t="shared" si="8"/>
        <v>0</v>
      </c>
      <c r="R112" s="133">
        <f t="shared" si="9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8" s="73" customFormat="1" ht="15.75" thickBot="1" x14ac:dyDescent="0.3">
      <c r="A113"/>
      <c r="B113"/>
      <c r="C113"/>
      <c r="D113"/>
      <c r="E113"/>
      <c r="F113" s="73" t="s">
        <v>51</v>
      </c>
      <c r="G113" s="73" t="s">
        <v>154</v>
      </c>
      <c r="H113" s="73" t="s">
        <v>1052</v>
      </c>
      <c r="I113" s="73" t="s">
        <v>153</v>
      </c>
      <c r="J113" s="85" t="s">
        <v>45</v>
      </c>
      <c r="K113" s="85" t="s">
        <v>1291</v>
      </c>
      <c r="L113" s="85"/>
      <c r="M113" s="85" t="s">
        <v>666</v>
      </c>
      <c r="N113" s="85"/>
      <c r="O113" s="132">
        <f t="shared" si="7"/>
        <v>28</v>
      </c>
      <c r="P113" s="137" t="s">
        <v>1731</v>
      </c>
      <c r="Q113" s="132">
        <f t="shared" si="8"/>
        <v>0</v>
      </c>
      <c r="R113" s="133">
        <f t="shared" si="9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8" s="73" customFormat="1" ht="15.75" thickBot="1" x14ac:dyDescent="0.3">
      <c r="A114"/>
      <c r="B114"/>
      <c r="C114"/>
      <c r="D114"/>
      <c r="E114"/>
      <c r="F114" s="73" t="s">
        <v>51</v>
      </c>
      <c r="G114" s="73" t="s">
        <v>155</v>
      </c>
      <c r="H114" s="73" t="s">
        <v>1052</v>
      </c>
      <c r="I114" s="73" t="s">
        <v>156</v>
      </c>
      <c r="J114" s="85" t="s">
        <v>72</v>
      </c>
      <c r="K114" s="85" t="s">
        <v>1291</v>
      </c>
      <c r="L114" s="85"/>
      <c r="M114" s="85" t="s">
        <v>670</v>
      </c>
      <c r="N114" s="85"/>
      <c r="O114" s="132">
        <f t="shared" si="7"/>
        <v>28</v>
      </c>
      <c r="P114" s="137" t="s">
        <v>1733</v>
      </c>
      <c r="Q114" s="132">
        <f t="shared" si="8"/>
        <v>0</v>
      </c>
      <c r="R114" s="133">
        <f t="shared" si="9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8" s="73" customFormat="1" ht="15.75" thickBot="1" x14ac:dyDescent="0.3">
      <c r="A115"/>
      <c r="B115"/>
      <c r="C115"/>
      <c r="D115"/>
      <c r="E115"/>
      <c r="F115" s="73" t="s">
        <v>51</v>
      </c>
      <c r="G115" s="73" t="s">
        <v>157</v>
      </c>
      <c r="H115" s="73" t="s">
        <v>1052</v>
      </c>
      <c r="I115" s="73" t="s">
        <v>156</v>
      </c>
      <c r="J115" s="85" t="s">
        <v>72</v>
      </c>
      <c r="K115" s="85" t="s">
        <v>1291</v>
      </c>
      <c r="L115" s="85"/>
      <c r="M115" s="85" t="s">
        <v>671</v>
      </c>
      <c r="N115" s="85"/>
      <c r="O115" s="132">
        <f t="shared" si="7"/>
        <v>28</v>
      </c>
      <c r="P115" s="137" t="s">
        <v>1732</v>
      </c>
      <c r="Q115" s="132">
        <f t="shared" si="8"/>
        <v>0</v>
      </c>
      <c r="R115" s="133">
        <f t="shared" si="9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8" ht="15.75" thickBot="1" x14ac:dyDescent="0.3">
      <c r="A116">
        <v>12</v>
      </c>
      <c r="B116">
        <v>13</v>
      </c>
      <c r="C116"/>
      <c r="D116"/>
      <c r="E116" t="s">
        <v>2361</v>
      </c>
      <c r="F116" t="s">
        <v>51</v>
      </c>
      <c r="G116" t="s">
        <v>158</v>
      </c>
      <c r="H116" t="s">
        <v>1052</v>
      </c>
      <c r="I116" t="s">
        <v>159</v>
      </c>
      <c r="J116" s="30" t="s">
        <v>14</v>
      </c>
      <c r="K116" s="30" t="s">
        <v>27</v>
      </c>
      <c r="L116" s="30"/>
      <c r="M116" s="30" t="s">
        <v>672</v>
      </c>
      <c r="N116" s="30"/>
      <c r="O116" s="31">
        <f t="shared" si="7"/>
        <v>28</v>
      </c>
      <c r="P116" s="137" t="s">
        <v>1734</v>
      </c>
      <c r="Q116" s="31">
        <f t="shared" si="8"/>
        <v>0</v>
      </c>
      <c r="R116" s="32">
        <f t="shared" si="9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</row>
    <row r="117" spans="1:48" ht="15.75" thickBot="1" x14ac:dyDescent="0.3">
      <c r="A117">
        <v>12</v>
      </c>
      <c r="B117">
        <v>13</v>
      </c>
      <c r="C117"/>
      <c r="D117"/>
      <c r="E117" t="s">
        <v>2361</v>
      </c>
      <c r="F117" t="s">
        <v>51</v>
      </c>
      <c r="G117" t="s">
        <v>64</v>
      </c>
      <c r="H117" t="s">
        <v>1052</v>
      </c>
      <c r="I117" t="s">
        <v>65</v>
      </c>
      <c r="J117" s="30" t="s">
        <v>18</v>
      </c>
      <c r="K117" s="30" t="s">
        <v>27</v>
      </c>
      <c r="L117" s="30"/>
      <c r="M117" s="30" t="s">
        <v>673</v>
      </c>
      <c r="N117" s="30"/>
      <c r="O117" s="31">
        <f t="shared" si="7"/>
        <v>28</v>
      </c>
      <c r="P117" s="137" t="s">
        <v>1735</v>
      </c>
      <c r="Q117" s="31">
        <f t="shared" si="8"/>
        <v>0</v>
      </c>
      <c r="R117" s="32">
        <f t="shared" si="9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8" s="73" customFormat="1" ht="15.75" thickBot="1" x14ac:dyDescent="0.3">
      <c r="A118" s="8"/>
      <c r="B118" s="8"/>
      <c r="C118" s="8"/>
      <c r="D118" s="8"/>
      <c r="E118" s="8"/>
      <c r="F118" s="73" t="s">
        <v>51</v>
      </c>
      <c r="G118" s="73" t="s">
        <v>66</v>
      </c>
      <c r="H118" s="73" t="s">
        <v>1052</v>
      </c>
      <c r="I118" s="73" t="s">
        <v>67</v>
      </c>
      <c r="J118" s="85" t="s">
        <v>18</v>
      </c>
      <c r="K118" s="85" t="s">
        <v>1291</v>
      </c>
      <c r="L118" s="85"/>
      <c r="M118" s="85" t="s">
        <v>674</v>
      </c>
      <c r="N118" s="85"/>
      <c r="O118" s="132">
        <f t="shared" si="7"/>
        <v>28</v>
      </c>
      <c r="P118" s="137" t="s">
        <v>1736</v>
      </c>
      <c r="Q118" s="132">
        <f t="shared" si="8"/>
        <v>0</v>
      </c>
      <c r="R118" s="133">
        <f t="shared" si="9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</row>
    <row r="119" spans="1:48" ht="13.9" customHeight="1" thickBot="1" x14ac:dyDescent="0.3">
      <c r="A119"/>
      <c r="B119"/>
      <c r="C119"/>
      <c r="D119"/>
      <c r="E119"/>
      <c r="F119" t="s">
        <v>51</v>
      </c>
      <c r="G119" t="s">
        <v>68</v>
      </c>
      <c r="H119" t="s">
        <v>1052</v>
      </c>
      <c r="I119" t="s">
        <v>69</v>
      </c>
      <c r="J119" s="30" t="s">
        <v>18</v>
      </c>
      <c r="K119" s="30" t="s">
        <v>27</v>
      </c>
      <c r="L119" s="30"/>
      <c r="M119" s="30" t="s">
        <v>675</v>
      </c>
      <c r="N119" s="30"/>
      <c r="O119" s="31">
        <f t="shared" si="7"/>
        <v>28</v>
      </c>
      <c r="P119" s="137" t="s">
        <v>1737</v>
      </c>
      <c r="Q119" s="31">
        <f t="shared" si="8"/>
        <v>0</v>
      </c>
      <c r="R119" s="32">
        <f t="shared" si="9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8" ht="15.75" thickBot="1" x14ac:dyDescent="0.3">
      <c r="A120"/>
      <c r="B120"/>
      <c r="C120"/>
      <c r="D120"/>
      <c r="E120"/>
      <c r="F120" t="s">
        <v>51</v>
      </c>
      <c r="G120" t="s">
        <v>160</v>
      </c>
      <c r="H120" t="s">
        <v>1052</v>
      </c>
      <c r="I120" t="s">
        <v>161</v>
      </c>
      <c r="J120" s="30" t="s">
        <v>14</v>
      </c>
      <c r="K120" s="30" t="s">
        <v>27</v>
      </c>
      <c r="L120" s="30"/>
      <c r="M120" s="30" t="s">
        <v>676</v>
      </c>
      <c r="N120" s="30"/>
      <c r="O120" s="31">
        <f t="shared" si="7"/>
        <v>28</v>
      </c>
      <c r="P120" s="137" t="s">
        <v>1738</v>
      </c>
      <c r="Q120" s="31">
        <f t="shared" si="8"/>
        <v>0</v>
      </c>
      <c r="R120" s="32">
        <f t="shared" si="9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</row>
    <row r="121" spans="1:48" ht="15.75" thickBot="1" x14ac:dyDescent="0.3">
      <c r="A121"/>
      <c r="B121"/>
      <c r="C121"/>
      <c r="D121"/>
      <c r="E121"/>
      <c r="F121" t="s">
        <v>51</v>
      </c>
      <c r="G121" t="s">
        <v>162</v>
      </c>
      <c r="H121" t="s">
        <v>1052</v>
      </c>
      <c r="I121" t="s">
        <v>163</v>
      </c>
      <c r="J121" s="30" t="s">
        <v>18</v>
      </c>
      <c r="K121" s="30" t="s">
        <v>27</v>
      </c>
      <c r="L121" s="30"/>
      <c r="M121" s="30" t="s">
        <v>677</v>
      </c>
      <c r="N121" s="30"/>
      <c r="O121" s="31">
        <f t="shared" si="7"/>
        <v>27</v>
      </c>
      <c r="P121" s="137" t="s">
        <v>1739</v>
      </c>
      <c r="Q121" s="31">
        <f t="shared" si="8"/>
        <v>1</v>
      </c>
      <c r="R121" s="32">
        <f t="shared" si="9"/>
        <v>0.9642857142857143</v>
      </c>
      <c r="S121" s="70"/>
      <c r="T121" s="70"/>
      <c r="U121" s="70"/>
      <c r="V121" s="70" t="s">
        <v>2240</v>
      </c>
      <c r="W121" s="70"/>
      <c r="X121" s="70"/>
      <c r="Y121" s="70"/>
      <c r="Z121" s="70"/>
      <c r="AA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</row>
    <row r="122" spans="1:48" s="73" customFormat="1" ht="15.75" thickBot="1" x14ac:dyDescent="0.3">
      <c r="A122"/>
      <c r="B122"/>
      <c r="C122"/>
      <c r="D122"/>
      <c r="E122"/>
      <c r="F122" s="73" t="s">
        <v>51</v>
      </c>
      <c r="G122" s="73" t="s">
        <v>922</v>
      </c>
      <c r="H122" s="73" t="s">
        <v>1052</v>
      </c>
      <c r="I122" s="73" t="s">
        <v>923</v>
      </c>
      <c r="J122" s="85" t="s">
        <v>18</v>
      </c>
      <c r="K122" s="85" t="s">
        <v>1291</v>
      </c>
      <c r="L122" s="85"/>
      <c r="M122" s="85" t="s">
        <v>1204</v>
      </c>
      <c r="N122" s="85"/>
      <c r="O122" s="132">
        <f t="shared" si="7"/>
        <v>28</v>
      </c>
      <c r="P122" s="137" t="s">
        <v>1740</v>
      </c>
      <c r="Q122" s="132">
        <f t="shared" si="8"/>
        <v>0</v>
      </c>
      <c r="R122" s="133">
        <f t="shared" si="9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</row>
    <row r="123" spans="1:48" ht="15.75" thickBot="1" x14ac:dyDescent="0.3">
      <c r="A123">
        <v>3</v>
      </c>
      <c r="B123">
        <v>13</v>
      </c>
      <c r="C123"/>
      <c r="D123"/>
      <c r="E123" t="s">
        <v>2350</v>
      </c>
      <c r="F123" t="s">
        <v>51</v>
      </c>
      <c r="G123" t="s">
        <v>924</v>
      </c>
      <c r="H123" t="s">
        <v>1052</v>
      </c>
      <c r="I123" t="s">
        <v>1068</v>
      </c>
      <c r="J123" s="30" t="s">
        <v>72</v>
      </c>
      <c r="K123" s="30" t="s">
        <v>27</v>
      </c>
      <c r="L123" s="30"/>
      <c r="M123" s="30" t="s">
        <v>1479</v>
      </c>
      <c r="N123" s="30"/>
      <c r="O123" s="31">
        <f t="shared" si="7"/>
        <v>28</v>
      </c>
      <c r="P123" s="137" t="s">
        <v>1741</v>
      </c>
      <c r="Q123" s="31">
        <f t="shared" si="8"/>
        <v>0</v>
      </c>
      <c r="R123" s="32">
        <f t="shared" si="9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</row>
    <row r="124" spans="1:48" ht="15.75" thickBot="1" x14ac:dyDescent="0.3">
      <c r="A124">
        <v>3</v>
      </c>
      <c r="B124">
        <v>13</v>
      </c>
      <c r="C124"/>
      <c r="D124"/>
      <c r="E124" t="s">
        <v>2350</v>
      </c>
      <c r="F124" t="s">
        <v>51</v>
      </c>
      <c r="G124" t="s">
        <v>1099</v>
      </c>
      <c r="H124" t="s">
        <v>1052</v>
      </c>
      <c r="I124" t="s">
        <v>1098</v>
      </c>
      <c r="J124" s="30" t="s">
        <v>72</v>
      </c>
      <c r="K124" s="30" t="s">
        <v>27</v>
      </c>
      <c r="L124" s="30"/>
      <c r="M124" s="30" t="s">
        <v>1100</v>
      </c>
      <c r="N124" s="30"/>
      <c r="O124" s="31">
        <f t="shared" si="7"/>
        <v>28</v>
      </c>
      <c r="P124" s="137" t="s">
        <v>1742</v>
      </c>
      <c r="Q124" s="31">
        <f t="shared" si="8"/>
        <v>0</v>
      </c>
      <c r="R124" s="32">
        <f t="shared" si="9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</row>
    <row r="125" spans="1:48" ht="15.75" thickBot="1" x14ac:dyDescent="0.3">
      <c r="A125">
        <v>3</v>
      </c>
      <c r="B125">
        <v>13</v>
      </c>
      <c r="C125"/>
      <c r="D125"/>
      <c r="E125" t="s">
        <v>2350</v>
      </c>
      <c r="F125" t="s">
        <v>51</v>
      </c>
      <c r="G125" s="30" t="s">
        <v>1108</v>
      </c>
      <c r="H125" s="30" t="s">
        <v>1052</v>
      </c>
      <c r="I125" t="s">
        <v>121</v>
      </c>
      <c r="J125" s="30" t="s">
        <v>72</v>
      </c>
      <c r="K125" s="30" t="s">
        <v>27</v>
      </c>
      <c r="L125" s="30"/>
      <c r="M125" s="30" t="s">
        <v>1109</v>
      </c>
      <c r="N125" s="30"/>
      <c r="O125" s="31">
        <f t="shared" si="7"/>
        <v>28</v>
      </c>
      <c r="P125" s="137" t="s">
        <v>1743</v>
      </c>
      <c r="Q125" s="31">
        <f t="shared" si="8"/>
        <v>0</v>
      </c>
      <c r="R125" s="32">
        <f t="shared" si="9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8" ht="15.75" thickBot="1" x14ac:dyDescent="0.3">
      <c r="A126"/>
      <c r="B126"/>
      <c r="C126"/>
      <c r="D126"/>
      <c r="E126"/>
      <c r="F126" t="s">
        <v>51</v>
      </c>
      <c r="G126" s="30" t="s">
        <v>1101</v>
      </c>
      <c r="H126" s="30" t="s">
        <v>1052</v>
      </c>
      <c r="I126" t="s">
        <v>1103</v>
      </c>
      <c r="J126" s="30" t="s">
        <v>72</v>
      </c>
      <c r="K126" s="30" t="s">
        <v>27</v>
      </c>
      <c r="L126" s="30"/>
      <c r="M126" s="30" t="s">
        <v>1110</v>
      </c>
      <c r="N126" s="30"/>
      <c r="O126" s="31">
        <f t="shared" si="7"/>
        <v>28</v>
      </c>
      <c r="P126" s="137" t="s">
        <v>1744</v>
      </c>
      <c r="Q126" s="31">
        <f t="shared" si="8"/>
        <v>0</v>
      </c>
      <c r="R126" s="32">
        <f t="shared" si="9"/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8" ht="15.75" thickBot="1" x14ac:dyDescent="0.3">
      <c r="A127"/>
      <c r="B127"/>
      <c r="C127"/>
      <c r="D127"/>
      <c r="E127"/>
      <c r="F127" t="s">
        <v>51</v>
      </c>
      <c r="G127" s="30" t="s">
        <v>1102</v>
      </c>
      <c r="H127" s="30" t="s">
        <v>1052</v>
      </c>
      <c r="I127" t="s">
        <v>1103</v>
      </c>
      <c r="J127" s="30" t="s">
        <v>72</v>
      </c>
      <c r="K127" s="30" t="s">
        <v>27</v>
      </c>
      <c r="L127" s="30"/>
      <c r="M127" s="30" t="s">
        <v>1111</v>
      </c>
      <c r="N127" s="30"/>
      <c r="O127" s="31">
        <f t="shared" si="7"/>
        <v>28</v>
      </c>
      <c r="P127" s="137" t="s">
        <v>1745</v>
      </c>
      <c r="Q127" s="31">
        <f t="shared" si="8"/>
        <v>0</v>
      </c>
      <c r="R127" s="32">
        <f t="shared" si="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8" ht="15.75" thickBot="1" x14ac:dyDescent="0.3">
      <c r="A128"/>
      <c r="B128"/>
      <c r="C128"/>
      <c r="D128"/>
      <c r="E128"/>
      <c r="F128" t="s">
        <v>51</v>
      </c>
      <c r="G128" s="30" t="s">
        <v>1172</v>
      </c>
      <c r="H128" s="30" t="s">
        <v>1052</v>
      </c>
      <c r="I128" t="s">
        <v>92</v>
      </c>
      <c r="J128" s="30" t="s">
        <v>72</v>
      </c>
      <c r="K128" s="30" t="s">
        <v>27</v>
      </c>
      <c r="L128" s="30"/>
      <c r="M128" s="30" t="s">
        <v>1173</v>
      </c>
      <c r="N128" s="30"/>
      <c r="O128" s="31">
        <f t="shared" si="7"/>
        <v>28</v>
      </c>
      <c r="P128" s="137" t="s">
        <v>1746</v>
      </c>
      <c r="Q128" s="31">
        <f t="shared" si="8"/>
        <v>0</v>
      </c>
      <c r="R128" s="32">
        <f t="shared" si="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8" s="73" customFormat="1" ht="15.75" thickBot="1" x14ac:dyDescent="0.3">
      <c r="A129"/>
      <c r="B129"/>
      <c r="C129"/>
      <c r="D129"/>
      <c r="E129"/>
      <c r="F129" s="73" t="s">
        <v>51</v>
      </c>
      <c r="G129" s="85" t="s">
        <v>1188</v>
      </c>
      <c r="H129" s="85" t="s">
        <v>1052</v>
      </c>
      <c r="I129" s="73" t="s">
        <v>1189</v>
      </c>
      <c r="J129" s="85" t="s">
        <v>18</v>
      </c>
      <c r="K129" s="85" t="s">
        <v>1291</v>
      </c>
      <c r="L129" s="85"/>
      <c r="M129" s="85" t="s">
        <v>1190</v>
      </c>
      <c r="N129" s="85"/>
      <c r="O129" s="132">
        <f t="shared" si="7"/>
        <v>27</v>
      </c>
      <c r="P129" s="137" t="s">
        <v>1747</v>
      </c>
      <c r="Q129" s="132">
        <f t="shared" si="8"/>
        <v>1</v>
      </c>
      <c r="R129" s="133">
        <f t="shared" si="9"/>
        <v>0.9642857142857143</v>
      </c>
      <c r="S129" s="70"/>
      <c r="T129" s="70"/>
      <c r="U129" s="70"/>
      <c r="V129" s="70" t="s">
        <v>2240</v>
      </c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</row>
    <row r="130" spans="1:48" s="73" customFormat="1" ht="15.75" thickBot="1" x14ac:dyDescent="0.3">
      <c r="A130"/>
      <c r="B130"/>
      <c r="C130"/>
      <c r="D130"/>
      <c r="E130"/>
      <c r="F130" s="73" t="s">
        <v>51</v>
      </c>
      <c r="G130" s="85" t="s">
        <v>1185</v>
      </c>
      <c r="H130" s="85" t="s">
        <v>1052</v>
      </c>
      <c r="I130" s="73" t="s">
        <v>1186</v>
      </c>
      <c r="J130" s="85" t="s">
        <v>18</v>
      </c>
      <c r="K130" s="85" t="s">
        <v>1291</v>
      </c>
      <c r="L130" s="85"/>
      <c r="M130" s="85" t="s">
        <v>1187</v>
      </c>
      <c r="N130" s="85"/>
      <c r="O130" s="132">
        <f t="shared" si="7"/>
        <v>28</v>
      </c>
      <c r="P130" s="137" t="s">
        <v>1748</v>
      </c>
      <c r="Q130" s="132">
        <f t="shared" si="8"/>
        <v>0</v>
      </c>
      <c r="R130" s="133">
        <f t="shared" si="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</row>
    <row r="131" spans="1:48" s="73" customFormat="1" ht="15.75" thickBot="1" x14ac:dyDescent="0.3">
      <c r="A131"/>
      <c r="B131"/>
      <c r="C131"/>
      <c r="D131"/>
      <c r="E131"/>
      <c r="F131" s="73" t="s">
        <v>51</v>
      </c>
      <c r="G131" s="73" t="s">
        <v>1213</v>
      </c>
      <c r="H131" s="85" t="s">
        <v>1052</v>
      </c>
      <c r="I131" s="73" t="s">
        <v>1214</v>
      </c>
      <c r="J131" s="73" t="s">
        <v>72</v>
      </c>
      <c r="K131" s="73" t="s">
        <v>1291</v>
      </c>
      <c r="M131" s="85" t="s">
        <v>1301</v>
      </c>
      <c r="N131" s="85"/>
      <c r="O131" s="132">
        <f t="shared" si="7"/>
        <v>28</v>
      </c>
      <c r="P131" s="137" t="s">
        <v>1749</v>
      </c>
      <c r="Q131" s="132">
        <f t="shared" si="8"/>
        <v>0</v>
      </c>
      <c r="R131" s="133">
        <f t="shared" si="9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8" ht="15.75" thickBot="1" x14ac:dyDescent="0.3">
      <c r="A132"/>
      <c r="B132"/>
      <c r="C132"/>
      <c r="D132"/>
      <c r="E132"/>
      <c r="F132" s="73" t="s">
        <v>51</v>
      </c>
      <c r="G132" t="s">
        <v>1215</v>
      </c>
      <c r="H132" s="30" t="s">
        <v>1052</v>
      </c>
      <c r="I132" t="s">
        <v>1216</v>
      </c>
      <c r="J132" t="s">
        <v>72</v>
      </c>
      <c r="K132" t="s">
        <v>27</v>
      </c>
      <c r="L132"/>
      <c r="M132" s="30" t="s">
        <v>1312</v>
      </c>
      <c r="N132" s="30"/>
      <c r="O132" s="31">
        <f t="shared" si="7"/>
        <v>28</v>
      </c>
      <c r="P132" s="137" t="s">
        <v>1750</v>
      </c>
      <c r="Q132" s="31">
        <f t="shared" si="8"/>
        <v>0</v>
      </c>
      <c r="R132" s="32">
        <f t="shared" si="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</row>
    <row r="133" spans="1:48" ht="15.75" thickBot="1" x14ac:dyDescent="0.3">
      <c r="A133">
        <v>3</v>
      </c>
      <c r="B133">
        <v>13</v>
      </c>
      <c r="C133"/>
      <c r="D133"/>
      <c r="E133" t="s">
        <v>2350</v>
      </c>
      <c r="F133" t="s">
        <v>51</v>
      </c>
      <c r="G133" s="30" t="s">
        <v>1289</v>
      </c>
      <c r="H133" s="30" t="s">
        <v>1052</v>
      </c>
      <c r="I133" t="s">
        <v>87</v>
      </c>
      <c r="J133" s="30" t="s">
        <v>72</v>
      </c>
      <c r="K133" s="30" t="s">
        <v>27</v>
      </c>
      <c r="L133" s="30"/>
      <c r="M133" s="30" t="s">
        <v>1288</v>
      </c>
      <c r="N133" s="30"/>
      <c r="O133" s="31">
        <f t="shared" si="7"/>
        <v>28</v>
      </c>
      <c r="P133" s="137" t="s">
        <v>1751</v>
      </c>
      <c r="Q133" s="31">
        <f t="shared" si="8"/>
        <v>0</v>
      </c>
      <c r="R133" s="32">
        <f t="shared" si="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</row>
    <row r="134" spans="1:48" s="73" customFormat="1" ht="15.75" thickBot="1" x14ac:dyDescent="0.3">
      <c r="A134"/>
      <c r="B134"/>
      <c r="C134"/>
      <c r="D134"/>
      <c r="E134"/>
      <c r="F134" s="73" t="s">
        <v>51</v>
      </c>
      <c r="G134" s="85" t="s">
        <v>1314</v>
      </c>
      <c r="H134" s="85" t="s">
        <v>1052</v>
      </c>
      <c r="I134" s="73" t="s">
        <v>1315</v>
      </c>
      <c r="J134" s="85" t="s">
        <v>18</v>
      </c>
      <c r="K134" s="85" t="s">
        <v>1291</v>
      </c>
      <c r="L134" s="85"/>
      <c r="M134" s="85" t="s">
        <v>1316</v>
      </c>
      <c r="N134" s="85"/>
      <c r="O134" s="132">
        <f t="shared" si="7"/>
        <v>27</v>
      </c>
      <c r="P134" s="137" t="s">
        <v>1752</v>
      </c>
      <c r="Q134" s="132">
        <f t="shared" si="8"/>
        <v>1</v>
      </c>
      <c r="R134" s="133">
        <f t="shared" si="9"/>
        <v>0.9642857142857143</v>
      </c>
      <c r="S134" s="70"/>
      <c r="T134" s="70"/>
      <c r="U134" s="70"/>
      <c r="V134" s="70" t="s">
        <v>2240</v>
      </c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8" s="73" customFormat="1" ht="16.5" customHeight="1" thickBot="1" x14ac:dyDescent="0.3">
      <c r="A135"/>
      <c r="B135"/>
      <c r="C135"/>
      <c r="D135"/>
      <c r="E135"/>
      <c r="F135" s="73" t="s">
        <v>51</v>
      </c>
      <c r="G135" s="85" t="s">
        <v>1405</v>
      </c>
      <c r="H135" s="85" t="s">
        <v>1052</v>
      </c>
      <c r="I135" s="73" t="s">
        <v>1514</v>
      </c>
      <c r="J135" s="85" t="s">
        <v>18</v>
      </c>
      <c r="K135" s="85" t="s">
        <v>1291</v>
      </c>
      <c r="L135" s="85"/>
      <c r="M135" s="85" t="s">
        <v>1406</v>
      </c>
      <c r="N135" s="85"/>
      <c r="O135" s="132">
        <f t="shared" si="7"/>
        <v>28</v>
      </c>
      <c r="P135" s="137" t="s">
        <v>1753</v>
      </c>
      <c r="Q135" s="132">
        <f t="shared" si="8"/>
        <v>0</v>
      </c>
      <c r="R135" s="133">
        <f t="shared" si="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8" s="73" customFormat="1" ht="15" customHeight="1" thickBot="1" x14ac:dyDescent="0.3">
      <c r="A136"/>
      <c r="B136"/>
      <c r="C136"/>
      <c r="D136"/>
      <c r="E136"/>
      <c r="F136" s="73" t="s">
        <v>51</v>
      </c>
      <c r="G136" s="85" t="s">
        <v>1491</v>
      </c>
      <c r="H136" s="85" t="s">
        <v>1052</v>
      </c>
      <c r="I136" s="73" t="s">
        <v>1492</v>
      </c>
      <c r="J136" s="85" t="s">
        <v>18</v>
      </c>
      <c r="K136" s="85" t="s">
        <v>1291</v>
      </c>
      <c r="L136" s="85"/>
      <c r="M136" s="85" t="s">
        <v>1496</v>
      </c>
      <c r="N136" s="85"/>
      <c r="O136" s="132">
        <f t="shared" si="7"/>
        <v>28</v>
      </c>
      <c r="P136" s="137" t="s">
        <v>1754</v>
      </c>
      <c r="Q136" s="132">
        <f t="shared" si="8"/>
        <v>0</v>
      </c>
      <c r="R136" s="133">
        <f t="shared" si="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8" ht="15.75" thickBot="1" x14ac:dyDescent="0.3">
      <c r="A137"/>
      <c r="B137"/>
      <c r="C137"/>
      <c r="D137"/>
      <c r="E137"/>
      <c r="F137" t="s">
        <v>51</v>
      </c>
      <c r="G137" s="30" t="s">
        <v>1470</v>
      </c>
      <c r="H137" s="30" t="s">
        <v>1052</v>
      </c>
      <c r="I137" t="s">
        <v>1469</v>
      </c>
      <c r="J137" s="85" t="s">
        <v>72</v>
      </c>
      <c r="K137" s="85" t="s">
        <v>27</v>
      </c>
      <c r="L137" s="85"/>
      <c r="M137" s="85" t="s">
        <v>1471</v>
      </c>
      <c r="N137" s="85" t="s">
        <v>2284</v>
      </c>
      <c r="O137" s="132">
        <f t="shared" si="7"/>
        <v>28</v>
      </c>
      <c r="P137" s="137" t="s">
        <v>1755</v>
      </c>
      <c r="Q137" s="132">
        <f t="shared" si="8"/>
        <v>0</v>
      </c>
      <c r="R137" s="133">
        <f t="shared" si="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</row>
    <row r="138" spans="1:48" ht="15.75" thickBot="1" x14ac:dyDescent="0.3">
      <c r="A138"/>
      <c r="B138"/>
      <c r="C138"/>
      <c r="D138"/>
      <c r="E138"/>
      <c r="F138" t="s">
        <v>51</v>
      </c>
      <c r="G138" s="30" t="s">
        <v>1473</v>
      </c>
      <c r="H138" s="30" t="s">
        <v>1052</v>
      </c>
      <c r="I138" t="s">
        <v>1472</v>
      </c>
      <c r="J138" s="85" t="s">
        <v>18</v>
      </c>
      <c r="K138" s="85" t="s">
        <v>27</v>
      </c>
      <c r="L138" s="85"/>
      <c r="M138" s="85" t="s">
        <v>1474</v>
      </c>
      <c r="N138" s="85" t="s">
        <v>2284</v>
      </c>
      <c r="O138" s="132">
        <f t="shared" si="7"/>
        <v>28</v>
      </c>
      <c r="P138" s="137" t="s">
        <v>1756</v>
      </c>
      <c r="Q138" s="132">
        <f t="shared" si="8"/>
        <v>0</v>
      </c>
      <c r="R138" s="133">
        <f t="shared" si="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</row>
    <row r="139" spans="1:48" s="73" customFormat="1" ht="15.75" thickBot="1" x14ac:dyDescent="0.3">
      <c r="A139"/>
      <c r="B139"/>
      <c r="C139"/>
      <c r="D139"/>
      <c r="E139"/>
      <c r="F139" s="73" t="s">
        <v>51</v>
      </c>
      <c r="G139" s="85" t="s">
        <v>1505</v>
      </c>
      <c r="H139" s="85" t="s">
        <v>1052</v>
      </c>
      <c r="I139" s="73" t="s">
        <v>1506</v>
      </c>
      <c r="J139" s="85" t="s">
        <v>18</v>
      </c>
      <c r="K139" s="85" t="s">
        <v>1291</v>
      </c>
      <c r="L139" s="85"/>
      <c r="M139" s="85" t="s">
        <v>1507</v>
      </c>
      <c r="N139" s="85"/>
      <c r="O139" s="132">
        <f t="shared" si="7"/>
        <v>28</v>
      </c>
      <c r="P139" s="137" t="s">
        <v>1757</v>
      </c>
      <c r="Q139" s="132">
        <f t="shared" si="8"/>
        <v>0</v>
      </c>
      <c r="R139" s="133">
        <f t="shared" si="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8" ht="15.75" thickBot="1" x14ac:dyDescent="0.3">
      <c r="A140">
        <v>2</v>
      </c>
      <c r="B140">
        <v>23</v>
      </c>
      <c r="C140"/>
      <c r="D140"/>
      <c r="E140" t="s">
        <v>2349</v>
      </c>
      <c r="F140" t="s">
        <v>51</v>
      </c>
      <c r="G140" s="30" t="s">
        <v>1508</v>
      </c>
      <c r="H140" s="30" t="s">
        <v>1052</v>
      </c>
      <c r="I140" t="s">
        <v>1509</v>
      </c>
      <c r="J140" s="85" t="s">
        <v>18</v>
      </c>
      <c r="K140" s="85" t="s">
        <v>27</v>
      </c>
      <c r="L140" s="85"/>
      <c r="M140" s="85" t="s">
        <v>1510</v>
      </c>
      <c r="N140" s="85"/>
      <c r="O140" s="132">
        <f t="shared" si="7"/>
        <v>28</v>
      </c>
      <c r="P140" s="137" t="s">
        <v>1758</v>
      </c>
      <c r="Q140" s="132">
        <f t="shared" si="8"/>
        <v>0</v>
      </c>
      <c r="R140" s="133">
        <f t="shared" si="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</row>
    <row r="141" spans="1:48" ht="15.75" thickBot="1" x14ac:dyDescent="0.3">
      <c r="A141">
        <v>3</v>
      </c>
      <c r="B141">
        <v>13</v>
      </c>
      <c r="C141"/>
      <c r="D141"/>
      <c r="E141" t="s">
        <v>2350</v>
      </c>
      <c r="F141" t="s">
        <v>51</v>
      </c>
      <c r="G141" s="30" t="s">
        <v>1630</v>
      </c>
      <c r="H141" s="30" t="s">
        <v>1052</v>
      </c>
      <c r="I141" t="s">
        <v>1631</v>
      </c>
      <c r="J141" s="85" t="s">
        <v>18</v>
      </c>
      <c r="K141" s="85" t="s">
        <v>27</v>
      </c>
      <c r="L141" s="85"/>
      <c r="M141" s="85" t="s">
        <v>2099</v>
      </c>
      <c r="N141" s="85"/>
      <c r="O141" s="132">
        <f t="shared" si="7"/>
        <v>28</v>
      </c>
      <c r="P141" s="137" t="s">
        <v>2161</v>
      </c>
      <c r="Q141" s="132">
        <f t="shared" si="8"/>
        <v>0</v>
      </c>
      <c r="R141" s="133">
        <f t="shared" si="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</row>
    <row r="142" spans="1:48" s="73" customFormat="1" ht="15.75" thickBot="1" x14ac:dyDescent="0.3">
      <c r="A142"/>
      <c r="B142"/>
      <c r="C142"/>
      <c r="D142"/>
      <c r="E142"/>
      <c r="F142" s="73" t="s">
        <v>51</v>
      </c>
      <c r="G142" s="85" t="s">
        <v>1548</v>
      </c>
      <c r="H142" s="85" t="s">
        <v>1052</v>
      </c>
      <c r="I142" s="73" t="s">
        <v>1550</v>
      </c>
      <c r="J142" s="85" t="s">
        <v>18</v>
      </c>
      <c r="K142" s="85" t="s">
        <v>27</v>
      </c>
      <c r="L142" s="85"/>
      <c r="M142" s="85" t="s">
        <v>1552</v>
      </c>
      <c r="N142" s="85"/>
      <c r="O142" s="132">
        <f t="shared" si="7"/>
        <v>28</v>
      </c>
      <c r="P142" s="137" t="s">
        <v>1759</v>
      </c>
      <c r="Q142" s="132">
        <f t="shared" si="8"/>
        <v>0</v>
      </c>
      <c r="R142" s="133">
        <f t="shared" si="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</row>
    <row r="143" spans="1:48" s="73" customFormat="1" ht="15.75" thickBot="1" x14ac:dyDescent="0.3">
      <c r="A143">
        <v>2</v>
      </c>
      <c r="B143">
        <v>20</v>
      </c>
      <c r="C143"/>
      <c r="D143"/>
      <c r="E143" t="s">
        <v>2348</v>
      </c>
      <c r="F143" s="73" t="s">
        <v>51</v>
      </c>
      <c r="G143" s="85" t="s">
        <v>1549</v>
      </c>
      <c r="H143" s="85" t="s">
        <v>1052</v>
      </c>
      <c r="I143" s="73" t="s">
        <v>1551</v>
      </c>
      <c r="J143" s="85" t="s">
        <v>18</v>
      </c>
      <c r="K143" s="85" t="s">
        <v>1291</v>
      </c>
      <c r="L143" s="85"/>
      <c r="M143" s="85" t="s">
        <v>1553</v>
      </c>
      <c r="N143" s="85"/>
      <c r="O143" s="132">
        <f t="shared" si="7"/>
        <v>28</v>
      </c>
      <c r="P143" s="137" t="s">
        <v>1760</v>
      </c>
      <c r="Q143" s="132">
        <f t="shared" si="8"/>
        <v>0</v>
      </c>
      <c r="R143" s="133">
        <f t="shared" si="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</row>
    <row r="144" spans="1:48" s="73" customFormat="1" ht="15.75" thickBot="1" x14ac:dyDescent="0.3">
      <c r="A144"/>
      <c r="B144"/>
      <c r="C144"/>
      <c r="D144"/>
      <c r="E144"/>
      <c r="F144" s="73" t="s">
        <v>51</v>
      </c>
      <c r="G144" s="85" t="s">
        <v>2106</v>
      </c>
      <c r="H144" s="85" t="s">
        <v>1052</v>
      </c>
      <c r="I144" s="73" t="s">
        <v>2107</v>
      </c>
      <c r="J144" s="85" t="s">
        <v>18</v>
      </c>
      <c r="K144" s="85" t="s">
        <v>1291</v>
      </c>
      <c r="L144" s="85"/>
      <c r="M144" s="85" t="s">
        <v>2162</v>
      </c>
      <c r="N144" s="85"/>
      <c r="O144" s="132">
        <f t="shared" si="7"/>
        <v>28</v>
      </c>
      <c r="P144" s="137" t="s">
        <v>2163</v>
      </c>
      <c r="Q144" s="132">
        <f t="shared" si="8"/>
        <v>0</v>
      </c>
      <c r="R144" s="133">
        <f t="shared" si="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</row>
    <row r="145" spans="1:48" s="73" customFormat="1" ht="15.75" thickBot="1" x14ac:dyDescent="0.3">
      <c r="A145"/>
      <c r="B145"/>
      <c r="C145"/>
      <c r="D145"/>
      <c r="E145"/>
      <c r="F145" s="73" t="s">
        <v>51</v>
      </c>
      <c r="G145" s="85" t="s">
        <v>2186</v>
      </c>
      <c r="H145" s="85" t="s">
        <v>1052</v>
      </c>
      <c r="I145" s="73" t="s">
        <v>2187</v>
      </c>
      <c r="J145" s="85" t="s">
        <v>18</v>
      </c>
      <c r="K145" s="85" t="s">
        <v>1291</v>
      </c>
      <c r="L145" s="85"/>
      <c r="M145" s="85" t="s">
        <v>2288</v>
      </c>
      <c r="N145" s="85"/>
      <c r="O145" s="132">
        <f t="shared" si="7"/>
        <v>28</v>
      </c>
      <c r="P145" s="137" t="s">
        <v>2188</v>
      </c>
      <c r="Q145" s="132">
        <f t="shared" si="8"/>
        <v>0</v>
      </c>
      <c r="R145" s="133">
        <f t="shared" si="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</row>
    <row r="146" spans="1:48" s="73" customFormat="1" ht="15.75" thickBot="1" x14ac:dyDescent="0.3">
      <c r="A146"/>
      <c r="B146"/>
      <c r="C146"/>
      <c r="D146"/>
      <c r="E146"/>
      <c r="F146" s="73" t="s">
        <v>51</v>
      </c>
      <c r="G146" s="85" t="s">
        <v>2215</v>
      </c>
      <c r="H146" s="85" t="s">
        <v>1052</v>
      </c>
      <c r="I146" s="73" t="s">
        <v>2216</v>
      </c>
      <c r="J146" s="85" t="s">
        <v>18</v>
      </c>
      <c r="K146" s="30" t="s">
        <v>27</v>
      </c>
      <c r="L146" s="85"/>
      <c r="M146" s="85" t="s">
        <v>2217</v>
      </c>
      <c r="N146" s="85"/>
      <c r="O146" s="132">
        <f t="shared" si="7"/>
        <v>27</v>
      </c>
      <c r="P146" s="137" t="s">
        <v>2218</v>
      </c>
      <c r="Q146" s="132">
        <f t="shared" si="8"/>
        <v>1</v>
      </c>
      <c r="R146" s="133">
        <f t="shared" si="9"/>
        <v>0.9642857142857143</v>
      </c>
      <c r="S146" s="70"/>
      <c r="T146" s="70"/>
      <c r="U146" s="70"/>
      <c r="V146" s="70" t="s">
        <v>2240</v>
      </c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8" s="73" customFormat="1" ht="15.75" thickBot="1" x14ac:dyDescent="0.3">
      <c r="A147"/>
      <c r="B147"/>
      <c r="C147"/>
      <c r="D147"/>
      <c r="E147"/>
      <c r="F147" s="73" t="s">
        <v>51</v>
      </c>
      <c r="G147" s="85" t="s">
        <v>2268</v>
      </c>
      <c r="H147" s="85" t="s">
        <v>1052</v>
      </c>
      <c r="I147" s="73" t="s">
        <v>2269</v>
      </c>
      <c r="J147" s="85" t="s">
        <v>18</v>
      </c>
      <c r="K147" s="30" t="s">
        <v>27</v>
      </c>
      <c r="L147" s="85"/>
      <c r="M147" s="85" t="s">
        <v>2270</v>
      </c>
      <c r="N147" s="85"/>
      <c r="O147" s="132">
        <f t="shared" si="7"/>
        <v>27</v>
      </c>
      <c r="P147" s="137" t="s">
        <v>2271</v>
      </c>
      <c r="Q147" s="132">
        <f t="shared" si="8"/>
        <v>1</v>
      </c>
      <c r="R147" s="133">
        <f t="shared" si="9"/>
        <v>0.9642857142857143</v>
      </c>
      <c r="S147" s="70"/>
      <c r="T147" s="70"/>
      <c r="U147" s="70"/>
      <c r="V147" s="70" t="s">
        <v>2240</v>
      </c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144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8" ht="15.75" thickBot="1" x14ac:dyDescent="0.3">
      <c r="A148"/>
      <c r="B148"/>
      <c r="C148"/>
      <c r="D148"/>
      <c r="E148"/>
      <c r="F148" t="s">
        <v>164</v>
      </c>
      <c r="G148" t="s">
        <v>165</v>
      </c>
      <c r="H148" t="s">
        <v>1052</v>
      </c>
      <c r="I148" t="s">
        <v>166</v>
      </c>
      <c r="J148" s="30" t="s">
        <v>18</v>
      </c>
      <c r="K148" s="30" t="s">
        <v>1046</v>
      </c>
      <c r="L148" s="30"/>
      <c r="M148" s="30" t="s">
        <v>1396</v>
      </c>
      <c r="N148" s="30"/>
      <c r="O148" s="31">
        <f t="shared" si="7"/>
        <v>28</v>
      </c>
      <c r="P148" s="137" t="s">
        <v>1761</v>
      </c>
      <c r="Q148" s="31">
        <f t="shared" si="8"/>
        <v>0</v>
      </c>
      <c r="R148" s="32">
        <f t="shared" si="9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</row>
    <row r="149" spans="1:48" ht="15.75" thickBot="1" x14ac:dyDescent="0.3">
      <c r="A149"/>
      <c r="B149"/>
      <c r="C149"/>
      <c r="D149"/>
      <c r="E149"/>
      <c r="F149" t="s">
        <v>167</v>
      </c>
      <c r="G149" t="s">
        <v>168</v>
      </c>
      <c r="H149" t="s">
        <v>1052</v>
      </c>
      <c r="I149" t="s">
        <v>169</v>
      </c>
      <c r="J149" s="30" t="s">
        <v>18</v>
      </c>
      <c r="K149" s="30" t="s">
        <v>1046</v>
      </c>
      <c r="L149" s="30"/>
      <c r="M149" s="30" t="s">
        <v>678</v>
      </c>
      <c r="N149" s="30"/>
      <c r="O149" s="31">
        <f t="shared" si="7"/>
        <v>28</v>
      </c>
      <c r="P149" s="137"/>
      <c r="Q149" s="31">
        <f t="shared" si="8"/>
        <v>0</v>
      </c>
      <c r="R149" s="32">
        <f t="shared" si="9"/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8" ht="15.75" thickBot="1" x14ac:dyDescent="0.3">
      <c r="A150">
        <v>10</v>
      </c>
      <c r="B150">
        <v>1</v>
      </c>
      <c r="C150"/>
      <c r="D150"/>
      <c r="E150" t="s">
        <v>2359</v>
      </c>
      <c r="F150" t="s">
        <v>167</v>
      </c>
      <c r="G150" t="s">
        <v>170</v>
      </c>
      <c r="H150" t="s">
        <v>1052</v>
      </c>
      <c r="I150" t="s">
        <v>171</v>
      </c>
      <c r="J150" s="30" t="s">
        <v>14</v>
      </c>
      <c r="K150" s="30" t="s">
        <v>27</v>
      </c>
      <c r="L150" s="30"/>
      <c r="M150" s="30" t="s">
        <v>679</v>
      </c>
      <c r="N150" s="30"/>
      <c r="O150" s="31">
        <f t="shared" si="7"/>
        <v>28</v>
      </c>
      <c r="P150" s="137" t="s">
        <v>1762</v>
      </c>
      <c r="Q150" s="31">
        <f t="shared" si="8"/>
        <v>0</v>
      </c>
      <c r="R150" s="32">
        <f t="shared" si="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8" ht="15.75" thickBot="1" x14ac:dyDescent="0.3">
      <c r="A151">
        <v>9</v>
      </c>
      <c r="B151">
        <v>2</v>
      </c>
      <c r="C151"/>
      <c r="D151"/>
      <c r="E151" t="s">
        <v>44</v>
      </c>
      <c r="F151" t="s">
        <v>167</v>
      </c>
      <c r="G151" t="s">
        <v>172</v>
      </c>
      <c r="H151" t="s">
        <v>1052</v>
      </c>
      <c r="I151" t="s">
        <v>173</v>
      </c>
      <c r="J151" s="30" t="s">
        <v>14</v>
      </c>
      <c r="K151" s="30" t="s">
        <v>27</v>
      </c>
      <c r="L151" s="30"/>
      <c r="M151" s="30" t="s">
        <v>680</v>
      </c>
      <c r="N151" s="30"/>
      <c r="O151" s="31">
        <f t="shared" si="7"/>
        <v>28</v>
      </c>
      <c r="P151" s="137" t="s">
        <v>1763</v>
      </c>
      <c r="Q151" s="31">
        <f t="shared" si="8"/>
        <v>0</v>
      </c>
      <c r="R151" s="32">
        <f t="shared" si="9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8" ht="15.75" thickBot="1" x14ac:dyDescent="0.3">
      <c r="A152">
        <v>6</v>
      </c>
      <c r="B152">
        <v>12</v>
      </c>
      <c r="C152"/>
      <c r="D152"/>
      <c r="E152" t="s">
        <v>2353</v>
      </c>
      <c r="F152" t="s">
        <v>174</v>
      </c>
      <c r="G152" t="s">
        <v>2372</v>
      </c>
      <c r="H152" t="s">
        <v>1053</v>
      </c>
      <c r="I152" t="s">
        <v>175</v>
      </c>
      <c r="J152" s="30" t="s">
        <v>18</v>
      </c>
      <c r="K152" s="30" t="s">
        <v>27</v>
      </c>
      <c r="L152" s="30"/>
      <c r="M152" s="30" t="s">
        <v>2178</v>
      </c>
      <c r="N152" s="30"/>
      <c r="O152" s="31">
        <f t="shared" si="7"/>
        <v>27</v>
      </c>
      <c r="P152" s="137" t="s">
        <v>1764</v>
      </c>
      <c r="Q152" s="31">
        <f t="shared" si="8"/>
        <v>1</v>
      </c>
      <c r="R152" s="32">
        <f t="shared" si="9"/>
        <v>0.9642857142857143</v>
      </c>
      <c r="S152" s="70"/>
      <c r="T152" s="70"/>
      <c r="U152" s="70"/>
      <c r="V152" s="70" t="s">
        <v>2240</v>
      </c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</row>
    <row r="153" spans="1:48" ht="15.75" thickBot="1" x14ac:dyDescent="0.3">
      <c r="A153">
        <v>6</v>
      </c>
      <c r="B153">
        <v>12</v>
      </c>
      <c r="C153"/>
      <c r="D153"/>
      <c r="E153" t="s">
        <v>2353</v>
      </c>
      <c r="F153" t="s">
        <v>176</v>
      </c>
      <c r="G153" t="s">
        <v>2373</v>
      </c>
      <c r="H153" t="s">
        <v>1053</v>
      </c>
      <c r="I153" t="s">
        <v>177</v>
      </c>
      <c r="J153" s="30" t="s">
        <v>18</v>
      </c>
      <c r="K153" s="30" t="s">
        <v>1046</v>
      </c>
      <c r="L153" s="30"/>
      <c r="M153" s="30" t="s">
        <v>1299</v>
      </c>
      <c r="N153" s="30"/>
      <c r="O153" s="31">
        <f t="shared" si="7"/>
        <v>27</v>
      </c>
      <c r="P153" s="137" t="s">
        <v>1765</v>
      </c>
      <c r="Q153" s="31">
        <f t="shared" si="8"/>
        <v>1</v>
      </c>
      <c r="R153" s="32">
        <f t="shared" si="9"/>
        <v>0.9642857142857143</v>
      </c>
      <c r="S153" s="70"/>
      <c r="T153" s="70"/>
      <c r="U153" s="70"/>
      <c r="V153" s="70" t="s">
        <v>2240</v>
      </c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</row>
    <row r="154" spans="1:48" ht="15.75" thickBot="1" x14ac:dyDescent="0.3">
      <c r="A154"/>
      <c r="B154"/>
      <c r="C154"/>
      <c r="D154"/>
      <c r="E154"/>
      <c r="F154" t="s">
        <v>176</v>
      </c>
      <c r="G154" t="s">
        <v>928</v>
      </c>
      <c r="H154" t="s">
        <v>1053</v>
      </c>
      <c r="I154" t="s">
        <v>178</v>
      </c>
      <c r="J154" s="30" t="s">
        <v>14</v>
      </c>
      <c r="K154" s="30" t="s">
        <v>19</v>
      </c>
      <c r="L154" s="30"/>
      <c r="M154" s="30" t="s">
        <v>2375</v>
      </c>
      <c r="N154" s="30"/>
      <c r="O154" s="31">
        <f t="shared" si="7"/>
        <v>28</v>
      </c>
      <c r="P154" s="137" t="s">
        <v>1764</v>
      </c>
      <c r="Q154" s="31">
        <f t="shared" si="8"/>
        <v>0</v>
      </c>
      <c r="R154" s="32">
        <f t="shared" si="9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8" ht="15.75" thickBot="1" x14ac:dyDescent="0.3">
      <c r="A155">
        <v>6</v>
      </c>
      <c r="B155">
        <v>12</v>
      </c>
      <c r="C155"/>
      <c r="D155"/>
      <c r="E155" t="s">
        <v>2353</v>
      </c>
      <c r="F155" s="69" t="s">
        <v>176</v>
      </c>
      <c r="G155" t="s">
        <v>1217</v>
      </c>
      <c r="H155" t="s">
        <v>1053</v>
      </c>
      <c r="I155" t="s">
        <v>1218</v>
      </c>
      <c r="J155" t="s">
        <v>18</v>
      </c>
      <c r="K155" t="s">
        <v>27</v>
      </c>
      <c r="L155"/>
      <c r="M155" s="30" t="s">
        <v>1228</v>
      </c>
      <c r="N155" s="30"/>
      <c r="O155" s="31">
        <f t="shared" si="7"/>
        <v>27</v>
      </c>
      <c r="P155" s="137" t="s">
        <v>1766</v>
      </c>
      <c r="Q155" s="31">
        <f t="shared" si="8"/>
        <v>1</v>
      </c>
      <c r="R155" s="32">
        <f t="shared" si="9"/>
        <v>0.9642857142857143</v>
      </c>
      <c r="S155" s="70"/>
      <c r="T155" s="70"/>
      <c r="U155" s="70"/>
      <c r="V155" s="70" t="s">
        <v>2240</v>
      </c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8" ht="15.75" thickBot="1" x14ac:dyDescent="0.3">
      <c r="A156"/>
      <c r="B156"/>
      <c r="C156"/>
      <c r="D156"/>
      <c r="E156"/>
      <c r="F156" s="69"/>
      <c r="G156" t="s">
        <v>2362</v>
      </c>
      <c r="H156" t="s">
        <v>1053</v>
      </c>
      <c r="I156" t="s">
        <v>2363</v>
      </c>
      <c r="J156" s="30" t="s">
        <v>14</v>
      </c>
      <c r="K156" s="30" t="s">
        <v>1291</v>
      </c>
      <c r="L156"/>
      <c r="M156" s="30" t="s">
        <v>2364</v>
      </c>
      <c r="N156" s="30"/>
      <c r="O156" s="31"/>
      <c r="P156" s="137" t="s">
        <v>2365</v>
      </c>
      <c r="Q156" s="31"/>
      <c r="R156" s="32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8" s="89" customFormat="1" ht="15.75" thickBot="1" x14ac:dyDescent="0.3">
      <c r="F157" s="73" t="s">
        <v>181</v>
      </c>
      <c r="G157" s="73" t="s">
        <v>179</v>
      </c>
      <c r="H157" s="89" t="s">
        <v>1052</v>
      </c>
      <c r="I157" s="73" t="s">
        <v>180</v>
      </c>
      <c r="J157" s="90" t="s">
        <v>18</v>
      </c>
      <c r="K157" s="85" t="s">
        <v>1291</v>
      </c>
      <c r="L157" s="85"/>
      <c r="M157" s="85" t="s">
        <v>2325</v>
      </c>
      <c r="N157" s="85"/>
      <c r="O157" s="86">
        <f t="shared" si="7"/>
        <v>28</v>
      </c>
      <c r="P157" s="137" t="s">
        <v>2326</v>
      </c>
      <c r="Q157" s="86">
        <f t="shared" si="8"/>
        <v>0</v>
      </c>
      <c r="R157" s="131">
        <f t="shared" si="9"/>
        <v>1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70"/>
      <c r="AN157" s="91"/>
      <c r="AO157" s="91"/>
      <c r="AP157" s="91"/>
      <c r="AQ157" s="91"/>
      <c r="AR157" s="91"/>
      <c r="AS157" s="91"/>
      <c r="AT157" s="91"/>
      <c r="AU157" s="91"/>
      <c r="AV157" s="91"/>
    </row>
    <row r="158" spans="1:48" ht="15.75" thickBot="1" x14ac:dyDescent="0.3">
      <c r="A158">
        <v>6</v>
      </c>
      <c r="B158">
        <v>12</v>
      </c>
      <c r="C158"/>
      <c r="D158"/>
      <c r="E158" t="s">
        <v>2353</v>
      </c>
      <c r="F158" t="s">
        <v>181</v>
      </c>
      <c r="G158" t="s">
        <v>929</v>
      </c>
      <c r="H158" t="s">
        <v>1052</v>
      </c>
      <c r="I158" t="s">
        <v>182</v>
      </c>
      <c r="J158" s="30" t="s">
        <v>72</v>
      </c>
      <c r="K158" s="30" t="s">
        <v>1046</v>
      </c>
      <c r="L158" s="30" t="s">
        <v>1239</v>
      </c>
      <c r="M158" s="30" t="s">
        <v>681</v>
      </c>
      <c r="N158" s="30"/>
      <c r="O158" s="31">
        <f t="shared" si="7"/>
        <v>28</v>
      </c>
      <c r="P158" s="137" t="s">
        <v>1767</v>
      </c>
      <c r="Q158" s="31">
        <f t="shared" si="8"/>
        <v>0</v>
      </c>
      <c r="R158" s="32">
        <f t="shared" si="9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8" ht="15.75" thickBot="1" x14ac:dyDescent="0.3">
      <c r="A159">
        <v>6</v>
      </c>
      <c r="B159">
        <v>12</v>
      </c>
      <c r="C159"/>
      <c r="D159"/>
      <c r="E159" t="s">
        <v>2353</v>
      </c>
      <c r="F159" t="s">
        <v>181</v>
      </c>
      <c r="G159" t="s">
        <v>930</v>
      </c>
      <c r="H159" t="s">
        <v>1052</v>
      </c>
      <c r="I159" t="s">
        <v>182</v>
      </c>
      <c r="J159" s="30" t="s">
        <v>72</v>
      </c>
      <c r="K159" s="30" t="s">
        <v>1046</v>
      </c>
      <c r="L159" s="30" t="s">
        <v>1239</v>
      </c>
      <c r="M159" s="30" t="s">
        <v>682</v>
      </c>
      <c r="N159" s="30"/>
      <c r="O159" s="31">
        <f t="shared" si="7"/>
        <v>28</v>
      </c>
      <c r="P159" s="137" t="s">
        <v>1768</v>
      </c>
      <c r="Q159" s="31">
        <f t="shared" si="8"/>
        <v>0</v>
      </c>
      <c r="R159" s="32">
        <f t="shared" si="9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8" s="89" customFormat="1" ht="15.75" thickBot="1" x14ac:dyDescent="0.3">
      <c r="F160" s="73" t="s">
        <v>181</v>
      </c>
      <c r="G160" s="73" t="s">
        <v>931</v>
      </c>
      <c r="H160" s="89" t="s">
        <v>1052</v>
      </c>
      <c r="I160" s="73" t="s">
        <v>932</v>
      </c>
      <c r="J160" s="90" t="s">
        <v>72</v>
      </c>
      <c r="K160" s="85" t="s">
        <v>1291</v>
      </c>
      <c r="L160" s="85" t="s">
        <v>1239</v>
      </c>
      <c r="M160" s="85" t="s">
        <v>1205</v>
      </c>
      <c r="N160" s="85"/>
      <c r="O160" s="31">
        <f t="shared" si="7"/>
        <v>28</v>
      </c>
      <c r="P160" s="137" t="s">
        <v>2327</v>
      </c>
      <c r="Q160" s="31">
        <f t="shared" si="8"/>
        <v>0</v>
      </c>
      <c r="R160" s="32">
        <f t="shared" si="9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1"/>
      <c r="AL160" s="91"/>
      <c r="AM160" s="70"/>
      <c r="AN160" s="91"/>
      <c r="AO160" s="91"/>
      <c r="AP160" s="91"/>
      <c r="AQ160" s="91"/>
      <c r="AR160" s="91"/>
      <c r="AS160" s="91"/>
      <c r="AT160" s="91"/>
      <c r="AU160" s="91"/>
      <c r="AV160" s="91"/>
    </row>
    <row r="161" spans="1:48" s="89" customFormat="1" ht="16.149999999999999" customHeight="1" thickBot="1" x14ac:dyDescent="0.3">
      <c r="F161" s="73" t="s">
        <v>181</v>
      </c>
      <c r="G161" s="73" t="s">
        <v>933</v>
      </c>
      <c r="H161" s="89" t="s">
        <v>1052</v>
      </c>
      <c r="I161" s="73" t="s">
        <v>932</v>
      </c>
      <c r="J161" s="90" t="s">
        <v>72</v>
      </c>
      <c r="K161" s="85" t="s">
        <v>1291</v>
      </c>
      <c r="L161" s="85" t="s">
        <v>1239</v>
      </c>
      <c r="M161" s="85" t="s">
        <v>1206</v>
      </c>
      <c r="N161" s="85"/>
      <c r="O161" s="31">
        <f t="shared" si="7"/>
        <v>28</v>
      </c>
      <c r="P161" s="137" t="s">
        <v>2328</v>
      </c>
      <c r="Q161" s="31">
        <f t="shared" si="8"/>
        <v>0</v>
      </c>
      <c r="R161" s="32">
        <f t="shared" si="9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1"/>
      <c r="AL161" s="91"/>
      <c r="AM161" s="70"/>
      <c r="AN161" s="91"/>
      <c r="AO161" s="91"/>
      <c r="AP161" s="91"/>
      <c r="AQ161" s="91"/>
      <c r="AR161" s="91"/>
      <c r="AS161" s="91"/>
      <c r="AT161" s="91"/>
      <c r="AU161" s="91"/>
      <c r="AV161" s="91"/>
    </row>
    <row r="162" spans="1:48" ht="15.75" thickBot="1" x14ac:dyDescent="0.3">
      <c r="A162"/>
      <c r="B162"/>
      <c r="C162"/>
      <c r="D162"/>
      <c r="E162"/>
      <c r="F162" t="s">
        <v>181</v>
      </c>
      <c r="G162" t="s">
        <v>1124</v>
      </c>
      <c r="H162" t="s">
        <v>1052</v>
      </c>
      <c r="I162" t="s">
        <v>1119</v>
      </c>
      <c r="J162" s="30" t="s">
        <v>72</v>
      </c>
      <c r="K162" s="30" t="s">
        <v>1046</v>
      </c>
      <c r="L162" s="30" t="s">
        <v>1239</v>
      </c>
      <c r="M162" s="30" t="s">
        <v>1132</v>
      </c>
      <c r="N162" s="30"/>
      <c r="O162" s="31">
        <f t="shared" si="7"/>
        <v>28</v>
      </c>
      <c r="P162" s="137" t="s">
        <v>1769</v>
      </c>
      <c r="Q162" s="31">
        <f t="shared" si="8"/>
        <v>0</v>
      </c>
      <c r="R162" s="32">
        <f t="shared" si="9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</row>
    <row r="163" spans="1:48" ht="15.75" thickBot="1" x14ac:dyDescent="0.3">
      <c r="A163"/>
      <c r="B163"/>
      <c r="C163"/>
      <c r="D163"/>
      <c r="E163"/>
      <c r="F163" t="s">
        <v>181</v>
      </c>
      <c r="G163" t="s">
        <v>1125</v>
      </c>
      <c r="H163" t="s">
        <v>1052</v>
      </c>
      <c r="I163" t="s">
        <v>1119</v>
      </c>
      <c r="J163" s="30" t="s">
        <v>72</v>
      </c>
      <c r="K163" s="30" t="s">
        <v>1046</v>
      </c>
      <c r="L163" s="30" t="s">
        <v>1239</v>
      </c>
      <c r="M163" s="30" t="s">
        <v>1133</v>
      </c>
      <c r="N163" s="30"/>
      <c r="O163" s="31">
        <f t="shared" si="7"/>
        <v>28</v>
      </c>
      <c r="P163" s="137" t="s">
        <v>1770</v>
      </c>
      <c r="Q163" s="31">
        <f t="shared" si="8"/>
        <v>0</v>
      </c>
      <c r="R163" s="32">
        <f t="shared" si="9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8" s="73" customFormat="1" ht="15.75" thickBot="1" x14ac:dyDescent="0.3">
      <c r="A164"/>
      <c r="B164"/>
      <c r="C164"/>
      <c r="D164"/>
      <c r="E164"/>
      <c r="F164" s="73" t="s">
        <v>181</v>
      </c>
      <c r="G164" s="73" t="s">
        <v>1539</v>
      </c>
      <c r="H164" s="73" t="s">
        <v>1052</v>
      </c>
      <c r="I164" s="73" t="s">
        <v>1540</v>
      </c>
      <c r="J164" s="85" t="s">
        <v>45</v>
      </c>
      <c r="K164" s="85" t="s">
        <v>1291</v>
      </c>
      <c r="L164" s="85"/>
      <c r="M164" s="85" t="s">
        <v>1541</v>
      </c>
      <c r="N164" s="85"/>
      <c r="O164" s="31">
        <f t="shared" si="7"/>
        <v>28</v>
      </c>
      <c r="P164" s="137" t="s">
        <v>2329</v>
      </c>
      <c r="Q164" s="31">
        <f t="shared" si="8"/>
        <v>0</v>
      </c>
      <c r="R164" s="32">
        <f t="shared" si="9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8" s="73" customFormat="1" ht="15.75" thickBot="1" x14ac:dyDescent="0.3">
      <c r="A165"/>
      <c r="B165"/>
      <c r="C165"/>
      <c r="D165"/>
      <c r="E165"/>
      <c r="F165" s="73" t="s">
        <v>181</v>
      </c>
      <c r="G165" s="73" t="s">
        <v>2100</v>
      </c>
      <c r="H165" s="73" t="s">
        <v>1052</v>
      </c>
      <c r="I165" s="73" t="s">
        <v>2101</v>
      </c>
      <c r="J165" s="85" t="s">
        <v>45</v>
      </c>
      <c r="K165" s="85" t="s">
        <v>1291</v>
      </c>
      <c r="L165" s="85"/>
      <c r="M165" s="85" t="s">
        <v>2104</v>
      </c>
      <c r="N165" s="85"/>
      <c r="O165" s="31">
        <f t="shared" si="7"/>
        <v>28</v>
      </c>
      <c r="P165" s="137" t="s">
        <v>2330</v>
      </c>
      <c r="Q165" s="31">
        <f t="shared" si="8"/>
        <v>0</v>
      </c>
      <c r="R165" s="32">
        <f t="shared" si="9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</row>
    <row r="166" spans="1:48" s="73" customFormat="1" ht="15.75" thickBot="1" x14ac:dyDescent="0.3">
      <c r="A166"/>
      <c r="B166"/>
      <c r="C166"/>
      <c r="D166"/>
      <c r="E166"/>
      <c r="F166" s="73" t="s">
        <v>1319</v>
      </c>
      <c r="G166" s="73" t="s">
        <v>1307</v>
      </c>
      <c r="H166" s="73" t="s">
        <v>1053</v>
      </c>
      <c r="I166" s="73" t="s">
        <v>1308</v>
      </c>
      <c r="J166" s="85" t="s">
        <v>18</v>
      </c>
      <c r="K166" s="85" t="s">
        <v>1291</v>
      </c>
      <c r="L166" s="85"/>
      <c r="M166" s="85" t="s">
        <v>2332</v>
      </c>
      <c r="N166" s="85"/>
      <c r="O166" s="132">
        <f t="shared" si="7"/>
        <v>28</v>
      </c>
      <c r="P166" s="137" t="s">
        <v>1771</v>
      </c>
      <c r="Q166" s="132">
        <f t="shared" si="8"/>
        <v>0</v>
      </c>
      <c r="R166" s="133">
        <f t="shared" si="9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</row>
    <row r="167" spans="1:48" s="73" customFormat="1" ht="15.75" thickBot="1" x14ac:dyDescent="0.3">
      <c r="A167"/>
      <c r="B167"/>
      <c r="C167"/>
      <c r="D167"/>
      <c r="E167"/>
      <c r="F167" s="73" t="s">
        <v>1319</v>
      </c>
      <c r="G167" s="73" t="s">
        <v>1323</v>
      </c>
      <c r="H167" s="73" t="s">
        <v>1053</v>
      </c>
      <c r="I167" s="73" t="s">
        <v>1324</v>
      </c>
      <c r="J167" s="85" t="s">
        <v>14</v>
      </c>
      <c r="K167" s="85" t="s">
        <v>1291</v>
      </c>
      <c r="L167" s="85"/>
      <c r="M167" s="85" t="s">
        <v>1480</v>
      </c>
      <c r="N167" s="85"/>
      <c r="O167" s="132">
        <f t="shared" ref="O167:O247" si="10">COUNTIF(S167:AT167,"")</f>
        <v>28</v>
      </c>
      <c r="P167" s="137" t="s">
        <v>1772</v>
      </c>
      <c r="Q167" s="132">
        <f t="shared" ref="Q167:Q247" si="11">COUNTIF(S167:AT167,"APAGADO")</f>
        <v>0</v>
      </c>
      <c r="R167" s="133">
        <f t="shared" ref="R167:R247" si="12">(O167)/(Q167+O167)</f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8" s="73" customFormat="1" ht="15.75" thickBot="1" x14ac:dyDescent="0.3">
      <c r="A168"/>
      <c r="B168"/>
      <c r="C168"/>
      <c r="D168"/>
      <c r="E168"/>
      <c r="F168" s="73" t="s">
        <v>1319</v>
      </c>
      <c r="G168" s="73" t="s">
        <v>2262</v>
      </c>
      <c r="H168" s="73" t="s">
        <v>1053</v>
      </c>
      <c r="I168" s="73" t="s">
        <v>2263</v>
      </c>
      <c r="J168" s="85" t="s">
        <v>14</v>
      </c>
      <c r="K168" s="85" t="s">
        <v>1291</v>
      </c>
      <c r="L168" s="85"/>
      <c r="M168" s="85" t="s">
        <v>2264</v>
      </c>
      <c r="N168" s="85"/>
      <c r="O168" s="132">
        <f t="shared" si="10"/>
        <v>28</v>
      </c>
      <c r="P168" s="137" t="s">
        <v>2331</v>
      </c>
      <c r="Q168" s="132">
        <f t="shared" si="11"/>
        <v>0</v>
      </c>
      <c r="R168" s="133">
        <f t="shared" si="1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8" ht="15.75" thickBot="1" x14ac:dyDescent="0.3">
      <c r="A169"/>
      <c r="B169"/>
      <c r="C169"/>
      <c r="D169"/>
      <c r="E169" t="s">
        <v>2366</v>
      </c>
      <c r="F169" t="s">
        <v>183</v>
      </c>
      <c r="G169" t="s">
        <v>934</v>
      </c>
      <c r="H169" t="s">
        <v>1053</v>
      </c>
      <c r="I169" t="s">
        <v>184</v>
      </c>
      <c r="J169" s="30" t="s">
        <v>14</v>
      </c>
      <c r="K169" s="30" t="s">
        <v>27</v>
      </c>
      <c r="L169" s="30"/>
      <c r="M169" s="30" t="s">
        <v>683</v>
      </c>
      <c r="N169" s="30"/>
      <c r="O169" s="31">
        <f t="shared" si="10"/>
        <v>27</v>
      </c>
      <c r="P169" s="137" t="s">
        <v>1773</v>
      </c>
      <c r="Q169" s="31">
        <f t="shared" si="11"/>
        <v>1</v>
      </c>
      <c r="R169" s="32">
        <f t="shared" si="12"/>
        <v>0.9642857142857143</v>
      </c>
      <c r="S169" s="70"/>
      <c r="T169" s="70"/>
      <c r="U169" s="70"/>
      <c r="V169" s="70" t="s">
        <v>2240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8" ht="15.75" thickBot="1" x14ac:dyDescent="0.3">
      <c r="A170"/>
      <c r="B170"/>
      <c r="C170"/>
      <c r="D170"/>
      <c r="E170" t="s">
        <v>2366</v>
      </c>
      <c r="F170" t="s">
        <v>183</v>
      </c>
      <c r="G170" t="s">
        <v>935</v>
      </c>
      <c r="H170" t="s">
        <v>1053</v>
      </c>
      <c r="I170" t="s">
        <v>185</v>
      </c>
      <c r="J170" s="30" t="s">
        <v>14</v>
      </c>
      <c r="K170" s="30" t="s">
        <v>27</v>
      </c>
      <c r="L170" s="30"/>
      <c r="M170" s="30" t="s">
        <v>684</v>
      </c>
      <c r="N170" s="30"/>
      <c r="O170" s="31">
        <f t="shared" si="10"/>
        <v>28</v>
      </c>
      <c r="P170" s="137" t="s">
        <v>1774</v>
      </c>
      <c r="Q170" s="31">
        <f t="shared" si="11"/>
        <v>0</v>
      </c>
      <c r="R170" s="32">
        <f t="shared" si="1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8" ht="15.75" thickBot="1" x14ac:dyDescent="0.3">
      <c r="A171"/>
      <c r="B171"/>
      <c r="C171"/>
      <c r="D171"/>
      <c r="E171" t="s">
        <v>2366</v>
      </c>
      <c r="F171" t="s">
        <v>183</v>
      </c>
      <c r="G171" t="s">
        <v>936</v>
      </c>
      <c r="H171" t="s">
        <v>1053</v>
      </c>
      <c r="I171" t="s">
        <v>186</v>
      </c>
      <c r="J171" s="30" t="s">
        <v>18</v>
      </c>
      <c r="K171" s="30" t="s">
        <v>27</v>
      </c>
      <c r="L171" s="30"/>
      <c r="M171" s="30" t="s">
        <v>1300</v>
      </c>
      <c r="N171" s="30"/>
      <c r="O171" s="31">
        <f t="shared" si="10"/>
        <v>28</v>
      </c>
      <c r="P171" s="137" t="s">
        <v>1775</v>
      </c>
      <c r="Q171" s="31">
        <f t="shared" si="11"/>
        <v>0</v>
      </c>
      <c r="R171" s="32">
        <f t="shared" si="1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8" ht="15.75" thickBot="1" x14ac:dyDescent="0.3">
      <c r="A172"/>
      <c r="B172"/>
      <c r="C172"/>
      <c r="D172"/>
      <c r="E172" t="s">
        <v>2366</v>
      </c>
      <c r="F172" t="s">
        <v>183</v>
      </c>
      <c r="G172" t="s">
        <v>937</v>
      </c>
      <c r="H172" t="s">
        <v>1053</v>
      </c>
      <c r="I172" t="s">
        <v>187</v>
      </c>
      <c r="J172" s="30" t="s">
        <v>14</v>
      </c>
      <c r="K172" s="30" t="s">
        <v>27</v>
      </c>
      <c r="L172" s="30"/>
      <c r="M172" s="30" t="s">
        <v>685</v>
      </c>
      <c r="N172" s="30"/>
      <c r="O172" s="31">
        <f t="shared" si="10"/>
        <v>28</v>
      </c>
      <c r="P172" s="137" t="s">
        <v>1776</v>
      </c>
      <c r="Q172" s="31">
        <f t="shared" si="11"/>
        <v>0</v>
      </c>
      <c r="R172" s="32">
        <f t="shared" si="12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</row>
    <row r="173" spans="1:48" ht="15.75" thickBot="1" x14ac:dyDescent="0.3">
      <c r="A173"/>
      <c r="B173"/>
      <c r="C173"/>
      <c r="D173"/>
      <c r="E173" t="s">
        <v>2366</v>
      </c>
      <c r="F173" t="s">
        <v>183</v>
      </c>
      <c r="G173" t="s">
        <v>1531</v>
      </c>
      <c r="H173" t="s">
        <v>1053</v>
      </c>
      <c r="I173" t="s">
        <v>968</v>
      </c>
      <c r="J173" s="30" t="s">
        <v>45</v>
      </c>
      <c r="K173" s="30" t="s">
        <v>27</v>
      </c>
      <c r="L173" s="30"/>
      <c r="M173" s="30" t="s">
        <v>1534</v>
      </c>
      <c r="N173" s="30"/>
      <c r="O173" s="31">
        <f t="shared" si="10"/>
        <v>28</v>
      </c>
      <c r="P173" s="137" t="s">
        <v>1777</v>
      </c>
      <c r="Q173" s="31">
        <f t="shared" si="11"/>
        <v>0</v>
      </c>
      <c r="R173" s="32">
        <f t="shared" si="12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8" s="69" customFormat="1" ht="15.75" thickBot="1" x14ac:dyDescent="0.3">
      <c r="E174" s="69" t="s">
        <v>2366</v>
      </c>
      <c r="F174" s="69" t="s">
        <v>183</v>
      </c>
      <c r="G174" s="69" t="s">
        <v>1532</v>
      </c>
      <c r="H174" s="69" t="s">
        <v>1053</v>
      </c>
      <c r="I174" s="69" t="s">
        <v>1533</v>
      </c>
      <c r="J174" s="138" t="s">
        <v>14</v>
      </c>
      <c r="K174" s="138" t="s">
        <v>27</v>
      </c>
      <c r="L174" s="138"/>
      <c r="M174" s="138" t="s">
        <v>1535</v>
      </c>
      <c r="N174" s="138"/>
      <c r="O174" s="141">
        <f t="shared" si="10"/>
        <v>27</v>
      </c>
      <c r="P174" s="142" t="s">
        <v>1778</v>
      </c>
      <c r="Q174" s="141">
        <f t="shared" si="11"/>
        <v>1</v>
      </c>
      <c r="R174" s="143">
        <f t="shared" si="12"/>
        <v>0.9642857142857143</v>
      </c>
      <c r="S174" s="144"/>
      <c r="T174" s="144"/>
      <c r="U174" s="144"/>
      <c r="V174" s="70" t="s">
        <v>2240</v>
      </c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  <c r="AH174" s="70"/>
      <c r="AI174" s="70"/>
      <c r="AJ174" s="144"/>
      <c r="AK174" s="144"/>
      <c r="AL174" s="70"/>
      <c r="AM174" s="70"/>
      <c r="AN174" s="70"/>
      <c r="AO174" s="70"/>
      <c r="AP174" s="70"/>
      <c r="AQ174" s="144"/>
      <c r="AR174" s="70"/>
      <c r="AS174" s="70"/>
      <c r="AT174" s="70"/>
      <c r="AU174" s="70"/>
      <c r="AV174" s="70"/>
    </row>
    <row r="175" spans="1:48" ht="15.75" thickBot="1" x14ac:dyDescent="0.3">
      <c r="A175">
        <v>4</v>
      </c>
      <c r="B175">
        <v>12</v>
      </c>
      <c r="C175"/>
      <c r="D175"/>
      <c r="E175" t="s">
        <v>2351</v>
      </c>
      <c r="F175" t="s">
        <v>188</v>
      </c>
      <c r="G175" t="s">
        <v>191</v>
      </c>
      <c r="H175" t="s">
        <v>1053</v>
      </c>
      <c r="I175" t="s">
        <v>192</v>
      </c>
      <c r="J175" s="30" t="s">
        <v>18</v>
      </c>
      <c r="K175" s="30" t="s">
        <v>1046</v>
      </c>
      <c r="L175" s="30"/>
      <c r="M175" s="30" t="s">
        <v>1427</v>
      </c>
      <c r="N175" s="30"/>
      <c r="O175" s="31">
        <f t="shared" si="10"/>
        <v>28</v>
      </c>
      <c r="P175" s="137" t="s">
        <v>1779</v>
      </c>
      <c r="Q175" s="31">
        <f t="shared" si="11"/>
        <v>0</v>
      </c>
      <c r="R175" s="32">
        <f t="shared" si="1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</row>
    <row r="176" spans="1:48" ht="15.75" thickBot="1" x14ac:dyDescent="0.3">
      <c r="A176"/>
      <c r="B176"/>
      <c r="C176"/>
      <c r="D176"/>
      <c r="E176"/>
      <c r="F176" t="s">
        <v>193</v>
      </c>
      <c r="G176" t="s">
        <v>194</v>
      </c>
      <c r="H176" t="s">
        <v>1053</v>
      </c>
      <c r="I176" t="s">
        <v>195</v>
      </c>
      <c r="J176" s="30" t="s">
        <v>18</v>
      </c>
      <c r="K176" s="30" t="s">
        <v>1046</v>
      </c>
      <c r="L176" s="30" t="s">
        <v>455</v>
      </c>
      <c r="M176" s="30" t="s">
        <v>686</v>
      </c>
      <c r="N176" s="30"/>
      <c r="O176" s="31">
        <f t="shared" si="10"/>
        <v>28</v>
      </c>
      <c r="P176" s="137" t="s">
        <v>1780</v>
      </c>
      <c r="Q176" s="31">
        <f t="shared" si="11"/>
        <v>0</v>
      </c>
      <c r="R176" s="32">
        <f t="shared" si="12"/>
        <v>1</v>
      </c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</row>
    <row r="177" spans="1:48" ht="15.75" thickBot="1" x14ac:dyDescent="0.3">
      <c r="A177"/>
      <c r="B177"/>
      <c r="C177"/>
      <c r="D177"/>
      <c r="E177"/>
      <c r="F177" t="s">
        <v>193</v>
      </c>
      <c r="G177" t="s">
        <v>197</v>
      </c>
      <c r="H177" t="s">
        <v>1053</v>
      </c>
      <c r="I177" t="s">
        <v>198</v>
      </c>
      <c r="J177" s="30" t="s">
        <v>14</v>
      </c>
      <c r="K177" s="30" t="s">
        <v>1046</v>
      </c>
      <c r="L177" s="30" t="s">
        <v>455</v>
      </c>
      <c r="M177" s="30" t="s">
        <v>687</v>
      </c>
      <c r="N177" s="30"/>
      <c r="O177" s="31">
        <f t="shared" si="10"/>
        <v>28</v>
      </c>
      <c r="P177" s="137" t="s">
        <v>1781</v>
      </c>
      <c r="Q177" s="31">
        <f t="shared" si="11"/>
        <v>0</v>
      </c>
      <c r="R177" s="32">
        <f t="shared" si="1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</row>
    <row r="178" spans="1:48" ht="15.75" thickBot="1" x14ac:dyDescent="0.3">
      <c r="A178">
        <v>5</v>
      </c>
      <c r="B178">
        <v>23</v>
      </c>
      <c r="C178"/>
      <c r="D178"/>
      <c r="E178" t="s">
        <v>2354</v>
      </c>
      <c r="F178" t="s">
        <v>188</v>
      </c>
      <c r="G178" t="s">
        <v>199</v>
      </c>
      <c r="H178" t="s">
        <v>1053</v>
      </c>
      <c r="I178" t="s">
        <v>200</v>
      </c>
      <c r="J178" s="30" t="s">
        <v>18</v>
      </c>
      <c r="K178" s="30" t="s">
        <v>27</v>
      </c>
      <c r="L178" s="30"/>
      <c r="M178" s="30" t="s">
        <v>688</v>
      </c>
      <c r="N178" s="30"/>
      <c r="O178" s="31">
        <f t="shared" si="10"/>
        <v>28</v>
      </c>
      <c r="P178" s="137" t="s">
        <v>1782</v>
      </c>
      <c r="Q178" s="31">
        <f t="shared" si="11"/>
        <v>0</v>
      </c>
      <c r="R178" s="32">
        <f t="shared" si="1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</row>
    <row r="179" spans="1:48" ht="15.75" thickBot="1" x14ac:dyDescent="0.3">
      <c r="A179">
        <v>5</v>
      </c>
      <c r="B179">
        <v>23</v>
      </c>
      <c r="C179"/>
      <c r="D179"/>
      <c r="E179" t="s">
        <v>2354</v>
      </c>
      <c r="F179" t="s">
        <v>188</v>
      </c>
      <c r="G179" t="s">
        <v>201</v>
      </c>
      <c r="H179" t="s">
        <v>1053</v>
      </c>
      <c r="I179" t="s">
        <v>202</v>
      </c>
      <c r="J179" s="30" t="s">
        <v>18</v>
      </c>
      <c r="K179" s="30" t="s">
        <v>27</v>
      </c>
      <c r="L179" s="30"/>
      <c r="M179" s="30" t="s">
        <v>689</v>
      </c>
      <c r="N179" s="30"/>
      <c r="O179" s="31">
        <f t="shared" si="10"/>
        <v>28</v>
      </c>
      <c r="P179" s="137" t="s">
        <v>1783</v>
      </c>
      <c r="Q179" s="31">
        <f t="shared" si="11"/>
        <v>0</v>
      </c>
      <c r="R179" s="32">
        <f t="shared" si="1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</row>
    <row r="180" spans="1:48" s="73" customFormat="1" ht="15.75" thickBot="1" x14ac:dyDescent="0.3">
      <c r="A180"/>
      <c r="B180"/>
      <c r="C180"/>
      <c r="D180"/>
      <c r="E180"/>
      <c r="F180" s="73" t="s">
        <v>188</v>
      </c>
      <c r="G180" s="73" t="s">
        <v>203</v>
      </c>
      <c r="H180" s="73" t="s">
        <v>1053</v>
      </c>
      <c r="I180" s="73" t="s">
        <v>204</v>
      </c>
      <c r="J180" s="85" t="s">
        <v>18</v>
      </c>
      <c r="K180" s="85" t="s">
        <v>1291</v>
      </c>
      <c r="L180" s="85"/>
      <c r="M180" s="85" t="s">
        <v>1418</v>
      </c>
      <c r="N180" s="85"/>
      <c r="O180" s="132">
        <f t="shared" si="10"/>
        <v>28</v>
      </c>
      <c r="P180" s="137" t="s">
        <v>1784</v>
      </c>
      <c r="Q180" s="132">
        <f t="shared" si="11"/>
        <v>0</v>
      </c>
      <c r="R180" s="133">
        <f t="shared" si="1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144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8" ht="15.75" thickBot="1" x14ac:dyDescent="0.3">
      <c r="A181"/>
      <c r="B181"/>
      <c r="C181"/>
      <c r="D181"/>
      <c r="E181"/>
      <c r="F181" t="s">
        <v>188</v>
      </c>
      <c r="G181" t="s">
        <v>939</v>
      </c>
      <c r="H181" t="s">
        <v>1053</v>
      </c>
      <c r="I181" t="s">
        <v>189</v>
      </c>
      <c r="J181" s="30" t="s">
        <v>14</v>
      </c>
      <c r="K181" s="30" t="s">
        <v>1046</v>
      </c>
      <c r="L181" s="30" t="s">
        <v>455</v>
      </c>
      <c r="M181" s="30" t="s">
        <v>690</v>
      </c>
      <c r="N181" s="30"/>
      <c r="O181" s="31">
        <f t="shared" si="10"/>
        <v>28</v>
      </c>
      <c r="P181" s="137" t="s">
        <v>1785</v>
      </c>
      <c r="Q181" s="31">
        <f t="shared" si="11"/>
        <v>0</v>
      </c>
      <c r="R181" s="32">
        <f t="shared" si="1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8" ht="15.75" thickBot="1" x14ac:dyDescent="0.3">
      <c r="A182"/>
      <c r="B182"/>
      <c r="C182"/>
      <c r="D182"/>
      <c r="E182"/>
      <c r="F182" t="s">
        <v>188</v>
      </c>
      <c r="G182" t="s">
        <v>190</v>
      </c>
      <c r="H182" t="s">
        <v>1053</v>
      </c>
      <c r="I182" t="s">
        <v>938</v>
      </c>
      <c r="J182" s="30" t="s">
        <v>45</v>
      </c>
      <c r="K182" s="30" t="s">
        <v>19</v>
      </c>
      <c r="L182" s="30"/>
      <c r="M182" s="30" t="s">
        <v>691</v>
      </c>
      <c r="N182" s="30"/>
      <c r="O182" s="31">
        <f t="shared" si="10"/>
        <v>28</v>
      </c>
      <c r="P182" s="137"/>
      <c r="Q182" s="31">
        <f t="shared" si="11"/>
        <v>0</v>
      </c>
      <c r="R182" s="32">
        <f t="shared" si="1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8" ht="15.75" thickBot="1" x14ac:dyDescent="0.3">
      <c r="A183">
        <v>4</v>
      </c>
      <c r="B183">
        <v>12</v>
      </c>
      <c r="C183"/>
      <c r="D183"/>
      <c r="E183" t="s">
        <v>2351</v>
      </c>
      <c r="F183" t="s">
        <v>188</v>
      </c>
      <c r="G183" t="s">
        <v>205</v>
      </c>
      <c r="H183" t="s">
        <v>1053</v>
      </c>
      <c r="I183" t="s">
        <v>206</v>
      </c>
      <c r="J183" s="30" t="s">
        <v>72</v>
      </c>
      <c r="K183" s="30" t="s">
        <v>27</v>
      </c>
      <c r="L183" s="30"/>
      <c r="M183" s="30" t="s">
        <v>692</v>
      </c>
      <c r="N183" s="30"/>
      <c r="O183" s="31">
        <f t="shared" si="10"/>
        <v>28</v>
      </c>
      <c r="P183" s="137" t="s">
        <v>1786</v>
      </c>
      <c r="Q183" s="31">
        <f t="shared" si="11"/>
        <v>0</v>
      </c>
      <c r="R183" s="32">
        <f t="shared" si="1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</row>
    <row r="184" spans="1:48" ht="15.75" thickBot="1" x14ac:dyDescent="0.3">
      <c r="A184">
        <v>4</v>
      </c>
      <c r="B184">
        <v>12</v>
      </c>
      <c r="C184"/>
      <c r="D184"/>
      <c r="E184" t="s">
        <v>2351</v>
      </c>
      <c r="F184" t="s">
        <v>188</v>
      </c>
      <c r="G184" t="s">
        <v>207</v>
      </c>
      <c r="H184" t="s">
        <v>1053</v>
      </c>
      <c r="I184" t="s">
        <v>206</v>
      </c>
      <c r="J184" s="30" t="s">
        <v>72</v>
      </c>
      <c r="K184" s="30" t="s">
        <v>27</v>
      </c>
      <c r="L184" s="30"/>
      <c r="M184" s="30" t="s">
        <v>693</v>
      </c>
      <c r="N184" s="30"/>
      <c r="O184" s="31">
        <f t="shared" si="10"/>
        <v>28</v>
      </c>
      <c r="P184" s="137" t="s">
        <v>1787</v>
      </c>
      <c r="Q184" s="31">
        <f t="shared" si="11"/>
        <v>0</v>
      </c>
      <c r="R184" s="32">
        <f t="shared" si="1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</row>
    <row r="185" spans="1:48" ht="15.75" thickBot="1" x14ac:dyDescent="0.3">
      <c r="A185"/>
      <c r="B185"/>
      <c r="C185"/>
      <c r="D185"/>
      <c r="E185"/>
      <c r="F185" t="s">
        <v>188</v>
      </c>
      <c r="G185" t="s">
        <v>208</v>
      </c>
      <c r="H185" t="s">
        <v>1053</v>
      </c>
      <c r="I185" t="s">
        <v>209</v>
      </c>
      <c r="J185" s="30" t="s">
        <v>72</v>
      </c>
      <c r="K185" s="30" t="s">
        <v>27</v>
      </c>
      <c r="L185" s="30"/>
      <c r="M185" s="30" t="s">
        <v>668</v>
      </c>
      <c r="N185" s="30"/>
      <c r="O185" s="31">
        <f t="shared" si="10"/>
        <v>28</v>
      </c>
      <c r="P185" s="137" t="s">
        <v>1788</v>
      </c>
      <c r="Q185" s="31">
        <f t="shared" si="11"/>
        <v>0</v>
      </c>
      <c r="R185" s="32">
        <f t="shared" si="1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</row>
    <row r="186" spans="1:48" ht="15.75" thickBot="1" x14ac:dyDescent="0.3">
      <c r="A186"/>
      <c r="B186"/>
      <c r="C186"/>
      <c r="D186"/>
      <c r="E186"/>
      <c r="F186" t="s">
        <v>188</v>
      </c>
      <c r="G186" t="s">
        <v>210</v>
      </c>
      <c r="H186" t="s">
        <v>1053</v>
      </c>
      <c r="I186" t="s">
        <v>209</v>
      </c>
      <c r="J186" s="30" t="s">
        <v>72</v>
      </c>
      <c r="K186" s="30" t="s">
        <v>27</v>
      </c>
      <c r="L186" s="30"/>
      <c r="M186" s="30" t="s">
        <v>669</v>
      </c>
      <c r="N186" s="30"/>
      <c r="O186" s="31">
        <f t="shared" si="10"/>
        <v>28</v>
      </c>
      <c r="P186" s="137" t="s">
        <v>1789</v>
      </c>
      <c r="Q186" s="31">
        <f t="shared" si="11"/>
        <v>0</v>
      </c>
      <c r="R186" s="32">
        <f t="shared" si="1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</row>
    <row r="187" spans="1:48" ht="15.75" thickBot="1" x14ac:dyDescent="0.3">
      <c r="A187"/>
      <c r="B187"/>
      <c r="C187"/>
      <c r="D187"/>
      <c r="E187"/>
      <c r="F187" t="s">
        <v>188</v>
      </c>
      <c r="G187" s="30" t="s">
        <v>1160</v>
      </c>
      <c r="H187" s="30" t="s">
        <v>1053</v>
      </c>
      <c r="I187" t="s">
        <v>1143</v>
      </c>
      <c r="J187" s="30" t="s">
        <v>1104</v>
      </c>
      <c r="K187" s="30" t="s">
        <v>27</v>
      </c>
      <c r="L187" s="30"/>
      <c r="M187" s="30" t="s">
        <v>1144</v>
      </c>
      <c r="N187" s="30"/>
      <c r="O187" s="31">
        <f t="shared" si="10"/>
        <v>28</v>
      </c>
      <c r="P187" s="137" t="s">
        <v>1790</v>
      </c>
      <c r="Q187" s="31">
        <f t="shared" si="11"/>
        <v>0</v>
      </c>
      <c r="R187" s="32">
        <f t="shared" si="12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</row>
    <row r="188" spans="1:48" ht="15.75" thickBot="1" x14ac:dyDescent="0.3">
      <c r="A188"/>
      <c r="B188"/>
      <c r="C188"/>
      <c r="D188"/>
      <c r="E188"/>
      <c r="F188" t="s">
        <v>188</v>
      </c>
      <c r="G188" s="30" t="s">
        <v>1159</v>
      </c>
      <c r="H188" s="30" t="s">
        <v>1053</v>
      </c>
      <c r="I188" t="s">
        <v>1143</v>
      </c>
      <c r="J188" s="30" t="s">
        <v>1104</v>
      </c>
      <c r="K188" s="30" t="s">
        <v>27</v>
      </c>
      <c r="L188" s="30"/>
      <c r="M188" s="30" t="s">
        <v>1145</v>
      </c>
      <c r="N188" s="30"/>
      <c r="O188" s="31">
        <f t="shared" si="10"/>
        <v>28</v>
      </c>
      <c r="P188" s="137" t="s">
        <v>1791</v>
      </c>
      <c r="Q188" s="31">
        <f t="shared" si="11"/>
        <v>0</v>
      </c>
      <c r="R188" s="32">
        <f t="shared" si="12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</row>
    <row r="189" spans="1:48" ht="15.75" thickBot="1" x14ac:dyDescent="0.3">
      <c r="A189"/>
      <c r="B189"/>
      <c r="C189"/>
      <c r="D189"/>
      <c r="E189"/>
      <c r="F189" t="s">
        <v>188</v>
      </c>
      <c r="G189" s="30" t="s">
        <v>1162</v>
      </c>
      <c r="H189" s="30" t="s">
        <v>1053</v>
      </c>
      <c r="I189" t="s">
        <v>1140</v>
      </c>
      <c r="J189" s="30" t="s">
        <v>72</v>
      </c>
      <c r="K189" s="30" t="s">
        <v>27</v>
      </c>
      <c r="L189" s="30"/>
      <c r="M189" s="30" t="s">
        <v>1141</v>
      </c>
      <c r="N189" s="30"/>
      <c r="O189" s="31">
        <f t="shared" si="10"/>
        <v>27</v>
      </c>
      <c r="P189" s="137" t="s">
        <v>1792</v>
      </c>
      <c r="Q189" s="31">
        <f t="shared" si="11"/>
        <v>1</v>
      </c>
      <c r="R189" s="32">
        <f t="shared" si="12"/>
        <v>0.9642857142857143</v>
      </c>
      <c r="S189" s="70"/>
      <c r="T189" s="70"/>
      <c r="U189" s="70"/>
      <c r="V189" s="70" t="s">
        <v>2240</v>
      </c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144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8" ht="15.75" thickBot="1" x14ac:dyDescent="0.3">
      <c r="A190"/>
      <c r="B190"/>
      <c r="C190"/>
      <c r="D190"/>
      <c r="E190"/>
      <c r="F190" t="s">
        <v>188</v>
      </c>
      <c r="G190" s="30" t="s">
        <v>1163</v>
      </c>
      <c r="H190" s="30" t="s">
        <v>1053</v>
      </c>
      <c r="I190" t="s">
        <v>1140</v>
      </c>
      <c r="J190" s="30" t="s">
        <v>72</v>
      </c>
      <c r="K190" s="30" t="s">
        <v>27</v>
      </c>
      <c r="L190" s="30"/>
      <c r="M190" s="30" t="s">
        <v>1142</v>
      </c>
      <c r="N190" s="30"/>
      <c r="O190" s="31">
        <f t="shared" si="10"/>
        <v>27</v>
      </c>
      <c r="P190" s="137" t="s">
        <v>1793</v>
      </c>
      <c r="Q190" s="31">
        <f t="shared" si="11"/>
        <v>1</v>
      </c>
      <c r="R190" s="32">
        <f t="shared" si="12"/>
        <v>0.9642857142857143</v>
      </c>
      <c r="S190" s="70"/>
      <c r="T190" s="70"/>
      <c r="U190" s="70"/>
      <c r="V190" s="70" t="s">
        <v>2240</v>
      </c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144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8" ht="15.75" thickBot="1" x14ac:dyDescent="0.3">
      <c r="A191">
        <v>5</v>
      </c>
      <c r="B191">
        <v>23</v>
      </c>
      <c r="C191"/>
      <c r="D191"/>
      <c r="E191" t="s">
        <v>2354</v>
      </c>
      <c r="F191" t="s">
        <v>188</v>
      </c>
      <c r="G191" s="30" t="s">
        <v>1497</v>
      </c>
      <c r="H191" s="30" t="s">
        <v>1053</v>
      </c>
      <c r="I191" t="s">
        <v>1498</v>
      </c>
      <c r="J191" s="30" t="s">
        <v>18</v>
      </c>
      <c r="K191" s="30" t="s">
        <v>27</v>
      </c>
      <c r="L191" s="30"/>
      <c r="M191" s="30" t="s">
        <v>1499</v>
      </c>
      <c r="N191" s="30"/>
      <c r="O191" s="31">
        <f t="shared" si="10"/>
        <v>28</v>
      </c>
      <c r="P191" s="137"/>
      <c r="Q191" s="31">
        <f t="shared" si="11"/>
        <v>0</v>
      </c>
      <c r="R191" s="32">
        <f t="shared" si="12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144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8" s="73" customFormat="1" ht="15.75" thickBot="1" x14ac:dyDescent="0.3">
      <c r="A192"/>
      <c r="B192"/>
      <c r="C192"/>
      <c r="D192"/>
      <c r="E192"/>
      <c r="F192" s="73" t="s">
        <v>188</v>
      </c>
      <c r="G192" s="85" t="s">
        <v>1536</v>
      </c>
      <c r="H192" s="85" t="s">
        <v>1053</v>
      </c>
      <c r="I192" s="73" t="s">
        <v>1537</v>
      </c>
      <c r="J192" s="85" t="s">
        <v>18</v>
      </c>
      <c r="K192" s="85" t="s">
        <v>1291</v>
      </c>
      <c r="L192" s="85"/>
      <c r="M192" s="85" t="s">
        <v>1538</v>
      </c>
      <c r="N192" s="85"/>
      <c r="O192" s="31">
        <f t="shared" si="10"/>
        <v>28</v>
      </c>
      <c r="P192" s="137" t="s">
        <v>1794</v>
      </c>
      <c r="Q192" s="31">
        <f t="shared" si="11"/>
        <v>0</v>
      </c>
      <c r="R192" s="32">
        <f t="shared" si="12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8" s="73" customFormat="1" ht="15.75" thickBot="1" x14ac:dyDescent="0.3">
      <c r="A193"/>
      <c r="B193"/>
      <c r="C193"/>
      <c r="D193"/>
      <c r="E193"/>
      <c r="F193" s="73" t="s">
        <v>188</v>
      </c>
      <c r="G193" s="85" t="s">
        <v>2265</v>
      </c>
      <c r="H193" s="85" t="s">
        <v>1053</v>
      </c>
      <c r="I193" s="73" t="s">
        <v>2266</v>
      </c>
      <c r="J193" s="85" t="s">
        <v>1104</v>
      </c>
      <c r="K193" s="85" t="s">
        <v>1291</v>
      </c>
      <c r="L193" s="85"/>
      <c r="M193" s="85" t="s">
        <v>2267</v>
      </c>
      <c r="N193" s="85"/>
      <c r="O193" s="31">
        <f t="shared" si="10"/>
        <v>28</v>
      </c>
      <c r="P193" s="137"/>
      <c r="Q193" s="31">
        <f t="shared" si="11"/>
        <v>0</v>
      </c>
      <c r="R193" s="32">
        <f t="shared" si="12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8" s="73" customFormat="1" ht="15.75" thickBot="1" x14ac:dyDescent="0.3">
      <c r="A194"/>
      <c r="B194"/>
      <c r="C194"/>
      <c r="D194"/>
      <c r="E194"/>
      <c r="F194" s="73" t="s">
        <v>188</v>
      </c>
      <c r="G194" s="85" t="s">
        <v>2139</v>
      </c>
      <c r="H194" s="85" t="s">
        <v>1053</v>
      </c>
      <c r="I194" s="73" t="s">
        <v>2140</v>
      </c>
      <c r="J194" s="85" t="s">
        <v>18</v>
      </c>
      <c r="K194" s="85" t="s">
        <v>1291</v>
      </c>
      <c r="L194" s="85"/>
      <c r="M194" s="85" t="s">
        <v>2141</v>
      </c>
      <c r="N194" s="85"/>
      <c r="O194" s="31">
        <f t="shared" si="10"/>
        <v>28</v>
      </c>
      <c r="P194" s="137" t="s">
        <v>2142</v>
      </c>
      <c r="Q194" s="31">
        <f t="shared" si="11"/>
        <v>0</v>
      </c>
      <c r="R194" s="32">
        <f t="shared" si="12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8" s="73" customFormat="1" ht="15.75" thickBot="1" x14ac:dyDescent="0.3">
      <c r="A195">
        <v>4</v>
      </c>
      <c r="B195">
        <v>12</v>
      </c>
      <c r="C195"/>
      <c r="D195"/>
      <c r="E195" t="s">
        <v>2351</v>
      </c>
      <c r="F195" s="73" t="s">
        <v>188</v>
      </c>
      <c r="G195" s="85" t="s">
        <v>2196</v>
      </c>
      <c r="H195" s="85" t="s">
        <v>1053</v>
      </c>
      <c r="I195" s="73" t="s">
        <v>2197</v>
      </c>
      <c r="J195" s="85" t="s">
        <v>18</v>
      </c>
      <c r="K195" s="85" t="s">
        <v>1291</v>
      </c>
      <c r="L195" s="85"/>
      <c r="M195" s="85" t="s">
        <v>2294</v>
      </c>
      <c r="N195" s="85"/>
      <c r="O195" s="31">
        <f t="shared" si="10"/>
        <v>28</v>
      </c>
      <c r="P195" s="137" t="s">
        <v>2142</v>
      </c>
      <c r="Q195" s="31">
        <f t="shared" si="11"/>
        <v>0</v>
      </c>
      <c r="R195" s="32">
        <f t="shared" si="12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8" s="73" customFormat="1" ht="15.75" thickBot="1" x14ac:dyDescent="0.3">
      <c r="A196"/>
      <c r="B196"/>
      <c r="C196"/>
      <c r="D196"/>
      <c r="E196"/>
      <c r="G196" s="85" t="s">
        <v>2241</v>
      </c>
      <c r="H196" s="85" t="s">
        <v>1053</v>
      </c>
      <c r="I196" s="73" t="s">
        <v>1518</v>
      </c>
      <c r="J196" s="85" t="s">
        <v>1104</v>
      </c>
      <c r="K196" s="85" t="s">
        <v>1519</v>
      </c>
      <c r="L196" s="85"/>
      <c r="M196" s="85" t="s">
        <v>1520</v>
      </c>
      <c r="N196" s="85"/>
      <c r="O196" s="31">
        <f t="shared" si="10"/>
        <v>28</v>
      </c>
      <c r="P196" s="137" t="s">
        <v>1795</v>
      </c>
      <c r="Q196" s="31">
        <f t="shared" si="11"/>
        <v>0</v>
      </c>
      <c r="R196" s="32">
        <f t="shared" si="12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8" ht="15.75" thickBot="1" x14ac:dyDescent="0.3">
      <c r="A197"/>
      <c r="B197"/>
      <c r="C197"/>
      <c r="D197"/>
      <c r="E197" t="s">
        <v>2366</v>
      </c>
      <c r="F197" t="s">
        <v>211</v>
      </c>
      <c r="G197" t="s">
        <v>940</v>
      </c>
      <c r="H197" t="s">
        <v>1053</v>
      </c>
      <c r="I197" t="s">
        <v>212</v>
      </c>
      <c r="J197" s="30" t="s">
        <v>14</v>
      </c>
      <c r="K197" s="30" t="s">
        <v>27</v>
      </c>
      <c r="L197" s="30"/>
      <c r="M197" s="30" t="s">
        <v>695</v>
      </c>
      <c r="N197" s="30"/>
      <c r="O197" s="31">
        <f t="shared" si="10"/>
        <v>28</v>
      </c>
      <c r="P197" s="137" t="s">
        <v>1796</v>
      </c>
      <c r="Q197" s="31">
        <f t="shared" si="11"/>
        <v>0</v>
      </c>
      <c r="R197" s="32">
        <f t="shared" si="12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8" ht="15.75" thickBot="1" x14ac:dyDescent="0.3">
      <c r="A198"/>
      <c r="B198"/>
      <c r="C198"/>
      <c r="D198"/>
      <c r="E198" t="s">
        <v>2366</v>
      </c>
      <c r="F198" t="s">
        <v>211</v>
      </c>
      <c r="G198" t="s">
        <v>941</v>
      </c>
      <c r="H198" t="s">
        <v>1053</v>
      </c>
      <c r="I198" t="s">
        <v>213</v>
      </c>
      <c r="J198" s="30" t="s">
        <v>14</v>
      </c>
      <c r="K198" s="30" t="s">
        <v>27</v>
      </c>
      <c r="L198" s="30"/>
      <c r="M198" s="30" t="s">
        <v>696</v>
      </c>
      <c r="N198" s="30"/>
      <c r="O198" s="31">
        <f t="shared" si="10"/>
        <v>28</v>
      </c>
      <c r="P198" s="137" t="s">
        <v>1797</v>
      </c>
      <c r="Q198" s="31">
        <f t="shared" si="11"/>
        <v>0</v>
      </c>
      <c r="R198" s="32">
        <f t="shared" si="12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8" s="69" customFormat="1" ht="15.75" thickBot="1" x14ac:dyDescent="0.3">
      <c r="F199" s="69" t="s">
        <v>214</v>
      </c>
      <c r="G199" s="69" t="s">
        <v>942</v>
      </c>
      <c r="H199" s="69" t="s">
        <v>1053</v>
      </c>
      <c r="I199" s="69" t="s">
        <v>215</v>
      </c>
      <c r="J199" s="138" t="s">
        <v>18</v>
      </c>
      <c r="K199" s="138" t="s">
        <v>27</v>
      </c>
      <c r="L199" s="138"/>
      <c r="M199" s="138" t="s">
        <v>697</v>
      </c>
      <c r="N199" s="138"/>
      <c r="O199" s="141">
        <f t="shared" si="10"/>
        <v>27</v>
      </c>
      <c r="P199" s="142"/>
      <c r="Q199" s="141">
        <f t="shared" si="11"/>
        <v>1</v>
      </c>
      <c r="R199" s="143">
        <f t="shared" si="12"/>
        <v>0.9642857142857143</v>
      </c>
      <c r="S199" s="144"/>
      <c r="T199" s="144"/>
      <c r="U199" s="144"/>
      <c r="V199" s="70" t="s">
        <v>2240</v>
      </c>
      <c r="W199" s="144"/>
      <c r="X199" s="144"/>
      <c r="Y199" s="144"/>
      <c r="Z199" s="144"/>
      <c r="AA199" s="144"/>
      <c r="AB199" s="144"/>
      <c r="AC199" s="144"/>
      <c r="AD199" s="144"/>
      <c r="AE199" s="70"/>
      <c r="AF199" s="70"/>
      <c r="AG199" s="144"/>
      <c r="AH199" s="70"/>
      <c r="AI199" s="70"/>
      <c r="AJ199" s="144"/>
      <c r="AK199" s="144"/>
      <c r="AL199" s="70"/>
      <c r="AM199" s="70"/>
      <c r="AN199" s="70"/>
      <c r="AO199" s="70"/>
      <c r="AP199" s="70"/>
      <c r="AQ199" s="144"/>
      <c r="AR199" s="70"/>
      <c r="AS199" s="70"/>
      <c r="AT199" s="70"/>
      <c r="AU199" s="70"/>
      <c r="AV199" s="70"/>
    </row>
    <row r="200" spans="1:48" s="73" customFormat="1" ht="15.75" thickBot="1" x14ac:dyDescent="0.3">
      <c r="A200"/>
      <c r="B200"/>
      <c r="C200"/>
      <c r="D200"/>
      <c r="E200"/>
      <c r="F200" s="73" t="s">
        <v>226</v>
      </c>
      <c r="G200" s="73" t="s">
        <v>227</v>
      </c>
      <c r="H200" s="73" t="s">
        <v>1052</v>
      </c>
      <c r="I200" s="73" t="s">
        <v>228</v>
      </c>
      <c r="J200" s="85" t="s">
        <v>14</v>
      </c>
      <c r="K200" s="85" t="s">
        <v>1291</v>
      </c>
      <c r="L200" s="85"/>
      <c r="M200" s="85" t="s">
        <v>1380</v>
      </c>
      <c r="N200" s="85"/>
      <c r="O200" s="132">
        <f t="shared" si="10"/>
        <v>28</v>
      </c>
      <c r="P200" s="137" t="s">
        <v>1798</v>
      </c>
      <c r="Q200" s="132">
        <f t="shared" si="11"/>
        <v>0</v>
      </c>
      <c r="R200" s="133">
        <f t="shared" si="12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8" s="73" customFormat="1" ht="15.75" thickBot="1" x14ac:dyDescent="0.3">
      <c r="A201"/>
      <c r="B201"/>
      <c r="C201"/>
      <c r="D201"/>
      <c r="E201"/>
      <c r="F201" s="73" t="s">
        <v>167</v>
      </c>
      <c r="G201" s="73" t="s">
        <v>229</v>
      </c>
      <c r="H201" s="73" t="s">
        <v>1052</v>
      </c>
      <c r="I201" s="73" t="s">
        <v>230</v>
      </c>
      <c r="J201" s="85" t="s">
        <v>18</v>
      </c>
      <c r="K201" s="85" t="s">
        <v>1291</v>
      </c>
      <c r="L201" s="85"/>
      <c r="M201" s="85" t="s">
        <v>1415</v>
      </c>
      <c r="N201" s="85"/>
      <c r="O201" s="132">
        <f t="shared" si="10"/>
        <v>28</v>
      </c>
      <c r="P201" s="137" t="s">
        <v>1799</v>
      </c>
      <c r="Q201" s="132">
        <f t="shared" si="11"/>
        <v>0</v>
      </c>
      <c r="R201" s="133">
        <f t="shared" si="12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8" ht="15.75" thickBot="1" x14ac:dyDescent="0.3">
      <c r="A202"/>
      <c r="B202"/>
      <c r="C202"/>
      <c r="D202"/>
      <c r="E202"/>
      <c r="F202" t="s">
        <v>216</v>
      </c>
      <c r="G202" t="s">
        <v>231</v>
      </c>
      <c r="H202" t="s">
        <v>1052</v>
      </c>
      <c r="I202" t="s">
        <v>232</v>
      </c>
      <c r="J202" s="30" t="s">
        <v>18</v>
      </c>
      <c r="K202" s="30" t="s">
        <v>1046</v>
      </c>
      <c r="L202" s="30"/>
      <c r="M202" s="30" t="s">
        <v>1397</v>
      </c>
      <c r="N202" s="30"/>
      <c r="O202" s="31">
        <f t="shared" si="10"/>
        <v>28</v>
      </c>
      <c r="P202" s="137" t="s">
        <v>1800</v>
      </c>
      <c r="Q202" s="31">
        <f t="shared" si="11"/>
        <v>0</v>
      </c>
      <c r="R202" s="32">
        <f t="shared" si="12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8" ht="15.75" thickBot="1" x14ac:dyDescent="0.3">
      <c r="A203"/>
      <c r="B203"/>
      <c r="C203"/>
      <c r="D203"/>
      <c r="E203"/>
      <c r="F203" t="s">
        <v>216</v>
      </c>
      <c r="G203" t="s">
        <v>233</v>
      </c>
      <c r="H203" t="s">
        <v>1052</v>
      </c>
      <c r="I203" t="s">
        <v>234</v>
      </c>
      <c r="J203" s="30" t="s">
        <v>18</v>
      </c>
      <c r="K203" s="30" t="s">
        <v>1046</v>
      </c>
      <c r="L203" s="30"/>
      <c r="M203" s="30" t="s">
        <v>2295</v>
      </c>
      <c r="N203" s="30"/>
      <c r="O203" s="31">
        <f t="shared" si="10"/>
        <v>28</v>
      </c>
      <c r="P203" s="137" t="s">
        <v>1801</v>
      </c>
      <c r="Q203" s="31">
        <f t="shared" si="11"/>
        <v>0</v>
      </c>
      <c r="R203" s="32">
        <f t="shared" si="12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130"/>
    </row>
    <row r="204" spans="1:48" ht="15.75" thickBot="1" x14ac:dyDescent="0.3">
      <c r="A204"/>
      <c r="B204"/>
      <c r="C204"/>
      <c r="D204"/>
      <c r="E204"/>
      <c r="F204" t="s">
        <v>216</v>
      </c>
      <c r="G204" t="s">
        <v>235</v>
      </c>
      <c r="H204" t="s">
        <v>1052</v>
      </c>
      <c r="I204" t="s">
        <v>236</v>
      </c>
      <c r="J204" s="30" t="s">
        <v>18</v>
      </c>
      <c r="K204" s="30" t="s">
        <v>1046</v>
      </c>
      <c r="L204" s="30"/>
      <c r="M204" s="30" t="s">
        <v>2296</v>
      </c>
      <c r="N204" s="30"/>
      <c r="O204" s="31">
        <f t="shared" si="10"/>
        <v>27</v>
      </c>
      <c r="P204" s="137" t="s">
        <v>1802</v>
      </c>
      <c r="Q204" s="31">
        <f t="shared" si="11"/>
        <v>1</v>
      </c>
      <c r="R204" s="32">
        <f t="shared" si="12"/>
        <v>0.9642857142857143</v>
      </c>
      <c r="S204" s="70"/>
      <c r="T204" s="70"/>
      <c r="U204" s="70"/>
      <c r="V204" s="70" t="s">
        <v>2240</v>
      </c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144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8" ht="15.75" thickBot="1" x14ac:dyDescent="0.3">
      <c r="A205"/>
      <c r="B205"/>
      <c r="C205"/>
      <c r="D205"/>
      <c r="E205"/>
      <c r="F205" t="s">
        <v>216</v>
      </c>
      <c r="G205" t="s">
        <v>237</v>
      </c>
      <c r="H205" t="s">
        <v>1052</v>
      </c>
      <c r="I205" t="s">
        <v>238</v>
      </c>
      <c r="J205" s="30" t="s">
        <v>14</v>
      </c>
      <c r="K205" s="30" t="s">
        <v>1291</v>
      </c>
      <c r="L205" s="30"/>
      <c r="M205" s="30" t="s">
        <v>2281</v>
      </c>
      <c r="N205" s="30"/>
      <c r="O205" s="31">
        <f t="shared" si="10"/>
        <v>28</v>
      </c>
      <c r="P205" s="137"/>
      <c r="Q205" s="31">
        <f t="shared" si="11"/>
        <v>0</v>
      </c>
      <c r="R205" s="32">
        <f t="shared" si="12"/>
        <v>1</v>
      </c>
      <c r="S205" s="70"/>
      <c r="T205" s="140"/>
      <c r="U205" s="140"/>
      <c r="V205" s="140"/>
      <c r="W205" s="140"/>
      <c r="X205" s="70"/>
      <c r="Y205" s="70"/>
      <c r="Z205" s="70"/>
      <c r="AA205" s="140"/>
      <c r="AB205" s="140"/>
      <c r="AC205" s="140"/>
      <c r="AD205" s="140"/>
      <c r="AE205" s="70"/>
      <c r="AF205" s="70"/>
      <c r="AG205" s="144"/>
      <c r="AH205" s="70"/>
      <c r="AI205" s="70"/>
      <c r="AJ205" s="140"/>
      <c r="AK205" s="140"/>
      <c r="AL205" s="70"/>
      <c r="AM205" s="70"/>
      <c r="AN205" s="70"/>
      <c r="AO205" s="140"/>
      <c r="AP205" s="140"/>
      <c r="AQ205" s="140"/>
      <c r="AR205" s="140"/>
      <c r="AS205" s="140"/>
      <c r="AT205" s="140"/>
      <c r="AU205" s="140"/>
      <c r="AV205" s="130"/>
    </row>
    <row r="206" spans="1:48" s="73" customFormat="1" ht="15.75" thickBot="1" x14ac:dyDescent="0.3">
      <c r="A206"/>
      <c r="B206"/>
      <c r="C206"/>
      <c r="D206"/>
      <c r="E206"/>
      <c r="F206" s="73" t="s">
        <v>216</v>
      </c>
      <c r="G206" s="73" t="s">
        <v>217</v>
      </c>
      <c r="H206" s="73" t="s">
        <v>1052</v>
      </c>
      <c r="I206" s="73" t="s">
        <v>218</v>
      </c>
      <c r="J206" s="85" t="s">
        <v>14</v>
      </c>
      <c r="K206" s="85" t="s">
        <v>1291</v>
      </c>
      <c r="L206" s="85"/>
      <c r="M206" s="85" t="s">
        <v>1575</v>
      </c>
      <c r="N206" s="85"/>
      <c r="O206" s="132">
        <f t="shared" si="10"/>
        <v>28</v>
      </c>
      <c r="P206" s="137" t="s">
        <v>1803</v>
      </c>
      <c r="Q206" s="132">
        <f t="shared" si="11"/>
        <v>0</v>
      </c>
      <c r="R206" s="133">
        <f t="shared" si="12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8" ht="15.75" thickBot="1" x14ac:dyDescent="0.3">
      <c r="F207" t="s">
        <v>216</v>
      </c>
      <c r="G207" t="s">
        <v>947</v>
      </c>
      <c r="H207" t="s">
        <v>1052</v>
      </c>
      <c r="I207" t="s">
        <v>219</v>
      </c>
      <c r="J207" s="30" t="s">
        <v>14</v>
      </c>
      <c r="K207" s="30" t="s">
        <v>1291</v>
      </c>
      <c r="L207" s="30"/>
      <c r="M207" s="30" t="s">
        <v>1395</v>
      </c>
      <c r="N207" s="30"/>
      <c r="O207" s="31">
        <f t="shared" si="10"/>
        <v>27</v>
      </c>
      <c r="P207" s="137" t="s">
        <v>1804</v>
      </c>
      <c r="Q207" s="31">
        <f t="shared" si="11"/>
        <v>1</v>
      </c>
      <c r="R207" s="32">
        <f t="shared" si="12"/>
        <v>0.9642857142857143</v>
      </c>
      <c r="S207" s="70"/>
      <c r="T207" s="70"/>
      <c r="U207" s="70"/>
      <c r="V207" s="70" t="s">
        <v>2240</v>
      </c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144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8" ht="15.75" thickBot="1" x14ac:dyDescent="0.3">
      <c r="A208"/>
      <c r="B208"/>
      <c r="C208"/>
      <c r="D208"/>
      <c r="E208"/>
      <c r="F208" t="s">
        <v>216</v>
      </c>
      <c r="G208" t="s">
        <v>948</v>
      </c>
      <c r="H208" t="s">
        <v>1052</v>
      </c>
      <c r="I208" t="s">
        <v>220</v>
      </c>
      <c r="J208" s="30" t="s">
        <v>14</v>
      </c>
      <c r="K208" s="30" t="s">
        <v>1046</v>
      </c>
      <c r="L208" s="30"/>
      <c r="M208" s="30" t="s">
        <v>1202</v>
      </c>
      <c r="N208" s="30"/>
      <c r="O208" s="31">
        <f t="shared" si="10"/>
        <v>28</v>
      </c>
      <c r="P208" s="137" t="s">
        <v>1805</v>
      </c>
      <c r="Q208" s="31">
        <f t="shared" si="11"/>
        <v>0</v>
      </c>
      <c r="R208" s="32">
        <f t="shared" si="12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8" s="73" customFormat="1" ht="15.75" thickBot="1" x14ac:dyDescent="0.3">
      <c r="A209"/>
      <c r="B209"/>
      <c r="C209"/>
      <c r="D209"/>
      <c r="E209"/>
      <c r="F209" s="73" t="s">
        <v>216</v>
      </c>
      <c r="G209" s="73" t="s">
        <v>221</v>
      </c>
      <c r="H209" s="73" t="s">
        <v>1052</v>
      </c>
      <c r="I209" s="73" t="s">
        <v>222</v>
      </c>
      <c r="J209" s="85" t="s">
        <v>14</v>
      </c>
      <c r="K209" s="85" t="s">
        <v>1291</v>
      </c>
      <c r="L209" s="85"/>
      <c r="M209" s="85" t="s">
        <v>1394</v>
      </c>
      <c r="N209" s="85"/>
      <c r="O209" s="132">
        <f t="shared" si="10"/>
        <v>28</v>
      </c>
      <c r="P209" s="137" t="s">
        <v>1806</v>
      </c>
      <c r="Q209" s="132">
        <f t="shared" si="11"/>
        <v>0</v>
      </c>
      <c r="R209" s="133">
        <f t="shared" si="12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8" ht="15.75" thickBot="1" x14ac:dyDescent="0.3">
      <c r="A210"/>
      <c r="B210"/>
      <c r="C210"/>
      <c r="D210"/>
      <c r="E210"/>
      <c r="F210" t="s">
        <v>216</v>
      </c>
      <c r="G210" t="s">
        <v>239</v>
      </c>
      <c r="H210" t="s">
        <v>1052</v>
      </c>
      <c r="I210" t="s">
        <v>240</v>
      </c>
      <c r="J210" s="30" t="s">
        <v>14</v>
      </c>
      <c r="K210" s="30" t="s">
        <v>27</v>
      </c>
      <c r="L210" s="30"/>
      <c r="M210" s="30" t="s">
        <v>698</v>
      </c>
      <c r="N210" s="30"/>
      <c r="O210" s="31">
        <f t="shared" si="10"/>
        <v>28</v>
      </c>
      <c r="P210" s="137" t="s">
        <v>1807</v>
      </c>
      <c r="Q210" s="31">
        <f t="shared" si="11"/>
        <v>0</v>
      </c>
      <c r="R210" s="32">
        <f t="shared" si="12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</row>
    <row r="211" spans="1:48" ht="15.75" thickBot="1" x14ac:dyDescent="0.3">
      <c r="A211">
        <v>6</v>
      </c>
      <c r="B211">
        <v>12</v>
      </c>
      <c r="C211"/>
      <c r="D211"/>
      <c r="E211" t="s">
        <v>2353</v>
      </c>
      <c r="F211" t="s">
        <v>216</v>
      </c>
      <c r="G211" t="s">
        <v>223</v>
      </c>
      <c r="H211" t="s">
        <v>1052</v>
      </c>
      <c r="I211" t="s">
        <v>224</v>
      </c>
      <c r="J211" s="30" t="s">
        <v>72</v>
      </c>
      <c r="K211" s="30" t="s">
        <v>1046</v>
      </c>
      <c r="L211" s="30" t="s">
        <v>1239</v>
      </c>
      <c r="M211" s="30" t="s">
        <v>699</v>
      </c>
      <c r="N211" s="30"/>
      <c r="O211" s="31">
        <f t="shared" si="10"/>
        <v>28</v>
      </c>
      <c r="P211" s="137" t="s">
        <v>1808</v>
      </c>
      <c r="Q211" s="31">
        <f t="shared" si="11"/>
        <v>0</v>
      </c>
      <c r="R211" s="32">
        <f t="shared" si="12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8" ht="15.75" thickBot="1" x14ac:dyDescent="0.3">
      <c r="A212"/>
      <c r="B212"/>
      <c r="C212"/>
      <c r="D212"/>
      <c r="E212"/>
      <c r="F212" t="s">
        <v>216</v>
      </c>
      <c r="G212" t="s">
        <v>225</v>
      </c>
      <c r="H212" t="s">
        <v>1052</v>
      </c>
      <c r="I212" t="s">
        <v>224</v>
      </c>
      <c r="J212" s="30" t="s">
        <v>72</v>
      </c>
      <c r="K212" s="30" t="s">
        <v>1046</v>
      </c>
      <c r="L212" s="30" t="s">
        <v>1239</v>
      </c>
      <c r="M212" s="30" t="s">
        <v>700</v>
      </c>
      <c r="N212" s="30"/>
      <c r="O212" s="31">
        <f t="shared" si="10"/>
        <v>28</v>
      </c>
      <c r="P212" s="137" t="s">
        <v>1809</v>
      </c>
      <c r="Q212" s="31">
        <f t="shared" si="11"/>
        <v>0</v>
      </c>
      <c r="R212" s="32">
        <f t="shared" si="12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8" ht="15.75" thickBot="1" x14ac:dyDescent="0.3">
      <c r="A213">
        <v>6</v>
      </c>
      <c r="B213">
        <v>12</v>
      </c>
      <c r="C213"/>
      <c r="D213"/>
      <c r="E213" t="s">
        <v>2353</v>
      </c>
      <c r="F213" t="s">
        <v>216</v>
      </c>
      <c r="G213" t="s">
        <v>943</v>
      </c>
      <c r="H213" t="s">
        <v>1052</v>
      </c>
      <c r="I213" t="s">
        <v>241</v>
      </c>
      <c r="J213" s="30" t="s">
        <v>72</v>
      </c>
      <c r="K213" s="30" t="s">
        <v>1046</v>
      </c>
      <c r="L213" s="30" t="s">
        <v>1239</v>
      </c>
      <c r="M213" s="30" t="s">
        <v>701</v>
      </c>
      <c r="N213" s="30"/>
      <c r="O213" s="31">
        <f t="shared" si="10"/>
        <v>28</v>
      </c>
      <c r="P213" s="137" t="s">
        <v>1810</v>
      </c>
      <c r="Q213" s="31">
        <f t="shared" si="11"/>
        <v>0</v>
      </c>
      <c r="R213" s="32">
        <f t="shared" si="12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8" ht="15.75" thickBot="1" x14ac:dyDescent="0.3">
      <c r="A214">
        <v>6</v>
      </c>
      <c r="B214">
        <v>12</v>
      </c>
      <c r="C214"/>
      <c r="D214"/>
      <c r="E214" t="s">
        <v>2353</v>
      </c>
      <c r="F214" t="s">
        <v>216</v>
      </c>
      <c r="G214" t="s">
        <v>944</v>
      </c>
      <c r="H214" t="s">
        <v>1052</v>
      </c>
      <c r="I214" t="s">
        <v>241</v>
      </c>
      <c r="J214" s="30" t="s">
        <v>72</v>
      </c>
      <c r="K214" s="30" t="s">
        <v>1046</v>
      </c>
      <c r="L214" s="30" t="s">
        <v>1239</v>
      </c>
      <c r="M214" s="30" t="s">
        <v>702</v>
      </c>
      <c r="N214" s="30"/>
      <c r="O214" s="31">
        <f t="shared" si="10"/>
        <v>28</v>
      </c>
      <c r="P214" s="137" t="s">
        <v>1811</v>
      </c>
      <c r="Q214" s="31">
        <f t="shared" si="11"/>
        <v>0</v>
      </c>
      <c r="R214" s="32">
        <f t="shared" si="12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8" ht="15.75" thickBot="1" x14ac:dyDescent="0.3">
      <c r="A215">
        <v>6</v>
      </c>
      <c r="B215">
        <v>12</v>
      </c>
      <c r="C215"/>
      <c r="D215"/>
      <c r="E215" t="s">
        <v>2353</v>
      </c>
      <c r="F215" t="s">
        <v>216</v>
      </c>
      <c r="G215" t="s">
        <v>945</v>
      </c>
      <c r="H215" t="s">
        <v>1052</v>
      </c>
      <c r="I215" t="s">
        <v>242</v>
      </c>
      <c r="J215" s="30" t="s">
        <v>72</v>
      </c>
      <c r="K215" s="30" t="s">
        <v>1046</v>
      </c>
      <c r="L215" s="30" t="s">
        <v>1239</v>
      </c>
      <c r="M215" s="30" t="s">
        <v>703</v>
      </c>
      <c r="N215" s="30"/>
      <c r="O215" s="31">
        <f t="shared" si="10"/>
        <v>28</v>
      </c>
      <c r="P215" s="137" t="s">
        <v>1812</v>
      </c>
      <c r="Q215" s="31">
        <f t="shared" si="11"/>
        <v>0</v>
      </c>
      <c r="R215" s="32">
        <f t="shared" si="12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</row>
    <row r="216" spans="1:48" ht="15.75" thickBot="1" x14ac:dyDescent="0.3">
      <c r="A216">
        <v>6</v>
      </c>
      <c r="B216">
        <v>12</v>
      </c>
      <c r="C216"/>
      <c r="D216"/>
      <c r="E216" t="s">
        <v>2353</v>
      </c>
      <c r="F216" t="s">
        <v>216</v>
      </c>
      <c r="G216" t="s">
        <v>946</v>
      </c>
      <c r="H216" t="s">
        <v>1052</v>
      </c>
      <c r="I216" t="s">
        <v>242</v>
      </c>
      <c r="J216" s="30" t="s">
        <v>72</v>
      </c>
      <c r="K216" s="30" t="s">
        <v>1046</v>
      </c>
      <c r="L216" s="30" t="s">
        <v>1239</v>
      </c>
      <c r="M216" s="30" t="s">
        <v>704</v>
      </c>
      <c r="N216" s="30"/>
      <c r="O216" s="31">
        <f t="shared" si="10"/>
        <v>28</v>
      </c>
      <c r="P216" s="137" t="s">
        <v>1670</v>
      </c>
      <c r="Q216" s="31">
        <f t="shared" si="11"/>
        <v>0</v>
      </c>
      <c r="R216" s="32">
        <f t="shared" si="12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</row>
    <row r="217" spans="1:48" s="73" customFormat="1" ht="15.75" thickBot="1" x14ac:dyDescent="0.3">
      <c r="A217"/>
      <c r="B217"/>
      <c r="C217"/>
      <c r="D217"/>
      <c r="E217"/>
      <c r="F217" s="73" t="s">
        <v>216</v>
      </c>
      <c r="G217" s="73" t="s">
        <v>1220</v>
      </c>
      <c r="H217" s="73" t="s">
        <v>1052</v>
      </c>
      <c r="I217" s="73" t="s">
        <v>1219</v>
      </c>
      <c r="J217" s="73" t="s">
        <v>18</v>
      </c>
      <c r="K217" s="73" t="s">
        <v>1291</v>
      </c>
      <c r="M217" s="85" t="s">
        <v>1229</v>
      </c>
      <c r="N217" s="85"/>
      <c r="O217" s="132">
        <f t="shared" si="10"/>
        <v>27</v>
      </c>
      <c r="P217" s="137" t="s">
        <v>1813</v>
      </c>
      <c r="Q217" s="132">
        <f t="shared" si="11"/>
        <v>1</v>
      </c>
      <c r="R217" s="133">
        <f t="shared" si="12"/>
        <v>0.9642857142857143</v>
      </c>
      <c r="S217" s="70"/>
      <c r="T217" s="70"/>
      <c r="U217" s="70"/>
      <c r="V217" s="70" t="s">
        <v>2240</v>
      </c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144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8" s="73" customFormat="1" ht="15.75" thickBot="1" x14ac:dyDescent="0.3">
      <c r="A218"/>
      <c r="B218"/>
      <c r="C218"/>
      <c r="D218"/>
      <c r="E218"/>
      <c r="F218" s="73" t="s">
        <v>216</v>
      </c>
      <c r="G218" s="73" t="s">
        <v>1572</v>
      </c>
      <c r="H218" s="73" t="s">
        <v>1052</v>
      </c>
      <c r="I218" s="73" t="s">
        <v>1573</v>
      </c>
      <c r="J218" s="85" t="s">
        <v>72</v>
      </c>
      <c r="K218" s="85" t="s">
        <v>1291</v>
      </c>
      <c r="M218" s="85" t="s">
        <v>1574</v>
      </c>
      <c r="N218" s="85"/>
      <c r="O218" s="132">
        <f t="shared" si="10"/>
        <v>28</v>
      </c>
      <c r="P218" s="137" t="s">
        <v>1814</v>
      </c>
      <c r="Q218" s="132">
        <f t="shared" si="11"/>
        <v>0</v>
      </c>
      <c r="R218" s="133">
        <f t="shared" si="12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8" s="73" customFormat="1" ht="15.75" thickBot="1" x14ac:dyDescent="0.3">
      <c r="A219"/>
      <c r="B219"/>
      <c r="C219"/>
      <c r="D219"/>
      <c r="E219"/>
      <c r="F219" s="73" t="s">
        <v>216</v>
      </c>
      <c r="G219" s="73" t="s">
        <v>2174</v>
      </c>
      <c r="H219" s="73" t="s">
        <v>1052</v>
      </c>
      <c r="I219" s="73" t="s">
        <v>2175</v>
      </c>
      <c r="J219" s="85" t="s">
        <v>72</v>
      </c>
      <c r="K219" s="85" t="s">
        <v>1291</v>
      </c>
      <c r="M219" s="85" t="s">
        <v>2176</v>
      </c>
      <c r="N219" s="85"/>
      <c r="O219" s="132">
        <f t="shared" si="10"/>
        <v>28</v>
      </c>
      <c r="P219" s="137" t="s">
        <v>2177</v>
      </c>
      <c r="Q219" s="132">
        <f t="shared" si="11"/>
        <v>0</v>
      </c>
      <c r="R219" s="133">
        <f t="shared" si="12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8" s="73" customFormat="1" ht="15.75" thickBot="1" x14ac:dyDescent="0.3">
      <c r="A220"/>
      <c r="B220"/>
      <c r="C220"/>
      <c r="D220"/>
      <c r="E220"/>
      <c r="G220" s="73" t="s">
        <v>2368</v>
      </c>
      <c r="H220" s="73" t="s">
        <v>1052</v>
      </c>
      <c r="I220" s="73" t="s">
        <v>2370</v>
      </c>
      <c r="J220" s="85"/>
      <c r="K220" s="85" t="s">
        <v>1291</v>
      </c>
      <c r="M220" s="85" t="s">
        <v>2369</v>
      </c>
      <c r="N220" s="85"/>
      <c r="O220" s="132"/>
      <c r="P220" s="137" t="s">
        <v>2371</v>
      </c>
      <c r="Q220" s="132"/>
      <c r="R220" s="133"/>
      <c r="S220" s="70"/>
      <c r="T220" s="70"/>
      <c r="U220" s="70"/>
      <c r="V220" s="70" t="s">
        <v>2240</v>
      </c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</row>
    <row r="221" spans="1:48" ht="15.75" thickBot="1" x14ac:dyDescent="0.3">
      <c r="A221"/>
      <c r="B221"/>
      <c r="C221"/>
      <c r="D221"/>
      <c r="E221"/>
      <c r="F221" t="s">
        <v>100</v>
      </c>
      <c r="G221" t="s">
        <v>243</v>
      </c>
      <c r="H221" t="s">
        <v>1052</v>
      </c>
      <c r="I221" t="s">
        <v>244</v>
      </c>
      <c r="J221" s="30" t="s">
        <v>14</v>
      </c>
      <c r="K221" s="30" t="s">
        <v>1046</v>
      </c>
      <c r="L221" s="30" t="s">
        <v>44</v>
      </c>
      <c r="M221" s="30" t="s">
        <v>705</v>
      </c>
      <c r="N221" s="30"/>
      <c r="O221" s="31">
        <f t="shared" si="10"/>
        <v>28</v>
      </c>
      <c r="P221" s="137" t="s">
        <v>1815</v>
      </c>
      <c r="Q221" s="31">
        <f t="shared" si="11"/>
        <v>0</v>
      </c>
      <c r="R221" s="32">
        <f t="shared" si="12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8" s="73" customFormat="1" ht="15.75" thickBot="1" x14ac:dyDescent="0.3">
      <c r="A222"/>
      <c r="B222"/>
      <c r="C222"/>
      <c r="D222"/>
      <c r="E222"/>
      <c r="F222" s="73" t="s">
        <v>100</v>
      </c>
      <c r="G222" s="73" t="s">
        <v>245</v>
      </c>
      <c r="H222" s="73" t="s">
        <v>1052</v>
      </c>
      <c r="I222" s="73" t="s">
        <v>246</v>
      </c>
      <c r="J222" s="85" t="s">
        <v>14</v>
      </c>
      <c r="K222" s="85" t="s">
        <v>1291</v>
      </c>
      <c r="L222" s="85" t="s">
        <v>44</v>
      </c>
      <c r="M222" s="85" t="s">
        <v>706</v>
      </c>
      <c r="N222" s="85"/>
      <c r="O222" s="132">
        <f t="shared" si="10"/>
        <v>27</v>
      </c>
      <c r="P222" s="137" t="s">
        <v>1816</v>
      </c>
      <c r="Q222" s="132">
        <f t="shared" si="11"/>
        <v>1</v>
      </c>
      <c r="R222" s="133">
        <f t="shared" si="12"/>
        <v>0.9642857142857143</v>
      </c>
      <c r="S222" s="70"/>
      <c r="T222" s="70"/>
      <c r="U222" s="70"/>
      <c r="V222" s="70" t="s">
        <v>2240</v>
      </c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144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8" s="73" customFormat="1" ht="15.75" thickBot="1" x14ac:dyDescent="0.3">
      <c r="A223"/>
      <c r="B223"/>
      <c r="C223"/>
      <c r="D223"/>
      <c r="E223"/>
      <c r="F223" s="73" t="s">
        <v>100</v>
      </c>
      <c r="G223" s="73" t="s">
        <v>247</v>
      </c>
      <c r="H223" s="73" t="s">
        <v>1052</v>
      </c>
      <c r="I223" s="73" t="s">
        <v>248</v>
      </c>
      <c r="J223" s="85" t="s">
        <v>14</v>
      </c>
      <c r="K223" s="85" t="s">
        <v>1291</v>
      </c>
      <c r="L223" s="85" t="s">
        <v>44</v>
      </c>
      <c r="M223" s="85" t="s">
        <v>2289</v>
      </c>
      <c r="N223" s="85"/>
      <c r="O223" s="132">
        <f t="shared" si="10"/>
        <v>27</v>
      </c>
      <c r="P223" s="137" t="s">
        <v>1817</v>
      </c>
      <c r="Q223" s="132">
        <f t="shared" si="11"/>
        <v>1</v>
      </c>
      <c r="R223" s="133">
        <f t="shared" si="12"/>
        <v>0.9642857142857143</v>
      </c>
      <c r="S223" s="70"/>
      <c r="T223" s="70"/>
      <c r="U223" s="70"/>
      <c r="V223" s="70" t="s">
        <v>2240</v>
      </c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8" ht="15.75" thickBot="1" x14ac:dyDescent="0.3">
      <c r="A224"/>
      <c r="B224"/>
      <c r="C224"/>
      <c r="D224"/>
      <c r="E224"/>
      <c r="F224" t="s">
        <v>100</v>
      </c>
      <c r="G224" t="s">
        <v>1501</v>
      </c>
      <c r="H224" t="s">
        <v>1052</v>
      </c>
      <c r="I224" t="s">
        <v>1502</v>
      </c>
      <c r="J224" s="30" t="s">
        <v>14</v>
      </c>
      <c r="K224" s="30" t="s">
        <v>27</v>
      </c>
      <c r="L224" s="30"/>
      <c r="M224" s="30" t="s">
        <v>1503</v>
      </c>
      <c r="N224" s="30"/>
      <c r="O224" s="132">
        <f t="shared" si="10"/>
        <v>27</v>
      </c>
      <c r="P224" s="137" t="s">
        <v>1818</v>
      </c>
      <c r="Q224" s="132">
        <f t="shared" si="11"/>
        <v>1</v>
      </c>
      <c r="R224" s="133">
        <f t="shared" si="12"/>
        <v>0.9642857142857143</v>
      </c>
      <c r="S224" s="70"/>
      <c r="T224" s="70"/>
      <c r="U224" s="70"/>
      <c r="V224" s="70" t="s">
        <v>2240</v>
      </c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8" ht="15.75" thickBot="1" x14ac:dyDescent="0.3">
      <c r="A225"/>
      <c r="B225"/>
      <c r="C225"/>
      <c r="D225"/>
      <c r="E225"/>
      <c r="F225" t="s">
        <v>100</v>
      </c>
      <c r="G225" t="s">
        <v>2228</v>
      </c>
      <c r="H225" t="s">
        <v>1052</v>
      </c>
      <c r="I225" t="s">
        <v>2229</v>
      </c>
      <c r="J225" s="30" t="s">
        <v>14</v>
      </c>
      <c r="K225" s="85" t="s">
        <v>1291</v>
      </c>
      <c r="L225" s="30"/>
      <c r="M225" s="30" t="s">
        <v>2230</v>
      </c>
      <c r="N225" s="30"/>
      <c r="O225" s="132">
        <f t="shared" si="10"/>
        <v>28</v>
      </c>
      <c r="P225" s="137" t="s">
        <v>2231</v>
      </c>
      <c r="Q225" s="132">
        <f t="shared" si="11"/>
        <v>0</v>
      </c>
      <c r="R225" s="133">
        <f t="shared" si="12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8" ht="15.75" thickBot="1" x14ac:dyDescent="0.3">
      <c r="A226"/>
      <c r="B226"/>
      <c r="C226"/>
      <c r="D226"/>
      <c r="E226"/>
      <c r="F226" t="s">
        <v>196</v>
      </c>
      <c r="G226" t="s">
        <v>1174</v>
      </c>
      <c r="H226" t="s">
        <v>1053</v>
      </c>
      <c r="I226" t="s">
        <v>1175</v>
      </c>
      <c r="J226" s="30" t="s">
        <v>72</v>
      </c>
      <c r="K226" s="30" t="s">
        <v>19</v>
      </c>
      <c r="L226" s="30"/>
      <c r="M226" s="30" t="s">
        <v>1260</v>
      </c>
      <c r="N226" s="30"/>
      <c r="O226" s="31">
        <f t="shared" si="10"/>
        <v>28</v>
      </c>
      <c r="P226" s="137"/>
      <c r="Q226" s="31">
        <f t="shared" si="11"/>
        <v>0</v>
      </c>
      <c r="R226" s="32">
        <f t="shared" si="12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8" ht="15.75" thickBot="1" x14ac:dyDescent="0.3">
      <c r="A227"/>
      <c r="B227"/>
      <c r="C227"/>
      <c r="D227"/>
      <c r="E227"/>
      <c r="F227" t="s">
        <v>196</v>
      </c>
      <c r="G227" t="s">
        <v>1176</v>
      </c>
      <c r="H227" t="s">
        <v>1053</v>
      </c>
      <c r="I227" t="s">
        <v>1177</v>
      </c>
      <c r="J227" s="30" t="s">
        <v>72</v>
      </c>
      <c r="K227" s="30" t="s">
        <v>19</v>
      </c>
      <c r="L227" s="30"/>
      <c r="M227" s="30" t="s">
        <v>1261</v>
      </c>
      <c r="N227" s="30"/>
      <c r="O227" s="31">
        <f t="shared" si="10"/>
        <v>28</v>
      </c>
      <c r="P227" s="137"/>
      <c r="Q227" s="31">
        <f t="shared" si="11"/>
        <v>0</v>
      </c>
      <c r="R227" s="32">
        <f t="shared" si="12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8" ht="15.75" thickBot="1" x14ac:dyDescent="0.3">
      <c r="A228">
        <v>10</v>
      </c>
      <c r="B228">
        <v>14</v>
      </c>
      <c r="C228"/>
      <c r="D228"/>
      <c r="E228" t="s">
        <v>2360</v>
      </c>
      <c r="F228" t="s">
        <v>1428</v>
      </c>
      <c r="G228" t="s">
        <v>949</v>
      </c>
      <c r="H228" t="s">
        <v>1052</v>
      </c>
      <c r="I228" t="s">
        <v>1076</v>
      </c>
      <c r="J228" s="30" t="s">
        <v>18</v>
      </c>
      <c r="K228" s="30" t="s">
        <v>1046</v>
      </c>
      <c r="L228" s="30"/>
      <c r="M228" s="30" t="s">
        <v>2297</v>
      </c>
      <c r="N228" s="30"/>
      <c r="O228" s="31">
        <f t="shared" si="10"/>
        <v>28</v>
      </c>
      <c r="P228" s="137" t="s">
        <v>1819</v>
      </c>
      <c r="Q228" s="31">
        <f t="shared" si="11"/>
        <v>0</v>
      </c>
      <c r="R228" s="32">
        <f t="shared" si="12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8" s="73" customFormat="1" ht="15.75" thickBot="1" x14ac:dyDescent="0.3">
      <c r="A229"/>
      <c r="B229"/>
      <c r="C229"/>
      <c r="D229"/>
      <c r="E229"/>
      <c r="F229" s="73" t="s">
        <v>167</v>
      </c>
      <c r="G229" s="73" t="s">
        <v>249</v>
      </c>
      <c r="H229" s="73" t="s">
        <v>1052</v>
      </c>
      <c r="I229" s="73" t="s">
        <v>250</v>
      </c>
      <c r="J229" s="85" t="s">
        <v>18</v>
      </c>
      <c r="K229" s="85" t="s">
        <v>1291</v>
      </c>
      <c r="L229" s="85"/>
      <c r="M229" s="85" t="s">
        <v>1404</v>
      </c>
      <c r="N229" s="85"/>
      <c r="O229" s="132">
        <f t="shared" si="10"/>
        <v>28</v>
      </c>
      <c r="P229" s="137" t="s">
        <v>1820</v>
      </c>
      <c r="Q229" s="132">
        <f t="shared" si="11"/>
        <v>0</v>
      </c>
      <c r="R229" s="133">
        <f t="shared" si="12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8" ht="15.75" thickBot="1" x14ac:dyDescent="0.3">
      <c r="A230">
        <v>10</v>
      </c>
      <c r="B230">
        <v>14</v>
      </c>
      <c r="C230"/>
      <c r="D230"/>
      <c r="E230" t="s">
        <v>2360</v>
      </c>
      <c r="F230" t="s">
        <v>251</v>
      </c>
      <c r="G230" t="s">
        <v>252</v>
      </c>
      <c r="H230" t="s">
        <v>1052</v>
      </c>
      <c r="I230" t="s">
        <v>253</v>
      </c>
      <c r="J230" s="30" t="s">
        <v>72</v>
      </c>
      <c r="K230" s="30" t="s">
        <v>27</v>
      </c>
      <c r="L230" s="30"/>
      <c r="M230" s="30" t="s">
        <v>707</v>
      </c>
      <c r="N230" s="30"/>
      <c r="O230" s="31">
        <f t="shared" si="10"/>
        <v>28</v>
      </c>
      <c r="P230" s="137" t="s">
        <v>1821</v>
      </c>
      <c r="Q230" s="31">
        <f t="shared" si="11"/>
        <v>0</v>
      </c>
      <c r="R230" s="32">
        <f t="shared" si="12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8" ht="15.75" thickBot="1" x14ac:dyDescent="0.3">
      <c r="A231">
        <v>10</v>
      </c>
      <c r="B231">
        <v>14</v>
      </c>
      <c r="C231"/>
      <c r="D231"/>
      <c r="E231" t="s">
        <v>2360</v>
      </c>
      <c r="F231" t="s">
        <v>251</v>
      </c>
      <c r="G231" t="s">
        <v>254</v>
      </c>
      <c r="H231" t="s">
        <v>1052</v>
      </c>
      <c r="I231" t="s">
        <v>253</v>
      </c>
      <c r="J231" s="30" t="s">
        <v>45</v>
      </c>
      <c r="K231" s="30" t="s">
        <v>27</v>
      </c>
      <c r="L231" s="30"/>
      <c r="M231" s="30" t="s">
        <v>694</v>
      </c>
      <c r="N231" s="30"/>
      <c r="O231" s="31">
        <f t="shared" si="10"/>
        <v>28</v>
      </c>
      <c r="P231" s="137" t="s">
        <v>1822</v>
      </c>
      <c r="Q231" s="31">
        <f t="shared" si="11"/>
        <v>0</v>
      </c>
      <c r="R231" s="32">
        <f t="shared" si="12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8" s="73" customFormat="1" ht="15.75" thickBot="1" x14ac:dyDescent="0.3">
      <c r="A232"/>
      <c r="B232"/>
      <c r="C232"/>
      <c r="D232"/>
      <c r="E232"/>
      <c r="F232" s="73" t="s">
        <v>251</v>
      </c>
      <c r="G232" s="73" t="s">
        <v>1313</v>
      </c>
      <c r="H232" s="73" t="s">
        <v>1052</v>
      </c>
      <c r="I232" s="73" t="s">
        <v>1317</v>
      </c>
      <c r="J232" s="85" t="s">
        <v>14</v>
      </c>
      <c r="K232" s="85" t="s">
        <v>1291</v>
      </c>
      <c r="L232" s="85"/>
      <c r="M232" s="85" t="s">
        <v>1322</v>
      </c>
      <c r="N232" s="85"/>
      <c r="O232" s="132">
        <f t="shared" si="10"/>
        <v>28</v>
      </c>
      <c r="P232" s="137" t="s">
        <v>1823</v>
      </c>
      <c r="Q232" s="132">
        <f t="shared" si="11"/>
        <v>0</v>
      </c>
      <c r="R232" s="133">
        <f t="shared" si="12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8" s="73" customFormat="1" ht="15.75" thickBot="1" x14ac:dyDescent="0.3">
      <c r="A233"/>
      <c r="B233"/>
      <c r="C233"/>
      <c r="D233"/>
      <c r="E233"/>
      <c r="F233" s="73" t="s">
        <v>251</v>
      </c>
      <c r="G233" s="73" t="s">
        <v>1407</v>
      </c>
      <c r="H233" s="73" t="s">
        <v>1052</v>
      </c>
      <c r="I233" s="73" t="s">
        <v>1408</v>
      </c>
      <c r="J233" s="85" t="s">
        <v>14</v>
      </c>
      <c r="K233" s="85" t="s">
        <v>1291</v>
      </c>
      <c r="L233" s="85"/>
      <c r="M233" s="85" t="s">
        <v>1409</v>
      </c>
      <c r="N233" s="85"/>
      <c r="O233" s="132">
        <f t="shared" si="10"/>
        <v>28</v>
      </c>
      <c r="P233" s="137" t="s">
        <v>1824</v>
      </c>
      <c r="Q233" s="132">
        <f t="shared" si="11"/>
        <v>0</v>
      </c>
      <c r="R233" s="133">
        <f t="shared" si="12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</row>
    <row r="234" spans="1:48" s="73" customFormat="1" ht="15.75" thickBot="1" x14ac:dyDescent="0.3">
      <c r="A234"/>
      <c r="B234"/>
      <c r="C234"/>
      <c r="D234"/>
      <c r="E234"/>
      <c r="F234" s="73" t="s">
        <v>251</v>
      </c>
      <c r="G234" s="73" t="s">
        <v>1576</v>
      </c>
      <c r="H234" s="73" t="s">
        <v>1052</v>
      </c>
      <c r="I234" s="73" t="s">
        <v>1577</v>
      </c>
      <c r="J234" s="85" t="s">
        <v>14</v>
      </c>
      <c r="K234" s="85" t="s">
        <v>1291</v>
      </c>
      <c r="L234" s="85"/>
      <c r="M234" s="85" t="s">
        <v>1578</v>
      </c>
      <c r="N234" s="85"/>
      <c r="O234" s="132">
        <f t="shared" si="10"/>
        <v>27</v>
      </c>
      <c r="P234" s="137"/>
      <c r="Q234" s="132">
        <f t="shared" si="11"/>
        <v>1</v>
      </c>
      <c r="R234" s="133">
        <f t="shared" si="12"/>
        <v>0.9642857142857143</v>
      </c>
      <c r="S234" s="71"/>
      <c r="T234" s="71"/>
      <c r="U234" s="71"/>
      <c r="V234" s="70" t="s">
        <v>2240</v>
      </c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</row>
    <row r="235" spans="1:48" s="73" customFormat="1" ht="15.75" thickBot="1" x14ac:dyDescent="0.3">
      <c r="A235"/>
      <c r="B235"/>
      <c r="C235"/>
      <c r="D235"/>
      <c r="E235"/>
      <c r="F235" s="73" t="s">
        <v>251</v>
      </c>
      <c r="G235" s="73" t="s">
        <v>2242</v>
      </c>
      <c r="H235" s="73" t="s">
        <v>1052</v>
      </c>
      <c r="I235" s="73" t="s">
        <v>2243</v>
      </c>
      <c r="J235" s="85" t="s">
        <v>14</v>
      </c>
      <c r="K235" s="85" t="s">
        <v>1291</v>
      </c>
      <c r="L235" s="85"/>
      <c r="M235" s="85" t="s">
        <v>2298</v>
      </c>
      <c r="N235" s="85"/>
      <c r="O235" s="132">
        <f t="shared" si="10"/>
        <v>28</v>
      </c>
      <c r="P235" s="137" t="s">
        <v>2244</v>
      </c>
      <c r="Q235" s="132">
        <f t="shared" si="11"/>
        <v>0</v>
      </c>
      <c r="R235" s="133">
        <f t="shared" si="12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</row>
    <row r="236" spans="1:48" s="73" customFormat="1" ht="15.75" thickBot="1" x14ac:dyDescent="0.3">
      <c r="A236"/>
      <c r="B236"/>
      <c r="C236"/>
      <c r="D236"/>
      <c r="E236"/>
      <c r="F236" s="73" t="s">
        <v>255</v>
      </c>
      <c r="G236" s="73" t="s">
        <v>950</v>
      </c>
      <c r="H236" s="73" t="s">
        <v>1053</v>
      </c>
      <c r="I236" s="73" t="s">
        <v>256</v>
      </c>
      <c r="J236" s="85" t="s">
        <v>14</v>
      </c>
      <c r="K236" s="85" t="s">
        <v>1291</v>
      </c>
      <c r="L236" s="85"/>
      <c r="M236" s="85" t="s">
        <v>708</v>
      </c>
      <c r="N236" s="85"/>
      <c r="O236" s="132">
        <f t="shared" si="10"/>
        <v>28</v>
      </c>
      <c r="P236" s="137" t="s">
        <v>1825</v>
      </c>
      <c r="Q236" s="132">
        <f t="shared" si="11"/>
        <v>0</v>
      </c>
      <c r="R236" s="133">
        <f t="shared" si="12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</row>
    <row r="237" spans="1:48" s="73" customFormat="1" ht="15.75" thickBot="1" x14ac:dyDescent="0.3">
      <c r="A237"/>
      <c r="B237"/>
      <c r="C237"/>
      <c r="D237"/>
      <c r="E237"/>
      <c r="F237" s="73" t="s">
        <v>255</v>
      </c>
      <c r="G237" s="73" t="s">
        <v>257</v>
      </c>
      <c r="H237" s="73" t="s">
        <v>1053</v>
      </c>
      <c r="I237" s="73" t="s">
        <v>258</v>
      </c>
      <c r="J237" s="85" t="s">
        <v>72</v>
      </c>
      <c r="K237" s="85" t="s">
        <v>1291</v>
      </c>
      <c r="L237" s="85"/>
      <c r="M237" s="85" t="s">
        <v>709</v>
      </c>
      <c r="N237" s="85"/>
      <c r="O237" s="132">
        <f t="shared" si="10"/>
        <v>28</v>
      </c>
      <c r="P237" s="137" t="s">
        <v>1826</v>
      </c>
      <c r="Q237" s="132">
        <f t="shared" si="11"/>
        <v>0</v>
      </c>
      <c r="R237" s="133">
        <f t="shared" si="12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</row>
    <row r="238" spans="1:48" s="73" customFormat="1" ht="15.75" thickBot="1" x14ac:dyDescent="0.3">
      <c r="A238"/>
      <c r="B238"/>
      <c r="C238"/>
      <c r="D238"/>
      <c r="E238"/>
      <c r="F238" s="73" t="s">
        <v>255</v>
      </c>
      <c r="G238" s="73" t="s">
        <v>259</v>
      </c>
      <c r="H238" s="73" t="s">
        <v>1053</v>
      </c>
      <c r="I238" s="73" t="s">
        <v>258</v>
      </c>
      <c r="J238" s="85" t="s">
        <v>72</v>
      </c>
      <c r="K238" s="85" t="s">
        <v>1291</v>
      </c>
      <c r="L238" s="85"/>
      <c r="M238" s="85" t="s">
        <v>710</v>
      </c>
      <c r="N238" s="85"/>
      <c r="O238" s="132">
        <f t="shared" si="10"/>
        <v>28</v>
      </c>
      <c r="P238" s="137" t="s">
        <v>1827</v>
      </c>
      <c r="Q238" s="132">
        <f t="shared" si="11"/>
        <v>0</v>
      </c>
      <c r="R238" s="133">
        <f t="shared" si="12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</row>
    <row r="239" spans="1:48" s="73" customFormat="1" ht="15.75" thickBot="1" x14ac:dyDescent="0.3">
      <c r="A239"/>
      <c r="B239"/>
      <c r="C239"/>
      <c r="D239"/>
      <c r="E239"/>
      <c r="F239" s="73" t="s">
        <v>255</v>
      </c>
      <c r="G239" s="73" t="s">
        <v>2236</v>
      </c>
      <c r="H239" s="73" t="s">
        <v>1053</v>
      </c>
      <c r="I239" s="73" t="s">
        <v>2237</v>
      </c>
      <c r="J239" s="85" t="s">
        <v>14</v>
      </c>
      <c r="K239" s="85" t="s">
        <v>1291</v>
      </c>
      <c r="L239" s="85"/>
      <c r="M239" s="85" t="s">
        <v>2299</v>
      </c>
      <c r="N239" s="85"/>
      <c r="O239" s="132">
        <f t="shared" si="10"/>
        <v>28</v>
      </c>
      <c r="P239" s="137" t="s">
        <v>2238</v>
      </c>
      <c r="Q239" s="132">
        <f t="shared" si="11"/>
        <v>0</v>
      </c>
      <c r="R239" s="133">
        <f t="shared" si="12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8" ht="15.75" thickBot="1" x14ac:dyDescent="0.3">
      <c r="A240">
        <v>1</v>
      </c>
      <c r="B240">
        <v>19</v>
      </c>
      <c r="C240"/>
      <c r="D240"/>
      <c r="E240" t="s">
        <v>2346</v>
      </c>
      <c r="F240" t="s">
        <v>264</v>
      </c>
      <c r="G240" t="s">
        <v>951</v>
      </c>
      <c r="H240" t="s">
        <v>1052</v>
      </c>
      <c r="I240" t="s">
        <v>269</v>
      </c>
      <c r="J240" s="30" t="s">
        <v>72</v>
      </c>
      <c r="K240" s="30" t="s">
        <v>27</v>
      </c>
      <c r="L240" s="30"/>
      <c r="M240" s="30" t="s">
        <v>715</v>
      </c>
      <c r="N240" s="30"/>
      <c r="O240" s="31">
        <f t="shared" si="10"/>
        <v>28</v>
      </c>
      <c r="P240" s="137" t="s">
        <v>1828</v>
      </c>
      <c r="Q240" s="31">
        <f t="shared" si="11"/>
        <v>0</v>
      </c>
      <c r="R240" s="32">
        <f t="shared" si="12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8" ht="15.75" thickBot="1" x14ac:dyDescent="0.3">
      <c r="A241">
        <v>1</v>
      </c>
      <c r="B241">
        <v>19</v>
      </c>
      <c r="C241"/>
      <c r="D241"/>
      <c r="E241" t="s">
        <v>2346</v>
      </c>
      <c r="F241" t="s">
        <v>264</v>
      </c>
      <c r="G241" t="s">
        <v>952</v>
      </c>
      <c r="H241" t="s">
        <v>1052</v>
      </c>
      <c r="I241" t="s">
        <v>1077</v>
      </c>
      <c r="J241" s="30" t="s">
        <v>18</v>
      </c>
      <c r="K241" s="30" t="s">
        <v>27</v>
      </c>
      <c r="L241" s="30"/>
      <c r="M241" s="30" t="s">
        <v>717</v>
      </c>
      <c r="N241" s="30"/>
      <c r="O241" s="31">
        <f t="shared" si="10"/>
        <v>28</v>
      </c>
      <c r="P241" s="137" t="s">
        <v>1829</v>
      </c>
      <c r="Q241" s="31">
        <f t="shared" si="11"/>
        <v>0</v>
      </c>
      <c r="R241" s="32">
        <f t="shared" si="12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8" ht="15.75" thickBot="1" x14ac:dyDescent="0.3">
      <c r="A242">
        <v>1</v>
      </c>
      <c r="B242">
        <v>19</v>
      </c>
      <c r="C242"/>
      <c r="D242"/>
      <c r="E242" t="s">
        <v>2346</v>
      </c>
      <c r="F242" t="s">
        <v>264</v>
      </c>
      <c r="G242" t="s">
        <v>953</v>
      </c>
      <c r="H242" t="s">
        <v>1052</v>
      </c>
      <c r="I242" t="s">
        <v>276</v>
      </c>
      <c r="J242" s="30" t="s">
        <v>18</v>
      </c>
      <c r="K242" s="30" t="s">
        <v>27</v>
      </c>
      <c r="L242" s="30"/>
      <c r="M242" s="30" t="s">
        <v>1466</v>
      </c>
      <c r="N242" s="30"/>
      <c r="O242" s="31">
        <f t="shared" si="10"/>
        <v>28</v>
      </c>
      <c r="P242" s="137" t="s">
        <v>1830</v>
      </c>
      <c r="Q242" s="31">
        <f t="shared" si="11"/>
        <v>0</v>
      </c>
      <c r="R242" s="32">
        <f t="shared" si="12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8" ht="15.75" thickBot="1" x14ac:dyDescent="0.3">
      <c r="A243">
        <v>1</v>
      </c>
      <c r="B243">
        <v>19</v>
      </c>
      <c r="C243"/>
      <c r="D243"/>
      <c r="E243" t="s">
        <v>2346</v>
      </c>
      <c r="F243" t="s">
        <v>264</v>
      </c>
      <c r="G243" t="s">
        <v>954</v>
      </c>
      <c r="H243" t="s">
        <v>1052</v>
      </c>
      <c r="I243" t="s">
        <v>279</v>
      </c>
      <c r="J243" s="30" t="s">
        <v>72</v>
      </c>
      <c r="K243" s="30" t="s">
        <v>27</v>
      </c>
      <c r="L243" s="30"/>
      <c r="M243" s="30" t="s">
        <v>719</v>
      </c>
      <c r="N243" s="30"/>
      <c r="O243" s="31">
        <f t="shared" si="10"/>
        <v>28</v>
      </c>
      <c r="P243" s="137" t="s">
        <v>1831</v>
      </c>
      <c r="Q243" s="31">
        <f t="shared" si="11"/>
        <v>0</v>
      </c>
      <c r="R243" s="32">
        <f t="shared" si="12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8" ht="15.75" thickBot="1" x14ac:dyDescent="0.3">
      <c r="A244">
        <v>1</v>
      </c>
      <c r="B244">
        <v>19</v>
      </c>
      <c r="C244"/>
      <c r="D244"/>
      <c r="E244" t="s">
        <v>2346</v>
      </c>
      <c r="F244" t="s">
        <v>264</v>
      </c>
      <c r="G244" t="s">
        <v>955</v>
      </c>
      <c r="H244" t="s">
        <v>1052</v>
      </c>
      <c r="I244" t="s">
        <v>279</v>
      </c>
      <c r="J244" s="30" t="s">
        <v>72</v>
      </c>
      <c r="K244" s="30" t="s">
        <v>27</v>
      </c>
      <c r="L244" s="30"/>
      <c r="M244" s="30" t="s">
        <v>720</v>
      </c>
      <c r="N244" s="30"/>
      <c r="O244" s="31">
        <f t="shared" si="10"/>
        <v>28</v>
      </c>
      <c r="P244" s="137" t="s">
        <v>1832</v>
      </c>
      <c r="Q244" s="31">
        <f t="shared" si="11"/>
        <v>0</v>
      </c>
      <c r="R244" s="32">
        <f t="shared" si="12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8" ht="15.75" thickBot="1" x14ac:dyDescent="0.3">
      <c r="A245">
        <v>1</v>
      </c>
      <c r="B245">
        <v>19</v>
      </c>
      <c r="C245"/>
      <c r="D245"/>
      <c r="E245" t="s">
        <v>2346</v>
      </c>
      <c r="F245" t="s">
        <v>264</v>
      </c>
      <c r="G245" t="s">
        <v>956</v>
      </c>
      <c r="H245" t="s">
        <v>1052</v>
      </c>
      <c r="I245" t="s">
        <v>260</v>
      </c>
      <c r="J245" s="30" t="s">
        <v>45</v>
      </c>
      <c r="K245" s="30" t="s">
        <v>27</v>
      </c>
      <c r="L245" s="30"/>
      <c r="M245" s="30" t="s">
        <v>711</v>
      </c>
      <c r="N245" s="30"/>
      <c r="O245" s="31">
        <f t="shared" si="10"/>
        <v>28</v>
      </c>
      <c r="P245" s="137" t="s">
        <v>1833</v>
      </c>
      <c r="Q245" s="31">
        <f t="shared" si="11"/>
        <v>0</v>
      </c>
      <c r="R245" s="32">
        <f t="shared" si="12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8" ht="15.75" thickBot="1" x14ac:dyDescent="0.3">
      <c r="A246">
        <v>1</v>
      </c>
      <c r="B246">
        <v>19</v>
      </c>
      <c r="C246"/>
      <c r="D246"/>
      <c r="E246" t="s">
        <v>2346</v>
      </c>
      <c r="F246" t="s">
        <v>261</v>
      </c>
      <c r="G246" t="s">
        <v>262</v>
      </c>
      <c r="H246" t="s">
        <v>1052</v>
      </c>
      <c r="I246" t="s">
        <v>263</v>
      </c>
      <c r="J246" s="30" t="s">
        <v>18</v>
      </c>
      <c r="K246" s="30" t="s">
        <v>27</v>
      </c>
      <c r="L246" s="30"/>
      <c r="M246" s="30" t="s">
        <v>712</v>
      </c>
      <c r="N246" s="30"/>
      <c r="O246" s="31">
        <f t="shared" si="10"/>
        <v>28</v>
      </c>
      <c r="P246" s="137" t="s">
        <v>1834</v>
      </c>
      <c r="Q246" s="31">
        <f t="shared" si="11"/>
        <v>0</v>
      </c>
      <c r="R246" s="32">
        <f t="shared" si="12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8" ht="15.75" thickBot="1" x14ac:dyDescent="0.3">
      <c r="A247">
        <v>1</v>
      </c>
      <c r="B247">
        <v>19</v>
      </c>
      <c r="C247"/>
      <c r="D247"/>
      <c r="E247" t="s">
        <v>2346</v>
      </c>
      <c r="F247" t="s">
        <v>264</v>
      </c>
      <c r="G247" t="s">
        <v>265</v>
      </c>
      <c r="H247" t="s">
        <v>1052</v>
      </c>
      <c r="I247" t="s">
        <v>266</v>
      </c>
      <c r="J247" s="30" t="s">
        <v>72</v>
      </c>
      <c r="K247" s="30" t="s">
        <v>27</v>
      </c>
      <c r="L247" s="30"/>
      <c r="M247" s="30" t="s">
        <v>713</v>
      </c>
      <c r="N247" s="30"/>
      <c r="O247" s="31">
        <f t="shared" si="10"/>
        <v>28</v>
      </c>
      <c r="P247" s="137" t="s">
        <v>1835</v>
      </c>
      <c r="Q247" s="31">
        <f t="shared" si="11"/>
        <v>0</v>
      </c>
      <c r="R247" s="32">
        <f t="shared" si="12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8" ht="15.75" thickBot="1" x14ac:dyDescent="0.3">
      <c r="A248">
        <v>1</v>
      </c>
      <c r="B248">
        <v>19</v>
      </c>
      <c r="C248"/>
      <c r="D248"/>
      <c r="E248" t="s">
        <v>2346</v>
      </c>
      <c r="F248" t="s">
        <v>264</v>
      </c>
      <c r="G248" t="s">
        <v>267</v>
      </c>
      <c r="H248" t="s">
        <v>1052</v>
      </c>
      <c r="I248" t="s">
        <v>268</v>
      </c>
      <c r="J248" s="30" t="s">
        <v>45</v>
      </c>
      <c r="K248" s="30" t="s">
        <v>27</v>
      </c>
      <c r="L248" s="30"/>
      <c r="M248" s="30" t="s">
        <v>714</v>
      </c>
      <c r="N248" s="30"/>
      <c r="O248" s="31">
        <f t="shared" ref="O248:O322" si="13">COUNTIF(S248:AT248,"")</f>
        <v>28</v>
      </c>
      <c r="P248" s="137" t="s">
        <v>1836</v>
      </c>
      <c r="Q248" s="31">
        <f t="shared" ref="Q248:Q322" si="14">COUNTIF(S248:AT248,"APAGADO")</f>
        <v>0</v>
      </c>
      <c r="R248" s="32">
        <f t="shared" ref="R248:R322" si="15">(O248)/(Q248+O248)</f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8" ht="15.75" thickBot="1" x14ac:dyDescent="0.3">
      <c r="A249">
        <v>1</v>
      </c>
      <c r="B249">
        <v>19</v>
      </c>
      <c r="C249"/>
      <c r="D249"/>
      <c r="E249" t="s">
        <v>2346</v>
      </c>
      <c r="F249" t="s">
        <v>261</v>
      </c>
      <c r="G249" t="s">
        <v>270</v>
      </c>
      <c r="H249" t="s">
        <v>1052</v>
      </c>
      <c r="I249" t="s">
        <v>271</v>
      </c>
      <c r="J249" s="30" t="s">
        <v>18</v>
      </c>
      <c r="K249" s="30" t="s">
        <v>27</v>
      </c>
      <c r="L249" s="30"/>
      <c r="M249" s="30" t="s">
        <v>716</v>
      </c>
      <c r="N249" s="30"/>
      <c r="O249" s="31">
        <f t="shared" si="13"/>
        <v>28</v>
      </c>
      <c r="P249" s="137" t="s">
        <v>1837</v>
      </c>
      <c r="Q249" s="31">
        <f t="shared" si="14"/>
        <v>0</v>
      </c>
      <c r="R249" s="32">
        <f t="shared" si="15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8" ht="15.75" thickBot="1" x14ac:dyDescent="0.3">
      <c r="A250">
        <v>1</v>
      </c>
      <c r="B250">
        <v>19</v>
      </c>
      <c r="C250"/>
      <c r="D250"/>
      <c r="E250" t="s">
        <v>2346</v>
      </c>
      <c r="F250" t="s">
        <v>264</v>
      </c>
      <c r="G250" t="s">
        <v>272</v>
      </c>
      <c r="H250" t="s">
        <v>1052</v>
      </c>
      <c r="I250" t="s">
        <v>273</v>
      </c>
      <c r="J250" s="30" t="s">
        <v>18</v>
      </c>
      <c r="K250" s="30" t="s">
        <v>27</v>
      </c>
      <c r="L250" s="30"/>
      <c r="M250" s="30" t="s">
        <v>2290</v>
      </c>
      <c r="N250" s="30"/>
      <c r="O250" s="31">
        <f t="shared" si="13"/>
        <v>28</v>
      </c>
      <c r="P250" s="137" t="s">
        <v>1838</v>
      </c>
      <c r="Q250" s="31">
        <f t="shared" si="14"/>
        <v>0</v>
      </c>
      <c r="R250" s="32">
        <f t="shared" si="15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8" ht="15.75" thickBot="1" x14ac:dyDescent="0.3">
      <c r="A251"/>
      <c r="B251"/>
      <c r="C251"/>
      <c r="D251"/>
      <c r="E251"/>
      <c r="F251" t="s">
        <v>264</v>
      </c>
      <c r="G251" t="s">
        <v>274</v>
      </c>
      <c r="H251" t="s">
        <v>1052</v>
      </c>
      <c r="I251" t="s">
        <v>275</v>
      </c>
      <c r="J251" s="30" t="s">
        <v>18</v>
      </c>
      <c r="K251" s="30" t="s">
        <v>27</v>
      </c>
      <c r="L251" s="30"/>
      <c r="M251" s="30" t="s">
        <v>1426</v>
      </c>
      <c r="N251" s="30"/>
      <c r="O251" s="31">
        <f t="shared" si="13"/>
        <v>27</v>
      </c>
      <c r="P251" s="137" t="s">
        <v>1839</v>
      </c>
      <c r="Q251" s="31">
        <f t="shared" si="14"/>
        <v>1</v>
      </c>
      <c r="R251" s="32">
        <f t="shared" si="15"/>
        <v>0.9642857142857143</v>
      </c>
      <c r="S251" s="70"/>
      <c r="T251" s="70"/>
      <c r="U251" s="70"/>
      <c r="V251" s="70" t="s">
        <v>2240</v>
      </c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8" ht="15.75" thickBot="1" x14ac:dyDescent="0.3">
      <c r="A252">
        <v>1</v>
      </c>
      <c r="B252">
        <v>19</v>
      </c>
      <c r="C252"/>
      <c r="D252"/>
      <c r="E252" t="s">
        <v>2346</v>
      </c>
      <c r="F252" t="s">
        <v>264</v>
      </c>
      <c r="G252" t="s">
        <v>277</v>
      </c>
      <c r="H252" t="s">
        <v>1052</v>
      </c>
      <c r="I252" t="s">
        <v>278</v>
      </c>
      <c r="J252" s="30" t="s">
        <v>18</v>
      </c>
      <c r="K252" s="30" t="s">
        <v>27</v>
      </c>
      <c r="L252" s="30"/>
      <c r="M252" s="30" t="s">
        <v>718</v>
      </c>
      <c r="N252" s="30"/>
      <c r="O252" s="31">
        <f t="shared" si="13"/>
        <v>28</v>
      </c>
      <c r="P252" s="137" t="s">
        <v>1840</v>
      </c>
      <c r="Q252" s="31">
        <f t="shared" si="14"/>
        <v>0</v>
      </c>
      <c r="R252" s="32">
        <f t="shared" si="15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8" ht="15.75" thickBot="1" x14ac:dyDescent="0.3">
      <c r="A253"/>
      <c r="B253"/>
      <c r="C253"/>
      <c r="D253"/>
      <c r="E253"/>
      <c r="F253" t="s">
        <v>264</v>
      </c>
      <c r="G253" t="s">
        <v>280</v>
      </c>
      <c r="H253" t="s">
        <v>1052</v>
      </c>
      <c r="I253" t="s">
        <v>281</v>
      </c>
      <c r="J253" s="30" t="s">
        <v>14</v>
      </c>
      <c r="K253" s="30" t="s">
        <v>27</v>
      </c>
      <c r="L253" s="30"/>
      <c r="M253" s="30" t="s">
        <v>721</v>
      </c>
      <c r="N253" s="30"/>
      <c r="O253" s="31">
        <f t="shared" si="13"/>
        <v>27</v>
      </c>
      <c r="P253" s="137" t="s">
        <v>1841</v>
      </c>
      <c r="Q253" s="31">
        <f t="shared" si="14"/>
        <v>1</v>
      </c>
      <c r="R253" s="32">
        <f t="shared" si="15"/>
        <v>0.9642857142857143</v>
      </c>
      <c r="S253" s="70"/>
      <c r="T253" s="70"/>
      <c r="U253" s="70"/>
      <c r="V253" s="70" t="s">
        <v>2240</v>
      </c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144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8" ht="15.75" thickBot="1" x14ac:dyDescent="0.3">
      <c r="A254">
        <v>1</v>
      </c>
      <c r="B254">
        <v>19</v>
      </c>
      <c r="C254"/>
      <c r="D254"/>
      <c r="E254" t="s">
        <v>2346</v>
      </c>
      <c r="F254" t="s">
        <v>264</v>
      </c>
      <c r="G254" s="30" t="s">
        <v>1201</v>
      </c>
      <c r="H254" s="30" t="s">
        <v>1052</v>
      </c>
      <c r="I254" t="s">
        <v>1196</v>
      </c>
      <c r="J254" s="30" t="s">
        <v>14</v>
      </c>
      <c r="K254" s="30" t="s">
        <v>27</v>
      </c>
      <c r="L254" s="30"/>
      <c r="M254" s="30" t="s">
        <v>1197</v>
      </c>
      <c r="N254" s="30"/>
      <c r="O254" s="31">
        <f t="shared" si="13"/>
        <v>27</v>
      </c>
      <c r="P254" s="137" t="s">
        <v>1842</v>
      </c>
      <c r="Q254" s="31">
        <f t="shared" si="14"/>
        <v>1</v>
      </c>
      <c r="R254" s="32">
        <f t="shared" si="15"/>
        <v>0.9642857142857143</v>
      </c>
      <c r="S254" s="70"/>
      <c r="T254" s="70"/>
      <c r="U254" s="70"/>
      <c r="V254" s="70" t="s">
        <v>2240</v>
      </c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8" s="89" customFormat="1" ht="15.75" thickBot="1" x14ac:dyDescent="0.3">
      <c r="F255" s="73" t="s">
        <v>284</v>
      </c>
      <c r="G255" s="73" t="s">
        <v>957</v>
      </c>
      <c r="H255" s="89" t="s">
        <v>1053</v>
      </c>
      <c r="I255" s="73" t="s">
        <v>1078</v>
      </c>
      <c r="J255" s="90" t="s">
        <v>18</v>
      </c>
      <c r="K255" s="85" t="s">
        <v>1291</v>
      </c>
      <c r="L255" s="85"/>
      <c r="M255" s="85" t="s">
        <v>2214</v>
      </c>
      <c r="N255" s="85"/>
      <c r="O255" s="31">
        <f t="shared" si="13"/>
        <v>28</v>
      </c>
      <c r="P255" s="137" t="s">
        <v>2323</v>
      </c>
      <c r="Q255" s="31">
        <f t="shared" si="14"/>
        <v>0</v>
      </c>
      <c r="R255" s="32">
        <f t="shared" si="15"/>
        <v>1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91"/>
      <c r="AL255" s="91"/>
      <c r="AM255" s="70"/>
      <c r="AN255" s="91"/>
      <c r="AO255" s="91"/>
      <c r="AP255" s="91"/>
      <c r="AQ255" s="91"/>
      <c r="AR255" s="91"/>
      <c r="AS255" s="91"/>
      <c r="AT255" s="91"/>
      <c r="AU255" s="91"/>
      <c r="AV255" s="91"/>
    </row>
    <row r="256" spans="1:48" ht="15.75" thickBot="1" x14ac:dyDescent="0.3">
      <c r="A256"/>
      <c r="B256"/>
      <c r="C256"/>
      <c r="D256"/>
      <c r="E256"/>
      <c r="F256" t="s">
        <v>226</v>
      </c>
      <c r="G256" t="s">
        <v>282</v>
      </c>
      <c r="H256" t="s">
        <v>1053</v>
      </c>
      <c r="I256" t="s">
        <v>283</v>
      </c>
      <c r="J256" s="30" t="s">
        <v>14</v>
      </c>
      <c r="K256" s="30" t="s">
        <v>1046</v>
      </c>
      <c r="L256" s="30"/>
      <c r="M256" s="30" t="s">
        <v>1054</v>
      </c>
      <c r="N256" s="30"/>
      <c r="O256" s="31">
        <f t="shared" si="13"/>
        <v>27</v>
      </c>
      <c r="P256" s="137" t="s">
        <v>1798</v>
      </c>
      <c r="Q256" s="31">
        <f t="shared" si="14"/>
        <v>1</v>
      </c>
      <c r="R256" s="32">
        <f t="shared" si="15"/>
        <v>0.9642857142857143</v>
      </c>
      <c r="S256" s="70"/>
      <c r="T256" s="70"/>
      <c r="U256" s="70"/>
      <c r="V256" s="70" t="s">
        <v>2240</v>
      </c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8" s="69" customFormat="1" ht="15.75" thickBot="1" x14ac:dyDescent="0.3">
      <c r="F257" s="69" t="s">
        <v>284</v>
      </c>
      <c r="G257" s="69" t="s">
        <v>285</v>
      </c>
      <c r="H257" s="69" t="s">
        <v>1053</v>
      </c>
      <c r="I257" s="69" t="s">
        <v>286</v>
      </c>
      <c r="J257" s="138" t="s">
        <v>14</v>
      </c>
      <c r="K257" s="138" t="s">
        <v>27</v>
      </c>
      <c r="L257" s="138"/>
      <c r="M257" s="138" t="s">
        <v>722</v>
      </c>
      <c r="N257" s="138"/>
      <c r="O257" s="141">
        <f t="shared" si="13"/>
        <v>27</v>
      </c>
      <c r="P257" s="142" t="s">
        <v>1843</v>
      </c>
      <c r="Q257" s="141">
        <f t="shared" si="14"/>
        <v>1</v>
      </c>
      <c r="R257" s="143">
        <f t="shared" si="15"/>
        <v>0.9642857142857143</v>
      </c>
      <c r="S257" s="144"/>
      <c r="T257" s="144"/>
      <c r="U257" s="144"/>
      <c r="V257" s="70" t="s">
        <v>2240</v>
      </c>
      <c r="W257" s="144"/>
      <c r="X257" s="144"/>
      <c r="Y257" s="144"/>
      <c r="Z257" s="144"/>
      <c r="AA257" s="144"/>
      <c r="AB257" s="144"/>
      <c r="AC257" s="144"/>
      <c r="AD257" s="144"/>
      <c r="AE257" s="70"/>
      <c r="AF257" s="70"/>
      <c r="AG257" s="144"/>
      <c r="AH257" s="70"/>
      <c r="AI257" s="70"/>
      <c r="AJ257" s="144"/>
      <c r="AK257" s="144"/>
      <c r="AL257" s="70"/>
      <c r="AM257" s="70"/>
      <c r="AN257" s="70"/>
      <c r="AO257" s="70"/>
      <c r="AP257" s="70"/>
      <c r="AQ257" s="144"/>
      <c r="AR257" s="70"/>
      <c r="AS257" s="70"/>
      <c r="AT257" s="70"/>
      <c r="AU257" s="70"/>
      <c r="AV257" s="70"/>
    </row>
    <row r="258" spans="1:48" s="69" customFormat="1" ht="15.75" thickBot="1" x14ac:dyDescent="0.3">
      <c r="F258" s="69" t="s">
        <v>284</v>
      </c>
      <c r="G258" s="69" t="s">
        <v>2251</v>
      </c>
      <c r="H258" s="69" t="s">
        <v>1053</v>
      </c>
      <c r="I258" s="69" t="s">
        <v>2252</v>
      </c>
      <c r="J258" s="138" t="s">
        <v>72</v>
      </c>
      <c r="K258" s="138" t="s">
        <v>1291</v>
      </c>
      <c r="L258" s="138"/>
      <c r="M258" s="138" t="s">
        <v>2253</v>
      </c>
      <c r="N258" s="138"/>
      <c r="O258" s="141">
        <f t="shared" si="13"/>
        <v>27</v>
      </c>
      <c r="P258" s="142" t="s">
        <v>2254</v>
      </c>
      <c r="Q258" s="141">
        <f t="shared" si="14"/>
        <v>1</v>
      </c>
      <c r="R258" s="143">
        <f t="shared" si="15"/>
        <v>0.9642857142857143</v>
      </c>
      <c r="S258" s="144"/>
      <c r="T258" s="144"/>
      <c r="U258" s="144"/>
      <c r="V258" s="70" t="s">
        <v>2240</v>
      </c>
      <c r="W258" s="144"/>
      <c r="X258" s="144"/>
      <c r="Y258" s="144"/>
      <c r="Z258" s="144"/>
      <c r="AA258" s="144"/>
      <c r="AB258" s="144"/>
      <c r="AC258" s="144"/>
      <c r="AD258" s="144"/>
      <c r="AE258" s="70"/>
      <c r="AF258" s="70"/>
      <c r="AG258" s="144"/>
      <c r="AH258" s="70"/>
      <c r="AI258" s="70"/>
      <c r="AJ258" s="144"/>
      <c r="AK258" s="144"/>
      <c r="AL258" s="70"/>
      <c r="AM258" s="70"/>
      <c r="AN258" s="70"/>
      <c r="AO258" s="70"/>
      <c r="AP258" s="70"/>
      <c r="AQ258" s="144"/>
      <c r="AR258" s="70"/>
      <c r="AS258" s="70"/>
      <c r="AT258" s="70"/>
      <c r="AU258" s="70"/>
      <c r="AV258" s="70"/>
    </row>
    <row r="259" spans="1:48" ht="15.75" thickBot="1" x14ac:dyDescent="0.3">
      <c r="A259"/>
      <c r="B259"/>
      <c r="C259"/>
      <c r="D259"/>
      <c r="E259"/>
      <c r="F259" t="s">
        <v>284</v>
      </c>
      <c r="G259" t="s">
        <v>2255</v>
      </c>
      <c r="H259" t="s">
        <v>1053</v>
      </c>
      <c r="I259" t="s">
        <v>2252</v>
      </c>
      <c r="J259" s="30" t="s">
        <v>14</v>
      </c>
      <c r="K259" s="85" t="s">
        <v>1291</v>
      </c>
      <c r="L259" s="30"/>
      <c r="M259" s="30" t="s">
        <v>2300</v>
      </c>
      <c r="N259" s="30"/>
      <c r="O259" s="31">
        <f t="shared" si="13"/>
        <v>28</v>
      </c>
      <c r="P259" s="137"/>
      <c r="Q259" s="31">
        <f t="shared" si="14"/>
        <v>0</v>
      </c>
      <c r="R259" s="32">
        <f t="shared" si="15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</row>
    <row r="260" spans="1:48" ht="15.75" thickBot="1" x14ac:dyDescent="0.3">
      <c r="A260"/>
      <c r="B260"/>
      <c r="C260"/>
      <c r="D260"/>
      <c r="E260"/>
      <c r="F260" t="s">
        <v>284</v>
      </c>
      <c r="G260" t="s">
        <v>2256</v>
      </c>
      <c r="H260" t="s">
        <v>1053</v>
      </c>
      <c r="I260" t="s">
        <v>2257</v>
      </c>
      <c r="J260" s="30" t="s">
        <v>14</v>
      </c>
      <c r="K260" s="85" t="s">
        <v>1291</v>
      </c>
      <c r="L260" s="30"/>
      <c r="M260" s="30" t="s">
        <v>2340</v>
      </c>
      <c r="N260" s="30"/>
      <c r="O260" s="31">
        <f t="shared" si="13"/>
        <v>28</v>
      </c>
      <c r="P260" s="137"/>
      <c r="Q260" s="31">
        <f t="shared" si="14"/>
        <v>0</v>
      </c>
      <c r="R260" s="32">
        <f t="shared" si="15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8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1053</v>
      </c>
      <c r="I261" t="s">
        <v>13</v>
      </c>
      <c r="J261" s="30" t="s">
        <v>14</v>
      </c>
      <c r="K261" s="30" t="s">
        <v>1291</v>
      </c>
      <c r="L261" s="30"/>
      <c r="M261" s="30" t="s">
        <v>723</v>
      </c>
      <c r="N261" s="30"/>
      <c r="O261" s="31">
        <f t="shared" si="13"/>
        <v>28</v>
      </c>
      <c r="P261" s="137"/>
      <c r="Q261" s="31">
        <f t="shared" si="14"/>
        <v>0</v>
      </c>
      <c r="R261" s="32">
        <f t="shared" si="15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8" ht="15.75" thickBot="1" x14ac:dyDescent="0.3">
      <c r="A262"/>
      <c r="B262"/>
      <c r="C262"/>
      <c r="D262"/>
      <c r="E262" t="s">
        <v>2366</v>
      </c>
      <c r="F262" t="s">
        <v>372</v>
      </c>
      <c r="G262" t="s">
        <v>958</v>
      </c>
      <c r="H262" t="s">
        <v>1053</v>
      </c>
      <c r="I262" t="s">
        <v>959</v>
      </c>
      <c r="J262" s="30" t="s">
        <v>72</v>
      </c>
      <c r="K262" s="30" t="s">
        <v>27</v>
      </c>
      <c r="L262" s="30"/>
      <c r="M262" s="30" t="s">
        <v>1207</v>
      </c>
      <c r="N262" s="30"/>
      <c r="O262" s="31">
        <f t="shared" si="13"/>
        <v>28</v>
      </c>
      <c r="P262" s="137" t="s">
        <v>1844</v>
      </c>
      <c r="Q262" s="31">
        <f t="shared" si="14"/>
        <v>0</v>
      </c>
      <c r="R262" s="32">
        <f t="shared" si="15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8" ht="15.75" thickBot="1" x14ac:dyDescent="0.3">
      <c r="A263"/>
      <c r="B263"/>
      <c r="C263"/>
      <c r="D263"/>
      <c r="E263" t="s">
        <v>2366</v>
      </c>
      <c r="F263" t="s">
        <v>960</v>
      </c>
      <c r="G263" t="s">
        <v>2335</v>
      </c>
      <c r="H263" t="s">
        <v>1053</v>
      </c>
      <c r="I263" t="s">
        <v>959</v>
      </c>
      <c r="J263" s="30" t="s">
        <v>72</v>
      </c>
      <c r="K263" s="30" t="s">
        <v>27</v>
      </c>
      <c r="L263" s="30"/>
      <c r="M263" s="30" t="s">
        <v>1208</v>
      </c>
      <c r="N263" s="30"/>
      <c r="O263" s="31">
        <f t="shared" si="13"/>
        <v>28</v>
      </c>
      <c r="P263" s="137" t="s">
        <v>1845</v>
      </c>
      <c r="Q263" s="31">
        <f t="shared" si="14"/>
        <v>0</v>
      </c>
      <c r="R263" s="32">
        <f t="shared" si="15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8" ht="15.75" thickBot="1" x14ac:dyDescent="0.3">
      <c r="A264"/>
      <c r="B264"/>
      <c r="C264"/>
      <c r="D264"/>
      <c r="E264"/>
      <c r="G264" t="s">
        <v>2334</v>
      </c>
      <c r="H264" t="s">
        <v>1053</v>
      </c>
      <c r="I264" t="s">
        <v>2337</v>
      </c>
      <c r="J264" s="30" t="s">
        <v>45</v>
      </c>
      <c r="K264" s="30" t="s">
        <v>1291</v>
      </c>
      <c r="L264" s="30"/>
      <c r="M264" s="30" t="s">
        <v>2338</v>
      </c>
      <c r="N264" s="30"/>
      <c r="O264" s="31"/>
      <c r="P264" s="137"/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8" ht="15.75" thickBot="1" x14ac:dyDescent="0.3">
      <c r="A265"/>
      <c r="B265"/>
      <c r="C265"/>
      <c r="D265"/>
      <c r="E265"/>
      <c r="G265" t="s">
        <v>2336</v>
      </c>
      <c r="H265" t="s">
        <v>1053</v>
      </c>
      <c r="I265" t="s">
        <v>2337</v>
      </c>
      <c r="J265" s="30" t="s">
        <v>14</v>
      </c>
      <c r="K265" s="30" t="s">
        <v>1291</v>
      </c>
      <c r="L265" s="30"/>
      <c r="M265" s="30" t="s">
        <v>2339</v>
      </c>
      <c r="N265" s="30"/>
      <c r="O265" s="31"/>
      <c r="P265" s="137"/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8" s="73" customFormat="1" ht="15.75" thickBot="1" x14ac:dyDescent="0.3">
      <c r="A266"/>
      <c r="B266"/>
      <c r="C266"/>
      <c r="D266"/>
      <c r="E266"/>
      <c r="F266" s="73" t="s">
        <v>16</v>
      </c>
      <c r="G266" s="134" t="s">
        <v>17</v>
      </c>
      <c r="H266" s="73" t="s">
        <v>1053</v>
      </c>
      <c r="I266" s="73" t="s">
        <v>1079</v>
      </c>
      <c r="J266" s="85" t="s">
        <v>18</v>
      </c>
      <c r="K266" s="85" t="s">
        <v>1291</v>
      </c>
      <c r="L266" s="85"/>
      <c r="M266" s="85" t="s">
        <v>1366</v>
      </c>
      <c r="N266" s="85"/>
      <c r="O266" s="132">
        <f t="shared" si="13"/>
        <v>28</v>
      </c>
      <c r="P266" s="137" t="s">
        <v>1846</v>
      </c>
      <c r="Q266" s="132">
        <f t="shared" si="14"/>
        <v>0</v>
      </c>
      <c r="R266" s="133">
        <f t="shared" si="15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8" s="73" customFormat="1" ht="15.75" thickBot="1" x14ac:dyDescent="0.3">
      <c r="A267"/>
      <c r="B267"/>
      <c r="C267"/>
      <c r="D267"/>
      <c r="E267"/>
      <c r="F267" s="73" t="s">
        <v>16</v>
      </c>
      <c r="G267" s="134" t="s">
        <v>20</v>
      </c>
      <c r="H267" s="73" t="s">
        <v>1053</v>
      </c>
      <c r="I267" s="73" t="s">
        <v>21</v>
      </c>
      <c r="J267" s="85" t="s">
        <v>18</v>
      </c>
      <c r="K267" s="85" t="s">
        <v>1291</v>
      </c>
      <c r="L267" s="85"/>
      <c r="M267" s="85" t="s">
        <v>1367</v>
      </c>
      <c r="N267" s="85"/>
      <c r="O267" s="132">
        <f t="shared" si="13"/>
        <v>28</v>
      </c>
      <c r="P267" s="137" t="s">
        <v>1847</v>
      </c>
      <c r="Q267" s="132">
        <f t="shared" si="14"/>
        <v>0</v>
      </c>
      <c r="R267" s="133">
        <f t="shared" si="15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8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1053</v>
      </c>
      <c r="I268" t="s">
        <v>606</v>
      </c>
      <c r="J268" s="30" t="s">
        <v>14</v>
      </c>
      <c r="K268" s="30" t="s">
        <v>1046</v>
      </c>
      <c r="L268" s="30" t="s">
        <v>1244</v>
      </c>
      <c r="M268" s="30" t="s">
        <v>724</v>
      </c>
      <c r="N268" s="30"/>
      <c r="O268" s="31">
        <f t="shared" si="13"/>
        <v>28</v>
      </c>
      <c r="P268" s="137" t="s">
        <v>1848</v>
      </c>
      <c r="Q268" s="31">
        <f t="shared" si="14"/>
        <v>0</v>
      </c>
      <c r="R268" s="32">
        <f t="shared" si="15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8" ht="15" customHeight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1053</v>
      </c>
      <c r="I269" t="s">
        <v>24</v>
      </c>
      <c r="J269" s="30" t="s">
        <v>14</v>
      </c>
      <c r="K269" s="30" t="s">
        <v>19</v>
      </c>
      <c r="L269" s="30"/>
      <c r="M269" s="30" t="s">
        <v>725</v>
      </c>
      <c r="N269" s="30"/>
      <c r="O269" s="31">
        <f t="shared" si="13"/>
        <v>28</v>
      </c>
      <c r="P269" s="137"/>
      <c r="Q269" s="31">
        <f t="shared" si="14"/>
        <v>0</v>
      </c>
      <c r="R269" s="32">
        <f t="shared" si="15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8" ht="18" customHeight="1" thickBot="1" x14ac:dyDescent="0.3">
      <c r="A270"/>
      <c r="B270"/>
      <c r="C270"/>
      <c r="D270"/>
      <c r="E270"/>
      <c r="F270" s="69"/>
      <c r="G270" t="s">
        <v>1221</v>
      </c>
      <c r="H270" t="s">
        <v>1052</v>
      </c>
      <c r="I270" t="s">
        <v>1222</v>
      </c>
      <c r="J270" t="s">
        <v>18</v>
      </c>
      <c r="K270" t="s">
        <v>27</v>
      </c>
      <c r="L270"/>
      <c r="M270" s="30" t="s">
        <v>1262</v>
      </c>
      <c r="N270" s="30"/>
      <c r="O270" s="31">
        <f t="shared" si="13"/>
        <v>28</v>
      </c>
      <c r="P270" s="137" t="s">
        <v>1849</v>
      </c>
      <c r="Q270" s="31">
        <f t="shared" si="14"/>
        <v>0</v>
      </c>
      <c r="R270" s="32">
        <f t="shared" si="15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4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30"/>
    </row>
    <row r="271" spans="1:48" ht="15" customHeight="1" thickBot="1" x14ac:dyDescent="0.3">
      <c r="A271"/>
      <c r="B271"/>
      <c r="C271"/>
      <c r="D271"/>
      <c r="E271"/>
      <c r="F271" s="73"/>
      <c r="G271" t="s">
        <v>1306</v>
      </c>
      <c r="H271" t="s">
        <v>1052</v>
      </c>
      <c r="I271" t="s">
        <v>1309</v>
      </c>
      <c r="J271" s="30" t="s">
        <v>14</v>
      </c>
      <c r="K271" s="30" t="s">
        <v>27</v>
      </c>
      <c r="L271"/>
      <c r="M271" s="30" t="s">
        <v>1321</v>
      </c>
      <c r="N271" s="30"/>
      <c r="O271" s="31">
        <f t="shared" si="13"/>
        <v>27</v>
      </c>
      <c r="P271" s="137" t="s">
        <v>1850</v>
      </c>
      <c r="Q271" s="31">
        <f t="shared" si="14"/>
        <v>1</v>
      </c>
      <c r="R271" s="32">
        <f t="shared" si="15"/>
        <v>0.9642857142857143</v>
      </c>
      <c r="S271" s="70"/>
      <c r="T271" s="70"/>
      <c r="U271" s="70"/>
      <c r="V271" s="70" t="s">
        <v>2240</v>
      </c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144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8" s="73" customFormat="1" ht="15.75" thickBot="1" x14ac:dyDescent="0.3">
      <c r="A272"/>
      <c r="B272"/>
      <c r="C272"/>
      <c r="D272"/>
      <c r="E272"/>
      <c r="F272" s="73" t="s">
        <v>287</v>
      </c>
      <c r="G272" s="73" t="s">
        <v>961</v>
      </c>
      <c r="H272" s="73" t="s">
        <v>1052</v>
      </c>
      <c r="I272" s="73" t="s">
        <v>288</v>
      </c>
      <c r="J272" s="85" t="s">
        <v>72</v>
      </c>
      <c r="K272" s="85" t="s">
        <v>1291</v>
      </c>
      <c r="L272" s="85"/>
      <c r="M272" s="85" t="s">
        <v>726</v>
      </c>
      <c r="N272" s="85"/>
      <c r="O272" s="132">
        <f t="shared" si="13"/>
        <v>28</v>
      </c>
      <c r="P272" s="137" t="s">
        <v>1851</v>
      </c>
      <c r="Q272" s="132">
        <f t="shared" si="14"/>
        <v>0</v>
      </c>
      <c r="R272" s="133">
        <f t="shared" si="15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8" ht="15.75" thickBot="1" x14ac:dyDescent="0.3">
      <c r="A273">
        <v>1</v>
      </c>
      <c r="B273">
        <v>19</v>
      </c>
      <c r="C273"/>
      <c r="D273"/>
      <c r="E273" t="s">
        <v>2346</v>
      </c>
      <c r="F273" t="s">
        <v>264</v>
      </c>
      <c r="G273" t="s">
        <v>289</v>
      </c>
      <c r="H273" t="s">
        <v>1052</v>
      </c>
      <c r="I273" t="s">
        <v>290</v>
      </c>
      <c r="J273" s="30" t="s">
        <v>72</v>
      </c>
      <c r="K273" s="30" t="s">
        <v>27</v>
      </c>
      <c r="L273" s="30"/>
      <c r="M273" s="30" t="s">
        <v>1050</v>
      </c>
      <c r="N273" s="30"/>
      <c r="O273" s="31">
        <f t="shared" si="13"/>
        <v>28</v>
      </c>
      <c r="P273" s="137" t="s">
        <v>1852</v>
      </c>
      <c r="Q273" s="31">
        <f t="shared" si="14"/>
        <v>0</v>
      </c>
      <c r="R273" s="32">
        <f t="shared" si="15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8" ht="15.75" thickBot="1" x14ac:dyDescent="0.3">
      <c r="A274"/>
      <c r="B274"/>
      <c r="C274"/>
      <c r="D274"/>
      <c r="E274"/>
      <c r="F274" t="s">
        <v>291</v>
      </c>
      <c r="G274" t="s">
        <v>962</v>
      </c>
      <c r="H274" t="s">
        <v>1052</v>
      </c>
      <c r="I274" t="s">
        <v>292</v>
      </c>
      <c r="J274" s="30" t="s">
        <v>18</v>
      </c>
      <c r="K274" s="30" t="s">
        <v>27</v>
      </c>
      <c r="L274" s="30"/>
      <c r="M274" s="30" t="s">
        <v>727</v>
      </c>
      <c r="N274" s="30"/>
      <c r="O274" s="31">
        <f t="shared" si="13"/>
        <v>28</v>
      </c>
      <c r="P274" s="137" t="s">
        <v>1853</v>
      </c>
      <c r="Q274" s="31">
        <f t="shared" si="14"/>
        <v>0</v>
      </c>
      <c r="R274" s="32">
        <f t="shared" si="15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8" ht="15.75" thickBot="1" x14ac:dyDescent="0.3">
      <c r="A275">
        <v>1</v>
      </c>
      <c r="B275">
        <v>19</v>
      </c>
      <c r="C275"/>
      <c r="D275"/>
      <c r="E275" t="s">
        <v>2346</v>
      </c>
      <c r="F275" t="s">
        <v>287</v>
      </c>
      <c r="G275" t="s">
        <v>293</v>
      </c>
      <c r="H275" t="s">
        <v>1052</v>
      </c>
      <c r="I275" t="s">
        <v>294</v>
      </c>
      <c r="J275" s="30" t="s">
        <v>18</v>
      </c>
      <c r="K275" s="30" t="s">
        <v>27</v>
      </c>
      <c r="L275" s="30"/>
      <c r="M275" s="30" t="s">
        <v>728</v>
      </c>
      <c r="N275" s="30"/>
      <c r="O275" s="31">
        <f t="shared" si="13"/>
        <v>28</v>
      </c>
      <c r="P275" s="137" t="s">
        <v>1840</v>
      </c>
      <c r="Q275" s="31">
        <f t="shared" si="14"/>
        <v>0</v>
      </c>
      <c r="R275" s="32">
        <f t="shared" si="15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8" ht="15.75" thickBot="1" x14ac:dyDescent="0.3">
      <c r="A276"/>
      <c r="B276"/>
      <c r="C276"/>
      <c r="D276"/>
      <c r="E276"/>
      <c r="F276" t="s">
        <v>291</v>
      </c>
      <c r="G276" t="s">
        <v>963</v>
      </c>
      <c r="H276" t="s">
        <v>1052</v>
      </c>
      <c r="I276" t="s">
        <v>295</v>
      </c>
      <c r="J276" s="30" t="s">
        <v>18</v>
      </c>
      <c r="K276" s="30" t="s">
        <v>27</v>
      </c>
      <c r="L276" s="30"/>
      <c r="M276" s="30" t="s">
        <v>729</v>
      </c>
      <c r="N276" s="30"/>
      <c r="O276" s="31">
        <f t="shared" si="13"/>
        <v>28</v>
      </c>
      <c r="P276" s="137" t="s">
        <v>1854</v>
      </c>
      <c r="Q276" s="31">
        <f t="shared" si="14"/>
        <v>0</v>
      </c>
      <c r="R276" s="32">
        <f t="shared" si="15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8" ht="15.75" thickBot="1" x14ac:dyDescent="0.3">
      <c r="A277"/>
      <c r="B277"/>
      <c r="C277"/>
      <c r="D277"/>
      <c r="E277"/>
      <c r="F277" t="s">
        <v>291</v>
      </c>
      <c r="G277" t="s">
        <v>296</v>
      </c>
      <c r="H277" t="s">
        <v>1052</v>
      </c>
      <c r="I277" t="s">
        <v>297</v>
      </c>
      <c r="J277" s="30" t="s">
        <v>14</v>
      </c>
      <c r="K277" s="30" t="s">
        <v>1046</v>
      </c>
      <c r="L277" s="30"/>
      <c r="M277" s="30" t="s">
        <v>730</v>
      </c>
      <c r="N277" s="30"/>
      <c r="O277" s="31">
        <f t="shared" si="13"/>
        <v>28</v>
      </c>
      <c r="P277" s="137" t="s">
        <v>1855</v>
      </c>
      <c r="Q277" s="31">
        <f t="shared" si="14"/>
        <v>0</v>
      </c>
      <c r="R277" s="32">
        <f t="shared" si="15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8" s="73" customFormat="1" ht="15.75" thickBot="1" x14ac:dyDescent="0.3">
      <c r="A278"/>
      <c r="B278"/>
      <c r="C278"/>
      <c r="D278"/>
      <c r="E278"/>
      <c r="F278" s="73" t="s">
        <v>287</v>
      </c>
      <c r="G278" s="73" t="s">
        <v>1235</v>
      </c>
      <c r="H278" s="73" t="s">
        <v>1052</v>
      </c>
      <c r="I278" s="73" t="s">
        <v>1236</v>
      </c>
      <c r="J278" s="85" t="s">
        <v>18</v>
      </c>
      <c r="K278" s="85" t="s">
        <v>1291</v>
      </c>
      <c r="L278" s="85"/>
      <c r="M278" s="85" t="s">
        <v>1237</v>
      </c>
      <c r="N278" s="85" t="s">
        <v>2284</v>
      </c>
      <c r="O278" s="132">
        <f t="shared" si="13"/>
        <v>27</v>
      </c>
      <c r="P278" s="137" t="s">
        <v>1856</v>
      </c>
      <c r="Q278" s="132">
        <f t="shared" si="14"/>
        <v>1</v>
      </c>
      <c r="R278" s="133">
        <f t="shared" si="15"/>
        <v>0.9642857142857143</v>
      </c>
      <c r="S278" s="70"/>
      <c r="T278" s="70"/>
      <c r="U278" s="70"/>
      <c r="V278" s="70" t="s">
        <v>2240</v>
      </c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8" ht="15.75" thickBot="1" x14ac:dyDescent="0.3">
      <c r="A279">
        <v>1</v>
      </c>
      <c r="B279">
        <v>19</v>
      </c>
      <c r="C279"/>
      <c r="D279"/>
      <c r="E279" t="s">
        <v>2346</v>
      </c>
      <c r="F279" t="s">
        <v>287</v>
      </c>
      <c r="G279" t="s">
        <v>1274</v>
      </c>
      <c r="H279" t="s">
        <v>1052</v>
      </c>
      <c r="I279" t="s">
        <v>1275</v>
      </c>
      <c r="J279" s="30" t="s">
        <v>18</v>
      </c>
      <c r="K279" s="30" t="s">
        <v>1046</v>
      </c>
      <c r="L279" s="30"/>
      <c r="M279" s="30" t="s">
        <v>1349</v>
      </c>
      <c r="N279" s="30"/>
      <c r="O279" s="31">
        <f t="shared" si="13"/>
        <v>28</v>
      </c>
      <c r="P279" s="137" t="s">
        <v>1857</v>
      </c>
      <c r="Q279" s="31">
        <f t="shared" si="14"/>
        <v>0</v>
      </c>
      <c r="R279" s="32">
        <f t="shared" si="15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8" ht="15.75" thickBot="1" x14ac:dyDescent="0.3">
      <c r="A280"/>
      <c r="B280"/>
      <c r="C280"/>
      <c r="D280"/>
      <c r="E280"/>
      <c r="F280" t="s">
        <v>298</v>
      </c>
      <c r="G280" t="s">
        <v>299</v>
      </c>
      <c r="H280" t="s">
        <v>1052</v>
      </c>
      <c r="I280" t="s">
        <v>300</v>
      </c>
      <c r="J280" s="30" t="s">
        <v>72</v>
      </c>
      <c r="K280" s="30" t="s">
        <v>27</v>
      </c>
      <c r="L280" s="30"/>
      <c r="M280" s="30" t="s">
        <v>731</v>
      </c>
      <c r="N280" s="30" t="s">
        <v>2284</v>
      </c>
      <c r="O280" s="31">
        <f t="shared" si="13"/>
        <v>28</v>
      </c>
      <c r="P280" s="137" t="s">
        <v>1858</v>
      </c>
      <c r="Q280" s="31">
        <f t="shared" si="14"/>
        <v>0</v>
      </c>
      <c r="R280" s="32">
        <f t="shared" si="15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8" ht="15.75" thickBot="1" x14ac:dyDescent="0.3">
      <c r="A281"/>
      <c r="B281"/>
      <c r="C281"/>
      <c r="D281"/>
      <c r="E281"/>
      <c r="F281" t="s">
        <v>298</v>
      </c>
      <c r="G281" t="s">
        <v>301</v>
      </c>
      <c r="H281" t="s">
        <v>1052</v>
      </c>
      <c r="I281" t="s">
        <v>302</v>
      </c>
      <c r="J281" s="30" t="s">
        <v>18</v>
      </c>
      <c r="K281" s="30" t="s">
        <v>27</v>
      </c>
      <c r="L281" s="30"/>
      <c r="M281" s="30" t="s">
        <v>2282</v>
      </c>
      <c r="N281" s="30"/>
      <c r="O281" s="31">
        <f t="shared" si="13"/>
        <v>28</v>
      </c>
      <c r="P281" s="137" t="s">
        <v>1859</v>
      </c>
      <c r="Q281" s="31">
        <f t="shared" si="14"/>
        <v>0</v>
      </c>
      <c r="R281" s="32">
        <f t="shared" si="15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4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30"/>
    </row>
    <row r="282" spans="1:48" ht="15.75" thickBot="1" x14ac:dyDescent="0.3">
      <c r="A282"/>
      <c r="B282"/>
      <c r="C282"/>
      <c r="D282"/>
      <c r="E282"/>
      <c r="F282" t="s">
        <v>298</v>
      </c>
      <c r="G282" t="s">
        <v>303</v>
      </c>
      <c r="H282" t="s">
        <v>1052</v>
      </c>
      <c r="I282" t="s">
        <v>304</v>
      </c>
      <c r="J282" s="30" t="s">
        <v>18</v>
      </c>
      <c r="K282" s="30" t="s">
        <v>1046</v>
      </c>
      <c r="L282" s="30"/>
      <c r="M282" s="30" t="s">
        <v>1481</v>
      </c>
      <c r="N282" s="30"/>
      <c r="O282" s="31">
        <f t="shared" si="13"/>
        <v>28</v>
      </c>
      <c r="P282" s="137" t="s">
        <v>1860</v>
      </c>
      <c r="Q282" s="31">
        <f t="shared" si="14"/>
        <v>0</v>
      </c>
      <c r="R282" s="32">
        <f t="shared" si="15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4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</row>
    <row r="283" spans="1:48" s="73" customFormat="1" ht="15.75" thickBot="1" x14ac:dyDescent="0.3">
      <c r="A283"/>
      <c r="B283"/>
      <c r="C283"/>
      <c r="D283"/>
      <c r="E283"/>
      <c r="F283" s="73" t="s">
        <v>298</v>
      </c>
      <c r="G283" s="73" t="s">
        <v>305</v>
      </c>
      <c r="H283" s="73" t="s">
        <v>1052</v>
      </c>
      <c r="I283" s="73" t="s">
        <v>306</v>
      </c>
      <c r="J283" s="85" t="s">
        <v>18</v>
      </c>
      <c r="K283" s="85" t="s">
        <v>1291</v>
      </c>
      <c r="L283" s="85"/>
      <c r="M283" s="85" t="s">
        <v>1482</v>
      </c>
      <c r="N283" s="85"/>
      <c r="O283" s="132">
        <f t="shared" si="13"/>
        <v>28</v>
      </c>
      <c r="P283" s="137" t="s">
        <v>1861</v>
      </c>
      <c r="Q283" s="132">
        <f t="shared" si="14"/>
        <v>0</v>
      </c>
      <c r="R283" s="133">
        <f t="shared" si="15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8" ht="15.75" thickBot="1" x14ac:dyDescent="0.3">
      <c r="A284"/>
      <c r="B284"/>
      <c r="C284"/>
      <c r="D284"/>
      <c r="E284"/>
      <c r="F284" t="s">
        <v>298</v>
      </c>
      <c r="G284" t="s">
        <v>1476</v>
      </c>
      <c r="H284" t="s">
        <v>1052</v>
      </c>
      <c r="I284" t="s">
        <v>1475</v>
      </c>
      <c r="J284" s="30" t="s">
        <v>72</v>
      </c>
      <c r="K284" s="30" t="s">
        <v>27</v>
      </c>
      <c r="L284" s="30"/>
      <c r="M284" s="30" t="s">
        <v>1477</v>
      </c>
      <c r="N284" s="30" t="s">
        <v>2284</v>
      </c>
      <c r="O284" s="132">
        <f t="shared" si="13"/>
        <v>28</v>
      </c>
      <c r="P284" s="137" t="s">
        <v>1862</v>
      </c>
      <c r="Q284" s="132">
        <f t="shared" si="14"/>
        <v>0</v>
      </c>
      <c r="R284" s="133">
        <f t="shared" si="15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8" ht="15.75" thickBot="1" x14ac:dyDescent="0.3">
      <c r="A285"/>
      <c r="B285"/>
      <c r="C285"/>
      <c r="D285"/>
      <c r="E285"/>
      <c r="F285" t="s">
        <v>298</v>
      </c>
      <c r="G285" t="s">
        <v>1478</v>
      </c>
      <c r="H285" t="s">
        <v>1052</v>
      </c>
      <c r="I285" t="s">
        <v>1475</v>
      </c>
      <c r="J285" s="30" t="s">
        <v>72</v>
      </c>
      <c r="K285" s="30" t="s">
        <v>27</v>
      </c>
      <c r="L285" s="30"/>
      <c r="M285" s="30" t="s">
        <v>1483</v>
      </c>
      <c r="N285" s="30" t="s">
        <v>2284</v>
      </c>
      <c r="O285" s="132">
        <f t="shared" si="13"/>
        <v>28</v>
      </c>
      <c r="P285" s="137" t="s">
        <v>1863</v>
      </c>
      <c r="Q285" s="132">
        <f t="shared" si="14"/>
        <v>0</v>
      </c>
      <c r="R285" s="133">
        <f t="shared" si="15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8" ht="15.75" thickBot="1" x14ac:dyDescent="0.3">
      <c r="A286"/>
      <c r="B286"/>
      <c r="C286"/>
      <c r="D286"/>
      <c r="E286"/>
      <c r="F286" t="s">
        <v>2179</v>
      </c>
      <c r="G286" t="s">
        <v>2180</v>
      </c>
      <c r="H286" t="s">
        <v>1053</v>
      </c>
      <c r="I286" t="s">
        <v>2181</v>
      </c>
      <c r="J286" s="30" t="s">
        <v>18</v>
      </c>
      <c r="K286" s="85" t="s">
        <v>1291</v>
      </c>
      <c r="L286" s="30"/>
      <c r="M286" s="30" t="s">
        <v>2301</v>
      </c>
      <c r="N286" s="30"/>
      <c r="O286" s="132">
        <f t="shared" si="13"/>
        <v>28</v>
      </c>
      <c r="P286" s="137" t="s">
        <v>2182</v>
      </c>
      <c r="Q286" s="132">
        <f t="shared" si="14"/>
        <v>0</v>
      </c>
      <c r="R286" s="133">
        <f t="shared" si="15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8" ht="15.75" thickBot="1" x14ac:dyDescent="0.3">
      <c r="A287"/>
      <c r="B287"/>
      <c r="C287"/>
      <c r="D287"/>
      <c r="E287"/>
      <c r="F287" t="s">
        <v>2179</v>
      </c>
      <c r="G287" t="s">
        <v>2183</v>
      </c>
      <c r="H287" t="s">
        <v>1053</v>
      </c>
      <c r="I287" t="s">
        <v>2184</v>
      </c>
      <c r="J287" s="30" t="s">
        <v>18</v>
      </c>
      <c r="K287" s="85" t="s">
        <v>1291</v>
      </c>
      <c r="L287" s="30"/>
      <c r="M287" s="30" t="s">
        <v>2302</v>
      </c>
      <c r="N287" s="30"/>
      <c r="O287" s="132">
        <f t="shared" si="13"/>
        <v>28</v>
      </c>
      <c r="P287" s="137" t="s">
        <v>2185</v>
      </c>
      <c r="Q287" s="132">
        <f t="shared" si="14"/>
        <v>0</v>
      </c>
      <c r="R287" s="133">
        <f t="shared" si="15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8" ht="15.75" thickBot="1" x14ac:dyDescent="0.3">
      <c r="A288">
        <v>3</v>
      </c>
      <c r="B288">
        <v>13</v>
      </c>
      <c r="C288"/>
      <c r="D288"/>
      <c r="E288" t="s">
        <v>2350</v>
      </c>
      <c r="F288" t="s">
        <v>307</v>
      </c>
      <c r="G288" t="s">
        <v>964</v>
      </c>
      <c r="H288" t="s">
        <v>1052</v>
      </c>
      <c r="I288" t="s">
        <v>310</v>
      </c>
      <c r="J288" s="30" t="s">
        <v>18</v>
      </c>
      <c r="K288" s="30" t="s">
        <v>27</v>
      </c>
      <c r="L288" s="30"/>
      <c r="M288" s="30" t="s">
        <v>732</v>
      </c>
      <c r="N288" s="30"/>
      <c r="O288" s="31">
        <f t="shared" si="13"/>
        <v>27</v>
      </c>
      <c r="P288" s="137" t="s">
        <v>1864</v>
      </c>
      <c r="Q288" s="31">
        <f t="shared" si="14"/>
        <v>1</v>
      </c>
      <c r="R288" s="32">
        <f t="shared" si="15"/>
        <v>0.9642857142857143</v>
      </c>
      <c r="S288" s="70"/>
      <c r="T288" s="70"/>
      <c r="U288" s="70"/>
      <c r="V288" s="70" t="s">
        <v>2240</v>
      </c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30"/>
    </row>
    <row r="289" spans="1:48" s="73" customFormat="1" ht="15.75" thickBot="1" x14ac:dyDescent="0.3">
      <c r="A289"/>
      <c r="B289"/>
      <c r="C289"/>
      <c r="D289"/>
      <c r="E289"/>
      <c r="F289" s="73" t="s">
        <v>307</v>
      </c>
      <c r="G289" s="73" t="s">
        <v>311</v>
      </c>
      <c r="H289" s="73" t="s">
        <v>1052</v>
      </c>
      <c r="I289" s="73" t="s">
        <v>312</v>
      </c>
      <c r="J289" s="85" t="s">
        <v>18</v>
      </c>
      <c r="K289" s="85" t="s">
        <v>1291</v>
      </c>
      <c r="L289" s="85"/>
      <c r="M289" s="85" t="s">
        <v>1361</v>
      </c>
      <c r="N289" s="85"/>
      <c r="O289" s="132">
        <f t="shared" si="13"/>
        <v>28</v>
      </c>
      <c r="P289" s="137" t="s">
        <v>1865</v>
      </c>
      <c r="Q289" s="132">
        <f t="shared" si="14"/>
        <v>0</v>
      </c>
      <c r="R289" s="133">
        <f t="shared" si="15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8" ht="15.75" thickBot="1" x14ac:dyDescent="0.3">
      <c r="A290"/>
      <c r="B290"/>
      <c r="C290"/>
      <c r="D290"/>
      <c r="E290"/>
      <c r="F290" t="s">
        <v>307</v>
      </c>
      <c r="G290" t="s">
        <v>313</v>
      </c>
      <c r="H290" t="s">
        <v>1052</v>
      </c>
      <c r="I290" t="s">
        <v>314</v>
      </c>
      <c r="J290" s="30" t="s">
        <v>18</v>
      </c>
      <c r="K290" s="30" t="s">
        <v>1046</v>
      </c>
      <c r="L290" s="30" t="s">
        <v>1245</v>
      </c>
      <c r="M290" s="30" t="s">
        <v>733</v>
      </c>
      <c r="N290" s="30"/>
      <c r="O290" s="31">
        <f t="shared" si="13"/>
        <v>28</v>
      </c>
      <c r="P290" s="137" t="s">
        <v>1866</v>
      </c>
      <c r="Q290" s="31">
        <f t="shared" si="14"/>
        <v>0</v>
      </c>
      <c r="R290" s="32">
        <f t="shared" si="15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8" s="73" customFormat="1" ht="15.75" thickBot="1" x14ac:dyDescent="0.3">
      <c r="A291"/>
      <c r="B291"/>
      <c r="C291"/>
      <c r="D291"/>
      <c r="E291"/>
      <c r="F291" s="73" t="s">
        <v>307</v>
      </c>
      <c r="G291" s="73" t="s">
        <v>315</v>
      </c>
      <c r="H291" s="73" t="s">
        <v>1052</v>
      </c>
      <c r="I291" s="73" t="s">
        <v>316</v>
      </c>
      <c r="J291" s="85" t="s">
        <v>18</v>
      </c>
      <c r="K291" s="85" t="s">
        <v>1291</v>
      </c>
      <c r="L291" s="85"/>
      <c r="M291" s="85" t="s">
        <v>1351</v>
      </c>
      <c r="N291" s="85"/>
      <c r="O291" s="132">
        <f t="shared" si="13"/>
        <v>28</v>
      </c>
      <c r="P291" s="137" t="s">
        <v>1867</v>
      </c>
      <c r="Q291" s="132">
        <f t="shared" si="14"/>
        <v>0</v>
      </c>
      <c r="R291" s="133">
        <f t="shared" si="15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8" s="73" customFormat="1" ht="15.75" thickBot="1" x14ac:dyDescent="0.3">
      <c r="A292"/>
      <c r="B292"/>
      <c r="C292"/>
      <c r="D292"/>
      <c r="E292"/>
      <c r="F292" s="73" t="s">
        <v>317</v>
      </c>
      <c r="G292" s="73" t="s">
        <v>318</v>
      </c>
      <c r="H292" s="73" t="s">
        <v>1052</v>
      </c>
      <c r="I292" s="73" t="s">
        <v>319</v>
      </c>
      <c r="J292" s="85" t="s">
        <v>18</v>
      </c>
      <c r="K292" s="85" t="s">
        <v>1291</v>
      </c>
      <c r="L292" s="85"/>
      <c r="M292" s="135" t="s">
        <v>1352</v>
      </c>
      <c r="N292" s="135"/>
      <c r="O292" s="132">
        <f t="shared" si="13"/>
        <v>28</v>
      </c>
      <c r="P292" s="137" t="s">
        <v>1868</v>
      </c>
      <c r="Q292" s="132">
        <f t="shared" si="14"/>
        <v>0</v>
      </c>
      <c r="R292" s="133">
        <f t="shared" si="15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8" ht="15.75" thickBot="1" x14ac:dyDescent="0.3">
      <c r="A293">
        <v>3</v>
      </c>
      <c r="B293">
        <v>13</v>
      </c>
      <c r="C293"/>
      <c r="D293"/>
      <c r="E293" t="s">
        <v>2350</v>
      </c>
      <c r="F293" t="s">
        <v>51</v>
      </c>
      <c r="G293" t="s">
        <v>320</v>
      </c>
      <c r="H293" t="s">
        <v>1052</v>
      </c>
      <c r="I293" t="s">
        <v>321</v>
      </c>
      <c r="J293" s="30" t="s">
        <v>18</v>
      </c>
      <c r="K293" s="30" t="s">
        <v>27</v>
      </c>
      <c r="L293" s="30"/>
      <c r="M293" s="30" t="s">
        <v>734</v>
      </c>
      <c r="N293" s="30"/>
      <c r="O293" s="31">
        <f t="shared" si="13"/>
        <v>27</v>
      </c>
      <c r="P293" s="137" t="s">
        <v>1671</v>
      </c>
      <c r="Q293" s="31">
        <f t="shared" si="14"/>
        <v>1</v>
      </c>
      <c r="R293" s="32">
        <f t="shared" si="15"/>
        <v>0.9642857142857143</v>
      </c>
      <c r="S293" s="70"/>
      <c r="T293" s="70"/>
      <c r="U293" s="70"/>
      <c r="V293" s="70" t="s">
        <v>2240</v>
      </c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8" ht="15.75" thickBot="1" x14ac:dyDescent="0.3">
      <c r="A294">
        <v>3</v>
      </c>
      <c r="B294">
        <v>13</v>
      </c>
      <c r="C294"/>
      <c r="D294"/>
      <c r="E294" t="s">
        <v>2350</v>
      </c>
      <c r="F294" t="s">
        <v>307</v>
      </c>
      <c r="G294" t="s">
        <v>322</v>
      </c>
      <c r="H294" t="s">
        <v>1052</v>
      </c>
      <c r="I294" t="s">
        <v>323</v>
      </c>
      <c r="J294" s="30" t="s">
        <v>18</v>
      </c>
      <c r="K294" s="30" t="s">
        <v>27</v>
      </c>
      <c r="L294" s="30"/>
      <c r="M294" s="30" t="s">
        <v>735</v>
      </c>
      <c r="N294" s="30"/>
      <c r="O294" s="31">
        <f t="shared" si="13"/>
        <v>28</v>
      </c>
      <c r="P294" s="137" t="s">
        <v>1869</v>
      </c>
      <c r="Q294" s="31">
        <f t="shared" si="14"/>
        <v>0</v>
      </c>
      <c r="R294" s="32">
        <f t="shared" si="15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8" s="73" customFormat="1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1052</v>
      </c>
      <c r="I295" s="73" t="s">
        <v>309</v>
      </c>
      <c r="J295" s="85" t="s">
        <v>14</v>
      </c>
      <c r="K295" s="85" t="s">
        <v>1291</v>
      </c>
      <c r="L295" s="85"/>
      <c r="M295" s="85" t="s">
        <v>1360</v>
      </c>
      <c r="N295" s="85"/>
      <c r="O295" s="132">
        <f t="shared" si="13"/>
        <v>28</v>
      </c>
      <c r="P295" s="137" t="s">
        <v>1870</v>
      </c>
      <c r="Q295" s="132">
        <f t="shared" si="14"/>
        <v>0</v>
      </c>
      <c r="R295" s="133">
        <f t="shared" si="15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8" s="73" customFormat="1" ht="15.75" thickBot="1" x14ac:dyDescent="0.3">
      <c r="A296"/>
      <c r="B296"/>
      <c r="C296"/>
      <c r="D296"/>
      <c r="E296"/>
      <c r="F296" s="73" t="s">
        <v>307</v>
      </c>
      <c r="G296" s="73" t="s">
        <v>324</v>
      </c>
      <c r="H296" s="73" t="s">
        <v>1052</v>
      </c>
      <c r="I296" s="73" t="s">
        <v>325</v>
      </c>
      <c r="J296" s="85" t="s">
        <v>14</v>
      </c>
      <c r="K296" s="85" t="s">
        <v>1291</v>
      </c>
      <c r="L296" s="85"/>
      <c r="M296" s="85" t="s">
        <v>736</v>
      </c>
      <c r="N296" s="85"/>
      <c r="O296" s="132">
        <f t="shared" si="13"/>
        <v>28</v>
      </c>
      <c r="P296" s="137" t="s">
        <v>1871</v>
      </c>
      <c r="Q296" s="132">
        <f t="shared" si="14"/>
        <v>0</v>
      </c>
      <c r="R296" s="133">
        <f t="shared" si="15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130"/>
    </row>
    <row r="297" spans="1:48" s="73" customFormat="1" ht="14.25" customHeight="1" thickBot="1" x14ac:dyDescent="0.3">
      <c r="A297"/>
      <c r="B297"/>
      <c r="C297"/>
      <c r="D297"/>
      <c r="E297"/>
      <c r="F297" s="73" t="s">
        <v>307</v>
      </c>
      <c r="G297" s="73" t="s">
        <v>1332</v>
      </c>
      <c r="H297" s="73" t="s">
        <v>1052</v>
      </c>
      <c r="I297" s="73" t="s">
        <v>1333</v>
      </c>
      <c r="J297" s="85" t="s">
        <v>14</v>
      </c>
      <c r="K297" s="85" t="s">
        <v>1291</v>
      </c>
      <c r="L297" s="85"/>
      <c r="M297" s="85" t="s">
        <v>1347</v>
      </c>
      <c r="N297" s="85"/>
      <c r="O297" s="132">
        <f t="shared" si="13"/>
        <v>28</v>
      </c>
      <c r="P297" s="137" t="s">
        <v>1872</v>
      </c>
      <c r="Q297" s="132">
        <f t="shared" si="14"/>
        <v>0</v>
      </c>
      <c r="R297" s="133">
        <f t="shared" si="15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8" s="73" customFormat="1" ht="15.75" thickBot="1" x14ac:dyDescent="0.3">
      <c r="A298"/>
      <c r="B298"/>
      <c r="C298"/>
      <c r="D298"/>
      <c r="E298"/>
      <c r="F298" s="73" t="s">
        <v>1522</v>
      </c>
      <c r="G298" s="73" t="s">
        <v>1521</v>
      </c>
      <c r="H298" s="73" t="s">
        <v>1052</v>
      </c>
      <c r="I298" s="73" t="s">
        <v>1523</v>
      </c>
      <c r="J298" s="85" t="s">
        <v>18</v>
      </c>
      <c r="K298" s="85" t="s">
        <v>1291</v>
      </c>
      <c r="L298" s="85"/>
      <c r="M298" s="85" t="s">
        <v>1524</v>
      </c>
      <c r="N298" s="85"/>
      <c r="O298" s="132">
        <f t="shared" si="13"/>
        <v>28</v>
      </c>
      <c r="P298" s="137" t="s">
        <v>1873</v>
      </c>
      <c r="Q298" s="132">
        <f t="shared" si="14"/>
        <v>0</v>
      </c>
      <c r="R298" s="133">
        <f t="shared" si="15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8" s="73" customFormat="1" ht="15.75" thickBot="1" x14ac:dyDescent="0.3">
      <c r="A299">
        <v>3</v>
      </c>
      <c r="B299">
        <v>13</v>
      </c>
      <c r="C299"/>
      <c r="D299"/>
      <c r="E299" t="s">
        <v>2350</v>
      </c>
      <c r="F299" s="73" t="s">
        <v>1522</v>
      </c>
      <c r="G299" s="73" t="s">
        <v>1632</v>
      </c>
      <c r="H299" s="73" t="s">
        <v>1052</v>
      </c>
      <c r="I299" s="73" t="s">
        <v>1633</v>
      </c>
      <c r="J299" s="85" t="s">
        <v>18</v>
      </c>
      <c r="K299" s="85" t="s">
        <v>27</v>
      </c>
      <c r="L299" s="85"/>
      <c r="M299" s="85" t="s">
        <v>1634</v>
      </c>
      <c r="N299" s="85"/>
      <c r="O299" s="132">
        <f t="shared" si="13"/>
        <v>28</v>
      </c>
      <c r="P299" s="137" t="s">
        <v>2164</v>
      </c>
      <c r="Q299" s="132">
        <f t="shared" si="14"/>
        <v>0</v>
      </c>
      <c r="R299" s="133">
        <f t="shared" si="15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8" ht="15.75" thickBot="1" x14ac:dyDescent="0.3">
      <c r="A300">
        <v>6</v>
      </c>
      <c r="B300">
        <v>12</v>
      </c>
      <c r="C300"/>
      <c r="D300"/>
      <c r="E300" t="s">
        <v>2353</v>
      </c>
      <c r="F300" t="s">
        <v>328</v>
      </c>
      <c r="G300" t="s">
        <v>326</v>
      </c>
      <c r="H300" t="s">
        <v>1053</v>
      </c>
      <c r="I300" t="s">
        <v>327</v>
      </c>
      <c r="J300" s="30" t="s">
        <v>14</v>
      </c>
      <c r="K300" s="30" t="s">
        <v>27</v>
      </c>
      <c r="L300" s="30"/>
      <c r="M300" s="30" t="s">
        <v>737</v>
      </c>
      <c r="N300" s="30"/>
      <c r="O300" s="31">
        <f t="shared" si="13"/>
        <v>27</v>
      </c>
      <c r="P300" s="137" t="s">
        <v>1874</v>
      </c>
      <c r="Q300" s="31">
        <f t="shared" si="14"/>
        <v>1</v>
      </c>
      <c r="R300" s="32">
        <f t="shared" si="15"/>
        <v>0.9642857142857143</v>
      </c>
      <c r="S300" s="70"/>
      <c r="T300" s="70"/>
      <c r="U300" s="70"/>
      <c r="V300" s="70" t="s">
        <v>2240</v>
      </c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8" ht="15.75" thickBot="1" x14ac:dyDescent="0.3">
      <c r="A301">
        <v>6</v>
      </c>
      <c r="B301">
        <v>12</v>
      </c>
      <c r="C301"/>
      <c r="D301"/>
      <c r="E301" t="s">
        <v>2353</v>
      </c>
      <c r="F301" t="s">
        <v>328</v>
      </c>
      <c r="G301" t="s">
        <v>329</v>
      </c>
      <c r="H301" t="s">
        <v>1053</v>
      </c>
      <c r="I301" t="s">
        <v>330</v>
      </c>
      <c r="J301" s="30" t="s">
        <v>72</v>
      </c>
      <c r="K301" s="30" t="s">
        <v>27</v>
      </c>
      <c r="L301" s="30"/>
      <c r="M301" s="30" t="s">
        <v>738</v>
      </c>
      <c r="N301" s="30"/>
      <c r="O301" s="31">
        <f t="shared" si="13"/>
        <v>27</v>
      </c>
      <c r="P301" s="137" t="s">
        <v>1875</v>
      </c>
      <c r="Q301" s="31">
        <f t="shared" si="14"/>
        <v>1</v>
      </c>
      <c r="R301" s="32">
        <f t="shared" si="15"/>
        <v>0.9642857142857143</v>
      </c>
      <c r="S301" s="70"/>
      <c r="T301" s="70"/>
      <c r="U301" s="70"/>
      <c r="V301" s="70" t="s">
        <v>2240</v>
      </c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8" ht="15.75" thickBot="1" x14ac:dyDescent="0.3">
      <c r="A302">
        <v>6</v>
      </c>
      <c r="B302">
        <v>12</v>
      </c>
      <c r="C302"/>
      <c r="D302"/>
      <c r="E302" t="s">
        <v>2353</v>
      </c>
      <c r="F302" t="s">
        <v>328</v>
      </c>
      <c r="G302" t="s">
        <v>331</v>
      </c>
      <c r="H302" t="s">
        <v>1053</v>
      </c>
      <c r="I302" t="s">
        <v>330</v>
      </c>
      <c r="J302" s="30" t="s">
        <v>72</v>
      </c>
      <c r="K302" s="30" t="s">
        <v>27</v>
      </c>
      <c r="L302" s="30"/>
      <c r="M302" s="30" t="s">
        <v>739</v>
      </c>
      <c r="N302" s="30"/>
      <c r="O302" s="31">
        <f t="shared" si="13"/>
        <v>27</v>
      </c>
      <c r="P302" s="137" t="s">
        <v>1876</v>
      </c>
      <c r="Q302" s="31">
        <f t="shared" si="14"/>
        <v>1</v>
      </c>
      <c r="R302" s="32">
        <f t="shared" si="15"/>
        <v>0.9642857142857143</v>
      </c>
      <c r="S302" s="70"/>
      <c r="T302" s="70"/>
      <c r="U302" s="70"/>
      <c r="V302" s="70" t="s">
        <v>2240</v>
      </c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8" ht="15.75" thickBot="1" x14ac:dyDescent="0.3">
      <c r="A303">
        <v>6</v>
      </c>
      <c r="B303">
        <v>12</v>
      </c>
      <c r="C303"/>
      <c r="D303"/>
      <c r="E303" t="s">
        <v>2353</v>
      </c>
      <c r="F303" t="s">
        <v>328</v>
      </c>
      <c r="G303" t="s">
        <v>332</v>
      </c>
      <c r="H303" t="s">
        <v>1053</v>
      </c>
      <c r="I303" t="s">
        <v>333</v>
      </c>
      <c r="J303" s="30" t="s">
        <v>72</v>
      </c>
      <c r="K303" s="30" t="s">
        <v>27</v>
      </c>
      <c r="L303" s="30"/>
      <c r="M303" s="30" t="s">
        <v>740</v>
      </c>
      <c r="N303" s="30"/>
      <c r="O303" s="31">
        <f t="shared" si="13"/>
        <v>27</v>
      </c>
      <c r="P303" s="137" t="s">
        <v>1877</v>
      </c>
      <c r="Q303" s="31">
        <f t="shared" si="14"/>
        <v>1</v>
      </c>
      <c r="R303" s="32">
        <f t="shared" si="15"/>
        <v>0.9642857142857143</v>
      </c>
      <c r="S303" s="70"/>
      <c r="T303" s="70"/>
      <c r="U303" s="70"/>
      <c r="V303" s="70" t="s">
        <v>2240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8" ht="15.75" thickBot="1" x14ac:dyDescent="0.3">
      <c r="A304">
        <v>6</v>
      </c>
      <c r="B304">
        <v>12</v>
      </c>
      <c r="C304"/>
      <c r="D304"/>
      <c r="E304" t="s">
        <v>2353</v>
      </c>
      <c r="F304" t="s">
        <v>328</v>
      </c>
      <c r="G304" t="s">
        <v>334</v>
      </c>
      <c r="H304" t="s">
        <v>1053</v>
      </c>
      <c r="I304" t="s">
        <v>333</v>
      </c>
      <c r="J304" s="30" t="s">
        <v>72</v>
      </c>
      <c r="K304" s="30" t="s">
        <v>27</v>
      </c>
      <c r="L304" s="30"/>
      <c r="M304" s="30" t="s">
        <v>741</v>
      </c>
      <c r="N304" s="30"/>
      <c r="O304" s="31">
        <f t="shared" si="13"/>
        <v>27</v>
      </c>
      <c r="P304" s="137" t="s">
        <v>1878</v>
      </c>
      <c r="Q304" s="31">
        <f t="shared" si="14"/>
        <v>1</v>
      </c>
      <c r="R304" s="32">
        <f t="shared" si="15"/>
        <v>0.9642857142857143</v>
      </c>
      <c r="S304" s="70"/>
      <c r="T304" s="70"/>
      <c r="U304" s="70"/>
      <c r="V304" s="70" t="s">
        <v>2240</v>
      </c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8" ht="15.75" thickBot="1" x14ac:dyDescent="0.3">
      <c r="A305">
        <v>10</v>
      </c>
      <c r="B305">
        <v>10</v>
      </c>
      <c r="C305"/>
      <c r="D305"/>
      <c r="E305" t="s">
        <v>2352</v>
      </c>
      <c r="F305" t="s">
        <v>40</v>
      </c>
      <c r="G305" t="s">
        <v>336</v>
      </c>
      <c r="H305" t="s">
        <v>1052</v>
      </c>
      <c r="I305" t="s">
        <v>337</v>
      </c>
      <c r="J305" s="30" t="s">
        <v>14</v>
      </c>
      <c r="K305" s="30" t="s">
        <v>27</v>
      </c>
      <c r="L305" s="30"/>
      <c r="M305" s="30" t="s">
        <v>744</v>
      </c>
      <c r="N305" s="30"/>
      <c r="O305" s="31">
        <f t="shared" si="13"/>
        <v>28</v>
      </c>
      <c r="P305" s="137" t="s">
        <v>1879</v>
      </c>
      <c r="Q305" s="31">
        <f t="shared" si="14"/>
        <v>0</v>
      </c>
      <c r="R305" s="32">
        <f t="shared" si="15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8" ht="15.75" thickBot="1" x14ac:dyDescent="0.3">
      <c r="A306">
        <v>10</v>
      </c>
      <c r="B306">
        <v>10</v>
      </c>
      <c r="C306"/>
      <c r="D306"/>
      <c r="E306" t="s">
        <v>2352</v>
      </c>
      <c r="F306" t="s">
        <v>40</v>
      </c>
      <c r="G306" t="s">
        <v>338</v>
      </c>
      <c r="H306" t="s">
        <v>1052</v>
      </c>
      <c r="I306" t="s">
        <v>337</v>
      </c>
      <c r="J306" s="30" t="s">
        <v>72</v>
      </c>
      <c r="K306" s="30" t="s">
        <v>27</v>
      </c>
      <c r="L306" s="30"/>
      <c r="M306" s="30" t="s">
        <v>745</v>
      </c>
      <c r="N306" s="30"/>
      <c r="O306" s="31">
        <f t="shared" si="13"/>
        <v>28</v>
      </c>
      <c r="P306" s="137" t="s">
        <v>1880</v>
      </c>
      <c r="Q306" s="31">
        <f t="shared" si="14"/>
        <v>0</v>
      </c>
      <c r="R306" s="32">
        <f t="shared" si="15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8" ht="15.75" thickBot="1" x14ac:dyDescent="0.3">
      <c r="A307">
        <v>10</v>
      </c>
      <c r="B307">
        <v>10</v>
      </c>
      <c r="C307"/>
      <c r="D307"/>
      <c r="E307" t="s">
        <v>2352</v>
      </c>
      <c r="F307" t="s">
        <v>40</v>
      </c>
      <c r="G307" t="s">
        <v>966</v>
      </c>
      <c r="H307" t="s">
        <v>1052</v>
      </c>
      <c r="I307" t="s">
        <v>967</v>
      </c>
      <c r="J307" s="30" t="s">
        <v>72</v>
      </c>
      <c r="K307" s="30" t="s">
        <v>27</v>
      </c>
      <c r="L307" s="30"/>
      <c r="M307" s="30" t="s">
        <v>1263</v>
      </c>
      <c r="N307" s="30"/>
      <c r="O307" s="31">
        <f t="shared" si="13"/>
        <v>28</v>
      </c>
      <c r="P307" s="137" t="s">
        <v>1881</v>
      </c>
      <c r="Q307" s="31">
        <f t="shared" si="14"/>
        <v>0</v>
      </c>
      <c r="R307" s="32">
        <f t="shared" si="15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8" ht="15.75" thickBot="1" x14ac:dyDescent="0.3">
      <c r="A308"/>
      <c r="B308"/>
      <c r="C308"/>
      <c r="D308"/>
      <c r="E308" t="s">
        <v>2366</v>
      </c>
      <c r="F308" t="s">
        <v>183</v>
      </c>
      <c r="G308" t="s">
        <v>339</v>
      </c>
      <c r="H308" t="s">
        <v>1053</v>
      </c>
      <c r="I308" t="s">
        <v>340</v>
      </c>
      <c r="J308" s="30" t="s">
        <v>14</v>
      </c>
      <c r="K308" s="30" t="s">
        <v>27</v>
      </c>
      <c r="L308" s="30"/>
      <c r="M308" s="30" t="s">
        <v>746</v>
      </c>
      <c r="N308" s="30"/>
      <c r="O308" s="31">
        <f t="shared" si="13"/>
        <v>27</v>
      </c>
      <c r="P308" s="137" t="s">
        <v>1882</v>
      </c>
      <c r="Q308" s="31">
        <f t="shared" si="14"/>
        <v>1</v>
      </c>
      <c r="R308" s="32">
        <f t="shared" si="15"/>
        <v>0.9642857142857143</v>
      </c>
      <c r="S308" s="70"/>
      <c r="T308" s="70"/>
      <c r="U308" s="70"/>
      <c r="V308" s="70" t="s">
        <v>2240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8" s="69" customFormat="1" ht="21" customHeight="1" thickBot="1" x14ac:dyDescent="0.3">
      <c r="E309" t="s">
        <v>2366</v>
      </c>
      <c r="F309" s="69" t="s">
        <v>183</v>
      </c>
      <c r="G309" s="69" t="s">
        <v>341</v>
      </c>
      <c r="H309" s="69" t="s">
        <v>1053</v>
      </c>
      <c r="I309" s="69" t="s">
        <v>340</v>
      </c>
      <c r="J309" s="138" t="s">
        <v>72</v>
      </c>
      <c r="K309" s="138" t="s">
        <v>27</v>
      </c>
      <c r="L309" s="138"/>
      <c r="M309" s="138" t="s">
        <v>747</v>
      </c>
      <c r="N309" s="138"/>
      <c r="O309" s="141">
        <f t="shared" si="13"/>
        <v>27</v>
      </c>
      <c r="P309" s="142" t="s">
        <v>1883</v>
      </c>
      <c r="Q309" s="141">
        <f t="shared" si="14"/>
        <v>1</v>
      </c>
      <c r="R309" s="143">
        <f t="shared" si="15"/>
        <v>0.9642857142857143</v>
      </c>
      <c r="S309" s="144"/>
      <c r="T309" s="144"/>
      <c r="U309" s="144"/>
      <c r="V309" s="70" t="s">
        <v>2240</v>
      </c>
      <c r="W309" s="144"/>
      <c r="X309" s="144"/>
      <c r="Y309" s="144"/>
      <c r="Z309" s="144"/>
      <c r="AA309" s="144"/>
      <c r="AB309" s="144"/>
      <c r="AC309" s="144"/>
      <c r="AD309" s="144"/>
      <c r="AE309" s="70"/>
      <c r="AF309" s="70"/>
      <c r="AG309" s="70"/>
      <c r="AH309" s="70"/>
      <c r="AI309" s="70"/>
      <c r="AJ309" s="144"/>
      <c r="AK309" s="144"/>
      <c r="AL309" s="70"/>
      <c r="AM309" s="70"/>
      <c r="AN309" s="70"/>
      <c r="AO309" s="70"/>
      <c r="AP309" s="70"/>
      <c r="AQ309" s="144"/>
      <c r="AR309" s="144"/>
      <c r="AS309" s="70"/>
      <c r="AT309" s="70"/>
      <c r="AU309" s="70"/>
      <c r="AV309" s="70"/>
    </row>
    <row r="310" spans="1:48" ht="15.75" thickBot="1" x14ac:dyDescent="0.3">
      <c r="A310"/>
      <c r="B310"/>
      <c r="C310"/>
      <c r="D310"/>
      <c r="E310" t="s">
        <v>2366</v>
      </c>
      <c r="F310" t="s">
        <v>183</v>
      </c>
      <c r="G310" t="s">
        <v>1285</v>
      </c>
      <c r="H310" t="s">
        <v>1053</v>
      </c>
      <c r="I310" t="s">
        <v>968</v>
      </c>
      <c r="J310" s="30" t="s">
        <v>72</v>
      </c>
      <c r="K310" s="30" t="s">
        <v>27</v>
      </c>
      <c r="L310" s="30"/>
      <c r="M310" s="30" t="s">
        <v>1264</v>
      </c>
      <c r="N310" s="30"/>
      <c r="O310" s="31">
        <f t="shared" si="13"/>
        <v>28</v>
      </c>
      <c r="P310" s="137" t="s">
        <v>1884</v>
      </c>
      <c r="Q310" s="31">
        <f t="shared" si="14"/>
        <v>0</v>
      </c>
      <c r="R310" s="32">
        <f t="shared" si="15"/>
        <v>1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8" ht="15.75" thickBot="1" x14ac:dyDescent="0.3">
      <c r="A311"/>
      <c r="B311"/>
      <c r="C311"/>
      <c r="D311"/>
      <c r="E311" t="s">
        <v>2366</v>
      </c>
      <c r="F311" t="s">
        <v>211</v>
      </c>
      <c r="G311" t="s">
        <v>342</v>
      </c>
      <c r="H311" t="s">
        <v>1053</v>
      </c>
      <c r="I311" t="s">
        <v>343</v>
      </c>
      <c r="J311" s="30" t="s">
        <v>14</v>
      </c>
      <c r="K311" s="30" t="s">
        <v>27</v>
      </c>
      <c r="L311" s="30"/>
      <c r="M311" s="30" t="s">
        <v>748</v>
      </c>
      <c r="N311" s="30"/>
      <c r="O311" s="31">
        <f t="shared" si="13"/>
        <v>28</v>
      </c>
      <c r="P311" s="137" t="s">
        <v>1885</v>
      </c>
      <c r="Q311" s="31">
        <f t="shared" si="14"/>
        <v>0</v>
      </c>
      <c r="R311" s="32">
        <f t="shared" si="15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8" ht="15.75" thickBot="1" x14ac:dyDescent="0.3">
      <c r="A312"/>
      <c r="B312"/>
      <c r="C312"/>
      <c r="D312"/>
      <c r="E312" t="s">
        <v>2366</v>
      </c>
      <c r="F312" t="s">
        <v>211</v>
      </c>
      <c r="G312" t="s">
        <v>344</v>
      </c>
      <c r="H312" t="s">
        <v>1053</v>
      </c>
      <c r="I312" t="s">
        <v>343</v>
      </c>
      <c r="J312" s="30" t="s">
        <v>72</v>
      </c>
      <c r="K312" s="30" t="s">
        <v>27</v>
      </c>
      <c r="L312" s="30"/>
      <c r="M312" s="30" t="s">
        <v>749</v>
      </c>
      <c r="N312" s="30"/>
      <c r="O312" s="31">
        <f t="shared" si="13"/>
        <v>27</v>
      </c>
      <c r="P312" s="137" t="s">
        <v>1886</v>
      </c>
      <c r="Q312" s="31">
        <f t="shared" si="14"/>
        <v>1</v>
      </c>
      <c r="R312" s="32">
        <f t="shared" si="15"/>
        <v>0.9642857142857143</v>
      </c>
      <c r="S312" s="70"/>
      <c r="T312" s="70"/>
      <c r="U312" s="70"/>
      <c r="V312" s="70" t="s">
        <v>2240</v>
      </c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8" ht="15.75" thickBot="1" x14ac:dyDescent="0.3">
      <c r="A313"/>
      <c r="B313"/>
      <c r="C313"/>
      <c r="D313"/>
      <c r="E313" t="s">
        <v>2366</v>
      </c>
      <c r="F313" t="s">
        <v>211</v>
      </c>
      <c r="G313" t="s">
        <v>1284</v>
      </c>
      <c r="H313" t="s">
        <v>1053</v>
      </c>
      <c r="I313" t="s">
        <v>969</v>
      </c>
      <c r="J313" s="30" t="s">
        <v>18</v>
      </c>
      <c r="K313" s="30" t="s">
        <v>27</v>
      </c>
      <c r="L313" s="30"/>
      <c r="M313" s="30" t="s">
        <v>1265</v>
      </c>
      <c r="N313" s="30"/>
      <c r="O313" s="31">
        <f t="shared" si="13"/>
        <v>27</v>
      </c>
      <c r="P313" s="137" t="s">
        <v>1887</v>
      </c>
      <c r="Q313" s="31">
        <f t="shared" si="14"/>
        <v>1</v>
      </c>
      <c r="R313" s="32">
        <f t="shared" si="15"/>
        <v>0.9642857142857143</v>
      </c>
      <c r="S313" s="70"/>
      <c r="T313" s="70"/>
      <c r="U313" s="70"/>
      <c r="V313" s="70" t="s">
        <v>2240</v>
      </c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8" ht="15.75" thickBot="1" x14ac:dyDescent="0.3">
      <c r="A314"/>
      <c r="B314"/>
      <c r="C314"/>
      <c r="D314"/>
      <c r="E314"/>
      <c r="F314" t="s">
        <v>284</v>
      </c>
      <c r="G314" t="s">
        <v>345</v>
      </c>
      <c r="H314" t="s">
        <v>1053</v>
      </c>
      <c r="I314" t="s">
        <v>346</v>
      </c>
      <c r="J314" s="30" t="s">
        <v>72</v>
      </c>
      <c r="K314" s="30" t="s">
        <v>27</v>
      </c>
      <c r="L314" s="30"/>
      <c r="M314" s="30" t="s">
        <v>751</v>
      </c>
      <c r="N314" s="30"/>
      <c r="O314" s="31">
        <f t="shared" si="13"/>
        <v>28</v>
      </c>
      <c r="P314" s="137" t="s">
        <v>1888</v>
      </c>
      <c r="Q314" s="31">
        <f t="shared" si="14"/>
        <v>0</v>
      </c>
      <c r="R314" s="32">
        <f t="shared" si="15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8" ht="15.75" thickBot="1" x14ac:dyDescent="0.3">
      <c r="A315"/>
      <c r="B315"/>
      <c r="C315"/>
      <c r="D315"/>
      <c r="E315"/>
      <c r="F315" t="s">
        <v>284</v>
      </c>
      <c r="G315" t="s">
        <v>361</v>
      </c>
      <c r="H315" t="s">
        <v>1053</v>
      </c>
      <c r="I315" t="s">
        <v>346</v>
      </c>
      <c r="J315" s="30" t="s">
        <v>14</v>
      </c>
      <c r="K315" s="30" t="s">
        <v>27</v>
      </c>
      <c r="L315" s="30"/>
      <c r="M315" s="30" t="s">
        <v>752</v>
      </c>
      <c r="N315" s="30"/>
      <c r="O315" s="31">
        <f t="shared" si="13"/>
        <v>28</v>
      </c>
      <c r="P315" s="137" t="s">
        <v>1889</v>
      </c>
      <c r="Q315" s="31">
        <f t="shared" si="14"/>
        <v>0</v>
      </c>
      <c r="R315" s="32">
        <f t="shared" si="15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8" ht="15.75" thickBot="1" x14ac:dyDescent="0.3">
      <c r="A316"/>
      <c r="B316"/>
      <c r="C316"/>
      <c r="D316"/>
      <c r="E316"/>
      <c r="F316" t="s">
        <v>284</v>
      </c>
      <c r="G316" t="s">
        <v>970</v>
      </c>
      <c r="H316" t="s">
        <v>1053</v>
      </c>
      <c r="I316" t="s">
        <v>971</v>
      </c>
      <c r="J316" s="30" t="s">
        <v>72</v>
      </c>
      <c r="K316" s="30" t="s">
        <v>27</v>
      </c>
      <c r="L316" s="30"/>
      <c r="M316" s="30" t="s">
        <v>1266</v>
      </c>
      <c r="N316" s="30"/>
      <c r="O316" s="31">
        <f t="shared" si="13"/>
        <v>28</v>
      </c>
      <c r="P316" s="137" t="s">
        <v>1890</v>
      </c>
      <c r="Q316" s="31">
        <f t="shared" si="14"/>
        <v>0</v>
      </c>
      <c r="R316" s="32">
        <f t="shared" si="15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8" ht="15.75" thickBot="1" x14ac:dyDescent="0.3">
      <c r="A317">
        <v>6</v>
      </c>
      <c r="B317">
        <v>12</v>
      </c>
      <c r="C317"/>
      <c r="D317"/>
      <c r="E317" t="s">
        <v>2353</v>
      </c>
      <c r="F317" t="s">
        <v>347</v>
      </c>
      <c r="G317" t="s">
        <v>348</v>
      </c>
      <c r="H317" t="s">
        <v>1053</v>
      </c>
      <c r="I317" t="s">
        <v>349</v>
      </c>
      <c r="J317" s="30" t="s">
        <v>14</v>
      </c>
      <c r="K317" s="30" t="s">
        <v>27</v>
      </c>
      <c r="L317" s="30"/>
      <c r="M317" s="30" t="s">
        <v>753</v>
      </c>
      <c r="N317" s="30"/>
      <c r="O317" s="31">
        <f t="shared" si="13"/>
        <v>28</v>
      </c>
      <c r="P317" s="137" t="s">
        <v>1891</v>
      </c>
      <c r="Q317" s="31">
        <f t="shared" si="14"/>
        <v>0</v>
      </c>
      <c r="R317" s="32">
        <f t="shared" si="15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8" ht="15.75" thickBot="1" x14ac:dyDescent="0.3">
      <c r="A318">
        <v>6</v>
      </c>
      <c r="B318">
        <v>12</v>
      </c>
      <c r="C318"/>
      <c r="D318"/>
      <c r="E318" t="s">
        <v>2353</v>
      </c>
      <c r="F318" t="s">
        <v>347</v>
      </c>
      <c r="G318" t="s">
        <v>350</v>
      </c>
      <c r="H318" t="s">
        <v>1053</v>
      </c>
      <c r="I318" t="s">
        <v>349</v>
      </c>
      <c r="J318" s="30" t="s">
        <v>72</v>
      </c>
      <c r="K318" s="30" t="s">
        <v>27</v>
      </c>
      <c r="L318" s="30"/>
      <c r="M318" s="30" t="s">
        <v>754</v>
      </c>
      <c r="N318" s="30"/>
      <c r="O318" s="31">
        <f t="shared" si="13"/>
        <v>28</v>
      </c>
      <c r="P318" s="137" t="s">
        <v>1892</v>
      </c>
      <c r="Q318" s="31">
        <f t="shared" si="14"/>
        <v>0</v>
      </c>
      <c r="R318" s="32">
        <f t="shared" si="15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8" ht="15.75" thickBot="1" x14ac:dyDescent="0.3">
      <c r="A319">
        <v>6</v>
      </c>
      <c r="B319">
        <v>12</v>
      </c>
      <c r="C319"/>
      <c r="D319"/>
      <c r="E319" t="s">
        <v>2353</v>
      </c>
      <c r="F319" t="s">
        <v>347</v>
      </c>
      <c r="G319" t="s">
        <v>972</v>
      </c>
      <c r="H319" t="s">
        <v>1053</v>
      </c>
      <c r="I319" t="s">
        <v>349</v>
      </c>
      <c r="J319" s="30" t="s">
        <v>18</v>
      </c>
      <c r="K319" s="30" t="s">
        <v>27</v>
      </c>
      <c r="L319" s="30"/>
      <c r="M319" s="30" t="s">
        <v>1267</v>
      </c>
      <c r="N319" s="30"/>
      <c r="O319" s="31">
        <f t="shared" si="13"/>
        <v>28</v>
      </c>
      <c r="P319" s="137" t="s">
        <v>1893</v>
      </c>
      <c r="Q319" s="31">
        <f t="shared" si="14"/>
        <v>0</v>
      </c>
      <c r="R319" s="32">
        <f t="shared" si="15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8" s="69" customFormat="1" ht="15.75" thickBot="1" x14ac:dyDescent="0.3">
      <c r="A320"/>
      <c r="B320"/>
      <c r="C320"/>
      <c r="D320"/>
      <c r="E320"/>
      <c r="F320" t="s">
        <v>351</v>
      </c>
      <c r="G320" s="69" t="s">
        <v>965</v>
      </c>
      <c r="H320" s="69" t="s">
        <v>1053</v>
      </c>
      <c r="I320" s="69" t="s">
        <v>352</v>
      </c>
      <c r="J320" s="138" t="s">
        <v>14</v>
      </c>
      <c r="K320" s="138" t="s">
        <v>27</v>
      </c>
      <c r="L320" s="30"/>
      <c r="M320" s="138" t="s">
        <v>759</v>
      </c>
      <c r="N320" s="30"/>
      <c r="O320" s="141">
        <f t="shared" si="13"/>
        <v>28</v>
      </c>
      <c r="P320" s="142"/>
      <c r="Q320" s="141">
        <f t="shared" si="14"/>
        <v>0</v>
      </c>
      <c r="R320" s="143">
        <f t="shared" si="15"/>
        <v>1</v>
      </c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</row>
    <row r="321" spans="1:48" s="73" customFormat="1" ht="15.75" thickBot="1" x14ac:dyDescent="0.3">
      <c r="A321"/>
      <c r="B321"/>
      <c r="C321"/>
      <c r="D321"/>
      <c r="E321"/>
      <c r="F321" s="73" t="s">
        <v>193</v>
      </c>
      <c r="G321" s="73" t="s">
        <v>353</v>
      </c>
      <c r="H321" s="73" t="s">
        <v>1053</v>
      </c>
      <c r="I321" s="73" t="s">
        <v>354</v>
      </c>
      <c r="J321" s="85" t="s">
        <v>14</v>
      </c>
      <c r="K321" s="85" t="s">
        <v>1291</v>
      </c>
      <c r="L321" s="85"/>
      <c r="M321" s="85" t="s">
        <v>755</v>
      </c>
      <c r="N321" s="85"/>
      <c r="O321" s="132">
        <f t="shared" si="13"/>
        <v>27</v>
      </c>
      <c r="P321" s="137" t="s">
        <v>1894</v>
      </c>
      <c r="Q321" s="132">
        <f t="shared" si="14"/>
        <v>1</v>
      </c>
      <c r="R321" s="133">
        <f t="shared" si="15"/>
        <v>0.9642857142857143</v>
      </c>
      <c r="S321" s="70"/>
      <c r="T321" s="70"/>
      <c r="U321" s="70"/>
      <c r="V321" s="70" t="s">
        <v>2240</v>
      </c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8" s="73" customFormat="1" ht="15.75" thickBot="1" x14ac:dyDescent="0.3">
      <c r="A322"/>
      <c r="B322"/>
      <c r="C322"/>
      <c r="D322"/>
      <c r="E322"/>
      <c r="F322" s="73" t="s">
        <v>193</v>
      </c>
      <c r="G322" s="73" t="s">
        <v>355</v>
      </c>
      <c r="H322" s="73" t="s">
        <v>1053</v>
      </c>
      <c r="I322" s="73" t="s">
        <v>354</v>
      </c>
      <c r="J322" s="85" t="s">
        <v>72</v>
      </c>
      <c r="K322" s="85" t="s">
        <v>1291</v>
      </c>
      <c r="L322" s="85"/>
      <c r="M322" s="85" t="s">
        <v>1611</v>
      </c>
      <c r="N322" s="85"/>
      <c r="O322" s="132">
        <f t="shared" si="13"/>
        <v>28</v>
      </c>
      <c r="P322" s="137" t="s">
        <v>2123</v>
      </c>
      <c r="Q322" s="132">
        <f t="shared" si="14"/>
        <v>0</v>
      </c>
      <c r="R322" s="133">
        <f t="shared" si="15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8" s="73" customFormat="1" ht="15.75" thickBot="1" x14ac:dyDescent="0.3">
      <c r="A323">
        <v>12</v>
      </c>
      <c r="B323">
        <v>18</v>
      </c>
      <c r="C323"/>
      <c r="D323"/>
      <c r="E323" t="s">
        <v>2383</v>
      </c>
      <c r="F323" s="73" t="s">
        <v>193</v>
      </c>
      <c r="G323" s="73" t="s">
        <v>973</v>
      </c>
      <c r="H323" s="73" t="s">
        <v>1053</v>
      </c>
      <c r="I323" s="73" t="s">
        <v>974</v>
      </c>
      <c r="J323" s="85" t="s">
        <v>72</v>
      </c>
      <c r="K323" s="85" t="s">
        <v>1291</v>
      </c>
      <c r="L323" s="85"/>
      <c r="M323" s="85" t="s">
        <v>1268</v>
      </c>
      <c r="N323" s="85"/>
      <c r="O323" s="31">
        <f t="shared" ref="O323:O393" si="16">COUNTIF(S323:AT323,"")</f>
        <v>27</v>
      </c>
      <c r="P323" s="137" t="s">
        <v>1895</v>
      </c>
      <c r="Q323" s="31">
        <f t="shared" ref="Q323:Q393" si="17">COUNTIF(S323:AT323,"APAGADO")</f>
        <v>1</v>
      </c>
      <c r="R323" s="32">
        <f t="shared" ref="R323:R393" si="18">(O323)/(Q323+O323)</f>
        <v>0.9642857142857143</v>
      </c>
      <c r="S323" s="70"/>
      <c r="T323" s="70"/>
      <c r="U323" s="70"/>
      <c r="V323" s="70" t="s">
        <v>2240</v>
      </c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8" s="73" customFormat="1" ht="15.75" thickBot="1" x14ac:dyDescent="0.3">
      <c r="A324"/>
      <c r="B324"/>
      <c r="C324"/>
      <c r="D324"/>
      <c r="E324"/>
      <c r="F324" s="73" t="s">
        <v>356</v>
      </c>
      <c r="G324" s="73" t="s">
        <v>1199</v>
      </c>
      <c r="H324" s="73" t="s">
        <v>1053</v>
      </c>
      <c r="I324" s="73" t="s">
        <v>1200</v>
      </c>
      <c r="J324" s="85" t="s">
        <v>14</v>
      </c>
      <c r="K324" s="85" t="s">
        <v>1291</v>
      </c>
      <c r="L324" s="85"/>
      <c r="M324" s="85" t="s">
        <v>760</v>
      </c>
      <c r="N324" s="85"/>
      <c r="O324" s="132">
        <f t="shared" si="16"/>
        <v>27</v>
      </c>
      <c r="P324" s="137" t="s">
        <v>1896</v>
      </c>
      <c r="Q324" s="132">
        <f t="shared" si="17"/>
        <v>1</v>
      </c>
      <c r="R324" s="133">
        <f t="shared" si="18"/>
        <v>0.9642857142857143</v>
      </c>
      <c r="S324" s="70"/>
      <c r="T324" s="70"/>
      <c r="U324" s="70"/>
      <c r="V324" s="70" t="s">
        <v>2240</v>
      </c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</row>
    <row r="325" spans="1:48" s="73" customFormat="1" ht="15.75" thickBot="1" x14ac:dyDescent="0.3">
      <c r="A325"/>
      <c r="B325"/>
      <c r="C325"/>
      <c r="D325"/>
      <c r="E325"/>
      <c r="F325" s="73" t="s">
        <v>356</v>
      </c>
      <c r="G325" s="73" t="s">
        <v>357</v>
      </c>
      <c r="H325" s="73" t="s">
        <v>1053</v>
      </c>
      <c r="I325" s="73" t="s">
        <v>1200</v>
      </c>
      <c r="J325" s="85" t="s">
        <v>72</v>
      </c>
      <c r="K325" s="85" t="s">
        <v>1291</v>
      </c>
      <c r="L325" s="85"/>
      <c r="M325" s="85" t="s">
        <v>761</v>
      </c>
      <c r="N325" s="85"/>
      <c r="O325" s="132">
        <f t="shared" si="16"/>
        <v>27</v>
      </c>
      <c r="P325" s="137" t="s">
        <v>2165</v>
      </c>
      <c r="Q325" s="132">
        <f t="shared" si="17"/>
        <v>1</v>
      </c>
      <c r="R325" s="133">
        <f t="shared" si="18"/>
        <v>0.9642857142857143</v>
      </c>
      <c r="S325" s="70"/>
      <c r="T325" s="70"/>
      <c r="U325" s="70"/>
      <c r="V325" s="70" t="s">
        <v>2240</v>
      </c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8" s="73" customFormat="1" ht="15.75" thickBot="1" x14ac:dyDescent="0.3">
      <c r="A326"/>
      <c r="B326"/>
      <c r="C326"/>
      <c r="D326"/>
      <c r="E326"/>
      <c r="F326" s="73" t="s">
        <v>356</v>
      </c>
      <c r="G326" s="73" t="s">
        <v>975</v>
      </c>
      <c r="H326" s="73" t="s">
        <v>1053</v>
      </c>
      <c r="I326" s="73" t="s">
        <v>976</v>
      </c>
      <c r="J326" s="85" t="s">
        <v>18</v>
      </c>
      <c r="K326" s="85" t="s">
        <v>1291</v>
      </c>
      <c r="L326" s="85"/>
      <c r="M326" s="85" t="s">
        <v>1269</v>
      </c>
      <c r="N326" s="85"/>
      <c r="O326" s="132">
        <f t="shared" si="16"/>
        <v>27</v>
      </c>
      <c r="P326" s="137" t="s">
        <v>1897</v>
      </c>
      <c r="Q326" s="132">
        <f t="shared" si="17"/>
        <v>1</v>
      </c>
      <c r="R326" s="133">
        <f t="shared" si="18"/>
        <v>0.9642857142857143</v>
      </c>
      <c r="S326" s="70"/>
      <c r="T326" s="70"/>
      <c r="U326" s="70"/>
      <c r="V326" s="70" t="s">
        <v>2240</v>
      </c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8" ht="15.75" thickBot="1" x14ac:dyDescent="0.3">
      <c r="A327"/>
      <c r="B327"/>
      <c r="C327"/>
      <c r="D327"/>
      <c r="E327"/>
      <c r="F327" t="s">
        <v>347</v>
      </c>
      <c r="G327" t="s">
        <v>358</v>
      </c>
      <c r="H327" t="s">
        <v>1053</v>
      </c>
      <c r="I327" t="s">
        <v>359</v>
      </c>
      <c r="J327" s="30" t="s">
        <v>14</v>
      </c>
      <c r="K327" s="30" t="s">
        <v>27</v>
      </c>
      <c r="L327" s="30"/>
      <c r="M327" s="30" t="s">
        <v>757</v>
      </c>
      <c r="N327" s="30"/>
      <c r="O327" s="31">
        <f t="shared" si="16"/>
        <v>27</v>
      </c>
      <c r="P327" s="137" t="s">
        <v>1898</v>
      </c>
      <c r="Q327" s="31">
        <f t="shared" si="17"/>
        <v>1</v>
      </c>
      <c r="R327" s="32">
        <f t="shared" si="18"/>
        <v>0.9642857142857143</v>
      </c>
      <c r="S327" s="70"/>
      <c r="T327" s="70"/>
      <c r="U327" s="70"/>
      <c r="V327" s="70" t="s">
        <v>2240</v>
      </c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8" ht="15.75" thickBot="1" x14ac:dyDescent="0.3">
      <c r="A328"/>
      <c r="B328"/>
      <c r="C328"/>
      <c r="D328"/>
      <c r="E328"/>
      <c r="F328" t="s">
        <v>347</v>
      </c>
      <c r="G328" t="s">
        <v>360</v>
      </c>
      <c r="H328" t="s">
        <v>1053</v>
      </c>
      <c r="I328" t="s">
        <v>359</v>
      </c>
      <c r="J328" s="30" t="s">
        <v>72</v>
      </c>
      <c r="K328" s="30" t="s">
        <v>27</v>
      </c>
      <c r="L328" s="30"/>
      <c r="M328" s="30" t="s">
        <v>756</v>
      </c>
      <c r="N328" s="30"/>
      <c r="O328" s="31">
        <f t="shared" si="16"/>
        <v>28</v>
      </c>
      <c r="P328" s="137" t="s">
        <v>1899</v>
      </c>
      <c r="Q328" s="31">
        <f t="shared" si="17"/>
        <v>0</v>
      </c>
      <c r="R328" s="32">
        <f t="shared" si="18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8" ht="15.75" thickBot="1" x14ac:dyDescent="0.3">
      <c r="A329"/>
      <c r="B329"/>
      <c r="C329"/>
      <c r="D329"/>
      <c r="E329"/>
      <c r="F329" t="s">
        <v>347</v>
      </c>
      <c r="G329" t="s">
        <v>977</v>
      </c>
      <c r="H329" t="s">
        <v>1053</v>
      </c>
      <c r="I329" t="s">
        <v>978</v>
      </c>
      <c r="J329" s="30" t="s">
        <v>72</v>
      </c>
      <c r="K329" s="30" t="s">
        <v>27</v>
      </c>
      <c r="L329" s="30"/>
      <c r="M329" s="30" t="s">
        <v>1270</v>
      </c>
      <c r="N329" s="30"/>
      <c r="O329" s="31">
        <f t="shared" si="16"/>
        <v>28</v>
      </c>
      <c r="P329" s="137" t="s">
        <v>1900</v>
      </c>
      <c r="Q329" s="31">
        <f t="shared" si="17"/>
        <v>0</v>
      </c>
      <c r="R329" s="32">
        <f t="shared" si="18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8" ht="15.75" thickBot="1" x14ac:dyDescent="0.3">
      <c r="A330"/>
      <c r="B330"/>
      <c r="C330"/>
      <c r="D330"/>
      <c r="E330"/>
      <c r="F330" t="s">
        <v>226</v>
      </c>
      <c r="G330" t="s">
        <v>1281</v>
      </c>
      <c r="H330" t="s">
        <v>1053</v>
      </c>
      <c r="I330" t="s">
        <v>980</v>
      </c>
      <c r="J330" s="30" t="s">
        <v>72</v>
      </c>
      <c r="K330" s="30" t="s">
        <v>27</v>
      </c>
      <c r="L330" s="30"/>
      <c r="M330" s="30" t="s">
        <v>758</v>
      </c>
      <c r="N330" s="30"/>
      <c r="O330" s="31">
        <f t="shared" si="16"/>
        <v>28</v>
      </c>
      <c r="P330" s="137" t="s">
        <v>1901</v>
      </c>
      <c r="Q330" s="31">
        <f t="shared" si="17"/>
        <v>0</v>
      </c>
      <c r="R330" s="32">
        <f t="shared" si="18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8" ht="15.75" thickBot="1" x14ac:dyDescent="0.3">
      <c r="A331"/>
      <c r="B331"/>
      <c r="C331"/>
      <c r="D331"/>
      <c r="E331"/>
      <c r="F331" t="s">
        <v>226</v>
      </c>
      <c r="G331" t="s">
        <v>1282</v>
      </c>
      <c r="H331" t="s">
        <v>1053</v>
      </c>
      <c r="I331" t="s">
        <v>980</v>
      </c>
      <c r="J331" s="30" t="s">
        <v>72</v>
      </c>
      <c r="K331" s="30" t="s">
        <v>27</v>
      </c>
      <c r="L331" s="30"/>
      <c r="M331" s="30" t="s">
        <v>750</v>
      </c>
      <c r="N331" s="30"/>
      <c r="O331" s="31">
        <f t="shared" si="16"/>
        <v>28</v>
      </c>
      <c r="P331" s="137" t="s">
        <v>1902</v>
      </c>
      <c r="Q331" s="31">
        <f t="shared" si="17"/>
        <v>0</v>
      </c>
      <c r="R331" s="32">
        <f t="shared" si="18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8" ht="15.75" thickBot="1" x14ac:dyDescent="0.3">
      <c r="A332"/>
      <c r="B332"/>
      <c r="C332"/>
      <c r="D332"/>
      <c r="E332"/>
      <c r="F332" t="s">
        <v>226</v>
      </c>
      <c r="G332" t="s">
        <v>979</v>
      </c>
      <c r="H332" t="s">
        <v>1053</v>
      </c>
      <c r="I332" t="s">
        <v>980</v>
      </c>
      <c r="J332" s="30" t="s">
        <v>72</v>
      </c>
      <c r="K332" s="30" t="s">
        <v>27</v>
      </c>
      <c r="L332" s="30"/>
      <c r="M332" s="30" t="s">
        <v>1283</v>
      </c>
      <c r="N332" s="30"/>
      <c r="O332" s="31">
        <f t="shared" si="16"/>
        <v>28</v>
      </c>
      <c r="P332" s="137" t="s">
        <v>1903</v>
      </c>
      <c r="Q332" s="31">
        <f t="shared" si="17"/>
        <v>0</v>
      </c>
      <c r="R332" s="32">
        <f t="shared" si="18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8" ht="15.75" thickBot="1" x14ac:dyDescent="0.3">
      <c r="A333"/>
      <c r="B333"/>
      <c r="C333"/>
      <c r="D333"/>
      <c r="E333"/>
      <c r="F333" t="s">
        <v>362</v>
      </c>
      <c r="G333" t="s">
        <v>363</v>
      </c>
      <c r="H333" t="s">
        <v>1053</v>
      </c>
      <c r="I333" t="s">
        <v>364</v>
      </c>
      <c r="J333" s="30" t="s">
        <v>14</v>
      </c>
      <c r="K333" s="30" t="s">
        <v>27</v>
      </c>
      <c r="L333" s="30"/>
      <c r="M333" s="30" t="s">
        <v>762</v>
      </c>
      <c r="N333" s="30"/>
      <c r="O333" s="31">
        <f t="shared" si="16"/>
        <v>28</v>
      </c>
      <c r="P333" s="137" t="s">
        <v>1904</v>
      </c>
      <c r="Q333" s="31">
        <f t="shared" si="17"/>
        <v>0</v>
      </c>
      <c r="R333" s="32">
        <f t="shared" si="18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8" ht="15.75" thickBot="1" x14ac:dyDescent="0.3">
      <c r="A334"/>
      <c r="B334"/>
      <c r="C334"/>
      <c r="D334"/>
      <c r="E334"/>
      <c r="F334" t="s">
        <v>362</v>
      </c>
      <c r="G334" t="s">
        <v>981</v>
      </c>
      <c r="H334" t="s">
        <v>1053</v>
      </c>
      <c r="I334" t="s">
        <v>365</v>
      </c>
      <c r="J334" s="30" t="s">
        <v>14</v>
      </c>
      <c r="K334" s="30" t="s">
        <v>27</v>
      </c>
      <c r="L334" s="30"/>
      <c r="M334" s="30" t="s">
        <v>763</v>
      </c>
      <c r="N334" s="30"/>
      <c r="O334" s="31">
        <f t="shared" si="16"/>
        <v>28</v>
      </c>
      <c r="P334" s="137" t="s">
        <v>1905</v>
      </c>
      <c r="Q334" s="31">
        <f t="shared" si="17"/>
        <v>0</v>
      </c>
      <c r="R334" s="32">
        <f t="shared" si="18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8" ht="15.75" thickBot="1" x14ac:dyDescent="0.3">
      <c r="A335"/>
      <c r="B335"/>
      <c r="C335"/>
      <c r="D335"/>
      <c r="E335" t="s">
        <v>2366</v>
      </c>
      <c r="F335" t="s">
        <v>362</v>
      </c>
      <c r="G335" t="s">
        <v>366</v>
      </c>
      <c r="H335" t="s">
        <v>1053</v>
      </c>
      <c r="I335" t="s">
        <v>367</v>
      </c>
      <c r="J335" s="30" t="s">
        <v>72</v>
      </c>
      <c r="K335" s="30" t="s">
        <v>27</v>
      </c>
      <c r="L335" s="30"/>
      <c r="M335" s="30" t="s">
        <v>764</v>
      </c>
      <c r="N335" s="30"/>
      <c r="O335" s="31">
        <f t="shared" si="16"/>
        <v>28</v>
      </c>
      <c r="P335" s="137" t="s">
        <v>1906</v>
      </c>
      <c r="Q335" s="31">
        <f t="shared" si="17"/>
        <v>0</v>
      </c>
      <c r="R335" s="32">
        <f t="shared" si="18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8" ht="15.75" thickBot="1" x14ac:dyDescent="0.3">
      <c r="A336"/>
      <c r="B336"/>
      <c r="C336"/>
      <c r="D336"/>
      <c r="E336" t="s">
        <v>2366</v>
      </c>
      <c r="F336" t="s">
        <v>362</v>
      </c>
      <c r="G336" t="s">
        <v>368</v>
      </c>
      <c r="H336" t="s">
        <v>1053</v>
      </c>
      <c r="I336" t="s">
        <v>367</v>
      </c>
      <c r="J336" s="30" t="s">
        <v>72</v>
      </c>
      <c r="K336" s="30" t="s">
        <v>27</v>
      </c>
      <c r="L336" s="30"/>
      <c r="M336" s="30" t="s">
        <v>765</v>
      </c>
      <c r="N336" s="30"/>
      <c r="O336" s="31">
        <f t="shared" si="16"/>
        <v>28</v>
      </c>
      <c r="P336" s="137" t="s">
        <v>1907</v>
      </c>
      <c r="Q336" s="31">
        <f t="shared" si="17"/>
        <v>0</v>
      </c>
      <c r="R336" s="32">
        <f t="shared" si="18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8" ht="15.75" thickBot="1" x14ac:dyDescent="0.3">
      <c r="A337"/>
      <c r="B337"/>
      <c r="C337"/>
      <c r="D337"/>
      <c r="E337" t="s">
        <v>2366</v>
      </c>
      <c r="F337" t="s">
        <v>362</v>
      </c>
      <c r="G337" t="s">
        <v>369</v>
      </c>
      <c r="H337" t="s">
        <v>1053</v>
      </c>
      <c r="I337" t="s">
        <v>370</v>
      </c>
      <c r="J337" s="30" t="s">
        <v>72</v>
      </c>
      <c r="K337" s="30" t="s">
        <v>27</v>
      </c>
      <c r="L337" s="30"/>
      <c r="M337" s="30" t="s">
        <v>766</v>
      </c>
      <c r="N337" s="30"/>
      <c r="O337" s="31">
        <f t="shared" si="16"/>
        <v>28</v>
      </c>
      <c r="P337" s="137" t="s">
        <v>1908</v>
      </c>
      <c r="Q337" s="31">
        <f t="shared" si="17"/>
        <v>0</v>
      </c>
      <c r="R337" s="32">
        <f t="shared" si="18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8" ht="15.75" thickBot="1" x14ac:dyDescent="0.3">
      <c r="A338"/>
      <c r="B338"/>
      <c r="C338"/>
      <c r="D338"/>
      <c r="E338" t="s">
        <v>2366</v>
      </c>
      <c r="F338" t="s">
        <v>362</v>
      </c>
      <c r="G338" t="s">
        <v>371</v>
      </c>
      <c r="H338" t="s">
        <v>1053</v>
      </c>
      <c r="I338" t="s">
        <v>370</v>
      </c>
      <c r="J338" s="30" t="s">
        <v>45</v>
      </c>
      <c r="K338" s="30" t="s">
        <v>27</v>
      </c>
      <c r="L338" s="30"/>
      <c r="M338" s="30" t="s">
        <v>767</v>
      </c>
      <c r="N338" s="30"/>
      <c r="O338" s="31">
        <f t="shared" si="16"/>
        <v>28</v>
      </c>
      <c r="P338" s="137" t="s">
        <v>1909</v>
      </c>
      <c r="Q338" s="31">
        <f t="shared" si="17"/>
        <v>0</v>
      </c>
      <c r="R338" s="32">
        <f t="shared" si="18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8" ht="15.75" thickBot="1" x14ac:dyDescent="0.3">
      <c r="A339"/>
      <c r="B339"/>
      <c r="C339"/>
      <c r="D339"/>
      <c r="E339"/>
      <c r="F339" t="s">
        <v>362</v>
      </c>
      <c r="G339" t="s">
        <v>1325</v>
      </c>
      <c r="H339" t="s">
        <v>1052</v>
      </c>
      <c r="I339" t="s">
        <v>1326</v>
      </c>
      <c r="J339" s="30"/>
      <c r="K339" s="30" t="s">
        <v>27</v>
      </c>
      <c r="L339" s="30"/>
      <c r="M339" s="30" t="s">
        <v>1336</v>
      </c>
      <c r="N339" s="30"/>
      <c r="O339" s="31">
        <f t="shared" si="16"/>
        <v>27</v>
      </c>
      <c r="P339" s="137" t="s">
        <v>1910</v>
      </c>
      <c r="Q339" s="31">
        <f t="shared" si="17"/>
        <v>1</v>
      </c>
      <c r="R339" s="32">
        <f t="shared" si="18"/>
        <v>0.9642857142857143</v>
      </c>
      <c r="S339" s="70"/>
      <c r="T339" s="70"/>
      <c r="U339" s="70"/>
      <c r="V339" s="70" t="s">
        <v>2240</v>
      </c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144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8" ht="15.75" thickBot="1" x14ac:dyDescent="0.3">
      <c r="A340"/>
      <c r="B340"/>
      <c r="C340"/>
      <c r="D340"/>
      <c r="E340"/>
      <c r="F340" t="s">
        <v>362</v>
      </c>
      <c r="G340" t="s">
        <v>1368</v>
      </c>
      <c r="H340" t="s">
        <v>1053</v>
      </c>
      <c r="I340" s="68" t="s">
        <v>1371</v>
      </c>
      <c r="J340" s="30" t="s">
        <v>18</v>
      </c>
      <c r="K340" s="30" t="s">
        <v>27</v>
      </c>
      <c r="L340" s="30"/>
      <c r="M340" s="30" t="s">
        <v>1383</v>
      </c>
      <c r="N340" s="30"/>
      <c r="O340" s="31">
        <f t="shared" si="16"/>
        <v>28</v>
      </c>
      <c r="P340" s="137" t="s">
        <v>1911</v>
      </c>
      <c r="Q340" s="31">
        <f t="shared" si="17"/>
        <v>0</v>
      </c>
      <c r="R340" s="32">
        <f t="shared" si="18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8" ht="15.75" thickBot="1" x14ac:dyDescent="0.3">
      <c r="A341"/>
      <c r="B341"/>
      <c r="C341"/>
      <c r="D341"/>
      <c r="E341"/>
      <c r="F341" t="s">
        <v>362</v>
      </c>
      <c r="G341" t="s">
        <v>1369</v>
      </c>
      <c r="H341" t="s">
        <v>1053</v>
      </c>
      <c r="I341" s="68" t="s">
        <v>1372</v>
      </c>
      <c r="J341" s="30" t="s">
        <v>72</v>
      </c>
      <c r="K341" s="30" t="s">
        <v>27</v>
      </c>
      <c r="L341" s="30"/>
      <c r="M341" s="30" t="s">
        <v>1384</v>
      </c>
      <c r="N341" s="30"/>
      <c r="O341" s="31">
        <f t="shared" si="16"/>
        <v>28</v>
      </c>
      <c r="P341" s="137" t="s">
        <v>1912</v>
      </c>
      <c r="Q341" s="31">
        <f t="shared" si="17"/>
        <v>0</v>
      </c>
      <c r="R341" s="32">
        <f t="shared" si="18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8" ht="15.75" thickBot="1" x14ac:dyDescent="0.3">
      <c r="A342"/>
      <c r="B342"/>
      <c r="C342"/>
      <c r="D342"/>
      <c r="E342"/>
      <c r="F342" t="s">
        <v>362</v>
      </c>
      <c r="G342" t="s">
        <v>1370</v>
      </c>
      <c r="H342" t="s">
        <v>1053</v>
      </c>
      <c r="I342" s="68" t="s">
        <v>1373</v>
      </c>
      <c r="J342" s="30" t="s">
        <v>72</v>
      </c>
      <c r="K342" s="30" t="s">
        <v>27</v>
      </c>
      <c r="L342" s="30"/>
      <c r="M342" s="30" t="s">
        <v>1385</v>
      </c>
      <c r="N342" s="30"/>
      <c r="O342" s="31">
        <f t="shared" si="16"/>
        <v>28</v>
      </c>
      <c r="P342" s="137" t="s">
        <v>1913</v>
      </c>
      <c r="Q342" s="31">
        <f t="shared" si="17"/>
        <v>0</v>
      </c>
      <c r="R342" s="32">
        <f t="shared" si="18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8" ht="15.75" thickBot="1" x14ac:dyDescent="0.3">
      <c r="A343"/>
      <c r="B343"/>
      <c r="C343"/>
      <c r="D343"/>
      <c r="E343"/>
      <c r="F343" t="s">
        <v>362</v>
      </c>
      <c r="G343" t="s">
        <v>2212</v>
      </c>
      <c r="H343" t="s">
        <v>1053</v>
      </c>
      <c r="I343" s="68" t="s">
        <v>2198</v>
      </c>
      <c r="J343" s="85" t="s">
        <v>14</v>
      </c>
      <c r="K343" s="30" t="s">
        <v>27</v>
      </c>
      <c r="L343" s="30"/>
      <c r="M343" s="30" t="s">
        <v>2213</v>
      </c>
      <c r="N343" s="30"/>
      <c r="O343" s="31">
        <f t="shared" si="16"/>
        <v>28</v>
      </c>
      <c r="P343" s="137" t="s">
        <v>2199</v>
      </c>
      <c r="Q343" s="31">
        <f t="shared" si="17"/>
        <v>0</v>
      </c>
      <c r="R343" s="32">
        <f t="shared" si="18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8" ht="15.75" thickBot="1" x14ac:dyDescent="0.3">
      <c r="A344"/>
      <c r="B344"/>
      <c r="C344"/>
      <c r="D344"/>
      <c r="E344"/>
      <c r="F344" t="s">
        <v>362</v>
      </c>
      <c r="G344" t="s">
        <v>2200</v>
      </c>
      <c r="H344" t="s">
        <v>1053</v>
      </c>
      <c r="I344" s="68" t="s">
        <v>2201</v>
      </c>
      <c r="J344" s="85" t="s">
        <v>14</v>
      </c>
      <c r="K344" s="30" t="s">
        <v>27</v>
      </c>
      <c r="L344" s="30"/>
      <c r="M344" s="30" t="s">
        <v>2303</v>
      </c>
      <c r="N344" s="30"/>
      <c r="O344" s="31">
        <f t="shared" si="16"/>
        <v>28</v>
      </c>
      <c r="P344" s="137" t="s">
        <v>2202</v>
      </c>
      <c r="Q344" s="31">
        <f t="shared" si="17"/>
        <v>0</v>
      </c>
      <c r="R344" s="32">
        <f t="shared" si="18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8" s="73" customFormat="1" ht="15.75" thickBot="1" x14ac:dyDescent="0.3">
      <c r="A345"/>
      <c r="B345"/>
      <c r="C345"/>
      <c r="D345"/>
      <c r="E345" t="s">
        <v>2366</v>
      </c>
      <c r="F345" s="73" t="s">
        <v>372</v>
      </c>
      <c r="G345" s="73" t="s">
        <v>991</v>
      </c>
      <c r="H345" s="73" t="s">
        <v>1053</v>
      </c>
      <c r="I345" s="73" t="s">
        <v>373</v>
      </c>
      <c r="J345" s="85" t="s">
        <v>14</v>
      </c>
      <c r="K345" s="85" t="s">
        <v>27</v>
      </c>
      <c r="L345" s="85"/>
      <c r="M345" s="85" t="s">
        <v>768</v>
      </c>
      <c r="N345" s="85"/>
      <c r="O345" s="86">
        <f t="shared" si="16"/>
        <v>28</v>
      </c>
      <c r="P345" s="137" t="s">
        <v>1914</v>
      </c>
      <c r="Q345" s="86">
        <f t="shared" si="17"/>
        <v>0</v>
      </c>
      <c r="R345" s="87">
        <f t="shared" si="18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8" ht="15.75" thickBot="1" x14ac:dyDescent="0.3">
      <c r="A346"/>
      <c r="B346"/>
      <c r="C346"/>
      <c r="D346"/>
      <c r="E346" t="s">
        <v>2366</v>
      </c>
      <c r="F346" t="s">
        <v>372</v>
      </c>
      <c r="G346" t="s">
        <v>992</v>
      </c>
      <c r="H346" t="s">
        <v>1053</v>
      </c>
      <c r="I346" t="s">
        <v>374</v>
      </c>
      <c r="J346" s="30" t="s">
        <v>14</v>
      </c>
      <c r="K346" s="30" t="s">
        <v>27</v>
      </c>
      <c r="L346" s="30"/>
      <c r="M346" s="30" t="s">
        <v>771</v>
      </c>
      <c r="N346" s="30"/>
      <c r="O346" s="31">
        <f t="shared" si="16"/>
        <v>28</v>
      </c>
      <c r="P346" s="137" t="s">
        <v>1915</v>
      </c>
      <c r="Q346" s="31">
        <f t="shared" si="17"/>
        <v>0</v>
      </c>
      <c r="R346" s="32">
        <f t="shared" si="18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8" ht="15.75" thickBot="1" x14ac:dyDescent="0.3">
      <c r="A347"/>
      <c r="B347"/>
      <c r="C347"/>
      <c r="D347"/>
      <c r="E347" t="s">
        <v>2366</v>
      </c>
      <c r="F347" t="s">
        <v>372</v>
      </c>
      <c r="G347" t="s">
        <v>375</v>
      </c>
      <c r="H347" t="s">
        <v>1053</v>
      </c>
      <c r="I347" t="s">
        <v>376</v>
      </c>
      <c r="J347" s="30" t="s">
        <v>72</v>
      </c>
      <c r="K347" s="30" t="s">
        <v>27</v>
      </c>
      <c r="L347" s="30"/>
      <c r="M347" s="30" t="s">
        <v>769</v>
      </c>
      <c r="N347" s="30"/>
      <c r="O347" s="31">
        <f t="shared" si="16"/>
        <v>27</v>
      </c>
      <c r="P347" s="137" t="s">
        <v>1916</v>
      </c>
      <c r="Q347" s="31">
        <f t="shared" si="17"/>
        <v>1</v>
      </c>
      <c r="R347" s="32">
        <f t="shared" si="18"/>
        <v>0.9642857142857143</v>
      </c>
      <c r="S347" s="70"/>
      <c r="T347" s="70"/>
      <c r="U347" s="70"/>
      <c r="V347" s="70" t="s">
        <v>2240</v>
      </c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8" ht="15.75" thickBot="1" x14ac:dyDescent="0.3">
      <c r="A348"/>
      <c r="B348"/>
      <c r="C348"/>
      <c r="D348"/>
      <c r="E348"/>
      <c r="F348" t="s">
        <v>372</v>
      </c>
      <c r="G348" t="s">
        <v>377</v>
      </c>
      <c r="H348" t="s">
        <v>1053</v>
      </c>
      <c r="I348" t="s">
        <v>376</v>
      </c>
      <c r="J348" s="30" t="s">
        <v>72</v>
      </c>
      <c r="K348" s="30" t="s">
        <v>27</v>
      </c>
      <c r="L348" s="30"/>
      <c r="M348" s="30" t="s">
        <v>770</v>
      </c>
      <c r="N348" s="30"/>
      <c r="O348" s="31">
        <f t="shared" si="16"/>
        <v>27</v>
      </c>
      <c r="P348" s="137" t="s">
        <v>1917</v>
      </c>
      <c r="Q348" s="31">
        <f t="shared" si="17"/>
        <v>1</v>
      </c>
      <c r="R348" s="32">
        <f t="shared" si="18"/>
        <v>0.9642857142857143</v>
      </c>
      <c r="S348" s="70"/>
      <c r="T348" s="70"/>
      <c r="U348" s="70"/>
      <c r="V348" s="70" t="s">
        <v>2240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8" ht="15.75" thickBot="1" x14ac:dyDescent="0.3">
      <c r="A349"/>
      <c r="B349"/>
      <c r="C349"/>
      <c r="D349"/>
      <c r="E349" t="s">
        <v>2366</v>
      </c>
      <c r="F349" t="s">
        <v>372</v>
      </c>
      <c r="G349" t="s">
        <v>982</v>
      </c>
      <c r="H349" t="s">
        <v>1053</v>
      </c>
      <c r="I349" t="s">
        <v>378</v>
      </c>
      <c r="J349" s="30" t="s">
        <v>14</v>
      </c>
      <c r="K349" s="30" t="s">
        <v>27</v>
      </c>
      <c r="L349" s="30"/>
      <c r="M349" s="30" t="s">
        <v>772</v>
      </c>
      <c r="N349" s="30"/>
      <c r="O349" s="31">
        <f t="shared" si="16"/>
        <v>28</v>
      </c>
      <c r="P349" s="137" t="s">
        <v>1918</v>
      </c>
      <c r="Q349" s="31">
        <f t="shared" si="17"/>
        <v>0</v>
      </c>
      <c r="R349" s="32">
        <f t="shared" si="18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8" ht="15.75" thickBot="1" x14ac:dyDescent="0.3">
      <c r="A350"/>
      <c r="B350"/>
      <c r="C350"/>
      <c r="D350"/>
      <c r="E350" t="s">
        <v>2366</v>
      </c>
      <c r="F350" t="s">
        <v>372</v>
      </c>
      <c r="G350" t="s">
        <v>983</v>
      </c>
      <c r="H350" t="s">
        <v>1053</v>
      </c>
      <c r="I350" t="s">
        <v>984</v>
      </c>
      <c r="J350" s="30" t="s">
        <v>18</v>
      </c>
      <c r="K350" s="30" t="s">
        <v>27</v>
      </c>
      <c r="L350" s="30"/>
      <c r="M350" s="30" t="s">
        <v>897</v>
      </c>
      <c r="N350" s="30"/>
      <c r="O350" s="31">
        <f t="shared" si="16"/>
        <v>28</v>
      </c>
      <c r="P350" s="137" t="s">
        <v>1919</v>
      </c>
      <c r="Q350" s="31">
        <f t="shared" si="17"/>
        <v>0</v>
      </c>
      <c r="R350" s="32">
        <f t="shared" si="18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8" ht="15.75" thickBot="1" x14ac:dyDescent="0.3">
      <c r="A351"/>
      <c r="B351"/>
      <c r="C351"/>
      <c r="D351"/>
      <c r="E351" t="s">
        <v>2366</v>
      </c>
      <c r="F351" t="s">
        <v>372</v>
      </c>
      <c r="G351" t="s">
        <v>985</v>
      </c>
      <c r="H351" t="s">
        <v>1053</v>
      </c>
      <c r="I351" t="s">
        <v>986</v>
      </c>
      <c r="J351" s="30" t="s">
        <v>18</v>
      </c>
      <c r="K351" s="30" t="s">
        <v>27</v>
      </c>
      <c r="L351" s="30"/>
      <c r="M351" s="30" t="s">
        <v>898</v>
      </c>
      <c r="N351" s="30"/>
      <c r="O351" s="31">
        <f t="shared" si="16"/>
        <v>28</v>
      </c>
      <c r="P351" s="137" t="s">
        <v>1920</v>
      </c>
      <c r="Q351" s="31">
        <f t="shared" si="17"/>
        <v>0</v>
      </c>
      <c r="R351" s="32">
        <f t="shared" si="18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8" ht="15.75" thickBot="1" x14ac:dyDescent="0.3">
      <c r="A352"/>
      <c r="B352"/>
      <c r="C352"/>
      <c r="D352"/>
      <c r="E352" t="s">
        <v>2366</v>
      </c>
      <c r="F352" t="s">
        <v>372</v>
      </c>
      <c r="G352" t="s">
        <v>987</v>
      </c>
      <c r="H352" t="s">
        <v>1053</v>
      </c>
      <c r="I352" t="s">
        <v>988</v>
      </c>
      <c r="J352" s="30" t="s">
        <v>18</v>
      </c>
      <c r="K352" s="30" t="s">
        <v>27</v>
      </c>
      <c r="L352" s="30"/>
      <c r="M352" s="30" t="s">
        <v>899</v>
      </c>
      <c r="N352" s="30"/>
      <c r="O352" s="31">
        <f t="shared" si="16"/>
        <v>28</v>
      </c>
      <c r="P352" s="137" t="s">
        <v>1921</v>
      </c>
      <c r="Q352" s="31">
        <f t="shared" si="17"/>
        <v>0</v>
      </c>
      <c r="R352" s="32">
        <f t="shared" si="18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8" ht="15.75" thickBot="1" x14ac:dyDescent="0.3">
      <c r="A353"/>
      <c r="B353"/>
      <c r="C353"/>
      <c r="D353"/>
      <c r="E353" t="s">
        <v>2366</v>
      </c>
      <c r="F353" t="s">
        <v>372</v>
      </c>
      <c r="G353" t="s">
        <v>989</v>
      </c>
      <c r="H353" t="s">
        <v>1053</v>
      </c>
      <c r="I353" t="s">
        <v>990</v>
      </c>
      <c r="J353" s="30" t="s">
        <v>18</v>
      </c>
      <c r="K353" s="30" t="s">
        <v>27</v>
      </c>
      <c r="L353" s="30"/>
      <c r="M353" s="30" t="s">
        <v>900</v>
      </c>
      <c r="N353" s="30"/>
      <c r="O353" s="31">
        <f t="shared" si="16"/>
        <v>28</v>
      </c>
      <c r="P353" s="137" t="s">
        <v>1922</v>
      </c>
      <c r="Q353" s="31">
        <f t="shared" si="17"/>
        <v>0</v>
      </c>
      <c r="R353" s="32">
        <f t="shared" si="18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8" ht="15.75" thickBot="1" x14ac:dyDescent="0.3">
      <c r="A354"/>
      <c r="B354"/>
      <c r="C354"/>
      <c r="D354"/>
      <c r="E354" t="s">
        <v>2366</v>
      </c>
      <c r="F354" t="s">
        <v>372</v>
      </c>
      <c r="G354" t="s">
        <v>1164</v>
      </c>
      <c r="H354" t="s">
        <v>1053</v>
      </c>
      <c r="I354" t="s">
        <v>1147</v>
      </c>
      <c r="J354" s="30" t="s">
        <v>18</v>
      </c>
      <c r="K354" s="30" t="s">
        <v>27</v>
      </c>
      <c r="L354" s="30"/>
      <c r="M354" s="30" t="s">
        <v>1149</v>
      </c>
      <c r="N354" s="30"/>
      <c r="O354" s="31">
        <f t="shared" si="16"/>
        <v>28</v>
      </c>
      <c r="P354" s="137" t="s">
        <v>1923</v>
      </c>
      <c r="Q354" s="31">
        <f t="shared" si="17"/>
        <v>0</v>
      </c>
      <c r="R354" s="32">
        <f t="shared" si="18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8" ht="15.75" thickBot="1" x14ac:dyDescent="0.3">
      <c r="A355"/>
      <c r="B355"/>
      <c r="C355"/>
      <c r="D355"/>
      <c r="E355" t="s">
        <v>2366</v>
      </c>
      <c r="F355" t="s">
        <v>372</v>
      </c>
      <c r="G355" t="s">
        <v>1165</v>
      </c>
      <c r="H355" t="s">
        <v>1053</v>
      </c>
      <c r="I355" t="s">
        <v>1147</v>
      </c>
      <c r="J355" s="30" t="s">
        <v>18</v>
      </c>
      <c r="K355" s="30" t="s">
        <v>27</v>
      </c>
      <c r="L355" s="30"/>
      <c r="M355" s="30" t="s">
        <v>1150</v>
      </c>
      <c r="N355" s="30"/>
      <c r="O355" s="31">
        <f t="shared" si="16"/>
        <v>28</v>
      </c>
      <c r="P355" s="137" t="s">
        <v>1924</v>
      </c>
      <c r="Q355" s="31">
        <f t="shared" si="17"/>
        <v>0</v>
      </c>
      <c r="R355" s="32">
        <f t="shared" si="18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83"/>
      <c r="AR355" s="70"/>
      <c r="AS355" s="70"/>
      <c r="AT355" s="70"/>
      <c r="AU355" s="70"/>
      <c r="AV355" s="70"/>
    </row>
    <row r="356" spans="1:48" ht="15.75" thickBot="1" x14ac:dyDescent="0.3">
      <c r="A356"/>
      <c r="B356"/>
      <c r="C356"/>
      <c r="D356"/>
      <c r="E356" t="s">
        <v>2366</v>
      </c>
      <c r="F356" t="s">
        <v>372</v>
      </c>
      <c r="G356" t="s">
        <v>1183</v>
      </c>
      <c r="H356" t="s">
        <v>1053</v>
      </c>
      <c r="I356" t="s">
        <v>1146</v>
      </c>
      <c r="J356" s="30" t="s">
        <v>14</v>
      </c>
      <c r="K356" s="30" t="s">
        <v>27</v>
      </c>
      <c r="L356" s="30"/>
      <c r="M356" s="30" t="s">
        <v>1148</v>
      </c>
      <c r="N356" s="30"/>
      <c r="O356" s="31">
        <f t="shared" si="16"/>
        <v>28</v>
      </c>
      <c r="P356" s="137" t="s">
        <v>1925</v>
      </c>
      <c r="Q356" s="31">
        <f t="shared" si="17"/>
        <v>0</v>
      </c>
      <c r="R356" s="32">
        <f t="shared" si="18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8" ht="15.75" thickBot="1" x14ac:dyDescent="0.3">
      <c r="A357"/>
      <c r="B357"/>
      <c r="C357"/>
      <c r="D357"/>
      <c r="E357"/>
      <c r="F357" t="s">
        <v>372</v>
      </c>
      <c r="G357" t="s">
        <v>1286</v>
      </c>
      <c r="H357" t="s">
        <v>1053</v>
      </c>
      <c r="I357" t="s">
        <v>1287</v>
      </c>
      <c r="J357" s="30" t="s">
        <v>72</v>
      </c>
      <c r="K357" s="30" t="s">
        <v>27</v>
      </c>
      <c r="L357" s="30"/>
      <c r="M357" s="30" t="s">
        <v>1468</v>
      </c>
      <c r="N357" s="30"/>
      <c r="O357" s="31">
        <f t="shared" si="16"/>
        <v>28</v>
      </c>
      <c r="P357" s="137" t="s">
        <v>1926</v>
      </c>
      <c r="Q357" s="31">
        <f t="shared" si="17"/>
        <v>0</v>
      </c>
      <c r="R357" s="32">
        <f t="shared" si="18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8" ht="15.75" thickBot="1" x14ac:dyDescent="0.3">
      <c r="A358"/>
      <c r="B358"/>
      <c r="C358"/>
      <c r="D358"/>
      <c r="E358" t="s">
        <v>2366</v>
      </c>
      <c r="F358" t="s">
        <v>372</v>
      </c>
      <c r="G358" t="s">
        <v>1374</v>
      </c>
      <c r="H358" t="s">
        <v>1053</v>
      </c>
      <c r="I358" s="68" t="s">
        <v>1377</v>
      </c>
      <c r="J358" s="30" t="s">
        <v>14</v>
      </c>
      <c r="K358" s="30" t="s">
        <v>1046</v>
      </c>
      <c r="L358" s="30"/>
      <c r="M358" s="30" t="s">
        <v>1381</v>
      </c>
      <c r="N358" s="30"/>
      <c r="O358" s="31">
        <f t="shared" si="16"/>
        <v>27</v>
      </c>
      <c r="P358" s="137"/>
      <c r="Q358" s="31">
        <f t="shared" si="17"/>
        <v>1</v>
      </c>
      <c r="R358" s="32">
        <f t="shared" si="18"/>
        <v>0.9642857142857143</v>
      </c>
      <c r="S358" s="70"/>
      <c r="T358" s="70"/>
      <c r="U358" s="70"/>
      <c r="V358" s="70" t="s">
        <v>2240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8" ht="15.75" thickBot="1" x14ac:dyDescent="0.3">
      <c r="A359"/>
      <c r="B359"/>
      <c r="C359"/>
      <c r="D359"/>
      <c r="E359" t="s">
        <v>2366</v>
      </c>
      <c r="F359" t="s">
        <v>372</v>
      </c>
      <c r="G359" t="s">
        <v>1375</v>
      </c>
      <c r="H359" t="s">
        <v>1053</v>
      </c>
      <c r="I359" s="68" t="s">
        <v>1378</v>
      </c>
      <c r="J359" s="30" t="s">
        <v>72</v>
      </c>
      <c r="K359" s="30" t="s">
        <v>1046</v>
      </c>
      <c r="L359" s="30"/>
      <c r="M359" s="30" t="s">
        <v>1382</v>
      </c>
      <c r="N359" s="30"/>
      <c r="O359" s="31">
        <f t="shared" si="16"/>
        <v>27</v>
      </c>
      <c r="P359" s="137"/>
      <c r="Q359" s="31">
        <f t="shared" si="17"/>
        <v>1</v>
      </c>
      <c r="R359" s="32">
        <f t="shared" si="18"/>
        <v>0.9642857142857143</v>
      </c>
      <c r="S359" s="70"/>
      <c r="T359" s="70"/>
      <c r="U359" s="70"/>
      <c r="V359" s="70" t="s">
        <v>2240</v>
      </c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8" ht="15.75" thickBot="1" x14ac:dyDescent="0.3">
      <c r="A360"/>
      <c r="B360"/>
      <c r="C360"/>
      <c r="D360"/>
      <c r="E360" t="s">
        <v>2366</v>
      </c>
      <c r="F360" t="s">
        <v>372</v>
      </c>
      <c r="G360" t="s">
        <v>1376</v>
      </c>
      <c r="H360" t="s">
        <v>1053</v>
      </c>
      <c r="I360" s="68" t="s">
        <v>1379</v>
      </c>
      <c r="J360" s="30" t="s">
        <v>14</v>
      </c>
      <c r="K360" s="30" t="s">
        <v>27</v>
      </c>
      <c r="L360" s="30"/>
      <c r="M360" s="30" t="s">
        <v>1485</v>
      </c>
      <c r="N360" s="30"/>
      <c r="O360" s="31">
        <f t="shared" si="16"/>
        <v>27</v>
      </c>
      <c r="P360" s="137" t="s">
        <v>1927</v>
      </c>
      <c r="Q360" s="31">
        <f t="shared" si="17"/>
        <v>1</v>
      </c>
      <c r="R360" s="32">
        <f t="shared" si="18"/>
        <v>0.9642857142857143</v>
      </c>
      <c r="S360" s="70"/>
      <c r="T360" s="70"/>
      <c r="U360" s="70"/>
      <c r="V360" s="70" t="s">
        <v>2240</v>
      </c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8" s="73" customFormat="1" ht="15.75" thickBot="1" x14ac:dyDescent="0.3">
      <c r="A361"/>
      <c r="B361"/>
      <c r="C361"/>
      <c r="D361"/>
      <c r="E361"/>
      <c r="F361" s="73" t="s">
        <v>890</v>
      </c>
      <c r="G361" s="73" t="s">
        <v>993</v>
      </c>
      <c r="H361" s="73" t="s">
        <v>1053</v>
      </c>
      <c r="I361" s="73" t="s">
        <v>994</v>
      </c>
      <c r="J361" s="85" t="s">
        <v>1047</v>
      </c>
      <c r="K361" s="85" t="s">
        <v>1291</v>
      </c>
      <c r="L361" s="30"/>
      <c r="M361" s="85" t="s">
        <v>892</v>
      </c>
      <c r="N361" s="85"/>
      <c r="O361" s="132">
        <f t="shared" si="16"/>
        <v>28</v>
      </c>
      <c r="P361" s="137"/>
      <c r="Q361" s="132">
        <f t="shared" si="17"/>
        <v>0</v>
      </c>
      <c r="R361" s="133">
        <f t="shared" si="18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8" s="73" customFormat="1" ht="15.75" thickBot="1" x14ac:dyDescent="0.3">
      <c r="A362"/>
      <c r="B362"/>
      <c r="C362"/>
      <c r="D362"/>
      <c r="E362"/>
      <c r="F362" s="73" t="s">
        <v>890</v>
      </c>
      <c r="G362" s="73" t="s">
        <v>889</v>
      </c>
      <c r="H362" s="73" t="s">
        <v>1053</v>
      </c>
      <c r="I362" s="73" t="s">
        <v>994</v>
      </c>
      <c r="J362" s="85" t="s">
        <v>1048</v>
      </c>
      <c r="K362" s="85" t="s">
        <v>1291</v>
      </c>
      <c r="L362" s="30"/>
      <c r="M362" s="85" t="s">
        <v>891</v>
      </c>
      <c r="N362" s="85"/>
      <c r="O362" s="132">
        <f t="shared" si="16"/>
        <v>28</v>
      </c>
      <c r="P362" s="137"/>
      <c r="Q362" s="132">
        <f t="shared" si="17"/>
        <v>0</v>
      </c>
      <c r="R362" s="133">
        <f t="shared" si="18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8" ht="15.75" thickBot="1" x14ac:dyDescent="0.3">
      <c r="A363">
        <v>1</v>
      </c>
      <c r="B363">
        <v>7</v>
      </c>
      <c r="C363"/>
      <c r="D363"/>
      <c r="E363" t="s">
        <v>2346</v>
      </c>
      <c r="F363" t="s">
        <v>261</v>
      </c>
      <c r="G363" t="s">
        <v>379</v>
      </c>
      <c r="H363" t="s">
        <v>1052</v>
      </c>
      <c r="I363" t="s">
        <v>380</v>
      </c>
      <c r="J363" s="30" t="s">
        <v>18</v>
      </c>
      <c r="K363" s="30" t="s">
        <v>27</v>
      </c>
      <c r="L363" s="30"/>
      <c r="M363" s="30" t="s">
        <v>773</v>
      </c>
      <c r="N363" s="30"/>
      <c r="O363" s="31">
        <f t="shared" si="16"/>
        <v>28</v>
      </c>
      <c r="P363" s="137" t="s">
        <v>1928</v>
      </c>
      <c r="Q363" s="31">
        <f t="shared" si="17"/>
        <v>0</v>
      </c>
      <c r="R363" s="32">
        <f t="shared" si="18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8" s="73" customFormat="1" ht="15.75" thickBot="1" x14ac:dyDescent="0.3">
      <c r="A364"/>
      <c r="B364"/>
      <c r="C364"/>
      <c r="D364"/>
      <c r="E364"/>
      <c r="F364" s="73" t="s">
        <v>261</v>
      </c>
      <c r="G364" s="73" t="s">
        <v>995</v>
      </c>
      <c r="H364" s="73" t="s">
        <v>1052</v>
      </c>
      <c r="I364" s="73" t="s">
        <v>335</v>
      </c>
      <c r="J364" s="85" t="s">
        <v>72</v>
      </c>
      <c r="K364" s="85" t="s">
        <v>1291</v>
      </c>
      <c r="L364" s="30"/>
      <c r="M364" s="85" t="s">
        <v>742</v>
      </c>
      <c r="N364" s="85"/>
      <c r="O364" s="132">
        <f t="shared" si="16"/>
        <v>28</v>
      </c>
      <c r="P364" s="137" t="s">
        <v>1929</v>
      </c>
      <c r="Q364" s="132">
        <f t="shared" si="17"/>
        <v>0</v>
      </c>
      <c r="R364" s="133">
        <f t="shared" si="18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8" s="73" customFormat="1" ht="15.75" thickBot="1" x14ac:dyDescent="0.3">
      <c r="A365"/>
      <c r="B365"/>
      <c r="C365"/>
      <c r="D365"/>
      <c r="E365"/>
      <c r="F365" s="73" t="s">
        <v>261</v>
      </c>
      <c r="G365" s="73" t="s">
        <v>996</v>
      </c>
      <c r="H365" s="73" t="s">
        <v>1052</v>
      </c>
      <c r="I365" s="73" t="s">
        <v>335</v>
      </c>
      <c r="J365" s="85" t="s">
        <v>72</v>
      </c>
      <c r="K365" s="85" t="s">
        <v>1291</v>
      </c>
      <c r="L365" s="30"/>
      <c r="M365" s="85" t="s">
        <v>743</v>
      </c>
      <c r="N365" s="85"/>
      <c r="O365" s="132">
        <f t="shared" si="16"/>
        <v>28</v>
      </c>
      <c r="P365" s="137" t="s">
        <v>1930</v>
      </c>
      <c r="Q365" s="132">
        <f t="shared" si="17"/>
        <v>0</v>
      </c>
      <c r="R365" s="133">
        <f t="shared" si="18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8" ht="15.75" thickBot="1" x14ac:dyDescent="0.3">
      <c r="A366">
        <v>1</v>
      </c>
      <c r="B366">
        <v>19</v>
      </c>
      <c r="C366"/>
      <c r="D366"/>
      <c r="E366" t="s">
        <v>2346</v>
      </c>
      <c r="F366" t="s">
        <v>261</v>
      </c>
      <c r="G366" t="s">
        <v>997</v>
      </c>
      <c r="H366" t="s">
        <v>1052</v>
      </c>
      <c r="I366" t="s">
        <v>998</v>
      </c>
      <c r="J366" s="30" t="s">
        <v>18</v>
      </c>
      <c r="K366" s="30" t="s">
        <v>27</v>
      </c>
      <c r="L366" s="30"/>
      <c r="M366" s="30" t="s">
        <v>2195</v>
      </c>
      <c r="N366" s="30"/>
      <c r="O366" s="31">
        <f t="shared" si="16"/>
        <v>28</v>
      </c>
      <c r="P366" s="137" t="s">
        <v>1931</v>
      </c>
      <c r="Q366" s="31">
        <f t="shared" si="17"/>
        <v>0</v>
      </c>
      <c r="R366" s="32">
        <f t="shared" si="18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8" ht="15.75" thickBot="1" x14ac:dyDescent="0.3">
      <c r="A367">
        <v>1</v>
      </c>
      <c r="B367">
        <v>19</v>
      </c>
      <c r="C367"/>
      <c r="D367"/>
      <c r="E367" t="s">
        <v>2346</v>
      </c>
      <c r="F367" t="s">
        <v>261</v>
      </c>
      <c r="G367" t="s">
        <v>999</v>
      </c>
      <c r="H367" t="s">
        <v>1052</v>
      </c>
      <c r="I367" t="s">
        <v>1000</v>
      </c>
      <c r="J367" s="30" t="s">
        <v>18</v>
      </c>
      <c r="K367" s="30" t="s">
        <v>27</v>
      </c>
      <c r="L367" s="30"/>
      <c r="M367" s="30" t="s">
        <v>2304</v>
      </c>
      <c r="N367" s="30"/>
      <c r="O367" s="31">
        <f t="shared" si="16"/>
        <v>28</v>
      </c>
      <c r="P367" s="137" t="s">
        <v>1932</v>
      </c>
      <c r="Q367" s="31">
        <f t="shared" si="17"/>
        <v>0</v>
      </c>
      <c r="R367" s="32">
        <f t="shared" si="18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8" ht="15.75" thickBot="1" x14ac:dyDescent="0.3">
      <c r="A368">
        <v>1</v>
      </c>
      <c r="B368">
        <v>19</v>
      </c>
      <c r="C368"/>
      <c r="D368"/>
      <c r="E368" t="s">
        <v>2346</v>
      </c>
      <c r="F368" t="s">
        <v>261</v>
      </c>
      <c r="G368" t="s">
        <v>1120</v>
      </c>
      <c r="H368" t="s">
        <v>1052</v>
      </c>
      <c r="I368" t="s">
        <v>1117</v>
      </c>
      <c r="J368" s="30" t="s">
        <v>72</v>
      </c>
      <c r="K368" s="30" t="s">
        <v>27</v>
      </c>
      <c r="L368" s="30"/>
      <c r="M368" s="30" t="s">
        <v>1126</v>
      </c>
      <c r="N368" s="30"/>
      <c r="O368" s="31">
        <f t="shared" si="16"/>
        <v>28</v>
      </c>
      <c r="P368" s="137" t="s">
        <v>1933</v>
      </c>
      <c r="Q368" s="31">
        <f t="shared" si="17"/>
        <v>0</v>
      </c>
      <c r="R368" s="32">
        <f t="shared" si="18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8" ht="15.75" thickBot="1" x14ac:dyDescent="0.3">
      <c r="A369">
        <v>1</v>
      </c>
      <c r="B369">
        <v>19</v>
      </c>
      <c r="C369"/>
      <c r="D369"/>
      <c r="E369" t="s">
        <v>2346</v>
      </c>
      <c r="F369" t="s">
        <v>261</v>
      </c>
      <c r="G369" t="s">
        <v>1121</v>
      </c>
      <c r="H369" t="s">
        <v>1052</v>
      </c>
      <c r="I369" t="s">
        <v>1117</v>
      </c>
      <c r="J369" s="30" t="s">
        <v>72</v>
      </c>
      <c r="K369" s="30" t="s">
        <v>27</v>
      </c>
      <c r="L369" s="30"/>
      <c r="M369" s="30" t="s">
        <v>1127</v>
      </c>
      <c r="N369" s="30"/>
      <c r="O369" s="31">
        <f t="shared" si="16"/>
        <v>28</v>
      </c>
      <c r="P369" s="137" t="s">
        <v>1934</v>
      </c>
      <c r="Q369" s="31">
        <f t="shared" si="17"/>
        <v>0</v>
      </c>
      <c r="R369" s="32">
        <f t="shared" si="18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8" ht="15.75" thickBot="1" x14ac:dyDescent="0.3">
      <c r="A370">
        <v>1</v>
      </c>
      <c r="B370">
        <v>19</v>
      </c>
      <c r="C370"/>
      <c r="D370"/>
      <c r="E370" t="s">
        <v>2346</v>
      </c>
      <c r="F370" t="s">
        <v>261</v>
      </c>
      <c r="G370" t="s">
        <v>1122</v>
      </c>
      <c r="H370" t="s">
        <v>1052</v>
      </c>
      <c r="I370" t="s">
        <v>1118</v>
      </c>
      <c r="J370" s="30" t="s">
        <v>72</v>
      </c>
      <c r="K370" s="30" t="s">
        <v>27</v>
      </c>
      <c r="L370" s="30"/>
      <c r="M370" s="30" t="s">
        <v>1128</v>
      </c>
      <c r="N370" s="30"/>
      <c r="O370" s="31">
        <f t="shared" si="16"/>
        <v>28</v>
      </c>
      <c r="P370" s="137" t="s">
        <v>1935</v>
      </c>
      <c r="Q370" s="31">
        <f t="shared" si="17"/>
        <v>0</v>
      </c>
      <c r="R370" s="32">
        <f t="shared" si="18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8" ht="15.75" thickBot="1" x14ac:dyDescent="0.3">
      <c r="A371">
        <v>1</v>
      </c>
      <c r="B371">
        <v>19</v>
      </c>
      <c r="C371"/>
      <c r="D371"/>
      <c r="E371" t="s">
        <v>2346</v>
      </c>
      <c r="F371" t="s">
        <v>261</v>
      </c>
      <c r="G371" t="s">
        <v>1123</v>
      </c>
      <c r="H371" t="s">
        <v>1052</v>
      </c>
      <c r="I371" t="s">
        <v>1118</v>
      </c>
      <c r="J371" s="30" t="s">
        <v>72</v>
      </c>
      <c r="K371" s="30" t="s">
        <v>27</v>
      </c>
      <c r="L371" s="30"/>
      <c r="M371" s="30" t="s">
        <v>1129</v>
      </c>
      <c r="N371" s="30"/>
      <c r="O371" s="31">
        <f t="shared" si="16"/>
        <v>28</v>
      </c>
      <c r="P371" s="137" t="s">
        <v>1936</v>
      </c>
      <c r="Q371" s="31">
        <f t="shared" si="17"/>
        <v>0</v>
      </c>
      <c r="R371" s="32">
        <f t="shared" si="18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8" ht="15.75" thickBot="1" x14ac:dyDescent="0.3">
      <c r="A372"/>
      <c r="B372"/>
      <c r="C372"/>
      <c r="D372"/>
      <c r="E372"/>
      <c r="F372" s="73" t="s">
        <v>1310</v>
      </c>
      <c r="G372" t="s">
        <v>1223</v>
      </c>
      <c r="H372" t="s">
        <v>1052</v>
      </c>
      <c r="I372" t="s">
        <v>1224</v>
      </c>
      <c r="J372" t="s">
        <v>18</v>
      </c>
      <c r="K372" t="s">
        <v>27</v>
      </c>
      <c r="L372"/>
      <c r="M372" s="30" t="s">
        <v>1230</v>
      </c>
      <c r="N372" s="30"/>
      <c r="O372" s="31">
        <f t="shared" si="16"/>
        <v>28</v>
      </c>
      <c r="P372" s="137" t="s">
        <v>1937</v>
      </c>
      <c r="Q372" s="31">
        <f t="shared" si="17"/>
        <v>0</v>
      </c>
      <c r="R372" s="32">
        <f t="shared" si="18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4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8" ht="15.75" thickBot="1" x14ac:dyDescent="0.3">
      <c r="A373"/>
      <c r="B373"/>
      <c r="C373"/>
      <c r="D373"/>
      <c r="E373"/>
      <c r="F373" s="73" t="s">
        <v>1310</v>
      </c>
      <c r="G373" t="s">
        <v>1225</v>
      </c>
      <c r="H373" t="s">
        <v>1052</v>
      </c>
      <c r="I373" t="s">
        <v>1226</v>
      </c>
      <c r="J373" t="s">
        <v>18</v>
      </c>
      <c r="K373" t="s">
        <v>27</v>
      </c>
      <c r="L373"/>
      <c r="M373" s="30" t="s">
        <v>1231</v>
      </c>
      <c r="N373" s="30"/>
      <c r="O373" s="31">
        <f t="shared" si="16"/>
        <v>28</v>
      </c>
      <c r="P373" s="137" t="s">
        <v>1938</v>
      </c>
      <c r="Q373" s="31">
        <f t="shared" si="17"/>
        <v>0</v>
      </c>
      <c r="R373" s="32">
        <f t="shared" si="18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4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8" s="73" customFormat="1" ht="15.75" thickBot="1" x14ac:dyDescent="0.3">
      <c r="A374"/>
      <c r="B374"/>
      <c r="C374"/>
      <c r="D374"/>
      <c r="E374"/>
      <c r="F374" s="73" t="s">
        <v>1310</v>
      </c>
      <c r="G374" s="73" t="s">
        <v>1557</v>
      </c>
      <c r="H374" s="73" t="s">
        <v>1052</v>
      </c>
      <c r="I374" s="73" t="s">
        <v>1560</v>
      </c>
      <c r="J374" s="85" t="s">
        <v>72</v>
      </c>
      <c r="K374" s="85" t="s">
        <v>1291</v>
      </c>
      <c r="L374"/>
      <c r="M374" s="85" t="s">
        <v>1561</v>
      </c>
      <c r="N374" s="85"/>
      <c r="O374" s="31">
        <f t="shared" si="16"/>
        <v>28</v>
      </c>
      <c r="P374" s="137" t="s">
        <v>1939</v>
      </c>
      <c r="Q374" s="31">
        <f t="shared" si="17"/>
        <v>0</v>
      </c>
      <c r="R374" s="32">
        <f t="shared" si="18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8" s="73" customFormat="1" ht="15.75" thickBot="1" x14ac:dyDescent="0.3">
      <c r="A375"/>
      <c r="B375"/>
      <c r="C375"/>
      <c r="D375"/>
      <c r="E375"/>
      <c r="F375" s="73" t="s">
        <v>1310</v>
      </c>
      <c r="G375" s="73" t="s">
        <v>1558</v>
      </c>
      <c r="H375" s="73" t="s">
        <v>1052</v>
      </c>
      <c r="I375" s="73" t="s">
        <v>1562</v>
      </c>
      <c r="J375" s="73" t="s">
        <v>72</v>
      </c>
      <c r="K375" s="85" t="s">
        <v>1291</v>
      </c>
      <c r="L375"/>
      <c r="M375" s="85" t="s">
        <v>1563</v>
      </c>
      <c r="N375" s="85"/>
      <c r="O375" s="31">
        <f t="shared" si="16"/>
        <v>27</v>
      </c>
      <c r="P375" s="137" t="s">
        <v>1940</v>
      </c>
      <c r="Q375" s="31">
        <f t="shared" si="17"/>
        <v>1</v>
      </c>
      <c r="R375" s="32">
        <f t="shared" si="18"/>
        <v>0.9642857142857143</v>
      </c>
      <c r="S375" s="70"/>
      <c r="T375" s="70"/>
      <c r="U375" s="70"/>
      <c r="V375" s="70" t="s">
        <v>2240</v>
      </c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144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8" s="73" customFormat="1" ht="15.75" thickBot="1" x14ac:dyDescent="0.3">
      <c r="A376"/>
      <c r="B376"/>
      <c r="C376"/>
      <c r="D376"/>
      <c r="E376"/>
      <c r="F376" s="73" t="s">
        <v>1310</v>
      </c>
      <c r="G376" s="73" t="s">
        <v>1559</v>
      </c>
      <c r="H376" s="73" t="s">
        <v>1052</v>
      </c>
      <c r="I376" s="73" t="s">
        <v>1564</v>
      </c>
      <c r="J376" s="73" t="s">
        <v>72</v>
      </c>
      <c r="K376" s="85" t="s">
        <v>1291</v>
      </c>
      <c r="L376"/>
      <c r="M376" s="85" t="s">
        <v>1565</v>
      </c>
      <c r="N376" s="85"/>
      <c r="O376" s="31">
        <f t="shared" si="16"/>
        <v>28</v>
      </c>
      <c r="P376" s="137" t="s">
        <v>1941</v>
      </c>
      <c r="Q376" s="31">
        <f t="shared" si="17"/>
        <v>0</v>
      </c>
      <c r="R376" s="32">
        <f t="shared" si="18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8" s="73" customFormat="1" ht="15.75" thickBot="1" x14ac:dyDescent="0.3">
      <c r="A377"/>
      <c r="B377"/>
      <c r="C377"/>
      <c r="D377"/>
      <c r="E377"/>
      <c r="F377" s="73" t="s">
        <v>1310</v>
      </c>
      <c r="G377" s="73" t="s">
        <v>1614</v>
      </c>
      <c r="H377" s="73" t="s">
        <v>1052</v>
      </c>
      <c r="I377" s="73" t="s">
        <v>1615</v>
      </c>
      <c r="J377" s="73" t="s">
        <v>18</v>
      </c>
      <c r="K377" s="85" t="s">
        <v>1291</v>
      </c>
      <c r="L377"/>
      <c r="M377" s="85" t="s">
        <v>1616</v>
      </c>
      <c r="N377" s="85"/>
      <c r="O377" s="31">
        <f t="shared" si="16"/>
        <v>28</v>
      </c>
      <c r="P377" s="137" t="s">
        <v>2118</v>
      </c>
      <c r="Q377" s="31">
        <f t="shared" si="17"/>
        <v>0</v>
      </c>
      <c r="R377" s="32">
        <f t="shared" si="18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8" ht="15.75" thickBot="1" x14ac:dyDescent="0.3">
      <c r="A378"/>
      <c r="B378"/>
      <c r="C378"/>
      <c r="D378"/>
      <c r="E378"/>
      <c r="F378" t="s">
        <v>381</v>
      </c>
      <c r="G378" t="s">
        <v>382</v>
      </c>
      <c r="H378" t="s">
        <v>1052</v>
      </c>
      <c r="I378" t="s">
        <v>383</v>
      </c>
      <c r="J378" s="30" t="s">
        <v>18</v>
      </c>
      <c r="K378" s="30" t="s">
        <v>27</v>
      </c>
      <c r="L378"/>
      <c r="M378" s="30" t="s">
        <v>774</v>
      </c>
      <c r="N378" s="30" t="s">
        <v>2284</v>
      </c>
      <c r="O378" s="31">
        <f t="shared" si="16"/>
        <v>27</v>
      </c>
      <c r="P378" s="137" t="s">
        <v>1942</v>
      </c>
      <c r="Q378" s="31">
        <f t="shared" si="17"/>
        <v>1</v>
      </c>
      <c r="R378" s="32">
        <f t="shared" si="18"/>
        <v>0.9642857142857143</v>
      </c>
      <c r="S378" s="70"/>
      <c r="T378" s="70"/>
      <c r="U378" s="70"/>
      <c r="V378" s="70" t="s">
        <v>2240</v>
      </c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8" ht="15.75" thickBot="1" x14ac:dyDescent="0.3">
      <c r="A379"/>
      <c r="B379"/>
      <c r="C379"/>
      <c r="D379"/>
      <c r="E379"/>
      <c r="F379" t="s">
        <v>381</v>
      </c>
      <c r="G379" t="s">
        <v>384</v>
      </c>
      <c r="H379" t="s">
        <v>1052</v>
      </c>
      <c r="I379" t="s">
        <v>385</v>
      </c>
      <c r="J379" s="30" t="s">
        <v>18</v>
      </c>
      <c r="K379" s="30" t="s">
        <v>27</v>
      </c>
      <c r="L379"/>
      <c r="M379" s="30" t="s">
        <v>775</v>
      </c>
      <c r="N379" s="30"/>
      <c r="O379" s="31">
        <f t="shared" si="16"/>
        <v>28</v>
      </c>
      <c r="P379" s="137" t="s">
        <v>1943</v>
      </c>
      <c r="Q379" s="31">
        <f t="shared" si="17"/>
        <v>0</v>
      </c>
      <c r="R379" s="32">
        <f t="shared" si="18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8" s="73" customFormat="1" ht="15.75" thickBot="1" x14ac:dyDescent="0.3">
      <c r="A380"/>
      <c r="B380"/>
      <c r="C380"/>
      <c r="D380"/>
      <c r="E380"/>
      <c r="F380" s="73" t="s">
        <v>386</v>
      </c>
      <c r="G380" s="73" t="s">
        <v>387</v>
      </c>
      <c r="H380" s="73" t="s">
        <v>1052</v>
      </c>
      <c r="I380" s="73" t="s">
        <v>388</v>
      </c>
      <c r="J380" s="85" t="s">
        <v>18</v>
      </c>
      <c r="K380" s="85" t="s">
        <v>1291</v>
      </c>
      <c r="L380"/>
      <c r="M380" s="85" t="s">
        <v>1467</v>
      </c>
      <c r="N380" s="85"/>
      <c r="O380" s="132">
        <f t="shared" si="16"/>
        <v>28</v>
      </c>
      <c r="P380" s="137"/>
      <c r="Q380" s="132">
        <f t="shared" si="17"/>
        <v>0</v>
      </c>
      <c r="R380" s="133">
        <f t="shared" si="18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8" s="73" customFormat="1" ht="15.75" thickBot="1" x14ac:dyDescent="0.3">
      <c r="A381"/>
      <c r="B381"/>
      <c r="C381"/>
      <c r="D381"/>
      <c r="E381"/>
      <c r="F381" s="73" t="s">
        <v>381</v>
      </c>
      <c r="G381" s="73" t="s">
        <v>2145</v>
      </c>
      <c r="H381" s="73" t="s">
        <v>1052</v>
      </c>
      <c r="I381" s="73" t="s">
        <v>2146</v>
      </c>
      <c r="J381" s="85" t="s">
        <v>72</v>
      </c>
      <c r="K381" s="30" t="s">
        <v>27</v>
      </c>
      <c r="L381"/>
      <c r="M381" s="85" t="s">
        <v>2147</v>
      </c>
      <c r="N381" s="85" t="s">
        <v>2284</v>
      </c>
      <c r="O381" s="132">
        <f t="shared" si="16"/>
        <v>28</v>
      </c>
      <c r="P381" s="137" t="s">
        <v>2148</v>
      </c>
      <c r="Q381" s="132">
        <f t="shared" si="17"/>
        <v>0</v>
      </c>
      <c r="R381" s="133">
        <f t="shared" si="18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8" ht="15.75" thickBot="1" x14ac:dyDescent="0.3">
      <c r="A382"/>
      <c r="B382"/>
      <c r="C382"/>
      <c r="D382"/>
      <c r="E382"/>
      <c r="F382" t="s">
        <v>291</v>
      </c>
      <c r="G382" t="s">
        <v>389</v>
      </c>
      <c r="H382" t="s">
        <v>1052</v>
      </c>
      <c r="I382" t="s">
        <v>390</v>
      </c>
      <c r="J382" s="30" t="s">
        <v>18</v>
      </c>
      <c r="K382" s="30" t="s">
        <v>27</v>
      </c>
      <c r="L382"/>
      <c r="M382" s="30" t="s">
        <v>778</v>
      </c>
      <c r="N382" s="30" t="s">
        <v>2284</v>
      </c>
      <c r="O382" s="31">
        <f t="shared" si="16"/>
        <v>28</v>
      </c>
      <c r="P382" s="137" t="s">
        <v>1944</v>
      </c>
      <c r="Q382" s="31">
        <f t="shared" si="17"/>
        <v>0</v>
      </c>
      <c r="R382" s="32">
        <f t="shared" si="18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8" ht="15.75" thickBot="1" x14ac:dyDescent="0.3">
      <c r="A383"/>
      <c r="B383"/>
      <c r="C383"/>
      <c r="D383"/>
      <c r="E383"/>
      <c r="F383" t="s">
        <v>291</v>
      </c>
      <c r="G383" t="s">
        <v>1001</v>
      </c>
      <c r="H383" t="s">
        <v>1052</v>
      </c>
      <c r="I383" t="s">
        <v>391</v>
      </c>
      <c r="J383" s="30" t="s">
        <v>18</v>
      </c>
      <c r="K383" s="30" t="s">
        <v>27</v>
      </c>
      <c r="L383" s="30"/>
      <c r="M383" s="30" t="s">
        <v>779</v>
      </c>
      <c r="N383" s="30"/>
      <c r="O383" s="31">
        <f t="shared" si="16"/>
        <v>28</v>
      </c>
      <c r="P383" s="137"/>
      <c r="Q383" s="31">
        <f t="shared" si="17"/>
        <v>0</v>
      </c>
      <c r="R383" s="32">
        <f t="shared" si="18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8" ht="15.75" thickBot="1" x14ac:dyDescent="0.3">
      <c r="A384"/>
      <c r="B384"/>
      <c r="C384"/>
      <c r="D384"/>
      <c r="E384"/>
      <c r="F384" t="s">
        <v>291</v>
      </c>
      <c r="G384" t="s">
        <v>392</v>
      </c>
      <c r="H384" t="s">
        <v>1052</v>
      </c>
      <c r="I384" t="s">
        <v>393</v>
      </c>
      <c r="J384" s="30" t="s">
        <v>72</v>
      </c>
      <c r="K384" s="30" t="s">
        <v>27</v>
      </c>
      <c r="L384" s="30"/>
      <c r="M384" s="30" t="s">
        <v>776</v>
      </c>
      <c r="N384" s="30" t="s">
        <v>2284</v>
      </c>
      <c r="O384" s="31">
        <f t="shared" si="16"/>
        <v>28</v>
      </c>
      <c r="P384" s="137" t="s">
        <v>1945</v>
      </c>
      <c r="Q384" s="31">
        <f t="shared" si="17"/>
        <v>0</v>
      </c>
      <c r="R384" s="32">
        <f t="shared" si="18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4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8" ht="15.75" thickBot="1" x14ac:dyDescent="0.3">
      <c r="A385"/>
      <c r="B385"/>
      <c r="C385"/>
      <c r="D385"/>
      <c r="E385"/>
      <c r="F385" t="s">
        <v>291</v>
      </c>
      <c r="G385" t="s">
        <v>394</v>
      </c>
      <c r="H385" t="s">
        <v>1052</v>
      </c>
      <c r="I385" t="s">
        <v>393</v>
      </c>
      <c r="J385" s="30" t="s">
        <v>72</v>
      </c>
      <c r="K385" s="30" t="s">
        <v>27</v>
      </c>
      <c r="L385" s="30"/>
      <c r="M385" s="30" t="s">
        <v>777</v>
      </c>
      <c r="N385" s="30" t="s">
        <v>2284</v>
      </c>
      <c r="O385" s="31">
        <f t="shared" si="16"/>
        <v>28</v>
      </c>
      <c r="P385" s="137" t="s">
        <v>1946</v>
      </c>
      <c r="Q385" s="31">
        <f t="shared" si="17"/>
        <v>0</v>
      </c>
      <c r="R385" s="32">
        <f t="shared" si="18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4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8" ht="15.75" thickBot="1" x14ac:dyDescent="0.3">
      <c r="A386"/>
      <c r="B386"/>
      <c r="C386"/>
      <c r="D386"/>
      <c r="E386"/>
      <c r="F386" t="s">
        <v>291</v>
      </c>
      <c r="G386" t="s">
        <v>1254</v>
      </c>
      <c r="H386" t="s">
        <v>1052</v>
      </c>
      <c r="I386" t="s">
        <v>1255</v>
      </c>
      <c r="J386" s="30" t="s">
        <v>14</v>
      </c>
      <c r="K386" s="30" t="s">
        <v>1046</v>
      </c>
      <c r="L386" s="30" t="s">
        <v>1257</v>
      </c>
      <c r="M386" s="30" t="s">
        <v>1256</v>
      </c>
      <c r="N386" s="30" t="s">
        <v>2284</v>
      </c>
      <c r="O386" s="31">
        <f t="shared" si="16"/>
        <v>28</v>
      </c>
      <c r="P386" s="137" t="s">
        <v>1947</v>
      </c>
      <c r="Q386" s="31">
        <f t="shared" si="17"/>
        <v>0</v>
      </c>
      <c r="R386" s="32">
        <f t="shared" si="18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4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8" s="73" customFormat="1" ht="15.75" thickBot="1" x14ac:dyDescent="0.3">
      <c r="A387"/>
      <c r="B387"/>
      <c r="C387"/>
      <c r="D387"/>
      <c r="E387"/>
      <c r="F387" s="73" t="s">
        <v>291</v>
      </c>
      <c r="G387" s="73" t="s">
        <v>1303</v>
      </c>
      <c r="H387" s="73" t="s">
        <v>1053</v>
      </c>
      <c r="I387" s="73" t="s">
        <v>1304</v>
      </c>
      <c r="J387" s="85" t="s">
        <v>14</v>
      </c>
      <c r="K387" s="85" t="s">
        <v>1291</v>
      </c>
      <c r="L387" s="85"/>
      <c r="M387" s="85" t="s">
        <v>1305</v>
      </c>
      <c r="N387" s="85"/>
      <c r="O387" s="31">
        <f t="shared" si="16"/>
        <v>28</v>
      </c>
      <c r="P387" s="137" t="s">
        <v>1948</v>
      </c>
      <c r="Q387" s="31">
        <f t="shared" si="17"/>
        <v>0</v>
      </c>
      <c r="R387" s="32">
        <f t="shared" si="18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8" s="89" customFormat="1" ht="15.75" thickBot="1" x14ac:dyDescent="0.3">
      <c r="F388" s="89" t="s">
        <v>399</v>
      </c>
      <c r="G388" s="89" t="s">
        <v>404</v>
      </c>
      <c r="H388" s="89" t="s">
        <v>1052</v>
      </c>
      <c r="I388" s="89" t="s">
        <v>405</v>
      </c>
      <c r="J388" s="90" t="s">
        <v>14</v>
      </c>
      <c r="K388" s="90" t="s">
        <v>19</v>
      </c>
      <c r="L388" s="90"/>
      <c r="M388" s="90" t="s">
        <v>780</v>
      </c>
      <c r="N388" s="90"/>
      <c r="O388" s="31">
        <f t="shared" si="16"/>
        <v>27</v>
      </c>
      <c r="P388" s="137"/>
      <c r="Q388" s="31">
        <f t="shared" si="17"/>
        <v>1</v>
      </c>
      <c r="R388" s="32">
        <f t="shared" si="18"/>
        <v>0.9642857142857143</v>
      </c>
      <c r="S388" s="70"/>
      <c r="T388" s="70"/>
      <c r="U388" s="70"/>
      <c r="V388" s="70" t="s">
        <v>2240</v>
      </c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4"/>
      <c r="AH388" s="70"/>
      <c r="AI388" s="70"/>
      <c r="AJ388" s="70"/>
      <c r="AK388" s="91"/>
      <c r="AL388" s="70"/>
      <c r="AM388" s="70"/>
      <c r="AN388" s="70"/>
      <c r="AO388" s="70"/>
      <c r="AP388" s="70"/>
      <c r="AQ388" s="91"/>
      <c r="AR388" s="91"/>
      <c r="AS388" s="70"/>
      <c r="AT388" s="70"/>
      <c r="AU388" s="70"/>
      <c r="AV388" s="70"/>
    </row>
    <row r="389" spans="1:48" s="73" customFormat="1" ht="15.75" thickBot="1" x14ac:dyDescent="0.3">
      <c r="A389"/>
      <c r="B389"/>
      <c r="C389"/>
      <c r="D389"/>
      <c r="E389"/>
      <c r="F389" s="73" t="s">
        <v>381</v>
      </c>
      <c r="G389" s="73" t="s">
        <v>395</v>
      </c>
      <c r="H389" s="73" t="s">
        <v>1052</v>
      </c>
      <c r="I389" s="73" t="s">
        <v>396</v>
      </c>
      <c r="J389" s="85" t="s">
        <v>18</v>
      </c>
      <c r="K389" s="85" t="s">
        <v>1291</v>
      </c>
      <c r="L389" s="85"/>
      <c r="M389" s="85" t="s">
        <v>2098</v>
      </c>
      <c r="N389" s="85" t="s">
        <v>2284</v>
      </c>
      <c r="O389" s="132">
        <f t="shared" si="16"/>
        <v>27</v>
      </c>
      <c r="P389" s="137" t="s">
        <v>2285</v>
      </c>
      <c r="Q389" s="132">
        <f t="shared" si="17"/>
        <v>1</v>
      </c>
      <c r="R389" s="133">
        <f t="shared" si="18"/>
        <v>0.9642857142857143</v>
      </c>
      <c r="S389" s="70"/>
      <c r="T389" s="70"/>
      <c r="U389" s="70"/>
      <c r="V389" s="70" t="s">
        <v>2240</v>
      </c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4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8" s="73" customFormat="1" ht="15.75" thickBot="1" x14ac:dyDescent="0.3">
      <c r="A390"/>
      <c r="B390"/>
      <c r="C390"/>
      <c r="D390"/>
      <c r="E390"/>
      <c r="F390" s="73" t="s">
        <v>381</v>
      </c>
      <c r="G390" s="73" t="s">
        <v>397</v>
      </c>
      <c r="H390" s="73" t="s">
        <v>1052</v>
      </c>
      <c r="I390" s="73" t="s">
        <v>398</v>
      </c>
      <c r="J390" s="85" t="s">
        <v>14</v>
      </c>
      <c r="K390" s="85" t="s">
        <v>27</v>
      </c>
      <c r="L390" s="85"/>
      <c r="M390" s="85" t="s">
        <v>1500</v>
      </c>
      <c r="N390" s="85"/>
      <c r="O390" s="86">
        <f t="shared" si="16"/>
        <v>28</v>
      </c>
      <c r="P390" s="137" t="s">
        <v>1949</v>
      </c>
      <c r="Q390" s="86">
        <f t="shared" si="17"/>
        <v>0</v>
      </c>
      <c r="R390" s="87">
        <f t="shared" si="18"/>
        <v>1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</row>
    <row r="391" spans="1:48" ht="15.75" thickBot="1" x14ac:dyDescent="0.3">
      <c r="A391">
        <v>1</v>
      </c>
      <c r="B391">
        <v>18</v>
      </c>
      <c r="C391"/>
      <c r="D391"/>
      <c r="E391" t="s">
        <v>2379</v>
      </c>
      <c r="F391" t="s">
        <v>399</v>
      </c>
      <c r="G391" t="s">
        <v>400</v>
      </c>
      <c r="H391" t="s">
        <v>1052</v>
      </c>
      <c r="I391" t="s">
        <v>401</v>
      </c>
      <c r="J391" s="30" t="s">
        <v>18</v>
      </c>
      <c r="K391" s="30" t="s">
        <v>27</v>
      </c>
      <c r="L391" s="30"/>
      <c r="M391" s="30" t="s">
        <v>781</v>
      </c>
      <c r="N391" s="30" t="s">
        <v>2284</v>
      </c>
      <c r="O391" s="31">
        <f t="shared" si="16"/>
        <v>28</v>
      </c>
      <c r="P391" s="137" t="s">
        <v>1950</v>
      </c>
      <c r="Q391" s="31">
        <f t="shared" si="17"/>
        <v>0</v>
      </c>
      <c r="R391" s="32">
        <f t="shared" si="18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4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8" ht="15.75" thickBot="1" x14ac:dyDescent="0.3">
      <c r="A392"/>
      <c r="B392"/>
      <c r="C392"/>
      <c r="D392"/>
      <c r="E392" t="s">
        <v>2379</v>
      </c>
      <c r="F392" t="s">
        <v>399</v>
      </c>
      <c r="G392" t="s">
        <v>402</v>
      </c>
      <c r="H392" t="s">
        <v>1052</v>
      </c>
      <c r="I392" t="s">
        <v>401</v>
      </c>
      <c r="J392" s="30" t="s">
        <v>72</v>
      </c>
      <c r="K392" s="30" t="s">
        <v>27</v>
      </c>
      <c r="L392" s="30"/>
      <c r="M392" s="30" t="s">
        <v>782</v>
      </c>
      <c r="N392" s="30" t="s">
        <v>2284</v>
      </c>
      <c r="O392" s="31">
        <f t="shared" si="16"/>
        <v>28</v>
      </c>
      <c r="P392" s="137" t="s">
        <v>1951</v>
      </c>
      <c r="Q392" s="31">
        <f t="shared" si="17"/>
        <v>0</v>
      </c>
      <c r="R392" s="32">
        <f t="shared" si="18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4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8" ht="15.75" thickBot="1" x14ac:dyDescent="0.3">
      <c r="A393"/>
      <c r="B393"/>
      <c r="C393"/>
      <c r="D393"/>
      <c r="E393" t="s">
        <v>2379</v>
      </c>
      <c r="F393" t="s">
        <v>399</v>
      </c>
      <c r="G393" t="s">
        <v>403</v>
      </c>
      <c r="H393" t="s">
        <v>1052</v>
      </c>
      <c r="I393" t="s">
        <v>401</v>
      </c>
      <c r="J393" s="30" t="s">
        <v>72</v>
      </c>
      <c r="K393" s="30" t="s">
        <v>27</v>
      </c>
      <c r="L393" s="30"/>
      <c r="M393" s="30" t="s">
        <v>783</v>
      </c>
      <c r="N393" s="30" t="s">
        <v>2284</v>
      </c>
      <c r="O393" s="31">
        <f t="shared" si="16"/>
        <v>28</v>
      </c>
      <c r="P393" s="137" t="s">
        <v>1952</v>
      </c>
      <c r="Q393" s="31">
        <f t="shared" si="17"/>
        <v>0</v>
      </c>
      <c r="R393" s="32">
        <f t="shared" si="18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4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8" s="69" customFormat="1" ht="15.75" thickBot="1" x14ac:dyDescent="0.3">
      <c r="A394" s="69">
        <v>1</v>
      </c>
      <c r="B394" s="69">
        <v>18</v>
      </c>
      <c r="E394" s="69" t="s">
        <v>2379</v>
      </c>
      <c r="F394" s="69" t="s">
        <v>406</v>
      </c>
      <c r="G394" s="69" t="s">
        <v>407</v>
      </c>
      <c r="H394" s="69" t="s">
        <v>1052</v>
      </c>
      <c r="I394" s="69" t="s">
        <v>408</v>
      </c>
      <c r="J394" s="138" t="s">
        <v>72</v>
      </c>
      <c r="K394" s="138" t="s">
        <v>27</v>
      </c>
      <c r="L394" s="138"/>
      <c r="M394" s="138" t="s">
        <v>784</v>
      </c>
      <c r="N394" s="138" t="s">
        <v>2284</v>
      </c>
      <c r="O394" s="141">
        <f t="shared" ref="O394:O475" si="19">COUNTIF(S394:AT394,"")</f>
        <v>27</v>
      </c>
      <c r="P394" s="142" t="s">
        <v>1953</v>
      </c>
      <c r="Q394" s="141">
        <f t="shared" ref="Q394:Q475" si="20">COUNTIF(S394:AT394,"APAGADO")</f>
        <v>1</v>
      </c>
      <c r="R394" s="143">
        <f t="shared" ref="R394:R475" si="21">(O394)/(Q394+O394)</f>
        <v>0.9642857142857143</v>
      </c>
      <c r="S394" s="144"/>
      <c r="T394" s="144"/>
      <c r="U394" s="144"/>
      <c r="V394" s="70" t="s">
        <v>2240</v>
      </c>
      <c r="W394" s="144"/>
      <c r="X394" s="144"/>
      <c r="Y394" s="144"/>
      <c r="Z394" s="144"/>
      <c r="AA394" s="144"/>
      <c r="AB394" s="144"/>
      <c r="AC394" s="144"/>
      <c r="AD394" s="144"/>
      <c r="AE394" s="70"/>
      <c r="AF394" s="70"/>
      <c r="AG394" s="144"/>
      <c r="AH394" s="70"/>
      <c r="AI394" s="70"/>
      <c r="AJ394" s="144"/>
      <c r="AK394" s="144"/>
      <c r="AL394" s="70"/>
      <c r="AM394" s="70"/>
      <c r="AN394" s="70"/>
      <c r="AO394" s="70"/>
      <c r="AP394" s="70"/>
      <c r="AQ394" s="144"/>
      <c r="AR394" s="144"/>
      <c r="AS394" s="70"/>
      <c r="AT394" s="70"/>
      <c r="AU394" s="70"/>
      <c r="AV394" s="70"/>
    </row>
    <row r="395" spans="1:48" s="69" customFormat="1" ht="15.75" thickBot="1" x14ac:dyDescent="0.3">
      <c r="A395" s="69">
        <v>1</v>
      </c>
      <c r="B395" s="69">
        <v>18</v>
      </c>
      <c r="E395" s="69" t="s">
        <v>2379</v>
      </c>
      <c r="F395" s="69" t="s">
        <v>406</v>
      </c>
      <c r="G395" s="69" t="s">
        <v>409</v>
      </c>
      <c r="H395" s="69" t="s">
        <v>1052</v>
      </c>
      <c r="I395" s="69" t="s">
        <v>408</v>
      </c>
      <c r="J395" s="138" t="s">
        <v>72</v>
      </c>
      <c r="K395" s="138" t="s">
        <v>27</v>
      </c>
      <c r="L395" s="138"/>
      <c r="M395" s="138" t="s">
        <v>785</v>
      </c>
      <c r="N395" s="138" t="s">
        <v>2284</v>
      </c>
      <c r="O395" s="141">
        <f t="shared" si="19"/>
        <v>27</v>
      </c>
      <c r="P395" s="142" t="s">
        <v>1954</v>
      </c>
      <c r="Q395" s="141">
        <f t="shared" si="20"/>
        <v>1</v>
      </c>
      <c r="R395" s="143">
        <f t="shared" si="21"/>
        <v>0.9642857142857143</v>
      </c>
      <c r="S395" s="144"/>
      <c r="T395" s="144"/>
      <c r="U395" s="144"/>
      <c r="V395" s="70" t="s">
        <v>2240</v>
      </c>
      <c r="W395" s="144"/>
      <c r="X395" s="144"/>
      <c r="Y395" s="144"/>
      <c r="Z395" s="144"/>
      <c r="AA395" s="144"/>
      <c r="AB395" s="144"/>
      <c r="AC395" s="144"/>
      <c r="AD395" s="144"/>
      <c r="AE395" s="70"/>
      <c r="AF395" s="70"/>
      <c r="AG395" s="144"/>
      <c r="AH395" s="70"/>
      <c r="AI395" s="70"/>
      <c r="AJ395" s="144"/>
      <c r="AK395" s="144"/>
      <c r="AL395" s="70"/>
      <c r="AM395" s="70"/>
      <c r="AN395" s="70"/>
      <c r="AO395" s="70"/>
      <c r="AP395" s="70"/>
      <c r="AQ395" s="144"/>
      <c r="AR395" s="144"/>
      <c r="AS395" s="70"/>
      <c r="AT395" s="70"/>
      <c r="AU395" s="70"/>
      <c r="AV395" s="70"/>
    </row>
    <row r="396" spans="1:48" ht="15.75" thickBot="1" x14ac:dyDescent="0.3">
      <c r="A396"/>
      <c r="B396"/>
      <c r="C396"/>
      <c r="D396"/>
      <c r="E396" t="s">
        <v>2379</v>
      </c>
      <c r="F396" t="s">
        <v>399</v>
      </c>
      <c r="G396" t="s">
        <v>410</v>
      </c>
      <c r="H396" t="s">
        <v>1052</v>
      </c>
      <c r="I396" t="s">
        <v>411</v>
      </c>
      <c r="J396" s="30" t="s">
        <v>72</v>
      </c>
      <c r="K396" s="30" t="s">
        <v>27</v>
      </c>
      <c r="L396" s="30"/>
      <c r="M396" s="30" t="s">
        <v>786</v>
      </c>
      <c r="N396" s="30" t="s">
        <v>2284</v>
      </c>
      <c r="O396" s="31">
        <f t="shared" si="19"/>
        <v>28</v>
      </c>
      <c r="P396" s="137" t="s">
        <v>1955</v>
      </c>
      <c r="Q396" s="31">
        <f t="shared" si="20"/>
        <v>0</v>
      </c>
      <c r="R396" s="32">
        <f t="shared" si="21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4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130"/>
    </row>
    <row r="397" spans="1:48" ht="15.75" thickBot="1" x14ac:dyDescent="0.3">
      <c r="A397"/>
      <c r="B397"/>
      <c r="C397"/>
      <c r="D397"/>
      <c r="E397" t="s">
        <v>2379</v>
      </c>
      <c r="F397" t="s">
        <v>399</v>
      </c>
      <c r="G397" t="s">
        <v>412</v>
      </c>
      <c r="H397" t="s">
        <v>1052</v>
      </c>
      <c r="I397" t="s">
        <v>411</v>
      </c>
      <c r="J397" s="30" t="s">
        <v>72</v>
      </c>
      <c r="K397" s="30" t="s">
        <v>27</v>
      </c>
      <c r="L397" s="30"/>
      <c r="M397" s="30" t="s">
        <v>787</v>
      </c>
      <c r="N397" s="30" t="s">
        <v>2284</v>
      </c>
      <c r="O397" s="31">
        <f t="shared" si="19"/>
        <v>28</v>
      </c>
      <c r="P397" s="137" t="s">
        <v>1956</v>
      </c>
      <c r="Q397" s="31">
        <f t="shared" si="20"/>
        <v>0</v>
      </c>
      <c r="R397" s="32">
        <f t="shared" si="21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4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</row>
    <row r="398" spans="1:48" ht="15.75" thickBot="1" x14ac:dyDescent="0.3">
      <c r="A398"/>
      <c r="B398"/>
      <c r="C398"/>
      <c r="D398"/>
      <c r="E398" t="s">
        <v>2379</v>
      </c>
      <c r="F398" t="s">
        <v>399</v>
      </c>
      <c r="G398" t="s">
        <v>413</v>
      </c>
      <c r="H398" t="s">
        <v>1052</v>
      </c>
      <c r="I398" t="s">
        <v>414</v>
      </c>
      <c r="J398" s="30" t="s">
        <v>72</v>
      </c>
      <c r="K398" s="30" t="s">
        <v>27</v>
      </c>
      <c r="L398" s="30"/>
      <c r="M398" s="30" t="s">
        <v>788</v>
      </c>
      <c r="N398" s="30" t="s">
        <v>2284</v>
      </c>
      <c r="O398" s="31">
        <f t="shared" si="19"/>
        <v>28</v>
      </c>
      <c r="P398" s="137" t="s">
        <v>1957</v>
      </c>
      <c r="Q398" s="31">
        <f t="shared" si="20"/>
        <v>0</v>
      </c>
      <c r="R398" s="32">
        <f t="shared" si="21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4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</row>
    <row r="399" spans="1:48" ht="15.75" thickBot="1" x14ac:dyDescent="0.3">
      <c r="A399"/>
      <c r="B399"/>
      <c r="C399"/>
      <c r="D399"/>
      <c r="E399" t="s">
        <v>2379</v>
      </c>
      <c r="F399" t="s">
        <v>399</v>
      </c>
      <c r="G399" t="s">
        <v>415</v>
      </c>
      <c r="H399" t="s">
        <v>1052</v>
      </c>
      <c r="I399" t="s">
        <v>414</v>
      </c>
      <c r="J399" s="30" t="s">
        <v>72</v>
      </c>
      <c r="K399" s="30" t="s">
        <v>27</v>
      </c>
      <c r="L399" s="30"/>
      <c r="M399" s="30" t="s">
        <v>789</v>
      </c>
      <c r="N399" s="30" t="s">
        <v>2284</v>
      </c>
      <c r="O399" s="31">
        <f t="shared" si="19"/>
        <v>28</v>
      </c>
      <c r="P399" s="137" t="s">
        <v>1958</v>
      </c>
      <c r="Q399" s="31">
        <f t="shared" si="20"/>
        <v>0</v>
      </c>
      <c r="R399" s="32">
        <f t="shared" si="21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4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</row>
    <row r="400" spans="1:48" s="69" customFormat="1" ht="15.75" thickBot="1" x14ac:dyDescent="0.3">
      <c r="A400" s="69">
        <v>1</v>
      </c>
      <c r="B400" s="69">
        <v>18</v>
      </c>
      <c r="E400" s="69" t="s">
        <v>2379</v>
      </c>
      <c r="F400" s="69" t="s">
        <v>406</v>
      </c>
      <c r="G400" s="69" t="s">
        <v>893</v>
      </c>
      <c r="H400" s="69" t="s">
        <v>1052</v>
      </c>
      <c r="I400" s="69" t="s">
        <v>894</v>
      </c>
      <c r="J400" s="138" t="s">
        <v>18</v>
      </c>
      <c r="K400" s="138" t="s">
        <v>27</v>
      </c>
      <c r="L400" s="138"/>
      <c r="M400" s="138" t="s">
        <v>901</v>
      </c>
      <c r="N400" s="138" t="s">
        <v>2284</v>
      </c>
      <c r="O400" s="141">
        <f t="shared" si="19"/>
        <v>27</v>
      </c>
      <c r="P400" s="142" t="s">
        <v>1959</v>
      </c>
      <c r="Q400" s="141">
        <f t="shared" si="20"/>
        <v>1</v>
      </c>
      <c r="R400" s="143">
        <f t="shared" si="21"/>
        <v>0.9642857142857143</v>
      </c>
      <c r="S400" s="144"/>
      <c r="T400" s="144"/>
      <c r="U400" s="144"/>
      <c r="V400" s="70" t="s">
        <v>2240</v>
      </c>
      <c r="W400" s="144"/>
      <c r="X400" s="144"/>
      <c r="Y400" s="144"/>
      <c r="Z400" s="144"/>
      <c r="AA400" s="144"/>
      <c r="AB400" s="144"/>
      <c r="AC400" s="144"/>
      <c r="AD400" s="144"/>
      <c r="AE400" s="70"/>
      <c r="AF400" s="70"/>
      <c r="AG400" s="144"/>
      <c r="AH400" s="70"/>
      <c r="AI400" s="70"/>
      <c r="AJ400" s="144"/>
      <c r="AK400" s="144"/>
      <c r="AL400" s="70"/>
      <c r="AM400" s="70"/>
      <c r="AN400" s="70"/>
      <c r="AO400" s="70"/>
      <c r="AP400" s="70"/>
      <c r="AQ400" s="144"/>
      <c r="AR400" s="144"/>
      <c r="AS400" s="70"/>
      <c r="AT400" s="70"/>
      <c r="AU400" s="70"/>
      <c r="AV400" s="70"/>
    </row>
    <row r="401" spans="1:48" s="69" customFormat="1" ht="15.75" thickBot="1" x14ac:dyDescent="0.3">
      <c r="A401" s="69">
        <v>1</v>
      </c>
      <c r="B401" s="69">
        <v>18</v>
      </c>
      <c r="E401" s="69" t="s">
        <v>2379</v>
      </c>
      <c r="F401" s="69" t="s">
        <v>399</v>
      </c>
      <c r="G401" s="69" t="s">
        <v>895</v>
      </c>
      <c r="H401" s="69" t="s">
        <v>1052</v>
      </c>
      <c r="I401" s="69" t="s">
        <v>896</v>
      </c>
      <c r="J401" s="138" t="s">
        <v>18</v>
      </c>
      <c r="K401" s="138" t="s">
        <v>27</v>
      </c>
      <c r="L401" s="138"/>
      <c r="M401" s="138" t="s">
        <v>902</v>
      </c>
      <c r="N401" s="138" t="s">
        <v>2284</v>
      </c>
      <c r="O401" s="141">
        <f t="shared" si="19"/>
        <v>27</v>
      </c>
      <c r="P401" s="142" t="s">
        <v>1960</v>
      </c>
      <c r="Q401" s="141">
        <f t="shared" si="20"/>
        <v>1</v>
      </c>
      <c r="R401" s="143">
        <f t="shared" si="21"/>
        <v>0.9642857142857143</v>
      </c>
      <c r="S401" s="144"/>
      <c r="T401" s="144"/>
      <c r="U401" s="144"/>
      <c r="V401" s="70" t="s">
        <v>2240</v>
      </c>
      <c r="W401" s="144"/>
      <c r="X401" s="144"/>
      <c r="Y401" s="144"/>
      <c r="Z401" s="144"/>
      <c r="AA401" s="144"/>
      <c r="AB401" s="144"/>
      <c r="AC401" s="144"/>
      <c r="AD401" s="144"/>
      <c r="AE401" s="70"/>
      <c r="AF401" s="70"/>
      <c r="AG401" s="144"/>
      <c r="AH401" s="70"/>
      <c r="AI401" s="70"/>
      <c r="AJ401" s="144"/>
      <c r="AK401" s="144"/>
      <c r="AL401" s="70"/>
      <c r="AM401" s="70"/>
      <c r="AN401" s="70"/>
      <c r="AO401" s="70"/>
      <c r="AP401" s="70"/>
      <c r="AQ401" s="144"/>
      <c r="AR401" s="144"/>
      <c r="AS401" s="70"/>
      <c r="AT401" s="70"/>
      <c r="AU401" s="70"/>
      <c r="AV401" s="70"/>
    </row>
    <row r="402" spans="1:48" ht="15.75" thickBot="1" x14ac:dyDescent="0.3">
      <c r="A402"/>
      <c r="B402"/>
      <c r="C402"/>
      <c r="D402"/>
      <c r="E402"/>
      <c r="F402" t="s">
        <v>399</v>
      </c>
      <c r="G402" t="s">
        <v>1002</v>
      </c>
      <c r="H402" t="s">
        <v>1052</v>
      </c>
      <c r="I402" t="s">
        <v>1003</v>
      </c>
      <c r="J402" s="30" t="s">
        <v>18</v>
      </c>
      <c r="K402" s="30" t="s">
        <v>1291</v>
      </c>
      <c r="L402" s="30"/>
      <c r="M402" s="30" t="s">
        <v>1209</v>
      </c>
      <c r="N402" s="30" t="s">
        <v>2284</v>
      </c>
      <c r="O402" s="31">
        <f t="shared" si="19"/>
        <v>27</v>
      </c>
      <c r="P402" s="137" t="s">
        <v>1961</v>
      </c>
      <c r="Q402" s="31">
        <f t="shared" si="20"/>
        <v>1</v>
      </c>
      <c r="R402" s="32">
        <f t="shared" si="21"/>
        <v>0.9642857142857143</v>
      </c>
      <c r="S402" s="70"/>
      <c r="T402" s="70"/>
      <c r="U402" s="70"/>
      <c r="V402" s="70" t="s">
        <v>2240</v>
      </c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144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</row>
    <row r="403" spans="1:48" s="73" customFormat="1" ht="15.75" thickBot="1" x14ac:dyDescent="0.3">
      <c r="A403"/>
      <c r="B403"/>
      <c r="C403"/>
      <c r="D403"/>
      <c r="E403"/>
      <c r="F403" s="73" t="s">
        <v>399</v>
      </c>
      <c r="G403" s="73" t="s">
        <v>1422</v>
      </c>
      <c r="H403" s="73" t="s">
        <v>1052</v>
      </c>
      <c r="I403" s="73" t="s">
        <v>1425</v>
      </c>
      <c r="J403" s="30" t="s">
        <v>18</v>
      </c>
      <c r="K403" s="85" t="s">
        <v>1291</v>
      </c>
      <c r="L403" s="30"/>
      <c r="M403" s="85" t="s">
        <v>2305</v>
      </c>
      <c r="N403" s="85"/>
      <c r="O403" s="132">
        <f t="shared" si="19"/>
        <v>28</v>
      </c>
      <c r="P403" s="137" t="s">
        <v>1962</v>
      </c>
      <c r="Q403" s="132">
        <f t="shared" si="20"/>
        <v>0</v>
      </c>
      <c r="R403" s="133">
        <f t="shared" si="21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</row>
    <row r="404" spans="1:48" ht="15.75" thickBot="1" x14ac:dyDescent="0.3">
      <c r="A404"/>
      <c r="B404"/>
      <c r="C404"/>
      <c r="D404"/>
      <c r="E404"/>
      <c r="F404" t="s">
        <v>399</v>
      </c>
      <c r="G404" t="s">
        <v>1423</v>
      </c>
      <c r="H404" t="s">
        <v>1052</v>
      </c>
      <c r="I404" t="s">
        <v>1425</v>
      </c>
      <c r="J404" s="30" t="s">
        <v>72</v>
      </c>
      <c r="K404" s="30" t="s">
        <v>1291</v>
      </c>
      <c r="L404" s="30"/>
      <c r="M404" s="85" t="s">
        <v>1486</v>
      </c>
      <c r="N404" s="85"/>
      <c r="O404" s="31">
        <f t="shared" si="19"/>
        <v>28</v>
      </c>
      <c r="P404" s="137" t="s">
        <v>1963</v>
      </c>
      <c r="Q404" s="31">
        <f t="shared" si="20"/>
        <v>0</v>
      </c>
      <c r="R404" s="32">
        <f t="shared" si="21"/>
        <v>1</v>
      </c>
      <c r="S404" s="70"/>
      <c r="T404" s="70"/>
      <c r="U404" s="70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</row>
    <row r="405" spans="1:48" ht="15.75" thickBot="1" x14ac:dyDescent="0.3">
      <c r="A405"/>
      <c r="B405"/>
      <c r="C405"/>
      <c r="D405"/>
      <c r="E405"/>
      <c r="F405" t="s">
        <v>399</v>
      </c>
      <c r="G405" t="s">
        <v>1424</v>
      </c>
      <c r="H405" t="s">
        <v>1052</v>
      </c>
      <c r="I405" t="s">
        <v>1425</v>
      </c>
      <c r="J405" s="30" t="s">
        <v>72</v>
      </c>
      <c r="K405" s="30" t="s">
        <v>1291</v>
      </c>
      <c r="L405" s="30"/>
      <c r="M405" s="85" t="s">
        <v>1484</v>
      </c>
      <c r="N405" s="85"/>
      <c r="O405" s="31">
        <f t="shared" si="19"/>
        <v>28</v>
      </c>
      <c r="P405" s="137" t="s">
        <v>1964</v>
      </c>
      <c r="Q405" s="31">
        <f t="shared" si="20"/>
        <v>0</v>
      </c>
      <c r="R405" s="32">
        <f t="shared" si="21"/>
        <v>1</v>
      </c>
      <c r="S405" s="70"/>
      <c r="T405" s="70"/>
      <c r="U405" s="70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</row>
    <row r="406" spans="1:48" ht="15.75" thickBot="1" x14ac:dyDescent="0.3">
      <c r="A406"/>
      <c r="B406"/>
      <c r="C406"/>
      <c r="D406"/>
      <c r="E406"/>
      <c r="F406" t="s">
        <v>399</v>
      </c>
      <c r="G406" t="s">
        <v>1612</v>
      </c>
      <c r="H406" t="s">
        <v>1052</v>
      </c>
      <c r="I406" t="s">
        <v>2274</v>
      </c>
      <c r="J406" s="30" t="s">
        <v>18</v>
      </c>
      <c r="K406" s="30" t="s">
        <v>27</v>
      </c>
      <c r="L406" s="30"/>
      <c r="M406" s="85" t="s">
        <v>1613</v>
      </c>
      <c r="N406" s="85"/>
      <c r="O406" s="31">
        <f t="shared" si="19"/>
        <v>28</v>
      </c>
      <c r="P406" s="137"/>
      <c r="Q406" s="31">
        <f t="shared" si="20"/>
        <v>0</v>
      </c>
      <c r="R406" s="32">
        <f t="shared" si="21"/>
        <v>1</v>
      </c>
      <c r="S406" s="70"/>
      <c r="T406" s="70"/>
      <c r="U406" s="70"/>
      <c r="V406" s="84"/>
      <c r="W406" s="84"/>
      <c r="X406" s="70"/>
      <c r="Y406" s="70"/>
      <c r="Z406" s="70"/>
      <c r="AA406" s="84"/>
      <c r="AB406" s="84"/>
      <c r="AC406" s="84"/>
      <c r="AD406" s="70"/>
      <c r="AE406" s="70"/>
      <c r="AF406" s="70"/>
      <c r="AG406" s="144"/>
      <c r="AH406" s="70"/>
      <c r="AI406" s="70"/>
      <c r="AJ406" s="84"/>
      <c r="AK406" s="84"/>
      <c r="AL406" s="70"/>
      <c r="AM406" s="70"/>
      <c r="AN406" s="70"/>
      <c r="AO406" s="70"/>
      <c r="AP406" s="70"/>
      <c r="AQ406" s="84"/>
      <c r="AR406" s="84"/>
      <c r="AS406" s="84"/>
      <c r="AT406" s="84"/>
      <c r="AU406" s="84"/>
      <c r="AV406" s="130"/>
    </row>
    <row r="407" spans="1:48" ht="15.75" thickBot="1" x14ac:dyDescent="0.3">
      <c r="A407"/>
      <c r="B407"/>
      <c r="C407"/>
      <c r="D407"/>
      <c r="E407"/>
      <c r="F407" t="s">
        <v>399</v>
      </c>
      <c r="G407" t="s">
        <v>2234</v>
      </c>
      <c r="H407" t="s">
        <v>1052</v>
      </c>
      <c r="I407" t="s">
        <v>2235</v>
      </c>
      <c r="J407" s="30" t="s">
        <v>18</v>
      </c>
      <c r="K407" s="85" t="s">
        <v>1291</v>
      </c>
      <c r="L407" s="30"/>
      <c r="M407" s="85" t="s">
        <v>2306</v>
      </c>
      <c r="N407" s="85"/>
      <c r="O407" s="31">
        <f t="shared" si="19"/>
        <v>28</v>
      </c>
      <c r="P407" s="137"/>
      <c r="Q407" s="31">
        <f t="shared" si="20"/>
        <v>0</v>
      </c>
      <c r="R407" s="32">
        <f t="shared" si="21"/>
        <v>1</v>
      </c>
      <c r="S407" s="70"/>
      <c r="T407" s="70"/>
      <c r="U407" s="70"/>
      <c r="V407" s="84"/>
      <c r="W407" s="84"/>
      <c r="X407" s="70"/>
      <c r="Y407" s="70"/>
      <c r="Z407" s="70"/>
      <c r="AA407" s="84"/>
      <c r="AB407" s="84"/>
      <c r="AC407" s="84"/>
      <c r="AD407" s="84"/>
      <c r="AE407" s="70"/>
      <c r="AF407" s="70"/>
      <c r="AG407" s="144"/>
      <c r="AH407" s="70"/>
      <c r="AI407" s="70"/>
      <c r="AJ407" s="84"/>
      <c r="AK407" s="84"/>
      <c r="AL407" s="70"/>
      <c r="AM407" s="70"/>
      <c r="AN407" s="70"/>
      <c r="AO407" s="70"/>
      <c r="AP407" s="70"/>
      <c r="AQ407" s="84"/>
      <c r="AR407" s="84"/>
      <c r="AS407" s="70"/>
      <c r="AT407" s="84"/>
      <c r="AU407" s="84"/>
      <c r="AV407" s="70"/>
    </row>
    <row r="408" spans="1:48" s="69" customFormat="1" ht="15.75" thickBot="1" x14ac:dyDescent="0.3">
      <c r="F408" s="69" t="s">
        <v>193</v>
      </c>
      <c r="G408" s="69" t="s">
        <v>416</v>
      </c>
      <c r="H408" s="69" t="s">
        <v>1053</v>
      </c>
      <c r="I408" s="69" t="s">
        <v>417</v>
      </c>
      <c r="J408" s="138" t="s">
        <v>14</v>
      </c>
      <c r="K408" s="138" t="s">
        <v>19</v>
      </c>
      <c r="L408" s="138"/>
      <c r="M408" s="138" t="s">
        <v>791</v>
      </c>
      <c r="N408" s="138"/>
      <c r="O408" s="141">
        <f t="shared" si="19"/>
        <v>27</v>
      </c>
      <c r="P408" s="142"/>
      <c r="Q408" s="141">
        <f t="shared" si="20"/>
        <v>1</v>
      </c>
      <c r="R408" s="143">
        <f t="shared" si="21"/>
        <v>0.9642857142857143</v>
      </c>
      <c r="S408" s="144"/>
      <c r="T408" s="144"/>
      <c r="U408" s="144"/>
      <c r="V408" s="70" t="s">
        <v>2240</v>
      </c>
      <c r="W408" s="144"/>
      <c r="X408" s="144"/>
      <c r="Y408" s="144"/>
      <c r="Z408" s="144"/>
      <c r="AA408" s="144"/>
      <c r="AB408" s="144"/>
      <c r="AC408" s="144"/>
      <c r="AD408" s="144"/>
      <c r="AE408" s="70"/>
      <c r="AF408" s="70"/>
      <c r="AG408" s="144"/>
      <c r="AH408" s="70"/>
      <c r="AI408" s="70"/>
      <c r="AJ408" s="144"/>
      <c r="AK408" s="144"/>
      <c r="AL408" s="70"/>
      <c r="AM408" s="70"/>
      <c r="AN408" s="70"/>
      <c r="AO408" s="70"/>
      <c r="AP408" s="70"/>
      <c r="AQ408" s="144"/>
      <c r="AR408" s="144"/>
      <c r="AS408" s="70"/>
      <c r="AT408" s="70"/>
      <c r="AU408" s="70"/>
      <c r="AV408" s="70"/>
    </row>
    <row r="409" spans="1:48" s="73" customFormat="1" ht="15.75" thickBot="1" x14ac:dyDescent="0.3">
      <c r="A409"/>
      <c r="B409"/>
      <c r="C409"/>
      <c r="D409"/>
      <c r="E409"/>
      <c r="F409" s="73" t="s">
        <v>193</v>
      </c>
      <c r="G409" s="73" t="s">
        <v>418</v>
      </c>
      <c r="H409" s="73" t="s">
        <v>1053</v>
      </c>
      <c r="I409" s="73" t="s">
        <v>419</v>
      </c>
      <c r="J409" s="85" t="s">
        <v>14</v>
      </c>
      <c r="K409" s="85" t="s">
        <v>1291</v>
      </c>
      <c r="L409" s="85"/>
      <c r="M409" s="85" t="s">
        <v>1419</v>
      </c>
      <c r="N409" s="85"/>
      <c r="O409" s="132">
        <f t="shared" si="19"/>
        <v>28</v>
      </c>
      <c r="P409" s="137" t="s">
        <v>1965</v>
      </c>
      <c r="Q409" s="132">
        <f t="shared" si="20"/>
        <v>0</v>
      </c>
      <c r="R409" s="133">
        <f t="shared" si="21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8" ht="15.75" thickBot="1" x14ac:dyDescent="0.3">
      <c r="A410"/>
      <c r="B410"/>
      <c r="C410"/>
      <c r="D410"/>
      <c r="E410"/>
      <c r="F410" t="s">
        <v>193</v>
      </c>
      <c r="G410" t="s">
        <v>1004</v>
      </c>
      <c r="H410" t="s">
        <v>1053</v>
      </c>
      <c r="I410" t="s">
        <v>1005</v>
      </c>
      <c r="J410" s="30" t="s">
        <v>72</v>
      </c>
      <c r="K410" s="30" t="s">
        <v>19</v>
      </c>
      <c r="L410" s="30"/>
      <c r="M410" s="30" t="s">
        <v>1271</v>
      </c>
      <c r="N410" s="30"/>
      <c r="O410" s="31">
        <f t="shared" si="19"/>
        <v>28</v>
      </c>
      <c r="P410" s="137"/>
      <c r="Q410" s="31">
        <f t="shared" si="20"/>
        <v>0</v>
      </c>
      <c r="R410" s="32">
        <f t="shared" si="21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8" ht="15.75" thickBot="1" x14ac:dyDescent="0.3">
      <c r="A411"/>
      <c r="B411"/>
      <c r="C411"/>
      <c r="D411"/>
      <c r="E411"/>
      <c r="F411" t="s">
        <v>193</v>
      </c>
      <c r="G411" t="s">
        <v>1006</v>
      </c>
      <c r="H411" t="s">
        <v>1053</v>
      </c>
      <c r="I411" t="s">
        <v>1005</v>
      </c>
      <c r="J411" s="30" t="s">
        <v>72</v>
      </c>
      <c r="K411" s="30" t="s">
        <v>19</v>
      </c>
      <c r="L411" s="30"/>
      <c r="M411" s="30" t="s">
        <v>1387</v>
      </c>
      <c r="N411" s="30"/>
      <c r="O411" s="31">
        <f t="shared" si="19"/>
        <v>28</v>
      </c>
      <c r="P411" s="137"/>
      <c r="Q411" s="31">
        <f t="shared" si="20"/>
        <v>0</v>
      </c>
      <c r="R411" s="32">
        <f t="shared" si="21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8" s="73" customFormat="1" ht="15.75" thickBot="1" x14ac:dyDescent="0.3">
      <c r="A412"/>
      <c r="B412"/>
      <c r="C412"/>
      <c r="D412"/>
      <c r="E412"/>
      <c r="F412" s="73" t="s">
        <v>193</v>
      </c>
      <c r="G412" s="73" t="s">
        <v>420</v>
      </c>
      <c r="H412" s="73" t="s">
        <v>1053</v>
      </c>
      <c r="I412" s="73" t="s">
        <v>421</v>
      </c>
      <c r="J412" s="85" t="s">
        <v>18</v>
      </c>
      <c r="K412" s="30" t="s">
        <v>1046</v>
      </c>
      <c r="L412" s="85"/>
      <c r="M412" s="85" t="s">
        <v>1420</v>
      </c>
      <c r="N412" s="85"/>
      <c r="O412" s="86">
        <f t="shared" si="19"/>
        <v>28</v>
      </c>
      <c r="P412" s="137" t="s">
        <v>1966</v>
      </c>
      <c r="Q412" s="86">
        <f t="shared" si="20"/>
        <v>0</v>
      </c>
      <c r="R412" s="87">
        <f t="shared" si="21"/>
        <v>1</v>
      </c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</row>
    <row r="413" spans="1:48" ht="15.75" thickBot="1" x14ac:dyDescent="0.3">
      <c r="A413"/>
      <c r="B413"/>
      <c r="C413"/>
      <c r="D413"/>
      <c r="E413"/>
      <c r="F413" t="s">
        <v>193</v>
      </c>
      <c r="G413" t="s">
        <v>422</v>
      </c>
      <c r="H413" t="s">
        <v>1053</v>
      </c>
      <c r="I413" t="s">
        <v>423</v>
      </c>
      <c r="J413" s="30" t="s">
        <v>18</v>
      </c>
      <c r="K413" s="30" t="s">
        <v>19</v>
      </c>
      <c r="L413" s="30"/>
      <c r="M413" s="30" t="s">
        <v>790</v>
      </c>
      <c r="N413" s="30"/>
      <c r="O413" s="31">
        <f t="shared" si="19"/>
        <v>28</v>
      </c>
      <c r="P413" s="137"/>
      <c r="Q413" s="31">
        <f t="shared" si="20"/>
        <v>0</v>
      </c>
      <c r="R413" s="32">
        <f t="shared" si="21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8" ht="15.75" thickBot="1" x14ac:dyDescent="0.3">
      <c r="A414"/>
      <c r="B414"/>
      <c r="C414"/>
      <c r="D414"/>
      <c r="E414"/>
      <c r="F414" t="s">
        <v>193</v>
      </c>
      <c r="G414" t="s">
        <v>424</v>
      </c>
      <c r="H414" t="s">
        <v>1053</v>
      </c>
      <c r="I414" t="s">
        <v>425</v>
      </c>
      <c r="J414" s="30" t="s">
        <v>72</v>
      </c>
      <c r="K414" s="30" t="s">
        <v>27</v>
      </c>
      <c r="L414" s="30"/>
      <c r="M414" s="30" t="s">
        <v>793</v>
      </c>
      <c r="N414" s="30"/>
      <c r="O414" s="31">
        <f t="shared" si="19"/>
        <v>27</v>
      </c>
      <c r="P414" s="137" t="s">
        <v>1967</v>
      </c>
      <c r="Q414" s="31">
        <f t="shared" si="20"/>
        <v>1</v>
      </c>
      <c r="R414" s="32">
        <f t="shared" si="21"/>
        <v>0.9642857142857143</v>
      </c>
      <c r="S414" s="70"/>
      <c r="T414" s="70"/>
      <c r="U414" s="70"/>
      <c r="V414" s="70" t="s">
        <v>2240</v>
      </c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144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8" ht="15.75" thickBot="1" x14ac:dyDescent="0.3">
      <c r="A415"/>
      <c r="B415"/>
      <c r="C415"/>
      <c r="D415"/>
      <c r="E415"/>
      <c r="F415" t="s">
        <v>193</v>
      </c>
      <c r="G415" t="s">
        <v>426</v>
      </c>
      <c r="H415" t="s">
        <v>1053</v>
      </c>
      <c r="I415" t="s">
        <v>425</v>
      </c>
      <c r="J415" s="30" t="s">
        <v>72</v>
      </c>
      <c r="K415" s="30" t="s">
        <v>27</v>
      </c>
      <c r="L415" s="30"/>
      <c r="M415" s="30" t="s">
        <v>794</v>
      </c>
      <c r="N415" s="30"/>
      <c r="O415" s="31">
        <f t="shared" si="19"/>
        <v>27</v>
      </c>
      <c r="P415" s="137" t="s">
        <v>1968</v>
      </c>
      <c r="Q415" s="31">
        <f t="shared" si="20"/>
        <v>1</v>
      </c>
      <c r="R415" s="32">
        <f t="shared" si="21"/>
        <v>0.9642857142857143</v>
      </c>
      <c r="S415" s="70"/>
      <c r="T415" s="70"/>
      <c r="U415" s="70"/>
      <c r="V415" s="70" t="s">
        <v>2240</v>
      </c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144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8" s="73" customFormat="1" ht="15.75" thickBot="1" x14ac:dyDescent="0.3">
      <c r="A416"/>
      <c r="B416"/>
      <c r="C416"/>
      <c r="D416"/>
      <c r="E416"/>
      <c r="F416" s="73" t="s">
        <v>193</v>
      </c>
      <c r="G416" s="73" t="s">
        <v>427</v>
      </c>
      <c r="H416" s="73" t="s">
        <v>1053</v>
      </c>
      <c r="I416" s="73" t="s">
        <v>428</v>
      </c>
      <c r="J416" s="85" t="s">
        <v>72</v>
      </c>
      <c r="K416" s="85" t="s">
        <v>1291</v>
      </c>
      <c r="L416" s="85"/>
      <c r="M416" s="85" t="s">
        <v>795</v>
      </c>
      <c r="N416" s="85"/>
      <c r="O416" s="132">
        <f t="shared" si="19"/>
        <v>27</v>
      </c>
      <c r="P416" s="137" t="s">
        <v>1969</v>
      </c>
      <c r="Q416" s="132">
        <f t="shared" si="20"/>
        <v>1</v>
      </c>
      <c r="R416" s="133">
        <f t="shared" si="21"/>
        <v>0.9642857142857143</v>
      </c>
      <c r="S416" s="70"/>
      <c r="T416" s="70"/>
      <c r="U416" s="70"/>
      <c r="V416" s="70" t="s">
        <v>2240</v>
      </c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144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8" s="73" customFormat="1" ht="17.25" customHeight="1" thickBot="1" x14ac:dyDescent="0.3">
      <c r="A417"/>
      <c r="B417"/>
      <c r="C417"/>
      <c r="D417"/>
      <c r="E417"/>
      <c r="F417" s="73" t="s">
        <v>193</v>
      </c>
      <c r="G417" s="73" t="s">
        <v>429</v>
      </c>
      <c r="H417" s="73" t="s">
        <v>1053</v>
      </c>
      <c r="I417" s="73" t="s">
        <v>428</v>
      </c>
      <c r="J417" s="85" t="s">
        <v>72</v>
      </c>
      <c r="K417" s="85" t="s">
        <v>1291</v>
      </c>
      <c r="L417" s="85"/>
      <c r="M417" s="85" t="s">
        <v>796</v>
      </c>
      <c r="N417" s="85"/>
      <c r="O417" s="132">
        <f t="shared" si="19"/>
        <v>27</v>
      </c>
      <c r="P417" s="137" t="s">
        <v>1970</v>
      </c>
      <c r="Q417" s="132">
        <f t="shared" si="20"/>
        <v>1</v>
      </c>
      <c r="R417" s="133">
        <f t="shared" si="21"/>
        <v>0.9642857142857143</v>
      </c>
      <c r="S417" s="70"/>
      <c r="T417" s="70"/>
      <c r="U417" s="70"/>
      <c r="V417" s="70" t="s">
        <v>2240</v>
      </c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144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8" s="73" customFormat="1" ht="15.75" thickBot="1" x14ac:dyDescent="0.3">
      <c r="A418"/>
      <c r="B418"/>
      <c r="C418"/>
      <c r="D418"/>
      <c r="E418"/>
      <c r="F418" s="73" t="s">
        <v>193</v>
      </c>
      <c r="G418" s="73" t="s">
        <v>1528</v>
      </c>
      <c r="H418" s="73" t="s">
        <v>1053</v>
      </c>
      <c r="I418" s="73" t="s">
        <v>1529</v>
      </c>
      <c r="J418" s="85" t="s">
        <v>72</v>
      </c>
      <c r="K418" s="85" t="s">
        <v>1291</v>
      </c>
      <c r="L418" s="85"/>
      <c r="M418" s="85" t="s">
        <v>2319</v>
      </c>
      <c r="N418" s="85"/>
      <c r="O418" s="132">
        <f t="shared" si="19"/>
        <v>28</v>
      </c>
      <c r="P418" s="137" t="s">
        <v>2321</v>
      </c>
      <c r="Q418" s="132">
        <f t="shared" si="20"/>
        <v>0</v>
      </c>
      <c r="R418" s="133">
        <f t="shared" si="21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8" s="73" customFormat="1" ht="15.75" thickBot="1" x14ac:dyDescent="0.3">
      <c r="A419"/>
      <c r="B419"/>
      <c r="C419"/>
      <c r="D419"/>
      <c r="E419"/>
      <c r="F419" s="73" t="s">
        <v>193</v>
      </c>
      <c r="G419" s="73" t="s">
        <v>1530</v>
      </c>
      <c r="H419" s="73" t="s">
        <v>1053</v>
      </c>
      <c r="I419" s="73" t="s">
        <v>1529</v>
      </c>
      <c r="J419" s="85" t="s">
        <v>72</v>
      </c>
      <c r="K419" s="85" t="s">
        <v>1291</v>
      </c>
      <c r="L419" s="85"/>
      <c r="M419" s="85" t="s">
        <v>2320</v>
      </c>
      <c r="N419" s="85"/>
      <c r="O419" s="132">
        <f t="shared" si="19"/>
        <v>28</v>
      </c>
      <c r="P419" s="137" t="s">
        <v>2322</v>
      </c>
      <c r="Q419" s="132">
        <f t="shared" si="20"/>
        <v>0</v>
      </c>
      <c r="R419" s="133">
        <f t="shared" si="21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8" s="73" customFormat="1" ht="15.75" thickBot="1" x14ac:dyDescent="0.3">
      <c r="A420"/>
      <c r="B420"/>
      <c r="C420"/>
      <c r="D420"/>
      <c r="E420"/>
      <c r="F420" s="73" t="s">
        <v>193</v>
      </c>
      <c r="G420" s="73" t="s">
        <v>1608</v>
      </c>
      <c r="H420" s="73" t="s">
        <v>1053</v>
      </c>
      <c r="I420" s="73" t="s">
        <v>1609</v>
      </c>
      <c r="J420" s="85" t="s">
        <v>72</v>
      </c>
      <c r="K420" s="85" t="s">
        <v>1291</v>
      </c>
      <c r="L420" s="85"/>
      <c r="M420" s="85" t="s">
        <v>1610</v>
      </c>
      <c r="N420" s="85"/>
      <c r="O420" s="132">
        <f t="shared" si="19"/>
        <v>28</v>
      </c>
      <c r="P420" s="137" t="s">
        <v>2122</v>
      </c>
      <c r="Q420" s="132">
        <f t="shared" si="20"/>
        <v>0</v>
      </c>
      <c r="R420" s="133">
        <f t="shared" si="21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8" s="73" customFormat="1" ht="15.75" thickBot="1" x14ac:dyDescent="0.3">
      <c r="A421"/>
      <c r="B421"/>
      <c r="C421"/>
      <c r="D421"/>
      <c r="E421"/>
      <c r="F421" s="73" t="s">
        <v>193</v>
      </c>
      <c r="G421" s="73" t="s">
        <v>2119</v>
      </c>
      <c r="H421" s="73" t="s">
        <v>1053</v>
      </c>
      <c r="I421" s="73" t="s">
        <v>2120</v>
      </c>
      <c r="J421" s="90" t="s">
        <v>18</v>
      </c>
      <c r="K421" s="85" t="s">
        <v>1291</v>
      </c>
      <c r="L421" s="85"/>
      <c r="M421" s="85" t="s">
        <v>2307</v>
      </c>
      <c r="N421" s="85"/>
      <c r="O421" s="132">
        <f t="shared" si="19"/>
        <v>28</v>
      </c>
      <c r="P421" s="137" t="s">
        <v>2121</v>
      </c>
      <c r="Q421" s="132">
        <f t="shared" si="20"/>
        <v>0</v>
      </c>
      <c r="R421" s="133">
        <f t="shared" si="21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8" s="89" customFormat="1" ht="15.75" thickBot="1" x14ac:dyDescent="0.3">
      <c r="F422" s="73" t="s">
        <v>2227</v>
      </c>
      <c r="G422" s="73" t="s">
        <v>431</v>
      </c>
      <c r="H422" s="89" t="s">
        <v>1053</v>
      </c>
      <c r="I422" s="73" t="s">
        <v>432</v>
      </c>
      <c r="J422" s="90" t="s">
        <v>18</v>
      </c>
      <c r="K422" s="85" t="s">
        <v>1291</v>
      </c>
      <c r="L422" s="85"/>
      <c r="M422" s="85" t="s">
        <v>2168</v>
      </c>
      <c r="N422" s="85"/>
      <c r="O422" s="31">
        <f t="shared" si="19"/>
        <v>28</v>
      </c>
      <c r="P422" s="137" t="s">
        <v>2169</v>
      </c>
      <c r="Q422" s="31">
        <f t="shared" si="20"/>
        <v>0</v>
      </c>
      <c r="R422" s="32">
        <f t="shared" si="21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1"/>
      <c r="AL422" s="91"/>
      <c r="AM422" s="70"/>
      <c r="AN422" s="91"/>
      <c r="AO422" s="91"/>
      <c r="AP422" s="91"/>
      <c r="AQ422" s="91"/>
      <c r="AR422" s="91"/>
      <c r="AS422" s="91"/>
      <c r="AT422" s="91"/>
      <c r="AU422" s="91"/>
      <c r="AV422" s="91"/>
    </row>
    <row r="423" spans="1:48" s="73" customFormat="1" ht="15.75" thickBot="1" x14ac:dyDescent="0.3">
      <c r="A423"/>
      <c r="B423"/>
      <c r="C423"/>
      <c r="D423"/>
      <c r="E423"/>
      <c r="F423" s="73" t="s">
        <v>2227</v>
      </c>
      <c r="G423" s="73" t="s">
        <v>1342</v>
      </c>
      <c r="H423" s="73" t="s">
        <v>1053</v>
      </c>
      <c r="I423" s="73" t="s">
        <v>1343</v>
      </c>
      <c r="J423" s="90" t="s">
        <v>18</v>
      </c>
      <c r="K423" s="85" t="s">
        <v>1291</v>
      </c>
      <c r="L423" s="85"/>
      <c r="M423" s="85" t="s">
        <v>1403</v>
      </c>
      <c r="N423" s="85"/>
      <c r="O423" s="132">
        <f t="shared" si="19"/>
        <v>28</v>
      </c>
      <c r="P423" s="137" t="s">
        <v>1971</v>
      </c>
      <c r="Q423" s="132">
        <f t="shared" si="20"/>
        <v>0</v>
      </c>
      <c r="R423" s="133">
        <f t="shared" si="21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</row>
    <row r="424" spans="1:48" s="73" customFormat="1" ht="15.75" thickBot="1" x14ac:dyDescent="0.3">
      <c r="A424"/>
      <c r="B424"/>
      <c r="C424"/>
      <c r="D424"/>
      <c r="E424"/>
      <c r="F424" s="73" t="s">
        <v>2227</v>
      </c>
      <c r="G424" s="73" t="s">
        <v>1391</v>
      </c>
      <c r="H424" s="73" t="s">
        <v>1053</v>
      </c>
      <c r="I424" s="73" t="s">
        <v>1392</v>
      </c>
      <c r="J424" s="90" t="s">
        <v>18</v>
      </c>
      <c r="K424" s="85" t="s">
        <v>1291</v>
      </c>
      <c r="L424" s="85"/>
      <c r="M424" s="85" t="s">
        <v>1393</v>
      </c>
      <c r="N424" s="85"/>
      <c r="O424" s="132">
        <f t="shared" si="19"/>
        <v>28</v>
      </c>
      <c r="P424" s="137" t="s">
        <v>1972</v>
      </c>
      <c r="Q424" s="132">
        <f t="shared" si="20"/>
        <v>0</v>
      </c>
      <c r="R424" s="133">
        <f t="shared" si="21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8" s="73" customFormat="1" ht="15.75" thickBot="1" x14ac:dyDescent="0.3">
      <c r="A425"/>
      <c r="B425"/>
      <c r="C425"/>
      <c r="D425"/>
      <c r="E425"/>
      <c r="F425" s="73" t="s">
        <v>2227</v>
      </c>
      <c r="G425" s="73" t="s">
        <v>2223</v>
      </c>
      <c r="H425" s="73" t="s">
        <v>1053</v>
      </c>
      <c r="I425" s="73" t="s">
        <v>2224</v>
      </c>
      <c r="J425" s="90" t="s">
        <v>18</v>
      </c>
      <c r="K425" s="85" t="s">
        <v>1291</v>
      </c>
      <c r="L425" s="85"/>
      <c r="M425" s="85" t="s">
        <v>2225</v>
      </c>
      <c r="N425" s="85"/>
      <c r="O425" s="132">
        <f t="shared" si="19"/>
        <v>28</v>
      </c>
      <c r="P425" s="137" t="s">
        <v>2226</v>
      </c>
      <c r="Q425" s="132">
        <f t="shared" si="20"/>
        <v>0</v>
      </c>
      <c r="R425" s="133">
        <f t="shared" si="21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8" s="73" customFormat="1" ht="15.75" thickBot="1" x14ac:dyDescent="0.3">
      <c r="A426"/>
      <c r="B426"/>
      <c r="C426"/>
      <c r="D426"/>
      <c r="E426"/>
      <c r="F426" s="73" t="s">
        <v>435</v>
      </c>
      <c r="G426" s="73" t="s">
        <v>442</v>
      </c>
      <c r="H426" s="73" t="s">
        <v>1053</v>
      </c>
      <c r="I426" s="73" t="s">
        <v>443</v>
      </c>
      <c r="J426" s="85" t="s">
        <v>14</v>
      </c>
      <c r="K426" s="85" t="s">
        <v>1291</v>
      </c>
      <c r="L426" s="85"/>
      <c r="M426" s="85" t="s">
        <v>1362</v>
      </c>
      <c r="N426" s="85"/>
      <c r="O426" s="132">
        <f t="shared" si="19"/>
        <v>28</v>
      </c>
      <c r="P426" s="137" t="s">
        <v>1973</v>
      </c>
      <c r="Q426" s="132">
        <f t="shared" si="20"/>
        <v>0</v>
      </c>
      <c r="R426" s="133">
        <f t="shared" si="21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</row>
    <row r="427" spans="1:48" s="73" customFormat="1" ht="15.75" thickBot="1" x14ac:dyDescent="0.3">
      <c r="A427"/>
      <c r="B427"/>
      <c r="C427"/>
      <c r="D427"/>
      <c r="E427"/>
      <c r="F427" s="73" t="s">
        <v>435</v>
      </c>
      <c r="G427" s="73" t="s">
        <v>444</v>
      </c>
      <c r="H427" s="73" t="s">
        <v>1053</v>
      </c>
      <c r="I427" s="73" t="s">
        <v>445</v>
      </c>
      <c r="J427" s="85" t="s">
        <v>18</v>
      </c>
      <c r="K427" s="85" t="s">
        <v>1291</v>
      </c>
      <c r="L427" s="85"/>
      <c r="M427" s="85" t="s">
        <v>1412</v>
      </c>
      <c r="N427" s="85"/>
      <c r="O427" s="132">
        <f t="shared" si="19"/>
        <v>27</v>
      </c>
      <c r="P427" s="137" t="s">
        <v>1974</v>
      </c>
      <c r="Q427" s="132">
        <f t="shared" si="20"/>
        <v>1</v>
      </c>
      <c r="R427" s="133">
        <f t="shared" si="21"/>
        <v>0.9642857142857143</v>
      </c>
      <c r="S427" s="70"/>
      <c r="T427" s="70"/>
      <c r="U427" s="70"/>
      <c r="V427" s="70" t="s">
        <v>2240</v>
      </c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144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</row>
    <row r="428" spans="1:48" s="89" customFormat="1" ht="15.75" thickBot="1" x14ac:dyDescent="0.3">
      <c r="F428" s="89" t="s">
        <v>435</v>
      </c>
      <c r="G428" s="89" t="s">
        <v>433</v>
      </c>
      <c r="H428" s="89" t="s">
        <v>1053</v>
      </c>
      <c r="I428" s="89" t="s">
        <v>434</v>
      </c>
      <c r="J428" s="90" t="s">
        <v>18</v>
      </c>
      <c r="K428" s="90" t="s">
        <v>19</v>
      </c>
      <c r="L428" s="90"/>
      <c r="M428" s="90" t="s">
        <v>797</v>
      </c>
      <c r="N428" s="90"/>
      <c r="O428" s="31">
        <f t="shared" si="19"/>
        <v>27</v>
      </c>
      <c r="P428" s="137"/>
      <c r="Q428" s="31">
        <f t="shared" si="20"/>
        <v>1</v>
      </c>
      <c r="R428" s="32">
        <f t="shared" si="21"/>
        <v>0.9642857142857143</v>
      </c>
      <c r="S428" s="70"/>
      <c r="T428" s="70"/>
      <c r="U428" s="70"/>
      <c r="V428" s="70" t="s">
        <v>2240</v>
      </c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144"/>
      <c r="AH428" s="70"/>
      <c r="AI428" s="70"/>
      <c r="AJ428" s="70"/>
      <c r="AK428" s="91"/>
      <c r="AL428" s="70"/>
      <c r="AM428" s="70"/>
      <c r="AN428" s="70"/>
      <c r="AO428" s="70"/>
      <c r="AP428" s="70"/>
      <c r="AQ428" s="91"/>
      <c r="AR428" s="91"/>
      <c r="AS428" s="70"/>
      <c r="AT428" s="70"/>
      <c r="AU428" s="70"/>
      <c r="AV428" s="70"/>
    </row>
    <row r="429" spans="1:48" s="73" customFormat="1" ht="15.75" thickBot="1" x14ac:dyDescent="0.3">
      <c r="A429"/>
      <c r="B429"/>
      <c r="C429"/>
      <c r="D429"/>
      <c r="E429"/>
      <c r="F429" s="73" t="s">
        <v>435</v>
      </c>
      <c r="G429" s="73" t="s">
        <v>436</v>
      </c>
      <c r="H429" s="73" t="s">
        <v>1053</v>
      </c>
      <c r="I429" s="73" t="s">
        <v>437</v>
      </c>
      <c r="J429" s="85" t="s">
        <v>45</v>
      </c>
      <c r="K429" s="85" t="s">
        <v>1291</v>
      </c>
      <c r="L429" s="85"/>
      <c r="M429" s="85" t="s">
        <v>1363</v>
      </c>
      <c r="N429" s="85"/>
      <c r="O429" s="132">
        <f t="shared" si="19"/>
        <v>28</v>
      </c>
      <c r="P429" s="137" t="s">
        <v>1975</v>
      </c>
      <c r="Q429" s="132">
        <f t="shared" si="20"/>
        <v>0</v>
      </c>
      <c r="R429" s="133">
        <f t="shared" si="21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</row>
    <row r="430" spans="1:48" ht="15.75" thickBot="1" x14ac:dyDescent="0.3">
      <c r="A430">
        <v>5</v>
      </c>
      <c r="B430">
        <v>3</v>
      </c>
      <c r="C430"/>
      <c r="D430"/>
      <c r="E430" t="s">
        <v>1246</v>
      </c>
      <c r="F430" t="s">
        <v>435</v>
      </c>
      <c r="G430" t="s">
        <v>446</v>
      </c>
      <c r="H430" t="s">
        <v>1053</v>
      </c>
      <c r="I430" t="s">
        <v>447</v>
      </c>
      <c r="J430" s="30" t="s">
        <v>14</v>
      </c>
      <c r="K430" s="30" t="s">
        <v>1046</v>
      </c>
      <c r="L430" s="30" t="s">
        <v>1246</v>
      </c>
      <c r="M430" s="30" t="s">
        <v>798</v>
      </c>
      <c r="N430" s="30"/>
      <c r="O430" s="31">
        <f t="shared" si="19"/>
        <v>28</v>
      </c>
      <c r="P430" s="137" t="s">
        <v>1976</v>
      </c>
      <c r="Q430" s="31">
        <f t="shared" si="20"/>
        <v>0</v>
      </c>
      <c r="R430" s="32">
        <f t="shared" si="21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</row>
    <row r="431" spans="1:48" ht="15.75" thickBot="1" x14ac:dyDescent="0.3">
      <c r="A431"/>
      <c r="B431"/>
      <c r="C431"/>
      <c r="D431"/>
      <c r="E431" t="s">
        <v>2366</v>
      </c>
      <c r="F431" t="s">
        <v>435</v>
      </c>
      <c r="G431" t="s">
        <v>438</v>
      </c>
      <c r="H431" t="s">
        <v>1053</v>
      </c>
      <c r="I431" t="s">
        <v>439</v>
      </c>
      <c r="J431" s="30" t="s">
        <v>14</v>
      </c>
      <c r="K431" s="30" t="s">
        <v>27</v>
      </c>
      <c r="L431" s="30"/>
      <c r="M431" s="30" t="s">
        <v>799</v>
      </c>
      <c r="N431" s="30"/>
      <c r="O431" s="31">
        <f t="shared" si="19"/>
        <v>28</v>
      </c>
      <c r="P431" s="137"/>
      <c r="Q431" s="31">
        <f t="shared" si="20"/>
        <v>0</v>
      </c>
      <c r="R431" s="32">
        <f t="shared" si="21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8" s="73" customFormat="1" ht="15.75" thickBot="1" x14ac:dyDescent="0.3">
      <c r="A432"/>
      <c r="B432"/>
      <c r="C432"/>
      <c r="D432"/>
      <c r="E432"/>
      <c r="F432" s="73" t="s">
        <v>435</v>
      </c>
      <c r="G432" s="73" t="s">
        <v>440</v>
      </c>
      <c r="H432" s="73" t="s">
        <v>1053</v>
      </c>
      <c r="I432" s="73" t="s">
        <v>441</v>
      </c>
      <c r="J432" s="85" t="s">
        <v>14</v>
      </c>
      <c r="K432" s="85" t="s">
        <v>1291</v>
      </c>
      <c r="L432" s="85"/>
      <c r="M432" s="85" t="s">
        <v>800</v>
      </c>
      <c r="N432" s="85"/>
      <c r="O432" s="132">
        <f t="shared" si="19"/>
        <v>27</v>
      </c>
      <c r="P432" s="137" t="s">
        <v>1977</v>
      </c>
      <c r="Q432" s="132">
        <f t="shared" si="20"/>
        <v>1</v>
      </c>
      <c r="R432" s="133">
        <f t="shared" si="21"/>
        <v>0.9642857142857143</v>
      </c>
      <c r="S432" s="70"/>
      <c r="T432" s="70"/>
      <c r="U432" s="70"/>
      <c r="V432" s="70" t="s">
        <v>2240</v>
      </c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8" ht="15.75" thickBot="1" x14ac:dyDescent="0.3">
      <c r="A433"/>
      <c r="B433"/>
      <c r="C433"/>
      <c r="D433"/>
      <c r="E433"/>
      <c r="F433" t="s">
        <v>1114</v>
      </c>
      <c r="G433" t="s">
        <v>1115</v>
      </c>
      <c r="H433" t="s">
        <v>1053</v>
      </c>
      <c r="I433" t="s">
        <v>1116</v>
      </c>
      <c r="J433" s="30" t="s">
        <v>1104</v>
      </c>
      <c r="K433" s="30" t="s">
        <v>27</v>
      </c>
      <c r="L433" s="30"/>
      <c r="M433" s="30" t="s">
        <v>1130</v>
      </c>
      <c r="N433" s="30"/>
      <c r="O433" s="31">
        <f t="shared" si="19"/>
        <v>28</v>
      </c>
      <c r="P433" s="137" t="s">
        <v>1978</v>
      </c>
      <c r="Q433" s="31">
        <f t="shared" si="20"/>
        <v>0</v>
      </c>
      <c r="R433" s="32">
        <f t="shared" si="21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8" ht="16.899999999999999" customHeight="1" thickBot="1" x14ac:dyDescent="0.3">
      <c r="A434"/>
      <c r="B434"/>
      <c r="C434"/>
      <c r="D434"/>
      <c r="E434"/>
      <c r="F434" t="s">
        <v>1114</v>
      </c>
      <c r="G434" t="s">
        <v>1134</v>
      </c>
      <c r="H434" t="s">
        <v>1053</v>
      </c>
      <c r="I434" t="s">
        <v>1116</v>
      </c>
      <c r="J434" s="30" t="s">
        <v>1104</v>
      </c>
      <c r="K434" s="30" t="s">
        <v>27</v>
      </c>
      <c r="L434" s="30"/>
      <c r="M434" s="30" t="s">
        <v>1131</v>
      </c>
      <c r="N434" s="30"/>
      <c r="O434" s="31">
        <f t="shared" si="19"/>
        <v>28</v>
      </c>
      <c r="P434" s="137" t="s">
        <v>1979</v>
      </c>
      <c r="Q434" s="31">
        <f t="shared" si="20"/>
        <v>0</v>
      </c>
      <c r="R434" s="32">
        <f t="shared" si="21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8" s="73" customFormat="1" ht="16.899999999999999" customHeight="1" thickBot="1" x14ac:dyDescent="0.3">
      <c r="A435"/>
      <c r="B435"/>
      <c r="C435"/>
      <c r="D435"/>
      <c r="E435"/>
      <c r="F435" t="s">
        <v>1114</v>
      </c>
      <c r="G435" s="73" t="s">
        <v>1543</v>
      </c>
      <c r="H435" s="73" t="s">
        <v>1053</v>
      </c>
      <c r="I435" s="73" t="s">
        <v>1544</v>
      </c>
      <c r="J435" s="85" t="s">
        <v>1104</v>
      </c>
      <c r="K435" s="85" t="s">
        <v>1291</v>
      </c>
      <c r="L435" s="85"/>
      <c r="M435" s="85" t="s">
        <v>1546</v>
      </c>
      <c r="N435" s="85"/>
      <c r="O435" s="31">
        <f t="shared" si="19"/>
        <v>28</v>
      </c>
      <c r="P435" s="137" t="s">
        <v>1980</v>
      </c>
      <c r="Q435" s="31">
        <f t="shared" si="20"/>
        <v>0</v>
      </c>
      <c r="R435" s="32">
        <f t="shared" si="21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8" s="73" customFormat="1" ht="16.899999999999999" customHeight="1" thickBot="1" x14ac:dyDescent="0.3">
      <c r="A436"/>
      <c r="B436"/>
      <c r="C436"/>
      <c r="D436"/>
      <c r="E436"/>
      <c r="F436" t="s">
        <v>1114</v>
      </c>
      <c r="G436" s="73" t="s">
        <v>1542</v>
      </c>
      <c r="H436" s="73" t="s">
        <v>1053</v>
      </c>
      <c r="I436" s="73" t="s">
        <v>1545</v>
      </c>
      <c r="J436" s="85" t="s">
        <v>1104</v>
      </c>
      <c r="K436" s="85" t="s">
        <v>1291</v>
      </c>
      <c r="L436" s="85"/>
      <c r="M436" s="85" t="s">
        <v>1547</v>
      </c>
      <c r="N436" s="85"/>
      <c r="O436" s="31">
        <f t="shared" si="19"/>
        <v>28</v>
      </c>
      <c r="P436" s="137" t="s">
        <v>1981</v>
      </c>
      <c r="Q436" s="31">
        <f t="shared" si="20"/>
        <v>0</v>
      </c>
      <c r="R436" s="32">
        <f t="shared" si="21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8" s="73" customFormat="1" ht="16.899999999999999" customHeight="1" thickBot="1" x14ac:dyDescent="0.3">
      <c r="A437"/>
      <c r="B437"/>
      <c r="C437"/>
      <c r="D437"/>
      <c r="E437"/>
      <c r="F437" t="s">
        <v>1114</v>
      </c>
      <c r="G437" s="73" t="s">
        <v>2209</v>
      </c>
      <c r="H437" s="73" t="s">
        <v>1053</v>
      </c>
      <c r="I437" s="73" t="s">
        <v>2210</v>
      </c>
      <c r="J437" s="85" t="s">
        <v>1104</v>
      </c>
      <c r="K437" s="85"/>
      <c r="L437" s="85"/>
      <c r="M437" s="85" t="s">
        <v>2308</v>
      </c>
      <c r="N437" s="85"/>
      <c r="O437" s="31">
        <f t="shared" si="19"/>
        <v>28</v>
      </c>
      <c r="P437" s="137"/>
      <c r="Q437" s="31">
        <f t="shared" si="20"/>
        <v>0</v>
      </c>
      <c r="R437" s="32">
        <f t="shared" si="21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8" ht="15.75" thickBot="1" x14ac:dyDescent="0.3">
      <c r="A438">
        <v>9</v>
      </c>
      <c r="B438">
        <v>2</v>
      </c>
      <c r="C438"/>
      <c r="D438"/>
      <c r="E438" t="s">
        <v>44</v>
      </c>
      <c r="F438" t="s">
        <v>164</v>
      </c>
      <c r="G438" t="s">
        <v>448</v>
      </c>
      <c r="H438" t="s">
        <v>1052</v>
      </c>
      <c r="I438" t="s">
        <v>449</v>
      </c>
      <c r="J438" s="30" t="s">
        <v>72</v>
      </c>
      <c r="K438" s="30" t="s">
        <v>27</v>
      </c>
      <c r="L438" s="30"/>
      <c r="M438" s="30" t="s">
        <v>801</v>
      </c>
      <c r="N438" s="30"/>
      <c r="O438" s="31">
        <f t="shared" si="19"/>
        <v>28</v>
      </c>
      <c r="P438" s="137" t="s">
        <v>1982</v>
      </c>
      <c r="Q438" s="31">
        <f t="shared" si="20"/>
        <v>0</v>
      </c>
      <c r="R438" s="32">
        <f t="shared" si="21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4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8" ht="15.75" thickBot="1" x14ac:dyDescent="0.3">
      <c r="A439">
        <v>9</v>
      </c>
      <c r="B439">
        <v>2</v>
      </c>
      <c r="C439"/>
      <c r="D439"/>
      <c r="E439" t="s">
        <v>44</v>
      </c>
      <c r="F439" t="s">
        <v>164</v>
      </c>
      <c r="G439" t="s">
        <v>450</v>
      </c>
      <c r="H439" t="s">
        <v>1052</v>
      </c>
      <c r="I439" t="s">
        <v>449</v>
      </c>
      <c r="J439" s="30" t="s">
        <v>72</v>
      </c>
      <c r="K439" s="30" t="s">
        <v>27</v>
      </c>
      <c r="L439" s="30"/>
      <c r="M439" s="30" t="s">
        <v>802</v>
      </c>
      <c r="N439" s="30"/>
      <c r="O439" s="31">
        <f t="shared" si="19"/>
        <v>28</v>
      </c>
      <c r="P439" s="137" t="s">
        <v>1983</v>
      </c>
      <c r="Q439" s="31">
        <f t="shared" si="20"/>
        <v>0</v>
      </c>
      <c r="R439" s="32">
        <f t="shared" si="21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4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8" ht="15.75" thickBot="1" x14ac:dyDescent="0.3">
      <c r="A440">
        <v>9</v>
      </c>
      <c r="B440">
        <v>2</v>
      </c>
      <c r="C440"/>
      <c r="D440"/>
      <c r="E440" t="s">
        <v>44</v>
      </c>
      <c r="F440" t="s">
        <v>164</v>
      </c>
      <c r="G440" t="s">
        <v>1007</v>
      </c>
      <c r="H440" t="s">
        <v>1052</v>
      </c>
      <c r="I440" t="s">
        <v>451</v>
      </c>
      <c r="J440" s="30" t="s">
        <v>72</v>
      </c>
      <c r="K440" s="30" t="s">
        <v>27</v>
      </c>
      <c r="L440" s="30"/>
      <c r="M440" s="30" t="s">
        <v>803</v>
      </c>
      <c r="N440" s="30"/>
      <c r="O440" s="31">
        <f t="shared" si="19"/>
        <v>28</v>
      </c>
      <c r="P440" s="137" t="s">
        <v>1984</v>
      </c>
      <c r="Q440" s="31">
        <f t="shared" si="20"/>
        <v>0</v>
      </c>
      <c r="R440" s="32">
        <f t="shared" si="21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4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8" ht="15.75" thickBot="1" x14ac:dyDescent="0.3">
      <c r="A441">
        <v>9</v>
      </c>
      <c r="B441">
        <v>2</v>
      </c>
      <c r="C441"/>
      <c r="D441"/>
      <c r="E441" t="s">
        <v>44</v>
      </c>
      <c r="F441" t="s">
        <v>164</v>
      </c>
      <c r="G441" t="s">
        <v>1008</v>
      </c>
      <c r="H441" t="s">
        <v>1052</v>
      </c>
      <c r="I441" t="s">
        <v>451</v>
      </c>
      <c r="J441" s="30" t="s">
        <v>72</v>
      </c>
      <c r="K441" s="30" t="s">
        <v>27</v>
      </c>
      <c r="L441" s="30"/>
      <c r="M441" s="30" t="s">
        <v>804</v>
      </c>
      <c r="N441" s="30"/>
      <c r="O441" s="31">
        <f t="shared" si="19"/>
        <v>28</v>
      </c>
      <c r="P441" s="137" t="s">
        <v>1985</v>
      </c>
      <c r="Q441" s="31">
        <f t="shared" si="20"/>
        <v>0</v>
      </c>
      <c r="R441" s="32">
        <f t="shared" si="21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4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8" ht="15.75" thickBot="1" x14ac:dyDescent="0.3">
      <c r="A442"/>
      <c r="B442"/>
      <c r="C442"/>
      <c r="D442"/>
      <c r="E442"/>
      <c r="F442" t="s">
        <v>452</v>
      </c>
      <c r="G442" t="s">
        <v>461</v>
      </c>
      <c r="H442" t="s">
        <v>1053</v>
      </c>
      <c r="I442" t="s">
        <v>1015</v>
      </c>
      <c r="J442" s="30" t="s">
        <v>18</v>
      </c>
      <c r="K442" s="30" t="s">
        <v>1046</v>
      </c>
      <c r="L442" s="30"/>
      <c r="M442" s="30" t="s">
        <v>1399</v>
      </c>
      <c r="N442" s="30"/>
      <c r="O442" s="31">
        <f t="shared" si="19"/>
        <v>28</v>
      </c>
      <c r="P442" s="137" t="s">
        <v>1986</v>
      </c>
      <c r="Q442" s="31">
        <f t="shared" si="20"/>
        <v>0</v>
      </c>
      <c r="R442" s="32">
        <f t="shared" si="21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8" ht="15.75" thickBot="1" x14ac:dyDescent="0.3">
      <c r="A443"/>
      <c r="B443"/>
      <c r="C443"/>
      <c r="D443"/>
      <c r="E443"/>
      <c r="F443" t="s">
        <v>347</v>
      </c>
      <c r="G443" t="s">
        <v>462</v>
      </c>
      <c r="H443" t="s">
        <v>1053</v>
      </c>
      <c r="I443" t="s">
        <v>1311</v>
      </c>
      <c r="J443" s="30" t="s">
        <v>18</v>
      </c>
      <c r="K443" s="30" t="s">
        <v>1046</v>
      </c>
      <c r="L443" s="30"/>
      <c r="M443" s="30" t="s">
        <v>1400</v>
      </c>
      <c r="N443" s="30"/>
      <c r="O443" s="31">
        <f t="shared" si="19"/>
        <v>28</v>
      </c>
      <c r="P443" s="137" t="s">
        <v>1987</v>
      </c>
      <c r="Q443" s="31">
        <f t="shared" si="20"/>
        <v>0</v>
      </c>
      <c r="R443" s="32">
        <f t="shared" si="21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8" s="73" customFormat="1" ht="15.75" thickBot="1" x14ac:dyDescent="0.3">
      <c r="A444"/>
      <c r="B444"/>
      <c r="C444"/>
      <c r="D444"/>
      <c r="E444"/>
      <c r="F444" s="73" t="s">
        <v>452</v>
      </c>
      <c r="G444" s="73" t="s">
        <v>463</v>
      </c>
      <c r="H444" s="73" t="s">
        <v>1053</v>
      </c>
      <c r="I444" s="73" t="s">
        <v>464</v>
      </c>
      <c r="J444" s="85" t="s">
        <v>18</v>
      </c>
      <c r="K444" s="85" t="s">
        <v>1291</v>
      </c>
      <c r="L444" s="85"/>
      <c r="M444" s="85" t="s">
        <v>1411</v>
      </c>
      <c r="N444" s="85"/>
      <c r="O444" s="132">
        <f t="shared" si="19"/>
        <v>28</v>
      </c>
      <c r="P444" s="137" t="s">
        <v>1988</v>
      </c>
      <c r="Q444" s="132">
        <f t="shared" si="20"/>
        <v>0</v>
      </c>
      <c r="R444" s="133">
        <f t="shared" si="21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8" s="73" customFormat="1" ht="15.75" thickBot="1" x14ac:dyDescent="0.3">
      <c r="A445"/>
      <c r="B445"/>
      <c r="C445"/>
      <c r="D445"/>
      <c r="E445"/>
      <c r="F445" s="73" t="s">
        <v>452</v>
      </c>
      <c r="G445" s="73" t="s">
        <v>1009</v>
      </c>
      <c r="H445" s="73" t="s">
        <v>1053</v>
      </c>
      <c r="I445" s="73" t="s">
        <v>465</v>
      </c>
      <c r="J445" s="85" t="s">
        <v>18</v>
      </c>
      <c r="K445" s="85" t="s">
        <v>1291</v>
      </c>
      <c r="L445" s="85"/>
      <c r="M445" s="85" t="s">
        <v>1318</v>
      </c>
      <c r="N445" s="85"/>
      <c r="O445" s="132">
        <f t="shared" si="19"/>
        <v>27</v>
      </c>
      <c r="P445" s="137" t="s">
        <v>1989</v>
      </c>
      <c r="Q445" s="132">
        <f t="shared" si="20"/>
        <v>1</v>
      </c>
      <c r="R445" s="133">
        <f t="shared" si="21"/>
        <v>0.9642857142857143</v>
      </c>
      <c r="S445" s="70"/>
      <c r="T445" s="70"/>
      <c r="U445" s="70"/>
      <c r="V445" s="70" t="s">
        <v>2240</v>
      </c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4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8" ht="15.75" thickBot="1" x14ac:dyDescent="0.3">
      <c r="A446"/>
      <c r="B446"/>
      <c r="C446"/>
      <c r="D446"/>
      <c r="E446"/>
      <c r="F446" t="s">
        <v>452</v>
      </c>
      <c r="G446" t="s">
        <v>1016</v>
      </c>
      <c r="H446" t="s">
        <v>1053</v>
      </c>
      <c r="I446" t="s">
        <v>453</v>
      </c>
      <c r="J446" s="30" t="s">
        <v>14</v>
      </c>
      <c r="K446" s="30" t="s">
        <v>19</v>
      </c>
      <c r="L446" s="30"/>
      <c r="M446" s="30" t="s">
        <v>807</v>
      </c>
      <c r="N446" s="30"/>
      <c r="O446" s="31">
        <f t="shared" si="19"/>
        <v>28</v>
      </c>
      <c r="P446" s="137"/>
      <c r="Q446" s="31">
        <f t="shared" si="20"/>
        <v>0</v>
      </c>
      <c r="R446" s="32">
        <f t="shared" si="21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8" ht="15.75" thickBot="1" x14ac:dyDescent="0.3">
      <c r="A447"/>
      <c r="B447"/>
      <c r="C447"/>
      <c r="D447"/>
      <c r="E447"/>
      <c r="F447" t="s">
        <v>452</v>
      </c>
      <c r="G447" t="s">
        <v>1017</v>
      </c>
      <c r="H447" t="s">
        <v>1053</v>
      </c>
      <c r="I447" t="s">
        <v>454</v>
      </c>
      <c r="J447" s="30" t="s">
        <v>18</v>
      </c>
      <c r="K447" s="30" t="s">
        <v>27</v>
      </c>
      <c r="L447" s="30"/>
      <c r="M447" s="30" t="s">
        <v>808</v>
      </c>
      <c r="N447" s="30"/>
      <c r="O447" s="31">
        <f t="shared" si="19"/>
        <v>28</v>
      </c>
      <c r="P447" s="137" t="s">
        <v>1990</v>
      </c>
      <c r="Q447" s="31">
        <f t="shared" si="20"/>
        <v>0</v>
      </c>
      <c r="R447" s="32">
        <f t="shared" si="21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8" ht="15.75" thickBot="1" x14ac:dyDescent="0.3">
      <c r="A448"/>
      <c r="B448"/>
      <c r="C448"/>
      <c r="D448"/>
      <c r="E448"/>
      <c r="F448" t="s">
        <v>452</v>
      </c>
      <c r="G448" t="s">
        <v>1018</v>
      </c>
      <c r="H448" t="s">
        <v>1053</v>
      </c>
      <c r="I448" t="s">
        <v>455</v>
      </c>
      <c r="J448" s="30" t="s">
        <v>18</v>
      </c>
      <c r="K448" s="30" t="s">
        <v>27</v>
      </c>
      <c r="L448" s="30"/>
      <c r="M448" s="30" t="s">
        <v>809</v>
      </c>
      <c r="N448" s="30"/>
      <c r="O448" s="31">
        <f t="shared" si="19"/>
        <v>28</v>
      </c>
      <c r="P448" s="137" t="s">
        <v>1991</v>
      </c>
      <c r="Q448" s="31">
        <f t="shared" si="20"/>
        <v>0</v>
      </c>
      <c r="R448" s="32">
        <f t="shared" si="21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8" ht="15.75" thickBot="1" x14ac:dyDescent="0.3">
      <c r="A449"/>
      <c r="B449"/>
      <c r="C449"/>
      <c r="D449"/>
      <c r="E449"/>
      <c r="F449" t="s">
        <v>452</v>
      </c>
      <c r="G449" t="s">
        <v>456</v>
      </c>
      <c r="H449" t="s">
        <v>1053</v>
      </c>
      <c r="I449" t="s">
        <v>457</v>
      </c>
      <c r="J449" s="30" t="s">
        <v>18</v>
      </c>
      <c r="K449" s="30" t="s">
        <v>27</v>
      </c>
      <c r="L449" s="30"/>
      <c r="M449" s="30" t="s">
        <v>810</v>
      </c>
      <c r="N449" s="30"/>
      <c r="O449" s="31">
        <f t="shared" si="19"/>
        <v>28</v>
      </c>
      <c r="P449" s="137" t="s">
        <v>1992</v>
      </c>
      <c r="Q449" s="31">
        <f t="shared" si="20"/>
        <v>0</v>
      </c>
      <c r="R449" s="32">
        <f t="shared" si="21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8" ht="15.75" thickBot="1" x14ac:dyDescent="0.3">
      <c r="A450"/>
      <c r="B450"/>
      <c r="C450"/>
      <c r="D450"/>
      <c r="E450"/>
      <c r="F450" t="s">
        <v>452</v>
      </c>
      <c r="G450" t="s">
        <v>1019</v>
      </c>
      <c r="H450" t="s">
        <v>1053</v>
      </c>
      <c r="I450" t="s">
        <v>458</v>
      </c>
      <c r="J450" s="30" t="s">
        <v>14</v>
      </c>
      <c r="K450" s="30" t="s">
        <v>19</v>
      </c>
      <c r="L450" s="30"/>
      <c r="M450" s="30" t="s">
        <v>792</v>
      </c>
      <c r="N450" s="30"/>
      <c r="O450" s="31">
        <f t="shared" si="19"/>
        <v>28</v>
      </c>
      <c r="P450" s="137"/>
      <c r="Q450" s="31">
        <f t="shared" si="20"/>
        <v>0</v>
      </c>
      <c r="R450" s="32">
        <f t="shared" si="21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8" s="69" customFormat="1" ht="15.75" thickBot="1" x14ac:dyDescent="0.3">
      <c r="F451" s="69" t="s">
        <v>452</v>
      </c>
      <c r="G451" s="69" t="s">
        <v>1020</v>
      </c>
      <c r="H451" s="69" t="s">
        <v>1053</v>
      </c>
      <c r="I451" s="69" t="s">
        <v>459</v>
      </c>
      <c r="J451" s="138" t="s">
        <v>14</v>
      </c>
      <c r="K451" s="138" t="s">
        <v>19</v>
      </c>
      <c r="L451" s="138"/>
      <c r="M451" s="138" t="s">
        <v>811</v>
      </c>
      <c r="N451" s="138"/>
      <c r="O451" s="141">
        <f t="shared" si="19"/>
        <v>27</v>
      </c>
      <c r="P451" s="142"/>
      <c r="Q451" s="141">
        <f t="shared" si="20"/>
        <v>1</v>
      </c>
      <c r="R451" s="143">
        <f t="shared" si="21"/>
        <v>0.9642857142857143</v>
      </c>
      <c r="S451" s="144"/>
      <c r="T451" s="144"/>
      <c r="U451" s="144"/>
      <c r="V451" s="70" t="s">
        <v>2240</v>
      </c>
      <c r="W451" s="144"/>
      <c r="X451" s="144"/>
      <c r="Y451" s="144"/>
      <c r="Z451" s="144"/>
      <c r="AA451" s="144"/>
      <c r="AB451" s="144"/>
      <c r="AC451" s="144"/>
      <c r="AD451" s="144"/>
      <c r="AE451" s="70"/>
      <c r="AF451" s="70"/>
      <c r="AG451" s="144"/>
      <c r="AH451" s="70"/>
      <c r="AI451" s="70"/>
      <c r="AJ451" s="144"/>
      <c r="AK451" s="144"/>
      <c r="AL451" s="70"/>
      <c r="AM451" s="70"/>
      <c r="AN451" s="70"/>
      <c r="AO451" s="70"/>
      <c r="AP451" s="70"/>
      <c r="AQ451" s="144"/>
      <c r="AR451" s="144"/>
      <c r="AS451" s="70"/>
      <c r="AT451" s="70"/>
      <c r="AU451" s="70"/>
      <c r="AV451" s="70"/>
    </row>
    <row r="452" spans="1:48" s="69" customFormat="1" ht="15.75" thickBot="1" x14ac:dyDescent="0.3">
      <c r="F452" s="69" t="s">
        <v>452</v>
      </c>
      <c r="G452" s="69" t="s">
        <v>1010</v>
      </c>
      <c r="H452" s="69" t="s">
        <v>1053</v>
      </c>
      <c r="I452" s="69" t="s">
        <v>466</v>
      </c>
      <c r="J452" s="138" t="s">
        <v>14</v>
      </c>
      <c r="K452" s="138" t="s">
        <v>19</v>
      </c>
      <c r="L452" s="138"/>
      <c r="M452" s="138" t="s">
        <v>805</v>
      </c>
      <c r="N452" s="138"/>
      <c r="O452" s="141">
        <f t="shared" si="19"/>
        <v>27</v>
      </c>
      <c r="P452" s="142"/>
      <c r="Q452" s="141">
        <f t="shared" si="20"/>
        <v>1</v>
      </c>
      <c r="R452" s="143">
        <f t="shared" si="21"/>
        <v>0.9642857142857143</v>
      </c>
      <c r="S452" s="144"/>
      <c r="T452" s="144"/>
      <c r="U452" s="144"/>
      <c r="V452" s="70" t="s">
        <v>2240</v>
      </c>
      <c r="W452" s="144"/>
      <c r="X452" s="144"/>
      <c r="Y452" s="144"/>
      <c r="Z452" s="144"/>
      <c r="AA452" s="144"/>
      <c r="AB452" s="144"/>
      <c r="AC452" s="144"/>
      <c r="AD452" s="144"/>
      <c r="AE452" s="70"/>
      <c r="AF452" s="70"/>
      <c r="AG452" s="144"/>
      <c r="AH452" s="70"/>
      <c r="AI452" s="70"/>
      <c r="AJ452" s="144"/>
      <c r="AK452" s="144"/>
      <c r="AL452" s="70"/>
      <c r="AM452" s="70"/>
      <c r="AN452" s="70"/>
      <c r="AO452" s="70"/>
      <c r="AP452" s="70"/>
      <c r="AQ452" s="144"/>
      <c r="AR452" s="144"/>
      <c r="AS452" s="70"/>
      <c r="AT452" s="70"/>
      <c r="AU452" s="70"/>
      <c r="AV452" s="70"/>
    </row>
    <row r="453" spans="1:48" ht="15.75" thickBot="1" x14ac:dyDescent="0.3">
      <c r="A453"/>
      <c r="B453"/>
      <c r="C453"/>
      <c r="D453"/>
      <c r="E453"/>
      <c r="F453" t="s">
        <v>452</v>
      </c>
      <c r="G453" t="s">
        <v>467</v>
      </c>
      <c r="H453" t="s">
        <v>1053</v>
      </c>
      <c r="I453" t="s">
        <v>468</v>
      </c>
      <c r="J453" s="30" t="s">
        <v>14</v>
      </c>
      <c r="K453" s="30" t="s">
        <v>19</v>
      </c>
      <c r="L453" s="30"/>
      <c r="M453" s="30" t="s">
        <v>806</v>
      </c>
      <c r="N453" s="30"/>
      <c r="O453" s="31">
        <f t="shared" si="19"/>
        <v>28</v>
      </c>
      <c r="P453" s="137"/>
      <c r="Q453" s="31">
        <f t="shared" si="20"/>
        <v>0</v>
      </c>
      <c r="R453" s="32">
        <f t="shared" si="21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8" ht="15.75" thickBot="1" x14ac:dyDescent="0.3">
      <c r="A454"/>
      <c r="B454"/>
      <c r="C454"/>
      <c r="D454"/>
      <c r="E454"/>
      <c r="F454" t="s">
        <v>347</v>
      </c>
      <c r="G454" t="s">
        <v>1011</v>
      </c>
      <c r="H454" t="s">
        <v>1053</v>
      </c>
      <c r="I454" t="s">
        <v>469</v>
      </c>
      <c r="J454" s="30" t="s">
        <v>72</v>
      </c>
      <c r="K454" s="30" t="s">
        <v>1046</v>
      </c>
      <c r="L454" s="30"/>
      <c r="M454" s="30" t="s">
        <v>1401</v>
      </c>
      <c r="N454" s="30"/>
      <c r="O454" s="31">
        <f t="shared" si="19"/>
        <v>28</v>
      </c>
      <c r="P454" s="137" t="s">
        <v>1993</v>
      </c>
      <c r="Q454" s="31">
        <f t="shared" si="20"/>
        <v>0</v>
      </c>
      <c r="R454" s="32">
        <f t="shared" si="21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130"/>
    </row>
    <row r="455" spans="1:48" ht="15.75" thickBot="1" x14ac:dyDescent="0.3">
      <c r="A455"/>
      <c r="B455"/>
      <c r="C455"/>
      <c r="D455"/>
      <c r="E455"/>
      <c r="F455" t="s">
        <v>347</v>
      </c>
      <c r="G455" t="s">
        <v>1012</v>
      </c>
      <c r="H455" t="s">
        <v>1053</v>
      </c>
      <c r="I455" t="s">
        <v>469</v>
      </c>
      <c r="J455" s="30" t="s">
        <v>72</v>
      </c>
      <c r="K455" s="30" t="s">
        <v>1046</v>
      </c>
      <c r="L455" s="30"/>
      <c r="M455" s="30" t="s">
        <v>1402</v>
      </c>
      <c r="N455" s="30"/>
      <c r="O455" s="31">
        <f t="shared" si="19"/>
        <v>28</v>
      </c>
      <c r="P455" s="137" t="s">
        <v>1994</v>
      </c>
      <c r="Q455" s="31">
        <f t="shared" si="20"/>
        <v>0</v>
      </c>
      <c r="R455" s="32">
        <f t="shared" si="21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4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8" s="73" customFormat="1" ht="15.75" thickBot="1" x14ac:dyDescent="0.3">
      <c r="A456"/>
      <c r="B456"/>
      <c r="C456"/>
      <c r="D456"/>
      <c r="E456"/>
      <c r="F456" s="73" t="s">
        <v>452</v>
      </c>
      <c r="G456" s="73" t="s">
        <v>470</v>
      </c>
      <c r="H456" s="73" t="s">
        <v>1053</v>
      </c>
      <c r="I456" s="73" t="s">
        <v>471</v>
      </c>
      <c r="J456" s="85" t="s">
        <v>14</v>
      </c>
      <c r="K456" s="85" t="s">
        <v>1291</v>
      </c>
      <c r="L456" s="85"/>
      <c r="M456" s="85" t="s">
        <v>812</v>
      </c>
      <c r="N456" s="85"/>
      <c r="O456" s="132">
        <f t="shared" si="19"/>
        <v>28</v>
      </c>
      <c r="P456" s="137" t="s">
        <v>1995</v>
      </c>
      <c r="Q456" s="132">
        <f t="shared" si="20"/>
        <v>0</v>
      </c>
      <c r="R456" s="133">
        <f t="shared" si="21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144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8" s="73" customFormat="1" ht="15.75" thickBot="1" x14ac:dyDescent="0.3">
      <c r="A457"/>
      <c r="B457"/>
      <c r="C457"/>
      <c r="D457"/>
      <c r="E457"/>
      <c r="F457" s="73" t="s">
        <v>452</v>
      </c>
      <c r="G457" s="73" t="s">
        <v>1021</v>
      </c>
      <c r="H457" s="73" t="s">
        <v>1053</v>
      </c>
      <c r="I457" s="73" t="s">
        <v>460</v>
      </c>
      <c r="J457" s="85" t="s">
        <v>72</v>
      </c>
      <c r="K457" s="85" t="s">
        <v>1291</v>
      </c>
      <c r="L457" s="85"/>
      <c r="M457" s="85" t="s">
        <v>813</v>
      </c>
      <c r="N457" s="85"/>
      <c r="O457" s="132">
        <f t="shared" si="19"/>
        <v>28</v>
      </c>
      <c r="P457" s="137" t="s">
        <v>1996</v>
      </c>
      <c r="Q457" s="132">
        <f t="shared" si="20"/>
        <v>0</v>
      </c>
      <c r="R457" s="133">
        <f t="shared" si="21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8" s="73" customFormat="1" ht="15.75" thickBot="1" x14ac:dyDescent="0.3">
      <c r="A458"/>
      <c r="B458"/>
      <c r="C458"/>
      <c r="D458"/>
      <c r="E458"/>
      <c r="F458" s="73" t="s">
        <v>452</v>
      </c>
      <c r="G458" s="73" t="s">
        <v>1022</v>
      </c>
      <c r="H458" s="73" t="s">
        <v>1053</v>
      </c>
      <c r="I458" s="73" t="s">
        <v>460</v>
      </c>
      <c r="J458" s="85" t="s">
        <v>72</v>
      </c>
      <c r="K458" s="85" t="s">
        <v>1291</v>
      </c>
      <c r="L458" s="85"/>
      <c r="M458" s="85" t="s">
        <v>814</v>
      </c>
      <c r="N458" s="85"/>
      <c r="O458" s="132">
        <f t="shared" si="19"/>
        <v>28</v>
      </c>
      <c r="P458" s="137" t="s">
        <v>1997</v>
      </c>
      <c r="Q458" s="132">
        <f t="shared" si="20"/>
        <v>0</v>
      </c>
      <c r="R458" s="133">
        <f t="shared" si="2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8" ht="15.75" thickBot="1" x14ac:dyDescent="0.3">
      <c r="A459"/>
      <c r="B459"/>
      <c r="C459"/>
      <c r="D459"/>
      <c r="E459"/>
      <c r="F459" t="s">
        <v>452</v>
      </c>
      <c r="G459" t="s">
        <v>1013</v>
      </c>
      <c r="H459" t="s">
        <v>1053</v>
      </c>
      <c r="I459" t="s">
        <v>472</v>
      </c>
      <c r="J459" s="30" t="s">
        <v>72</v>
      </c>
      <c r="K459" s="30" t="s">
        <v>27</v>
      </c>
      <c r="L459" s="30"/>
      <c r="M459" s="30" t="s">
        <v>815</v>
      </c>
      <c r="N459" s="30"/>
      <c r="O459" s="31">
        <f t="shared" si="19"/>
        <v>28</v>
      </c>
      <c r="P459" s="137" t="s">
        <v>1998</v>
      </c>
      <c r="Q459" s="31">
        <f t="shared" si="20"/>
        <v>0</v>
      </c>
      <c r="R459" s="32">
        <f t="shared" si="2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8" ht="15.75" thickBot="1" x14ac:dyDescent="0.3">
      <c r="A460"/>
      <c r="B460"/>
      <c r="C460"/>
      <c r="D460"/>
      <c r="E460"/>
      <c r="F460" t="s">
        <v>452</v>
      </c>
      <c r="G460" t="s">
        <v>1014</v>
      </c>
      <c r="H460" t="s">
        <v>1053</v>
      </c>
      <c r="I460" t="s">
        <v>472</v>
      </c>
      <c r="J460" s="30" t="s">
        <v>72</v>
      </c>
      <c r="K460" s="30" t="s">
        <v>27</v>
      </c>
      <c r="L460" s="30"/>
      <c r="M460" s="30" t="s">
        <v>816</v>
      </c>
      <c r="N460" s="30"/>
      <c r="O460" s="31">
        <f t="shared" si="19"/>
        <v>28</v>
      </c>
      <c r="P460" s="137" t="s">
        <v>1999</v>
      </c>
      <c r="Q460" s="31">
        <f t="shared" si="20"/>
        <v>0</v>
      </c>
      <c r="R460" s="32">
        <f t="shared" si="2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8" ht="15.75" thickBot="1" x14ac:dyDescent="0.3">
      <c r="A461"/>
      <c r="B461"/>
      <c r="C461"/>
      <c r="D461"/>
      <c r="E461"/>
      <c r="F461" t="s">
        <v>452</v>
      </c>
      <c r="G461" s="30" t="s">
        <v>1278</v>
      </c>
      <c r="H461" t="s">
        <v>1053</v>
      </c>
      <c r="I461" s="68" t="s">
        <v>1277</v>
      </c>
      <c r="J461" s="30" t="s">
        <v>72</v>
      </c>
      <c r="K461" s="30" t="s">
        <v>27</v>
      </c>
      <c r="L461" s="30"/>
      <c r="M461" s="30" t="s">
        <v>1279</v>
      </c>
      <c r="N461" s="30"/>
      <c r="O461" s="31">
        <f t="shared" si="19"/>
        <v>28</v>
      </c>
      <c r="P461" s="137" t="s">
        <v>2000</v>
      </c>
      <c r="Q461" s="31">
        <f t="shared" si="20"/>
        <v>0</v>
      </c>
      <c r="R461" s="32">
        <f t="shared" si="2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8" ht="15.75" thickBot="1" x14ac:dyDescent="0.3">
      <c r="A462"/>
      <c r="B462"/>
      <c r="C462"/>
      <c r="D462"/>
      <c r="E462"/>
      <c r="F462" t="s">
        <v>452</v>
      </c>
      <c r="G462" t="s">
        <v>1276</v>
      </c>
      <c r="H462" t="s">
        <v>1053</v>
      </c>
      <c r="I462" s="68" t="s">
        <v>1277</v>
      </c>
      <c r="J462" s="30" t="s">
        <v>72</v>
      </c>
      <c r="K462" s="30" t="s">
        <v>27</v>
      </c>
      <c r="L462" s="30"/>
      <c r="M462" s="30" t="s">
        <v>1280</v>
      </c>
      <c r="N462" s="30"/>
      <c r="O462" s="31">
        <f t="shared" si="19"/>
        <v>28</v>
      </c>
      <c r="P462" s="137" t="s">
        <v>2001</v>
      </c>
      <c r="Q462" s="31">
        <f t="shared" si="20"/>
        <v>0</v>
      </c>
      <c r="R462" s="32">
        <f t="shared" si="2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8" s="73" customFormat="1" ht="15.75" thickBot="1" x14ac:dyDescent="0.3">
      <c r="A463"/>
      <c r="B463"/>
      <c r="C463"/>
      <c r="D463"/>
      <c r="E463"/>
      <c r="F463" s="73" t="s">
        <v>1584</v>
      </c>
      <c r="G463" s="73" t="s">
        <v>1585</v>
      </c>
      <c r="H463" s="73" t="s">
        <v>1053</v>
      </c>
      <c r="I463" s="136" t="s">
        <v>1586</v>
      </c>
      <c r="J463" s="85" t="s">
        <v>14</v>
      </c>
      <c r="K463" s="85" t="s">
        <v>1291</v>
      </c>
      <c r="L463" s="85"/>
      <c r="M463" s="85" t="s">
        <v>1587</v>
      </c>
      <c r="N463" s="85"/>
      <c r="O463" s="31">
        <f t="shared" si="19"/>
        <v>28</v>
      </c>
      <c r="P463" s="137"/>
      <c r="Q463" s="31">
        <f t="shared" si="20"/>
        <v>0</v>
      </c>
      <c r="R463" s="32">
        <f t="shared" si="2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8" s="73" customFormat="1" ht="15.75" thickBot="1" x14ac:dyDescent="0.3">
      <c r="A464"/>
      <c r="B464"/>
      <c r="C464"/>
      <c r="D464"/>
      <c r="E464"/>
      <c r="F464" s="73" t="s">
        <v>1584</v>
      </c>
      <c r="G464" s="73" t="s">
        <v>1596</v>
      </c>
      <c r="H464" s="73" t="s">
        <v>1053</v>
      </c>
      <c r="I464" s="136" t="s">
        <v>1597</v>
      </c>
      <c r="J464" s="85" t="s">
        <v>18</v>
      </c>
      <c r="K464" s="85" t="s">
        <v>1291</v>
      </c>
      <c r="L464" s="85"/>
      <c r="M464" s="85" t="s">
        <v>1598</v>
      </c>
      <c r="N464" s="85"/>
      <c r="O464" s="31">
        <f t="shared" si="19"/>
        <v>28</v>
      </c>
      <c r="P464" s="137"/>
      <c r="Q464" s="31">
        <f t="shared" si="20"/>
        <v>0</v>
      </c>
      <c r="R464" s="32">
        <f t="shared" si="2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8" s="73" customFormat="1" ht="15.75" thickBot="1" x14ac:dyDescent="0.3">
      <c r="A465"/>
      <c r="B465"/>
      <c r="C465"/>
      <c r="D465"/>
      <c r="E465"/>
      <c r="F465" s="73" t="s">
        <v>1590</v>
      </c>
      <c r="G465" s="73" t="s">
        <v>1589</v>
      </c>
      <c r="H465" s="73" t="s">
        <v>1053</v>
      </c>
      <c r="I465" s="136" t="s">
        <v>1591</v>
      </c>
      <c r="J465" s="85" t="s">
        <v>72</v>
      </c>
      <c r="K465" s="85" t="s">
        <v>1291</v>
      </c>
      <c r="L465" s="85"/>
      <c r="M465" s="85" t="s">
        <v>1592</v>
      </c>
      <c r="N465" s="85"/>
      <c r="O465" s="31">
        <f t="shared" si="19"/>
        <v>28</v>
      </c>
      <c r="P465" s="137"/>
      <c r="Q465" s="31">
        <f t="shared" si="20"/>
        <v>0</v>
      </c>
      <c r="R465" s="32">
        <f t="shared" si="2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8" s="73" customFormat="1" ht="15.75" thickBot="1" x14ac:dyDescent="0.3">
      <c r="A466"/>
      <c r="B466"/>
      <c r="C466"/>
      <c r="D466"/>
      <c r="E466"/>
      <c r="F466" s="73" t="s">
        <v>1584</v>
      </c>
      <c r="G466" s="73" t="s">
        <v>1640</v>
      </c>
      <c r="H466" s="73" t="s">
        <v>1053</v>
      </c>
      <c r="I466" s="136" t="s">
        <v>1638</v>
      </c>
      <c r="J466" s="85" t="s">
        <v>72</v>
      </c>
      <c r="K466" s="85" t="s">
        <v>1291</v>
      </c>
      <c r="L466" s="85"/>
      <c r="M466" s="85" t="s">
        <v>1642</v>
      </c>
      <c r="N466" s="85"/>
      <c r="O466" s="31">
        <f t="shared" si="19"/>
        <v>28</v>
      </c>
      <c r="P466" s="137"/>
      <c r="Q466" s="31">
        <f t="shared" si="20"/>
        <v>0</v>
      </c>
      <c r="R466" s="32">
        <f t="shared" si="21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8" s="73" customFormat="1" ht="15.75" thickBot="1" x14ac:dyDescent="0.3">
      <c r="A467"/>
      <c r="B467"/>
      <c r="C467"/>
      <c r="D467"/>
      <c r="E467"/>
      <c r="F467" s="73" t="s">
        <v>1584</v>
      </c>
      <c r="G467" s="73" t="s">
        <v>1641</v>
      </c>
      <c r="H467" s="73" t="s">
        <v>1053</v>
      </c>
      <c r="I467" s="136" t="s">
        <v>1639</v>
      </c>
      <c r="J467" s="85" t="s">
        <v>72</v>
      </c>
      <c r="K467" s="85" t="s">
        <v>1291</v>
      </c>
      <c r="L467" s="85"/>
      <c r="M467" s="85" t="s">
        <v>1643</v>
      </c>
      <c r="N467" s="85"/>
      <c r="O467" s="31">
        <f t="shared" si="19"/>
        <v>28</v>
      </c>
      <c r="P467" s="137"/>
      <c r="Q467" s="31">
        <f t="shared" si="20"/>
        <v>0</v>
      </c>
      <c r="R467" s="32">
        <f t="shared" si="21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8" s="73" customFormat="1" ht="15.75" thickBot="1" x14ac:dyDescent="0.3">
      <c r="A468"/>
      <c r="B468"/>
      <c r="C468"/>
      <c r="D468"/>
      <c r="E468"/>
      <c r="F468" s="73" t="s">
        <v>1584</v>
      </c>
      <c r="G468" s="73" t="s">
        <v>2143</v>
      </c>
      <c r="H468" s="73" t="s">
        <v>1053</v>
      </c>
      <c r="I468" s="136" t="s">
        <v>2144</v>
      </c>
      <c r="J468" s="85"/>
      <c r="K468" s="85" t="s">
        <v>1291</v>
      </c>
      <c r="L468" s="85"/>
      <c r="M468" s="85" t="s">
        <v>2309</v>
      </c>
      <c r="N468" s="85"/>
      <c r="O468" s="31">
        <f t="shared" si="19"/>
        <v>28</v>
      </c>
      <c r="P468" s="137"/>
      <c r="Q468" s="31">
        <f t="shared" si="20"/>
        <v>0</v>
      </c>
      <c r="R468" s="32">
        <f t="shared" si="21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8" s="73" customFormat="1" ht="15.75" thickBot="1" x14ac:dyDescent="0.3">
      <c r="A469"/>
      <c r="B469"/>
      <c r="C469"/>
      <c r="D469"/>
      <c r="E469"/>
      <c r="F469" s="73" t="s">
        <v>356</v>
      </c>
      <c r="G469" s="73" t="s">
        <v>473</v>
      </c>
      <c r="H469" s="73" t="s">
        <v>1053</v>
      </c>
      <c r="I469" s="73" t="s">
        <v>474</v>
      </c>
      <c r="J469" s="85" t="s">
        <v>72</v>
      </c>
      <c r="K469" s="85" t="s">
        <v>1291</v>
      </c>
      <c r="L469" s="85"/>
      <c r="M469" s="85" t="s">
        <v>817</v>
      </c>
      <c r="N469" s="85"/>
      <c r="O469" s="132">
        <f t="shared" si="19"/>
        <v>27</v>
      </c>
      <c r="P469" s="137" t="s">
        <v>2002</v>
      </c>
      <c r="Q469" s="132">
        <f t="shared" si="20"/>
        <v>1</v>
      </c>
      <c r="R469" s="133">
        <f t="shared" si="21"/>
        <v>0.9642857142857143</v>
      </c>
      <c r="S469" s="70"/>
      <c r="T469" s="70"/>
      <c r="U469" s="70"/>
      <c r="V469" s="70" t="s">
        <v>2240</v>
      </c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144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8" s="73" customFormat="1" ht="15.75" thickBot="1" x14ac:dyDescent="0.3">
      <c r="A470"/>
      <c r="B470"/>
      <c r="C470"/>
      <c r="D470"/>
      <c r="E470"/>
      <c r="F470" s="73" t="s">
        <v>356</v>
      </c>
      <c r="G470" s="73" t="s">
        <v>475</v>
      </c>
      <c r="H470" s="73" t="s">
        <v>1053</v>
      </c>
      <c r="I470" s="73" t="s">
        <v>474</v>
      </c>
      <c r="J470" s="85" t="s">
        <v>72</v>
      </c>
      <c r="K470" s="85" t="s">
        <v>1291</v>
      </c>
      <c r="L470" s="85"/>
      <c r="M470" s="85" t="s">
        <v>818</v>
      </c>
      <c r="N470" s="85"/>
      <c r="O470" s="132">
        <f t="shared" si="19"/>
        <v>27</v>
      </c>
      <c r="P470" s="137" t="s">
        <v>2003</v>
      </c>
      <c r="Q470" s="132">
        <f t="shared" si="20"/>
        <v>1</v>
      </c>
      <c r="R470" s="133">
        <f t="shared" si="21"/>
        <v>0.9642857142857143</v>
      </c>
      <c r="S470" s="70"/>
      <c r="T470" s="70"/>
      <c r="U470" s="70"/>
      <c r="V470" s="70" t="s">
        <v>2240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144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8" s="73" customFormat="1" ht="15.75" thickBot="1" x14ac:dyDescent="0.3">
      <c r="A471"/>
      <c r="B471"/>
      <c r="C471"/>
      <c r="D471"/>
      <c r="E471"/>
      <c r="F471" s="73" t="s">
        <v>356</v>
      </c>
      <c r="G471" s="85" t="s">
        <v>1095</v>
      </c>
      <c r="H471" s="85" t="s">
        <v>1053</v>
      </c>
      <c r="I471" s="73" t="s">
        <v>1094</v>
      </c>
      <c r="J471" s="85" t="s">
        <v>14</v>
      </c>
      <c r="K471" s="85" t="s">
        <v>1291</v>
      </c>
      <c r="L471" s="85"/>
      <c r="M471" s="85" t="s">
        <v>1096</v>
      </c>
      <c r="N471" s="85"/>
      <c r="O471" s="132">
        <f t="shared" si="19"/>
        <v>27</v>
      </c>
      <c r="P471" s="137"/>
      <c r="Q471" s="132">
        <f t="shared" si="20"/>
        <v>1</v>
      </c>
      <c r="R471" s="133">
        <f t="shared" si="21"/>
        <v>0.9642857142857143</v>
      </c>
      <c r="S471" s="70"/>
      <c r="T471" s="70"/>
      <c r="U471" s="70"/>
      <c r="V471" s="70" t="s">
        <v>2240</v>
      </c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144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8" s="73" customFormat="1" ht="15.75" thickBot="1" x14ac:dyDescent="0.3">
      <c r="A472"/>
      <c r="B472"/>
      <c r="C472"/>
      <c r="D472"/>
      <c r="E472"/>
      <c r="F472" s="73" t="s">
        <v>430</v>
      </c>
      <c r="G472" s="85" t="s">
        <v>2115</v>
      </c>
      <c r="H472" t="s">
        <v>1052</v>
      </c>
      <c r="I472" s="73" t="s">
        <v>2116</v>
      </c>
      <c r="J472" s="85" t="s">
        <v>14</v>
      </c>
      <c r="K472" s="85" t="s">
        <v>1291</v>
      </c>
      <c r="L472" s="85"/>
      <c r="M472" s="85" t="s">
        <v>2310</v>
      </c>
      <c r="N472" s="85"/>
      <c r="O472" s="132">
        <f t="shared" si="19"/>
        <v>28</v>
      </c>
      <c r="P472" s="137" t="s">
        <v>2117</v>
      </c>
      <c r="Q472" s="132">
        <f t="shared" si="20"/>
        <v>0</v>
      </c>
      <c r="R472" s="133">
        <f t="shared" si="21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4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8" s="73" customFormat="1" ht="15.75" thickBot="1" x14ac:dyDescent="0.3">
      <c r="A473"/>
      <c r="B473"/>
      <c r="C473"/>
      <c r="D473"/>
      <c r="E473"/>
      <c r="G473" s="85" t="s">
        <v>2239</v>
      </c>
      <c r="H473" t="s">
        <v>1052</v>
      </c>
      <c r="I473" s="73" t="s">
        <v>2258</v>
      </c>
      <c r="J473" s="85" t="s">
        <v>72</v>
      </c>
      <c r="K473" s="85" t="s">
        <v>1291</v>
      </c>
      <c r="L473" s="85"/>
      <c r="M473" s="85" t="s">
        <v>2318</v>
      </c>
      <c r="N473" s="85"/>
      <c r="O473" s="132">
        <f t="shared" si="19"/>
        <v>27</v>
      </c>
      <c r="P473" s="137"/>
      <c r="Q473" s="132">
        <f t="shared" si="20"/>
        <v>1</v>
      </c>
      <c r="R473" s="133">
        <f t="shared" si="21"/>
        <v>0.9642857142857143</v>
      </c>
      <c r="S473" s="70"/>
      <c r="T473" s="70"/>
      <c r="U473" s="70"/>
      <c r="V473" s="70" t="s">
        <v>2240</v>
      </c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4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8" ht="15.75" thickBot="1" x14ac:dyDescent="0.3">
      <c r="A474"/>
      <c r="B474"/>
      <c r="C474"/>
      <c r="D474"/>
      <c r="E474"/>
      <c r="F474" t="s">
        <v>261</v>
      </c>
      <c r="G474" t="s">
        <v>1023</v>
      </c>
      <c r="H474" t="s">
        <v>1052</v>
      </c>
      <c r="I474" t="s">
        <v>493</v>
      </c>
      <c r="J474" s="30" t="s">
        <v>18</v>
      </c>
      <c r="K474" s="30" t="s">
        <v>1046</v>
      </c>
      <c r="L474" s="30" t="s">
        <v>1247</v>
      </c>
      <c r="M474" s="30" t="s">
        <v>827</v>
      </c>
      <c r="N474" s="30"/>
      <c r="O474" s="31">
        <f t="shared" si="19"/>
        <v>27</v>
      </c>
      <c r="P474" s="137" t="s">
        <v>2004</v>
      </c>
      <c r="Q474" s="31">
        <f t="shared" si="20"/>
        <v>1</v>
      </c>
      <c r="R474" s="32">
        <f t="shared" si="21"/>
        <v>0.9642857142857143</v>
      </c>
      <c r="S474" s="70"/>
      <c r="T474" s="70"/>
      <c r="U474" s="70"/>
      <c r="V474" s="70" t="s">
        <v>2240</v>
      </c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8" ht="15.75" thickBot="1" x14ac:dyDescent="0.3">
      <c r="A475">
        <v>1</v>
      </c>
      <c r="B475">
        <v>19</v>
      </c>
      <c r="C475"/>
      <c r="D475"/>
      <c r="E475" t="s">
        <v>2346</v>
      </c>
      <c r="F475" t="s">
        <v>476</v>
      </c>
      <c r="G475" t="s">
        <v>477</v>
      </c>
      <c r="H475" t="s">
        <v>1052</v>
      </c>
      <c r="I475" t="s">
        <v>1594</v>
      </c>
      <c r="J475" s="30" t="s">
        <v>18</v>
      </c>
      <c r="K475" s="30" t="s">
        <v>1046</v>
      </c>
      <c r="L475" s="30" t="s">
        <v>1247</v>
      </c>
      <c r="M475" s="30" t="s">
        <v>819</v>
      </c>
      <c r="N475" s="30"/>
      <c r="O475" s="31">
        <f t="shared" si="19"/>
        <v>27</v>
      </c>
      <c r="P475" s="137" t="s">
        <v>2005</v>
      </c>
      <c r="Q475" s="31">
        <f t="shared" si="20"/>
        <v>1</v>
      </c>
      <c r="R475" s="32">
        <f t="shared" si="21"/>
        <v>0.9642857142857143</v>
      </c>
      <c r="S475" s="70"/>
      <c r="T475" s="70"/>
      <c r="U475" s="70"/>
      <c r="V475" s="70" t="s">
        <v>2240</v>
      </c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8" ht="15.75" thickBot="1" x14ac:dyDescent="0.3">
      <c r="A476">
        <v>6</v>
      </c>
      <c r="B476">
        <v>13</v>
      </c>
      <c r="C476"/>
      <c r="D476"/>
      <c r="E476" t="s">
        <v>2355</v>
      </c>
      <c r="F476" t="s">
        <v>476</v>
      </c>
      <c r="G476" t="s">
        <v>478</v>
      </c>
      <c r="H476" t="s">
        <v>1052</v>
      </c>
      <c r="I476" t="s">
        <v>479</v>
      </c>
      <c r="J476" s="30" t="s">
        <v>18</v>
      </c>
      <c r="K476" s="30" t="s">
        <v>27</v>
      </c>
      <c r="L476" s="30"/>
      <c r="M476" s="30" t="s">
        <v>820</v>
      </c>
      <c r="N476" s="30"/>
      <c r="O476" s="31">
        <f t="shared" ref="O476:O549" si="22">COUNTIF(S476:AT476,"")</f>
        <v>28</v>
      </c>
      <c r="P476" s="137" t="s">
        <v>2006</v>
      </c>
      <c r="Q476" s="31">
        <f t="shared" ref="Q476:Q549" si="23">COUNTIF(S476:AT476,"APAGADO")</f>
        <v>0</v>
      </c>
      <c r="R476" s="32">
        <f t="shared" ref="R476:R549" si="24">(O476)/(Q476+O476)</f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4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8" ht="15.75" thickBot="1" x14ac:dyDescent="0.3">
      <c r="A477">
        <v>6</v>
      </c>
      <c r="B477">
        <v>13</v>
      </c>
      <c r="C477"/>
      <c r="D477"/>
      <c r="E477" t="s">
        <v>2355</v>
      </c>
      <c r="F477" t="s">
        <v>480</v>
      </c>
      <c r="G477" t="s">
        <v>481</v>
      </c>
      <c r="H477" t="s">
        <v>1052</v>
      </c>
      <c r="I477" t="s">
        <v>482</v>
      </c>
      <c r="J477" s="30" t="s">
        <v>18</v>
      </c>
      <c r="K477" s="30" t="s">
        <v>27</v>
      </c>
      <c r="L477" s="30"/>
      <c r="M477" s="30" t="s">
        <v>821</v>
      </c>
      <c r="N477" s="30"/>
      <c r="O477" s="31">
        <f t="shared" si="22"/>
        <v>28</v>
      </c>
      <c r="P477" s="137" t="s">
        <v>2007</v>
      </c>
      <c r="Q477" s="31">
        <f t="shared" si="23"/>
        <v>0</v>
      </c>
      <c r="R477" s="32">
        <f t="shared" si="24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8" ht="15.75" thickBot="1" x14ac:dyDescent="0.3">
      <c r="A478">
        <v>6</v>
      </c>
      <c r="B478">
        <v>14</v>
      </c>
      <c r="C478"/>
      <c r="D478"/>
      <c r="E478" t="s">
        <v>2356</v>
      </c>
      <c r="F478" t="s">
        <v>476</v>
      </c>
      <c r="G478" t="s">
        <v>483</v>
      </c>
      <c r="H478" t="s">
        <v>1052</v>
      </c>
      <c r="I478" t="s">
        <v>484</v>
      </c>
      <c r="J478" s="30" t="s">
        <v>14</v>
      </c>
      <c r="K478" s="30" t="s">
        <v>27</v>
      </c>
      <c r="L478" s="30"/>
      <c r="M478" s="30" t="s">
        <v>822</v>
      </c>
      <c r="N478" s="30"/>
      <c r="O478" s="31">
        <f t="shared" si="22"/>
        <v>28</v>
      </c>
      <c r="P478" s="137" t="s">
        <v>2008</v>
      </c>
      <c r="Q478" s="31">
        <f t="shared" si="23"/>
        <v>0</v>
      </c>
      <c r="R478" s="32">
        <f t="shared" si="24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8" ht="15.75" thickBot="1" x14ac:dyDescent="0.3">
      <c r="A479"/>
      <c r="B479"/>
      <c r="C479"/>
      <c r="D479"/>
      <c r="E479"/>
      <c r="F479" t="s">
        <v>476</v>
      </c>
      <c r="G479" t="s">
        <v>485</v>
      </c>
      <c r="H479" t="s">
        <v>1052</v>
      </c>
      <c r="I479" t="s">
        <v>486</v>
      </c>
      <c r="J479" s="30" t="s">
        <v>18</v>
      </c>
      <c r="K479" s="30" t="s">
        <v>27</v>
      </c>
      <c r="L479" s="30"/>
      <c r="M479" s="30" t="s">
        <v>823</v>
      </c>
      <c r="N479" s="30"/>
      <c r="O479" s="31">
        <f t="shared" si="22"/>
        <v>28</v>
      </c>
      <c r="P479" s="137" t="s">
        <v>2009</v>
      </c>
      <c r="Q479" s="31">
        <f t="shared" si="23"/>
        <v>0</v>
      </c>
      <c r="R479" s="32">
        <f t="shared" si="24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8" s="73" customFormat="1" ht="15.75" thickBot="1" x14ac:dyDescent="0.3">
      <c r="A480"/>
      <c r="B480"/>
      <c r="C480"/>
      <c r="D480"/>
      <c r="E480"/>
      <c r="F480" s="73" t="s">
        <v>476</v>
      </c>
      <c r="G480" s="73" t="s">
        <v>487</v>
      </c>
      <c r="H480" s="73" t="s">
        <v>1052</v>
      </c>
      <c r="I480" s="73" t="s">
        <v>488</v>
      </c>
      <c r="J480" s="85" t="s">
        <v>14</v>
      </c>
      <c r="K480" s="85" t="s">
        <v>1291</v>
      </c>
      <c r="L480" s="85"/>
      <c r="M480" s="85" t="s">
        <v>824</v>
      </c>
      <c r="N480" s="85"/>
      <c r="O480" s="132">
        <f t="shared" si="22"/>
        <v>28</v>
      </c>
      <c r="P480" s="137" t="s">
        <v>2010</v>
      </c>
      <c r="Q480" s="132">
        <f t="shared" si="23"/>
        <v>0</v>
      </c>
      <c r="R480" s="133">
        <f t="shared" si="24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8" s="73" customFormat="1" ht="15.75" thickBot="1" x14ac:dyDescent="0.3">
      <c r="A481">
        <v>6</v>
      </c>
      <c r="B481">
        <v>14</v>
      </c>
      <c r="C481"/>
      <c r="D481"/>
      <c r="E481" t="s">
        <v>2356</v>
      </c>
      <c r="F481" s="73" t="s">
        <v>476</v>
      </c>
      <c r="G481" s="73" t="s">
        <v>489</v>
      </c>
      <c r="H481" s="73" t="s">
        <v>1052</v>
      </c>
      <c r="I481" s="73" t="s">
        <v>490</v>
      </c>
      <c r="J481" s="85" t="s">
        <v>18</v>
      </c>
      <c r="K481" s="85" t="s">
        <v>1291</v>
      </c>
      <c r="L481" s="85"/>
      <c r="M481" s="85" t="s">
        <v>825</v>
      </c>
      <c r="N481" s="85"/>
      <c r="O481" s="31">
        <f t="shared" si="22"/>
        <v>28</v>
      </c>
      <c r="P481" s="137" t="s">
        <v>2011</v>
      </c>
      <c r="Q481" s="31">
        <f t="shared" si="23"/>
        <v>0</v>
      </c>
      <c r="R481" s="32">
        <f t="shared" si="24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8" ht="15.75" thickBot="1" x14ac:dyDescent="0.3">
      <c r="A482"/>
      <c r="B482"/>
      <c r="C482"/>
      <c r="D482"/>
      <c r="E482"/>
      <c r="F482" t="s">
        <v>476</v>
      </c>
      <c r="G482" t="s">
        <v>491</v>
      </c>
      <c r="H482" t="s">
        <v>1052</v>
      </c>
      <c r="I482" t="s">
        <v>492</v>
      </c>
      <c r="J482" s="30" t="s">
        <v>18</v>
      </c>
      <c r="K482" s="30" t="s">
        <v>1046</v>
      </c>
      <c r="L482" s="30" t="s">
        <v>1248</v>
      </c>
      <c r="M482" s="30" t="s">
        <v>826</v>
      </c>
      <c r="N482" s="30"/>
      <c r="O482" s="31">
        <f t="shared" si="22"/>
        <v>27</v>
      </c>
      <c r="P482" s="137" t="s">
        <v>2012</v>
      </c>
      <c r="Q482" s="31">
        <f t="shared" si="23"/>
        <v>1</v>
      </c>
      <c r="R482" s="32">
        <f t="shared" si="24"/>
        <v>0.9642857142857143</v>
      </c>
      <c r="S482" s="70"/>
      <c r="T482" s="70"/>
      <c r="U482" s="70"/>
      <c r="V482" s="70" t="s">
        <v>2240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4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8" s="73" customFormat="1" ht="15.75" thickBot="1" x14ac:dyDescent="0.3">
      <c r="A483"/>
      <c r="B483"/>
      <c r="C483"/>
      <c r="D483"/>
      <c r="E483"/>
      <c r="F483" s="73" t="s">
        <v>476</v>
      </c>
      <c r="G483" s="73" t="s">
        <v>1178</v>
      </c>
      <c r="H483" s="73" t="s">
        <v>1052</v>
      </c>
      <c r="I483" s="73" t="s">
        <v>1179</v>
      </c>
      <c r="J483" s="85" t="s">
        <v>1104</v>
      </c>
      <c r="K483" s="85" t="s">
        <v>1291</v>
      </c>
      <c r="L483" s="85"/>
      <c r="M483" s="85" t="s">
        <v>1180</v>
      </c>
      <c r="N483" s="85"/>
      <c r="O483" s="132">
        <f t="shared" si="22"/>
        <v>28</v>
      </c>
      <c r="P483" s="137" t="s">
        <v>2013</v>
      </c>
      <c r="Q483" s="132">
        <f t="shared" si="23"/>
        <v>0</v>
      </c>
      <c r="R483" s="133">
        <f t="shared" si="24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8" s="73" customFormat="1" ht="15.75" thickBot="1" x14ac:dyDescent="0.3">
      <c r="A484"/>
      <c r="B484"/>
      <c r="C484"/>
      <c r="D484"/>
      <c r="E484"/>
      <c r="F484" s="73" t="s">
        <v>476</v>
      </c>
      <c r="G484" s="73" t="s">
        <v>1181</v>
      </c>
      <c r="H484" s="73" t="s">
        <v>1052</v>
      </c>
      <c r="I484" s="73" t="s">
        <v>1179</v>
      </c>
      <c r="J484" s="85" t="s">
        <v>1104</v>
      </c>
      <c r="K484" s="85" t="s">
        <v>27</v>
      </c>
      <c r="L484" s="85"/>
      <c r="M484" s="85" t="s">
        <v>1182</v>
      </c>
      <c r="N484" s="85"/>
      <c r="O484" s="86">
        <f t="shared" si="22"/>
        <v>28</v>
      </c>
      <c r="P484" s="137" t="s">
        <v>2014</v>
      </c>
      <c r="Q484" s="86">
        <f t="shared" si="23"/>
        <v>0</v>
      </c>
      <c r="R484" s="87">
        <f t="shared" si="24"/>
        <v>1</v>
      </c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70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70"/>
      <c r="AS484" s="70"/>
      <c r="AT484" s="70"/>
      <c r="AU484" s="70"/>
      <c r="AV484" s="70"/>
    </row>
    <row r="485" spans="1:48" ht="15.75" thickBot="1" x14ac:dyDescent="0.3">
      <c r="A485">
        <v>7</v>
      </c>
      <c r="B485">
        <v>6</v>
      </c>
      <c r="C485"/>
      <c r="D485"/>
      <c r="E485" t="s">
        <v>2357</v>
      </c>
      <c r="F485" t="s">
        <v>476</v>
      </c>
      <c r="G485" t="s">
        <v>1211</v>
      </c>
      <c r="H485" t="s">
        <v>1052</v>
      </c>
      <c r="I485" t="s">
        <v>1227</v>
      </c>
      <c r="J485" t="s">
        <v>72</v>
      </c>
      <c r="K485" t="s">
        <v>27</v>
      </c>
      <c r="L485"/>
      <c r="M485" s="30" t="s">
        <v>1272</v>
      </c>
      <c r="N485" s="30"/>
      <c r="O485" s="31">
        <f t="shared" si="22"/>
        <v>28</v>
      </c>
      <c r="P485" s="137" t="s">
        <v>2015</v>
      </c>
      <c r="Q485" s="31">
        <f t="shared" si="23"/>
        <v>0</v>
      </c>
      <c r="R485" s="32">
        <f t="shared" si="24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8" ht="15.75" thickBot="1" x14ac:dyDescent="0.3">
      <c r="A486">
        <v>7</v>
      </c>
      <c r="B486">
        <v>6</v>
      </c>
      <c r="C486"/>
      <c r="D486"/>
      <c r="E486" t="s">
        <v>2357</v>
      </c>
      <c r="F486" t="s">
        <v>476</v>
      </c>
      <c r="G486" t="s">
        <v>1212</v>
      </c>
      <c r="H486" t="s">
        <v>1052</v>
      </c>
      <c r="I486" t="s">
        <v>1227</v>
      </c>
      <c r="J486" t="s">
        <v>72</v>
      </c>
      <c r="K486" t="s">
        <v>27</v>
      </c>
      <c r="L486"/>
      <c r="M486" s="30" t="s">
        <v>1273</v>
      </c>
      <c r="N486" s="30"/>
      <c r="O486" s="31">
        <f t="shared" si="22"/>
        <v>28</v>
      </c>
      <c r="P486" s="137" t="s">
        <v>2016</v>
      </c>
      <c r="Q486" s="31">
        <f t="shared" si="23"/>
        <v>0</v>
      </c>
      <c r="R486" s="32">
        <f t="shared" si="24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8" ht="15.75" thickBot="1" x14ac:dyDescent="0.3">
      <c r="A487">
        <v>6</v>
      </c>
      <c r="B487">
        <v>14</v>
      </c>
      <c r="C487"/>
      <c r="D487"/>
      <c r="E487" t="s">
        <v>2356</v>
      </c>
      <c r="F487" t="s">
        <v>476</v>
      </c>
      <c r="G487" t="s">
        <v>1330</v>
      </c>
      <c r="H487" t="s">
        <v>1052</v>
      </c>
      <c r="I487" s="68" t="s">
        <v>1331</v>
      </c>
      <c r="J487" t="s">
        <v>72</v>
      </c>
      <c r="K487" t="s">
        <v>27</v>
      </c>
      <c r="L487"/>
      <c r="M487" s="30" t="s">
        <v>1320</v>
      </c>
      <c r="N487" s="30"/>
      <c r="O487" s="31">
        <f t="shared" si="22"/>
        <v>28</v>
      </c>
      <c r="P487" s="137" t="s">
        <v>2017</v>
      </c>
      <c r="Q487" s="31">
        <f t="shared" si="23"/>
        <v>0</v>
      </c>
      <c r="R487" s="32">
        <f t="shared" si="24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8" s="73" customFormat="1" ht="15.75" thickBot="1" x14ac:dyDescent="0.3">
      <c r="A488"/>
      <c r="B488"/>
      <c r="C488"/>
      <c r="D488"/>
      <c r="E488"/>
      <c r="F488" s="73" t="s">
        <v>476</v>
      </c>
      <c r="G488" s="73" t="s">
        <v>1341</v>
      </c>
      <c r="H488" s="73" t="s">
        <v>1052</v>
      </c>
      <c r="I488" s="136" t="s">
        <v>1348</v>
      </c>
      <c r="J488" s="73" t="s">
        <v>14</v>
      </c>
      <c r="K488" s="73" t="s">
        <v>1291</v>
      </c>
      <c r="M488" s="85" t="s">
        <v>1410</v>
      </c>
      <c r="N488" s="85"/>
      <c r="O488" s="86">
        <f t="shared" si="22"/>
        <v>28</v>
      </c>
      <c r="P488" s="137" t="s">
        <v>2018</v>
      </c>
      <c r="Q488" s="86">
        <f t="shared" si="23"/>
        <v>0</v>
      </c>
      <c r="R488" s="87">
        <f t="shared" si="24"/>
        <v>1</v>
      </c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70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70"/>
      <c r="AS488" s="70"/>
      <c r="AT488" s="70"/>
      <c r="AU488" s="70"/>
      <c r="AV488" s="70"/>
    </row>
    <row r="489" spans="1:48" s="73" customFormat="1" ht="15.75" thickBot="1" x14ac:dyDescent="0.3">
      <c r="A489"/>
      <c r="B489"/>
      <c r="C489"/>
      <c r="D489"/>
      <c r="E489"/>
      <c r="F489" s="73" t="s">
        <v>476</v>
      </c>
      <c r="G489" s="73" t="s">
        <v>1588</v>
      </c>
      <c r="H489" s="73" t="s">
        <v>1052</v>
      </c>
      <c r="I489" s="136" t="s">
        <v>1593</v>
      </c>
      <c r="J489" s="73" t="s">
        <v>14</v>
      </c>
      <c r="K489" s="73" t="s">
        <v>1291</v>
      </c>
      <c r="M489" s="85" t="s">
        <v>1595</v>
      </c>
      <c r="N489" s="85"/>
      <c r="O489" s="86">
        <f t="shared" si="22"/>
        <v>28</v>
      </c>
      <c r="P489" s="137" t="s">
        <v>2135</v>
      </c>
      <c r="Q489" s="86">
        <f t="shared" si="23"/>
        <v>0</v>
      </c>
      <c r="R489" s="87">
        <f t="shared" si="24"/>
        <v>1</v>
      </c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70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70"/>
      <c r="AS489" s="70"/>
      <c r="AT489" s="70"/>
      <c r="AU489" s="70"/>
      <c r="AV489" s="70"/>
    </row>
    <row r="490" spans="1:48" s="73" customFormat="1" ht="15.75" thickBot="1" x14ac:dyDescent="0.3">
      <c r="A490"/>
      <c r="B490"/>
      <c r="C490"/>
      <c r="D490"/>
      <c r="E490"/>
      <c r="F490" s="73" t="s">
        <v>476</v>
      </c>
      <c r="G490" s="73" t="s">
        <v>1606</v>
      </c>
      <c r="H490" s="73" t="s">
        <v>1052</v>
      </c>
      <c r="I490" s="136" t="s">
        <v>1599</v>
      </c>
      <c r="J490" s="73" t="s">
        <v>18</v>
      </c>
      <c r="K490" s="73" t="s">
        <v>1291</v>
      </c>
      <c r="M490" s="85" t="s">
        <v>1607</v>
      </c>
      <c r="N490" s="85"/>
      <c r="O490" s="86">
        <f t="shared" si="22"/>
        <v>27</v>
      </c>
      <c r="P490" s="137" t="s">
        <v>2136</v>
      </c>
      <c r="Q490" s="86">
        <f t="shared" si="23"/>
        <v>1</v>
      </c>
      <c r="R490" s="87">
        <f t="shared" si="24"/>
        <v>0.9642857142857143</v>
      </c>
      <c r="S490" s="70"/>
      <c r="T490" s="88"/>
      <c r="U490" s="88"/>
      <c r="V490" s="70" t="s">
        <v>2240</v>
      </c>
      <c r="W490" s="88"/>
      <c r="X490" s="70"/>
      <c r="Y490" s="70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70"/>
      <c r="AS490" s="70"/>
      <c r="AT490" s="70"/>
      <c r="AU490" s="70"/>
      <c r="AV490" s="70"/>
    </row>
    <row r="491" spans="1:48" s="73" customFormat="1" ht="15.75" thickBot="1" x14ac:dyDescent="0.3">
      <c r="A491"/>
      <c r="B491"/>
      <c r="C491"/>
      <c r="D491"/>
      <c r="E491"/>
      <c r="F491" s="73" t="s">
        <v>476</v>
      </c>
      <c r="G491" s="73" t="s">
        <v>1601</v>
      </c>
      <c r="H491" s="73" t="s">
        <v>1052</v>
      </c>
      <c r="I491" s="136" t="s">
        <v>1600</v>
      </c>
      <c r="J491" s="73" t="s">
        <v>1104</v>
      </c>
      <c r="K491" s="73" t="s">
        <v>1291</v>
      </c>
      <c r="M491" s="85" t="s">
        <v>1605</v>
      </c>
      <c r="N491" s="85"/>
      <c r="O491" s="86">
        <f t="shared" si="22"/>
        <v>28</v>
      </c>
      <c r="P491" s="137" t="s">
        <v>2137</v>
      </c>
      <c r="Q491" s="86">
        <f t="shared" si="23"/>
        <v>0</v>
      </c>
      <c r="R491" s="87">
        <f t="shared" si="24"/>
        <v>1</v>
      </c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70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70"/>
      <c r="AS491" s="70"/>
      <c r="AT491" s="70"/>
      <c r="AU491" s="70"/>
      <c r="AV491" s="70"/>
    </row>
    <row r="492" spans="1:48" s="73" customFormat="1" ht="15.75" thickBot="1" x14ac:dyDescent="0.3">
      <c r="A492"/>
      <c r="B492"/>
      <c r="C492"/>
      <c r="D492"/>
      <c r="E492"/>
      <c r="F492" s="73" t="s">
        <v>476</v>
      </c>
      <c r="G492" s="73" t="s">
        <v>1602</v>
      </c>
      <c r="H492" s="73" t="s">
        <v>1052</v>
      </c>
      <c r="I492" s="136" t="s">
        <v>1603</v>
      </c>
      <c r="J492" s="73" t="s">
        <v>1104</v>
      </c>
      <c r="K492" s="73" t="s">
        <v>1291</v>
      </c>
      <c r="M492" s="85" t="s">
        <v>1604</v>
      </c>
      <c r="N492" s="85"/>
      <c r="O492" s="86">
        <f t="shared" si="22"/>
        <v>28</v>
      </c>
      <c r="P492" s="137" t="s">
        <v>2138</v>
      </c>
      <c r="Q492" s="86">
        <f t="shared" si="23"/>
        <v>0</v>
      </c>
      <c r="R492" s="87">
        <f t="shared" si="24"/>
        <v>1</v>
      </c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70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70"/>
      <c r="AS492" s="70"/>
      <c r="AT492" s="70"/>
      <c r="AU492" s="70"/>
      <c r="AV492" s="70"/>
    </row>
    <row r="493" spans="1:48" s="73" customFormat="1" ht="15.75" thickBot="1" x14ac:dyDescent="0.3">
      <c r="A493"/>
      <c r="B493"/>
      <c r="C493"/>
      <c r="D493"/>
      <c r="E493"/>
      <c r="F493" s="73" t="s">
        <v>476</v>
      </c>
      <c r="G493" s="73" t="s">
        <v>2249</v>
      </c>
      <c r="H493" s="73" t="s">
        <v>1052</v>
      </c>
      <c r="I493" s="136" t="s">
        <v>2250</v>
      </c>
      <c r="J493" s="30" t="s">
        <v>14</v>
      </c>
      <c r="K493" s="73" t="s">
        <v>1291</v>
      </c>
      <c r="M493" s="85" t="s">
        <v>2272</v>
      </c>
      <c r="N493" s="85"/>
      <c r="O493" s="86">
        <f t="shared" si="22"/>
        <v>28</v>
      </c>
      <c r="P493" s="137" t="s">
        <v>2273</v>
      </c>
      <c r="Q493" s="86">
        <f t="shared" si="23"/>
        <v>0</v>
      </c>
      <c r="R493" s="87">
        <f t="shared" si="24"/>
        <v>1</v>
      </c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70"/>
      <c r="AS493" s="70"/>
      <c r="AT493" s="70"/>
      <c r="AU493" s="70"/>
      <c r="AV493" s="70"/>
    </row>
    <row r="494" spans="1:48" s="73" customFormat="1" ht="15.75" thickBot="1" x14ac:dyDescent="0.3">
      <c r="A494"/>
      <c r="B494"/>
      <c r="C494"/>
      <c r="D494"/>
      <c r="E494"/>
      <c r="F494" s="73" t="s">
        <v>226</v>
      </c>
      <c r="G494" s="73" t="s">
        <v>494</v>
      </c>
      <c r="H494" s="73" t="s">
        <v>1053</v>
      </c>
      <c r="I494" s="73" t="s">
        <v>495</v>
      </c>
      <c r="J494" s="85" t="s">
        <v>18</v>
      </c>
      <c r="K494" s="85" t="s">
        <v>1291</v>
      </c>
      <c r="L494" s="85"/>
      <c r="M494" s="85" t="s">
        <v>828</v>
      </c>
      <c r="N494" s="85"/>
      <c r="O494" s="132">
        <f t="shared" si="22"/>
        <v>28</v>
      </c>
      <c r="P494" s="137" t="s">
        <v>2019</v>
      </c>
      <c r="Q494" s="132">
        <f t="shared" si="23"/>
        <v>0</v>
      </c>
      <c r="R494" s="133">
        <f t="shared" si="24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8" ht="15.75" thickBot="1" x14ac:dyDescent="0.3">
      <c r="A495"/>
      <c r="B495"/>
      <c r="C495"/>
      <c r="D495"/>
      <c r="E495"/>
      <c r="F495" t="s">
        <v>226</v>
      </c>
      <c r="G495" t="s">
        <v>496</v>
      </c>
      <c r="H495" t="s">
        <v>1053</v>
      </c>
      <c r="I495" t="s">
        <v>497</v>
      </c>
      <c r="J495" s="30" t="s">
        <v>14</v>
      </c>
      <c r="K495" s="30" t="s">
        <v>19</v>
      </c>
      <c r="L495" s="30"/>
      <c r="M495" s="30" t="s">
        <v>829</v>
      </c>
      <c r="N495" s="30"/>
      <c r="O495" s="31">
        <f t="shared" si="22"/>
        <v>28</v>
      </c>
      <c r="P495" s="137"/>
      <c r="Q495" s="31">
        <f t="shared" si="23"/>
        <v>0</v>
      </c>
      <c r="R495" s="32">
        <f t="shared" si="24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8" ht="15.75" thickBot="1" x14ac:dyDescent="0.3">
      <c r="A496"/>
      <c r="B496"/>
      <c r="C496"/>
      <c r="D496"/>
      <c r="E496"/>
      <c r="F496" t="s">
        <v>226</v>
      </c>
      <c r="G496" t="s">
        <v>498</v>
      </c>
      <c r="H496" t="s">
        <v>1053</v>
      </c>
      <c r="I496" t="s">
        <v>499</v>
      </c>
      <c r="J496" s="30" t="s">
        <v>72</v>
      </c>
      <c r="K496" s="30" t="s">
        <v>19</v>
      </c>
      <c r="L496" s="30"/>
      <c r="M496" s="30" t="s">
        <v>830</v>
      </c>
      <c r="N496" s="30"/>
      <c r="O496" s="31">
        <f t="shared" si="22"/>
        <v>28</v>
      </c>
      <c r="P496" s="137"/>
      <c r="Q496" s="31">
        <f t="shared" si="23"/>
        <v>0</v>
      </c>
      <c r="R496" s="32">
        <f t="shared" si="24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8" ht="15.75" thickBot="1" x14ac:dyDescent="0.3">
      <c r="A497"/>
      <c r="B497"/>
      <c r="C497"/>
      <c r="D497"/>
      <c r="E497"/>
      <c r="F497" t="s">
        <v>226</v>
      </c>
      <c r="G497" t="s">
        <v>500</v>
      </c>
      <c r="H497" t="s">
        <v>1053</v>
      </c>
      <c r="I497" t="s">
        <v>499</v>
      </c>
      <c r="J497" s="30" t="s">
        <v>72</v>
      </c>
      <c r="K497" s="30" t="s">
        <v>19</v>
      </c>
      <c r="L497" s="30"/>
      <c r="M497" s="30" t="s">
        <v>831</v>
      </c>
      <c r="N497" s="30"/>
      <c r="O497" s="31">
        <f t="shared" si="22"/>
        <v>28</v>
      </c>
      <c r="P497" s="137"/>
      <c r="Q497" s="31">
        <f t="shared" si="23"/>
        <v>0</v>
      </c>
      <c r="R497" s="32">
        <f t="shared" si="24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8" ht="15.75" thickBot="1" x14ac:dyDescent="0.3">
      <c r="A498"/>
      <c r="B498"/>
      <c r="C498"/>
      <c r="D498"/>
      <c r="E498"/>
      <c r="F498" t="s">
        <v>226</v>
      </c>
      <c r="G498" t="s">
        <v>501</v>
      </c>
      <c r="H498" t="s">
        <v>1053</v>
      </c>
      <c r="I498" t="s">
        <v>502</v>
      </c>
      <c r="J498" s="30" t="s">
        <v>72</v>
      </c>
      <c r="K498" s="30" t="s">
        <v>19</v>
      </c>
      <c r="L498" s="30"/>
      <c r="M498" s="30" t="s">
        <v>832</v>
      </c>
      <c r="N498" s="30"/>
      <c r="O498" s="31">
        <f t="shared" si="22"/>
        <v>28</v>
      </c>
      <c r="P498" s="137"/>
      <c r="Q498" s="31">
        <f t="shared" si="23"/>
        <v>0</v>
      </c>
      <c r="R498" s="32">
        <f t="shared" si="24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8" ht="15.75" thickBot="1" x14ac:dyDescent="0.3">
      <c r="A499"/>
      <c r="B499"/>
      <c r="C499"/>
      <c r="D499"/>
      <c r="E499"/>
      <c r="F499" t="s">
        <v>226</v>
      </c>
      <c r="G499" t="s">
        <v>503</v>
      </c>
      <c r="H499" t="s">
        <v>1053</v>
      </c>
      <c r="I499" t="s">
        <v>502</v>
      </c>
      <c r="J499" s="30" t="s">
        <v>72</v>
      </c>
      <c r="K499" s="30" t="s">
        <v>19</v>
      </c>
      <c r="L499" s="30"/>
      <c r="M499" s="30" t="s">
        <v>833</v>
      </c>
      <c r="N499" s="30"/>
      <c r="O499" s="31">
        <f t="shared" si="22"/>
        <v>28</v>
      </c>
      <c r="P499" s="137"/>
      <c r="Q499" s="31">
        <f t="shared" si="23"/>
        <v>0</v>
      </c>
      <c r="R499" s="32">
        <f t="shared" si="24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8" ht="15.75" thickBot="1" x14ac:dyDescent="0.3">
      <c r="A500"/>
      <c r="B500"/>
      <c r="C500"/>
      <c r="D500"/>
      <c r="E500"/>
      <c r="F500" t="s">
        <v>226</v>
      </c>
      <c r="G500" t="s">
        <v>504</v>
      </c>
      <c r="H500" t="s">
        <v>1053</v>
      </c>
      <c r="I500" t="s">
        <v>505</v>
      </c>
      <c r="J500" s="30" t="s">
        <v>14</v>
      </c>
      <c r="K500" s="30" t="s">
        <v>27</v>
      </c>
      <c r="L500" s="30"/>
      <c r="M500" s="30" t="s">
        <v>834</v>
      </c>
      <c r="N500" s="30"/>
      <c r="O500" s="31">
        <f t="shared" si="22"/>
        <v>28</v>
      </c>
      <c r="P500" s="137" t="s">
        <v>2020</v>
      </c>
      <c r="Q500" s="31">
        <f t="shared" si="23"/>
        <v>0</v>
      </c>
      <c r="R500" s="32">
        <f t="shared" si="24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8" ht="15.75" thickBot="1" x14ac:dyDescent="0.3">
      <c r="A501">
        <v>6</v>
      </c>
      <c r="B501">
        <v>12</v>
      </c>
      <c r="C501"/>
      <c r="D501"/>
      <c r="E501" t="s">
        <v>2353</v>
      </c>
      <c r="F501" t="s">
        <v>226</v>
      </c>
      <c r="G501" t="s">
        <v>1024</v>
      </c>
      <c r="H501" t="s">
        <v>1053</v>
      </c>
      <c r="I501" t="s">
        <v>506</v>
      </c>
      <c r="J501" s="30" t="s">
        <v>72</v>
      </c>
      <c r="K501" s="30" t="s">
        <v>27</v>
      </c>
      <c r="L501" s="30"/>
      <c r="M501" s="30" t="s">
        <v>835</v>
      </c>
      <c r="N501" s="30"/>
      <c r="O501" s="31">
        <f t="shared" si="22"/>
        <v>28</v>
      </c>
      <c r="P501" s="137" t="s">
        <v>2021</v>
      </c>
      <c r="Q501" s="31">
        <f t="shared" si="23"/>
        <v>0</v>
      </c>
      <c r="R501" s="32">
        <f t="shared" si="24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8" ht="15.75" thickBot="1" x14ac:dyDescent="0.3">
      <c r="A502">
        <v>6</v>
      </c>
      <c r="B502">
        <v>12</v>
      </c>
      <c r="C502"/>
      <c r="D502"/>
      <c r="E502" t="s">
        <v>2353</v>
      </c>
      <c r="F502" t="s">
        <v>226</v>
      </c>
      <c r="G502" t="s">
        <v>1025</v>
      </c>
      <c r="H502" t="s">
        <v>1053</v>
      </c>
      <c r="I502" t="s">
        <v>506</v>
      </c>
      <c r="J502" s="30" t="s">
        <v>72</v>
      </c>
      <c r="K502" s="30" t="s">
        <v>27</v>
      </c>
      <c r="L502" s="30"/>
      <c r="M502" s="30" t="s">
        <v>836</v>
      </c>
      <c r="N502" s="30"/>
      <c r="O502" s="31">
        <f t="shared" si="22"/>
        <v>28</v>
      </c>
      <c r="P502" s="137" t="s">
        <v>2022</v>
      </c>
      <c r="Q502" s="31">
        <f t="shared" si="23"/>
        <v>0</v>
      </c>
      <c r="R502" s="32">
        <f t="shared" si="24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8" ht="15.75" thickBot="1" x14ac:dyDescent="0.3">
      <c r="A503">
        <v>6</v>
      </c>
      <c r="B503">
        <v>12</v>
      </c>
      <c r="C503"/>
      <c r="D503"/>
      <c r="E503" t="s">
        <v>2353</v>
      </c>
      <c r="F503" t="s">
        <v>226</v>
      </c>
      <c r="G503" t="s">
        <v>507</v>
      </c>
      <c r="H503" t="s">
        <v>1053</v>
      </c>
      <c r="I503" t="s">
        <v>508</v>
      </c>
      <c r="J503" s="30" t="s">
        <v>72</v>
      </c>
      <c r="K503" s="30" t="s">
        <v>27</v>
      </c>
      <c r="L503" s="30"/>
      <c r="M503" s="30" t="s">
        <v>837</v>
      </c>
      <c r="N503" s="30"/>
      <c r="O503" s="31">
        <f t="shared" si="22"/>
        <v>28</v>
      </c>
      <c r="P503" s="137" t="s">
        <v>2023</v>
      </c>
      <c r="Q503" s="31">
        <f t="shared" si="23"/>
        <v>0</v>
      </c>
      <c r="R503" s="32">
        <f t="shared" si="24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8" ht="15.75" thickBot="1" x14ac:dyDescent="0.3">
      <c r="A504">
        <v>6</v>
      </c>
      <c r="B504">
        <v>12</v>
      </c>
      <c r="C504"/>
      <c r="D504"/>
      <c r="E504" t="s">
        <v>2353</v>
      </c>
      <c r="F504" t="s">
        <v>226</v>
      </c>
      <c r="G504" t="s">
        <v>509</v>
      </c>
      <c r="H504" t="s">
        <v>1053</v>
      </c>
      <c r="I504" t="s">
        <v>508</v>
      </c>
      <c r="J504" s="30" t="s">
        <v>72</v>
      </c>
      <c r="K504" s="30" t="s">
        <v>27</v>
      </c>
      <c r="L504" s="30"/>
      <c r="M504" s="30" t="s">
        <v>838</v>
      </c>
      <c r="N504" s="30"/>
      <c r="O504" s="31">
        <f t="shared" si="22"/>
        <v>28</v>
      </c>
      <c r="P504" s="137" t="s">
        <v>2024</v>
      </c>
      <c r="Q504" s="31">
        <f t="shared" si="23"/>
        <v>0</v>
      </c>
      <c r="R504" s="32">
        <f t="shared" si="24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8" ht="15.75" thickBot="1" x14ac:dyDescent="0.3">
      <c r="A505">
        <v>6</v>
      </c>
      <c r="B505">
        <v>12</v>
      </c>
      <c r="C505"/>
      <c r="D505"/>
      <c r="E505" t="s">
        <v>2353</v>
      </c>
      <c r="F505" t="s">
        <v>226</v>
      </c>
      <c r="G505" s="30" t="s">
        <v>1085</v>
      </c>
      <c r="H505" s="30" t="s">
        <v>1053</v>
      </c>
      <c r="I505" t="s">
        <v>1086</v>
      </c>
      <c r="J505" s="30" t="s">
        <v>18</v>
      </c>
      <c r="K505" s="30" t="s">
        <v>27</v>
      </c>
      <c r="L505" s="30"/>
      <c r="M505" s="30" t="s">
        <v>1087</v>
      </c>
      <c r="N505" s="30"/>
      <c r="O505" s="31">
        <f t="shared" si="22"/>
        <v>28</v>
      </c>
      <c r="P505" s="137" t="s">
        <v>2025</v>
      </c>
      <c r="Q505" s="31">
        <f t="shared" si="23"/>
        <v>0</v>
      </c>
      <c r="R505" s="32">
        <f t="shared" si="24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</row>
    <row r="506" spans="1:48" ht="15.75" thickBot="1" x14ac:dyDescent="0.3">
      <c r="A506">
        <v>6</v>
      </c>
      <c r="B506">
        <v>12</v>
      </c>
      <c r="C506"/>
      <c r="D506"/>
      <c r="E506" t="s">
        <v>2353</v>
      </c>
      <c r="F506" t="s">
        <v>226</v>
      </c>
      <c r="G506" s="30" t="s">
        <v>1090</v>
      </c>
      <c r="H506" s="30" t="s">
        <v>1053</v>
      </c>
      <c r="I506" t="s">
        <v>1088</v>
      </c>
      <c r="J506" s="30" t="s">
        <v>18</v>
      </c>
      <c r="K506" s="30" t="s">
        <v>27</v>
      </c>
      <c r="L506" s="30"/>
      <c r="M506" s="30" t="s">
        <v>1089</v>
      </c>
      <c r="N506" s="30"/>
      <c r="O506" s="31">
        <f t="shared" si="22"/>
        <v>28</v>
      </c>
      <c r="P506" s="137" t="s">
        <v>2026</v>
      </c>
      <c r="Q506" s="31">
        <f t="shared" si="23"/>
        <v>0</v>
      </c>
      <c r="R506" s="32">
        <f t="shared" si="24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8" ht="15.75" thickBot="1" x14ac:dyDescent="0.3">
      <c r="A507"/>
      <c r="B507"/>
      <c r="C507"/>
      <c r="D507"/>
      <c r="E507"/>
      <c r="F507" t="s">
        <v>226</v>
      </c>
      <c r="G507" s="30" t="s">
        <v>1091</v>
      </c>
      <c r="H507" s="30" t="s">
        <v>1053</v>
      </c>
      <c r="I507" t="s">
        <v>1092</v>
      </c>
      <c r="J507" s="30" t="s">
        <v>18</v>
      </c>
      <c r="K507" s="30" t="s">
        <v>27</v>
      </c>
      <c r="L507" s="30"/>
      <c r="M507" s="30" t="s">
        <v>1093</v>
      </c>
      <c r="N507" s="30"/>
      <c r="O507" s="31">
        <f t="shared" si="22"/>
        <v>28</v>
      </c>
      <c r="P507" s="137" t="s">
        <v>2027</v>
      </c>
      <c r="Q507" s="31">
        <f t="shared" si="23"/>
        <v>0</v>
      </c>
      <c r="R507" s="32">
        <f t="shared" si="24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</row>
    <row r="508" spans="1:48" ht="15.75" thickBot="1" x14ac:dyDescent="0.3">
      <c r="A508"/>
      <c r="B508"/>
      <c r="C508"/>
      <c r="D508"/>
      <c r="E508"/>
      <c r="F508" t="s">
        <v>515</v>
      </c>
      <c r="G508" t="s">
        <v>523</v>
      </c>
      <c r="H508" t="s">
        <v>1053</v>
      </c>
      <c r="I508" t="s">
        <v>2211</v>
      </c>
      <c r="J508" s="30" t="s">
        <v>18</v>
      </c>
      <c r="K508" s="30" t="s">
        <v>27</v>
      </c>
      <c r="L508" s="30"/>
      <c r="M508" s="30" t="s">
        <v>839</v>
      </c>
      <c r="N508" s="30"/>
      <c r="O508" s="31">
        <f t="shared" si="22"/>
        <v>27</v>
      </c>
      <c r="P508" s="137" t="s">
        <v>2028</v>
      </c>
      <c r="Q508" s="31">
        <f t="shared" si="23"/>
        <v>1</v>
      </c>
      <c r="R508" s="32">
        <f t="shared" si="24"/>
        <v>0.9642857142857143</v>
      </c>
      <c r="S508" s="70"/>
      <c r="T508" s="70"/>
      <c r="U508" s="70"/>
      <c r="V508" s="70" t="s">
        <v>2240</v>
      </c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8" ht="15.75" thickBot="1" x14ac:dyDescent="0.3">
      <c r="A509"/>
      <c r="B509"/>
      <c r="C509"/>
      <c r="D509"/>
      <c r="E509"/>
      <c r="F509" t="s">
        <v>511</v>
      </c>
      <c r="G509" t="s">
        <v>524</v>
      </c>
      <c r="H509" t="s">
        <v>1053</v>
      </c>
      <c r="I509" t="s">
        <v>1081</v>
      </c>
      <c r="J509" s="30" t="s">
        <v>18</v>
      </c>
      <c r="K509" s="30" t="s">
        <v>27</v>
      </c>
      <c r="L509" s="30"/>
      <c r="M509" s="30" t="s">
        <v>840</v>
      </c>
      <c r="N509" s="30"/>
      <c r="O509" s="31">
        <f t="shared" si="22"/>
        <v>27</v>
      </c>
      <c r="P509" s="137" t="s">
        <v>2029</v>
      </c>
      <c r="Q509" s="31">
        <f t="shared" si="23"/>
        <v>1</v>
      </c>
      <c r="R509" s="32">
        <f t="shared" si="24"/>
        <v>0.9642857142857143</v>
      </c>
      <c r="S509" s="70"/>
      <c r="T509" s="70"/>
      <c r="U509" s="70"/>
      <c r="V509" s="70" t="s">
        <v>2240</v>
      </c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8" ht="15.75" thickBot="1" x14ac:dyDescent="0.3">
      <c r="A510">
        <v>4</v>
      </c>
      <c r="B510">
        <v>12</v>
      </c>
      <c r="C510"/>
      <c r="D510"/>
      <c r="E510" t="s">
        <v>2351</v>
      </c>
      <c r="F510" t="s">
        <v>511</v>
      </c>
      <c r="G510" t="s">
        <v>525</v>
      </c>
      <c r="H510" t="s">
        <v>1053</v>
      </c>
      <c r="I510" t="s">
        <v>526</v>
      </c>
      <c r="J510" s="30" t="s">
        <v>18</v>
      </c>
      <c r="K510" s="30" t="s">
        <v>27</v>
      </c>
      <c r="L510" s="30"/>
      <c r="M510" s="30" t="s">
        <v>841</v>
      </c>
      <c r="N510" s="30"/>
      <c r="O510" s="31">
        <f t="shared" si="22"/>
        <v>28</v>
      </c>
      <c r="P510" s="137" t="s">
        <v>2030</v>
      </c>
      <c r="Q510" s="31">
        <f t="shared" si="23"/>
        <v>0</v>
      </c>
      <c r="R510" s="32">
        <f t="shared" si="24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8" ht="15.75" thickBot="1" x14ac:dyDescent="0.3">
      <c r="A511">
        <v>4</v>
      </c>
      <c r="B511">
        <v>12</v>
      </c>
      <c r="C511"/>
      <c r="D511"/>
      <c r="E511" t="s">
        <v>2351</v>
      </c>
      <c r="F511" s="73" t="s">
        <v>511</v>
      </c>
      <c r="G511" s="73" t="s">
        <v>527</v>
      </c>
      <c r="H511" s="73" t="s">
        <v>1053</v>
      </c>
      <c r="I511" s="73" t="s">
        <v>528</v>
      </c>
      <c r="J511" s="85" t="s">
        <v>18</v>
      </c>
      <c r="K511" s="85" t="s">
        <v>27</v>
      </c>
      <c r="L511" s="85"/>
      <c r="M511" s="85" t="s">
        <v>842</v>
      </c>
      <c r="N511" s="85"/>
      <c r="O511" s="31">
        <f t="shared" si="22"/>
        <v>28</v>
      </c>
      <c r="P511" s="137" t="s">
        <v>2031</v>
      </c>
      <c r="Q511" s="31">
        <f t="shared" si="23"/>
        <v>0</v>
      </c>
      <c r="R511" s="32">
        <f t="shared" si="24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8" s="73" customFormat="1" ht="15.75" thickBot="1" x14ac:dyDescent="0.3">
      <c r="A512"/>
      <c r="B512"/>
      <c r="C512"/>
      <c r="D512"/>
      <c r="E512"/>
      <c r="F512" s="73" t="s">
        <v>511</v>
      </c>
      <c r="G512" s="73" t="s">
        <v>529</v>
      </c>
      <c r="H512" s="73" t="s">
        <v>1053</v>
      </c>
      <c r="I512" s="73" t="s">
        <v>530</v>
      </c>
      <c r="J512" s="85" t="s">
        <v>18</v>
      </c>
      <c r="K512" s="85" t="s">
        <v>1291</v>
      </c>
      <c r="L512" s="85"/>
      <c r="M512" s="85" t="s">
        <v>1487</v>
      </c>
      <c r="N512" s="85"/>
      <c r="O512" s="132">
        <f t="shared" si="22"/>
        <v>28</v>
      </c>
      <c r="P512" s="137" t="s">
        <v>2032</v>
      </c>
      <c r="Q512" s="132">
        <f t="shared" si="23"/>
        <v>0</v>
      </c>
      <c r="R512" s="133">
        <f t="shared" si="24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8" ht="15.75" thickBot="1" x14ac:dyDescent="0.3">
      <c r="A513"/>
      <c r="B513"/>
      <c r="C513"/>
      <c r="D513"/>
      <c r="E513"/>
      <c r="F513" t="s">
        <v>511</v>
      </c>
      <c r="G513" t="s">
        <v>531</v>
      </c>
      <c r="H513" t="s">
        <v>1053</v>
      </c>
      <c r="I513" t="s">
        <v>1059</v>
      </c>
      <c r="J513" s="30" t="s">
        <v>18</v>
      </c>
      <c r="K513" s="30" t="s">
        <v>27</v>
      </c>
      <c r="L513" s="30"/>
      <c r="M513" s="30" t="s">
        <v>843</v>
      </c>
      <c r="N513" s="30"/>
      <c r="O513" s="31">
        <f t="shared" si="22"/>
        <v>27</v>
      </c>
      <c r="P513" s="137" t="s">
        <v>2033</v>
      </c>
      <c r="Q513" s="31">
        <f t="shared" si="23"/>
        <v>1</v>
      </c>
      <c r="R513" s="32">
        <f t="shared" si="24"/>
        <v>0.9642857142857143</v>
      </c>
      <c r="S513" s="70"/>
      <c r="T513" s="70"/>
      <c r="U513" s="70"/>
      <c r="V513" s="70" t="s">
        <v>2240</v>
      </c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144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8" ht="15.75" thickBot="1" x14ac:dyDescent="0.3">
      <c r="A514"/>
      <c r="B514"/>
      <c r="C514"/>
      <c r="D514"/>
      <c r="E514"/>
      <c r="F514" t="s">
        <v>511</v>
      </c>
      <c r="G514" t="s">
        <v>532</v>
      </c>
      <c r="H514" t="s">
        <v>1052</v>
      </c>
      <c r="I514" t="s">
        <v>1058</v>
      </c>
      <c r="J514" s="30" t="s">
        <v>18</v>
      </c>
      <c r="K514" s="30" t="s">
        <v>27</v>
      </c>
      <c r="L514" s="30"/>
      <c r="M514" s="30" t="s">
        <v>844</v>
      </c>
      <c r="N514" s="30"/>
      <c r="O514" s="31">
        <f t="shared" si="22"/>
        <v>28</v>
      </c>
      <c r="P514" s="137" t="s">
        <v>2034</v>
      </c>
      <c r="Q514" s="31">
        <f t="shared" si="23"/>
        <v>0</v>
      </c>
      <c r="R514" s="32">
        <f t="shared" si="24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8" s="73" customFormat="1" ht="15.75" thickBot="1" x14ac:dyDescent="0.3">
      <c r="A515"/>
      <c r="B515"/>
      <c r="C515"/>
      <c r="D515"/>
      <c r="E515"/>
      <c r="F515" s="73" t="s">
        <v>515</v>
      </c>
      <c r="G515" s="73" t="s">
        <v>533</v>
      </c>
      <c r="H515" s="73" t="s">
        <v>1053</v>
      </c>
      <c r="I515" s="73" t="s">
        <v>534</v>
      </c>
      <c r="J515" s="85" t="s">
        <v>18</v>
      </c>
      <c r="K515" s="85" t="s">
        <v>1291</v>
      </c>
      <c r="L515" s="85"/>
      <c r="M515" s="85" t="s">
        <v>845</v>
      </c>
      <c r="N515" s="85"/>
      <c r="O515" s="132">
        <f t="shared" si="22"/>
        <v>28</v>
      </c>
      <c r="P515" s="137" t="s">
        <v>2035</v>
      </c>
      <c r="Q515" s="132">
        <f t="shared" si="23"/>
        <v>0</v>
      </c>
      <c r="R515" s="133">
        <f t="shared" si="24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8" ht="15.75" thickBot="1" x14ac:dyDescent="0.3">
      <c r="A516">
        <v>5</v>
      </c>
      <c r="B516">
        <v>3</v>
      </c>
      <c r="C516"/>
      <c r="D516"/>
      <c r="E516" t="s">
        <v>1246</v>
      </c>
      <c r="F516" t="s">
        <v>515</v>
      </c>
      <c r="G516" t="s">
        <v>535</v>
      </c>
      <c r="H516" t="s">
        <v>1053</v>
      </c>
      <c r="I516" t="s">
        <v>536</v>
      </c>
      <c r="J516" s="30" t="s">
        <v>18</v>
      </c>
      <c r="K516" s="30" t="s">
        <v>27</v>
      </c>
      <c r="L516" s="30"/>
      <c r="M516" s="30" t="s">
        <v>846</v>
      </c>
      <c r="N516" s="30"/>
      <c r="O516" s="31">
        <f t="shared" si="22"/>
        <v>28</v>
      </c>
      <c r="P516" s="137" t="s">
        <v>2036</v>
      </c>
      <c r="Q516" s="31">
        <f t="shared" si="23"/>
        <v>0</v>
      </c>
      <c r="R516" s="32">
        <f t="shared" si="24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144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8" ht="15.75" thickBot="1" x14ac:dyDescent="0.3">
      <c r="A517">
        <v>4</v>
      </c>
      <c r="B517">
        <v>12</v>
      </c>
      <c r="C517"/>
      <c r="D517"/>
      <c r="E517" t="s">
        <v>2351</v>
      </c>
      <c r="F517" t="s">
        <v>511</v>
      </c>
      <c r="G517" t="s">
        <v>1026</v>
      </c>
      <c r="H517" t="s">
        <v>1053</v>
      </c>
      <c r="I517" t="s">
        <v>537</v>
      </c>
      <c r="J517" s="30" t="s">
        <v>18</v>
      </c>
      <c r="K517" s="30" t="s">
        <v>27</v>
      </c>
      <c r="L517" s="30"/>
      <c r="M517" s="30" t="s">
        <v>847</v>
      </c>
      <c r="N517" s="30"/>
      <c r="O517" s="31">
        <f t="shared" si="22"/>
        <v>28</v>
      </c>
      <c r="P517" s="137" t="s">
        <v>2037</v>
      </c>
      <c r="Q517" s="31">
        <f t="shared" si="23"/>
        <v>0</v>
      </c>
      <c r="R517" s="32">
        <f t="shared" si="24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8" ht="15.75" thickBot="1" x14ac:dyDescent="0.3">
      <c r="A518"/>
      <c r="B518"/>
      <c r="C518"/>
      <c r="D518"/>
      <c r="E518"/>
      <c r="F518" t="s">
        <v>515</v>
      </c>
      <c r="G518" t="s">
        <v>538</v>
      </c>
      <c r="H518" t="s">
        <v>1053</v>
      </c>
      <c r="I518" t="s">
        <v>539</v>
      </c>
      <c r="J518" s="30" t="s">
        <v>18</v>
      </c>
      <c r="K518" s="85" t="s">
        <v>1291</v>
      </c>
      <c r="L518" s="30"/>
      <c r="M518" s="30" t="s">
        <v>848</v>
      </c>
      <c r="N518" s="30"/>
      <c r="O518" s="31">
        <f t="shared" si="22"/>
        <v>27</v>
      </c>
      <c r="P518" s="137" t="s">
        <v>2038</v>
      </c>
      <c r="Q518" s="31">
        <f t="shared" si="23"/>
        <v>1</v>
      </c>
      <c r="R518" s="32">
        <f t="shared" si="24"/>
        <v>0.9642857142857143</v>
      </c>
      <c r="S518" s="70"/>
      <c r="T518" s="70"/>
      <c r="U518" s="70"/>
      <c r="V518" s="70" t="s">
        <v>2240</v>
      </c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8" ht="15.75" thickBot="1" x14ac:dyDescent="0.3">
      <c r="A519"/>
      <c r="B519"/>
      <c r="C519"/>
      <c r="D519"/>
      <c r="E519"/>
      <c r="F519" t="s">
        <v>515</v>
      </c>
      <c r="G519" t="s">
        <v>1030</v>
      </c>
      <c r="H519" t="s">
        <v>1053</v>
      </c>
      <c r="I519" t="s">
        <v>510</v>
      </c>
      <c r="J519" s="30" t="s">
        <v>14</v>
      </c>
      <c r="K519" s="30" t="s">
        <v>1046</v>
      </c>
      <c r="L519" s="30" t="s">
        <v>1249</v>
      </c>
      <c r="M519" s="30" t="s">
        <v>849</v>
      </c>
      <c r="N519" s="30"/>
      <c r="O519" s="31">
        <f t="shared" si="22"/>
        <v>28</v>
      </c>
      <c r="P519" s="137" t="s">
        <v>2039</v>
      </c>
      <c r="Q519" s="31">
        <f t="shared" si="23"/>
        <v>0</v>
      </c>
      <c r="R519" s="32">
        <f t="shared" si="24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8" ht="15.75" thickBot="1" x14ac:dyDescent="0.3">
      <c r="A520"/>
      <c r="B520"/>
      <c r="C520"/>
      <c r="D520"/>
      <c r="E520"/>
      <c r="F520" t="s">
        <v>511</v>
      </c>
      <c r="G520" t="s">
        <v>1031</v>
      </c>
      <c r="H520" t="s">
        <v>1053</v>
      </c>
      <c r="I520" t="s">
        <v>512</v>
      </c>
      <c r="J520" s="30" t="s">
        <v>18</v>
      </c>
      <c r="K520" s="30" t="s">
        <v>27</v>
      </c>
      <c r="L520" s="30"/>
      <c r="M520" s="30" t="s">
        <v>850</v>
      </c>
      <c r="N520" s="30"/>
      <c r="O520" s="31">
        <f t="shared" si="22"/>
        <v>28</v>
      </c>
      <c r="P520" s="137" t="s">
        <v>2040</v>
      </c>
      <c r="Q520" s="31">
        <f t="shared" si="23"/>
        <v>0</v>
      </c>
      <c r="R520" s="32">
        <f t="shared" si="24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8" ht="15.75" thickBot="1" x14ac:dyDescent="0.3">
      <c r="A521"/>
      <c r="B521"/>
      <c r="C521"/>
      <c r="D521"/>
      <c r="E521"/>
      <c r="F521" t="s">
        <v>515</v>
      </c>
      <c r="G521" t="s">
        <v>1027</v>
      </c>
      <c r="H521" t="s">
        <v>1053</v>
      </c>
      <c r="I521" t="s">
        <v>540</v>
      </c>
      <c r="J521" s="30" t="s">
        <v>14</v>
      </c>
      <c r="K521" s="30" t="s">
        <v>27</v>
      </c>
      <c r="L521" s="30"/>
      <c r="M521" s="30" t="s">
        <v>851</v>
      </c>
      <c r="N521" s="30"/>
      <c r="O521" s="31">
        <f t="shared" si="22"/>
        <v>27</v>
      </c>
      <c r="P521" s="137" t="s">
        <v>2041</v>
      </c>
      <c r="Q521" s="31">
        <f t="shared" si="23"/>
        <v>1</v>
      </c>
      <c r="R521" s="32">
        <f t="shared" si="24"/>
        <v>0.9642857142857143</v>
      </c>
      <c r="S521" s="70"/>
      <c r="T521" s="70"/>
      <c r="U521" s="70"/>
      <c r="V521" s="70" t="s">
        <v>2240</v>
      </c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8" ht="15.75" thickBot="1" x14ac:dyDescent="0.3">
      <c r="A522">
        <v>4</v>
      </c>
      <c r="B522">
        <v>12</v>
      </c>
      <c r="C522"/>
      <c r="D522"/>
      <c r="E522" t="s">
        <v>2351</v>
      </c>
      <c r="F522" t="s">
        <v>515</v>
      </c>
      <c r="G522" t="s">
        <v>513</v>
      </c>
      <c r="H522" t="s">
        <v>1053</v>
      </c>
      <c r="I522" t="s">
        <v>514</v>
      </c>
      <c r="J522" s="30" t="s">
        <v>14</v>
      </c>
      <c r="K522" s="30" t="s">
        <v>1046</v>
      </c>
      <c r="L522" s="30" t="s">
        <v>1250</v>
      </c>
      <c r="M522" s="30" t="s">
        <v>852</v>
      </c>
      <c r="N522" s="30"/>
      <c r="O522" s="31">
        <f t="shared" si="22"/>
        <v>28</v>
      </c>
      <c r="P522" s="137" t="s">
        <v>2042</v>
      </c>
      <c r="Q522" s="31">
        <f t="shared" si="23"/>
        <v>0</v>
      </c>
      <c r="R522" s="32">
        <f t="shared" si="24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8" ht="15.75" thickBot="1" x14ac:dyDescent="0.3">
      <c r="A523">
        <v>5</v>
      </c>
      <c r="B523">
        <v>3</v>
      </c>
      <c r="C523"/>
      <c r="D523"/>
      <c r="E523" t="s">
        <v>1246</v>
      </c>
      <c r="F523" t="s">
        <v>515</v>
      </c>
      <c r="G523" t="s">
        <v>516</v>
      </c>
      <c r="H523" t="s">
        <v>1053</v>
      </c>
      <c r="I523" t="s">
        <v>517</v>
      </c>
      <c r="J523" s="30" t="s">
        <v>14</v>
      </c>
      <c r="K523" s="30" t="s">
        <v>1046</v>
      </c>
      <c r="L523" s="30" t="s">
        <v>1246</v>
      </c>
      <c r="M523" s="30" t="s">
        <v>853</v>
      </c>
      <c r="N523" s="30"/>
      <c r="O523" s="31">
        <f t="shared" si="22"/>
        <v>28</v>
      </c>
      <c r="P523" s="137" t="s">
        <v>2043</v>
      </c>
      <c r="Q523" s="31">
        <f t="shared" si="23"/>
        <v>0</v>
      </c>
      <c r="R523" s="32">
        <f t="shared" si="24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144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8" ht="15.75" thickBot="1" x14ac:dyDescent="0.3">
      <c r="A524"/>
      <c r="B524"/>
      <c r="C524"/>
      <c r="D524"/>
      <c r="E524"/>
      <c r="F524" t="s">
        <v>515</v>
      </c>
      <c r="G524" t="s">
        <v>518</v>
      </c>
      <c r="H524" t="s">
        <v>1053</v>
      </c>
      <c r="I524" t="s">
        <v>1080</v>
      </c>
      <c r="J524" s="30" t="s">
        <v>14</v>
      </c>
      <c r="K524" s="30" t="s">
        <v>1046</v>
      </c>
      <c r="L524" s="30" t="s">
        <v>1251</v>
      </c>
      <c r="M524" s="30" t="s">
        <v>854</v>
      </c>
      <c r="N524" s="30"/>
      <c r="O524" s="31">
        <f t="shared" si="22"/>
        <v>27</v>
      </c>
      <c r="P524" s="137" t="s">
        <v>2044</v>
      </c>
      <c r="Q524" s="31">
        <f t="shared" si="23"/>
        <v>1</v>
      </c>
      <c r="R524" s="32">
        <f t="shared" si="24"/>
        <v>0.9642857142857143</v>
      </c>
      <c r="S524" s="70"/>
      <c r="T524" s="70"/>
      <c r="U524" s="70"/>
      <c r="V524" s="70" t="s">
        <v>2240</v>
      </c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144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8" ht="15.75" thickBot="1" x14ac:dyDescent="0.3">
      <c r="A525">
        <v>4</v>
      </c>
      <c r="B525">
        <v>12</v>
      </c>
      <c r="C525"/>
      <c r="D525"/>
      <c r="E525" t="s">
        <v>2351</v>
      </c>
      <c r="F525" t="s">
        <v>511</v>
      </c>
      <c r="G525" t="s">
        <v>1032</v>
      </c>
      <c r="H525" t="s">
        <v>1053</v>
      </c>
      <c r="I525" t="s">
        <v>519</v>
      </c>
      <c r="J525" s="30" t="s">
        <v>14</v>
      </c>
      <c r="K525" s="30" t="s">
        <v>1046</v>
      </c>
      <c r="L525" s="30" t="s">
        <v>1252</v>
      </c>
      <c r="M525" s="30" t="s">
        <v>855</v>
      </c>
      <c r="N525" s="30"/>
      <c r="O525" s="31">
        <f t="shared" si="22"/>
        <v>28</v>
      </c>
      <c r="P525" s="137" t="s">
        <v>2045</v>
      </c>
      <c r="Q525" s="31">
        <f t="shared" si="23"/>
        <v>0</v>
      </c>
      <c r="R525" s="32">
        <f t="shared" si="2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8" ht="15.75" thickBot="1" x14ac:dyDescent="0.3">
      <c r="A526"/>
      <c r="B526"/>
      <c r="C526"/>
      <c r="D526"/>
      <c r="E526"/>
      <c r="F526" t="s">
        <v>511</v>
      </c>
      <c r="G526" t="s">
        <v>1033</v>
      </c>
      <c r="H526" t="s">
        <v>1053</v>
      </c>
      <c r="I526" t="s">
        <v>520</v>
      </c>
      <c r="J526" s="30" t="s">
        <v>14</v>
      </c>
      <c r="K526" s="30" t="s">
        <v>19</v>
      </c>
      <c r="L526" s="30"/>
      <c r="M526" s="30" t="s">
        <v>856</v>
      </c>
      <c r="N526" s="30"/>
      <c r="O526" s="31">
        <f t="shared" si="22"/>
        <v>28</v>
      </c>
      <c r="P526" s="137"/>
      <c r="Q526" s="31">
        <f t="shared" si="23"/>
        <v>0</v>
      </c>
      <c r="R526" s="32">
        <f t="shared" si="24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8" s="73" customFormat="1" ht="15.75" thickBot="1" x14ac:dyDescent="0.3">
      <c r="A527"/>
      <c r="B527"/>
      <c r="C527"/>
      <c r="D527"/>
      <c r="E527"/>
      <c r="F527" s="73" t="s">
        <v>515</v>
      </c>
      <c r="G527" s="73" t="s">
        <v>521</v>
      </c>
      <c r="H527" s="73" t="s">
        <v>1053</v>
      </c>
      <c r="I527" s="73" t="s">
        <v>522</v>
      </c>
      <c r="J527" s="85" t="s">
        <v>45</v>
      </c>
      <c r="K527" s="85" t="s">
        <v>1291</v>
      </c>
      <c r="L527" s="85"/>
      <c r="M527" s="85" t="s">
        <v>1355</v>
      </c>
      <c r="N527" s="85"/>
      <c r="O527" s="132">
        <f t="shared" si="22"/>
        <v>28</v>
      </c>
      <c r="P527" s="137" t="s">
        <v>2046</v>
      </c>
      <c r="Q527" s="132">
        <f t="shared" si="23"/>
        <v>0</v>
      </c>
      <c r="R527" s="133">
        <f t="shared" si="2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8" ht="15.75" thickBot="1" x14ac:dyDescent="0.3">
      <c r="A528">
        <v>4</v>
      </c>
      <c r="B528">
        <v>12</v>
      </c>
      <c r="C528"/>
      <c r="D528"/>
      <c r="E528" t="s">
        <v>2351</v>
      </c>
      <c r="F528" t="s">
        <v>511</v>
      </c>
      <c r="G528" t="s">
        <v>1028</v>
      </c>
      <c r="H528" t="s">
        <v>1053</v>
      </c>
      <c r="I528" t="s">
        <v>541</v>
      </c>
      <c r="J528" s="30" t="s">
        <v>72</v>
      </c>
      <c r="K528" s="30" t="s">
        <v>27</v>
      </c>
      <c r="L528" s="30"/>
      <c r="M528" s="30" t="s">
        <v>857</v>
      </c>
      <c r="N528" s="30"/>
      <c r="O528" s="31">
        <f t="shared" si="22"/>
        <v>28</v>
      </c>
      <c r="P528" s="137" t="s">
        <v>2047</v>
      </c>
      <c r="Q528" s="31">
        <f t="shared" si="23"/>
        <v>0</v>
      </c>
      <c r="R528" s="32">
        <f t="shared" si="2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8" ht="15.75" thickBot="1" x14ac:dyDescent="0.3">
      <c r="A529">
        <v>4</v>
      </c>
      <c r="B529">
        <v>12</v>
      </c>
      <c r="C529"/>
      <c r="D529"/>
      <c r="E529" t="s">
        <v>2351</v>
      </c>
      <c r="F529" t="s">
        <v>511</v>
      </c>
      <c r="G529" t="s">
        <v>1029</v>
      </c>
      <c r="H529" t="s">
        <v>1053</v>
      </c>
      <c r="I529" t="s">
        <v>541</v>
      </c>
      <c r="J529" s="30" t="s">
        <v>72</v>
      </c>
      <c r="K529" s="30" t="s">
        <v>27</v>
      </c>
      <c r="L529" s="30"/>
      <c r="M529" s="30" t="s">
        <v>858</v>
      </c>
      <c r="N529" s="30"/>
      <c r="O529" s="31">
        <f t="shared" si="22"/>
        <v>28</v>
      </c>
      <c r="P529" s="137" t="s">
        <v>2048</v>
      </c>
      <c r="Q529" s="31">
        <f t="shared" si="23"/>
        <v>0</v>
      </c>
      <c r="R529" s="32">
        <f t="shared" si="2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8" ht="15.75" thickBot="1" x14ac:dyDescent="0.3">
      <c r="A530"/>
      <c r="B530"/>
      <c r="C530"/>
      <c r="D530"/>
      <c r="E530"/>
      <c r="F530" t="s">
        <v>511</v>
      </c>
      <c r="G530" t="s">
        <v>542</v>
      </c>
      <c r="H530" t="s">
        <v>1052</v>
      </c>
      <c r="I530" t="s">
        <v>543</v>
      </c>
      <c r="J530" s="30" t="s">
        <v>72</v>
      </c>
      <c r="K530" s="30" t="s">
        <v>27</v>
      </c>
      <c r="L530" s="30"/>
      <c r="M530" s="30" t="s">
        <v>667</v>
      </c>
      <c r="N530" s="30"/>
      <c r="O530" s="31">
        <f t="shared" si="22"/>
        <v>28</v>
      </c>
      <c r="P530" s="137" t="s">
        <v>2049</v>
      </c>
      <c r="Q530" s="31">
        <f t="shared" si="23"/>
        <v>0</v>
      </c>
      <c r="R530" s="32">
        <f t="shared" si="2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8" ht="15.75" thickBot="1" x14ac:dyDescent="0.3">
      <c r="A531"/>
      <c r="B531"/>
      <c r="C531"/>
      <c r="D531"/>
      <c r="E531"/>
      <c r="F531" t="s">
        <v>511</v>
      </c>
      <c r="G531" t="s">
        <v>544</v>
      </c>
      <c r="H531" t="s">
        <v>1052</v>
      </c>
      <c r="I531" t="s">
        <v>543</v>
      </c>
      <c r="J531" s="30" t="s">
        <v>72</v>
      </c>
      <c r="K531" s="30" t="s">
        <v>27</v>
      </c>
      <c r="L531" s="30"/>
      <c r="M531" s="30" t="s">
        <v>859</v>
      </c>
      <c r="N531" s="30"/>
      <c r="O531" s="31">
        <f t="shared" si="22"/>
        <v>28</v>
      </c>
      <c r="P531" s="137" t="s">
        <v>2050</v>
      </c>
      <c r="Q531" s="31">
        <f t="shared" si="23"/>
        <v>0</v>
      </c>
      <c r="R531" s="32">
        <f t="shared" si="2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8" ht="15.75" thickBot="1" x14ac:dyDescent="0.3">
      <c r="A532"/>
      <c r="B532"/>
      <c r="C532"/>
      <c r="D532"/>
      <c r="E532"/>
      <c r="F532" t="s">
        <v>511</v>
      </c>
      <c r="G532" t="s">
        <v>1135</v>
      </c>
      <c r="H532" t="s">
        <v>1053</v>
      </c>
      <c r="I532" t="s">
        <v>1137</v>
      </c>
      <c r="J532" s="30" t="s">
        <v>72</v>
      </c>
      <c r="K532" s="30" t="s">
        <v>27</v>
      </c>
      <c r="L532" s="30"/>
      <c r="M532" s="30" t="s">
        <v>1138</v>
      </c>
      <c r="N532" s="30"/>
      <c r="O532" s="31">
        <f t="shared" si="22"/>
        <v>27</v>
      </c>
      <c r="P532" s="137" t="s">
        <v>2051</v>
      </c>
      <c r="Q532" s="31">
        <f t="shared" si="23"/>
        <v>1</v>
      </c>
      <c r="R532" s="32">
        <f t="shared" si="24"/>
        <v>0.9642857142857143</v>
      </c>
      <c r="S532" s="70"/>
      <c r="T532" s="70"/>
      <c r="U532" s="70"/>
      <c r="V532" s="70" t="s">
        <v>2240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8" ht="15.75" thickBot="1" x14ac:dyDescent="0.3">
      <c r="A533"/>
      <c r="B533"/>
      <c r="C533"/>
      <c r="D533"/>
      <c r="E533"/>
      <c r="F533" t="s">
        <v>511</v>
      </c>
      <c r="G533" t="s">
        <v>1136</v>
      </c>
      <c r="H533" t="s">
        <v>1053</v>
      </c>
      <c r="I533" t="s">
        <v>1137</v>
      </c>
      <c r="J533" s="30" t="s">
        <v>1104</v>
      </c>
      <c r="K533" s="30" t="s">
        <v>27</v>
      </c>
      <c r="L533" s="30"/>
      <c r="M533" s="30" t="s">
        <v>1139</v>
      </c>
      <c r="N533" s="30"/>
      <c r="O533" s="31">
        <f t="shared" si="22"/>
        <v>27</v>
      </c>
      <c r="P533" s="137" t="s">
        <v>2052</v>
      </c>
      <c r="Q533" s="31">
        <f t="shared" si="23"/>
        <v>1</v>
      </c>
      <c r="R533" s="32">
        <f t="shared" si="24"/>
        <v>0.9642857142857143</v>
      </c>
      <c r="S533" s="70"/>
      <c r="T533" s="70"/>
      <c r="U533" s="70"/>
      <c r="V533" s="70" t="s">
        <v>2240</v>
      </c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8" s="73" customFormat="1" ht="15.75" thickBot="1" x14ac:dyDescent="0.3">
      <c r="A534"/>
      <c r="B534"/>
      <c r="C534"/>
      <c r="D534"/>
      <c r="E534"/>
      <c r="F534" s="73" t="s">
        <v>515</v>
      </c>
      <c r="G534" s="85" t="s">
        <v>1198</v>
      </c>
      <c r="H534" s="85" t="s">
        <v>1053</v>
      </c>
      <c r="I534" s="73" t="s">
        <v>1194</v>
      </c>
      <c r="J534" s="85" t="s">
        <v>14</v>
      </c>
      <c r="K534" s="85" t="s">
        <v>1291</v>
      </c>
      <c r="L534" s="85"/>
      <c r="M534" s="85" t="s">
        <v>1195</v>
      </c>
      <c r="N534" s="85"/>
      <c r="O534" s="132">
        <f t="shared" si="22"/>
        <v>28</v>
      </c>
      <c r="P534" s="137" t="s">
        <v>2053</v>
      </c>
      <c r="Q534" s="132">
        <f t="shared" si="23"/>
        <v>0</v>
      </c>
      <c r="R534" s="133">
        <f t="shared" si="2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8" ht="15.75" thickBot="1" x14ac:dyDescent="0.3">
      <c r="A535"/>
      <c r="B535"/>
      <c r="C535"/>
      <c r="D535"/>
      <c r="E535"/>
      <c r="F535" t="s">
        <v>515</v>
      </c>
      <c r="G535" s="30" t="s">
        <v>1515</v>
      </c>
      <c r="H535" s="30" t="s">
        <v>1053</v>
      </c>
      <c r="I535" t="s">
        <v>1516</v>
      </c>
      <c r="J535" s="30" t="s">
        <v>1104</v>
      </c>
      <c r="K535" s="30" t="s">
        <v>27</v>
      </c>
      <c r="L535" s="30"/>
      <c r="M535" s="30" t="s">
        <v>1517</v>
      </c>
      <c r="N535" s="30"/>
      <c r="O535" s="132">
        <f t="shared" si="22"/>
        <v>27</v>
      </c>
      <c r="P535" s="137" t="s">
        <v>2054</v>
      </c>
      <c r="Q535" s="132">
        <f t="shared" si="23"/>
        <v>1</v>
      </c>
      <c r="R535" s="133">
        <f t="shared" si="24"/>
        <v>0.9642857142857143</v>
      </c>
      <c r="S535" s="70"/>
      <c r="T535" s="70"/>
      <c r="U535" s="70"/>
      <c r="V535" s="70" t="s">
        <v>2240</v>
      </c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8" s="73" customFormat="1" ht="15.75" thickBot="1" x14ac:dyDescent="0.3">
      <c r="A536"/>
      <c r="B536"/>
      <c r="C536"/>
      <c r="D536"/>
      <c r="E536"/>
      <c r="F536" s="73" t="s">
        <v>515</v>
      </c>
      <c r="G536" s="85" t="s">
        <v>1566</v>
      </c>
      <c r="H536" s="85" t="s">
        <v>1053</v>
      </c>
      <c r="I536" s="73" t="s">
        <v>1567</v>
      </c>
      <c r="J536" s="85" t="s">
        <v>14</v>
      </c>
      <c r="K536" s="85" t="s">
        <v>1291</v>
      </c>
      <c r="L536" s="85"/>
      <c r="M536" s="85" t="s">
        <v>1568</v>
      </c>
      <c r="N536" s="85"/>
      <c r="O536" s="132">
        <f t="shared" si="22"/>
        <v>28</v>
      </c>
      <c r="P536" s="137" t="s">
        <v>2055</v>
      </c>
      <c r="Q536" s="132">
        <f t="shared" si="23"/>
        <v>0</v>
      </c>
      <c r="R536" s="133">
        <f t="shared" si="2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8" s="73" customFormat="1" ht="15.75" thickBot="1" x14ac:dyDescent="0.3">
      <c r="A537"/>
      <c r="B537"/>
      <c r="C537"/>
      <c r="D537"/>
      <c r="E537"/>
      <c r="F537" s="73" t="s">
        <v>515</v>
      </c>
      <c r="G537" s="85" t="s">
        <v>1569</v>
      </c>
      <c r="H537" s="85" t="s">
        <v>1053</v>
      </c>
      <c r="I537" s="73" t="s">
        <v>1570</v>
      </c>
      <c r="J537" s="85" t="s">
        <v>14</v>
      </c>
      <c r="K537" s="85" t="s">
        <v>1291</v>
      </c>
      <c r="L537" s="85"/>
      <c r="M537" s="85" t="s">
        <v>1571</v>
      </c>
      <c r="N537" s="85"/>
      <c r="O537" s="132">
        <f t="shared" si="22"/>
        <v>28</v>
      </c>
      <c r="P537" s="137" t="s">
        <v>2056</v>
      </c>
      <c r="Q537" s="132">
        <f t="shared" si="23"/>
        <v>0</v>
      </c>
      <c r="R537" s="133">
        <f t="shared" si="2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8" s="73" customFormat="1" ht="15.75" thickBot="1" x14ac:dyDescent="0.3">
      <c r="A538"/>
      <c r="B538"/>
      <c r="C538"/>
      <c r="D538"/>
      <c r="E538"/>
      <c r="F538" s="73" t="s">
        <v>515</v>
      </c>
      <c r="G538" s="85" t="s">
        <v>2189</v>
      </c>
      <c r="H538" s="85" t="s">
        <v>1053</v>
      </c>
      <c r="I538" s="73" t="s">
        <v>2190</v>
      </c>
      <c r="J538" s="30" t="s">
        <v>72</v>
      </c>
      <c r="K538" s="85" t="s">
        <v>1291</v>
      </c>
      <c r="L538" s="85"/>
      <c r="M538" s="85" t="s">
        <v>2311</v>
      </c>
      <c r="N538" s="85"/>
      <c r="O538" s="132">
        <f t="shared" si="22"/>
        <v>28</v>
      </c>
      <c r="P538" s="137" t="s">
        <v>2191</v>
      </c>
      <c r="Q538" s="132">
        <f t="shared" si="23"/>
        <v>0</v>
      </c>
      <c r="R538" s="133">
        <f t="shared" si="24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8" s="73" customFormat="1" ht="15.75" thickBot="1" x14ac:dyDescent="0.3">
      <c r="A539"/>
      <c r="B539"/>
      <c r="C539"/>
      <c r="D539"/>
      <c r="E539"/>
      <c r="F539" s="73" t="s">
        <v>515</v>
      </c>
      <c r="G539" s="85" t="s">
        <v>2192</v>
      </c>
      <c r="H539" s="85" t="s">
        <v>1053</v>
      </c>
      <c r="I539" s="73" t="s">
        <v>2193</v>
      </c>
      <c r="J539" s="85" t="s">
        <v>14</v>
      </c>
      <c r="K539" s="85" t="s">
        <v>1291</v>
      </c>
      <c r="L539" s="85"/>
      <c r="M539" s="85" t="s">
        <v>2312</v>
      </c>
      <c r="N539" s="85"/>
      <c r="O539" s="132">
        <f t="shared" si="22"/>
        <v>28</v>
      </c>
      <c r="P539" s="137" t="s">
        <v>2194</v>
      </c>
      <c r="Q539" s="132">
        <f t="shared" si="23"/>
        <v>0</v>
      </c>
      <c r="R539" s="133">
        <f t="shared" si="24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8" ht="15.75" thickBot="1" x14ac:dyDescent="0.3">
      <c r="A540">
        <v>1</v>
      </c>
      <c r="B540">
        <v>18</v>
      </c>
      <c r="C540"/>
      <c r="D540"/>
      <c r="E540" t="s">
        <v>2379</v>
      </c>
      <c r="F540" t="s">
        <v>406</v>
      </c>
      <c r="G540" t="s">
        <v>1034</v>
      </c>
      <c r="H540" t="s">
        <v>1052</v>
      </c>
      <c r="I540" t="s">
        <v>547</v>
      </c>
      <c r="J540" s="30" t="s">
        <v>18</v>
      </c>
      <c r="K540" s="30" t="s">
        <v>27</v>
      </c>
      <c r="L540" s="30"/>
      <c r="M540" s="30" t="s">
        <v>862</v>
      </c>
      <c r="N540" s="30" t="s">
        <v>2284</v>
      </c>
      <c r="O540" s="31">
        <f t="shared" si="22"/>
        <v>28</v>
      </c>
      <c r="P540" s="137" t="s">
        <v>2057</v>
      </c>
      <c r="Q540" s="31">
        <f t="shared" si="23"/>
        <v>0</v>
      </c>
      <c r="R540" s="32">
        <f t="shared" si="24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8" ht="15.75" thickBot="1" x14ac:dyDescent="0.3">
      <c r="A541">
        <v>1</v>
      </c>
      <c r="B541">
        <v>18</v>
      </c>
      <c r="C541"/>
      <c r="D541"/>
      <c r="E541" t="s">
        <v>2379</v>
      </c>
      <c r="F541" t="s">
        <v>291</v>
      </c>
      <c r="G541" t="s">
        <v>1035</v>
      </c>
      <c r="H541" t="s">
        <v>1052</v>
      </c>
      <c r="I541" t="s">
        <v>548</v>
      </c>
      <c r="J541" s="30" t="s">
        <v>18</v>
      </c>
      <c r="K541" s="30" t="s">
        <v>27</v>
      </c>
      <c r="L541" s="30"/>
      <c r="M541" s="30" t="s">
        <v>863</v>
      </c>
      <c r="N541" s="30" t="s">
        <v>2284</v>
      </c>
      <c r="O541" s="31">
        <f t="shared" si="22"/>
        <v>28</v>
      </c>
      <c r="P541" s="137" t="s">
        <v>2058</v>
      </c>
      <c r="Q541" s="31">
        <f t="shared" si="23"/>
        <v>0</v>
      </c>
      <c r="R541" s="32">
        <f t="shared" si="24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8" ht="15.75" thickBot="1" x14ac:dyDescent="0.3">
      <c r="A542">
        <v>1</v>
      </c>
      <c r="B542">
        <v>18</v>
      </c>
      <c r="C542"/>
      <c r="D542"/>
      <c r="E542" t="s">
        <v>2379</v>
      </c>
      <c r="F542" t="s">
        <v>406</v>
      </c>
      <c r="G542" t="s">
        <v>549</v>
      </c>
      <c r="H542" t="s">
        <v>1052</v>
      </c>
      <c r="I542" t="s">
        <v>550</v>
      </c>
      <c r="J542" s="30" t="s">
        <v>72</v>
      </c>
      <c r="K542" s="30" t="s">
        <v>27</v>
      </c>
      <c r="L542" s="30"/>
      <c r="M542" s="30" t="s">
        <v>860</v>
      </c>
      <c r="N542" s="30" t="s">
        <v>2284</v>
      </c>
      <c r="O542" s="31">
        <f t="shared" si="22"/>
        <v>28</v>
      </c>
      <c r="P542" s="137" t="s">
        <v>2059</v>
      </c>
      <c r="Q542" s="31">
        <f t="shared" si="23"/>
        <v>0</v>
      </c>
      <c r="R542" s="32">
        <f t="shared" si="24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8" ht="15.75" thickBot="1" x14ac:dyDescent="0.3">
      <c r="A543">
        <v>1</v>
      </c>
      <c r="B543">
        <v>18</v>
      </c>
      <c r="C543"/>
      <c r="D543"/>
      <c r="E543" t="s">
        <v>2379</v>
      </c>
      <c r="F543" t="s">
        <v>406</v>
      </c>
      <c r="G543" t="s">
        <v>551</v>
      </c>
      <c r="H543" t="s">
        <v>1052</v>
      </c>
      <c r="I543" t="s">
        <v>550</v>
      </c>
      <c r="J543" s="30" t="s">
        <v>72</v>
      </c>
      <c r="K543" s="30" t="s">
        <v>27</v>
      </c>
      <c r="L543" s="30"/>
      <c r="M543" s="30" t="s">
        <v>861</v>
      </c>
      <c r="N543" s="30" t="s">
        <v>2284</v>
      </c>
      <c r="O543" s="31">
        <f t="shared" si="22"/>
        <v>28</v>
      </c>
      <c r="P543" s="137" t="s">
        <v>2060</v>
      </c>
      <c r="Q543" s="31">
        <f t="shared" si="23"/>
        <v>0</v>
      </c>
      <c r="R543" s="32">
        <f t="shared" si="24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8" ht="15.75" thickBot="1" x14ac:dyDescent="0.3">
      <c r="A544">
        <v>1</v>
      </c>
      <c r="B544">
        <v>18</v>
      </c>
      <c r="C544"/>
      <c r="D544"/>
      <c r="E544" t="s">
        <v>2379</v>
      </c>
      <c r="F544" t="s">
        <v>406</v>
      </c>
      <c r="G544" t="s">
        <v>552</v>
      </c>
      <c r="H544" t="s">
        <v>1052</v>
      </c>
      <c r="I544" t="s">
        <v>553</v>
      </c>
      <c r="J544" s="30" t="s">
        <v>72</v>
      </c>
      <c r="K544" s="30" t="s">
        <v>27</v>
      </c>
      <c r="L544" s="30"/>
      <c r="M544" s="30" t="s">
        <v>864</v>
      </c>
      <c r="N544" s="30" t="s">
        <v>2284</v>
      </c>
      <c r="O544" s="31">
        <f t="shared" si="22"/>
        <v>28</v>
      </c>
      <c r="P544" s="137" t="s">
        <v>2061</v>
      </c>
      <c r="Q544" s="31">
        <f t="shared" si="23"/>
        <v>0</v>
      </c>
      <c r="R544" s="32">
        <f t="shared" si="24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8" ht="15.75" thickBot="1" x14ac:dyDescent="0.3">
      <c r="A545">
        <v>1</v>
      </c>
      <c r="B545">
        <v>18</v>
      </c>
      <c r="C545"/>
      <c r="D545"/>
      <c r="E545" t="s">
        <v>2379</v>
      </c>
      <c r="F545" t="s">
        <v>406</v>
      </c>
      <c r="G545" t="s">
        <v>554</v>
      </c>
      <c r="H545" t="s">
        <v>1052</v>
      </c>
      <c r="I545" t="s">
        <v>553</v>
      </c>
      <c r="J545" s="30" t="s">
        <v>72</v>
      </c>
      <c r="K545" s="30" t="s">
        <v>27</v>
      </c>
      <c r="L545" s="30"/>
      <c r="M545" s="30" t="s">
        <v>865</v>
      </c>
      <c r="N545" s="30" t="s">
        <v>2284</v>
      </c>
      <c r="O545" s="31">
        <f t="shared" si="22"/>
        <v>28</v>
      </c>
      <c r="P545" s="137" t="s">
        <v>2062</v>
      </c>
      <c r="Q545" s="31">
        <f t="shared" si="23"/>
        <v>0</v>
      </c>
      <c r="R545" s="32">
        <f t="shared" si="24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8" s="89" customFormat="1" ht="15.75" thickBot="1" x14ac:dyDescent="0.3">
      <c r="A546" s="89">
        <v>1</v>
      </c>
      <c r="B546" s="89">
        <v>18</v>
      </c>
      <c r="E546" s="89" t="s">
        <v>2379</v>
      </c>
      <c r="F546" s="73" t="s">
        <v>406</v>
      </c>
      <c r="G546" s="73" t="s">
        <v>545</v>
      </c>
      <c r="H546" s="89" t="s">
        <v>1052</v>
      </c>
      <c r="I546" s="73" t="s">
        <v>546</v>
      </c>
      <c r="J546" s="90" t="s">
        <v>18</v>
      </c>
      <c r="K546" s="85" t="s">
        <v>27</v>
      </c>
      <c r="L546" s="85"/>
      <c r="M546" s="85" t="s">
        <v>866</v>
      </c>
      <c r="N546" s="85" t="s">
        <v>2284</v>
      </c>
      <c r="O546" s="31">
        <f t="shared" si="22"/>
        <v>27</v>
      </c>
      <c r="P546" s="137"/>
      <c r="Q546" s="31">
        <f t="shared" si="23"/>
        <v>1</v>
      </c>
      <c r="R546" s="32">
        <f t="shared" si="24"/>
        <v>0.9642857142857143</v>
      </c>
      <c r="S546" s="70"/>
      <c r="T546" s="70"/>
      <c r="U546" s="70"/>
      <c r="V546" s="70" t="s">
        <v>2240</v>
      </c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144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8" s="89" customFormat="1" ht="15.75" thickBot="1" x14ac:dyDescent="0.3">
      <c r="A547" s="89">
        <v>1</v>
      </c>
      <c r="B547" s="89">
        <v>18</v>
      </c>
      <c r="E547" s="89" t="s">
        <v>2379</v>
      </c>
      <c r="F547" s="73" t="s">
        <v>406</v>
      </c>
      <c r="G547" s="73" t="s">
        <v>555</v>
      </c>
      <c r="H547" s="89" t="s">
        <v>1052</v>
      </c>
      <c r="I547" s="73" t="s">
        <v>556</v>
      </c>
      <c r="J547" s="90" t="s">
        <v>14</v>
      </c>
      <c r="K547" s="85" t="s">
        <v>27</v>
      </c>
      <c r="L547" s="85"/>
      <c r="M547" s="85" t="s">
        <v>1489</v>
      </c>
      <c r="N547" s="85" t="s">
        <v>2284</v>
      </c>
      <c r="O547" s="31">
        <f t="shared" si="22"/>
        <v>28</v>
      </c>
      <c r="P547" s="137" t="s">
        <v>2063</v>
      </c>
      <c r="Q547" s="31">
        <f t="shared" si="23"/>
        <v>0</v>
      </c>
      <c r="R547" s="32">
        <f t="shared" si="24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8" s="73" customFormat="1" ht="15.75" thickBot="1" x14ac:dyDescent="0.3">
      <c r="A548"/>
      <c r="B548"/>
      <c r="C548"/>
      <c r="D548"/>
      <c r="E548"/>
      <c r="F548" s="73" t="s">
        <v>480</v>
      </c>
      <c r="G548" s="73" t="s">
        <v>1334</v>
      </c>
      <c r="H548" s="85" t="s">
        <v>1052</v>
      </c>
      <c r="I548" s="73" t="s">
        <v>1335</v>
      </c>
      <c r="J548" s="90" t="s">
        <v>14</v>
      </c>
      <c r="K548" s="85" t="s">
        <v>1291</v>
      </c>
      <c r="L548" s="85"/>
      <c r="M548" s="85" t="s">
        <v>1340</v>
      </c>
      <c r="N548" s="85"/>
      <c r="O548" s="132">
        <f t="shared" si="22"/>
        <v>28</v>
      </c>
      <c r="P548" s="137" t="s">
        <v>2064</v>
      </c>
      <c r="Q548" s="132">
        <f t="shared" si="23"/>
        <v>0</v>
      </c>
      <c r="R548" s="133">
        <f t="shared" si="24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144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8" ht="15.75" thickBot="1" x14ac:dyDescent="0.3">
      <c r="A549"/>
      <c r="B549"/>
      <c r="C549"/>
      <c r="D549"/>
      <c r="E549"/>
      <c r="F549" t="s">
        <v>480</v>
      </c>
      <c r="G549" t="s">
        <v>557</v>
      </c>
      <c r="H549" t="s">
        <v>1052</v>
      </c>
      <c r="I549" t="s">
        <v>558</v>
      </c>
      <c r="J549" s="30" t="s">
        <v>18</v>
      </c>
      <c r="K549" s="30" t="s">
        <v>27</v>
      </c>
      <c r="L549" s="30"/>
      <c r="M549" s="30" t="s">
        <v>867</v>
      </c>
      <c r="N549" s="30"/>
      <c r="O549" s="31">
        <f t="shared" si="22"/>
        <v>28</v>
      </c>
      <c r="P549" s="137" t="s">
        <v>2065</v>
      </c>
      <c r="Q549" s="31">
        <f t="shared" si="23"/>
        <v>0</v>
      </c>
      <c r="R549" s="32">
        <f t="shared" si="24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8" s="73" customFormat="1" ht="15.75" thickBot="1" x14ac:dyDescent="0.3">
      <c r="A550"/>
      <c r="B550"/>
      <c r="C550"/>
      <c r="D550"/>
      <c r="E550"/>
      <c r="F550" s="73" t="s">
        <v>480</v>
      </c>
      <c r="G550" s="73" t="s">
        <v>559</v>
      </c>
      <c r="H550" s="73" t="s">
        <v>1052</v>
      </c>
      <c r="I550" s="73" t="s">
        <v>560</v>
      </c>
      <c r="J550" s="85" t="s">
        <v>18</v>
      </c>
      <c r="K550" s="85" t="s">
        <v>1291</v>
      </c>
      <c r="L550" s="85"/>
      <c r="M550" s="85" t="s">
        <v>1358</v>
      </c>
      <c r="N550" s="85"/>
      <c r="O550" s="132">
        <f t="shared" ref="O550:O596" si="25">COUNTIF(S550:AT550,"")</f>
        <v>27</v>
      </c>
      <c r="P550" s="137" t="s">
        <v>2066</v>
      </c>
      <c r="Q550" s="132">
        <f t="shared" ref="Q550:Q596" si="26">COUNTIF(S550:AT550,"APAGADO")</f>
        <v>1</v>
      </c>
      <c r="R550" s="133">
        <f t="shared" ref="R550:R596" si="27">(O550)/(Q550+O550)</f>
        <v>0.9642857142857143</v>
      </c>
      <c r="S550" s="70"/>
      <c r="T550" s="70"/>
      <c r="U550" s="70"/>
      <c r="V550" s="70" t="s">
        <v>2240</v>
      </c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4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8" s="73" customFormat="1" ht="15.75" thickBot="1" x14ac:dyDescent="0.3">
      <c r="A551"/>
      <c r="B551"/>
      <c r="C551"/>
      <c r="D551"/>
      <c r="E551"/>
      <c r="F551" s="73" t="s">
        <v>480</v>
      </c>
      <c r="G551" s="73" t="s">
        <v>561</v>
      </c>
      <c r="H551" s="73" t="s">
        <v>1052</v>
      </c>
      <c r="I551" s="73" t="s">
        <v>562</v>
      </c>
      <c r="J551" s="85" t="s">
        <v>18</v>
      </c>
      <c r="K551" s="85" t="s">
        <v>1291</v>
      </c>
      <c r="L551" s="85"/>
      <c r="M551" s="85" t="s">
        <v>1416</v>
      </c>
      <c r="N551" s="85"/>
      <c r="O551" s="132">
        <f t="shared" si="25"/>
        <v>28</v>
      </c>
      <c r="P551" s="137" t="s">
        <v>2067</v>
      </c>
      <c r="Q551" s="132">
        <f t="shared" si="26"/>
        <v>0</v>
      </c>
      <c r="R551" s="133">
        <f t="shared" si="27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144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1:48" ht="15.75" thickBot="1" x14ac:dyDescent="0.3">
      <c r="A552">
        <v>6</v>
      </c>
      <c r="B552">
        <v>13</v>
      </c>
      <c r="C552"/>
      <c r="D552"/>
      <c r="E552" t="s">
        <v>2355</v>
      </c>
      <c r="F552" t="s">
        <v>480</v>
      </c>
      <c r="G552" t="s">
        <v>563</v>
      </c>
      <c r="H552" t="s">
        <v>1052</v>
      </c>
      <c r="I552" t="s">
        <v>564</v>
      </c>
      <c r="J552" s="30" t="s">
        <v>18</v>
      </c>
      <c r="K552" s="30" t="s">
        <v>1046</v>
      </c>
      <c r="L552" s="30" t="s">
        <v>1253</v>
      </c>
      <c r="M552" s="30" t="s">
        <v>868</v>
      </c>
      <c r="N552" s="30"/>
      <c r="O552" s="31">
        <f t="shared" si="25"/>
        <v>27</v>
      </c>
      <c r="P552" s="137" t="s">
        <v>2068</v>
      </c>
      <c r="Q552" s="31">
        <f t="shared" si="26"/>
        <v>1</v>
      </c>
      <c r="R552" s="32">
        <f t="shared" si="27"/>
        <v>0.9642857142857143</v>
      </c>
      <c r="S552" s="70"/>
      <c r="T552" s="70"/>
      <c r="U552" s="70"/>
      <c r="V552" s="70" t="s">
        <v>2240</v>
      </c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4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8" s="73" customFormat="1" ht="15.75" thickBot="1" x14ac:dyDescent="0.3">
      <c r="A553"/>
      <c r="B553"/>
      <c r="C553"/>
      <c r="D553"/>
      <c r="E553"/>
      <c r="F553" s="73" t="s">
        <v>476</v>
      </c>
      <c r="G553" s="73" t="s">
        <v>565</v>
      </c>
      <c r="H553" s="73" t="s">
        <v>1052</v>
      </c>
      <c r="I553" s="73" t="s">
        <v>566</v>
      </c>
      <c r="J553" s="85" t="s">
        <v>18</v>
      </c>
      <c r="K553" s="85" t="s">
        <v>1291</v>
      </c>
      <c r="L553" s="85"/>
      <c r="M553" s="85" t="s">
        <v>1488</v>
      </c>
      <c r="N553" s="85"/>
      <c r="O553" s="132">
        <f t="shared" si="25"/>
        <v>28</v>
      </c>
      <c r="P553" s="137" t="s">
        <v>2069</v>
      </c>
      <c r="Q553" s="132">
        <f t="shared" si="26"/>
        <v>0</v>
      </c>
      <c r="R553" s="133">
        <f t="shared" si="27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8" ht="15.75" thickBot="1" x14ac:dyDescent="0.3">
      <c r="A554"/>
      <c r="B554"/>
      <c r="C554"/>
      <c r="D554"/>
      <c r="E554"/>
      <c r="F554" t="s">
        <v>476</v>
      </c>
      <c r="G554" t="s">
        <v>1302</v>
      </c>
      <c r="H554" t="s">
        <v>1052</v>
      </c>
      <c r="I554" t="s">
        <v>2166</v>
      </c>
      <c r="J554" s="85" t="s">
        <v>14</v>
      </c>
      <c r="K554" s="85" t="s">
        <v>1291</v>
      </c>
      <c r="L554" s="30"/>
      <c r="M554" s="30" t="s">
        <v>2313</v>
      </c>
      <c r="N554" s="30"/>
      <c r="O554" s="31">
        <f t="shared" si="25"/>
        <v>27</v>
      </c>
      <c r="P554" s="137" t="s">
        <v>2167</v>
      </c>
      <c r="Q554" s="31">
        <f t="shared" si="26"/>
        <v>1</v>
      </c>
      <c r="R554" s="32">
        <f t="shared" si="27"/>
        <v>0.9642857142857143</v>
      </c>
      <c r="S554" s="70"/>
      <c r="T554" s="70"/>
      <c r="U554" s="70"/>
      <c r="V554" s="70" t="s">
        <v>2240</v>
      </c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144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8" ht="15.75" thickBot="1" x14ac:dyDescent="0.3">
      <c r="A555"/>
      <c r="B555"/>
      <c r="C555"/>
      <c r="D555"/>
      <c r="E555"/>
      <c r="F555" t="s">
        <v>480</v>
      </c>
      <c r="G555" t="s">
        <v>2108</v>
      </c>
      <c r="H555" t="s">
        <v>1052</v>
      </c>
      <c r="I555" s="73" t="s">
        <v>2109</v>
      </c>
      <c r="J555" s="85" t="s">
        <v>14</v>
      </c>
      <c r="K555" s="85" t="s">
        <v>1291</v>
      </c>
      <c r="L555" s="30"/>
      <c r="M555" s="30" t="s">
        <v>2314</v>
      </c>
      <c r="N555" s="30"/>
      <c r="O555" s="31">
        <f t="shared" si="25"/>
        <v>28</v>
      </c>
      <c r="P555" s="137" t="s">
        <v>2110</v>
      </c>
      <c r="Q555" s="31">
        <f t="shared" si="26"/>
        <v>0</v>
      </c>
      <c r="R555" s="32">
        <f t="shared" si="27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8" s="73" customFormat="1" ht="15.75" thickBot="1" x14ac:dyDescent="0.3">
      <c r="A556"/>
      <c r="B556"/>
      <c r="C556"/>
      <c r="D556"/>
      <c r="E556"/>
      <c r="F556" s="73" t="s">
        <v>567</v>
      </c>
      <c r="G556" s="73" t="s">
        <v>568</v>
      </c>
      <c r="H556" s="73" t="s">
        <v>1053</v>
      </c>
      <c r="I556" s="73" t="s">
        <v>569</v>
      </c>
      <c r="J556" s="85" t="s">
        <v>14</v>
      </c>
      <c r="K556" s="85" t="s">
        <v>1291</v>
      </c>
      <c r="L556" s="85"/>
      <c r="M556" s="85" t="s">
        <v>869</v>
      </c>
      <c r="N556" s="85"/>
      <c r="O556" s="132">
        <f t="shared" si="25"/>
        <v>28</v>
      </c>
      <c r="P556" s="137" t="s">
        <v>2070</v>
      </c>
      <c r="Q556" s="132">
        <f t="shared" si="26"/>
        <v>0</v>
      </c>
      <c r="R556" s="133">
        <f t="shared" si="27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8" s="73" customFormat="1" ht="15.75" thickBot="1" x14ac:dyDescent="0.3">
      <c r="A557"/>
      <c r="B557"/>
      <c r="C557"/>
      <c r="D557"/>
      <c r="E557"/>
      <c r="F557" s="73" t="s">
        <v>567</v>
      </c>
      <c r="G557" s="73" t="s">
        <v>1446</v>
      </c>
      <c r="H557" s="73" t="s">
        <v>1053</v>
      </c>
      <c r="I557" s="73" t="s">
        <v>570</v>
      </c>
      <c r="J557" s="85" t="s">
        <v>14</v>
      </c>
      <c r="K557" s="85" t="s">
        <v>1291</v>
      </c>
      <c r="L557" s="85"/>
      <c r="M557" s="85" t="s">
        <v>870</v>
      </c>
      <c r="N557" s="85"/>
      <c r="O557" s="132">
        <f t="shared" si="25"/>
        <v>28</v>
      </c>
      <c r="P557" s="137" t="s">
        <v>2071</v>
      </c>
      <c r="Q557" s="132">
        <f t="shared" si="26"/>
        <v>0</v>
      </c>
      <c r="R557" s="133">
        <f t="shared" si="27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8" s="73" customFormat="1" ht="15.75" thickBot="1" x14ac:dyDescent="0.3">
      <c r="A558"/>
      <c r="B558"/>
      <c r="C558"/>
      <c r="D558"/>
      <c r="E558"/>
      <c r="F558" s="73" t="s">
        <v>567</v>
      </c>
      <c r="G558" s="73" t="s">
        <v>1036</v>
      </c>
      <c r="H558" s="73" t="s">
        <v>1053</v>
      </c>
      <c r="I558" s="73" t="s">
        <v>571</v>
      </c>
      <c r="J558" s="85" t="s">
        <v>72</v>
      </c>
      <c r="K558" s="85" t="s">
        <v>1291</v>
      </c>
      <c r="L558" s="85"/>
      <c r="M558" s="85" t="s">
        <v>871</v>
      </c>
      <c r="N558" s="85"/>
      <c r="O558" s="132">
        <f t="shared" si="25"/>
        <v>28</v>
      </c>
      <c r="P558" s="137" t="s">
        <v>2072</v>
      </c>
      <c r="Q558" s="132">
        <f t="shared" si="26"/>
        <v>0</v>
      </c>
      <c r="R558" s="133">
        <f t="shared" si="27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4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8" s="73" customFormat="1" ht="15.75" thickBot="1" x14ac:dyDescent="0.3">
      <c r="A559"/>
      <c r="B559"/>
      <c r="C559"/>
      <c r="D559"/>
      <c r="E559"/>
      <c r="F559" s="73" t="s">
        <v>567</v>
      </c>
      <c r="G559" s="73" t="s">
        <v>1037</v>
      </c>
      <c r="H559" s="73" t="s">
        <v>1053</v>
      </c>
      <c r="I559" s="73" t="s">
        <v>571</v>
      </c>
      <c r="J559" s="85" t="s">
        <v>72</v>
      </c>
      <c r="K559" s="85" t="s">
        <v>1291</v>
      </c>
      <c r="L559" s="85"/>
      <c r="M559" s="85" t="s">
        <v>872</v>
      </c>
      <c r="N559" s="85"/>
      <c r="O559" s="132">
        <f t="shared" si="25"/>
        <v>28</v>
      </c>
      <c r="P559" s="137" t="s">
        <v>2073</v>
      </c>
      <c r="Q559" s="132">
        <f t="shared" si="26"/>
        <v>0</v>
      </c>
      <c r="R559" s="133">
        <f t="shared" si="27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4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8" s="73" customFormat="1" ht="15.75" thickBot="1" x14ac:dyDescent="0.3">
      <c r="A560"/>
      <c r="B560"/>
      <c r="C560"/>
      <c r="D560"/>
      <c r="E560"/>
      <c r="F560" s="73" t="s">
        <v>567</v>
      </c>
      <c r="G560" s="73" t="s">
        <v>1622</v>
      </c>
      <c r="H560" s="73" t="s">
        <v>1053</v>
      </c>
      <c r="I560" s="73" t="s">
        <v>1629</v>
      </c>
      <c r="J560" s="85" t="s">
        <v>1104</v>
      </c>
      <c r="K560" s="85" t="s">
        <v>27</v>
      </c>
      <c r="L560" s="85"/>
      <c r="M560" s="85" t="s">
        <v>1624</v>
      </c>
      <c r="N560" s="85"/>
      <c r="O560" s="132">
        <f t="shared" si="25"/>
        <v>28</v>
      </c>
      <c r="P560" s="137" t="s">
        <v>2156</v>
      </c>
      <c r="Q560" s="132">
        <f t="shared" si="26"/>
        <v>0</v>
      </c>
      <c r="R560" s="133">
        <f t="shared" si="27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</row>
    <row r="561" spans="1:48" s="73" customFormat="1" ht="15.75" thickBot="1" x14ac:dyDescent="0.3">
      <c r="A561"/>
      <c r="B561"/>
      <c r="C561"/>
      <c r="D561"/>
      <c r="E561"/>
      <c r="F561" s="73" t="s">
        <v>567</v>
      </c>
      <c r="G561" s="73" t="s">
        <v>2102</v>
      </c>
      <c r="H561" s="73" t="s">
        <v>1053</v>
      </c>
      <c r="I561" s="73" t="s">
        <v>2103</v>
      </c>
      <c r="J561" s="30" t="s">
        <v>14</v>
      </c>
      <c r="K561" s="85" t="s">
        <v>1291</v>
      </c>
      <c r="L561" s="85"/>
      <c r="M561" s="85" t="s">
        <v>2105</v>
      </c>
      <c r="N561" s="85"/>
      <c r="O561" s="132">
        <f t="shared" si="25"/>
        <v>27</v>
      </c>
      <c r="P561" s="137"/>
      <c r="Q561" s="132">
        <f t="shared" si="26"/>
        <v>1</v>
      </c>
      <c r="R561" s="133">
        <f t="shared" si="27"/>
        <v>0.9642857142857143</v>
      </c>
      <c r="S561" s="70"/>
      <c r="T561" s="70"/>
      <c r="U561" s="70"/>
      <c r="V561" s="70" t="s">
        <v>2240</v>
      </c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8" s="73" customFormat="1" ht="15.75" thickBot="1" x14ac:dyDescent="0.3">
      <c r="A562"/>
      <c r="B562"/>
      <c r="C562"/>
      <c r="D562"/>
      <c r="E562"/>
      <c r="F562" s="73" t="s">
        <v>567</v>
      </c>
      <c r="G562" s="73" t="s">
        <v>1635</v>
      </c>
      <c r="H562" s="73" t="s">
        <v>1053</v>
      </c>
      <c r="I562" s="73" t="s">
        <v>1636</v>
      </c>
      <c r="J562" s="85" t="s">
        <v>14</v>
      </c>
      <c r="K562" s="85" t="s">
        <v>1291</v>
      </c>
      <c r="L562" s="85"/>
      <c r="M562" s="85" t="s">
        <v>1637</v>
      </c>
      <c r="N562" s="85"/>
      <c r="O562" s="132">
        <f t="shared" si="25"/>
        <v>28</v>
      </c>
      <c r="P562" s="137" t="s">
        <v>2157</v>
      </c>
      <c r="Q562" s="132">
        <f t="shared" si="26"/>
        <v>0</v>
      </c>
      <c r="R562" s="133">
        <f t="shared" si="27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8" ht="15.75" thickBot="1" x14ac:dyDescent="0.3">
      <c r="A563"/>
      <c r="B563"/>
      <c r="C563"/>
      <c r="D563"/>
      <c r="E563"/>
      <c r="F563" t="s">
        <v>572</v>
      </c>
      <c r="G563" t="s">
        <v>1038</v>
      </c>
      <c r="H563" t="s">
        <v>1053</v>
      </c>
      <c r="I563" t="s">
        <v>573</v>
      </c>
      <c r="J563" s="30" t="s">
        <v>72</v>
      </c>
      <c r="K563" s="85" t="s">
        <v>1291</v>
      </c>
      <c r="L563" s="30"/>
      <c r="M563" s="30" t="s">
        <v>873</v>
      </c>
      <c r="N563" s="30"/>
      <c r="O563" s="31">
        <f t="shared" si="25"/>
        <v>27</v>
      </c>
      <c r="P563" s="137" t="s">
        <v>2153</v>
      </c>
      <c r="Q563" s="31">
        <f t="shared" si="26"/>
        <v>1</v>
      </c>
      <c r="R563" s="32">
        <f t="shared" si="27"/>
        <v>0.9642857142857143</v>
      </c>
      <c r="S563" s="70"/>
      <c r="T563" s="70"/>
      <c r="U563" s="70"/>
      <c r="V563" s="70" t="s">
        <v>2240</v>
      </c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4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8" ht="15.75" thickBot="1" x14ac:dyDescent="0.3">
      <c r="A564"/>
      <c r="B564"/>
      <c r="C564"/>
      <c r="D564"/>
      <c r="E564"/>
      <c r="F564" t="s">
        <v>572</v>
      </c>
      <c r="G564" t="s">
        <v>1039</v>
      </c>
      <c r="H564" t="s">
        <v>1053</v>
      </c>
      <c r="I564" t="s">
        <v>574</v>
      </c>
      <c r="J564" s="30" t="s">
        <v>14</v>
      </c>
      <c r="K564" s="30" t="s">
        <v>27</v>
      </c>
      <c r="L564" s="30"/>
      <c r="M564" s="30" t="s">
        <v>874</v>
      </c>
      <c r="N564" s="30"/>
      <c r="O564" s="31">
        <f t="shared" si="25"/>
        <v>28</v>
      </c>
      <c r="P564" s="137" t="s">
        <v>2074</v>
      </c>
      <c r="Q564" s="31">
        <f t="shared" si="26"/>
        <v>0</v>
      </c>
      <c r="R564" s="32">
        <f t="shared" si="27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8" ht="15.75" thickBot="1" x14ac:dyDescent="0.3">
      <c r="A565"/>
      <c r="B565"/>
      <c r="C565"/>
      <c r="D565"/>
      <c r="E565"/>
      <c r="F565" t="s">
        <v>572</v>
      </c>
      <c r="G565" t="s">
        <v>575</v>
      </c>
      <c r="H565" t="s">
        <v>1053</v>
      </c>
      <c r="I565" t="s">
        <v>576</v>
      </c>
      <c r="J565" s="30" t="s">
        <v>72</v>
      </c>
      <c r="K565" s="85" t="s">
        <v>1291</v>
      </c>
      <c r="L565" s="30"/>
      <c r="M565" s="30" t="s">
        <v>875</v>
      </c>
      <c r="N565" s="30"/>
      <c r="O565" s="31">
        <f t="shared" si="25"/>
        <v>27</v>
      </c>
      <c r="P565" s="137" t="s">
        <v>2154</v>
      </c>
      <c r="Q565" s="31">
        <f t="shared" si="26"/>
        <v>1</v>
      </c>
      <c r="R565" s="32">
        <f t="shared" si="27"/>
        <v>0.9642857142857143</v>
      </c>
      <c r="S565" s="70"/>
      <c r="T565" s="70"/>
      <c r="U565" s="70"/>
      <c r="V565" s="70" t="s">
        <v>2240</v>
      </c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144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8" ht="15.75" thickBot="1" x14ac:dyDescent="0.3">
      <c r="A566"/>
      <c r="B566"/>
      <c r="C566"/>
      <c r="D566"/>
      <c r="E566"/>
      <c r="F566" t="s">
        <v>572</v>
      </c>
      <c r="G566" t="s">
        <v>577</v>
      </c>
      <c r="H566" t="s">
        <v>1053</v>
      </c>
      <c r="I566" t="s">
        <v>578</v>
      </c>
      <c r="J566" s="30" t="s">
        <v>14</v>
      </c>
      <c r="K566" s="30" t="s">
        <v>27</v>
      </c>
      <c r="L566" s="30"/>
      <c r="M566" s="30" t="s">
        <v>876</v>
      </c>
      <c r="N566" s="30"/>
      <c r="O566" s="31">
        <f t="shared" si="25"/>
        <v>28</v>
      </c>
      <c r="P566" s="137" t="s">
        <v>2075</v>
      </c>
      <c r="Q566" s="31">
        <f t="shared" si="26"/>
        <v>0</v>
      </c>
      <c r="R566" s="32">
        <f t="shared" si="27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8" s="73" customFormat="1" ht="15.75" thickBot="1" x14ac:dyDescent="0.3">
      <c r="A567"/>
      <c r="B567"/>
      <c r="C567"/>
      <c r="D567"/>
      <c r="E567"/>
      <c r="F567" s="73" t="s">
        <v>572</v>
      </c>
      <c r="G567" s="73" t="s">
        <v>579</v>
      </c>
      <c r="H567" s="73" t="s">
        <v>1053</v>
      </c>
      <c r="I567" s="73" t="s">
        <v>580</v>
      </c>
      <c r="J567" s="85" t="s">
        <v>14</v>
      </c>
      <c r="K567" s="85" t="s">
        <v>1291</v>
      </c>
      <c r="L567" s="85"/>
      <c r="M567" s="85" t="s">
        <v>877</v>
      </c>
      <c r="N567" s="85"/>
      <c r="O567" s="132">
        <f t="shared" si="25"/>
        <v>28</v>
      </c>
      <c r="P567" s="137" t="s">
        <v>2076</v>
      </c>
      <c r="Q567" s="132">
        <f t="shared" si="26"/>
        <v>0</v>
      </c>
      <c r="R567" s="133">
        <f t="shared" si="27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8" s="73" customFormat="1" ht="15.75" thickBot="1" x14ac:dyDescent="0.3">
      <c r="A568"/>
      <c r="B568"/>
      <c r="C568"/>
      <c r="D568"/>
      <c r="E568"/>
      <c r="F568" s="73" t="s">
        <v>2113</v>
      </c>
      <c r="G568" s="73" t="s">
        <v>2111</v>
      </c>
      <c r="H568" t="s">
        <v>1052</v>
      </c>
      <c r="I568" s="73" t="s">
        <v>2112</v>
      </c>
      <c r="J568" s="85" t="s">
        <v>14</v>
      </c>
      <c r="K568" s="85" t="s">
        <v>1291</v>
      </c>
      <c r="L568" s="85"/>
      <c r="M568" s="85" t="s">
        <v>2315</v>
      </c>
      <c r="N568" s="85"/>
      <c r="O568" s="132">
        <f t="shared" si="25"/>
        <v>28</v>
      </c>
      <c r="P568" s="137" t="s">
        <v>2114</v>
      </c>
      <c r="Q568" s="132">
        <f t="shared" si="26"/>
        <v>0</v>
      </c>
      <c r="R568" s="133">
        <f t="shared" si="27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8" ht="15.75" thickBot="1" x14ac:dyDescent="0.3">
      <c r="A569"/>
      <c r="B569"/>
      <c r="C569"/>
      <c r="D569"/>
      <c r="E569"/>
      <c r="F569" t="s">
        <v>174</v>
      </c>
      <c r="G569" t="s">
        <v>581</v>
      </c>
      <c r="H569" t="s">
        <v>1053</v>
      </c>
      <c r="I569" t="s">
        <v>1082</v>
      </c>
      <c r="J569" s="30" t="s">
        <v>18</v>
      </c>
      <c r="K569" s="30" t="s">
        <v>19</v>
      </c>
      <c r="L569" s="30"/>
      <c r="M569" s="30" t="s">
        <v>1386</v>
      </c>
      <c r="N569" s="30"/>
      <c r="O569" s="31">
        <f t="shared" si="25"/>
        <v>28</v>
      </c>
      <c r="P569" s="137" t="s">
        <v>2155</v>
      </c>
      <c r="Q569" s="31">
        <f t="shared" si="26"/>
        <v>0</v>
      </c>
      <c r="R569" s="32">
        <f t="shared" si="27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8" ht="15.75" thickBot="1" x14ac:dyDescent="0.3">
      <c r="A570">
        <v>6</v>
      </c>
      <c r="B570">
        <v>12</v>
      </c>
      <c r="C570"/>
      <c r="D570"/>
      <c r="E570" t="s">
        <v>2353</v>
      </c>
      <c r="F570" t="s">
        <v>174</v>
      </c>
      <c r="G570" t="s">
        <v>1040</v>
      </c>
      <c r="H570" t="s">
        <v>1053</v>
      </c>
      <c r="I570" t="s">
        <v>1083</v>
      </c>
      <c r="J570" s="30" t="s">
        <v>72</v>
      </c>
      <c r="K570" s="30" t="s">
        <v>27</v>
      </c>
      <c r="L570" s="30"/>
      <c r="M570" s="30" t="s">
        <v>878</v>
      </c>
      <c r="N570" s="30"/>
      <c r="O570" s="31">
        <f t="shared" si="25"/>
        <v>27</v>
      </c>
      <c r="P570" s="137" t="s">
        <v>2077</v>
      </c>
      <c r="Q570" s="31">
        <f t="shared" si="26"/>
        <v>1</v>
      </c>
      <c r="R570" s="32">
        <f t="shared" si="27"/>
        <v>0.9642857142857143</v>
      </c>
      <c r="S570" s="70"/>
      <c r="T570" s="70"/>
      <c r="U570" s="70"/>
      <c r="V570" s="70" t="s">
        <v>2240</v>
      </c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8" ht="15.75" thickBot="1" x14ac:dyDescent="0.3">
      <c r="A571">
        <v>6</v>
      </c>
      <c r="B571">
        <v>12</v>
      </c>
      <c r="C571"/>
      <c r="D571"/>
      <c r="E571" t="s">
        <v>2353</v>
      </c>
      <c r="F571" t="s">
        <v>174</v>
      </c>
      <c r="G571" t="s">
        <v>1041</v>
      </c>
      <c r="H571" t="s">
        <v>1053</v>
      </c>
      <c r="I571" t="s">
        <v>1083</v>
      </c>
      <c r="J571" s="30" t="s">
        <v>72</v>
      </c>
      <c r="K571" s="30" t="s">
        <v>27</v>
      </c>
      <c r="L571" s="30"/>
      <c r="M571" s="30" t="s">
        <v>879</v>
      </c>
      <c r="N571" s="30"/>
      <c r="O571" s="31">
        <f t="shared" si="25"/>
        <v>27</v>
      </c>
      <c r="P571" s="137" t="s">
        <v>2078</v>
      </c>
      <c r="Q571" s="31">
        <f t="shared" si="26"/>
        <v>1</v>
      </c>
      <c r="R571" s="32">
        <f t="shared" si="27"/>
        <v>0.9642857142857143</v>
      </c>
      <c r="S571" s="70"/>
      <c r="T571" s="70"/>
      <c r="U571" s="70"/>
      <c r="V571" s="70" t="s">
        <v>2240</v>
      </c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8" ht="15.75" thickBot="1" x14ac:dyDescent="0.3">
      <c r="A572">
        <v>6</v>
      </c>
      <c r="B572">
        <v>12</v>
      </c>
      <c r="C572"/>
      <c r="D572"/>
      <c r="E572" t="s">
        <v>2353</v>
      </c>
      <c r="F572" t="s">
        <v>174</v>
      </c>
      <c r="G572" t="s">
        <v>1042</v>
      </c>
      <c r="H572" t="s">
        <v>1053</v>
      </c>
      <c r="I572" t="s">
        <v>1097</v>
      </c>
      <c r="J572" s="30" t="s">
        <v>14</v>
      </c>
      <c r="K572" s="30" t="s">
        <v>27</v>
      </c>
      <c r="L572" s="30"/>
      <c r="M572" s="30" t="s">
        <v>880</v>
      </c>
      <c r="N572" s="30"/>
      <c r="O572" s="31">
        <f t="shared" si="25"/>
        <v>27</v>
      </c>
      <c r="P572" s="137" t="s">
        <v>2079</v>
      </c>
      <c r="Q572" s="31">
        <f t="shared" si="26"/>
        <v>1</v>
      </c>
      <c r="R572" s="32">
        <f t="shared" si="27"/>
        <v>0.9642857142857143</v>
      </c>
      <c r="S572" s="70"/>
      <c r="T572" s="70"/>
      <c r="U572" s="70"/>
      <c r="V572" s="70" t="s">
        <v>2240</v>
      </c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8" ht="15.75" thickBot="1" x14ac:dyDescent="0.3">
      <c r="A573"/>
      <c r="B573"/>
      <c r="C573"/>
      <c r="D573"/>
      <c r="E573"/>
      <c r="F573" t="s">
        <v>174</v>
      </c>
      <c r="G573" t="s">
        <v>582</v>
      </c>
      <c r="H573" t="s">
        <v>1053</v>
      </c>
      <c r="I573" t="s">
        <v>1084</v>
      </c>
      <c r="J573" s="30" t="s">
        <v>14</v>
      </c>
      <c r="K573" s="30" t="s">
        <v>27</v>
      </c>
      <c r="L573" s="30"/>
      <c r="M573" s="30" t="s">
        <v>1210</v>
      </c>
      <c r="N573" s="30"/>
      <c r="O573" s="31">
        <f t="shared" si="25"/>
        <v>27</v>
      </c>
      <c r="P573" s="137" t="s">
        <v>2080</v>
      </c>
      <c r="Q573" s="31">
        <f t="shared" si="26"/>
        <v>1</v>
      </c>
      <c r="R573" s="32">
        <f t="shared" si="27"/>
        <v>0.9642857142857143</v>
      </c>
      <c r="S573" s="70"/>
      <c r="T573" s="70"/>
      <c r="U573" s="70"/>
      <c r="V573" s="70" t="s">
        <v>2240</v>
      </c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144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8" ht="15.75" thickBot="1" x14ac:dyDescent="0.3">
      <c r="A574">
        <v>6</v>
      </c>
      <c r="B574">
        <v>12</v>
      </c>
      <c r="C574"/>
      <c r="D574"/>
      <c r="E574" t="s">
        <v>2353</v>
      </c>
      <c r="F574" t="s">
        <v>583</v>
      </c>
      <c r="G574" t="s">
        <v>584</v>
      </c>
      <c r="H574" t="s">
        <v>1053</v>
      </c>
      <c r="I574" t="s">
        <v>585</v>
      </c>
      <c r="J574" s="30" t="s">
        <v>72</v>
      </c>
      <c r="K574" s="30" t="s">
        <v>27</v>
      </c>
      <c r="L574" s="30"/>
      <c r="M574" s="30" t="s">
        <v>881</v>
      </c>
      <c r="N574" s="30"/>
      <c r="O574" s="31">
        <f t="shared" si="25"/>
        <v>27</v>
      </c>
      <c r="P574" s="137" t="s">
        <v>2081</v>
      </c>
      <c r="Q574" s="31">
        <f t="shared" si="26"/>
        <v>1</v>
      </c>
      <c r="R574" s="32">
        <f t="shared" si="27"/>
        <v>0.9642857142857143</v>
      </c>
      <c r="S574" s="70"/>
      <c r="T574" s="70"/>
      <c r="U574" s="70"/>
      <c r="V574" s="70" t="s">
        <v>2240</v>
      </c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8" ht="15.75" thickBot="1" x14ac:dyDescent="0.3">
      <c r="A575">
        <v>6</v>
      </c>
      <c r="B575">
        <v>12</v>
      </c>
      <c r="C575"/>
      <c r="D575"/>
      <c r="E575" t="s">
        <v>2353</v>
      </c>
      <c r="F575" t="s">
        <v>583</v>
      </c>
      <c r="G575" t="s">
        <v>1043</v>
      </c>
      <c r="H575" t="s">
        <v>1053</v>
      </c>
      <c r="I575" t="s">
        <v>585</v>
      </c>
      <c r="J575" s="30" t="s">
        <v>72</v>
      </c>
      <c r="K575" s="30" t="s">
        <v>27</v>
      </c>
      <c r="L575" s="30"/>
      <c r="M575" s="30" t="s">
        <v>882</v>
      </c>
      <c r="N575" s="30"/>
      <c r="O575" s="31">
        <f t="shared" si="25"/>
        <v>27</v>
      </c>
      <c r="P575" s="137" t="s">
        <v>2082</v>
      </c>
      <c r="Q575" s="31">
        <f t="shared" si="26"/>
        <v>1</v>
      </c>
      <c r="R575" s="32">
        <f t="shared" si="27"/>
        <v>0.9642857142857143</v>
      </c>
      <c r="S575" s="70"/>
      <c r="T575" s="70"/>
      <c r="U575" s="70"/>
      <c r="V575" s="70" t="s">
        <v>2240</v>
      </c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8" ht="15.75" thickBot="1" x14ac:dyDescent="0.3">
      <c r="A576">
        <v>6</v>
      </c>
      <c r="B576">
        <v>12</v>
      </c>
      <c r="C576"/>
      <c r="D576"/>
      <c r="E576" t="s">
        <v>2353</v>
      </c>
      <c r="F576" t="s">
        <v>583</v>
      </c>
      <c r="G576" t="s">
        <v>1044</v>
      </c>
      <c r="H576" t="s">
        <v>1053</v>
      </c>
      <c r="I576" t="s">
        <v>586</v>
      </c>
      <c r="J576" s="30" t="s">
        <v>72</v>
      </c>
      <c r="K576" s="30" t="s">
        <v>27</v>
      </c>
      <c r="L576" s="30"/>
      <c r="M576" s="30" t="s">
        <v>883</v>
      </c>
      <c r="N576" s="30"/>
      <c r="O576" s="31">
        <f t="shared" si="25"/>
        <v>27</v>
      </c>
      <c r="P576" s="137" t="s">
        <v>2083</v>
      </c>
      <c r="Q576" s="31">
        <f t="shared" si="26"/>
        <v>1</v>
      </c>
      <c r="R576" s="32">
        <f t="shared" si="27"/>
        <v>0.9642857142857143</v>
      </c>
      <c r="S576" s="70"/>
      <c r="T576" s="70"/>
      <c r="U576" s="70"/>
      <c r="V576" s="70" t="s">
        <v>2240</v>
      </c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8" ht="15.75" thickBot="1" x14ac:dyDescent="0.3">
      <c r="A577">
        <v>6</v>
      </c>
      <c r="B577">
        <v>12</v>
      </c>
      <c r="C577"/>
      <c r="D577"/>
      <c r="E577" t="s">
        <v>2353</v>
      </c>
      <c r="F577" t="s">
        <v>583</v>
      </c>
      <c r="G577" t="s">
        <v>587</v>
      </c>
      <c r="H577" t="s">
        <v>1053</v>
      </c>
      <c r="I577" t="s">
        <v>586</v>
      </c>
      <c r="J577" s="30" t="s">
        <v>72</v>
      </c>
      <c r="K577" s="30" t="s">
        <v>27</v>
      </c>
      <c r="L577" s="30"/>
      <c r="M577" s="30" t="s">
        <v>884</v>
      </c>
      <c r="N577" s="30"/>
      <c r="O577" s="31">
        <f t="shared" si="25"/>
        <v>27</v>
      </c>
      <c r="P577" s="137" t="s">
        <v>2084</v>
      </c>
      <c r="Q577" s="31">
        <f t="shared" si="26"/>
        <v>1</v>
      </c>
      <c r="R577" s="32">
        <f t="shared" si="27"/>
        <v>0.9642857142857143</v>
      </c>
      <c r="S577" s="70"/>
      <c r="T577" s="70"/>
      <c r="U577" s="70"/>
      <c r="V577" s="70" t="s">
        <v>2240</v>
      </c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8" s="73" customFormat="1" ht="15.75" thickBot="1" x14ac:dyDescent="0.3">
      <c r="A578"/>
      <c r="B578"/>
      <c r="C578"/>
      <c r="D578"/>
      <c r="E578"/>
      <c r="F578" s="73" t="s">
        <v>588</v>
      </c>
      <c r="G578" s="73" t="s">
        <v>589</v>
      </c>
      <c r="H578" s="73" t="s">
        <v>1053</v>
      </c>
      <c r="I578" s="73" t="s">
        <v>590</v>
      </c>
      <c r="J578" s="85" t="s">
        <v>14</v>
      </c>
      <c r="K578" s="85" t="s">
        <v>1291</v>
      </c>
      <c r="L578" s="85"/>
      <c r="M578" s="85" t="s">
        <v>885</v>
      </c>
      <c r="N578" s="85"/>
      <c r="O578" s="132">
        <f t="shared" si="25"/>
        <v>28</v>
      </c>
      <c r="P578" s="137" t="s">
        <v>2170</v>
      </c>
      <c r="Q578" s="132">
        <f t="shared" si="26"/>
        <v>0</v>
      </c>
      <c r="R578" s="133">
        <f t="shared" si="27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8" s="73" customFormat="1" ht="15.75" thickBot="1" x14ac:dyDescent="0.3">
      <c r="A579"/>
      <c r="B579"/>
      <c r="C579"/>
      <c r="D579"/>
      <c r="E579"/>
      <c r="F579" s="73" t="s">
        <v>588</v>
      </c>
      <c r="G579" s="73" t="s">
        <v>2219</v>
      </c>
      <c r="H579" s="73" t="s">
        <v>1053</v>
      </c>
      <c r="I579" s="73" t="s">
        <v>2220</v>
      </c>
      <c r="J579" s="85" t="s">
        <v>14</v>
      </c>
      <c r="K579" s="85" t="s">
        <v>1291</v>
      </c>
      <c r="L579" s="85"/>
      <c r="M579" s="85" t="s">
        <v>2221</v>
      </c>
      <c r="N579" s="85"/>
      <c r="O579" s="132">
        <f t="shared" si="25"/>
        <v>28</v>
      </c>
      <c r="P579" s="137" t="s">
        <v>2222</v>
      </c>
      <c r="Q579" s="132">
        <f t="shared" si="26"/>
        <v>0</v>
      </c>
      <c r="R579" s="133">
        <f t="shared" si="27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8" s="73" customFormat="1" ht="15.75" thickBot="1" x14ac:dyDescent="0.3">
      <c r="A580"/>
      <c r="B580"/>
      <c r="C580"/>
      <c r="D580"/>
      <c r="E580"/>
      <c r="F580" s="73" t="s">
        <v>588</v>
      </c>
      <c r="G580" s="73" t="s">
        <v>2232</v>
      </c>
      <c r="H580" s="73" t="s">
        <v>1053</v>
      </c>
      <c r="I580" s="73" t="s">
        <v>2233</v>
      </c>
      <c r="J580" s="85" t="s">
        <v>14</v>
      </c>
      <c r="K580" s="85" t="s">
        <v>1291</v>
      </c>
      <c r="L580" s="85"/>
      <c r="M580" s="85" t="s">
        <v>2316</v>
      </c>
      <c r="N580" s="85"/>
      <c r="O580" s="132">
        <f t="shared" si="25"/>
        <v>28</v>
      </c>
      <c r="P580" s="137"/>
      <c r="Q580" s="132">
        <f t="shared" si="26"/>
        <v>0</v>
      </c>
      <c r="R580" s="133">
        <f t="shared" si="27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8" ht="14.25" customHeight="1" thickBot="1" x14ac:dyDescent="0.3">
      <c r="A581"/>
      <c r="B581"/>
      <c r="C581"/>
      <c r="D581"/>
      <c r="E581"/>
      <c r="F581" t="s">
        <v>591</v>
      </c>
      <c r="G581" t="s">
        <v>1045</v>
      </c>
      <c r="H581" t="s">
        <v>1053</v>
      </c>
      <c r="I581" t="s">
        <v>592</v>
      </c>
      <c r="J581" s="30" t="s">
        <v>14</v>
      </c>
      <c r="K581" s="30" t="s">
        <v>19</v>
      </c>
      <c r="L581" s="30"/>
      <c r="M581" s="30" t="s">
        <v>886</v>
      </c>
      <c r="N581" s="30"/>
      <c r="O581" s="31">
        <f t="shared" si="25"/>
        <v>28</v>
      </c>
      <c r="P581" s="137" t="s">
        <v>2171</v>
      </c>
      <c r="Q581" s="31">
        <f t="shared" si="26"/>
        <v>0</v>
      </c>
      <c r="R581" s="32">
        <f t="shared" si="27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8" ht="15.75" thickBot="1" x14ac:dyDescent="0.3">
      <c r="A582"/>
      <c r="B582"/>
      <c r="C582"/>
      <c r="D582"/>
      <c r="E582"/>
      <c r="F582" t="s">
        <v>591</v>
      </c>
      <c r="G582" t="s">
        <v>593</v>
      </c>
      <c r="H582" t="s">
        <v>1053</v>
      </c>
      <c r="I582" t="s">
        <v>594</v>
      </c>
      <c r="J582" s="30" t="s">
        <v>14</v>
      </c>
      <c r="K582" s="30" t="s">
        <v>19</v>
      </c>
      <c r="L582" s="30"/>
      <c r="M582" s="30" t="s">
        <v>887</v>
      </c>
      <c r="N582" s="30"/>
      <c r="O582" s="31">
        <f t="shared" si="25"/>
        <v>28</v>
      </c>
      <c r="P582" s="137" t="s">
        <v>2172</v>
      </c>
      <c r="Q582" s="31">
        <f t="shared" si="26"/>
        <v>0</v>
      </c>
      <c r="R582" s="32">
        <f t="shared" si="27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8" ht="15.75" thickBot="1" x14ac:dyDescent="0.3">
      <c r="A583"/>
      <c r="B583"/>
      <c r="C583"/>
      <c r="D583"/>
      <c r="E583"/>
      <c r="F583" t="s">
        <v>591</v>
      </c>
      <c r="G583" t="s">
        <v>595</v>
      </c>
      <c r="H583" t="s">
        <v>1053</v>
      </c>
      <c r="I583" t="s">
        <v>596</v>
      </c>
      <c r="J583" s="30" t="s">
        <v>14</v>
      </c>
      <c r="K583" s="30" t="s">
        <v>19</v>
      </c>
      <c r="L583" s="30"/>
      <c r="M583" s="30" t="s">
        <v>888</v>
      </c>
      <c r="N583" s="30"/>
      <c r="O583" s="31">
        <f t="shared" si="25"/>
        <v>28</v>
      </c>
      <c r="P583" s="137" t="s">
        <v>2173</v>
      </c>
      <c r="Q583" s="31">
        <f t="shared" si="26"/>
        <v>0</v>
      </c>
      <c r="R583" s="32">
        <f t="shared" si="27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8" ht="15.75" thickBot="1" x14ac:dyDescent="0.3">
      <c r="A584">
        <v>4</v>
      </c>
      <c r="B584">
        <v>12</v>
      </c>
      <c r="C584"/>
      <c r="D584"/>
      <c r="E584" t="s">
        <v>2351</v>
      </c>
      <c r="F584" t="s">
        <v>591</v>
      </c>
      <c r="G584" s="30" t="s">
        <v>1105</v>
      </c>
      <c r="H584" s="30" t="s">
        <v>1053</v>
      </c>
      <c r="I584" t="s">
        <v>1107</v>
      </c>
      <c r="J584" s="30" t="s">
        <v>1104</v>
      </c>
      <c r="K584" s="30" t="s">
        <v>27</v>
      </c>
      <c r="L584" s="30"/>
      <c r="M584" s="30" t="s">
        <v>1112</v>
      </c>
      <c r="N584" s="30"/>
      <c r="O584" s="31">
        <f t="shared" si="25"/>
        <v>28</v>
      </c>
      <c r="P584" s="137" t="s">
        <v>2086</v>
      </c>
      <c r="Q584" s="31">
        <f t="shared" si="26"/>
        <v>0</v>
      </c>
      <c r="R584" s="32">
        <f t="shared" si="27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8" ht="15.75" thickBot="1" x14ac:dyDescent="0.3">
      <c r="A585">
        <v>4</v>
      </c>
      <c r="B585">
        <v>12</v>
      </c>
      <c r="C585"/>
      <c r="D585"/>
      <c r="E585" t="s">
        <v>2351</v>
      </c>
      <c r="F585" t="s">
        <v>591</v>
      </c>
      <c r="G585" s="30" t="s">
        <v>1106</v>
      </c>
      <c r="H585" s="30" t="s">
        <v>1053</v>
      </c>
      <c r="I585" t="s">
        <v>1107</v>
      </c>
      <c r="J585" s="30" t="s">
        <v>1104</v>
      </c>
      <c r="K585" s="30" t="s">
        <v>27</v>
      </c>
      <c r="L585" s="30"/>
      <c r="M585" s="30" t="s">
        <v>1113</v>
      </c>
      <c r="N585" s="30"/>
      <c r="O585" s="31">
        <f t="shared" si="25"/>
        <v>28</v>
      </c>
      <c r="P585" s="137" t="s">
        <v>2085</v>
      </c>
      <c r="Q585" s="31">
        <f t="shared" si="26"/>
        <v>0</v>
      </c>
      <c r="R585" s="32">
        <f t="shared" si="27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8" ht="15.75" thickBot="1" x14ac:dyDescent="0.3">
      <c r="A586">
        <v>4</v>
      </c>
      <c r="B586">
        <v>12</v>
      </c>
      <c r="C586"/>
      <c r="D586"/>
      <c r="E586" t="s">
        <v>2351</v>
      </c>
      <c r="F586" t="s">
        <v>591</v>
      </c>
      <c r="G586" s="30" t="s">
        <v>1191</v>
      </c>
      <c r="H586" s="30" t="s">
        <v>1053</v>
      </c>
      <c r="I586" t="s">
        <v>1192</v>
      </c>
      <c r="J586" s="30" t="s">
        <v>14</v>
      </c>
      <c r="K586" s="30" t="s">
        <v>27</v>
      </c>
      <c r="L586" s="30"/>
      <c r="M586" s="30" t="s">
        <v>1193</v>
      </c>
      <c r="N586" s="30"/>
      <c r="O586" s="31">
        <f t="shared" si="25"/>
        <v>28</v>
      </c>
      <c r="P586" s="137" t="s">
        <v>2087</v>
      </c>
      <c r="Q586" s="31">
        <f t="shared" si="26"/>
        <v>0</v>
      </c>
      <c r="R586" s="32">
        <f t="shared" si="27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8" ht="15.75" thickBot="1" x14ac:dyDescent="0.3">
      <c r="A587"/>
      <c r="B587"/>
      <c r="C587"/>
      <c r="D587"/>
      <c r="E587"/>
      <c r="F587" t="s">
        <v>386</v>
      </c>
      <c r="G587" s="30" t="s">
        <v>2149</v>
      </c>
      <c r="H587" s="73" t="s">
        <v>1052</v>
      </c>
      <c r="I587" t="s">
        <v>2150</v>
      </c>
      <c r="J587" s="85" t="s">
        <v>45</v>
      </c>
      <c r="K587" s="30" t="s">
        <v>27</v>
      </c>
      <c r="L587" s="30"/>
      <c r="M587" s="30" t="s">
        <v>2151</v>
      </c>
      <c r="N587" s="30" t="s">
        <v>2284</v>
      </c>
      <c r="O587" s="31">
        <f t="shared" si="25"/>
        <v>27</v>
      </c>
      <c r="P587" s="137" t="s">
        <v>2152</v>
      </c>
      <c r="Q587" s="31">
        <f t="shared" si="26"/>
        <v>1</v>
      </c>
      <c r="R587" s="32">
        <f t="shared" si="27"/>
        <v>0.9642857142857143</v>
      </c>
      <c r="S587" s="70"/>
      <c r="T587" s="70"/>
      <c r="U587" s="70"/>
      <c r="V587" s="70" t="s">
        <v>2240</v>
      </c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8" s="73" customFormat="1" ht="15.75" thickBot="1" x14ac:dyDescent="0.3">
      <c r="A588"/>
      <c r="B588"/>
      <c r="C588"/>
      <c r="D588"/>
      <c r="E588"/>
      <c r="F588" s="73" t="s">
        <v>599</v>
      </c>
      <c r="G588" s="73" t="s">
        <v>600</v>
      </c>
      <c r="H588" s="73" t="s">
        <v>1053</v>
      </c>
      <c r="I588" s="73" t="s">
        <v>601</v>
      </c>
      <c r="J588" s="85" t="s">
        <v>18</v>
      </c>
      <c r="K588" s="85" t="s">
        <v>1291</v>
      </c>
      <c r="L588" s="85"/>
      <c r="M588" s="85" t="s">
        <v>1359</v>
      </c>
      <c r="N588" s="85"/>
      <c r="O588" s="132">
        <f t="shared" si="25"/>
        <v>28</v>
      </c>
      <c r="P588" s="137" t="s">
        <v>2088</v>
      </c>
      <c r="Q588" s="132">
        <f t="shared" si="26"/>
        <v>0</v>
      </c>
      <c r="R588" s="133">
        <f t="shared" si="27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8" s="73" customFormat="1" ht="15.75" thickBot="1" x14ac:dyDescent="0.3">
      <c r="A589"/>
      <c r="B589"/>
      <c r="C589"/>
      <c r="D589"/>
      <c r="E589"/>
      <c r="F589" s="73" t="s">
        <v>307</v>
      </c>
      <c r="G589" s="73" t="s">
        <v>602</v>
      </c>
      <c r="H589" s="73" t="s">
        <v>1053</v>
      </c>
      <c r="I589" s="73" t="s">
        <v>603</v>
      </c>
      <c r="J589" s="85" t="s">
        <v>18</v>
      </c>
      <c r="K589" s="85" t="s">
        <v>1291</v>
      </c>
      <c r="L589" s="85"/>
      <c r="M589" s="85" t="s">
        <v>1356</v>
      </c>
      <c r="N589" s="85"/>
      <c r="O589" s="132">
        <f t="shared" si="25"/>
        <v>28</v>
      </c>
      <c r="P589" s="137" t="s">
        <v>2089</v>
      </c>
      <c r="Q589" s="132">
        <f t="shared" si="26"/>
        <v>0</v>
      </c>
      <c r="R589" s="133">
        <f t="shared" si="27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8" s="73" customFormat="1" ht="15.75" thickBot="1" x14ac:dyDescent="0.3">
      <c r="A590"/>
      <c r="B590"/>
      <c r="C590"/>
      <c r="D590"/>
      <c r="E590"/>
      <c r="F590" s="73" t="s">
        <v>599</v>
      </c>
      <c r="G590" s="73" t="s">
        <v>604</v>
      </c>
      <c r="H590" s="73" t="s">
        <v>1052</v>
      </c>
      <c r="I590" s="73" t="s">
        <v>605</v>
      </c>
      <c r="J590" s="85" t="s">
        <v>14</v>
      </c>
      <c r="K590" s="85" t="s">
        <v>1291</v>
      </c>
      <c r="L590" s="85"/>
      <c r="M590" s="85" t="s">
        <v>1490</v>
      </c>
      <c r="N590" s="85"/>
      <c r="O590" s="132">
        <f t="shared" si="25"/>
        <v>28</v>
      </c>
      <c r="P590" s="137" t="s">
        <v>2090</v>
      </c>
      <c r="Q590" s="132">
        <f t="shared" si="26"/>
        <v>0</v>
      </c>
      <c r="R590" s="133">
        <f t="shared" si="27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8" s="73" customFormat="1" ht="15.75" thickBot="1" x14ac:dyDescent="0.3">
      <c r="A591"/>
      <c r="B591"/>
      <c r="C591"/>
      <c r="D591"/>
      <c r="E591"/>
      <c r="F591" s="73" t="s">
        <v>599</v>
      </c>
      <c r="G591" s="73" t="s">
        <v>597</v>
      </c>
      <c r="H591" s="73" t="s">
        <v>1052</v>
      </c>
      <c r="I591" s="73" t="s">
        <v>598</v>
      </c>
      <c r="J591" s="85" t="s">
        <v>18</v>
      </c>
      <c r="K591" s="85" t="s">
        <v>1291</v>
      </c>
      <c r="L591" s="85"/>
      <c r="M591" s="85" t="s">
        <v>1417</v>
      </c>
      <c r="N591" s="85"/>
      <c r="O591" s="132">
        <f t="shared" si="25"/>
        <v>28</v>
      </c>
      <c r="P591" s="137" t="s">
        <v>2091</v>
      </c>
      <c r="Q591" s="132">
        <f t="shared" si="26"/>
        <v>0</v>
      </c>
      <c r="R591" s="133">
        <f t="shared" si="27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4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8" s="73" customFormat="1" ht="15.75" thickBot="1" x14ac:dyDescent="0.3">
      <c r="A592"/>
      <c r="B592"/>
      <c r="C592"/>
      <c r="D592"/>
      <c r="E592"/>
      <c r="F592" s="73" t="s">
        <v>599</v>
      </c>
      <c r="G592" s="73" t="s">
        <v>1430</v>
      </c>
      <c r="H592" s="73" t="s">
        <v>1052</v>
      </c>
      <c r="I592" s="73" t="s">
        <v>1431</v>
      </c>
      <c r="J592" s="85" t="s">
        <v>45</v>
      </c>
      <c r="K592" s="85" t="s">
        <v>1291</v>
      </c>
      <c r="L592" s="85"/>
      <c r="M592" s="85" t="s">
        <v>1436</v>
      </c>
      <c r="N592" s="85"/>
      <c r="O592" s="132">
        <f t="shared" si="25"/>
        <v>28</v>
      </c>
      <c r="P592" s="137" t="s">
        <v>2092</v>
      </c>
      <c r="Q592" s="132">
        <f t="shared" si="26"/>
        <v>0</v>
      </c>
      <c r="R592" s="133">
        <f t="shared" si="27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8" s="73" customFormat="1" ht="15.75" thickBot="1" x14ac:dyDescent="0.3">
      <c r="A593"/>
      <c r="B593"/>
      <c r="C593"/>
      <c r="D593"/>
      <c r="E593"/>
      <c r="F593" s="73" t="s">
        <v>599</v>
      </c>
      <c r="G593" s="73" t="s">
        <v>1433</v>
      </c>
      <c r="H593" s="73" t="s">
        <v>1052</v>
      </c>
      <c r="I593" s="73" t="s">
        <v>1432</v>
      </c>
      <c r="J593" s="85" t="s">
        <v>72</v>
      </c>
      <c r="K593" s="85" t="s">
        <v>1291</v>
      </c>
      <c r="L593" s="85"/>
      <c r="M593" s="85" t="s">
        <v>1437</v>
      </c>
      <c r="N593" s="85"/>
      <c r="O593" s="132">
        <f t="shared" si="25"/>
        <v>28</v>
      </c>
      <c r="P593" s="137" t="s">
        <v>2093</v>
      </c>
      <c r="Q593" s="132">
        <f t="shared" si="26"/>
        <v>0</v>
      </c>
      <c r="R593" s="133">
        <f t="shared" si="27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8" s="73" customFormat="1" ht="15.75" thickBot="1" x14ac:dyDescent="0.3">
      <c r="A594"/>
      <c r="B594"/>
      <c r="C594"/>
      <c r="D594"/>
      <c r="E594"/>
      <c r="F594" s="73" t="s">
        <v>599</v>
      </c>
      <c r="G594" s="73" t="s">
        <v>1434</v>
      </c>
      <c r="H594" s="73" t="s">
        <v>1052</v>
      </c>
      <c r="I594" s="73" t="s">
        <v>1435</v>
      </c>
      <c r="J594" s="85" t="s">
        <v>72</v>
      </c>
      <c r="K594" s="85" t="s">
        <v>1291</v>
      </c>
      <c r="L594" s="85"/>
      <c r="M594" s="85" t="s">
        <v>1438</v>
      </c>
      <c r="N594" s="85"/>
      <c r="O594" s="132">
        <f t="shared" si="25"/>
        <v>28</v>
      </c>
      <c r="P594" s="137" t="s">
        <v>2094</v>
      </c>
      <c r="Q594" s="132">
        <f t="shared" si="26"/>
        <v>0</v>
      </c>
      <c r="R594" s="133">
        <f t="shared" si="27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8" s="73" customFormat="1" ht="15.75" thickBot="1" x14ac:dyDescent="0.3">
      <c r="A595"/>
      <c r="B595"/>
      <c r="C595"/>
      <c r="D595"/>
      <c r="E595"/>
      <c r="F595" s="73" t="s">
        <v>599</v>
      </c>
      <c r="G595" s="73" t="s">
        <v>2095</v>
      </c>
      <c r="H595" s="73" t="s">
        <v>1052</v>
      </c>
      <c r="I595" s="73" t="s">
        <v>2096</v>
      </c>
      <c r="J595" s="85" t="s">
        <v>14</v>
      </c>
      <c r="K595" s="85" t="s">
        <v>1291</v>
      </c>
      <c r="L595" s="85"/>
      <c r="M595" s="85" t="s">
        <v>2317</v>
      </c>
      <c r="N595" s="85"/>
      <c r="O595" s="132">
        <f t="shared" si="25"/>
        <v>28</v>
      </c>
      <c r="P595" s="137" t="s">
        <v>2097</v>
      </c>
      <c r="Q595" s="132">
        <f t="shared" si="26"/>
        <v>0</v>
      </c>
      <c r="R595" s="133">
        <f t="shared" si="27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</row>
    <row r="596" spans="1:48" ht="17.25" customHeight="1" thickBot="1" x14ac:dyDescent="0.3">
      <c r="A596"/>
      <c r="B596"/>
      <c r="C596"/>
      <c r="D596"/>
      <c r="E596"/>
      <c r="F596" s="73" t="s">
        <v>599</v>
      </c>
      <c r="G596" s="73" t="s">
        <v>2245</v>
      </c>
      <c r="H596" s="73" t="s">
        <v>1052</v>
      </c>
      <c r="I596" s="73" t="s">
        <v>2246</v>
      </c>
      <c r="J596" s="85" t="s">
        <v>14</v>
      </c>
      <c r="K596" s="85" t="s">
        <v>1291</v>
      </c>
      <c r="L596" s="85"/>
      <c r="M596" s="85" t="s">
        <v>2247</v>
      </c>
      <c r="N596" s="85"/>
      <c r="O596" s="132">
        <f t="shared" si="25"/>
        <v>28</v>
      </c>
      <c r="P596" s="137" t="s">
        <v>2248</v>
      </c>
      <c r="Q596" s="132">
        <f t="shared" si="26"/>
        <v>0</v>
      </c>
      <c r="R596" s="133">
        <f t="shared" si="27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8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5"/>
      <c r="K597" s="85"/>
      <c r="L597" s="85"/>
      <c r="M597" s="85"/>
      <c r="N597" s="85"/>
      <c r="O597" s="147"/>
      <c r="P597" s="137"/>
      <c r="Q597" s="147"/>
      <c r="R597" s="148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8" x14ac:dyDescent="0.25">
      <c r="P598" s="137"/>
    </row>
    <row r="599" spans="1:48" x14ac:dyDescent="0.25">
      <c r="P599" s="137"/>
    </row>
    <row r="600" spans="1:48" x14ac:dyDescent="0.25">
      <c r="P600" s="137"/>
    </row>
    <row r="601" spans="1:48" x14ac:dyDescent="0.25">
      <c r="P601" s="137"/>
    </row>
    <row r="602" spans="1:48" x14ac:dyDescent="0.25">
      <c r="P602" s="137"/>
      <c r="S602"/>
    </row>
    <row r="603" spans="1:48" x14ac:dyDescent="0.25">
      <c r="P603" s="137"/>
    </row>
    <row r="604" spans="1:48" x14ac:dyDescent="0.25">
      <c r="P604" s="137"/>
    </row>
    <row r="605" spans="1:48" x14ac:dyDescent="0.25">
      <c r="P605" s="137"/>
    </row>
    <row r="606" spans="1:48" x14ac:dyDescent="0.25">
      <c r="P606" s="137"/>
    </row>
    <row r="607" spans="1:48" x14ac:dyDescent="0.25">
      <c r="P607" s="137"/>
    </row>
    <row r="608" spans="1:48" x14ac:dyDescent="0.25">
      <c r="P608" s="137"/>
    </row>
    <row r="609" spans="16:16" x14ac:dyDescent="0.25">
      <c r="P609" s="137"/>
    </row>
    <row r="610" spans="16:16" x14ac:dyDescent="0.25">
      <c r="P610" s="137"/>
    </row>
    <row r="611" spans="16:16" x14ac:dyDescent="0.25">
      <c r="P611" s="137"/>
    </row>
    <row r="612" spans="16:16" x14ac:dyDescent="0.25">
      <c r="P612" s="137"/>
    </row>
    <row r="613" spans="16:16" x14ac:dyDescent="0.25">
      <c r="P613" s="137"/>
    </row>
    <row r="614" spans="16:16" x14ac:dyDescent="0.25">
      <c r="P614" s="137"/>
    </row>
    <row r="615" spans="16:16" x14ac:dyDescent="0.25">
      <c r="P615" s="137"/>
    </row>
    <row r="616" spans="16:16" x14ac:dyDescent="0.25">
      <c r="P616" s="137"/>
    </row>
    <row r="617" spans="16:16" x14ac:dyDescent="0.25">
      <c r="P617" s="137"/>
    </row>
    <row r="618" spans="16:16" x14ac:dyDescent="0.25">
      <c r="P618" s="137"/>
    </row>
    <row r="619" spans="16:16" x14ac:dyDescent="0.25">
      <c r="P619" s="137"/>
    </row>
    <row r="620" spans="16:16" x14ac:dyDescent="0.25">
      <c r="P620" s="137"/>
    </row>
    <row r="621" spans="16:16" x14ac:dyDescent="0.25">
      <c r="P621" s="137"/>
    </row>
    <row r="622" spans="16:16" x14ac:dyDescent="0.25">
      <c r="P622" s="137"/>
    </row>
    <row r="623" spans="16:16" x14ac:dyDescent="0.25">
      <c r="P623" s="137"/>
    </row>
    <row r="624" spans="16:16" x14ac:dyDescent="0.25">
      <c r="P624" s="137"/>
    </row>
    <row r="625" spans="16:16" x14ac:dyDescent="0.25">
      <c r="P625" s="137"/>
    </row>
    <row r="626" spans="16:16" x14ac:dyDescent="0.25">
      <c r="P626" s="137"/>
    </row>
    <row r="627" spans="16:16" x14ac:dyDescent="0.25">
      <c r="P627" s="137"/>
    </row>
    <row r="628" spans="16:16" x14ac:dyDescent="0.25">
      <c r="P628" s="137"/>
    </row>
    <row r="629" spans="16:16" x14ac:dyDescent="0.25">
      <c r="P629" s="137"/>
    </row>
    <row r="630" spans="16:16" x14ac:dyDescent="0.25">
      <c r="P630" s="137"/>
    </row>
    <row r="631" spans="16:16" x14ac:dyDescent="0.25">
      <c r="P631" s="137"/>
    </row>
    <row r="632" spans="16:16" x14ac:dyDescent="0.25">
      <c r="P632" s="137"/>
    </row>
    <row r="633" spans="16:16" x14ac:dyDescent="0.25">
      <c r="P633" s="137"/>
    </row>
    <row r="634" spans="16:16" x14ac:dyDescent="0.25">
      <c r="P634" s="137"/>
    </row>
    <row r="635" spans="16:16" x14ac:dyDescent="0.25">
      <c r="P635" s="137"/>
    </row>
    <row r="636" spans="16:16" x14ac:dyDescent="0.25">
      <c r="P636" s="137"/>
    </row>
    <row r="637" spans="16:16" x14ac:dyDescent="0.25">
      <c r="P637" s="137"/>
    </row>
    <row r="638" spans="16:16" x14ac:dyDescent="0.25">
      <c r="P638" s="137"/>
    </row>
    <row r="639" spans="16:16" x14ac:dyDescent="0.25">
      <c r="P639" s="137"/>
    </row>
    <row r="640" spans="16:16" x14ac:dyDescent="0.25">
      <c r="P640" s="137"/>
    </row>
    <row r="641" spans="16:16" x14ac:dyDescent="0.25">
      <c r="P641" s="137"/>
    </row>
    <row r="642" spans="16:16" x14ac:dyDescent="0.25">
      <c r="P642" s="137"/>
    </row>
    <row r="643" spans="16:16" x14ac:dyDescent="0.25">
      <c r="P643" s="137"/>
    </row>
    <row r="644" spans="16:16" x14ac:dyDescent="0.25">
      <c r="P644" s="137"/>
    </row>
    <row r="645" spans="16:16" x14ac:dyDescent="0.25">
      <c r="P645" s="137"/>
    </row>
    <row r="646" spans="16:16" x14ac:dyDescent="0.25">
      <c r="P646" s="137"/>
    </row>
    <row r="647" spans="16:16" x14ac:dyDescent="0.25">
      <c r="P647" s="137"/>
    </row>
    <row r="648" spans="16:16" x14ac:dyDescent="0.25">
      <c r="P648" s="137"/>
    </row>
    <row r="649" spans="16:16" x14ac:dyDescent="0.25">
      <c r="P649" s="137"/>
    </row>
    <row r="650" spans="16:16" x14ac:dyDescent="0.25">
      <c r="P650" s="137"/>
    </row>
    <row r="651" spans="16:16" x14ac:dyDescent="0.25">
      <c r="P651" s="137"/>
    </row>
    <row r="652" spans="16:16" x14ac:dyDescent="0.25">
      <c r="P652" s="137"/>
    </row>
    <row r="653" spans="16:16" x14ac:dyDescent="0.25">
      <c r="P653" s="137"/>
    </row>
    <row r="654" spans="16:16" x14ac:dyDescent="0.25">
      <c r="P654" s="137"/>
    </row>
    <row r="655" spans="16:16" x14ac:dyDescent="0.25">
      <c r="P655" s="137"/>
    </row>
    <row r="656" spans="16:16" x14ac:dyDescent="0.25">
      <c r="P656" s="137"/>
    </row>
    <row r="657" spans="16:16" x14ac:dyDescent="0.25">
      <c r="P657" s="137"/>
    </row>
    <row r="658" spans="16:16" x14ac:dyDescent="0.25">
      <c r="P658" s="137"/>
    </row>
    <row r="659" spans="16:16" x14ac:dyDescent="0.25">
      <c r="P659" s="137"/>
    </row>
    <row r="660" spans="16:16" x14ac:dyDescent="0.25">
      <c r="P660" s="137"/>
    </row>
    <row r="661" spans="16:16" x14ac:dyDescent="0.25">
      <c r="P661" s="137"/>
    </row>
    <row r="662" spans="16:16" x14ac:dyDescent="0.25">
      <c r="P662" s="137"/>
    </row>
    <row r="663" spans="16:16" x14ac:dyDescent="0.25">
      <c r="P663" s="137"/>
    </row>
    <row r="664" spans="16:16" x14ac:dyDescent="0.25">
      <c r="P664" s="137"/>
    </row>
    <row r="665" spans="16:16" x14ac:dyDescent="0.25">
      <c r="P665" s="137"/>
    </row>
    <row r="666" spans="16:16" x14ac:dyDescent="0.25">
      <c r="P666" s="137"/>
    </row>
    <row r="667" spans="16:16" x14ac:dyDescent="0.25">
      <c r="P667" s="137"/>
    </row>
    <row r="668" spans="16:16" x14ac:dyDescent="0.25">
      <c r="P668" s="137"/>
    </row>
    <row r="669" spans="16:16" x14ac:dyDescent="0.25">
      <c r="P669" s="137"/>
    </row>
    <row r="670" spans="16:16" x14ac:dyDescent="0.25">
      <c r="P670" s="137"/>
    </row>
    <row r="671" spans="16:16" x14ac:dyDescent="0.25">
      <c r="P671" s="137"/>
    </row>
    <row r="672" spans="16:16" x14ac:dyDescent="0.25">
      <c r="P672" s="137"/>
    </row>
    <row r="673" spans="10:48" x14ac:dyDescent="0.25">
      <c r="P673" s="137"/>
    </row>
    <row r="674" spans="10:48" x14ac:dyDescent="0.25">
      <c r="P674" s="137"/>
    </row>
    <row r="675" spans="10:48" x14ac:dyDescent="0.25">
      <c r="P675" s="137"/>
    </row>
    <row r="676" spans="10:48" x14ac:dyDescent="0.25">
      <c r="P676" s="137"/>
    </row>
    <row r="677" spans="10:48" x14ac:dyDescent="0.25">
      <c r="P677" s="137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7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7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7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7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7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7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7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7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7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7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7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7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7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7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7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7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7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7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7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7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7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7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7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7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7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7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7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7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7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7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7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7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7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7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7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7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7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7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7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7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7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7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7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7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7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7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7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7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7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7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7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7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7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7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7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7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7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7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7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7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7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7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7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7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7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7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7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7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7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7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7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7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7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7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7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7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7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7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7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7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7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7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7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7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7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7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7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7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7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7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7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7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7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7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7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7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7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7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7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7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7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7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7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7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7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7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7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7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7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7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7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7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7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7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7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7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7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7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7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7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7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7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7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7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7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7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7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7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7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7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7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7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7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7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7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7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7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7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7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7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7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7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7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7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7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7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7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7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7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7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7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7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7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7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7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7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7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7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7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7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7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7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7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7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7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7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7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7"/>
      <c r="R845" s="13"/>
      <c r="U845" s="70"/>
    </row>
    <row r="846" spans="10:48" x14ac:dyDescent="0.25">
      <c r="P846" s="137"/>
      <c r="R846" s="13"/>
      <c r="U846" s="70"/>
    </row>
    <row r="847" spans="10:48" x14ac:dyDescent="0.25">
      <c r="P847" s="137"/>
      <c r="U847" s="70"/>
    </row>
    <row r="848" spans="10:48" x14ac:dyDescent="0.25">
      <c r="P848" s="137"/>
      <c r="U848" s="70"/>
    </row>
    <row r="849" spans="16:21" x14ac:dyDescent="0.25">
      <c r="P849" s="137"/>
      <c r="U849" s="70"/>
    </row>
    <row r="850" spans="16:21" x14ac:dyDescent="0.25">
      <c r="P850" s="137"/>
      <c r="U850" s="70"/>
    </row>
    <row r="851" spans="16:21" x14ac:dyDescent="0.25">
      <c r="P851" s="137"/>
      <c r="U851" s="70"/>
    </row>
    <row r="852" spans="16:21" x14ac:dyDescent="0.25">
      <c r="P852" s="137"/>
      <c r="U852" s="70"/>
    </row>
    <row r="853" spans="16:21" x14ac:dyDescent="0.25">
      <c r="P853" s="137"/>
      <c r="U853" s="70"/>
    </row>
    <row r="854" spans="16:21" x14ac:dyDescent="0.25">
      <c r="P854" s="137"/>
      <c r="U854" s="70"/>
    </row>
    <row r="855" spans="16:21" x14ac:dyDescent="0.25">
      <c r="P855" s="137"/>
      <c r="U855" s="70"/>
    </row>
    <row r="856" spans="16:21" x14ac:dyDescent="0.25">
      <c r="P856" s="137"/>
      <c r="U856" s="70"/>
    </row>
    <row r="857" spans="16:21" x14ac:dyDescent="0.25">
      <c r="P857" s="137"/>
      <c r="U857" s="70"/>
    </row>
    <row r="858" spans="16:21" x14ac:dyDescent="0.25">
      <c r="P858" s="137"/>
      <c r="U858" s="70"/>
    </row>
    <row r="859" spans="16:21" x14ac:dyDescent="0.25">
      <c r="P859" s="137"/>
      <c r="U859" s="70"/>
    </row>
    <row r="860" spans="16:21" x14ac:dyDescent="0.25">
      <c r="P860" s="137"/>
      <c r="U860" s="70"/>
    </row>
    <row r="861" spans="16:21" x14ac:dyDescent="0.25">
      <c r="P861" s="137"/>
      <c r="U861" s="70"/>
    </row>
    <row r="862" spans="16:21" x14ac:dyDescent="0.25">
      <c r="P862" s="137"/>
      <c r="U862" s="70"/>
    </row>
    <row r="863" spans="16:21" x14ac:dyDescent="0.25">
      <c r="P863" s="137"/>
      <c r="U863" s="70"/>
    </row>
    <row r="864" spans="16:21" x14ac:dyDescent="0.25">
      <c r="P864" s="137"/>
      <c r="U864" s="70"/>
    </row>
    <row r="865" spans="16:21" x14ac:dyDescent="0.25">
      <c r="P865" s="137"/>
      <c r="U865" s="70"/>
    </row>
    <row r="866" spans="16:21" x14ac:dyDescent="0.25">
      <c r="P866" s="137"/>
      <c r="U866" s="70"/>
    </row>
    <row r="867" spans="16:21" x14ac:dyDescent="0.25">
      <c r="P867" s="137"/>
      <c r="U867" s="70"/>
    </row>
    <row r="868" spans="16:21" x14ac:dyDescent="0.25">
      <c r="P868" s="137"/>
      <c r="U868" s="70"/>
    </row>
    <row r="869" spans="16:21" x14ac:dyDescent="0.25">
      <c r="P869" s="137"/>
      <c r="U869" s="70"/>
    </row>
    <row r="870" spans="16:21" x14ac:dyDescent="0.25">
      <c r="P870" s="137"/>
      <c r="U870" s="70"/>
    </row>
    <row r="871" spans="16:21" x14ac:dyDescent="0.25">
      <c r="P871" s="137"/>
      <c r="U871" s="70"/>
    </row>
    <row r="872" spans="16:21" x14ac:dyDescent="0.25">
      <c r="P872" s="137"/>
      <c r="U872" s="70"/>
    </row>
    <row r="873" spans="16:21" x14ac:dyDescent="0.25">
      <c r="P873" s="137"/>
      <c r="U873" s="70"/>
    </row>
    <row r="874" spans="16:21" x14ac:dyDescent="0.25">
      <c r="P874" s="137"/>
      <c r="U874" s="70"/>
    </row>
    <row r="875" spans="16:21" x14ac:dyDescent="0.25">
      <c r="P875" s="137"/>
      <c r="U875" s="70"/>
    </row>
    <row r="876" spans="16:21" x14ac:dyDescent="0.25">
      <c r="P876" s="137"/>
      <c r="U876" s="70"/>
    </row>
    <row r="877" spans="16:21" x14ac:dyDescent="0.25">
      <c r="P877" s="137"/>
      <c r="U877" s="70"/>
    </row>
    <row r="878" spans="16:21" x14ac:dyDescent="0.25">
      <c r="P878" s="137"/>
      <c r="U878" s="70"/>
    </row>
    <row r="879" spans="16:21" x14ac:dyDescent="0.25">
      <c r="P879" s="137"/>
      <c r="U879" s="70"/>
    </row>
    <row r="880" spans="16:21" x14ac:dyDescent="0.25">
      <c r="P880" s="137"/>
      <c r="U880" s="70"/>
    </row>
    <row r="881" spans="16:21" x14ac:dyDescent="0.25">
      <c r="P881" s="137"/>
      <c r="U881" s="70"/>
    </row>
    <row r="882" spans="16:21" x14ac:dyDescent="0.25">
      <c r="P882" s="137"/>
      <c r="U882" s="70"/>
    </row>
    <row r="883" spans="16:21" x14ac:dyDescent="0.25">
      <c r="P883" s="137"/>
      <c r="U883" s="70"/>
    </row>
    <row r="884" spans="16:21" x14ac:dyDescent="0.25">
      <c r="P884" s="137"/>
      <c r="U884" s="70"/>
    </row>
    <row r="885" spans="16:21" x14ac:dyDescent="0.25">
      <c r="P885" s="137"/>
      <c r="U885" s="70"/>
    </row>
    <row r="886" spans="16:21" x14ac:dyDescent="0.25">
      <c r="P886" s="137"/>
      <c r="U886" s="70"/>
    </row>
    <row r="887" spans="16:21" x14ac:dyDescent="0.25">
      <c r="P887" s="137"/>
      <c r="U887" s="70"/>
    </row>
    <row r="888" spans="16:21" x14ac:dyDescent="0.25">
      <c r="P888" s="137"/>
      <c r="U888" s="70"/>
    </row>
    <row r="889" spans="16:21" x14ac:dyDescent="0.25">
      <c r="P889" s="137"/>
      <c r="U889" s="70"/>
    </row>
    <row r="890" spans="16:21" x14ac:dyDescent="0.25">
      <c r="P890" s="137"/>
      <c r="U890" s="70"/>
    </row>
    <row r="891" spans="16:21" x14ac:dyDescent="0.25">
      <c r="P891" s="137"/>
      <c r="U891" s="70"/>
    </row>
    <row r="892" spans="16:21" x14ac:dyDescent="0.25">
      <c r="P892" s="137"/>
      <c r="U892" s="70"/>
    </row>
    <row r="893" spans="16:21" x14ac:dyDescent="0.25">
      <c r="P893" s="137"/>
      <c r="U893" s="70"/>
    </row>
    <row r="894" spans="16:21" x14ac:dyDescent="0.25">
      <c r="P894" s="137"/>
      <c r="U894" s="70"/>
    </row>
    <row r="895" spans="16:21" x14ac:dyDescent="0.25">
      <c r="P895" s="137"/>
      <c r="U895" s="70"/>
    </row>
    <row r="896" spans="16:21" x14ac:dyDescent="0.25">
      <c r="P896" s="137"/>
      <c r="U896" s="70"/>
    </row>
    <row r="897" spans="16:21" x14ac:dyDescent="0.25">
      <c r="P897" s="137"/>
      <c r="U897" s="70"/>
    </row>
    <row r="898" spans="16:21" x14ac:dyDescent="0.25">
      <c r="P898" s="137"/>
      <c r="U898" s="70"/>
    </row>
    <row r="899" spans="16:21" x14ac:dyDescent="0.25">
      <c r="P899" s="137"/>
      <c r="U899" s="70"/>
    </row>
    <row r="900" spans="16:21" x14ac:dyDescent="0.25">
      <c r="P900" s="137"/>
      <c r="U900" s="70"/>
    </row>
    <row r="901" spans="16:21" x14ac:dyDescent="0.25">
      <c r="P901" s="137"/>
      <c r="U901" s="70"/>
    </row>
    <row r="902" spans="16:21" x14ac:dyDescent="0.25">
      <c r="P902" s="137"/>
      <c r="U902" s="70"/>
    </row>
    <row r="903" spans="16:21" x14ac:dyDescent="0.25">
      <c r="P903" s="137"/>
      <c r="U903" s="70"/>
    </row>
    <row r="904" spans="16:21" x14ac:dyDescent="0.25">
      <c r="P904" s="137"/>
      <c r="U904" s="70"/>
    </row>
    <row r="905" spans="16:21" x14ac:dyDescent="0.25">
      <c r="P905" s="137"/>
      <c r="U905" s="70"/>
    </row>
    <row r="906" spans="16:21" x14ac:dyDescent="0.25">
      <c r="P906" s="137"/>
      <c r="U906" s="70"/>
    </row>
    <row r="907" spans="16:21" x14ac:dyDescent="0.25">
      <c r="P907" s="137"/>
      <c r="U907" s="70"/>
    </row>
    <row r="908" spans="16:21" x14ac:dyDescent="0.25">
      <c r="P908" s="137"/>
      <c r="U908" s="70"/>
    </row>
    <row r="909" spans="16:21" x14ac:dyDescent="0.25">
      <c r="P909" s="137"/>
      <c r="U909" s="70"/>
    </row>
    <row r="910" spans="16:21" x14ac:dyDescent="0.25">
      <c r="P910" s="137"/>
      <c r="U910" s="70"/>
    </row>
    <row r="911" spans="16:21" x14ac:dyDescent="0.25">
      <c r="P911" s="137"/>
      <c r="U911" s="70"/>
    </row>
    <row r="912" spans="16:21" x14ac:dyDescent="0.25">
      <c r="P912" s="137"/>
      <c r="U912" s="70"/>
    </row>
    <row r="913" spans="16:21" x14ac:dyDescent="0.25">
      <c r="P913" s="137"/>
      <c r="U913" s="70"/>
    </row>
    <row r="914" spans="16:21" x14ac:dyDescent="0.25">
      <c r="P914" s="137"/>
      <c r="U914" s="70"/>
    </row>
    <row r="915" spans="16:21" x14ac:dyDescent="0.25">
      <c r="P915" s="137"/>
      <c r="U915" s="70"/>
    </row>
    <row r="916" spans="16:21" x14ac:dyDescent="0.25">
      <c r="P916" s="137"/>
      <c r="U916" s="70"/>
    </row>
    <row r="917" spans="16:21" x14ac:dyDescent="0.25">
      <c r="P917" s="137"/>
      <c r="U917" s="70"/>
    </row>
    <row r="918" spans="16:21" x14ac:dyDescent="0.25">
      <c r="P918" s="137"/>
      <c r="U918" s="70"/>
    </row>
    <row r="919" spans="16:21" x14ac:dyDescent="0.25">
      <c r="P919" s="137"/>
      <c r="U919" s="70"/>
    </row>
    <row r="920" spans="16:21" x14ac:dyDescent="0.25">
      <c r="P920" s="137"/>
      <c r="U920" s="70"/>
    </row>
    <row r="921" spans="16:21" x14ac:dyDescent="0.25">
      <c r="P921" s="137"/>
      <c r="U921" s="70"/>
    </row>
    <row r="922" spans="16:21" x14ac:dyDescent="0.25">
      <c r="P922" s="137"/>
      <c r="U922" s="70"/>
    </row>
    <row r="923" spans="16:21" x14ac:dyDescent="0.25">
      <c r="P923" s="137"/>
      <c r="U923" s="70"/>
    </row>
    <row r="924" spans="16:21" x14ac:dyDescent="0.25">
      <c r="P924" s="137"/>
      <c r="U924" s="70"/>
    </row>
    <row r="925" spans="16:21" x14ac:dyDescent="0.25">
      <c r="P925" s="137"/>
      <c r="U925" s="70"/>
    </row>
    <row r="926" spans="16:21" x14ac:dyDescent="0.25">
      <c r="P926" s="137"/>
      <c r="U926" s="70"/>
    </row>
    <row r="927" spans="16:21" x14ac:dyDescent="0.25">
      <c r="P927" s="137"/>
      <c r="U927" s="70"/>
    </row>
    <row r="928" spans="16:21" x14ac:dyDescent="0.25">
      <c r="P928" s="137"/>
      <c r="U928" s="70"/>
    </row>
    <row r="929" spans="16:21" x14ac:dyDescent="0.25">
      <c r="P929" s="137"/>
      <c r="U929" s="70"/>
    </row>
    <row r="930" spans="16:21" x14ac:dyDescent="0.25">
      <c r="P930" s="137"/>
      <c r="U930" s="70"/>
    </row>
    <row r="931" spans="16:21" x14ac:dyDescent="0.25">
      <c r="P931" s="137"/>
      <c r="U931" s="70"/>
    </row>
    <row r="932" spans="16:21" x14ac:dyDescent="0.25">
      <c r="P932" s="137"/>
      <c r="U932" s="70"/>
    </row>
    <row r="933" spans="16:21" x14ac:dyDescent="0.25">
      <c r="P933" s="137"/>
      <c r="U933" s="70"/>
    </row>
    <row r="934" spans="16:21" x14ac:dyDescent="0.25">
      <c r="P934" s="137"/>
      <c r="U934" s="70"/>
    </row>
    <row r="935" spans="16:21" x14ac:dyDescent="0.25">
      <c r="P935" s="137"/>
      <c r="U935" s="70"/>
    </row>
    <row r="936" spans="16:21" x14ac:dyDescent="0.25">
      <c r="P936" s="137"/>
      <c r="U936" s="70"/>
    </row>
    <row r="937" spans="16:21" x14ac:dyDescent="0.25">
      <c r="P937" s="137"/>
      <c r="U937" s="70"/>
    </row>
    <row r="938" spans="16:21" x14ac:dyDescent="0.25">
      <c r="P938" s="137"/>
      <c r="U938" s="70"/>
    </row>
    <row r="939" spans="16:21" x14ac:dyDescent="0.25">
      <c r="P939" s="137"/>
      <c r="U939" s="70"/>
    </row>
    <row r="940" spans="16:21" x14ac:dyDescent="0.25">
      <c r="P940" s="137"/>
      <c r="U940" s="70"/>
    </row>
    <row r="941" spans="16:21" x14ac:dyDescent="0.25">
      <c r="P941" s="137"/>
      <c r="U941" s="70"/>
    </row>
    <row r="942" spans="16:21" x14ac:dyDescent="0.25">
      <c r="P942" s="137"/>
      <c r="U942" s="70"/>
    </row>
    <row r="943" spans="16:21" x14ac:dyDescent="0.25">
      <c r="P943" s="137"/>
      <c r="U943" s="70"/>
    </row>
    <row r="944" spans="16:21" x14ac:dyDescent="0.25">
      <c r="P944" s="137"/>
      <c r="U944" s="70"/>
    </row>
    <row r="945" spans="16:21" x14ac:dyDescent="0.25">
      <c r="P945" s="137"/>
      <c r="U945" s="70"/>
    </row>
    <row r="946" spans="16:21" x14ac:dyDescent="0.25">
      <c r="P946" s="137"/>
      <c r="U946" s="70"/>
    </row>
    <row r="947" spans="16:21" x14ac:dyDescent="0.25">
      <c r="P947" s="137"/>
      <c r="U947" s="70"/>
    </row>
    <row r="948" spans="16:21" x14ac:dyDescent="0.25">
      <c r="P948" s="137"/>
      <c r="U948" s="70"/>
    </row>
    <row r="949" spans="16:21" x14ac:dyDescent="0.25">
      <c r="P949" s="137"/>
      <c r="U949" s="70"/>
    </row>
    <row r="950" spans="16:21" x14ac:dyDescent="0.25">
      <c r="P950" s="137"/>
      <c r="U950" s="70"/>
    </row>
    <row r="951" spans="16:21" x14ac:dyDescent="0.25">
      <c r="P951" s="137"/>
      <c r="U951" s="70"/>
    </row>
    <row r="952" spans="16:21" x14ac:dyDescent="0.25">
      <c r="P952" s="137"/>
      <c r="U952" s="70"/>
    </row>
    <row r="953" spans="16:21" x14ac:dyDescent="0.25">
      <c r="P953" s="137"/>
      <c r="U953" s="70"/>
    </row>
    <row r="954" spans="16:21" x14ac:dyDescent="0.25">
      <c r="P954" s="137"/>
      <c r="U954" s="70"/>
    </row>
    <row r="955" spans="16:21" x14ac:dyDescent="0.25">
      <c r="P955" s="137"/>
      <c r="U955" s="70"/>
    </row>
    <row r="956" spans="16:21" x14ac:dyDescent="0.25">
      <c r="P956" s="137"/>
      <c r="U956" s="70"/>
    </row>
    <row r="957" spans="16:21" x14ac:dyDescent="0.25">
      <c r="P957" s="137"/>
      <c r="U957" s="70"/>
    </row>
    <row r="958" spans="16:21" x14ac:dyDescent="0.25">
      <c r="P958" s="137"/>
      <c r="U958" s="70"/>
    </row>
    <row r="959" spans="16:21" x14ac:dyDescent="0.25">
      <c r="P959" s="137"/>
      <c r="U959" s="70"/>
    </row>
    <row r="960" spans="16:21" x14ac:dyDescent="0.25">
      <c r="P960" s="137"/>
      <c r="U960" s="70"/>
    </row>
    <row r="961" spans="16:21" x14ac:dyDescent="0.25">
      <c r="P961" s="137"/>
      <c r="U961" s="70"/>
    </row>
    <row r="962" spans="16:21" x14ac:dyDescent="0.25">
      <c r="P962" s="137"/>
      <c r="U962" s="70"/>
    </row>
    <row r="963" spans="16:21" x14ac:dyDescent="0.25">
      <c r="P963" s="137"/>
      <c r="U963" s="70"/>
    </row>
    <row r="964" spans="16:21" x14ac:dyDescent="0.25">
      <c r="P964" s="137"/>
      <c r="U964" s="70"/>
    </row>
    <row r="965" spans="16:21" x14ac:dyDescent="0.25">
      <c r="P965" s="137"/>
      <c r="U965" s="70"/>
    </row>
    <row r="966" spans="16:21" x14ac:dyDescent="0.25">
      <c r="P966" s="137"/>
      <c r="U966" s="70"/>
    </row>
    <row r="967" spans="16:21" x14ac:dyDescent="0.25">
      <c r="P967" s="137"/>
      <c r="U967" s="70"/>
    </row>
    <row r="968" spans="16:21" x14ac:dyDescent="0.25">
      <c r="P968" s="137"/>
      <c r="U968" s="70"/>
    </row>
    <row r="969" spans="16:21" x14ac:dyDescent="0.25">
      <c r="P969" s="137"/>
      <c r="U969" s="70"/>
    </row>
    <row r="970" spans="16:21" x14ac:dyDescent="0.25">
      <c r="P970" s="137"/>
      <c r="U970" s="70"/>
    </row>
    <row r="971" spans="16:21" x14ac:dyDescent="0.25">
      <c r="P971" s="137"/>
      <c r="U971" s="70"/>
    </row>
    <row r="972" spans="16:21" x14ac:dyDescent="0.25">
      <c r="P972" s="137"/>
      <c r="U972" s="70"/>
    </row>
    <row r="973" spans="16:21" x14ac:dyDescent="0.25">
      <c r="P973" s="137"/>
      <c r="U973" s="70"/>
    </row>
    <row r="974" spans="16:21" x14ac:dyDescent="0.25">
      <c r="P974" s="137"/>
      <c r="U974" s="70"/>
    </row>
    <row r="975" spans="16:21" x14ac:dyDescent="0.25">
      <c r="P975" s="137"/>
      <c r="U975" s="70"/>
    </row>
    <row r="976" spans="16:21" x14ac:dyDescent="0.25">
      <c r="P976" s="137"/>
      <c r="U976" s="70"/>
    </row>
    <row r="977" spans="16:21" x14ac:dyDescent="0.25">
      <c r="P977" s="137"/>
      <c r="U977" s="70"/>
    </row>
    <row r="978" spans="16:21" x14ac:dyDescent="0.25">
      <c r="P978" s="137"/>
      <c r="U978" s="70"/>
    </row>
    <row r="979" spans="16:21" x14ac:dyDescent="0.25">
      <c r="P979" s="137"/>
      <c r="U979" s="70"/>
    </row>
    <row r="980" spans="16:21" x14ac:dyDescent="0.25">
      <c r="P980" s="137"/>
      <c r="U980" s="70"/>
    </row>
    <row r="981" spans="16:21" x14ac:dyDescent="0.25">
      <c r="P981" s="137"/>
      <c r="U981" s="70"/>
    </row>
    <row r="982" spans="16:21" x14ac:dyDescent="0.25">
      <c r="P982" s="137"/>
      <c r="U982" s="70"/>
    </row>
    <row r="983" spans="16:21" x14ac:dyDescent="0.25">
      <c r="P983" s="137"/>
      <c r="U983" s="70"/>
    </row>
    <row r="984" spans="16:21" x14ac:dyDescent="0.25">
      <c r="P984" s="137"/>
      <c r="U984" s="70"/>
    </row>
    <row r="985" spans="16:21" x14ac:dyDescent="0.25">
      <c r="P985" s="137"/>
      <c r="U985" s="70"/>
    </row>
    <row r="986" spans="16:21" x14ac:dyDescent="0.25">
      <c r="P986" s="137"/>
      <c r="U986" s="70"/>
    </row>
    <row r="987" spans="16:21" x14ac:dyDescent="0.25">
      <c r="P987" s="137"/>
      <c r="U987" s="70"/>
    </row>
    <row r="988" spans="16:21" x14ac:dyDescent="0.25">
      <c r="P988" s="137"/>
      <c r="U988" s="70"/>
    </row>
    <row r="989" spans="16:21" x14ac:dyDescent="0.25">
      <c r="P989" s="137"/>
      <c r="U989" s="70"/>
    </row>
    <row r="990" spans="16:21" x14ac:dyDescent="0.25">
      <c r="P990" s="137"/>
      <c r="U990" s="70"/>
    </row>
    <row r="991" spans="16:21" x14ac:dyDescent="0.25">
      <c r="P991" s="137"/>
      <c r="U991" s="70"/>
    </row>
    <row r="992" spans="16:21" x14ac:dyDescent="0.25">
      <c r="P992" s="137"/>
      <c r="U992" s="70"/>
    </row>
    <row r="993" spans="16:21" x14ac:dyDescent="0.25">
      <c r="P993" s="137"/>
      <c r="U993" s="70"/>
    </row>
    <row r="994" spans="16:21" x14ac:dyDescent="0.25">
      <c r="P994" s="137"/>
      <c r="U994" s="70"/>
    </row>
    <row r="995" spans="16:21" x14ac:dyDescent="0.25">
      <c r="P995" s="137"/>
      <c r="U995" s="70"/>
    </row>
    <row r="996" spans="16:21" x14ac:dyDescent="0.25">
      <c r="P996" s="137"/>
      <c r="U996" s="70"/>
    </row>
    <row r="997" spans="16:21" x14ac:dyDescent="0.25">
      <c r="P997" s="137"/>
      <c r="U997" s="70"/>
    </row>
    <row r="998" spans="16:21" x14ac:dyDescent="0.25">
      <c r="P998" s="137"/>
      <c r="U998" s="70"/>
    </row>
    <row r="999" spans="16:21" x14ac:dyDescent="0.25">
      <c r="P999" s="137"/>
      <c r="U999" s="70"/>
    </row>
    <row r="1000" spans="16:21" x14ac:dyDescent="0.25">
      <c r="P1000" s="137"/>
      <c r="U1000" s="70"/>
    </row>
    <row r="1001" spans="16:21" x14ac:dyDescent="0.25">
      <c r="P1001" s="137"/>
      <c r="U1001" s="70"/>
    </row>
    <row r="1002" spans="16:21" x14ac:dyDescent="0.25">
      <c r="P1002" s="137"/>
      <c r="U1002" s="70"/>
    </row>
    <row r="1003" spans="16:21" x14ac:dyDescent="0.25">
      <c r="P1003" s="137"/>
      <c r="U1003" s="70"/>
    </row>
    <row r="1004" spans="16:21" x14ac:dyDescent="0.25">
      <c r="P1004" s="137"/>
      <c r="U1004" s="70"/>
    </row>
    <row r="1005" spans="16:21" x14ac:dyDescent="0.25">
      <c r="P1005" s="137"/>
      <c r="U1005" s="70"/>
    </row>
    <row r="1006" spans="16:21" x14ac:dyDescent="0.25">
      <c r="P1006" s="137"/>
      <c r="U1006" s="70"/>
    </row>
    <row r="1007" spans="16:21" x14ac:dyDescent="0.25">
      <c r="P1007" s="137"/>
      <c r="U1007" s="70"/>
    </row>
    <row r="1008" spans="16:21" x14ac:dyDescent="0.25">
      <c r="P1008" s="137"/>
      <c r="U1008" s="70"/>
    </row>
    <row r="1009" spans="16:21" x14ac:dyDescent="0.25">
      <c r="P1009" s="137"/>
      <c r="U1009" s="70"/>
    </row>
    <row r="1010" spans="16:21" x14ac:dyDescent="0.25">
      <c r="P1010" s="137"/>
      <c r="U1010" s="70"/>
    </row>
    <row r="1011" spans="16:21" x14ac:dyDescent="0.25">
      <c r="P1011" s="137"/>
      <c r="U1011" s="70"/>
    </row>
    <row r="1012" spans="16:21" x14ac:dyDescent="0.25">
      <c r="P1012" s="137"/>
      <c r="U1012" s="70"/>
    </row>
    <row r="1013" spans="16:21" x14ac:dyDescent="0.25">
      <c r="P1013" s="137"/>
      <c r="U1013" s="70"/>
    </row>
    <row r="1014" spans="16:21" x14ac:dyDescent="0.25">
      <c r="P1014" s="137"/>
      <c r="U1014" s="70"/>
    </row>
    <row r="1015" spans="16:21" x14ac:dyDescent="0.25">
      <c r="P1015" s="137"/>
      <c r="U1015" s="70"/>
    </row>
    <row r="1016" spans="16:21" x14ac:dyDescent="0.25">
      <c r="P1016" s="137"/>
      <c r="U1016" s="70"/>
    </row>
    <row r="1017" spans="16:21" x14ac:dyDescent="0.25">
      <c r="P1017" s="137"/>
      <c r="U1017" s="70"/>
    </row>
    <row r="1018" spans="16:21" x14ac:dyDescent="0.25">
      <c r="P1018" s="137"/>
      <c r="U1018" s="70"/>
    </row>
    <row r="1019" spans="16:21" x14ac:dyDescent="0.25">
      <c r="P1019" s="137"/>
      <c r="U1019" s="70"/>
    </row>
    <row r="1020" spans="16:21" x14ac:dyDescent="0.25">
      <c r="P1020" s="137"/>
      <c r="U1020" s="70"/>
    </row>
    <row r="1021" spans="16:21" x14ac:dyDescent="0.25">
      <c r="P1021" s="137"/>
      <c r="U1021" s="70"/>
    </row>
    <row r="1022" spans="16:21" x14ac:dyDescent="0.25">
      <c r="P1022" s="137"/>
      <c r="U1022" s="70"/>
    </row>
    <row r="1023" spans="16:21" x14ac:dyDescent="0.25">
      <c r="P1023" s="137"/>
      <c r="U1023" s="70"/>
    </row>
    <row r="1024" spans="16:21" x14ac:dyDescent="0.25">
      <c r="P1024" s="137"/>
      <c r="U1024" s="70"/>
    </row>
    <row r="1025" spans="16:21" x14ac:dyDescent="0.25">
      <c r="P1025" s="137"/>
      <c r="U1025" s="70"/>
    </row>
    <row r="1026" spans="16:21" x14ac:dyDescent="0.25">
      <c r="P1026" s="137"/>
      <c r="U1026" s="70"/>
    </row>
    <row r="1027" spans="16:21" x14ac:dyDescent="0.25">
      <c r="P1027" s="137"/>
      <c r="U1027" s="70"/>
    </row>
    <row r="1028" spans="16:21" x14ac:dyDescent="0.25">
      <c r="P1028" s="137"/>
      <c r="U1028" s="70"/>
    </row>
    <row r="1029" spans="16:21" x14ac:dyDescent="0.25">
      <c r="P1029" s="137"/>
      <c r="U1029" s="70"/>
    </row>
    <row r="1030" spans="16:21" x14ac:dyDescent="0.25">
      <c r="P1030" s="137"/>
      <c r="U1030" s="70"/>
    </row>
    <row r="1031" spans="16:21" x14ac:dyDescent="0.25">
      <c r="P1031" s="137"/>
      <c r="U1031" s="70"/>
    </row>
    <row r="1032" spans="16:21" x14ac:dyDescent="0.25">
      <c r="P1032" s="137"/>
      <c r="U1032" s="70"/>
    </row>
    <row r="1033" spans="16:21" x14ac:dyDescent="0.25">
      <c r="P1033" s="137"/>
      <c r="U1033" s="70"/>
    </row>
    <row r="1034" spans="16:21" x14ac:dyDescent="0.25">
      <c r="P1034" s="137"/>
      <c r="U1034" s="70"/>
    </row>
    <row r="1035" spans="16:21" x14ac:dyDescent="0.25">
      <c r="P1035" s="137"/>
      <c r="U1035" s="70"/>
    </row>
    <row r="1036" spans="16:21" x14ac:dyDescent="0.25">
      <c r="P1036" s="137"/>
      <c r="U1036" s="70"/>
    </row>
    <row r="1037" spans="16:21" x14ac:dyDescent="0.25">
      <c r="P1037" s="137"/>
      <c r="U1037" s="70"/>
    </row>
    <row r="1038" spans="16:21" x14ac:dyDescent="0.25">
      <c r="P1038" s="137"/>
      <c r="U1038" s="70"/>
    </row>
    <row r="1039" spans="16:21" x14ac:dyDescent="0.25">
      <c r="P1039" s="137"/>
      <c r="U1039" s="70"/>
    </row>
    <row r="1040" spans="16:21" x14ac:dyDescent="0.25">
      <c r="P1040" s="137"/>
      <c r="U1040" s="70"/>
    </row>
    <row r="1041" spans="16:21" x14ac:dyDescent="0.25">
      <c r="P1041" s="137"/>
      <c r="U1041" s="70"/>
    </row>
    <row r="1042" spans="16:21" x14ac:dyDescent="0.25">
      <c r="P1042" s="137"/>
      <c r="U1042" s="70"/>
    </row>
    <row r="1043" spans="16:21" x14ac:dyDescent="0.25">
      <c r="P1043" s="137"/>
      <c r="U1043" s="70"/>
    </row>
    <row r="1044" spans="16:21" x14ac:dyDescent="0.25">
      <c r="P1044" s="137"/>
      <c r="U1044" s="70"/>
    </row>
    <row r="1045" spans="16:21" x14ac:dyDescent="0.25">
      <c r="P1045" s="137"/>
      <c r="U1045" s="70"/>
    </row>
    <row r="1046" spans="16:21" x14ac:dyDescent="0.25">
      <c r="P1046" s="137"/>
      <c r="U1046" s="70"/>
    </row>
    <row r="1047" spans="16:21" x14ac:dyDescent="0.25">
      <c r="P1047" s="137"/>
      <c r="U1047" s="70"/>
    </row>
    <row r="1048" spans="16:21" x14ac:dyDescent="0.25">
      <c r="P1048" s="137"/>
      <c r="U1048" s="70"/>
    </row>
    <row r="1049" spans="16:21" x14ac:dyDescent="0.25">
      <c r="P1049" s="137"/>
      <c r="U1049" s="70"/>
    </row>
    <row r="1050" spans="16:21" x14ac:dyDescent="0.25">
      <c r="P1050" s="137"/>
      <c r="U1050" s="70"/>
    </row>
    <row r="1051" spans="16:21" x14ac:dyDescent="0.25">
      <c r="P1051" s="137"/>
      <c r="U1051" s="70"/>
    </row>
    <row r="1052" spans="16:21" x14ac:dyDescent="0.25">
      <c r="P1052" s="137"/>
      <c r="U1052" s="70"/>
    </row>
    <row r="1053" spans="16:21" x14ac:dyDescent="0.25">
      <c r="P1053" s="137"/>
      <c r="U1053" s="70"/>
    </row>
    <row r="1054" spans="16:21" x14ac:dyDescent="0.25">
      <c r="P1054" s="137"/>
      <c r="U1054" s="70"/>
    </row>
    <row r="1055" spans="16:21" x14ac:dyDescent="0.25">
      <c r="P1055" s="137"/>
      <c r="U1055" s="70"/>
    </row>
    <row r="1056" spans="16:21" x14ac:dyDescent="0.25">
      <c r="P1056" s="137"/>
      <c r="U1056" s="70"/>
    </row>
    <row r="1057" spans="16:21" x14ac:dyDescent="0.25">
      <c r="P1057" s="137"/>
      <c r="U1057" s="70"/>
    </row>
    <row r="1058" spans="16:21" x14ac:dyDescent="0.25">
      <c r="P1058" s="137"/>
      <c r="U1058" s="70"/>
    </row>
    <row r="1059" spans="16:21" x14ac:dyDescent="0.25">
      <c r="P1059" s="137"/>
      <c r="U1059" s="70"/>
    </row>
    <row r="1060" spans="16:21" x14ac:dyDescent="0.25">
      <c r="P1060" s="137"/>
      <c r="U1060" s="70"/>
    </row>
    <row r="1061" spans="16:21" x14ac:dyDescent="0.25">
      <c r="P1061" s="137"/>
      <c r="U1061" s="70"/>
    </row>
    <row r="1062" spans="16:21" x14ac:dyDescent="0.25">
      <c r="P1062" s="137"/>
      <c r="U1062" s="70"/>
    </row>
    <row r="1063" spans="16:21" x14ac:dyDescent="0.25">
      <c r="P1063" s="137"/>
      <c r="U1063" s="70"/>
    </row>
    <row r="1064" spans="16:21" x14ac:dyDescent="0.25">
      <c r="P1064" s="137"/>
      <c r="U1064" s="70"/>
    </row>
    <row r="1065" spans="16:21" x14ac:dyDescent="0.25">
      <c r="P1065" s="137"/>
      <c r="U1065" s="70"/>
    </row>
    <row r="1066" spans="16:21" x14ac:dyDescent="0.25">
      <c r="P1066" s="137"/>
      <c r="U1066" s="70"/>
    </row>
    <row r="1067" spans="16:21" x14ac:dyDescent="0.25">
      <c r="P1067" s="137"/>
      <c r="U1067" s="70"/>
    </row>
    <row r="1068" spans="16:21" x14ac:dyDescent="0.25">
      <c r="P1068" s="137"/>
      <c r="U1068" s="70"/>
    </row>
    <row r="1069" spans="16:21" x14ac:dyDescent="0.25">
      <c r="P1069" s="137"/>
      <c r="U1069" s="70"/>
    </row>
    <row r="1070" spans="16:21" x14ac:dyDescent="0.25">
      <c r="P1070" s="137"/>
      <c r="U1070" s="70"/>
    </row>
    <row r="1071" spans="16:21" x14ac:dyDescent="0.25">
      <c r="P1071" s="137"/>
      <c r="U1071" s="70"/>
    </row>
    <row r="1072" spans="16:21" x14ac:dyDescent="0.25">
      <c r="P1072" s="137"/>
      <c r="U1072" s="70"/>
    </row>
    <row r="1073" spans="16:21" x14ac:dyDescent="0.25">
      <c r="P1073" s="137"/>
      <c r="U1073" s="70"/>
    </row>
    <row r="1074" spans="16:21" x14ac:dyDescent="0.25">
      <c r="P1074" s="137"/>
      <c r="U1074" s="70"/>
    </row>
    <row r="1075" spans="16:21" x14ac:dyDescent="0.25">
      <c r="P1075" s="137"/>
      <c r="U1075" s="70"/>
    </row>
    <row r="1076" spans="16:21" x14ac:dyDescent="0.25">
      <c r="P1076" s="137"/>
      <c r="U1076" s="70"/>
    </row>
    <row r="1077" spans="16:21" x14ac:dyDescent="0.25">
      <c r="P1077" s="137"/>
      <c r="U1077" s="70"/>
    </row>
    <row r="1078" spans="16:21" x14ac:dyDescent="0.25">
      <c r="P1078" s="137"/>
      <c r="U1078" s="70"/>
    </row>
    <row r="1079" spans="16:21" x14ac:dyDescent="0.25">
      <c r="P1079" s="137"/>
      <c r="U1079" s="70"/>
    </row>
    <row r="1080" spans="16:21" x14ac:dyDescent="0.25">
      <c r="P1080" s="137"/>
      <c r="U1080" s="70"/>
    </row>
    <row r="1081" spans="16:21" x14ac:dyDescent="0.25">
      <c r="P1081" s="137"/>
      <c r="U1081" s="70"/>
    </row>
    <row r="1082" spans="16:21" x14ac:dyDescent="0.25">
      <c r="P1082" s="137"/>
      <c r="U1082" s="70"/>
    </row>
    <row r="1083" spans="16:21" x14ac:dyDescent="0.25">
      <c r="P1083" s="137"/>
      <c r="U1083" s="70"/>
    </row>
    <row r="1084" spans="16:21" x14ac:dyDescent="0.25">
      <c r="P1084" s="137"/>
      <c r="U1084" s="70"/>
    </row>
    <row r="1085" spans="16:21" x14ac:dyDescent="0.25">
      <c r="P1085" s="137"/>
      <c r="U1085" s="70"/>
    </row>
    <row r="1086" spans="16:21" x14ac:dyDescent="0.25">
      <c r="P1086" s="137"/>
      <c r="U1086" s="70"/>
    </row>
    <row r="1087" spans="16:21" x14ac:dyDescent="0.25">
      <c r="P1087" s="137"/>
      <c r="U1087" s="70"/>
    </row>
    <row r="1088" spans="16:21" x14ac:dyDescent="0.25">
      <c r="P1088" s="137"/>
      <c r="U1088" s="70"/>
    </row>
    <row r="1089" spans="16:21" x14ac:dyDescent="0.25">
      <c r="P1089" s="137"/>
      <c r="U1089" s="70"/>
    </row>
    <row r="1090" spans="16:21" x14ac:dyDescent="0.25">
      <c r="P1090" s="137"/>
      <c r="U1090" s="70"/>
    </row>
    <row r="1091" spans="16:21" x14ac:dyDescent="0.25">
      <c r="P1091" s="137"/>
      <c r="U1091" s="70"/>
    </row>
    <row r="1092" spans="16:21" x14ac:dyDescent="0.25">
      <c r="P1092" s="137"/>
      <c r="U1092" s="70"/>
    </row>
    <row r="1093" spans="16:21" x14ac:dyDescent="0.25">
      <c r="P1093" s="137"/>
      <c r="U1093" s="70"/>
    </row>
    <row r="1094" spans="16:21" x14ac:dyDescent="0.25">
      <c r="P1094" s="137"/>
      <c r="U1094" s="70"/>
    </row>
    <row r="1095" spans="16:21" x14ac:dyDescent="0.25">
      <c r="P1095" s="137"/>
      <c r="U1095" s="70"/>
    </row>
    <row r="1096" spans="16:21" x14ac:dyDescent="0.25">
      <c r="P1096" s="137"/>
      <c r="U1096" s="70"/>
    </row>
    <row r="1097" spans="16:21" x14ac:dyDescent="0.25">
      <c r="P1097" s="137"/>
      <c r="U1097" s="70"/>
    </row>
    <row r="1098" spans="16:21" x14ac:dyDescent="0.25">
      <c r="P1098" s="137"/>
      <c r="U1098" s="70"/>
    </row>
    <row r="1099" spans="16:21" x14ac:dyDescent="0.25">
      <c r="P1099" s="137"/>
      <c r="U1099" s="70"/>
    </row>
    <row r="1100" spans="16:21" x14ac:dyDescent="0.25">
      <c r="P1100" s="137"/>
      <c r="U1100" s="70"/>
    </row>
    <row r="1101" spans="16:21" x14ac:dyDescent="0.25">
      <c r="P1101" s="137"/>
      <c r="U1101" s="70"/>
    </row>
    <row r="1102" spans="16:21" x14ac:dyDescent="0.25">
      <c r="P1102" s="137"/>
      <c r="U1102" s="70"/>
    </row>
    <row r="1103" spans="16:21" x14ac:dyDescent="0.25">
      <c r="P1103" s="137"/>
      <c r="U1103" s="70"/>
    </row>
    <row r="1104" spans="16:21" x14ac:dyDescent="0.25">
      <c r="P1104" s="137"/>
      <c r="U1104" s="70"/>
    </row>
    <row r="1105" spans="16:21" x14ac:dyDescent="0.25">
      <c r="P1105" s="137"/>
      <c r="U1105" s="70"/>
    </row>
    <row r="1106" spans="16:21" x14ac:dyDescent="0.25">
      <c r="P1106" s="137"/>
      <c r="U1106" s="70"/>
    </row>
    <row r="1107" spans="16:21" x14ac:dyDescent="0.25">
      <c r="P1107" s="137"/>
      <c r="U1107" s="70"/>
    </row>
    <row r="1108" spans="16:21" x14ac:dyDescent="0.25">
      <c r="P1108" s="137"/>
      <c r="U1108" s="70"/>
    </row>
    <row r="1109" spans="16:21" x14ac:dyDescent="0.25">
      <c r="P1109" s="137"/>
      <c r="U1109" s="70"/>
    </row>
    <row r="1110" spans="16:21" x14ac:dyDescent="0.25">
      <c r="P1110" s="137"/>
      <c r="U1110" s="70"/>
    </row>
    <row r="1111" spans="16:21" x14ac:dyDescent="0.25">
      <c r="P1111" s="137"/>
      <c r="U1111" s="70"/>
    </row>
    <row r="1112" spans="16:21" x14ac:dyDescent="0.25">
      <c r="P1112" s="137"/>
      <c r="U1112" s="70"/>
    </row>
    <row r="1113" spans="16:21" x14ac:dyDescent="0.25">
      <c r="P1113" s="137"/>
      <c r="U1113" s="70"/>
    </row>
    <row r="1114" spans="16:21" x14ac:dyDescent="0.25">
      <c r="P1114" s="137"/>
      <c r="U1114" s="70"/>
    </row>
    <row r="1115" spans="16:21" x14ac:dyDescent="0.25">
      <c r="P1115" s="137"/>
      <c r="U1115" s="70"/>
    </row>
    <row r="1116" spans="16:21" x14ac:dyDescent="0.25">
      <c r="P1116" s="137"/>
      <c r="U1116" s="70"/>
    </row>
    <row r="1117" spans="16:21" x14ac:dyDescent="0.25">
      <c r="P1117" s="137"/>
      <c r="U1117" s="70"/>
    </row>
    <row r="1118" spans="16:21" x14ac:dyDescent="0.25">
      <c r="P1118" s="137"/>
      <c r="U1118" s="70"/>
    </row>
    <row r="1119" spans="16:21" x14ac:dyDescent="0.25">
      <c r="P1119" s="137"/>
      <c r="U1119" s="70"/>
    </row>
    <row r="1120" spans="16:21" x14ac:dyDescent="0.25">
      <c r="P1120" s="137"/>
      <c r="U1120" s="70"/>
    </row>
    <row r="1121" spans="16:21" x14ac:dyDescent="0.25">
      <c r="P1121" s="137"/>
      <c r="U1121" s="70"/>
    </row>
    <row r="1122" spans="16:21" x14ac:dyDescent="0.25">
      <c r="P1122" s="137"/>
      <c r="U1122" s="70"/>
    </row>
    <row r="1123" spans="16:21" x14ac:dyDescent="0.25">
      <c r="P1123" s="137"/>
      <c r="U1123" s="70"/>
    </row>
    <row r="1124" spans="16:21" x14ac:dyDescent="0.25">
      <c r="P1124" s="137"/>
      <c r="U1124" s="70"/>
    </row>
    <row r="1125" spans="16:21" x14ac:dyDescent="0.25">
      <c r="P1125" s="137"/>
      <c r="U1125" s="70"/>
    </row>
    <row r="1126" spans="16:21" x14ac:dyDescent="0.25">
      <c r="P1126" s="137"/>
      <c r="U1126" s="70"/>
    </row>
    <row r="1127" spans="16:21" x14ac:dyDescent="0.25">
      <c r="P1127" s="137"/>
      <c r="U1127" s="70"/>
    </row>
    <row r="1128" spans="16:21" x14ac:dyDescent="0.25">
      <c r="P1128" s="137"/>
      <c r="U1128" s="70"/>
    </row>
    <row r="1129" spans="16:21" x14ac:dyDescent="0.25">
      <c r="P1129" s="137"/>
      <c r="U1129" s="70"/>
    </row>
    <row r="1130" spans="16:21" x14ac:dyDescent="0.25">
      <c r="P1130" s="137"/>
      <c r="U1130" s="70"/>
    </row>
    <row r="1131" spans="16:21" x14ac:dyDescent="0.25">
      <c r="P1131" s="137"/>
      <c r="U1131" s="70"/>
    </row>
    <row r="1132" spans="16:21" x14ac:dyDescent="0.25">
      <c r="P1132" s="137"/>
      <c r="U1132" s="70"/>
    </row>
    <row r="1133" spans="16:21" x14ac:dyDescent="0.25">
      <c r="P1133" s="137"/>
      <c r="U1133" s="70"/>
    </row>
    <row r="1134" spans="16:21" x14ac:dyDescent="0.25">
      <c r="P1134" s="137"/>
      <c r="U1134" s="70"/>
    </row>
    <row r="1135" spans="16:21" x14ac:dyDescent="0.25">
      <c r="P1135" s="137"/>
      <c r="U1135" s="70"/>
    </row>
    <row r="1136" spans="16:21" x14ac:dyDescent="0.25">
      <c r="P1136" s="137"/>
      <c r="U1136" s="70"/>
    </row>
    <row r="1137" spans="16:21" x14ac:dyDescent="0.25">
      <c r="P1137" s="137"/>
      <c r="U1137" s="70"/>
    </row>
    <row r="1138" spans="16:21" x14ac:dyDescent="0.25">
      <c r="P1138" s="137"/>
      <c r="U1138" s="70"/>
    </row>
    <row r="1139" spans="16:21" x14ac:dyDescent="0.25">
      <c r="P1139" s="137"/>
      <c r="U1139" s="70"/>
    </row>
    <row r="1140" spans="16:21" x14ac:dyDescent="0.25">
      <c r="P1140" s="137"/>
      <c r="U1140" s="70"/>
    </row>
    <row r="1141" spans="16:21" x14ac:dyDescent="0.25">
      <c r="P1141" s="137"/>
      <c r="U1141" s="70"/>
    </row>
    <row r="1142" spans="16:21" x14ac:dyDescent="0.25">
      <c r="P1142" s="137"/>
      <c r="U1142" s="70"/>
    </row>
    <row r="1143" spans="16:21" x14ac:dyDescent="0.25">
      <c r="P1143" s="137"/>
      <c r="U1143" s="70"/>
    </row>
    <row r="1144" spans="16:21" x14ac:dyDescent="0.25">
      <c r="P1144" s="137"/>
      <c r="U1144" s="70"/>
    </row>
    <row r="1145" spans="16:21" x14ac:dyDescent="0.25">
      <c r="P1145" s="137"/>
      <c r="U1145" s="70"/>
    </row>
    <row r="1146" spans="16:21" x14ac:dyDescent="0.25">
      <c r="P1146" s="137"/>
      <c r="U1146" s="70"/>
    </row>
    <row r="1147" spans="16:21" x14ac:dyDescent="0.25">
      <c r="P1147" s="137"/>
      <c r="U1147" s="70"/>
    </row>
    <row r="1148" spans="16:21" x14ac:dyDescent="0.25">
      <c r="P1148" s="137"/>
      <c r="U1148" s="70"/>
    </row>
    <row r="1149" spans="16:21" x14ac:dyDescent="0.25">
      <c r="P1149" s="137"/>
      <c r="U1149" s="70"/>
    </row>
    <row r="1150" spans="16:21" x14ac:dyDescent="0.25">
      <c r="P1150" s="137"/>
      <c r="U1150" s="70"/>
    </row>
    <row r="1151" spans="16:21" x14ac:dyDescent="0.25">
      <c r="P1151" s="137"/>
      <c r="U1151" s="70"/>
    </row>
    <row r="1152" spans="16:21" x14ac:dyDescent="0.25">
      <c r="P1152" s="137"/>
      <c r="U1152" s="70"/>
    </row>
    <row r="1153" spans="16:21" x14ac:dyDescent="0.25">
      <c r="P1153" s="137"/>
      <c r="U1153" s="70"/>
    </row>
    <row r="1154" spans="16:21" x14ac:dyDescent="0.25">
      <c r="P1154" s="137"/>
      <c r="U1154" s="70"/>
    </row>
    <row r="1155" spans="16:21" x14ac:dyDescent="0.25">
      <c r="P1155" s="137"/>
      <c r="U1155" s="70"/>
    </row>
    <row r="1156" spans="16:21" x14ac:dyDescent="0.25">
      <c r="P1156" s="137"/>
      <c r="U1156" s="70"/>
    </row>
    <row r="1157" spans="16:21" x14ac:dyDescent="0.25">
      <c r="P1157" s="137"/>
      <c r="U1157" s="70"/>
    </row>
    <row r="1158" spans="16:21" x14ac:dyDescent="0.25">
      <c r="P1158" s="137"/>
      <c r="U1158" s="70"/>
    </row>
    <row r="1159" spans="16:21" x14ac:dyDescent="0.25">
      <c r="P1159" s="137"/>
      <c r="U1159" s="70"/>
    </row>
    <row r="1160" spans="16:21" x14ac:dyDescent="0.25">
      <c r="P1160" s="137"/>
      <c r="U1160" s="70"/>
    </row>
    <row r="1161" spans="16:21" x14ac:dyDescent="0.25">
      <c r="P1161" s="137"/>
      <c r="U1161" s="70"/>
    </row>
    <row r="1162" spans="16:21" x14ac:dyDescent="0.25">
      <c r="P1162" s="137"/>
      <c r="U1162" s="70"/>
    </row>
    <row r="1163" spans="16:21" x14ac:dyDescent="0.25">
      <c r="P1163" s="137"/>
      <c r="U1163" s="70"/>
    </row>
    <row r="1164" spans="16:21" x14ac:dyDescent="0.25">
      <c r="P1164" s="137"/>
      <c r="U1164" s="70"/>
    </row>
    <row r="1165" spans="16:21" x14ac:dyDescent="0.25">
      <c r="P1165" s="137"/>
      <c r="U1165" s="70"/>
    </row>
    <row r="1166" spans="16:21" x14ac:dyDescent="0.25">
      <c r="P1166" s="137"/>
      <c r="U1166" s="70"/>
    </row>
    <row r="1167" spans="16:21" x14ac:dyDescent="0.25">
      <c r="P1167" s="137"/>
      <c r="U1167" s="70"/>
    </row>
    <row r="1168" spans="16:21" x14ac:dyDescent="0.25">
      <c r="P1168" s="137"/>
      <c r="U1168" s="70"/>
    </row>
    <row r="1169" spans="16:21" x14ac:dyDescent="0.25">
      <c r="P1169" s="137"/>
      <c r="U1169" s="70"/>
    </row>
    <row r="1170" spans="16:21" x14ac:dyDescent="0.25">
      <c r="P1170" s="137"/>
      <c r="U1170" s="70"/>
    </row>
    <row r="1171" spans="16:21" x14ac:dyDescent="0.25">
      <c r="P1171" s="137"/>
      <c r="U1171" s="70"/>
    </row>
    <row r="1172" spans="16:21" x14ac:dyDescent="0.25">
      <c r="P1172" s="137"/>
      <c r="U1172" s="70"/>
    </row>
    <row r="1173" spans="16:21" x14ac:dyDescent="0.25">
      <c r="P1173" s="137"/>
      <c r="U1173" s="70"/>
    </row>
    <row r="1174" spans="16:21" x14ac:dyDescent="0.25">
      <c r="P1174" s="137"/>
      <c r="U1174" s="70"/>
    </row>
    <row r="1175" spans="16:21" x14ac:dyDescent="0.25">
      <c r="P1175" s="137"/>
      <c r="U1175" s="70"/>
    </row>
    <row r="1176" spans="16:21" x14ac:dyDescent="0.25">
      <c r="P1176" s="137"/>
      <c r="U1176" s="70"/>
    </row>
    <row r="1177" spans="16:21" x14ac:dyDescent="0.25">
      <c r="P1177" s="137"/>
      <c r="U1177" s="70"/>
    </row>
    <row r="1178" spans="16:21" x14ac:dyDescent="0.25">
      <c r="P1178" s="137"/>
      <c r="U1178" s="70"/>
    </row>
    <row r="1179" spans="16:21" x14ac:dyDescent="0.25">
      <c r="P1179" s="137"/>
      <c r="U1179" s="70"/>
    </row>
    <row r="1180" spans="16:21" x14ac:dyDescent="0.25">
      <c r="P1180" s="137"/>
      <c r="U1180" s="70"/>
    </row>
    <row r="1181" spans="16:21" x14ac:dyDescent="0.25">
      <c r="P1181" s="137"/>
      <c r="U1181" s="70"/>
    </row>
    <row r="1182" spans="16:21" x14ac:dyDescent="0.25">
      <c r="P1182" s="137"/>
      <c r="U1182" s="70"/>
    </row>
    <row r="1183" spans="16:21" x14ac:dyDescent="0.25">
      <c r="P1183" s="137"/>
      <c r="U1183" s="70"/>
    </row>
    <row r="1184" spans="16:21" x14ac:dyDescent="0.25">
      <c r="P1184" s="137"/>
      <c r="U1184" s="70"/>
    </row>
    <row r="1185" spans="16:21" x14ac:dyDescent="0.25">
      <c r="P1185" s="137"/>
      <c r="U1185" s="70"/>
    </row>
    <row r="1186" spans="16:21" x14ac:dyDescent="0.25">
      <c r="P1186" s="137"/>
      <c r="U1186" s="70"/>
    </row>
    <row r="1187" spans="16:21" x14ac:dyDescent="0.25">
      <c r="P1187" s="137"/>
      <c r="U1187" s="70"/>
    </row>
    <row r="1188" spans="16:21" x14ac:dyDescent="0.25">
      <c r="P1188" s="137"/>
      <c r="U1188" s="70"/>
    </row>
    <row r="1189" spans="16:21" x14ac:dyDescent="0.25">
      <c r="P1189" s="137"/>
      <c r="U1189" s="70"/>
    </row>
    <row r="1190" spans="16:21" x14ac:dyDescent="0.25">
      <c r="P1190" s="137"/>
      <c r="U1190" s="70"/>
    </row>
    <row r="1191" spans="16:21" x14ac:dyDescent="0.25">
      <c r="P1191" s="137"/>
      <c r="U1191" s="70"/>
    </row>
    <row r="1192" spans="16:21" x14ac:dyDescent="0.25">
      <c r="P1192" s="137"/>
      <c r="U1192" s="70"/>
    </row>
    <row r="1193" spans="16:21" x14ac:dyDescent="0.25">
      <c r="P1193" s="137"/>
      <c r="U1193" s="70"/>
    </row>
    <row r="1194" spans="16:21" x14ac:dyDescent="0.25">
      <c r="P1194" s="137"/>
      <c r="U1194" s="70"/>
    </row>
    <row r="1195" spans="16:21" x14ac:dyDescent="0.25">
      <c r="P1195" s="137"/>
      <c r="U1195" s="70"/>
    </row>
    <row r="1196" spans="16:21" x14ac:dyDescent="0.25">
      <c r="P1196" s="137"/>
      <c r="U1196" s="70"/>
    </row>
    <row r="1197" spans="16:21" x14ac:dyDescent="0.25">
      <c r="P1197" s="137"/>
      <c r="U1197" s="70"/>
    </row>
    <row r="1198" spans="16:21" x14ac:dyDescent="0.25">
      <c r="P1198" s="137"/>
      <c r="U1198" s="70"/>
    </row>
    <row r="1199" spans="16:21" x14ac:dyDescent="0.25">
      <c r="P1199" s="137"/>
    </row>
    <row r="1200" spans="16:21" x14ac:dyDescent="0.25">
      <c r="P1200" s="137"/>
    </row>
    <row r="1201" spans="16:16" x14ac:dyDescent="0.25">
      <c r="P1201" s="137"/>
    </row>
    <row r="1202" spans="16:16" x14ac:dyDescent="0.25">
      <c r="P1202" s="137"/>
    </row>
    <row r="1203" spans="16:16" x14ac:dyDescent="0.25">
      <c r="P1203" s="137"/>
    </row>
    <row r="1204" spans="16:16" x14ac:dyDescent="0.25">
      <c r="P1204" s="137"/>
    </row>
    <row r="1205" spans="16:16" x14ac:dyDescent="0.25">
      <c r="P1205" s="137"/>
    </row>
    <row r="1206" spans="16:16" x14ac:dyDescent="0.25">
      <c r="P1206" s="137"/>
    </row>
    <row r="1207" spans="16:16" x14ac:dyDescent="0.25">
      <c r="P1207" s="137"/>
    </row>
    <row r="1208" spans="16:16" x14ac:dyDescent="0.25">
      <c r="P1208" s="137"/>
    </row>
    <row r="1209" spans="16:16" x14ac:dyDescent="0.25">
      <c r="P1209" s="137"/>
    </row>
    <row r="1210" spans="16:16" x14ac:dyDescent="0.25">
      <c r="P1210" s="137"/>
    </row>
    <row r="1211" spans="16:16" x14ac:dyDescent="0.25">
      <c r="P1211" s="137"/>
    </row>
    <row r="1212" spans="16:16" x14ac:dyDescent="0.25">
      <c r="P1212" s="137"/>
    </row>
    <row r="1213" spans="16:16" x14ac:dyDescent="0.25">
      <c r="P1213" s="137"/>
    </row>
    <row r="1214" spans="16:16" x14ac:dyDescent="0.25">
      <c r="P1214" s="137"/>
    </row>
    <row r="1215" spans="16:16" x14ac:dyDescent="0.25">
      <c r="P1215" s="137"/>
    </row>
    <row r="1216" spans="16:16" x14ac:dyDescent="0.25">
      <c r="P1216" s="137"/>
    </row>
    <row r="1217" spans="16:16" x14ac:dyDescent="0.25">
      <c r="P1217" s="137"/>
    </row>
    <row r="1218" spans="16:16" x14ac:dyDescent="0.25">
      <c r="P1218" s="137"/>
    </row>
    <row r="1219" spans="16:16" x14ac:dyDescent="0.25">
      <c r="P1219" s="137"/>
    </row>
    <row r="1220" spans="16:16" x14ac:dyDescent="0.25">
      <c r="P1220" s="137"/>
    </row>
    <row r="1221" spans="16:16" x14ac:dyDescent="0.25">
      <c r="P1221" s="137"/>
    </row>
    <row r="1222" spans="16:16" x14ac:dyDescent="0.25">
      <c r="P1222" s="137"/>
    </row>
    <row r="1223" spans="16:16" x14ac:dyDescent="0.25">
      <c r="P1223" s="137"/>
    </row>
    <row r="1224" spans="16:16" x14ac:dyDescent="0.25">
      <c r="P1224" s="137"/>
    </row>
    <row r="1225" spans="16:16" x14ac:dyDescent="0.25">
      <c r="P1225" s="137"/>
    </row>
    <row r="1226" spans="16:16" x14ac:dyDescent="0.25">
      <c r="P1226" s="137"/>
    </row>
    <row r="1227" spans="16:16" x14ac:dyDescent="0.25">
      <c r="P1227" s="137"/>
    </row>
    <row r="1228" spans="16:16" x14ac:dyDescent="0.25">
      <c r="P1228" s="137"/>
    </row>
    <row r="1229" spans="16:16" x14ac:dyDescent="0.25">
      <c r="P1229" s="137"/>
    </row>
    <row r="1230" spans="16:16" x14ac:dyDescent="0.25">
      <c r="P1230" s="137"/>
    </row>
    <row r="1231" spans="16:16" x14ac:dyDescent="0.25">
      <c r="P1231" s="137"/>
    </row>
    <row r="1232" spans="16:16" x14ac:dyDescent="0.25">
      <c r="P1232" s="137"/>
    </row>
    <row r="1233" spans="16:16" x14ac:dyDescent="0.25">
      <c r="P1233" s="137"/>
    </row>
    <row r="1234" spans="16:16" x14ac:dyDescent="0.25">
      <c r="P1234" s="137"/>
    </row>
    <row r="1235" spans="16:16" x14ac:dyDescent="0.25">
      <c r="P1235" s="137"/>
    </row>
    <row r="1236" spans="16:16" x14ac:dyDescent="0.25">
      <c r="P1236" s="137"/>
    </row>
    <row r="1237" spans="16:16" x14ac:dyDescent="0.25">
      <c r="P1237" s="137"/>
    </row>
    <row r="1238" spans="16:16" x14ac:dyDescent="0.25">
      <c r="P1238" s="137"/>
    </row>
    <row r="1239" spans="16:16" x14ac:dyDescent="0.25">
      <c r="P1239" s="137"/>
    </row>
    <row r="1240" spans="16:16" x14ac:dyDescent="0.25">
      <c r="P1240" s="137"/>
    </row>
    <row r="1241" spans="16:16" x14ac:dyDescent="0.25">
      <c r="P1241" s="137"/>
    </row>
    <row r="1242" spans="16:16" x14ac:dyDescent="0.25">
      <c r="P1242" s="137"/>
    </row>
    <row r="1243" spans="16:16" x14ac:dyDescent="0.25">
      <c r="P1243" s="137"/>
    </row>
    <row r="1244" spans="16:16" x14ac:dyDescent="0.25">
      <c r="P1244" s="137"/>
    </row>
    <row r="1245" spans="16:16" x14ac:dyDescent="0.25">
      <c r="P1245" s="137"/>
    </row>
    <row r="1246" spans="16:16" x14ac:dyDescent="0.25">
      <c r="P1246" s="137"/>
    </row>
    <row r="1247" spans="16:16" x14ac:dyDescent="0.25">
      <c r="P1247" s="137"/>
    </row>
    <row r="1248" spans="16:16" x14ac:dyDescent="0.25">
      <c r="P1248" s="137"/>
    </row>
    <row r="1249" spans="16:16" x14ac:dyDescent="0.25">
      <c r="P1249" s="137"/>
    </row>
    <row r="1250" spans="16:16" x14ac:dyDescent="0.25">
      <c r="P1250" s="137"/>
    </row>
    <row r="1251" spans="16:16" x14ac:dyDescent="0.25">
      <c r="P1251" s="137"/>
    </row>
    <row r="1252" spans="16:16" x14ac:dyDescent="0.25">
      <c r="P1252" s="137"/>
    </row>
    <row r="1253" spans="16:16" x14ac:dyDescent="0.25">
      <c r="P1253" s="137"/>
    </row>
    <row r="1254" spans="16:16" x14ac:dyDescent="0.25">
      <c r="P1254" s="137"/>
    </row>
    <row r="1255" spans="16:16" x14ac:dyDescent="0.25">
      <c r="P1255" s="137"/>
    </row>
    <row r="1256" spans="16:16" x14ac:dyDescent="0.25">
      <c r="P1256" s="137"/>
    </row>
    <row r="1257" spans="16:16" x14ac:dyDescent="0.25">
      <c r="P1257" s="137"/>
    </row>
    <row r="1258" spans="16:16" x14ac:dyDescent="0.25">
      <c r="P1258" s="137"/>
    </row>
    <row r="1259" spans="16:16" x14ac:dyDescent="0.25">
      <c r="P1259" s="137"/>
    </row>
    <row r="1260" spans="16:16" x14ac:dyDescent="0.25">
      <c r="P1260" s="137"/>
    </row>
    <row r="1261" spans="16:16" x14ac:dyDescent="0.25">
      <c r="P1261" s="137"/>
    </row>
    <row r="1262" spans="16:16" x14ac:dyDescent="0.25">
      <c r="P1262" s="137"/>
    </row>
    <row r="1263" spans="16:16" x14ac:dyDescent="0.25">
      <c r="P1263" s="137"/>
    </row>
    <row r="1264" spans="16:16" x14ac:dyDescent="0.25">
      <c r="P1264" s="137"/>
    </row>
    <row r="1265" spans="16:16" x14ac:dyDescent="0.25">
      <c r="P1265" s="137"/>
    </row>
    <row r="1266" spans="16:16" x14ac:dyDescent="0.25">
      <c r="P1266" s="137"/>
    </row>
    <row r="1267" spans="16:16" x14ac:dyDescent="0.25">
      <c r="P1267" s="137"/>
    </row>
    <row r="1268" spans="16:16" x14ac:dyDescent="0.25">
      <c r="P1268" s="137"/>
    </row>
    <row r="1269" spans="16:16" x14ac:dyDescent="0.25">
      <c r="P1269" s="137"/>
    </row>
    <row r="1270" spans="16:16" x14ac:dyDescent="0.25">
      <c r="P1270" s="137"/>
    </row>
    <row r="1271" spans="16:16" x14ac:dyDescent="0.25">
      <c r="P1271" s="137"/>
    </row>
    <row r="1272" spans="16:16" x14ac:dyDescent="0.25">
      <c r="P1272" s="137"/>
    </row>
    <row r="1273" spans="16:16" x14ac:dyDescent="0.25">
      <c r="P1273" s="137"/>
    </row>
    <row r="1274" spans="16:16" x14ac:dyDescent="0.25">
      <c r="P1274" s="137"/>
    </row>
    <row r="1275" spans="16:16" x14ac:dyDescent="0.25">
      <c r="P1275" s="137"/>
    </row>
    <row r="1276" spans="16:16" x14ac:dyDescent="0.25">
      <c r="P1276" s="137"/>
    </row>
    <row r="1277" spans="16:16" x14ac:dyDescent="0.25">
      <c r="P1277" s="137"/>
    </row>
    <row r="1278" spans="16:16" x14ac:dyDescent="0.25">
      <c r="P1278" s="137"/>
    </row>
    <row r="1279" spans="16:16" x14ac:dyDescent="0.25">
      <c r="P1279" s="137"/>
    </row>
    <row r="1280" spans="16:16" x14ac:dyDescent="0.25">
      <c r="P1280" s="137"/>
    </row>
    <row r="1281" spans="16:16" x14ac:dyDescent="0.25">
      <c r="P1281" s="137"/>
    </row>
    <row r="1282" spans="16:16" x14ac:dyDescent="0.25">
      <c r="P1282" s="137"/>
    </row>
    <row r="1283" spans="16:16" x14ac:dyDescent="0.25">
      <c r="P1283" s="137"/>
    </row>
    <row r="1284" spans="16:16" x14ac:dyDescent="0.25">
      <c r="P1284" s="137"/>
    </row>
    <row r="1285" spans="16:16" x14ac:dyDescent="0.25">
      <c r="P1285" s="137"/>
    </row>
    <row r="1286" spans="16:16" x14ac:dyDescent="0.25">
      <c r="P1286" s="137"/>
    </row>
    <row r="1287" spans="16:16" x14ac:dyDescent="0.25">
      <c r="P1287" s="137"/>
    </row>
    <row r="1288" spans="16:16" x14ac:dyDescent="0.25">
      <c r="P1288" s="137"/>
    </row>
    <row r="1289" spans="16:16" x14ac:dyDescent="0.25">
      <c r="P1289" s="137"/>
    </row>
    <row r="1290" spans="16:16" x14ac:dyDescent="0.25">
      <c r="P1290" s="137"/>
    </row>
    <row r="1291" spans="16:16" x14ac:dyDescent="0.25">
      <c r="P1291" s="137"/>
    </row>
    <row r="1292" spans="16:16" x14ac:dyDescent="0.25">
      <c r="P1292" s="137"/>
    </row>
    <row r="1293" spans="16:16" x14ac:dyDescent="0.25">
      <c r="P1293" s="137"/>
    </row>
    <row r="1294" spans="16:16" x14ac:dyDescent="0.25">
      <c r="P1294" s="137"/>
    </row>
    <row r="1295" spans="16:16" x14ac:dyDescent="0.25">
      <c r="P1295" s="137"/>
    </row>
    <row r="1296" spans="16:16" x14ac:dyDescent="0.25">
      <c r="P1296" s="137"/>
    </row>
    <row r="1297" spans="16:16" x14ac:dyDescent="0.25">
      <c r="P1297" s="137"/>
    </row>
    <row r="1298" spans="16:16" x14ac:dyDescent="0.25">
      <c r="P1298" s="137"/>
    </row>
    <row r="1299" spans="16:16" x14ac:dyDescent="0.25">
      <c r="P1299" s="137"/>
    </row>
    <row r="1300" spans="16:16" x14ac:dyDescent="0.25">
      <c r="P1300" s="137"/>
    </row>
    <row r="1301" spans="16:16" x14ac:dyDescent="0.25">
      <c r="P1301" s="137"/>
    </row>
    <row r="1302" spans="16:16" x14ac:dyDescent="0.25">
      <c r="P1302" s="137"/>
    </row>
    <row r="1303" spans="16:16" x14ac:dyDescent="0.25">
      <c r="P1303" s="137"/>
    </row>
    <row r="1304" spans="16:16" x14ac:dyDescent="0.25">
      <c r="P1304" s="137"/>
    </row>
    <row r="1305" spans="16:16" x14ac:dyDescent="0.25">
      <c r="P1305" s="137"/>
    </row>
    <row r="1306" spans="16:16" x14ac:dyDescent="0.25">
      <c r="P1306" s="137"/>
    </row>
    <row r="1307" spans="16:16" x14ac:dyDescent="0.25">
      <c r="P1307" s="137"/>
    </row>
    <row r="1308" spans="16:16" x14ac:dyDescent="0.25">
      <c r="P1308" s="137"/>
    </row>
    <row r="1309" spans="16:16" x14ac:dyDescent="0.25">
      <c r="P1309" s="137"/>
    </row>
    <row r="1310" spans="16:16" x14ac:dyDescent="0.25">
      <c r="P1310" s="137"/>
    </row>
    <row r="1311" spans="16:16" x14ac:dyDescent="0.25">
      <c r="P1311" s="137"/>
    </row>
    <row r="1312" spans="16:16" x14ac:dyDescent="0.25">
      <c r="P1312" s="137"/>
    </row>
    <row r="1313" spans="16:16" x14ac:dyDescent="0.25">
      <c r="P1313" s="137"/>
    </row>
    <row r="1314" spans="16:16" x14ac:dyDescent="0.25">
      <c r="P1314" s="137"/>
    </row>
    <row r="1315" spans="16:16" x14ac:dyDescent="0.25">
      <c r="P1315" s="137"/>
    </row>
    <row r="1316" spans="16:16" x14ac:dyDescent="0.25">
      <c r="P1316" s="137"/>
    </row>
    <row r="1317" spans="16:16" x14ac:dyDescent="0.25">
      <c r="P1317" s="137"/>
    </row>
    <row r="1318" spans="16:16" x14ac:dyDescent="0.25">
      <c r="P1318" s="137"/>
    </row>
    <row r="1319" spans="16:16" x14ac:dyDescent="0.25">
      <c r="P1319" s="137"/>
    </row>
    <row r="1320" spans="16:16" x14ac:dyDescent="0.25">
      <c r="P1320" s="137"/>
    </row>
    <row r="1321" spans="16:16" x14ac:dyDescent="0.25">
      <c r="P1321" s="137"/>
    </row>
    <row r="1322" spans="16:16" x14ac:dyDescent="0.25">
      <c r="P1322" s="137"/>
    </row>
    <row r="1323" spans="16:16" x14ac:dyDescent="0.25">
      <c r="P1323" s="137"/>
    </row>
    <row r="1324" spans="16:16" x14ac:dyDescent="0.25">
      <c r="P1324" s="137"/>
    </row>
    <row r="1325" spans="16:16" x14ac:dyDescent="0.25">
      <c r="P1325" s="137"/>
    </row>
    <row r="1326" spans="16:16" x14ac:dyDescent="0.25">
      <c r="P1326" s="137"/>
    </row>
    <row r="1327" spans="16:16" x14ac:dyDescent="0.25">
      <c r="P1327" s="137"/>
    </row>
    <row r="1328" spans="16:16" x14ac:dyDescent="0.25">
      <c r="P1328" s="137"/>
    </row>
    <row r="1329" spans="16:16" x14ac:dyDescent="0.25">
      <c r="P1329" s="137"/>
    </row>
    <row r="1330" spans="16:16" x14ac:dyDescent="0.25">
      <c r="P1330" s="137"/>
    </row>
    <row r="1331" spans="16:16" x14ac:dyDescent="0.25">
      <c r="P1331" s="137"/>
    </row>
    <row r="1332" spans="16:16" x14ac:dyDescent="0.25">
      <c r="P1332" s="137"/>
    </row>
    <row r="1333" spans="16:16" x14ac:dyDescent="0.25">
      <c r="P1333" s="137"/>
    </row>
    <row r="1334" spans="16:16" x14ac:dyDescent="0.25">
      <c r="P1334" s="137"/>
    </row>
    <row r="1335" spans="16:16" x14ac:dyDescent="0.25">
      <c r="P1335" s="137"/>
    </row>
    <row r="1336" spans="16:16" x14ac:dyDescent="0.25">
      <c r="P1336" s="137"/>
    </row>
    <row r="1337" spans="16:16" x14ac:dyDescent="0.25">
      <c r="P1337" s="137"/>
    </row>
    <row r="1338" spans="16:16" x14ac:dyDescent="0.25">
      <c r="P1338" s="137"/>
    </row>
    <row r="1339" spans="16:16" x14ac:dyDescent="0.25">
      <c r="P1339" s="137"/>
    </row>
    <row r="1340" spans="16:16" x14ac:dyDescent="0.25">
      <c r="P1340" s="137"/>
    </row>
    <row r="1341" spans="16:16" x14ac:dyDescent="0.25">
      <c r="P1341" s="137"/>
    </row>
    <row r="1342" spans="16:16" x14ac:dyDescent="0.25">
      <c r="P1342" s="137"/>
    </row>
    <row r="1343" spans="16:16" x14ac:dyDescent="0.25">
      <c r="P1343" s="137"/>
    </row>
    <row r="1344" spans="16:16" x14ac:dyDescent="0.25">
      <c r="P1344" s="137"/>
    </row>
    <row r="1345" spans="16:16" x14ac:dyDescent="0.25">
      <c r="P1345" s="137"/>
    </row>
    <row r="1346" spans="16:16" x14ac:dyDescent="0.25">
      <c r="P1346" s="137"/>
    </row>
    <row r="1347" spans="16:16" x14ac:dyDescent="0.25">
      <c r="P1347" s="137"/>
    </row>
    <row r="1348" spans="16:16" x14ac:dyDescent="0.25">
      <c r="P1348" s="137"/>
    </row>
    <row r="1349" spans="16:16" x14ac:dyDescent="0.25">
      <c r="P1349" s="137"/>
    </row>
    <row r="1350" spans="16:16" x14ac:dyDescent="0.25">
      <c r="P1350" s="137"/>
    </row>
    <row r="1351" spans="16:16" x14ac:dyDescent="0.25">
      <c r="P1351" s="137"/>
    </row>
    <row r="1352" spans="16:16" x14ac:dyDescent="0.25">
      <c r="P1352" s="137"/>
    </row>
    <row r="1353" spans="16:16" x14ac:dyDescent="0.25">
      <c r="P1353" s="137"/>
    </row>
    <row r="1354" spans="16:16" x14ac:dyDescent="0.25">
      <c r="P1354" s="137"/>
    </row>
    <row r="1355" spans="16:16" x14ac:dyDescent="0.25">
      <c r="P1355" s="137"/>
    </row>
    <row r="1356" spans="16:16" x14ac:dyDescent="0.25">
      <c r="P1356" s="137"/>
    </row>
    <row r="1357" spans="16:16" x14ac:dyDescent="0.25">
      <c r="P1357" s="137"/>
    </row>
    <row r="1358" spans="16:16" x14ac:dyDescent="0.25">
      <c r="P1358" s="137"/>
    </row>
    <row r="1359" spans="16:16" x14ac:dyDescent="0.25">
      <c r="P1359" s="137"/>
    </row>
    <row r="1360" spans="16:16" x14ac:dyDescent="0.25">
      <c r="P1360" s="137"/>
    </row>
    <row r="1361" spans="16:16" x14ac:dyDescent="0.25">
      <c r="P1361" s="137"/>
    </row>
    <row r="1362" spans="16:16" x14ac:dyDescent="0.25">
      <c r="P1362" s="137"/>
    </row>
    <row r="1363" spans="16:16" x14ac:dyDescent="0.25">
      <c r="P1363" s="137"/>
    </row>
    <row r="1364" spans="16:16" x14ac:dyDescent="0.25">
      <c r="P1364" s="137"/>
    </row>
    <row r="1365" spans="16:16" x14ac:dyDescent="0.25">
      <c r="P1365" s="137"/>
    </row>
    <row r="1366" spans="16:16" x14ac:dyDescent="0.25">
      <c r="P1366" s="137"/>
    </row>
    <row r="1367" spans="16:16" x14ac:dyDescent="0.25">
      <c r="P1367" s="137"/>
    </row>
    <row r="1368" spans="16:16" x14ac:dyDescent="0.25">
      <c r="P1368" s="137"/>
    </row>
    <row r="1369" spans="16:16" x14ac:dyDescent="0.25">
      <c r="P1369" s="137"/>
    </row>
    <row r="1370" spans="16:16" x14ac:dyDescent="0.25">
      <c r="P1370" s="137"/>
    </row>
    <row r="1371" spans="16:16" x14ac:dyDescent="0.25">
      <c r="P1371" s="137"/>
    </row>
    <row r="1372" spans="16:16" x14ac:dyDescent="0.25">
      <c r="P1372" s="137"/>
    </row>
    <row r="1373" spans="16:16" x14ac:dyDescent="0.25">
      <c r="P1373" s="137"/>
    </row>
    <row r="1374" spans="16:16" x14ac:dyDescent="0.25">
      <c r="P1374" s="137"/>
    </row>
    <row r="1375" spans="16:16" x14ac:dyDescent="0.25">
      <c r="P1375" s="137"/>
    </row>
    <row r="1376" spans="16:16" x14ac:dyDescent="0.25">
      <c r="P1376" s="137"/>
    </row>
    <row r="1377" spans="16:16" x14ac:dyDescent="0.25">
      <c r="P1377" s="137"/>
    </row>
    <row r="1378" spans="16:16" x14ac:dyDescent="0.25">
      <c r="P1378" s="137"/>
    </row>
    <row r="1379" spans="16:16" x14ac:dyDescent="0.25">
      <c r="P1379" s="137"/>
    </row>
    <row r="1380" spans="16:16" x14ac:dyDescent="0.25">
      <c r="P1380" s="137"/>
    </row>
    <row r="1381" spans="16:16" x14ac:dyDescent="0.25">
      <c r="P1381" s="137"/>
    </row>
    <row r="1382" spans="16:16" x14ac:dyDescent="0.25">
      <c r="P1382" s="137"/>
    </row>
    <row r="1383" spans="16:16" x14ac:dyDescent="0.25">
      <c r="P1383" s="137"/>
    </row>
    <row r="1384" spans="16:16" x14ac:dyDescent="0.25">
      <c r="P1384" s="137"/>
    </row>
    <row r="1385" spans="16:16" x14ac:dyDescent="0.25">
      <c r="P1385" s="137"/>
    </row>
    <row r="1386" spans="16:16" x14ac:dyDescent="0.25">
      <c r="P1386" s="137"/>
    </row>
    <row r="1387" spans="16:16" x14ac:dyDescent="0.25">
      <c r="P1387" s="137"/>
    </row>
    <row r="1388" spans="16:16" x14ac:dyDescent="0.25">
      <c r="P1388" s="137"/>
    </row>
    <row r="1389" spans="16:16" x14ac:dyDescent="0.25">
      <c r="P1389" s="137"/>
    </row>
    <row r="1390" spans="16:16" x14ac:dyDescent="0.25">
      <c r="P1390" s="137"/>
    </row>
    <row r="1391" spans="16:16" x14ac:dyDescent="0.25">
      <c r="P1391" s="137"/>
    </row>
    <row r="1392" spans="16:16" x14ac:dyDescent="0.25">
      <c r="P1392" s="137"/>
    </row>
    <row r="1393" spans="16:16" x14ac:dyDescent="0.25">
      <c r="P1393" s="137"/>
    </row>
    <row r="1394" spans="16:16" x14ac:dyDescent="0.25">
      <c r="P1394" s="137"/>
    </row>
    <row r="1395" spans="16:16" x14ac:dyDescent="0.25">
      <c r="P1395" s="137"/>
    </row>
    <row r="1396" spans="16:16" x14ac:dyDescent="0.25">
      <c r="P1396" s="137"/>
    </row>
    <row r="1397" spans="16:16" x14ac:dyDescent="0.25">
      <c r="P1397" s="137"/>
    </row>
    <row r="1398" spans="16:16" x14ac:dyDescent="0.25">
      <c r="P1398" s="137"/>
    </row>
    <row r="1399" spans="16:16" x14ac:dyDescent="0.25">
      <c r="P1399" s="137"/>
    </row>
    <row r="1400" spans="16:16" x14ac:dyDescent="0.25">
      <c r="P1400" s="137"/>
    </row>
    <row r="1401" spans="16:16" x14ac:dyDescent="0.25">
      <c r="P1401" s="137"/>
    </row>
    <row r="1402" spans="16:16" x14ac:dyDescent="0.25">
      <c r="P1402" s="137"/>
    </row>
    <row r="1403" spans="16:16" x14ac:dyDescent="0.25">
      <c r="P1403" s="137"/>
    </row>
    <row r="1404" spans="16:16" x14ac:dyDescent="0.25">
      <c r="P1404" s="137"/>
    </row>
    <row r="1405" spans="16:16" x14ac:dyDescent="0.25">
      <c r="P1405" s="137"/>
    </row>
    <row r="1406" spans="16:16" x14ac:dyDescent="0.25">
      <c r="P1406" s="137"/>
    </row>
    <row r="1407" spans="16:16" x14ac:dyDescent="0.25">
      <c r="P1407" s="137"/>
    </row>
    <row r="1408" spans="16:16" x14ac:dyDescent="0.25">
      <c r="P1408" s="137"/>
    </row>
    <row r="1409" spans="16:16" x14ac:dyDescent="0.25">
      <c r="P1409" s="137"/>
    </row>
    <row r="1410" spans="16:16" x14ac:dyDescent="0.25">
      <c r="P1410" s="137"/>
    </row>
    <row r="1411" spans="16:16" x14ac:dyDescent="0.25">
      <c r="P1411" s="137"/>
    </row>
    <row r="1412" spans="16:16" x14ac:dyDescent="0.25">
      <c r="P1412" s="137"/>
    </row>
    <row r="1413" spans="16:16" x14ac:dyDescent="0.25">
      <c r="P1413" s="137"/>
    </row>
    <row r="1414" spans="16:16" x14ac:dyDescent="0.25">
      <c r="P1414" s="137"/>
    </row>
    <row r="1415" spans="16:16" x14ac:dyDescent="0.25">
      <c r="P1415" s="137"/>
    </row>
    <row r="1416" spans="16:16" x14ac:dyDescent="0.25">
      <c r="P1416" s="137"/>
    </row>
    <row r="1417" spans="16:16" x14ac:dyDescent="0.25">
      <c r="P1417" s="137"/>
    </row>
    <row r="1418" spans="16:16" x14ac:dyDescent="0.25">
      <c r="P1418" s="137"/>
    </row>
    <row r="1419" spans="16:16" x14ac:dyDescent="0.25">
      <c r="P1419" s="137"/>
    </row>
    <row r="1420" spans="16:16" x14ac:dyDescent="0.25">
      <c r="P1420" s="137"/>
    </row>
    <row r="1421" spans="16:16" x14ac:dyDescent="0.25">
      <c r="P1421" s="137"/>
    </row>
    <row r="1422" spans="16:16" x14ac:dyDescent="0.25">
      <c r="P1422" s="137"/>
    </row>
    <row r="1423" spans="16:16" x14ac:dyDescent="0.25">
      <c r="P1423" s="137"/>
    </row>
    <row r="1424" spans="16:16" x14ac:dyDescent="0.25">
      <c r="P1424" s="137"/>
    </row>
    <row r="1425" spans="16:16" x14ac:dyDescent="0.25">
      <c r="P1425" s="137"/>
    </row>
    <row r="1426" spans="16:16" x14ac:dyDescent="0.25">
      <c r="P1426" s="137"/>
    </row>
    <row r="1427" spans="16:16" x14ac:dyDescent="0.25">
      <c r="P1427" s="137"/>
    </row>
    <row r="1428" spans="16:16" x14ac:dyDescent="0.25">
      <c r="P1428" s="137"/>
    </row>
    <row r="1429" spans="16:16" x14ac:dyDescent="0.25">
      <c r="P1429" s="137"/>
    </row>
    <row r="1430" spans="16:16" x14ac:dyDescent="0.25">
      <c r="P1430" s="137"/>
    </row>
    <row r="1431" spans="16:16" x14ac:dyDescent="0.25">
      <c r="P1431" s="137"/>
    </row>
    <row r="1432" spans="16:16" x14ac:dyDescent="0.25">
      <c r="P1432" s="137"/>
    </row>
    <row r="1433" spans="16:16" x14ac:dyDescent="0.25">
      <c r="P1433" s="137"/>
    </row>
    <row r="1434" spans="16:16" x14ac:dyDescent="0.25">
      <c r="P1434" s="137"/>
    </row>
    <row r="1435" spans="16:16" x14ac:dyDescent="0.25">
      <c r="P1435" s="137"/>
    </row>
    <row r="1436" spans="16:16" x14ac:dyDescent="0.25">
      <c r="P1436" s="137"/>
    </row>
    <row r="1437" spans="16:16" x14ac:dyDescent="0.25">
      <c r="P1437" s="137"/>
    </row>
    <row r="1438" spans="16:16" x14ac:dyDescent="0.25">
      <c r="P1438" s="137"/>
    </row>
    <row r="1439" spans="16:16" x14ac:dyDescent="0.25">
      <c r="P1439" s="137"/>
    </row>
    <row r="1440" spans="16:16" x14ac:dyDescent="0.25">
      <c r="P1440" s="137"/>
    </row>
    <row r="1441" spans="16:16" x14ac:dyDescent="0.25">
      <c r="P1441" s="137"/>
    </row>
    <row r="1442" spans="16:16" x14ac:dyDescent="0.25">
      <c r="P1442" s="137"/>
    </row>
    <row r="1443" spans="16:16" x14ac:dyDescent="0.25">
      <c r="P1443" s="137"/>
    </row>
    <row r="1444" spans="16:16" x14ac:dyDescent="0.25">
      <c r="P1444" s="137"/>
    </row>
    <row r="1445" spans="16:16" x14ac:dyDescent="0.25">
      <c r="P1445" s="137"/>
    </row>
    <row r="1446" spans="16:16" x14ac:dyDescent="0.25">
      <c r="P1446" s="137"/>
    </row>
    <row r="1447" spans="16:16" x14ac:dyDescent="0.25">
      <c r="P1447" s="137"/>
    </row>
    <row r="1448" spans="16:16" x14ac:dyDescent="0.25">
      <c r="P1448" s="137"/>
    </row>
    <row r="1449" spans="16:16" x14ac:dyDescent="0.25">
      <c r="P1449" s="137"/>
    </row>
    <row r="1450" spans="16:16" x14ac:dyDescent="0.25">
      <c r="P1450" s="137"/>
    </row>
    <row r="1451" spans="16:16" x14ac:dyDescent="0.25">
      <c r="P1451" s="137"/>
    </row>
    <row r="1452" spans="16:16" x14ac:dyDescent="0.25">
      <c r="P1452" s="137"/>
    </row>
    <row r="1453" spans="16:16" x14ac:dyDescent="0.25">
      <c r="P1453" s="137"/>
    </row>
    <row r="1454" spans="16:16" x14ac:dyDescent="0.25">
      <c r="P1454" s="137"/>
    </row>
    <row r="1455" spans="16:16" x14ac:dyDescent="0.25">
      <c r="P1455" s="137"/>
    </row>
    <row r="1456" spans="16:16" x14ac:dyDescent="0.25">
      <c r="P1456" s="137"/>
    </row>
    <row r="1457" spans="16:16" x14ac:dyDescent="0.25">
      <c r="P1457" s="137"/>
    </row>
    <row r="1458" spans="16:16" x14ac:dyDescent="0.25">
      <c r="P1458" s="137"/>
    </row>
    <row r="1459" spans="16:16" x14ac:dyDescent="0.25">
      <c r="P1459" s="137"/>
    </row>
    <row r="1460" spans="16:16" x14ac:dyDescent="0.25">
      <c r="P1460" s="137"/>
    </row>
    <row r="1461" spans="16:16" x14ac:dyDescent="0.25">
      <c r="P1461" s="137"/>
    </row>
    <row r="1462" spans="16:16" x14ac:dyDescent="0.25">
      <c r="P1462" s="137"/>
    </row>
    <row r="1463" spans="16:16" x14ac:dyDescent="0.25">
      <c r="P1463" s="137"/>
    </row>
    <row r="1464" spans="16:16" x14ac:dyDescent="0.25">
      <c r="P1464" s="137"/>
    </row>
    <row r="1465" spans="16:16" x14ac:dyDescent="0.25">
      <c r="P1465" s="137"/>
    </row>
    <row r="1466" spans="16:16" x14ac:dyDescent="0.25">
      <c r="P1466" s="137"/>
    </row>
    <row r="1467" spans="16:16" x14ac:dyDescent="0.25">
      <c r="P1467" s="137"/>
    </row>
    <row r="1468" spans="16:16" x14ac:dyDescent="0.25">
      <c r="P1468" s="137"/>
    </row>
    <row r="1469" spans="16:16" x14ac:dyDescent="0.25">
      <c r="P1469" s="137"/>
    </row>
    <row r="1470" spans="16:16" x14ac:dyDescent="0.25">
      <c r="P1470" s="137"/>
    </row>
    <row r="1471" spans="16:16" x14ac:dyDescent="0.25">
      <c r="P1471" s="137"/>
    </row>
    <row r="1472" spans="16:16" x14ac:dyDescent="0.25">
      <c r="P1472" s="137"/>
    </row>
    <row r="1473" spans="16:16" x14ac:dyDescent="0.25">
      <c r="P1473" s="137"/>
    </row>
    <row r="1474" spans="16:16" x14ac:dyDescent="0.25">
      <c r="P1474" s="137"/>
    </row>
    <row r="1475" spans="16:16" x14ac:dyDescent="0.25">
      <c r="P1475" s="137"/>
    </row>
    <row r="1476" spans="16:16" x14ac:dyDescent="0.25">
      <c r="P1476" s="137"/>
    </row>
    <row r="1477" spans="16:16" x14ac:dyDescent="0.25">
      <c r="P1477" s="137"/>
    </row>
    <row r="1478" spans="16:16" x14ac:dyDescent="0.25">
      <c r="P1478" s="137"/>
    </row>
    <row r="1479" spans="16:16" x14ac:dyDescent="0.25">
      <c r="P1479" s="137"/>
    </row>
    <row r="1480" spans="16:16" x14ac:dyDescent="0.25">
      <c r="P1480" s="137"/>
    </row>
    <row r="1481" spans="16:16" x14ac:dyDescent="0.25">
      <c r="P1481" s="137"/>
    </row>
    <row r="1482" spans="16:16" x14ac:dyDescent="0.25">
      <c r="P1482" s="137"/>
    </row>
    <row r="1483" spans="16:16" x14ac:dyDescent="0.25">
      <c r="P1483" s="137"/>
    </row>
    <row r="1484" spans="16:16" x14ac:dyDescent="0.25">
      <c r="P1484" s="137"/>
    </row>
    <row r="1485" spans="16:16" x14ac:dyDescent="0.25">
      <c r="P1485" s="137"/>
    </row>
    <row r="1486" spans="16:16" x14ac:dyDescent="0.25">
      <c r="P1486" s="137"/>
    </row>
    <row r="1487" spans="16:16" x14ac:dyDescent="0.25">
      <c r="P1487" s="137"/>
    </row>
    <row r="1488" spans="16:16" x14ac:dyDescent="0.25">
      <c r="P1488" s="137"/>
    </row>
    <row r="1489" spans="16:16" x14ac:dyDescent="0.25">
      <c r="P1489" s="137"/>
    </row>
    <row r="1490" spans="16:16" x14ac:dyDescent="0.25">
      <c r="P1490" s="137"/>
    </row>
    <row r="1491" spans="16:16" x14ac:dyDescent="0.25">
      <c r="P1491" s="137"/>
    </row>
    <row r="1492" spans="16:16" x14ac:dyDescent="0.25">
      <c r="P1492" s="137"/>
    </row>
    <row r="1493" spans="16:16" x14ac:dyDescent="0.25">
      <c r="P1493" s="137"/>
    </row>
    <row r="1494" spans="16:16" x14ac:dyDescent="0.25">
      <c r="P1494" s="137"/>
    </row>
    <row r="1495" spans="16:16" x14ac:dyDescent="0.25">
      <c r="P1495" s="137"/>
    </row>
    <row r="1496" spans="16:16" x14ac:dyDescent="0.25">
      <c r="P1496" s="137"/>
    </row>
    <row r="1497" spans="16:16" x14ac:dyDescent="0.25">
      <c r="P1497" s="137"/>
    </row>
    <row r="1498" spans="16:16" x14ac:dyDescent="0.25">
      <c r="P1498" s="137"/>
    </row>
    <row r="1499" spans="16:16" x14ac:dyDescent="0.25">
      <c r="P1499" s="137"/>
    </row>
    <row r="1500" spans="16:16" x14ac:dyDescent="0.25">
      <c r="P1500" s="137"/>
    </row>
    <row r="1501" spans="16:16" x14ac:dyDescent="0.25">
      <c r="P1501" s="137"/>
    </row>
    <row r="1502" spans="16:16" x14ac:dyDescent="0.25">
      <c r="P1502" s="137"/>
    </row>
    <row r="1503" spans="16:16" x14ac:dyDescent="0.25">
      <c r="P1503" s="137"/>
    </row>
    <row r="1504" spans="16:16" x14ac:dyDescent="0.25">
      <c r="P1504" s="137"/>
    </row>
    <row r="1505" spans="16:16" x14ac:dyDescent="0.25">
      <c r="P1505" s="137"/>
    </row>
    <row r="1506" spans="16:16" x14ac:dyDescent="0.25">
      <c r="P1506" s="137"/>
    </row>
    <row r="1507" spans="16:16" x14ac:dyDescent="0.25">
      <c r="P1507" s="137"/>
    </row>
    <row r="1508" spans="16:16" x14ac:dyDescent="0.25">
      <c r="P1508" s="137"/>
    </row>
    <row r="1509" spans="16:16" x14ac:dyDescent="0.25">
      <c r="P1509" s="137"/>
    </row>
    <row r="1510" spans="16:16" x14ac:dyDescent="0.25">
      <c r="P1510" s="137"/>
    </row>
    <row r="1511" spans="16:16" x14ac:dyDescent="0.25">
      <c r="P1511" s="137"/>
    </row>
    <row r="1512" spans="16:16" x14ac:dyDescent="0.25">
      <c r="P1512" s="137"/>
    </row>
    <row r="1513" spans="16:16" x14ac:dyDescent="0.25">
      <c r="P1513" s="137"/>
    </row>
    <row r="1514" spans="16:16" x14ac:dyDescent="0.25">
      <c r="P1514" s="137"/>
    </row>
    <row r="1515" spans="16:16" x14ac:dyDescent="0.25">
      <c r="P1515" s="137"/>
    </row>
    <row r="1516" spans="16:16" x14ac:dyDescent="0.25">
      <c r="P1516" s="137"/>
    </row>
    <row r="1517" spans="16:16" x14ac:dyDescent="0.25">
      <c r="P1517" s="137"/>
    </row>
    <row r="1518" spans="16:16" x14ac:dyDescent="0.25">
      <c r="P1518" s="137"/>
    </row>
    <row r="1519" spans="16:16" x14ac:dyDescent="0.25">
      <c r="P1519" s="137"/>
    </row>
    <row r="1520" spans="16:16" x14ac:dyDescent="0.25">
      <c r="P1520" s="137"/>
    </row>
    <row r="1521" spans="16:16" x14ac:dyDescent="0.25">
      <c r="P1521" s="137"/>
    </row>
    <row r="1522" spans="16:16" x14ac:dyDescent="0.25">
      <c r="P1522" s="137"/>
    </row>
    <row r="1523" spans="16:16" x14ac:dyDescent="0.25">
      <c r="P1523" s="137"/>
    </row>
    <row r="1524" spans="16:16" x14ac:dyDescent="0.25">
      <c r="P1524" s="137"/>
    </row>
    <row r="1525" spans="16:16" x14ac:dyDescent="0.25">
      <c r="P1525" s="137"/>
    </row>
    <row r="1526" spans="16:16" x14ac:dyDescent="0.25">
      <c r="P1526" s="137"/>
    </row>
    <row r="1527" spans="16:16" x14ac:dyDescent="0.25">
      <c r="P1527" s="137"/>
    </row>
    <row r="1528" spans="16:16" x14ac:dyDescent="0.25">
      <c r="P1528" s="137"/>
    </row>
    <row r="1529" spans="16:16" x14ac:dyDescent="0.25">
      <c r="P1529" s="137"/>
    </row>
    <row r="1530" spans="16:16" x14ac:dyDescent="0.25">
      <c r="P1530" s="137"/>
    </row>
    <row r="1531" spans="16:16" x14ac:dyDescent="0.25">
      <c r="P1531" s="137"/>
    </row>
    <row r="1532" spans="16:16" x14ac:dyDescent="0.25">
      <c r="P1532" s="137"/>
    </row>
    <row r="1533" spans="16:16" x14ac:dyDescent="0.25">
      <c r="P1533" s="137"/>
    </row>
    <row r="1534" spans="16:16" x14ac:dyDescent="0.25">
      <c r="P1534" s="137"/>
    </row>
    <row r="1535" spans="16:16" x14ac:dyDescent="0.25">
      <c r="P1535" s="137"/>
    </row>
    <row r="1536" spans="16:16" x14ac:dyDescent="0.25">
      <c r="P1536" s="137"/>
    </row>
    <row r="1537" spans="16:16" x14ac:dyDescent="0.25">
      <c r="P1537" s="137"/>
    </row>
    <row r="1538" spans="16:16" x14ac:dyDescent="0.25">
      <c r="P1538" s="137"/>
    </row>
    <row r="1539" spans="16:16" x14ac:dyDescent="0.25">
      <c r="P1539" s="137"/>
    </row>
    <row r="1540" spans="16:16" x14ac:dyDescent="0.25">
      <c r="P1540" s="137"/>
    </row>
    <row r="1541" spans="16:16" x14ac:dyDescent="0.25">
      <c r="P1541" s="137"/>
    </row>
    <row r="1542" spans="16:16" x14ac:dyDescent="0.25">
      <c r="P1542" s="137"/>
    </row>
    <row r="1543" spans="16:16" x14ac:dyDescent="0.25">
      <c r="P1543" s="137"/>
    </row>
    <row r="1544" spans="16:16" x14ac:dyDescent="0.25">
      <c r="P1544" s="137"/>
    </row>
    <row r="1545" spans="16:16" x14ac:dyDescent="0.25">
      <c r="P1545" s="137"/>
    </row>
    <row r="1546" spans="16:16" x14ac:dyDescent="0.25">
      <c r="P1546" s="137"/>
    </row>
    <row r="1547" spans="16:16" x14ac:dyDescent="0.25">
      <c r="P1547" s="137"/>
    </row>
    <row r="1548" spans="16:16" x14ac:dyDescent="0.25">
      <c r="P1548" s="137"/>
    </row>
    <row r="1549" spans="16:16" x14ac:dyDescent="0.25">
      <c r="P1549" s="137"/>
    </row>
    <row r="1550" spans="16:16" x14ac:dyDescent="0.25">
      <c r="P1550" s="137"/>
    </row>
    <row r="1551" spans="16:16" x14ac:dyDescent="0.25">
      <c r="P1551" s="137"/>
    </row>
    <row r="1552" spans="16:16" x14ac:dyDescent="0.25">
      <c r="P1552" s="137"/>
    </row>
    <row r="1553" spans="16:16" x14ac:dyDescent="0.25">
      <c r="P1553" s="137"/>
    </row>
    <row r="1554" spans="16:16" x14ac:dyDescent="0.25">
      <c r="P1554" s="137"/>
    </row>
    <row r="1555" spans="16:16" x14ac:dyDescent="0.25">
      <c r="P1555" s="137"/>
    </row>
    <row r="1556" spans="16:16" x14ac:dyDescent="0.25">
      <c r="P1556" s="137"/>
    </row>
    <row r="1557" spans="16:16" x14ac:dyDescent="0.25">
      <c r="P1557" s="137"/>
    </row>
    <row r="1558" spans="16:16" x14ac:dyDescent="0.25">
      <c r="P1558" s="137"/>
    </row>
    <row r="1559" spans="16:16" x14ac:dyDescent="0.25">
      <c r="P1559" s="137"/>
    </row>
    <row r="1560" spans="16:16" x14ac:dyDescent="0.25">
      <c r="P1560" s="137"/>
    </row>
    <row r="1561" spans="16:16" x14ac:dyDescent="0.25">
      <c r="P1561" s="137"/>
    </row>
    <row r="1562" spans="16:16" x14ac:dyDescent="0.25">
      <c r="P1562" s="137"/>
    </row>
    <row r="1563" spans="16:16" x14ac:dyDescent="0.25">
      <c r="P1563" s="137"/>
    </row>
    <row r="1564" spans="16:16" x14ac:dyDescent="0.25">
      <c r="P1564" s="137"/>
    </row>
    <row r="1565" spans="16:16" x14ac:dyDescent="0.25">
      <c r="P1565" s="137"/>
    </row>
    <row r="1566" spans="16:16" x14ac:dyDescent="0.25">
      <c r="P1566" s="137"/>
    </row>
    <row r="1567" spans="16:16" x14ac:dyDescent="0.25">
      <c r="P1567" s="137"/>
    </row>
    <row r="1568" spans="16:16" x14ac:dyDescent="0.25">
      <c r="P1568" s="137"/>
    </row>
    <row r="1569" spans="16:16" x14ac:dyDescent="0.25">
      <c r="P1569" s="137"/>
    </row>
    <row r="1570" spans="16:16" x14ac:dyDescent="0.25">
      <c r="P1570" s="137"/>
    </row>
    <row r="1571" spans="16:16" x14ac:dyDescent="0.25">
      <c r="P1571" s="137"/>
    </row>
    <row r="1572" spans="16:16" x14ac:dyDescent="0.25">
      <c r="P1572" s="137"/>
    </row>
    <row r="1573" spans="16:16" x14ac:dyDescent="0.25">
      <c r="P1573" s="137"/>
    </row>
    <row r="1574" spans="16:16" x14ac:dyDescent="0.25">
      <c r="P1574" s="137"/>
    </row>
    <row r="1575" spans="16:16" x14ac:dyDescent="0.25">
      <c r="P1575" s="137"/>
    </row>
    <row r="1576" spans="16:16" x14ac:dyDescent="0.25">
      <c r="P1576" s="137"/>
    </row>
    <row r="1577" spans="16:16" x14ac:dyDescent="0.25">
      <c r="P1577" s="137"/>
    </row>
    <row r="1578" spans="16:16" x14ac:dyDescent="0.25">
      <c r="P1578" s="137"/>
    </row>
    <row r="1579" spans="16:16" x14ac:dyDescent="0.25">
      <c r="P1579" s="137"/>
    </row>
    <row r="1580" spans="16:16" x14ac:dyDescent="0.25">
      <c r="P1580" s="137"/>
    </row>
    <row r="1581" spans="16:16" x14ac:dyDescent="0.25">
      <c r="P1581" s="137"/>
    </row>
    <row r="1582" spans="16:16" x14ac:dyDescent="0.25">
      <c r="P1582" s="137"/>
    </row>
    <row r="1583" spans="16:16" x14ac:dyDescent="0.25">
      <c r="P1583" s="137"/>
    </row>
    <row r="1584" spans="16:16" x14ac:dyDescent="0.25">
      <c r="P1584" s="137"/>
    </row>
    <row r="1585" spans="16:16" x14ac:dyDescent="0.25">
      <c r="P1585" s="137"/>
    </row>
    <row r="1586" spans="16:16" x14ac:dyDescent="0.25">
      <c r="P1586" s="137"/>
    </row>
    <row r="1587" spans="16:16" x14ac:dyDescent="0.25">
      <c r="P1587" s="137"/>
    </row>
    <row r="1588" spans="16:16" x14ac:dyDescent="0.25">
      <c r="P1588" s="137"/>
    </row>
    <row r="1589" spans="16:16" x14ac:dyDescent="0.25">
      <c r="P1589" s="137"/>
    </row>
    <row r="1590" spans="16:16" x14ac:dyDescent="0.25">
      <c r="P1590" s="137"/>
    </row>
    <row r="1591" spans="16:16" x14ac:dyDescent="0.25">
      <c r="P1591" s="137"/>
    </row>
    <row r="1592" spans="16:16" x14ac:dyDescent="0.25">
      <c r="P1592" s="137"/>
    </row>
    <row r="1593" spans="16:16" x14ac:dyDescent="0.25">
      <c r="P1593" s="137"/>
    </row>
    <row r="1594" spans="16:16" x14ac:dyDescent="0.25">
      <c r="P1594" s="137"/>
    </row>
    <row r="1595" spans="16:16" x14ac:dyDescent="0.25">
      <c r="P1595" s="137"/>
    </row>
    <row r="1596" spans="16:16" x14ac:dyDescent="0.25">
      <c r="P1596" s="137"/>
    </row>
    <row r="1597" spans="16:16" x14ac:dyDescent="0.25">
      <c r="P1597" s="137"/>
    </row>
    <row r="1598" spans="16:16" x14ac:dyDescent="0.25">
      <c r="P1598" s="137"/>
    </row>
    <row r="1599" spans="16:16" x14ac:dyDescent="0.25">
      <c r="P1599" s="137"/>
    </row>
    <row r="1600" spans="16:16" x14ac:dyDescent="0.25">
      <c r="P1600" s="137"/>
    </row>
    <row r="1601" spans="16:16" x14ac:dyDescent="0.25">
      <c r="P1601" s="137"/>
    </row>
    <row r="1602" spans="16:16" x14ac:dyDescent="0.25">
      <c r="P1602" s="137"/>
    </row>
    <row r="1603" spans="16:16" x14ac:dyDescent="0.25">
      <c r="P1603" s="137"/>
    </row>
    <row r="1604" spans="16:16" x14ac:dyDescent="0.25">
      <c r="P1604" s="137"/>
    </row>
    <row r="1605" spans="16:16" x14ac:dyDescent="0.25">
      <c r="P1605" s="137"/>
    </row>
    <row r="1606" spans="16:16" x14ac:dyDescent="0.25">
      <c r="P1606" s="137"/>
    </row>
    <row r="1607" spans="16:16" x14ac:dyDescent="0.25">
      <c r="P1607" s="137"/>
    </row>
    <row r="1608" spans="16:16" x14ac:dyDescent="0.25">
      <c r="P1608" s="137"/>
    </row>
    <row r="1609" spans="16:16" x14ac:dyDescent="0.25">
      <c r="P1609" s="137"/>
    </row>
    <row r="1610" spans="16:16" x14ac:dyDescent="0.25">
      <c r="P1610" s="137"/>
    </row>
    <row r="1611" spans="16:16" x14ac:dyDescent="0.25">
      <c r="P1611" s="137"/>
    </row>
    <row r="1612" spans="16:16" x14ac:dyDescent="0.25">
      <c r="P1612" s="137"/>
    </row>
    <row r="1613" spans="16:16" x14ac:dyDescent="0.25">
      <c r="P1613" s="137"/>
    </row>
    <row r="1614" spans="16:16" x14ac:dyDescent="0.25">
      <c r="P1614" s="137"/>
    </row>
    <row r="1615" spans="16:16" x14ac:dyDescent="0.25">
      <c r="P1615" s="137"/>
    </row>
    <row r="1616" spans="16:16" x14ac:dyDescent="0.25">
      <c r="P1616" s="137"/>
    </row>
    <row r="1617" spans="16:16" x14ac:dyDescent="0.25">
      <c r="P1617" s="137"/>
    </row>
    <row r="1618" spans="16:16" x14ac:dyDescent="0.25">
      <c r="P1618" s="137"/>
    </row>
    <row r="1619" spans="16:16" x14ac:dyDescent="0.25">
      <c r="P1619" s="137"/>
    </row>
    <row r="1620" spans="16:16" x14ac:dyDescent="0.25">
      <c r="P1620" s="137"/>
    </row>
    <row r="1621" spans="16:16" x14ac:dyDescent="0.25">
      <c r="P1621" s="137"/>
    </row>
    <row r="1622" spans="16:16" x14ac:dyDescent="0.25">
      <c r="P1622" s="137"/>
    </row>
    <row r="1623" spans="16:16" x14ac:dyDescent="0.25">
      <c r="P1623" s="137"/>
    </row>
    <row r="1624" spans="16:16" x14ac:dyDescent="0.25">
      <c r="P1624" s="137"/>
    </row>
    <row r="1625" spans="16:16" x14ac:dyDescent="0.25">
      <c r="P1625" s="137"/>
    </row>
    <row r="1626" spans="16:16" x14ac:dyDescent="0.25">
      <c r="P1626" s="137"/>
    </row>
    <row r="1627" spans="16:16" x14ac:dyDescent="0.25">
      <c r="P1627" s="137"/>
    </row>
    <row r="1628" spans="16:16" x14ac:dyDescent="0.25">
      <c r="P1628" s="137"/>
    </row>
    <row r="1629" spans="16:16" x14ac:dyDescent="0.25">
      <c r="P1629" s="137"/>
    </row>
    <row r="1630" spans="16:16" x14ac:dyDescent="0.25">
      <c r="P1630" s="137"/>
    </row>
    <row r="1631" spans="16:16" x14ac:dyDescent="0.25">
      <c r="P1631" s="137"/>
    </row>
    <row r="1632" spans="16:16" x14ac:dyDescent="0.25">
      <c r="P1632" s="137"/>
    </row>
    <row r="1633" spans="16:16" x14ac:dyDescent="0.25">
      <c r="P1633" s="137"/>
    </row>
    <row r="1634" spans="16:16" x14ac:dyDescent="0.25">
      <c r="P1634" s="137"/>
    </row>
    <row r="1635" spans="16:16" x14ac:dyDescent="0.25">
      <c r="P1635" s="137"/>
    </row>
    <row r="1636" spans="16:16" x14ac:dyDescent="0.25">
      <c r="P1636" s="137"/>
    </row>
    <row r="1637" spans="16:16" x14ac:dyDescent="0.25">
      <c r="P1637" s="137"/>
    </row>
    <row r="1638" spans="16:16" x14ac:dyDescent="0.25">
      <c r="P1638" s="137"/>
    </row>
    <row r="1639" spans="16:16" x14ac:dyDescent="0.25">
      <c r="P1639" s="137"/>
    </row>
    <row r="1640" spans="16:16" x14ac:dyDescent="0.25">
      <c r="P1640" s="137"/>
    </row>
    <row r="1641" spans="16:16" x14ac:dyDescent="0.25">
      <c r="P1641" s="137"/>
    </row>
    <row r="1642" spans="16:16" x14ac:dyDescent="0.25">
      <c r="P1642" s="137"/>
    </row>
    <row r="1643" spans="16:16" x14ac:dyDescent="0.25">
      <c r="P1643" s="137"/>
    </row>
    <row r="1644" spans="16:16" x14ac:dyDescent="0.25">
      <c r="P1644" s="137"/>
    </row>
    <row r="1645" spans="16:16" x14ac:dyDescent="0.25">
      <c r="P1645" s="137"/>
    </row>
    <row r="1646" spans="16:16" x14ac:dyDescent="0.25">
      <c r="P1646" s="137"/>
    </row>
    <row r="1647" spans="16:16" x14ac:dyDescent="0.25">
      <c r="P1647" s="137"/>
    </row>
    <row r="1648" spans="16:16" x14ac:dyDescent="0.25">
      <c r="P1648" s="137"/>
    </row>
    <row r="1649" spans="16:16" x14ac:dyDescent="0.25">
      <c r="P1649" s="137"/>
    </row>
    <row r="1650" spans="16:16" x14ac:dyDescent="0.25">
      <c r="P1650" s="137"/>
    </row>
    <row r="1651" spans="16:16" x14ac:dyDescent="0.25">
      <c r="P1651" s="137"/>
    </row>
    <row r="1652" spans="16:16" x14ac:dyDescent="0.25">
      <c r="P1652" s="137"/>
    </row>
    <row r="1653" spans="16:16" x14ac:dyDescent="0.25">
      <c r="P1653" s="137"/>
    </row>
    <row r="1654" spans="16:16" x14ac:dyDescent="0.25">
      <c r="P1654" s="137"/>
    </row>
    <row r="1655" spans="16:16" x14ac:dyDescent="0.25">
      <c r="P1655" s="137"/>
    </row>
    <row r="1656" spans="16:16" x14ac:dyDescent="0.25">
      <c r="P1656" s="137"/>
    </row>
    <row r="1657" spans="16:16" x14ac:dyDescent="0.25">
      <c r="P1657" s="137"/>
    </row>
    <row r="1658" spans="16:16" x14ac:dyDescent="0.25">
      <c r="P1658" s="137"/>
    </row>
    <row r="1659" spans="16:16" x14ac:dyDescent="0.25">
      <c r="P1659" s="137"/>
    </row>
    <row r="1660" spans="16:16" x14ac:dyDescent="0.25">
      <c r="P1660" s="137"/>
    </row>
    <row r="1661" spans="16:16" x14ac:dyDescent="0.25">
      <c r="P1661" s="137"/>
    </row>
    <row r="1662" spans="16:16" x14ac:dyDescent="0.25">
      <c r="P1662" s="137"/>
    </row>
    <row r="1663" spans="16:16" x14ac:dyDescent="0.25">
      <c r="P1663" s="137"/>
    </row>
    <row r="1664" spans="16:16" x14ac:dyDescent="0.25">
      <c r="P1664" s="137"/>
    </row>
    <row r="1665" spans="16:16" x14ac:dyDescent="0.25">
      <c r="P1665" s="137"/>
    </row>
    <row r="1666" spans="16:16" x14ac:dyDescent="0.25">
      <c r="P1666" s="137"/>
    </row>
    <row r="1667" spans="16:16" x14ac:dyDescent="0.25">
      <c r="P1667" s="137"/>
    </row>
    <row r="1668" spans="16:16" x14ac:dyDescent="0.25">
      <c r="P1668" s="137"/>
    </row>
    <row r="1669" spans="16:16" x14ac:dyDescent="0.25">
      <c r="P1669" s="137"/>
    </row>
    <row r="1670" spans="16:16" x14ac:dyDescent="0.25">
      <c r="P1670" s="137"/>
    </row>
    <row r="1671" spans="16:16" x14ac:dyDescent="0.25">
      <c r="P1671" s="137"/>
    </row>
    <row r="1672" spans="16:16" x14ac:dyDescent="0.25">
      <c r="P1672" s="137"/>
    </row>
    <row r="1673" spans="16:16" x14ac:dyDescent="0.25">
      <c r="P1673" s="137"/>
    </row>
    <row r="1674" spans="16:16" x14ac:dyDescent="0.25">
      <c r="P1674" s="137"/>
    </row>
    <row r="1675" spans="16:16" x14ac:dyDescent="0.25">
      <c r="P1675" s="137"/>
    </row>
    <row r="1676" spans="16:16" x14ac:dyDescent="0.25">
      <c r="P1676" s="137"/>
    </row>
    <row r="1677" spans="16:16" x14ac:dyDescent="0.25">
      <c r="P1677" s="137"/>
    </row>
    <row r="1678" spans="16:16" x14ac:dyDescent="0.25">
      <c r="P1678" s="137"/>
    </row>
    <row r="1679" spans="16:16" x14ac:dyDescent="0.25">
      <c r="P1679" s="137"/>
    </row>
    <row r="1680" spans="16:16" x14ac:dyDescent="0.25">
      <c r="P1680" s="137"/>
    </row>
    <row r="1681" spans="16:16" x14ac:dyDescent="0.25">
      <c r="P1681" s="137"/>
    </row>
    <row r="1682" spans="16:16" x14ac:dyDescent="0.25">
      <c r="P1682" s="137"/>
    </row>
    <row r="1683" spans="16:16" x14ac:dyDescent="0.25">
      <c r="P1683" s="137"/>
    </row>
    <row r="1684" spans="16:16" x14ac:dyDescent="0.25">
      <c r="P1684" s="137"/>
    </row>
    <row r="1685" spans="16:16" x14ac:dyDescent="0.25">
      <c r="P1685" s="137"/>
    </row>
    <row r="1686" spans="16:16" x14ac:dyDescent="0.25">
      <c r="P1686" s="137"/>
    </row>
    <row r="1687" spans="16:16" x14ac:dyDescent="0.25">
      <c r="P1687" s="137"/>
    </row>
    <row r="1688" spans="16:16" x14ac:dyDescent="0.25">
      <c r="P1688" s="137"/>
    </row>
    <row r="1689" spans="16:16" x14ac:dyDescent="0.25">
      <c r="P1689" s="137"/>
    </row>
    <row r="1690" spans="16:16" x14ac:dyDescent="0.25">
      <c r="P1690" s="137"/>
    </row>
    <row r="1691" spans="16:16" x14ac:dyDescent="0.25">
      <c r="P1691" s="137"/>
    </row>
    <row r="1692" spans="16:16" x14ac:dyDescent="0.25">
      <c r="P1692" s="137"/>
    </row>
    <row r="1693" spans="16:16" x14ac:dyDescent="0.25">
      <c r="P1693" s="137"/>
    </row>
    <row r="1694" spans="16:16" x14ac:dyDescent="0.25">
      <c r="P1694" s="137"/>
    </row>
    <row r="1695" spans="16:16" x14ac:dyDescent="0.25">
      <c r="P1695" s="137"/>
    </row>
    <row r="1696" spans="16:16" x14ac:dyDescent="0.25">
      <c r="P1696" s="137"/>
    </row>
    <row r="1697" spans="16:16" x14ac:dyDescent="0.25">
      <c r="P1697" s="137"/>
    </row>
    <row r="1698" spans="16:16" x14ac:dyDescent="0.25">
      <c r="P1698" s="137"/>
    </row>
    <row r="1699" spans="16:16" x14ac:dyDescent="0.25">
      <c r="P1699" s="137"/>
    </row>
    <row r="1700" spans="16:16" x14ac:dyDescent="0.25">
      <c r="P1700" s="137"/>
    </row>
    <row r="1701" spans="16:16" x14ac:dyDescent="0.25">
      <c r="P1701" s="137"/>
    </row>
    <row r="1702" spans="16:16" x14ac:dyDescent="0.25">
      <c r="P1702" s="137"/>
    </row>
    <row r="1703" spans="16:16" x14ac:dyDescent="0.25">
      <c r="P1703" s="137"/>
    </row>
    <row r="1704" spans="16:16" x14ac:dyDescent="0.25">
      <c r="P1704" s="137"/>
    </row>
    <row r="1705" spans="16:16" x14ac:dyDescent="0.25">
      <c r="P1705" s="137"/>
    </row>
    <row r="1706" spans="16:16" x14ac:dyDescent="0.25">
      <c r="P1706" s="137"/>
    </row>
    <row r="1707" spans="16:16" x14ac:dyDescent="0.25">
      <c r="P1707" s="137"/>
    </row>
    <row r="1708" spans="16:16" x14ac:dyDescent="0.25">
      <c r="P1708" s="137"/>
    </row>
    <row r="1709" spans="16:16" x14ac:dyDescent="0.25">
      <c r="P1709" s="137"/>
    </row>
    <row r="1710" spans="16:16" x14ac:dyDescent="0.25">
      <c r="P1710" s="137"/>
    </row>
    <row r="1711" spans="16:16" x14ac:dyDescent="0.25">
      <c r="P1711" s="137"/>
    </row>
    <row r="1712" spans="16:16" x14ac:dyDescent="0.25">
      <c r="P1712" s="137"/>
    </row>
    <row r="1713" spans="16:16" x14ac:dyDescent="0.25">
      <c r="P1713" s="137"/>
    </row>
    <row r="1714" spans="16:16" x14ac:dyDescent="0.25">
      <c r="P1714" s="137"/>
    </row>
    <row r="1715" spans="16:16" x14ac:dyDescent="0.25">
      <c r="P1715" s="137"/>
    </row>
    <row r="1716" spans="16:16" x14ac:dyDescent="0.25">
      <c r="P1716" s="137"/>
    </row>
    <row r="1717" spans="16:16" x14ac:dyDescent="0.25">
      <c r="P1717" s="137"/>
    </row>
    <row r="1718" spans="16:16" x14ac:dyDescent="0.25">
      <c r="P1718" s="137"/>
    </row>
    <row r="1719" spans="16:16" x14ac:dyDescent="0.25">
      <c r="P1719" s="137"/>
    </row>
    <row r="1720" spans="16:16" x14ac:dyDescent="0.25">
      <c r="P1720" s="137"/>
    </row>
    <row r="1721" spans="16:16" x14ac:dyDescent="0.25">
      <c r="P1721" s="137"/>
    </row>
    <row r="1722" spans="16:16" x14ac:dyDescent="0.25">
      <c r="P1722" s="137"/>
    </row>
    <row r="1723" spans="16:16" x14ac:dyDescent="0.25">
      <c r="P1723" s="137"/>
    </row>
    <row r="1724" spans="16:16" x14ac:dyDescent="0.25">
      <c r="P1724" s="137"/>
    </row>
    <row r="1725" spans="16:16" x14ac:dyDescent="0.25">
      <c r="P1725" s="137"/>
    </row>
    <row r="1726" spans="16:16" x14ac:dyDescent="0.25">
      <c r="P1726" s="137"/>
    </row>
    <row r="1727" spans="16:16" x14ac:dyDescent="0.25">
      <c r="P1727" s="137"/>
    </row>
    <row r="1728" spans="16:16" x14ac:dyDescent="0.25">
      <c r="P1728" s="137"/>
    </row>
    <row r="1729" spans="16:16" x14ac:dyDescent="0.25">
      <c r="P1729" s="137"/>
    </row>
    <row r="1730" spans="16:16" x14ac:dyDescent="0.25">
      <c r="P1730" s="137"/>
    </row>
    <row r="1731" spans="16:16" x14ac:dyDescent="0.25">
      <c r="P1731" s="137"/>
    </row>
    <row r="1732" spans="16:16" x14ac:dyDescent="0.25">
      <c r="P1732" s="137"/>
    </row>
    <row r="1733" spans="16:16" x14ac:dyDescent="0.25">
      <c r="P1733" s="137"/>
    </row>
    <row r="1734" spans="16:16" x14ac:dyDescent="0.25">
      <c r="P1734" s="137"/>
    </row>
    <row r="1735" spans="16:16" x14ac:dyDescent="0.25">
      <c r="P1735" s="137"/>
    </row>
    <row r="1736" spans="16:16" x14ac:dyDescent="0.25">
      <c r="P1736" s="137"/>
    </row>
    <row r="1737" spans="16:16" x14ac:dyDescent="0.25">
      <c r="P1737" s="137"/>
    </row>
    <row r="1738" spans="16:16" x14ac:dyDescent="0.25">
      <c r="P1738" s="137"/>
    </row>
    <row r="1739" spans="16:16" x14ac:dyDescent="0.25">
      <c r="P1739" s="137"/>
    </row>
    <row r="1740" spans="16:16" x14ac:dyDescent="0.25">
      <c r="P1740" s="137"/>
    </row>
    <row r="1741" spans="16:16" x14ac:dyDescent="0.25">
      <c r="P1741" s="137"/>
    </row>
    <row r="1742" spans="16:16" x14ac:dyDescent="0.25">
      <c r="P1742" s="137"/>
    </row>
    <row r="1743" spans="16:16" x14ac:dyDescent="0.25">
      <c r="P1743" s="137"/>
    </row>
    <row r="1744" spans="16:16" x14ac:dyDescent="0.25">
      <c r="P1744" s="137"/>
    </row>
    <row r="1745" spans="16:16" x14ac:dyDescent="0.25">
      <c r="P1745" s="137"/>
    </row>
    <row r="1746" spans="16:16" x14ac:dyDescent="0.25">
      <c r="P1746" s="137"/>
    </row>
    <row r="1747" spans="16:16" x14ac:dyDescent="0.25">
      <c r="P1747" s="137"/>
    </row>
    <row r="1748" spans="16:16" x14ac:dyDescent="0.25">
      <c r="P1748" s="137"/>
    </row>
    <row r="1749" spans="16:16" x14ac:dyDescent="0.25">
      <c r="P1749" s="137"/>
    </row>
    <row r="1750" spans="16:16" x14ac:dyDescent="0.25">
      <c r="P1750" s="137"/>
    </row>
    <row r="1751" spans="16:16" x14ac:dyDescent="0.25">
      <c r="P1751" s="137"/>
    </row>
    <row r="1752" spans="16:16" x14ac:dyDescent="0.25">
      <c r="P1752" s="137"/>
    </row>
    <row r="1753" spans="16:16" x14ac:dyDescent="0.25">
      <c r="P1753" s="137"/>
    </row>
    <row r="1754" spans="16:16" x14ac:dyDescent="0.25">
      <c r="P1754" s="137"/>
    </row>
    <row r="1755" spans="16:16" x14ac:dyDescent="0.25">
      <c r="P1755" s="137"/>
    </row>
    <row r="1756" spans="16:16" x14ac:dyDescent="0.25">
      <c r="P1756" s="137"/>
    </row>
    <row r="1757" spans="16:16" x14ac:dyDescent="0.25">
      <c r="P1757" s="137"/>
    </row>
    <row r="1758" spans="16:16" x14ac:dyDescent="0.25">
      <c r="P1758" s="137"/>
    </row>
    <row r="1759" spans="16:16" x14ac:dyDescent="0.25">
      <c r="P1759" s="137"/>
    </row>
    <row r="1760" spans="16:16" x14ac:dyDescent="0.25">
      <c r="P1760" s="137"/>
    </row>
    <row r="1761" spans="16:16" x14ac:dyDescent="0.25">
      <c r="P1761" s="137"/>
    </row>
    <row r="1762" spans="16:16" x14ac:dyDescent="0.25">
      <c r="P1762" s="137"/>
    </row>
    <row r="1763" spans="16:16" x14ac:dyDescent="0.25">
      <c r="P1763" s="137"/>
    </row>
    <row r="1764" spans="16:16" x14ac:dyDescent="0.25">
      <c r="P1764" s="137"/>
    </row>
    <row r="1765" spans="16:16" x14ac:dyDescent="0.25">
      <c r="P1765" s="137"/>
    </row>
    <row r="1766" spans="16:16" x14ac:dyDescent="0.25">
      <c r="P1766" s="137"/>
    </row>
    <row r="1767" spans="16:16" x14ac:dyDescent="0.25">
      <c r="P1767" s="137"/>
    </row>
    <row r="1768" spans="16:16" x14ac:dyDescent="0.25">
      <c r="P1768" s="137"/>
    </row>
    <row r="1769" spans="16:16" x14ac:dyDescent="0.25">
      <c r="P1769" s="137"/>
    </row>
    <row r="1770" spans="16:16" x14ac:dyDescent="0.25">
      <c r="P1770" s="137"/>
    </row>
    <row r="1771" spans="16:16" x14ac:dyDescent="0.25">
      <c r="P1771" s="137"/>
    </row>
    <row r="1772" spans="16:16" x14ac:dyDescent="0.25">
      <c r="P1772" s="137"/>
    </row>
    <row r="1773" spans="16:16" x14ac:dyDescent="0.25">
      <c r="P1773" s="137"/>
    </row>
    <row r="1774" spans="16:16" x14ac:dyDescent="0.25">
      <c r="P1774" s="137"/>
    </row>
    <row r="1775" spans="16:16" x14ac:dyDescent="0.25">
      <c r="P1775" s="137"/>
    </row>
    <row r="1776" spans="16:16" x14ac:dyDescent="0.25">
      <c r="P1776" s="137"/>
    </row>
    <row r="1777" spans="16:16" x14ac:dyDescent="0.25">
      <c r="P1777" s="137"/>
    </row>
    <row r="1778" spans="16:16" x14ac:dyDescent="0.25">
      <c r="P1778" s="137"/>
    </row>
    <row r="1779" spans="16:16" x14ac:dyDescent="0.25">
      <c r="P1779" s="137"/>
    </row>
    <row r="1780" spans="16:16" x14ac:dyDescent="0.25">
      <c r="P1780" s="137"/>
    </row>
    <row r="1781" spans="16:16" x14ac:dyDescent="0.25">
      <c r="P1781" s="137"/>
    </row>
    <row r="1782" spans="16:16" x14ac:dyDescent="0.25">
      <c r="P1782" s="137"/>
    </row>
    <row r="1783" spans="16:16" x14ac:dyDescent="0.25">
      <c r="P1783" s="137"/>
    </row>
    <row r="1784" spans="16:16" x14ac:dyDescent="0.25">
      <c r="P1784" s="137"/>
    </row>
    <row r="1785" spans="16:16" x14ac:dyDescent="0.25">
      <c r="P1785" s="137"/>
    </row>
    <row r="1786" spans="16:16" x14ac:dyDescent="0.25">
      <c r="P1786" s="137"/>
    </row>
    <row r="1787" spans="16:16" x14ac:dyDescent="0.25">
      <c r="P1787" s="137"/>
    </row>
    <row r="1788" spans="16:16" x14ac:dyDescent="0.25">
      <c r="P1788" s="137"/>
    </row>
    <row r="1789" spans="16:16" x14ac:dyDescent="0.25">
      <c r="P1789" s="137"/>
    </row>
    <row r="1790" spans="16:16" x14ac:dyDescent="0.25">
      <c r="P1790" s="137"/>
    </row>
    <row r="1791" spans="16:16" x14ac:dyDescent="0.25">
      <c r="P1791" s="137"/>
    </row>
    <row r="1792" spans="16:16" x14ac:dyDescent="0.25">
      <c r="P1792" s="137"/>
    </row>
    <row r="1793" spans="16:16" x14ac:dyDescent="0.25">
      <c r="P1793" s="137"/>
    </row>
    <row r="1794" spans="16:16" x14ac:dyDescent="0.25">
      <c r="P1794" s="137"/>
    </row>
    <row r="1795" spans="16:16" x14ac:dyDescent="0.25">
      <c r="P1795" s="137"/>
    </row>
    <row r="1796" spans="16:16" x14ac:dyDescent="0.25">
      <c r="P1796" s="137"/>
    </row>
    <row r="1797" spans="16:16" x14ac:dyDescent="0.25">
      <c r="P1797" s="137"/>
    </row>
    <row r="1798" spans="16:16" x14ac:dyDescent="0.25">
      <c r="P1798" s="137"/>
    </row>
    <row r="1799" spans="16:16" x14ac:dyDescent="0.25">
      <c r="P1799" s="137"/>
    </row>
    <row r="1800" spans="16:16" x14ac:dyDescent="0.25">
      <c r="P1800" s="137"/>
    </row>
    <row r="1801" spans="16:16" x14ac:dyDescent="0.25">
      <c r="P1801" s="137"/>
    </row>
    <row r="1802" spans="16:16" x14ac:dyDescent="0.25">
      <c r="P1802" s="137"/>
    </row>
    <row r="1803" spans="16:16" x14ac:dyDescent="0.25">
      <c r="P1803" s="137"/>
    </row>
    <row r="1804" spans="16:16" x14ac:dyDescent="0.25">
      <c r="P1804" s="137"/>
    </row>
    <row r="1805" spans="16:16" x14ac:dyDescent="0.25">
      <c r="P1805" s="137"/>
    </row>
    <row r="1806" spans="16:16" x14ac:dyDescent="0.25">
      <c r="P1806" s="137"/>
    </row>
    <row r="1807" spans="16:16" x14ac:dyDescent="0.25">
      <c r="P1807" s="137"/>
    </row>
    <row r="1808" spans="16:16" x14ac:dyDescent="0.25">
      <c r="P1808" s="137"/>
    </row>
    <row r="1809" spans="16:16" x14ac:dyDescent="0.25">
      <c r="P1809" s="137"/>
    </row>
    <row r="1810" spans="16:16" x14ac:dyDescent="0.25">
      <c r="P1810" s="137"/>
    </row>
    <row r="1811" spans="16:16" x14ac:dyDescent="0.25">
      <c r="P1811" s="137"/>
    </row>
    <row r="1812" spans="16:16" x14ac:dyDescent="0.25">
      <c r="P1812" s="137"/>
    </row>
    <row r="1813" spans="16:16" x14ac:dyDescent="0.25">
      <c r="P1813" s="137"/>
    </row>
    <row r="1814" spans="16:16" x14ac:dyDescent="0.25">
      <c r="P1814" s="137"/>
    </row>
    <row r="1815" spans="16:16" x14ac:dyDescent="0.25">
      <c r="P1815" s="137"/>
    </row>
    <row r="1816" spans="16:16" x14ac:dyDescent="0.25">
      <c r="P1816" s="137"/>
    </row>
    <row r="1817" spans="16:16" x14ac:dyDescent="0.25">
      <c r="P1817" s="137"/>
    </row>
    <row r="1818" spans="16:16" x14ac:dyDescent="0.25">
      <c r="P1818" s="137"/>
    </row>
    <row r="1819" spans="16:16" x14ac:dyDescent="0.25">
      <c r="P1819" s="137"/>
    </row>
    <row r="1820" spans="16:16" x14ac:dyDescent="0.25">
      <c r="P1820" s="137"/>
    </row>
    <row r="1821" spans="16:16" x14ac:dyDescent="0.25">
      <c r="P1821" s="137"/>
    </row>
    <row r="1822" spans="16:16" x14ac:dyDescent="0.25">
      <c r="P1822" s="137"/>
    </row>
    <row r="1823" spans="16:16" x14ac:dyDescent="0.25">
      <c r="P1823" s="137"/>
    </row>
    <row r="1824" spans="16:16" x14ac:dyDescent="0.25">
      <c r="P1824" s="137"/>
    </row>
    <row r="1825" spans="16:16" x14ac:dyDescent="0.25">
      <c r="P1825" s="137"/>
    </row>
    <row r="1826" spans="16:16" x14ac:dyDescent="0.25">
      <c r="P1826" s="137"/>
    </row>
    <row r="1827" spans="16:16" x14ac:dyDescent="0.25">
      <c r="P1827" s="137"/>
    </row>
    <row r="1828" spans="16:16" x14ac:dyDescent="0.25">
      <c r="P1828" s="137"/>
    </row>
    <row r="1829" spans="16:16" x14ac:dyDescent="0.25">
      <c r="P1829" s="137"/>
    </row>
    <row r="1830" spans="16:16" x14ac:dyDescent="0.25">
      <c r="P1830" s="137"/>
    </row>
    <row r="1831" spans="16:16" x14ac:dyDescent="0.25">
      <c r="P1831" s="137"/>
    </row>
    <row r="1832" spans="16:16" x14ac:dyDescent="0.25">
      <c r="P1832" s="137"/>
    </row>
    <row r="1833" spans="16:16" x14ac:dyDescent="0.25">
      <c r="P1833" s="137"/>
    </row>
    <row r="1834" spans="16:16" x14ac:dyDescent="0.25">
      <c r="P1834" s="137"/>
    </row>
    <row r="1835" spans="16:16" x14ac:dyDescent="0.25">
      <c r="P1835" s="137"/>
    </row>
    <row r="1836" spans="16:16" x14ac:dyDescent="0.25">
      <c r="P1836" s="137"/>
    </row>
    <row r="1837" spans="16:16" x14ac:dyDescent="0.25">
      <c r="P1837" s="137"/>
    </row>
    <row r="1838" spans="16:16" x14ac:dyDescent="0.25">
      <c r="P1838" s="137"/>
    </row>
    <row r="1839" spans="16:16" x14ac:dyDescent="0.25">
      <c r="P1839" s="137"/>
    </row>
    <row r="1840" spans="16:16" x14ac:dyDescent="0.25">
      <c r="P1840" s="137"/>
    </row>
    <row r="1841" spans="16:16" x14ac:dyDescent="0.25">
      <c r="P1841" s="137"/>
    </row>
    <row r="1842" spans="16:16" x14ac:dyDescent="0.25">
      <c r="P1842" s="137"/>
    </row>
    <row r="1843" spans="16:16" x14ac:dyDescent="0.25">
      <c r="P1843" s="137"/>
    </row>
    <row r="1844" spans="16:16" x14ac:dyDescent="0.25">
      <c r="P1844" s="137"/>
    </row>
    <row r="1845" spans="16:16" x14ac:dyDescent="0.25">
      <c r="P1845" s="137"/>
    </row>
    <row r="1846" spans="16:16" x14ac:dyDescent="0.25">
      <c r="P1846" s="137"/>
    </row>
    <row r="1847" spans="16:16" x14ac:dyDescent="0.25">
      <c r="P1847" s="137"/>
    </row>
    <row r="1848" spans="16:16" x14ac:dyDescent="0.25">
      <c r="P1848" s="137"/>
    </row>
    <row r="1849" spans="16:16" x14ac:dyDescent="0.25">
      <c r="P1849" s="137"/>
    </row>
    <row r="1850" spans="16:16" x14ac:dyDescent="0.25">
      <c r="P1850" s="137"/>
    </row>
    <row r="1851" spans="16:16" x14ac:dyDescent="0.25">
      <c r="P1851" s="137"/>
    </row>
    <row r="1852" spans="16:16" x14ac:dyDescent="0.25">
      <c r="P1852" s="137"/>
    </row>
    <row r="1853" spans="16:16" x14ac:dyDescent="0.25">
      <c r="P1853" s="137"/>
    </row>
    <row r="1854" spans="16:16" x14ac:dyDescent="0.25">
      <c r="P1854" s="137"/>
    </row>
    <row r="1855" spans="16:16" x14ac:dyDescent="0.25">
      <c r="P1855" s="137"/>
    </row>
    <row r="1856" spans="16:16" x14ac:dyDescent="0.25">
      <c r="P1856" s="137"/>
    </row>
    <row r="1857" spans="16:16" x14ac:dyDescent="0.25">
      <c r="P1857" s="137"/>
    </row>
    <row r="1858" spans="16:16" x14ac:dyDescent="0.25">
      <c r="P1858" s="137"/>
    </row>
    <row r="1859" spans="16:16" x14ac:dyDescent="0.25">
      <c r="P1859" s="137"/>
    </row>
    <row r="1860" spans="16:16" x14ac:dyDescent="0.25">
      <c r="P1860" s="137"/>
    </row>
    <row r="1861" spans="16:16" x14ac:dyDescent="0.25">
      <c r="P1861" s="137"/>
    </row>
    <row r="1862" spans="16:16" x14ac:dyDescent="0.25">
      <c r="P1862" s="137"/>
    </row>
    <row r="1863" spans="16:16" x14ac:dyDescent="0.25">
      <c r="P1863" s="137"/>
    </row>
    <row r="1864" spans="16:16" x14ac:dyDescent="0.25">
      <c r="P1864" s="137"/>
    </row>
    <row r="1865" spans="16:16" x14ac:dyDescent="0.25">
      <c r="P1865" s="137"/>
    </row>
    <row r="1866" spans="16:16" x14ac:dyDescent="0.25">
      <c r="P1866" s="137"/>
    </row>
    <row r="1867" spans="16:16" x14ac:dyDescent="0.25">
      <c r="P1867" s="137"/>
    </row>
    <row r="1868" spans="16:16" x14ac:dyDescent="0.25">
      <c r="P1868" s="137"/>
    </row>
    <row r="1869" spans="16:16" x14ac:dyDescent="0.25">
      <c r="P1869" s="137"/>
    </row>
    <row r="1870" spans="16:16" x14ac:dyDescent="0.25">
      <c r="P1870" s="137"/>
    </row>
    <row r="1871" spans="16:16" x14ac:dyDescent="0.25">
      <c r="P1871" s="137"/>
    </row>
    <row r="1872" spans="16:16" x14ac:dyDescent="0.25">
      <c r="P1872" s="137"/>
    </row>
    <row r="1873" spans="16:16" x14ac:dyDescent="0.25">
      <c r="P1873" s="137"/>
    </row>
    <row r="1874" spans="16:16" x14ac:dyDescent="0.25">
      <c r="P1874" s="137"/>
    </row>
    <row r="1875" spans="16:16" x14ac:dyDescent="0.25">
      <c r="P1875" s="137"/>
    </row>
    <row r="1876" spans="16:16" x14ac:dyDescent="0.25">
      <c r="P1876" s="137"/>
    </row>
    <row r="1877" spans="16:16" x14ac:dyDescent="0.25">
      <c r="P1877" s="137"/>
    </row>
    <row r="1878" spans="16:16" x14ac:dyDescent="0.25">
      <c r="P1878" s="137"/>
    </row>
    <row r="1879" spans="16:16" x14ac:dyDescent="0.25">
      <c r="P1879" s="137"/>
    </row>
    <row r="1880" spans="16:16" x14ac:dyDescent="0.25">
      <c r="P1880" s="137"/>
    </row>
    <row r="1881" spans="16:16" x14ac:dyDescent="0.25">
      <c r="P1881" s="137"/>
    </row>
    <row r="1882" spans="16:16" x14ac:dyDescent="0.25">
      <c r="P1882" s="137"/>
    </row>
    <row r="1883" spans="16:16" x14ac:dyDescent="0.25">
      <c r="P1883" s="137"/>
    </row>
    <row r="1884" spans="16:16" x14ac:dyDescent="0.25">
      <c r="P1884" s="137"/>
    </row>
    <row r="1885" spans="16:16" x14ac:dyDescent="0.25">
      <c r="P1885" s="137"/>
    </row>
    <row r="1886" spans="16:16" x14ac:dyDescent="0.25">
      <c r="P1886" s="137"/>
    </row>
    <row r="1887" spans="16:16" x14ac:dyDescent="0.25">
      <c r="P1887" s="137"/>
    </row>
    <row r="1888" spans="16:16" x14ac:dyDescent="0.25">
      <c r="P1888" s="137"/>
    </row>
    <row r="1889" spans="16:16" x14ac:dyDescent="0.25">
      <c r="P1889" s="137"/>
    </row>
    <row r="1890" spans="16:16" x14ac:dyDescent="0.25">
      <c r="P1890" s="137"/>
    </row>
    <row r="1891" spans="16:16" x14ac:dyDescent="0.25">
      <c r="P1891" s="137"/>
    </row>
    <row r="1892" spans="16:16" x14ac:dyDescent="0.25">
      <c r="P1892" s="137"/>
    </row>
    <row r="1893" spans="16:16" x14ac:dyDescent="0.25">
      <c r="P1893" s="137"/>
    </row>
    <row r="1894" spans="16:16" x14ac:dyDescent="0.25">
      <c r="P1894" s="137"/>
    </row>
    <row r="1895" spans="16:16" x14ac:dyDescent="0.25">
      <c r="P1895" s="137"/>
    </row>
    <row r="1896" spans="16:16" x14ac:dyDescent="0.25">
      <c r="P1896" s="137"/>
    </row>
    <row r="1897" spans="16:16" x14ac:dyDescent="0.25">
      <c r="P1897" s="137"/>
    </row>
    <row r="1898" spans="16:16" x14ac:dyDescent="0.25">
      <c r="P1898" s="137"/>
    </row>
    <row r="1899" spans="16:16" x14ac:dyDescent="0.25">
      <c r="P1899" s="137"/>
    </row>
    <row r="1900" spans="16:16" x14ac:dyDescent="0.25">
      <c r="P1900" s="137"/>
    </row>
    <row r="1901" spans="16:16" x14ac:dyDescent="0.25">
      <c r="P1901" s="137"/>
    </row>
    <row r="1902" spans="16:16" x14ac:dyDescent="0.25">
      <c r="P1902" s="137"/>
    </row>
    <row r="1903" spans="16:16" x14ac:dyDescent="0.25">
      <c r="P1903" s="137"/>
    </row>
    <row r="1904" spans="16:16" x14ac:dyDescent="0.25">
      <c r="P1904" s="137"/>
    </row>
    <row r="1905" spans="16:16" x14ac:dyDescent="0.25">
      <c r="P1905" s="137"/>
    </row>
    <row r="1906" spans="16:16" x14ac:dyDescent="0.25">
      <c r="P1906" s="137"/>
    </row>
    <row r="1907" spans="16:16" x14ac:dyDescent="0.25">
      <c r="P1907" s="137"/>
    </row>
    <row r="1908" spans="16:16" x14ac:dyDescent="0.25">
      <c r="P1908" s="137"/>
    </row>
    <row r="1909" spans="16:16" x14ac:dyDescent="0.25">
      <c r="P1909" s="137"/>
    </row>
    <row r="1910" spans="16:16" x14ac:dyDescent="0.25">
      <c r="P1910" s="137"/>
    </row>
    <row r="1911" spans="16:16" x14ac:dyDescent="0.25">
      <c r="P1911" s="137"/>
    </row>
    <row r="1912" spans="16:16" x14ac:dyDescent="0.25">
      <c r="P1912" s="137"/>
    </row>
    <row r="1913" spans="16:16" x14ac:dyDescent="0.25">
      <c r="P1913" s="137"/>
    </row>
    <row r="1914" spans="16:16" x14ac:dyDescent="0.25">
      <c r="P1914" s="137"/>
    </row>
    <row r="1915" spans="16:16" x14ac:dyDescent="0.25">
      <c r="P1915" s="137"/>
    </row>
    <row r="1916" spans="16:16" x14ac:dyDescent="0.25">
      <c r="P1916" s="137"/>
    </row>
    <row r="1917" spans="16:16" x14ac:dyDescent="0.25">
      <c r="P1917" s="137"/>
    </row>
    <row r="1918" spans="16:16" x14ac:dyDescent="0.25">
      <c r="P1918" s="137"/>
    </row>
    <row r="1919" spans="16:16" x14ac:dyDescent="0.25">
      <c r="P1919" s="137"/>
    </row>
    <row r="1920" spans="16:16" x14ac:dyDescent="0.25">
      <c r="P1920" s="137"/>
    </row>
    <row r="1921" spans="16:16" x14ac:dyDescent="0.25">
      <c r="P1921" s="137"/>
    </row>
    <row r="1922" spans="16:16" x14ac:dyDescent="0.25">
      <c r="P1922" s="137"/>
    </row>
    <row r="1923" spans="16:16" x14ac:dyDescent="0.25">
      <c r="P1923" s="137"/>
    </row>
    <row r="1924" spans="16:16" x14ac:dyDescent="0.25">
      <c r="P1924" s="137"/>
    </row>
    <row r="1925" spans="16:16" x14ac:dyDescent="0.25">
      <c r="P1925" s="137"/>
    </row>
    <row r="1926" spans="16:16" x14ac:dyDescent="0.25">
      <c r="P1926" s="137"/>
    </row>
    <row r="1927" spans="16:16" x14ac:dyDescent="0.25">
      <c r="P1927" s="137"/>
    </row>
    <row r="1928" spans="16:16" x14ac:dyDescent="0.25">
      <c r="P1928" s="137"/>
    </row>
    <row r="1929" spans="16:16" x14ac:dyDescent="0.25">
      <c r="P1929" s="137"/>
    </row>
    <row r="1930" spans="16:16" x14ac:dyDescent="0.25">
      <c r="P1930" s="137"/>
    </row>
    <row r="1931" spans="16:16" x14ac:dyDescent="0.25">
      <c r="P1931" s="137"/>
    </row>
    <row r="1932" spans="16:16" x14ac:dyDescent="0.25">
      <c r="P1932" s="137"/>
    </row>
    <row r="1933" spans="16:16" x14ac:dyDescent="0.25">
      <c r="P1933" s="137"/>
    </row>
    <row r="1934" spans="16:16" x14ac:dyDescent="0.25">
      <c r="P1934" s="137"/>
    </row>
    <row r="1935" spans="16:16" x14ac:dyDescent="0.25">
      <c r="P1935" s="137"/>
    </row>
    <row r="1936" spans="16:16" x14ac:dyDescent="0.25">
      <c r="P1936" s="137"/>
    </row>
    <row r="1937" spans="16:16" x14ac:dyDescent="0.25">
      <c r="P1937" s="137"/>
    </row>
    <row r="1938" spans="16:16" x14ac:dyDescent="0.25">
      <c r="P1938" s="137"/>
    </row>
    <row r="1939" spans="16:16" x14ac:dyDescent="0.25">
      <c r="P1939" s="137"/>
    </row>
    <row r="1940" spans="16:16" x14ac:dyDescent="0.25">
      <c r="P1940" s="137"/>
    </row>
    <row r="1941" spans="16:16" x14ac:dyDescent="0.25">
      <c r="P1941" s="137"/>
    </row>
    <row r="1942" spans="16:16" x14ac:dyDescent="0.25">
      <c r="P1942" s="137"/>
    </row>
    <row r="1943" spans="16:16" x14ac:dyDescent="0.25">
      <c r="P1943" s="137"/>
    </row>
    <row r="1944" spans="16:16" x14ac:dyDescent="0.25">
      <c r="P1944" s="137"/>
    </row>
    <row r="1945" spans="16:16" x14ac:dyDescent="0.25">
      <c r="P1945" s="137"/>
    </row>
    <row r="1946" spans="16:16" x14ac:dyDescent="0.25">
      <c r="P1946" s="137"/>
    </row>
    <row r="1947" spans="16:16" x14ac:dyDescent="0.25">
      <c r="P1947" s="137"/>
    </row>
    <row r="1948" spans="16:16" x14ac:dyDescent="0.25">
      <c r="P1948" s="137"/>
    </row>
    <row r="1949" spans="16:16" x14ac:dyDescent="0.25">
      <c r="P1949" s="137"/>
    </row>
    <row r="1950" spans="16:16" x14ac:dyDescent="0.25">
      <c r="P1950" s="137"/>
    </row>
    <row r="1951" spans="16:16" x14ac:dyDescent="0.25">
      <c r="P1951" s="137"/>
    </row>
    <row r="1952" spans="16:16" x14ac:dyDescent="0.25">
      <c r="P1952" s="137"/>
    </row>
    <row r="1953" spans="16:16" x14ac:dyDescent="0.25">
      <c r="P1953" s="137"/>
    </row>
    <row r="1954" spans="16:16" x14ac:dyDescent="0.25">
      <c r="P1954" s="137"/>
    </row>
    <row r="1955" spans="16:16" x14ac:dyDescent="0.25">
      <c r="P1955" s="137"/>
    </row>
    <row r="1956" spans="16:16" x14ac:dyDescent="0.25">
      <c r="P1956" s="137"/>
    </row>
    <row r="1957" spans="16:16" x14ac:dyDescent="0.25">
      <c r="P1957" s="137"/>
    </row>
    <row r="1958" spans="16:16" x14ac:dyDescent="0.25">
      <c r="P1958" s="137"/>
    </row>
    <row r="1959" spans="16:16" x14ac:dyDescent="0.25">
      <c r="P1959" s="137"/>
    </row>
    <row r="1960" spans="16:16" x14ac:dyDescent="0.25">
      <c r="P1960" s="137"/>
    </row>
    <row r="1961" spans="16:16" x14ac:dyDescent="0.25">
      <c r="P1961" s="137"/>
    </row>
    <row r="1962" spans="16:16" x14ac:dyDescent="0.25">
      <c r="P1962" s="137"/>
    </row>
    <row r="1963" spans="16:16" x14ac:dyDescent="0.25">
      <c r="P1963" s="137"/>
    </row>
    <row r="1964" spans="16:16" x14ac:dyDescent="0.25">
      <c r="P1964" s="137"/>
    </row>
    <row r="1965" spans="16:16" x14ac:dyDescent="0.25">
      <c r="P1965" s="137"/>
    </row>
    <row r="1966" spans="16:16" x14ac:dyDescent="0.25">
      <c r="P1966" s="137"/>
    </row>
    <row r="1967" spans="16:16" x14ac:dyDescent="0.25">
      <c r="P1967" s="137"/>
    </row>
    <row r="1968" spans="16:16" x14ac:dyDescent="0.25">
      <c r="P1968" s="137"/>
    </row>
    <row r="1969" spans="16:16" x14ac:dyDescent="0.25">
      <c r="P1969" s="137"/>
    </row>
    <row r="1970" spans="16:16" x14ac:dyDescent="0.25">
      <c r="P1970" s="137"/>
    </row>
    <row r="1971" spans="16:16" x14ac:dyDescent="0.25">
      <c r="P1971" s="137"/>
    </row>
    <row r="1972" spans="16:16" x14ac:dyDescent="0.25">
      <c r="P1972" s="137"/>
    </row>
    <row r="1973" spans="16:16" x14ac:dyDescent="0.25">
      <c r="P1973" s="137"/>
    </row>
    <row r="1974" spans="16:16" x14ac:dyDescent="0.25">
      <c r="P1974" s="137"/>
    </row>
    <row r="1975" spans="16:16" x14ac:dyDescent="0.25">
      <c r="P1975" s="137"/>
    </row>
    <row r="1976" spans="16:16" x14ac:dyDescent="0.25">
      <c r="P1976" s="137"/>
    </row>
    <row r="1977" spans="16:16" x14ac:dyDescent="0.25">
      <c r="P1977" s="137"/>
    </row>
    <row r="1978" spans="16:16" x14ac:dyDescent="0.25">
      <c r="P1978" s="137"/>
    </row>
    <row r="1979" spans="16:16" x14ac:dyDescent="0.25">
      <c r="P1979" s="137"/>
    </row>
    <row r="1980" spans="16:16" x14ac:dyDescent="0.25">
      <c r="P1980" s="137"/>
    </row>
    <row r="1981" spans="16:16" x14ac:dyDescent="0.25">
      <c r="P1981" s="137"/>
    </row>
    <row r="1982" spans="16:16" x14ac:dyDescent="0.25">
      <c r="P1982" s="137"/>
    </row>
    <row r="1983" spans="16:16" x14ac:dyDescent="0.25">
      <c r="P1983" s="137"/>
    </row>
    <row r="1984" spans="16:16" x14ac:dyDescent="0.25">
      <c r="P1984" s="137"/>
    </row>
    <row r="1985" spans="16:16" x14ac:dyDescent="0.25">
      <c r="P1985" s="137"/>
    </row>
    <row r="1986" spans="16:16" x14ac:dyDescent="0.25">
      <c r="P1986" s="137"/>
    </row>
    <row r="1987" spans="16:16" x14ac:dyDescent="0.25">
      <c r="P1987" s="137"/>
    </row>
    <row r="1988" spans="16:16" x14ac:dyDescent="0.25">
      <c r="P1988" s="137"/>
    </row>
    <row r="1989" spans="16:16" x14ac:dyDescent="0.25">
      <c r="P1989" s="137"/>
    </row>
    <row r="1990" spans="16:16" x14ac:dyDescent="0.25">
      <c r="P1990" s="137"/>
    </row>
    <row r="1991" spans="16:16" x14ac:dyDescent="0.25">
      <c r="P1991" s="137"/>
    </row>
    <row r="1992" spans="16:16" x14ac:dyDescent="0.25">
      <c r="P1992" s="137"/>
    </row>
    <row r="1993" spans="16:16" x14ac:dyDescent="0.25">
      <c r="P1993" s="137"/>
    </row>
    <row r="1994" spans="16:16" x14ac:dyDescent="0.25">
      <c r="P1994" s="137"/>
    </row>
    <row r="1995" spans="16:16" x14ac:dyDescent="0.25">
      <c r="P1995" s="137"/>
    </row>
    <row r="1996" spans="16:16" x14ac:dyDescent="0.25">
      <c r="P1996" s="137"/>
    </row>
    <row r="1997" spans="16:16" x14ac:dyDescent="0.25">
      <c r="P1997" s="137"/>
    </row>
    <row r="1998" spans="16:16" x14ac:dyDescent="0.25">
      <c r="P1998" s="137"/>
    </row>
    <row r="1999" spans="16:16" x14ac:dyDescent="0.25">
      <c r="P1999" s="137"/>
    </row>
    <row r="2000" spans="16:16" x14ac:dyDescent="0.25">
      <c r="P2000" s="137"/>
    </row>
    <row r="2001" spans="16:16" x14ac:dyDescent="0.25">
      <c r="P2001" s="137"/>
    </row>
    <row r="2002" spans="16:16" x14ac:dyDescent="0.25">
      <c r="P2002" s="137"/>
    </row>
    <row r="2003" spans="16:16" x14ac:dyDescent="0.25">
      <c r="P2003" s="137"/>
    </row>
    <row r="2004" spans="16:16" x14ac:dyDescent="0.25">
      <c r="P2004" s="137"/>
    </row>
    <row r="2005" spans="16:16" x14ac:dyDescent="0.25">
      <c r="P2005" s="137"/>
    </row>
    <row r="2006" spans="16:16" x14ac:dyDescent="0.25">
      <c r="P2006" s="137"/>
    </row>
    <row r="2007" spans="16:16" x14ac:dyDescent="0.25">
      <c r="P2007" s="137"/>
    </row>
    <row r="2008" spans="16:16" x14ac:dyDescent="0.25">
      <c r="P2008" s="137"/>
    </row>
    <row r="2009" spans="16:16" x14ac:dyDescent="0.25">
      <c r="P2009" s="137"/>
    </row>
    <row r="2010" spans="16:16" x14ac:dyDescent="0.25">
      <c r="P2010" s="137"/>
    </row>
    <row r="2011" spans="16:16" x14ac:dyDescent="0.25">
      <c r="P2011" s="137"/>
    </row>
    <row r="2012" spans="16:16" x14ac:dyDescent="0.25">
      <c r="P2012" s="137"/>
    </row>
    <row r="2013" spans="16:16" x14ac:dyDescent="0.25">
      <c r="P2013" s="137"/>
    </row>
    <row r="2014" spans="16:16" x14ac:dyDescent="0.25">
      <c r="P2014" s="137"/>
    </row>
    <row r="2015" spans="16:16" x14ac:dyDescent="0.25">
      <c r="P2015" s="137"/>
    </row>
    <row r="2016" spans="16:16" x14ac:dyDescent="0.25">
      <c r="P2016" s="137"/>
    </row>
    <row r="2017" spans="16:16" x14ac:dyDescent="0.25">
      <c r="P2017" s="137"/>
    </row>
    <row r="2018" spans="16:16" x14ac:dyDescent="0.25">
      <c r="P2018" s="137"/>
    </row>
    <row r="2019" spans="16:16" x14ac:dyDescent="0.25">
      <c r="P2019" s="137"/>
    </row>
    <row r="2020" spans="16:16" x14ac:dyDescent="0.25">
      <c r="P2020" s="137"/>
    </row>
    <row r="2021" spans="16:16" x14ac:dyDescent="0.25">
      <c r="P2021" s="137"/>
    </row>
    <row r="2022" spans="16:16" x14ac:dyDescent="0.25">
      <c r="P2022" s="137"/>
    </row>
    <row r="2023" spans="16:16" x14ac:dyDescent="0.25">
      <c r="P2023" s="137"/>
    </row>
    <row r="2024" spans="16:16" x14ac:dyDescent="0.25">
      <c r="P2024" s="137"/>
    </row>
    <row r="2025" spans="16:16" x14ac:dyDescent="0.25">
      <c r="P2025" s="137"/>
    </row>
    <row r="2026" spans="16:16" x14ac:dyDescent="0.25">
      <c r="P2026" s="137"/>
    </row>
    <row r="2027" spans="16:16" x14ac:dyDescent="0.25">
      <c r="P2027" s="137"/>
    </row>
    <row r="2028" spans="16:16" x14ac:dyDescent="0.25">
      <c r="P2028" s="137"/>
    </row>
    <row r="2029" spans="16:16" x14ac:dyDescent="0.25">
      <c r="P2029" s="137"/>
    </row>
    <row r="2030" spans="16:16" x14ac:dyDescent="0.25">
      <c r="P2030" s="137"/>
    </row>
    <row r="2031" spans="16:16" x14ac:dyDescent="0.25">
      <c r="P2031" s="137"/>
    </row>
    <row r="2032" spans="16:16" x14ac:dyDescent="0.25">
      <c r="P2032" s="137"/>
    </row>
    <row r="2033" spans="16:16" x14ac:dyDescent="0.25">
      <c r="P2033" s="137"/>
    </row>
    <row r="2034" spans="16:16" x14ac:dyDescent="0.25">
      <c r="P2034" s="137"/>
    </row>
    <row r="2035" spans="16:16" x14ac:dyDescent="0.25">
      <c r="P2035" s="137"/>
    </row>
    <row r="2036" spans="16:16" x14ac:dyDescent="0.25">
      <c r="P2036" s="137"/>
    </row>
    <row r="2037" spans="16:16" x14ac:dyDescent="0.25">
      <c r="P2037" s="137"/>
    </row>
    <row r="2038" spans="16:16" x14ac:dyDescent="0.25">
      <c r="P2038" s="137"/>
    </row>
    <row r="2039" spans="16:16" x14ac:dyDescent="0.25">
      <c r="P2039" s="137"/>
    </row>
    <row r="2040" spans="16:16" x14ac:dyDescent="0.25">
      <c r="P2040" s="137"/>
    </row>
    <row r="2041" spans="16:16" x14ac:dyDescent="0.25">
      <c r="P2041" s="137"/>
    </row>
    <row r="2042" spans="16:16" x14ac:dyDescent="0.25">
      <c r="P2042" s="137"/>
    </row>
    <row r="2043" spans="16:16" x14ac:dyDescent="0.25">
      <c r="P2043" s="137"/>
    </row>
    <row r="2044" spans="16:16" x14ac:dyDescent="0.25">
      <c r="P2044" s="137"/>
    </row>
    <row r="2045" spans="16:16" x14ac:dyDescent="0.25">
      <c r="P2045" s="137"/>
    </row>
    <row r="2046" spans="16:16" x14ac:dyDescent="0.25">
      <c r="P2046" s="137"/>
    </row>
    <row r="2047" spans="16:16" x14ac:dyDescent="0.25">
      <c r="P2047" s="137"/>
    </row>
    <row r="2048" spans="16:16" x14ac:dyDescent="0.25">
      <c r="P2048" s="137"/>
    </row>
    <row r="2049" spans="16:16" x14ac:dyDescent="0.25">
      <c r="P2049" s="137"/>
    </row>
    <row r="2050" spans="16:16" x14ac:dyDescent="0.25">
      <c r="P2050" s="137"/>
    </row>
    <row r="2051" spans="16:16" x14ac:dyDescent="0.25">
      <c r="P2051" s="137"/>
    </row>
    <row r="2052" spans="16:16" x14ac:dyDescent="0.25">
      <c r="P2052" s="137"/>
    </row>
    <row r="2053" spans="16:16" x14ac:dyDescent="0.25">
      <c r="P2053" s="137"/>
    </row>
    <row r="2054" spans="16:16" x14ac:dyDescent="0.25">
      <c r="P2054" s="137"/>
    </row>
    <row r="2055" spans="16:16" x14ac:dyDescent="0.25">
      <c r="P2055" s="137"/>
    </row>
    <row r="2056" spans="16:16" x14ac:dyDescent="0.25">
      <c r="P2056" s="137"/>
    </row>
    <row r="2057" spans="16:16" x14ac:dyDescent="0.25">
      <c r="P2057" s="137"/>
    </row>
    <row r="2058" spans="16:16" x14ac:dyDescent="0.25">
      <c r="P2058" s="137"/>
    </row>
    <row r="2059" spans="16:16" x14ac:dyDescent="0.25">
      <c r="P2059" s="137"/>
    </row>
    <row r="2060" spans="16:16" x14ac:dyDescent="0.25">
      <c r="P2060" s="137"/>
    </row>
    <row r="2061" spans="16:16" x14ac:dyDescent="0.25">
      <c r="P2061" s="137"/>
    </row>
    <row r="2062" spans="16:16" x14ac:dyDescent="0.25">
      <c r="P2062" s="137"/>
    </row>
    <row r="2063" spans="16:16" x14ac:dyDescent="0.25">
      <c r="P2063" s="137"/>
    </row>
    <row r="2064" spans="16:16" x14ac:dyDescent="0.25">
      <c r="P2064" s="137"/>
    </row>
    <row r="2065" spans="16:16" x14ac:dyDescent="0.25">
      <c r="P2065" s="137"/>
    </row>
    <row r="2066" spans="16:16" x14ac:dyDescent="0.25">
      <c r="P2066" s="137"/>
    </row>
    <row r="2067" spans="16:16" x14ac:dyDescent="0.25">
      <c r="P2067" s="137"/>
    </row>
    <row r="2068" spans="16:16" x14ac:dyDescent="0.25">
      <c r="P2068" s="137"/>
    </row>
    <row r="2069" spans="16:16" x14ac:dyDescent="0.25">
      <c r="P2069" s="137"/>
    </row>
    <row r="2070" spans="16:16" x14ac:dyDescent="0.25">
      <c r="P2070" s="137"/>
    </row>
    <row r="2071" spans="16:16" x14ac:dyDescent="0.25">
      <c r="P2071" s="137"/>
    </row>
    <row r="2072" spans="16:16" x14ac:dyDescent="0.25">
      <c r="P2072" s="137"/>
    </row>
    <row r="2073" spans="16:16" x14ac:dyDescent="0.25">
      <c r="P2073" s="137"/>
    </row>
    <row r="2074" spans="16:16" x14ac:dyDescent="0.25">
      <c r="P2074" s="137"/>
    </row>
    <row r="2075" spans="16:16" x14ac:dyDescent="0.25">
      <c r="P2075" s="137"/>
    </row>
    <row r="2076" spans="16:16" x14ac:dyDescent="0.25">
      <c r="P2076" s="137"/>
    </row>
    <row r="2077" spans="16:16" x14ac:dyDescent="0.25">
      <c r="P2077" s="137"/>
    </row>
    <row r="2078" spans="16:16" x14ac:dyDescent="0.25">
      <c r="P2078" s="137"/>
    </row>
    <row r="2079" spans="16:16" x14ac:dyDescent="0.25">
      <c r="P2079" s="137"/>
    </row>
    <row r="2080" spans="16:16" x14ac:dyDescent="0.25">
      <c r="P2080" s="137"/>
    </row>
    <row r="2081" spans="16:16" x14ac:dyDescent="0.25">
      <c r="P2081" s="137"/>
    </row>
    <row r="2082" spans="16:16" x14ac:dyDescent="0.25">
      <c r="P2082" s="137"/>
    </row>
    <row r="2083" spans="16:16" x14ac:dyDescent="0.25">
      <c r="P2083" s="137"/>
    </row>
    <row r="2084" spans="16:16" x14ac:dyDescent="0.25">
      <c r="P2084" s="137"/>
    </row>
    <row r="2085" spans="16:16" x14ac:dyDescent="0.25">
      <c r="P2085" s="137"/>
    </row>
    <row r="2086" spans="16:16" x14ac:dyDescent="0.25">
      <c r="P2086" s="137"/>
    </row>
    <row r="2087" spans="16:16" x14ac:dyDescent="0.25">
      <c r="P2087" s="137"/>
    </row>
    <row r="2088" spans="16:16" x14ac:dyDescent="0.25">
      <c r="P2088" s="137"/>
    </row>
    <row r="2089" spans="16:16" x14ac:dyDescent="0.25">
      <c r="P2089" s="137"/>
    </row>
    <row r="2090" spans="16:16" x14ac:dyDescent="0.25">
      <c r="P2090" s="137"/>
    </row>
    <row r="2091" spans="16:16" x14ac:dyDescent="0.25">
      <c r="P2091" s="137"/>
    </row>
    <row r="2092" spans="16:16" x14ac:dyDescent="0.25">
      <c r="P2092" s="137"/>
    </row>
    <row r="2093" spans="16:16" x14ac:dyDescent="0.25">
      <c r="P2093" s="137"/>
    </row>
    <row r="2094" spans="16:16" x14ac:dyDescent="0.25">
      <c r="P2094" s="137"/>
    </row>
    <row r="2095" spans="16:16" x14ac:dyDescent="0.25">
      <c r="P2095" s="137"/>
    </row>
    <row r="2096" spans="16:16" x14ac:dyDescent="0.25">
      <c r="P2096" s="137"/>
    </row>
    <row r="2097" spans="16:16" x14ac:dyDescent="0.25">
      <c r="P2097" s="137"/>
    </row>
    <row r="2098" spans="16:16" x14ac:dyDescent="0.25">
      <c r="P2098" s="137"/>
    </row>
    <row r="2099" spans="16:16" x14ac:dyDescent="0.25">
      <c r="P2099" s="137"/>
    </row>
    <row r="2100" spans="16:16" x14ac:dyDescent="0.25">
      <c r="P2100" s="137"/>
    </row>
    <row r="2101" spans="16:16" x14ac:dyDescent="0.25">
      <c r="P2101" s="137"/>
    </row>
    <row r="2102" spans="16:16" x14ac:dyDescent="0.25">
      <c r="P2102" s="137"/>
    </row>
    <row r="2103" spans="16:16" x14ac:dyDescent="0.25">
      <c r="P2103" s="137"/>
    </row>
    <row r="2104" spans="16:16" x14ac:dyDescent="0.25">
      <c r="P2104" s="137"/>
    </row>
    <row r="2105" spans="16:16" x14ac:dyDescent="0.25">
      <c r="P2105" s="137"/>
    </row>
    <row r="2106" spans="16:16" x14ac:dyDescent="0.25">
      <c r="P2106" s="137"/>
    </row>
    <row r="2107" spans="16:16" x14ac:dyDescent="0.25">
      <c r="P2107" s="137"/>
    </row>
    <row r="2108" spans="16:16" x14ac:dyDescent="0.25">
      <c r="P2108" s="137"/>
    </row>
    <row r="2109" spans="16:16" x14ac:dyDescent="0.25">
      <c r="P2109" s="137"/>
    </row>
    <row r="2110" spans="16:16" x14ac:dyDescent="0.25">
      <c r="P2110" s="137"/>
    </row>
    <row r="2111" spans="16:16" x14ac:dyDescent="0.25">
      <c r="P2111" s="137"/>
    </row>
    <row r="2112" spans="16:16" x14ac:dyDescent="0.25">
      <c r="P2112" s="137"/>
    </row>
    <row r="2113" spans="16:16" x14ac:dyDescent="0.25">
      <c r="P2113" s="137"/>
    </row>
    <row r="2114" spans="16:16" x14ac:dyDescent="0.25">
      <c r="P2114" s="137"/>
    </row>
    <row r="2115" spans="16:16" x14ac:dyDescent="0.25">
      <c r="P2115" s="137"/>
    </row>
    <row r="2116" spans="16:16" x14ac:dyDescent="0.25">
      <c r="P2116" s="137"/>
    </row>
    <row r="2117" spans="16:16" x14ac:dyDescent="0.25">
      <c r="P2117" s="137"/>
    </row>
    <row r="2118" spans="16:16" x14ac:dyDescent="0.25">
      <c r="P2118" s="137"/>
    </row>
    <row r="2119" spans="16:16" x14ac:dyDescent="0.25">
      <c r="P2119" s="137"/>
    </row>
    <row r="2120" spans="16:16" x14ac:dyDescent="0.25">
      <c r="P2120" s="137"/>
    </row>
    <row r="2121" spans="16:16" x14ac:dyDescent="0.25">
      <c r="P2121" s="137"/>
    </row>
    <row r="2122" spans="16:16" x14ac:dyDescent="0.25">
      <c r="P2122" s="137"/>
    </row>
    <row r="2123" spans="16:16" x14ac:dyDescent="0.25">
      <c r="P2123" s="137"/>
    </row>
    <row r="2124" spans="16:16" x14ac:dyDescent="0.25">
      <c r="P2124" s="137"/>
    </row>
    <row r="2125" spans="16:16" x14ac:dyDescent="0.25">
      <c r="P2125" s="137"/>
    </row>
    <row r="2126" spans="16:16" x14ac:dyDescent="0.25">
      <c r="P2126" s="137"/>
    </row>
    <row r="2127" spans="16:16" x14ac:dyDescent="0.25">
      <c r="P2127" s="137"/>
    </row>
    <row r="2128" spans="16:16" x14ac:dyDescent="0.25">
      <c r="P2128" s="137"/>
    </row>
    <row r="2129" spans="16:16" x14ac:dyDescent="0.25">
      <c r="P2129" s="137"/>
    </row>
    <row r="2130" spans="16:16" x14ac:dyDescent="0.25">
      <c r="P2130" s="137"/>
    </row>
    <row r="2131" spans="16:16" x14ac:dyDescent="0.25">
      <c r="P2131" s="137"/>
    </row>
    <row r="2132" spans="16:16" x14ac:dyDescent="0.25">
      <c r="P2132" s="137"/>
    </row>
    <row r="2133" spans="16:16" x14ac:dyDescent="0.25">
      <c r="P2133" s="137"/>
    </row>
    <row r="2134" spans="16:16" x14ac:dyDescent="0.25">
      <c r="P2134" s="137"/>
    </row>
    <row r="2135" spans="16:16" x14ac:dyDescent="0.25">
      <c r="P2135" s="137"/>
    </row>
    <row r="2136" spans="16:16" x14ac:dyDescent="0.25">
      <c r="P2136" s="137"/>
    </row>
    <row r="2137" spans="16:16" x14ac:dyDescent="0.25">
      <c r="P2137" s="137"/>
    </row>
    <row r="2138" spans="16:16" x14ac:dyDescent="0.25">
      <c r="P2138" s="137"/>
    </row>
    <row r="2139" spans="16:16" x14ac:dyDescent="0.25">
      <c r="P2139" s="137"/>
    </row>
    <row r="2140" spans="16:16" x14ac:dyDescent="0.25">
      <c r="P2140" s="137"/>
    </row>
    <row r="2141" spans="16:16" x14ac:dyDescent="0.25">
      <c r="P2141" s="137"/>
    </row>
    <row r="2142" spans="16:16" x14ac:dyDescent="0.25">
      <c r="P2142" s="137"/>
    </row>
    <row r="2143" spans="16:16" x14ac:dyDescent="0.25">
      <c r="P2143" s="137"/>
    </row>
    <row r="2144" spans="16:16" x14ac:dyDescent="0.25">
      <c r="P2144" s="137"/>
    </row>
    <row r="2145" spans="16:16" x14ac:dyDescent="0.25">
      <c r="P2145" s="137"/>
    </row>
    <row r="2146" spans="16:16" x14ac:dyDescent="0.25">
      <c r="P2146" s="137"/>
    </row>
    <row r="2147" spans="16:16" x14ac:dyDescent="0.25">
      <c r="P2147" s="137"/>
    </row>
    <row r="2148" spans="16:16" x14ac:dyDescent="0.25">
      <c r="P2148" s="137"/>
    </row>
    <row r="2149" spans="16:16" x14ac:dyDescent="0.25">
      <c r="P2149" s="137"/>
    </row>
    <row r="2150" spans="16:16" x14ac:dyDescent="0.25">
      <c r="P2150" s="137"/>
    </row>
    <row r="2151" spans="16:16" x14ac:dyDescent="0.25">
      <c r="P2151" s="137"/>
    </row>
    <row r="2152" spans="16:16" x14ac:dyDescent="0.25">
      <c r="P2152" s="137"/>
    </row>
    <row r="2153" spans="16:16" x14ac:dyDescent="0.25">
      <c r="P2153" s="137"/>
    </row>
    <row r="2154" spans="16:16" x14ac:dyDescent="0.25">
      <c r="P2154" s="137"/>
    </row>
    <row r="2155" spans="16:16" x14ac:dyDescent="0.25">
      <c r="P2155" s="137"/>
    </row>
    <row r="2156" spans="16:16" x14ac:dyDescent="0.25">
      <c r="P2156" s="137"/>
    </row>
    <row r="2157" spans="16:16" x14ac:dyDescent="0.25">
      <c r="P2157" s="137"/>
    </row>
    <row r="2158" spans="16:16" x14ac:dyDescent="0.25">
      <c r="P2158" s="137"/>
    </row>
    <row r="2159" spans="16:16" x14ac:dyDescent="0.25">
      <c r="P2159" s="137"/>
    </row>
    <row r="2160" spans="16:16" x14ac:dyDescent="0.25">
      <c r="P2160" s="137"/>
    </row>
    <row r="2161" spans="16:16" x14ac:dyDescent="0.25">
      <c r="P2161" s="137"/>
    </row>
    <row r="2162" spans="16:16" x14ac:dyDescent="0.25">
      <c r="P2162" s="137"/>
    </row>
    <row r="2163" spans="16:16" x14ac:dyDescent="0.25">
      <c r="P2163" s="137"/>
    </row>
    <row r="2164" spans="16:16" x14ac:dyDescent="0.25">
      <c r="P2164" s="137"/>
    </row>
    <row r="2165" spans="16:16" x14ac:dyDescent="0.25">
      <c r="P2165" s="137"/>
    </row>
    <row r="2166" spans="16:16" x14ac:dyDescent="0.25">
      <c r="P2166" s="137"/>
    </row>
    <row r="2167" spans="16:16" x14ac:dyDescent="0.25">
      <c r="P2167" s="137"/>
    </row>
    <row r="2168" spans="16:16" x14ac:dyDescent="0.25">
      <c r="P2168" s="137"/>
    </row>
    <row r="2169" spans="16:16" x14ac:dyDescent="0.25">
      <c r="P2169" s="137"/>
    </row>
    <row r="2170" spans="16:16" x14ac:dyDescent="0.25">
      <c r="P2170" s="137"/>
    </row>
    <row r="2171" spans="16:16" x14ac:dyDescent="0.25">
      <c r="P2171" s="137"/>
    </row>
    <row r="2172" spans="16:16" x14ac:dyDescent="0.25">
      <c r="P2172" s="137"/>
    </row>
    <row r="2173" spans="16:16" x14ac:dyDescent="0.25">
      <c r="P2173" s="137"/>
    </row>
    <row r="2174" spans="16:16" x14ac:dyDescent="0.25">
      <c r="P2174" s="137"/>
    </row>
    <row r="2175" spans="16:16" x14ac:dyDescent="0.25">
      <c r="P2175" s="137"/>
    </row>
    <row r="2176" spans="16:16" x14ac:dyDescent="0.25">
      <c r="P2176" s="137"/>
    </row>
    <row r="2177" spans="16:16" x14ac:dyDescent="0.25">
      <c r="P2177" s="137"/>
    </row>
    <row r="2178" spans="16:16" x14ac:dyDescent="0.25">
      <c r="P2178" s="137"/>
    </row>
    <row r="2179" spans="16:16" x14ac:dyDescent="0.25">
      <c r="P2179" s="137"/>
    </row>
    <row r="2180" spans="16:16" x14ac:dyDescent="0.25">
      <c r="P2180" s="137"/>
    </row>
    <row r="2181" spans="16:16" x14ac:dyDescent="0.25">
      <c r="P2181" s="137"/>
    </row>
    <row r="2182" spans="16:16" x14ac:dyDescent="0.25">
      <c r="P2182" s="137"/>
    </row>
    <row r="2183" spans="16:16" x14ac:dyDescent="0.25">
      <c r="P2183" s="137"/>
    </row>
    <row r="2184" spans="16:16" x14ac:dyDescent="0.25">
      <c r="P2184" s="137"/>
    </row>
    <row r="2185" spans="16:16" x14ac:dyDescent="0.25">
      <c r="P2185" s="137"/>
    </row>
    <row r="2186" spans="16:16" x14ac:dyDescent="0.25">
      <c r="P2186" s="137"/>
    </row>
    <row r="2187" spans="16:16" x14ac:dyDescent="0.25">
      <c r="P2187" s="137"/>
    </row>
    <row r="2188" spans="16:16" x14ac:dyDescent="0.25">
      <c r="P2188" s="137"/>
    </row>
    <row r="2189" spans="16:16" x14ac:dyDescent="0.25">
      <c r="P2189" s="137"/>
    </row>
    <row r="2190" spans="16:16" x14ac:dyDescent="0.25">
      <c r="P2190" s="137"/>
    </row>
    <row r="2191" spans="16:16" x14ac:dyDescent="0.25">
      <c r="P2191" s="137"/>
    </row>
    <row r="2192" spans="16:16" x14ac:dyDescent="0.25">
      <c r="P2192" s="137"/>
    </row>
    <row r="2193" spans="16:16" x14ac:dyDescent="0.25">
      <c r="P2193" s="137"/>
    </row>
    <row r="2194" spans="16:16" x14ac:dyDescent="0.25">
      <c r="P2194" s="137"/>
    </row>
    <row r="2195" spans="16:16" x14ac:dyDescent="0.25">
      <c r="P2195" s="137"/>
    </row>
    <row r="2196" spans="16:16" x14ac:dyDescent="0.25">
      <c r="P2196" s="137"/>
    </row>
    <row r="2197" spans="16:16" x14ac:dyDescent="0.25">
      <c r="P2197" s="137"/>
    </row>
    <row r="2198" spans="16:16" x14ac:dyDescent="0.25">
      <c r="P2198" s="137"/>
    </row>
    <row r="2199" spans="16:16" x14ac:dyDescent="0.25">
      <c r="P2199" s="137"/>
    </row>
    <row r="2200" spans="16:16" x14ac:dyDescent="0.25">
      <c r="P2200" s="137"/>
    </row>
    <row r="2201" spans="16:16" x14ac:dyDescent="0.25">
      <c r="P2201" s="137"/>
    </row>
    <row r="2202" spans="16:16" x14ac:dyDescent="0.25">
      <c r="P2202" s="137"/>
    </row>
    <row r="2203" spans="16:16" x14ac:dyDescent="0.25">
      <c r="P2203" s="137"/>
    </row>
    <row r="2204" spans="16:16" x14ac:dyDescent="0.25">
      <c r="P2204" s="137"/>
    </row>
    <row r="2205" spans="16:16" x14ac:dyDescent="0.25">
      <c r="P2205" s="137"/>
    </row>
    <row r="2206" spans="16:16" x14ac:dyDescent="0.25">
      <c r="P2206" s="137"/>
    </row>
    <row r="2207" spans="16:16" x14ac:dyDescent="0.25">
      <c r="P2207" s="137"/>
    </row>
    <row r="2208" spans="16:16" x14ac:dyDescent="0.25">
      <c r="P2208" s="137"/>
    </row>
    <row r="2209" spans="16:16" x14ac:dyDescent="0.25">
      <c r="P2209" s="137"/>
    </row>
    <row r="2210" spans="16:16" x14ac:dyDescent="0.25">
      <c r="P2210" s="137"/>
    </row>
    <row r="2211" spans="16:16" x14ac:dyDescent="0.25">
      <c r="P2211" s="137"/>
    </row>
    <row r="2212" spans="16:16" x14ac:dyDescent="0.25">
      <c r="P2212" s="137"/>
    </row>
    <row r="2213" spans="16:16" x14ac:dyDescent="0.25">
      <c r="P2213" s="137"/>
    </row>
    <row r="2214" spans="16:16" x14ac:dyDescent="0.25">
      <c r="P2214" s="137"/>
    </row>
    <row r="2215" spans="16:16" x14ac:dyDescent="0.25">
      <c r="P2215" s="137"/>
    </row>
    <row r="2216" spans="16:16" x14ac:dyDescent="0.25">
      <c r="P2216" s="137"/>
    </row>
    <row r="2217" spans="16:16" x14ac:dyDescent="0.25">
      <c r="P2217" s="137"/>
    </row>
    <row r="2218" spans="16:16" x14ac:dyDescent="0.25">
      <c r="P2218" s="137"/>
    </row>
    <row r="2219" spans="16:16" x14ac:dyDescent="0.25">
      <c r="P2219" s="137"/>
    </row>
    <row r="2220" spans="16:16" x14ac:dyDescent="0.25">
      <c r="P2220" s="137"/>
    </row>
    <row r="2221" spans="16:16" x14ac:dyDescent="0.25">
      <c r="P2221" s="137"/>
    </row>
    <row r="2222" spans="16:16" x14ac:dyDescent="0.25">
      <c r="P2222" s="137"/>
    </row>
    <row r="2223" spans="16:16" x14ac:dyDescent="0.25">
      <c r="P2223" s="137"/>
    </row>
    <row r="2224" spans="16:16" x14ac:dyDescent="0.25">
      <c r="P2224" s="137"/>
    </row>
    <row r="2225" spans="16:16" x14ac:dyDescent="0.25">
      <c r="P2225" s="137"/>
    </row>
    <row r="2226" spans="16:16" x14ac:dyDescent="0.25">
      <c r="P2226" s="137"/>
    </row>
    <row r="2227" spans="16:16" x14ac:dyDescent="0.25">
      <c r="P2227" s="137"/>
    </row>
    <row r="2228" spans="16:16" x14ac:dyDescent="0.25">
      <c r="P2228" s="137"/>
    </row>
    <row r="2229" spans="16:16" x14ac:dyDescent="0.25">
      <c r="P2229" s="137"/>
    </row>
    <row r="2230" spans="16:16" x14ac:dyDescent="0.25">
      <c r="P2230" s="137"/>
    </row>
    <row r="2231" spans="16:16" x14ac:dyDescent="0.25">
      <c r="P2231" s="137"/>
    </row>
    <row r="2232" spans="16:16" x14ac:dyDescent="0.25">
      <c r="P2232" s="137"/>
    </row>
    <row r="2233" spans="16:16" x14ac:dyDescent="0.25">
      <c r="P2233" s="137"/>
    </row>
    <row r="2234" spans="16:16" x14ac:dyDescent="0.25">
      <c r="P2234" s="137"/>
    </row>
    <row r="2235" spans="16:16" x14ac:dyDescent="0.25">
      <c r="P2235" s="137"/>
    </row>
    <row r="2236" spans="16:16" x14ac:dyDescent="0.25">
      <c r="P2236" s="137"/>
    </row>
    <row r="2237" spans="16:16" x14ac:dyDescent="0.25">
      <c r="P2237" s="137"/>
    </row>
    <row r="2238" spans="16:16" x14ac:dyDescent="0.25">
      <c r="P2238" s="137"/>
    </row>
    <row r="2239" spans="16:16" x14ac:dyDescent="0.25">
      <c r="P2239" s="137"/>
    </row>
    <row r="2240" spans="16:16" x14ac:dyDescent="0.25">
      <c r="P2240" s="137"/>
    </row>
    <row r="2241" spans="16:16" x14ac:dyDescent="0.25">
      <c r="P2241" s="137"/>
    </row>
    <row r="2242" spans="16:16" x14ac:dyDescent="0.25">
      <c r="P2242" s="137"/>
    </row>
    <row r="2243" spans="16:16" x14ac:dyDescent="0.25">
      <c r="P2243" s="137"/>
    </row>
    <row r="2244" spans="16:16" x14ac:dyDescent="0.25">
      <c r="P2244" s="137"/>
    </row>
    <row r="2245" spans="16:16" x14ac:dyDescent="0.25">
      <c r="P2245" s="137"/>
    </row>
    <row r="2246" spans="16:16" x14ac:dyDescent="0.25">
      <c r="P2246" s="137"/>
    </row>
    <row r="2247" spans="16:16" x14ac:dyDescent="0.25">
      <c r="P2247" s="137"/>
    </row>
    <row r="2248" spans="16:16" x14ac:dyDescent="0.25">
      <c r="P2248" s="137"/>
    </row>
    <row r="2249" spans="16:16" x14ac:dyDescent="0.25">
      <c r="P2249" s="137"/>
    </row>
    <row r="2250" spans="16:16" x14ac:dyDescent="0.25">
      <c r="P2250" s="137"/>
    </row>
    <row r="2251" spans="16:16" x14ac:dyDescent="0.25">
      <c r="P2251" s="137"/>
    </row>
    <row r="2252" spans="16:16" x14ac:dyDescent="0.25">
      <c r="P2252" s="137"/>
    </row>
    <row r="2253" spans="16:16" x14ac:dyDescent="0.25">
      <c r="P2253" s="137"/>
    </row>
    <row r="2254" spans="16:16" x14ac:dyDescent="0.25">
      <c r="P2254" s="137"/>
    </row>
    <row r="2255" spans="16:16" x14ac:dyDescent="0.25">
      <c r="P2255" s="137"/>
    </row>
    <row r="2256" spans="16:16" x14ac:dyDescent="0.25">
      <c r="P2256" s="137"/>
    </row>
    <row r="2257" spans="16:16" x14ac:dyDescent="0.25">
      <c r="P2257" s="137"/>
    </row>
    <row r="2258" spans="16:16" x14ac:dyDescent="0.25">
      <c r="P2258" s="137"/>
    </row>
    <row r="2259" spans="16:16" x14ac:dyDescent="0.25">
      <c r="P2259" s="137"/>
    </row>
    <row r="2260" spans="16:16" x14ac:dyDescent="0.25">
      <c r="P2260" s="137"/>
    </row>
    <row r="2261" spans="16:16" x14ac:dyDescent="0.25">
      <c r="P2261" s="137"/>
    </row>
    <row r="2262" spans="16:16" x14ac:dyDescent="0.25">
      <c r="P2262" s="137"/>
    </row>
    <row r="2263" spans="16:16" x14ac:dyDescent="0.25">
      <c r="P2263" s="137"/>
    </row>
    <row r="2264" spans="16:16" x14ac:dyDescent="0.25">
      <c r="P2264" s="137"/>
    </row>
    <row r="2265" spans="16:16" x14ac:dyDescent="0.25">
      <c r="P2265" s="137"/>
    </row>
    <row r="2266" spans="16:16" x14ac:dyDescent="0.25">
      <c r="P2266" s="137"/>
    </row>
    <row r="2267" spans="16:16" x14ac:dyDescent="0.25">
      <c r="P2267" s="137"/>
    </row>
    <row r="2268" spans="16:16" x14ac:dyDescent="0.25">
      <c r="P2268" s="137"/>
    </row>
    <row r="2269" spans="16:16" x14ac:dyDescent="0.25">
      <c r="P2269" s="137"/>
    </row>
    <row r="2270" spans="16:16" x14ac:dyDescent="0.25">
      <c r="P2270" s="137"/>
    </row>
    <row r="2271" spans="16:16" x14ac:dyDescent="0.25">
      <c r="P2271" s="137"/>
    </row>
    <row r="2272" spans="16:16" x14ac:dyDescent="0.25">
      <c r="P2272" s="137"/>
    </row>
    <row r="2273" spans="16:16" x14ac:dyDescent="0.25">
      <c r="P2273" s="137"/>
    </row>
    <row r="2274" spans="16:16" x14ac:dyDescent="0.25">
      <c r="P2274" s="137"/>
    </row>
    <row r="2275" spans="16:16" x14ac:dyDescent="0.25">
      <c r="P2275" s="137"/>
    </row>
    <row r="2276" spans="16:16" x14ac:dyDescent="0.25">
      <c r="P2276" s="137"/>
    </row>
    <row r="2277" spans="16:16" x14ac:dyDescent="0.25">
      <c r="P2277" s="137"/>
    </row>
    <row r="2278" spans="16:16" x14ac:dyDescent="0.25">
      <c r="P2278" s="137"/>
    </row>
    <row r="2279" spans="16:16" x14ac:dyDescent="0.25">
      <c r="P2279" s="137"/>
    </row>
    <row r="2280" spans="16:16" x14ac:dyDescent="0.25">
      <c r="P2280" s="137"/>
    </row>
    <row r="2281" spans="16:16" x14ac:dyDescent="0.25">
      <c r="P2281" s="137"/>
    </row>
    <row r="2282" spans="16:16" x14ac:dyDescent="0.25">
      <c r="P2282" s="137"/>
    </row>
    <row r="2283" spans="16:16" x14ac:dyDescent="0.25">
      <c r="P2283" s="137"/>
    </row>
    <row r="2284" spans="16:16" x14ac:dyDescent="0.25">
      <c r="P2284" s="137"/>
    </row>
    <row r="2285" spans="16:16" x14ac:dyDescent="0.25">
      <c r="P2285" s="137"/>
    </row>
    <row r="2286" spans="16:16" x14ac:dyDescent="0.25">
      <c r="P2286" s="137"/>
    </row>
    <row r="2287" spans="16:16" x14ac:dyDescent="0.25">
      <c r="P2287" s="137"/>
    </row>
    <row r="2288" spans="16:16" x14ac:dyDescent="0.25">
      <c r="P2288" s="137"/>
    </row>
    <row r="2289" spans="16:16" x14ac:dyDescent="0.25">
      <c r="P2289" s="137"/>
    </row>
    <row r="2290" spans="16:16" x14ac:dyDescent="0.25">
      <c r="P2290" s="137"/>
    </row>
    <row r="2291" spans="16:16" x14ac:dyDescent="0.25">
      <c r="P2291" s="137"/>
    </row>
    <row r="2292" spans="16:16" x14ac:dyDescent="0.25">
      <c r="P2292" s="137"/>
    </row>
    <row r="2293" spans="16:16" x14ac:dyDescent="0.25">
      <c r="P2293" s="137"/>
    </row>
    <row r="2294" spans="16:16" x14ac:dyDescent="0.25">
      <c r="P2294" s="137"/>
    </row>
    <row r="2295" spans="16:16" x14ac:dyDescent="0.25">
      <c r="P2295" s="137"/>
    </row>
    <row r="2296" spans="16:16" x14ac:dyDescent="0.25">
      <c r="P2296" s="137"/>
    </row>
    <row r="2297" spans="16:16" x14ac:dyDescent="0.25">
      <c r="P2297" s="137"/>
    </row>
    <row r="2298" spans="16:16" x14ac:dyDescent="0.25">
      <c r="P2298" s="137"/>
    </row>
    <row r="2299" spans="16:16" x14ac:dyDescent="0.25">
      <c r="P2299" s="137"/>
    </row>
    <row r="2300" spans="16:16" x14ac:dyDescent="0.25">
      <c r="P2300" s="137"/>
    </row>
    <row r="2301" spans="16:16" x14ac:dyDescent="0.25">
      <c r="P2301" s="137"/>
    </row>
    <row r="2302" spans="16:16" x14ac:dyDescent="0.25">
      <c r="P2302" s="137"/>
    </row>
    <row r="2303" spans="16:16" x14ac:dyDescent="0.25">
      <c r="P2303" s="137"/>
    </row>
    <row r="2304" spans="16:16" x14ac:dyDescent="0.25">
      <c r="P2304" s="137"/>
    </row>
    <row r="2305" spans="16:16" x14ac:dyDescent="0.25">
      <c r="P2305" s="137"/>
    </row>
    <row r="2306" spans="16:16" x14ac:dyDescent="0.25">
      <c r="P2306" s="137"/>
    </row>
    <row r="2307" spans="16:16" x14ac:dyDescent="0.25">
      <c r="P2307" s="137"/>
    </row>
    <row r="2308" spans="16:16" x14ac:dyDescent="0.25">
      <c r="P2308" s="137"/>
    </row>
    <row r="2309" spans="16:16" x14ac:dyDescent="0.25">
      <c r="P2309" s="137"/>
    </row>
    <row r="2310" spans="16:16" x14ac:dyDescent="0.25">
      <c r="P2310" s="137"/>
    </row>
    <row r="2311" spans="16:16" x14ac:dyDescent="0.25">
      <c r="P2311" s="137"/>
    </row>
    <row r="2312" spans="16:16" x14ac:dyDescent="0.25">
      <c r="P2312" s="137"/>
    </row>
    <row r="2313" spans="16:16" x14ac:dyDescent="0.25">
      <c r="P2313" s="137"/>
    </row>
    <row r="2314" spans="16:16" x14ac:dyDescent="0.25">
      <c r="P2314" s="137"/>
    </row>
    <row r="2315" spans="16:16" x14ac:dyDescent="0.25">
      <c r="P2315" s="137"/>
    </row>
    <row r="2316" spans="16:16" x14ac:dyDescent="0.25">
      <c r="P2316" s="137"/>
    </row>
    <row r="2317" spans="16:16" x14ac:dyDescent="0.25">
      <c r="P2317" s="137"/>
    </row>
    <row r="2318" spans="16:16" x14ac:dyDescent="0.25">
      <c r="P2318" s="137"/>
    </row>
    <row r="2319" spans="16:16" x14ac:dyDescent="0.25">
      <c r="P2319" s="137"/>
    </row>
    <row r="2320" spans="16:16" x14ac:dyDescent="0.25">
      <c r="P2320" s="137"/>
    </row>
    <row r="2321" spans="16:16" x14ac:dyDescent="0.25">
      <c r="P2321" s="137"/>
    </row>
    <row r="2322" spans="16:16" x14ac:dyDescent="0.25">
      <c r="P2322" s="137"/>
    </row>
    <row r="2323" spans="16:16" x14ac:dyDescent="0.25">
      <c r="P2323" s="137"/>
    </row>
    <row r="2324" spans="16:16" x14ac:dyDescent="0.25">
      <c r="P2324" s="137"/>
    </row>
    <row r="2325" spans="16:16" x14ac:dyDescent="0.25">
      <c r="P2325" s="137"/>
    </row>
    <row r="2326" spans="16:16" x14ac:dyDescent="0.25">
      <c r="P2326" s="137"/>
    </row>
    <row r="2327" spans="16:16" x14ac:dyDescent="0.25">
      <c r="P2327" s="137"/>
    </row>
    <row r="2328" spans="16:16" x14ac:dyDescent="0.25">
      <c r="P2328" s="137"/>
    </row>
    <row r="2329" spans="16:16" x14ac:dyDescent="0.25">
      <c r="P2329" s="137"/>
    </row>
    <row r="2330" spans="16:16" x14ac:dyDescent="0.25">
      <c r="P2330" s="137"/>
    </row>
    <row r="2331" spans="16:16" x14ac:dyDescent="0.25">
      <c r="P2331" s="137"/>
    </row>
    <row r="2332" spans="16:16" x14ac:dyDescent="0.25">
      <c r="P2332" s="137"/>
    </row>
    <row r="2333" spans="16:16" x14ac:dyDescent="0.25">
      <c r="P2333" s="137"/>
    </row>
    <row r="2334" spans="16:16" x14ac:dyDescent="0.25">
      <c r="P2334" s="137"/>
    </row>
    <row r="2335" spans="16:16" x14ac:dyDescent="0.25">
      <c r="P2335" s="137"/>
    </row>
    <row r="2336" spans="16:16" x14ac:dyDescent="0.25">
      <c r="P2336" s="137"/>
    </row>
    <row r="2337" spans="16:16" x14ac:dyDescent="0.25">
      <c r="P2337" s="137"/>
    </row>
    <row r="2338" spans="16:16" x14ac:dyDescent="0.25">
      <c r="P2338" s="137"/>
    </row>
    <row r="2339" spans="16:16" x14ac:dyDescent="0.25">
      <c r="P2339" s="137"/>
    </row>
    <row r="2340" spans="16:16" x14ac:dyDescent="0.25">
      <c r="P2340" s="137"/>
    </row>
    <row r="2341" spans="16:16" x14ac:dyDescent="0.25">
      <c r="P2341" s="137"/>
    </row>
    <row r="2342" spans="16:16" x14ac:dyDescent="0.25">
      <c r="P2342" s="137"/>
    </row>
    <row r="2343" spans="16:16" x14ac:dyDescent="0.25">
      <c r="P2343" s="137"/>
    </row>
    <row r="2344" spans="16:16" x14ac:dyDescent="0.25">
      <c r="P2344" s="137"/>
    </row>
    <row r="2345" spans="16:16" x14ac:dyDescent="0.25">
      <c r="P2345" s="137"/>
    </row>
    <row r="2346" spans="16:16" x14ac:dyDescent="0.25">
      <c r="P2346" s="137"/>
    </row>
    <row r="2347" spans="16:16" x14ac:dyDescent="0.25">
      <c r="P2347" s="137"/>
    </row>
    <row r="2348" spans="16:16" x14ac:dyDescent="0.25">
      <c r="P2348" s="137"/>
    </row>
    <row r="2349" spans="16:16" x14ac:dyDescent="0.25">
      <c r="P2349" s="137"/>
    </row>
    <row r="2350" spans="16:16" x14ac:dyDescent="0.25">
      <c r="P2350" s="137"/>
    </row>
    <row r="2351" spans="16:16" x14ac:dyDescent="0.25">
      <c r="P2351" s="137"/>
    </row>
    <row r="2352" spans="16:16" x14ac:dyDescent="0.25">
      <c r="P2352" s="137"/>
    </row>
    <row r="2353" spans="16:16" x14ac:dyDescent="0.25">
      <c r="P2353" s="137"/>
    </row>
    <row r="2354" spans="16:16" x14ac:dyDescent="0.25">
      <c r="P2354" s="137"/>
    </row>
    <row r="2355" spans="16:16" x14ac:dyDescent="0.25">
      <c r="P2355" s="137"/>
    </row>
    <row r="2356" spans="16:16" x14ac:dyDescent="0.25">
      <c r="P2356" s="137"/>
    </row>
    <row r="2357" spans="16:16" x14ac:dyDescent="0.25">
      <c r="P2357" s="137"/>
    </row>
    <row r="2358" spans="16:16" x14ac:dyDescent="0.25">
      <c r="P2358" s="137"/>
    </row>
    <row r="2359" spans="16:16" x14ac:dyDescent="0.25">
      <c r="P2359" s="137"/>
    </row>
    <row r="2360" spans="16:16" x14ac:dyDescent="0.25">
      <c r="P2360" s="137"/>
    </row>
    <row r="2361" spans="16:16" x14ac:dyDescent="0.25">
      <c r="P2361" s="137"/>
    </row>
    <row r="2362" spans="16:16" x14ac:dyDescent="0.25">
      <c r="P2362" s="137"/>
    </row>
    <row r="2363" spans="16:16" x14ac:dyDescent="0.25">
      <c r="P2363" s="137"/>
    </row>
    <row r="2364" spans="16:16" x14ac:dyDescent="0.25">
      <c r="P2364" s="137"/>
    </row>
    <row r="2365" spans="16:16" x14ac:dyDescent="0.25">
      <c r="P2365" s="137"/>
    </row>
    <row r="2366" spans="16:16" x14ac:dyDescent="0.25">
      <c r="P2366" s="137"/>
    </row>
    <row r="2367" spans="16:16" x14ac:dyDescent="0.25">
      <c r="P2367" s="137"/>
    </row>
    <row r="2368" spans="16:16" x14ac:dyDescent="0.25">
      <c r="P2368" s="137"/>
    </row>
    <row r="2369" spans="16:16" x14ac:dyDescent="0.25">
      <c r="P2369" s="137"/>
    </row>
    <row r="2370" spans="16:16" x14ac:dyDescent="0.25">
      <c r="P2370" s="137"/>
    </row>
    <row r="2371" spans="16:16" x14ac:dyDescent="0.25">
      <c r="P2371" s="137"/>
    </row>
    <row r="2372" spans="16:16" x14ac:dyDescent="0.25">
      <c r="P2372" s="137"/>
    </row>
    <row r="2373" spans="16:16" x14ac:dyDescent="0.25">
      <c r="P2373" s="137"/>
    </row>
    <row r="2374" spans="16:16" x14ac:dyDescent="0.25">
      <c r="P2374" s="137"/>
    </row>
    <row r="2375" spans="16:16" x14ac:dyDescent="0.25">
      <c r="P2375" s="137"/>
    </row>
    <row r="2376" spans="16:16" x14ac:dyDescent="0.25">
      <c r="P2376" s="137"/>
    </row>
    <row r="2377" spans="16:16" x14ac:dyDescent="0.25">
      <c r="P2377" s="137"/>
    </row>
    <row r="2378" spans="16:16" x14ac:dyDescent="0.25">
      <c r="P2378" s="137"/>
    </row>
    <row r="2379" spans="16:16" x14ac:dyDescent="0.25">
      <c r="P2379" s="137"/>
    </row>
    <row r="2380" spans="16:16" x14ac:dyDescent="0.25">
      <c r="P2380" s="137"/>
    </row>
    <row r="2381" spans="16:16" x14ac:dyDescent="0.25">
      <c r="P2381" s="137"/>
    </row>
    <row r="2382" spans="16:16" x14ac:dyDescent="0.25">
      <c r="P2382" s="137"/>
    </row>
    <row r="2383" spans="16:16" x14ac:dyDescent="0.25">
      <c r="P2383" s="137"/>
    </row>
    <row r="2384" spans="16:16" x14ac:dyDescent="0.25">
      <c r="P2384" s="137"/>
    </row>
    <row r="2385" spans="16:16" x14ac:dyDescent="0.25">
      <c r="P2385" s="137"/>
    </row>
    <row r="2386" spans="16:16" x14ac:dyDescent="0.25">
      <c r="P2386" s="137"/>
    </row>
    <row r="2387" spans="16:16" x14ac:dyDescent="0.25">
      <c r="P2387" s="137"/>
    </row>
    <row r="2388" spans="16:16" x14ac:dyDescent="0.25">
      <c r="P2388" s="137"/>
    </row>
    <row r="2389" spans="16:16" x14ac:dyDescent="0.25">
      <c r="P2389" s="137"/>
    </row>
    <row r="2390" spans="16:16" x14ac:dyDescent="0.25">
      <c r="P2390" s="137"/>
    </row>
    <row r="2391" spans="16:16" x14ac:dyDescent="0.25">
      <c r="P2391" s="137"/>
    </row>
    <row r="2392" spans="16:16" x14ac:dyDescent="0.25">
      <c r="P2392" s="137"/>
    </row>
    <row r="2393" spans="16:16" x14ac:dyDescent="0.25">
      <c r="P2393" s="137"/>
    </row>
    <row r="2394" spans="16:16" x14ac:dyDescent="0.25">
      <c r="P2394" s="137"/>
    </row>
    <row r="2395" spans="16:16" x14ac:dyDescent="0.25">
      <c r="P2395" s="137"/>
    </row>
    <row r="2396" spans="16:16" x14ac:dyDescent="0.25">
      <c r="P2396" s="137"/>
    </row>
    <row r="2397" spans="16:16" x14ac:dyDescent="0.25">
      <c r="P2397" s="137"/>
    </row>
    <row r="2398" spans="16:16" x14ac:dyDescent="0.25">
      <c r="P2398" s="137"/>
    </row>
    <row r="2399" spans="16:16" x14ac:dyDescent="0.25">
      <c r="P2399" s="137"/>
    </row>
    <row r="2400" spans="16:16" x14ac:dyDescent="0.25">
      <c r="P2400" s="137"/>
    </row>
    <row r="2401" spans="16:16" x14ac:dyDescent="0.25">
      <c r="P2401" s="137"/>
    </row>
    <row r="2402" spans="16:16" x14ac:dyDescent="0.25">
      <c r="P2402" s="137"/>
    </row>
    <row r="2403" spans="16:16" x14ac:dyDescent="0.25">
      <c r="P2403" s="137"/>
    </row>
    <row r="2404" spans="16:16" x14ac:dyDescent="0.25">
      <c r="P2404" s="137"/>
    </row>
    <row r="2405" spans="16:16" x14ac:dyDescent="0.25">
      <c r="P2405" s="137"/>
    </row>
    <row r="2406" spans="16:16" x14ac:dyDescent="0.25">
      <c r="P2406" s="137"/>
    </row>
    <row r="2407" spans="16:16" x14ac:dyDescent="0.25">
      <c r="P2407" s="137"/>
    </row>
    <row r="2408" spans="16:16" x14ac:dyDescent="0.25">
      <c r="P2408" s="137"/>
    </row>
    <row r="2409" spans="16:16" x14ac:dyDescent="0.25">
      <c r="P2409" s="137"/>
    </row>
    <row r="2410" spans="16:16" x14ac:dyDescent="0.25">
      <c r="P2410" s="137"/>
    </row>
    <row r="2411" spans="16:16" x14ac:dyDescent="0.25">
      <c r="P2411" s="137"/>
    </row>
    <row r="2412" spans="16:16" x14ac:dyDescent="0.25">
      <c r="P2412" s="137"/>
    </row>
    <row r="2413" spans="16:16" x14ac:dyDescent="0.25">
      <c r="P2413" s="137"/>
    </row>
    <row r="2414" spans="16:16" x14ac:dyDescent="0.25">
      <c r="P2414" s="137"/>
    </row>
    <row r="2415" spans="16:16" x14ac:dyDescent="0.25">
      <c r="P2415" s="137"/>
    </row>
    <row r="2416" spans="16:16" x14ac:dyDescent="0.25">
      <c r="P2416" s="137"/>
    </row>
    <row r="2417" spans="16:16" x14ac:dyDescent="0.25">
      <c r="P2417" s="137"/>
    </row>
    <row r="2418" spans="16:16" x14ac:dyDescent="0.25">
      <c r="P2418" s="137"/>
    </row>
    <row r="2419" spans="16:16" x14ac:dyDescent="0.25">
      <c r="P2419" s="137"/>
    </row>
    <row r="2420" spans="16:16" x14ac:dyDescent="0.25">
      <c r="P2420" s="137"/>
    </row>
    <row r="2421" spans="16:16" x14ac:dyDescent="0.25">
      <c r="P2421" s="137"/>
    </row>
    <row r="2422" spans="16:16" x14ac:dyDescent="0.25">
      <c r="P2422" s="137"/>
    </row>
    <row r="2423" spans="16:16" x14ac:dyDescent="0.25">
      <c r="P2423" s="137"/>
    </row>
    <row r="2424" spans="16:16" x14ac:dyDescent="0.25">
      <c r="P2424" s="137"/>
    </row>
    <row r="2425" spans="16:16" x14ac:dyDescent="0.25">
      <c r="P2425" s="137"/>
    </row>
    <row r="2426" spans="16:16" x14ac:dyDescent="0.25">
      <c r="P2426" s="137"/>
    </row>
    <row r="2427" spans="16:16" x14ac:dyDescent="0.25">
      <c r="P2427" s="137"/>
    </row>
    <row r="2428" spans="16:16" x14ac:dyDescent="0.25">
      <c r="P2428" s="137"/>
    </row>
    <row r="2429" spans="16:16" x14ac:dyDescent="0.25">
      <c r="P2429" s="137"/>
    </row>
    <row r="2430" spans="16:16" x14ac:dyDescent="0.25">
      <c r="P2430" s="137"/>
    </row>
    <row r="2431" spans="16:16" x14ac:dyDescent="0.25">
      <c r="P2431" s="137"/>
    </row>
    <row r="2432" spans="16:16" x14ac:dyDescent="0.25">
      <c r="P2432" s="137"/>
    </row>
    <row r="2433" spans="16:16" x14ac:dyDescent="0.25">
      <c r="P2433" s="137"/>
    </row>
    <row r="2434" spans="16:16" x14ac:dyDescent="0.25">
      <c r="P2434" s="137"/>
    </row>
    <row r="2435" spans="16:16" x14ac:dyDescent="0.25">
      <c r="P2435" s="137"/>
    </row>
    <row r="2436" spans="16:16" x14ac:dyDescent="0.25">
      <c r="P2436" s="137"/>
    </row>
    <row r="2437" spans="16:16" x14ac:dyDescent="0.25">
      <c r="P2437" s="137"/>
    </row>
    <row r="2438" spans="16:16" x14ac:dyDescent="0.25">
      <c r="P2438" s="137"/>
    </row>
    <row r="2439" spans="16:16" x14ac:dyDescent="0.25">
      <c r="P2439" s="137"/>
    </row>
    <row r="2440" spans="16:16" x14ac:dyDescent="0.25">
      <c r="P2440" s="137"/>
    </row>
    <row r="2441" spans="16:16" x14ac:dyDescent="0.25">
      <c r="P2441" s="137"/>
    </row>
    <row r="2442" spans="16:16" x14ac:dyDescent="0.25">
      <c r="P2442" s="137"/>
    </row>
    <row r="2443" spans="16:16" x14ac:dyDescent="0.25">
      <c r="P2443" s="137"/>
    </row>
    <row r="2444" spans="16:16" x14ac:dyDescent="0.25">
      <c r="P2444" s="137"/>
    </row>
    <row r="2445" spans="16:16" x14ac:dyDescent="0.25">
      <c r="P2445" s="137"/>
    </row>
    <row r="2446" spans="16:16" x14ac:dyDescent="0.25">
      <c r="P2446" s="137"/>
    </row>
    <row r="2447" spans="16:16" x14ac:dyDescent="0.25">
      <c r="P2447" s="137"/>
    </row>
    <row r="2448" spans="16:16" x14ac:dyDescent="0.25">
      <c r="P2448" s="137"/>
    </row>
    <row r="2449" spans="16:16" x14ac:dyDescent="0.25">
      <c r="P2449" s="137"/>
    </row>
    <row r="2450" spans="16:16" x14ac:dyDescent="0.25">
      <c r="P2450" s="137"/>
    </row>
    <row r="2451" spans="16:16" x14ac:dyDescent="0.25">
      <c r="P2451" s="137"/>
    </row>
    <row r="2452" spans="16:16" x14ac:dyDescent="0.25">
      <c r="P2452" s="137"/>
    </row>
    <row r="2453" spans="16:16" x14ac:dyDescent="0.25">
      <c r="P2453" s="137"/>
    </row>
    <row r="2454" spans="16:16" x14ac:dyDescent="0.25">
      <c r="P2454" s="137"/>
    </row>
    <row r="2455" spans="16:16" x14ac:dyDescent="0.25">
      <c r="P2455" s="137"/>
    </row>
    <row r="2456" spans="16:16" x14ac:dyDescent="0.25">
      <c r="P2456" s="137"/>
    </row>
    <row r="2457" spans="16:16" x14ac:dyDescent="0.25">
      <c r="P2457" s="137"/>
    </row>
    <row r="2458" spans="16:16" x14ac:dyDescent="0.25">
      <c r="P2458" s="137"/>
    </row>
    <row r="2459" spans="16:16" x14ac:dyDescent="0.25">
      <c r="P2459" s="137"/>
    </row>
    <row r="2460" spans="16:16" x14ac:dyDescent="0.25">
      <c r="P2460" s="137"/>
    </row>
    <row r="2461" spans="16:16" x14ac:dyDescent="0.25">
      <c r="P2461" s="137"/>
    </row>
    <row r="2462" spans="16:16" x14ac:dyDescent="0.25">
      <c r="P2462" s="137"/>
    </row>
    <row r="2463" spans="16:16" x14ac:dyDescent="0.25">
      <c r="P2463" s="137"/>
    </row>
    <row r="2464" spans="16:16" x14ac:dyDescent="0.25">
      <c r="P2464" s="137"/>
    </row>
    <row r="2465" spans="16:16" x14ac:dyDescent="0.25">
      <c r="P2465" s="137"/>
    </row>
    <row r="2466" spans="16:16" x14ac:dyDescent="0.25">
      <c r="P2466" s="137"/>
    </row>
    <row r="2467" spans="16:16" x14ac:dyDescent="0.25">
      <c r="P2467" s="137"/>
    </row>
    <row r="2468" spans="16:16" x14ac:dyDescent="0.25">
      <c r="P2468" s="137"/>
    </row>
    <row r="2469" spans="16:16" x14ac:dyDescent="0.25">
      <c r="P2469" s="137"/>
    </row>
    <row r="2470" spans="16:16" x14ac:dyDescent="0.25">
      <c r="P2470" s="137"/>
    </row>
    <row r="2471" spans="16:16" x14ac:dyDescent="0.25">
      <c r="P2471" s="137"/>
    </row>
    <row r="2472" spans="16:16" x14ac:dyDescent="0.25">
      <c r="P2472" s="137"/>
    </row>
    <row r="2473" spans="16:16" x14ac:dyDescent="0.25">
      <c r="P2473" s="137"/>
    </row>
    <row r="2474" spans="16:16" x14ac:dyDescent="0.25">
      <c r="P2474" s="137"/>
    </row>
    <row r="2475" spans="16:16" x14ac:dyDescent="0.25">
      <c r="P2475" s="137"/>
    </row>
    <row r="2476" spans="16:16" x14ac:dyDescent="0.25">
      <c r="P2476" s="137"/>
    </row>
    <row r="2477" spans="16:16" x14ac:dyDescent="0.25">
      <c r="P2477" s="137"/>
    </row>
    <row r="2478" spans="16:16" x14ac:dyDescent="0.25">
      <c r="P2478" s="137"/>
    </row>
    <row r="2479" spans="16:16" x14ac:dyDescent="0.25">
      <c r="P2479" s="137"/>
    </row>
    <row r="2480" spans="16:16" x14ac:dyDescent="0.25">
      <c r="P2480" s="137"/>
    </row>
    <row r="2481" spans="16:16" x14ac:dyDescent="0.25">
      <c r="P2481" s="137"/>
    </row>
    <row r="2482" spans="16:16" x14ac:dyDescent="0.25">
      <c r="P2482" s="137"/>
    </row>
    <row r="2483" spans="16:16" x14ac:dyDescent="0.25">
      <c r="P2483" s="137"/>
    </row>
    <row r="2484" spans="16:16" x14ac:dyDescent="0.25">
      <c r="P2484" s="137"/>
    </row>
    <row r="2485" spans="16:16" x14ac:dyDescent="0.25">
      <c r="P2485" s="137"/>
    </row>
    <row r="2486" spans="16:16" x14ac:dyDescent="0.25">
      <c r="P2486" s="137"/>
    </row>
    <row r="2487" spans="16:16" x14ac:dyDescent="0.25">
      <c r="P2487" s="137"/>
    </row>
    <row r="2488" spans="16:16" x14ac:dyDescent="0.25">
      <c r="P2488" s="137"/>
    </row>
    <row r="2489" spans="16:16" x14ac:dyDescent="0.25">
      <c r="P2489" s="137"/>
    </row>
    <row r="2490" spans="16:16" x14ac:dyDescent="0.25">
      <c r="P2490" s="137"/>
    </row>
    <row r="2491" spans="16:16" x14ac:dyDescent="0.25">
      <c r="P2491" s="137"/>
    </row>
    <row r="2492" spans="16:16" x14ac:dyDescent="0.25">
      <c r="P2492" s="137"/>
    </row>
    <row r="2493" spans="16:16" x14ac:dyDescent="0.25">
      <c r="P2493" s="137"/>
    </row>
    <row r="2494" spans="16:16" x14ac:dyDescent="0.25">
      <c r="P2494" s="137"/>
    </row>
    <row r="2495" spans="16:16" x14ac:dyDescent="0.25">
      <c r="P2495" s="137"/>
    </row>
    <row r="2496" spans="16:16" x14ac:dyDescent="0.25">
      <c r="P2496" s="137"/>
    </row>
    <row r="2497" spans="16:16" x14ac:dyDescent="0.25">
      <c r="P2497" s="137"/>
    </row>
    <row r="2498" spans="16:16" x14ac:dyDescent="0.25">
      <c r="P2498" s="137"/>
    </row>
    <row r="2499" spans="16:16" x14ac:dyDescent="0.25">
      <c r="P2499" s="137"/>
    </row>
    <row r="2500" spans="16:16" x14ac:dyDescent="0.25">
      <c r="P2500" s="137"/>
    </row>
    <row r="2501" spans="16:16" x14ac:dyDescent="0.25">
      <c r="P2501" s="137"/>
    </row>
    <row r="2502" spans="16:16" x14ac:dyDescent="0.25">
      <c r="P2502" s="137"/>
    </row>
    <row r="2503" spans="16:16" x14ac:dyDescent="0.25">
      <c r="P2503" s="137"/>
    </row>
    <row r="2504" spans="16:16" x14ac:dyDescent="0.25">
      <c r="P2504" s="137"/>
    </row>
    <row r="2505" spans="16:16" x14ac:dyDescent="0.25">
      <c r="P2505" s="137"/>
    </row>
    <row r="2506" spans="16:16" x14ac:dyDescent="0.25">
      <c r="P2506" s="137"/>
    </row>
    <row r="2507" spans="16:16" x14ac:dyDescent="0.25">
      <c r="P2507" s="137"/>
    </row>
    <row r="2508" spans="16:16" x14ac:dyDescent="0.25">
      <c r="P2508" s="137"/>
    </row>
    <row r="2509" spans="16:16" x14ac:dyDescent="0.25">
      <c r="P2509" s="137"/>
    </row>
    <row r="2510" spans="16:16" x14ac:dyDescent="0.25">
      <c r="P2510" s="137"/>
    </row>
    <row r="2511" spans="16:16" x14ac:dyDescent="0.25">
      <c r="P2511" s="137"/>
    </row>
    <row r="2512" spans="16:16" x14ac:dyDescent="0.25">
      <c r="P2512" s="137"/>
    </row>
    <row r="2513" spans="16:16" x14ac:dyDescent="0.25">
      <c r="P2513" s="137"/>
    </row>
    <row r="2514" spans="16:16" x14ac:dyDescent="0.25">
      <c r="P2514" s="137"/>
    </row>
    <row r="2515" spans="16:16" x14ac:dyDescent="0.25">
      <c r="P2515" s="137"/>
    </row>
    <row r="2516" spans="16:16" x14ac:dyDescent="0.25">
      <c r="P2516" s="137"/>
    </row>
    <row r="2517" spans="16:16" x14ac:dyDescent="0.25">
      <c r="P2517" s="137"/>
    </row>
    <row r="2518" spans="16:16" x14ac:dyDescent="0.25">
      <c r="P2518" s="137"/>
    </row>
    <row r="2519" spans="16:16" x14ac:dyDescent="0.25">
      <c r="P2519" s="137"/>
    </row>
    <row r="2520" spans="16:16" x14ac:dyDescent="0.25">
      <c r="P2520" s="137"/>
    </row>
    <row r="2521" spans="16:16" x14ac:dyDescent="0.25">
      <c r="P2521" s="137"/>
    </row>
    <row r="2522" spans="16:16" x14ac:dyDescent="0.25">
      <c r="P2522" s="137"/>
    </row>
    <row r="2523" spans="16:16" x14ac:dyDescent="0.25">
      <c r="P2523" s="137"/>
    </row>
    <row r="2524" spans="16:16" x14ac:dyDescent="0.25">
      <c r="P2524" s="137"/>
    </row>
    <row r="2525" spans="16:16" x14ac:dyDescent="0.25">
      <c r="P2525" s="137"/>
    </row>
    <row r="2526" spans="16:16" x14ac:dyDescent="0.25">
      <c r="P2526" s="137"/>
    </row>
    <row r="2527" spans="16:16" x14ac:dyDescent="0.25">
      <c r="P2527" s="137"/>
    </row>
    <row r="2528" spans="16:16" x14ac:dyDescent="0.25">
      <c r="P2528" s="137"/>
    </row>
    <row r="2529" spans="16:16" x14ac:dyDescent="0.25">
      <c r="P2529" s="137"/>
    </row>
    <row r="2530" spans="16:16" x14ac:dyDescent="0.25">
      <c r="P2530" s="137"/>
    </row>
    <row r="2531" spans="16:16" x14ac:dyDescent="0.25">
      <c r="P2531" s="137"/>
    </row>
    <row r="2532" spans="16:16" x14ac:dyDescent="0.25">
      <c r="P2532" s="137"/>
    </row>
    <row r="2533" spans="16:16" x14ac:dyDescent="0.25">
      <c r="P2533" s="137"/>
    </row>
    <row r="2534" spans="16:16" x14ac:dyDescent="0.25">
      <c r="P2534" s="137"/>
    </row>
    <row r="2535" spans="16:16" x14ac:dyDescent="0.25">
      <c r="P2535" s="137"/>
    </row>
    <row r="2536" spans="16:16" x14ac:dyDescent="0.25">
      <c r="P2536" s="137"/>
    </row>
    <row r="2537" spans="16:16" x14ac:dyDescent="0.25">
      <c r="P2537" s="137"/>
    </row>
    <row r="2538" spans="16:16" x14ac:dyDescent="0.25">
      <c r="P2538" s="137"/>
    </row>
    <row r="2539" spans="16:16" x14ac:dyDescent="0.25">
      <c r="P2539" s="137"/>
    </row>
    <row r="2540" spans="16:16" x14ac:dyDescent="0.25">
      <c r="P2540" s="137"/>
    </row>
    <row r="2541" spans="16:16" x14ac:dyDescent="0.25">
      <c r="P2541" s="137"/>
    </row>
    <row r="2542" spans="16:16" x14ac:dyDescent="0.25">
      <c r="P2542" s="137"/>
    </row>
    <row r="2543" spans="16:16" x14ac:dyDescent="0.25">
      <c r="P2543" s="137"/>
    </row>
    <row r="2544" spans="16:16" x14ac:dyDescent="0.25">
      <c r="P2544" s="137"/>
    </row>
    <row r="2545" spans="16:16" x14ac:dyDescent="0.25">
      <c r="P2545" s="137"/>
    </row>
    <row r="2546" spans="16:16" x14ac:dyDescent="0.25">
      <c r="P2546" s="137"/>
    </row>
    <row r="2547" spans="16:16" x14ac:dyDescent="0.25">
      <c r="P2547" s="137"/>
    </row>
    <row r="2548" spans="16:16" x14ac:dyDescent="0.25">
      <c r="P2548" s="137"/>
    </row>
    <row r="2549" spans="16:16" x14ac:dyDescent="0.25">
      <c r="P2549" s="137"/>
    </row>
    <row r="2550" spans="16:16" x14ac:dyDescent="0.25">
      <c r="P2550" s="137"/>
    </row>
    <row r="2551" spans="16:16" x14ac:dyDescent="0.25">
      <c r="P2551" s="137"/>
    </row>
    <row r="2552" spans="16:16" x14ac:dyDescent="0.25">
      <c r="P2552" s="137"/>
    </row>
    <row r="2553" spans="16:16" x14ac:dyDescent="0.25">
      <c r="P2553" s="137"/>
    </row>
    <row r="2554" spans="16:16" x14ac:dyDescent="0.25">
      <c r="P2554" s="137"/>
    </row>
    <row r="2555" spans="16:16" x14ac:dyDescent="0.25">
      <c r="P2555" s="137"/>
    </row>
    <row r="2556" spans="16:16" x14ac:dyDescent="0.25">
      <c r="P2556" s="137"/>
    </row>
    <row r="2557" spans="16:16" x14ac:dyDescent="0.25">
      <c r="P2557" s="137"/>
    </row>
    <row r="2558" spans="16:16" x14ac:dyDescent="0.25">
      <c r="P2558" s="137"/>
    </row>
    <row r="2559" spans="16:16" x14ac:dyDescent="0.25">
      <c r="P2559" s="137"/>
    </row>
    <row r="2560" spans="16:16" x14ac:dyDescent="0.25">
      <c r="P2560" s="137"/>
    </row>
    <row r="2561" spans="16:16" x14ac:dyDescent="0.25">
      <c r="P2561" s="137"/>
    </row>
    <row r="2562" spans="16:16" x14ac:dyDescent="0.25">
      <c r="P2562" s="137"/>
    </row>
    <row r="2563" spans="16:16" x14ac:dyDescent="0.25">
      <c r="P2563" s="137"/>
    </row>
    <row r="2564" spans="16:16" x14ac:dyDescent="0.25">
      <c r="P2564" s="137"/>
    </row>
    <row r="2565" spans="16:16" x14ac:dyDescent="0.25">
      <c r="P2565" s="137"/>
    </row>
    <row r="2566" spans="16:16" x14ac:dyDescent="0.25">
      <c r="P2566" s="137"/>
    </row>
    <row r="2567" spans="16:16" x14ac:dyDescent="0.25">
      <c r="P2567" s="137"/>
    </row>
    <row r="2568" spans="16:16" x14ac:dyDescent="0.25">
      <c r="P2568" s="137"/>
    </row>
    <row r="2569" spans="16:16" x14ac:dyDescent="0.25">
      <c r="P2569" s="137"/>
    </row>
    <row r="2570" spans="16:16" x14ac:dyDescent="0.25">
      <c r="P2570" s="137"/>
    </row>
    <row r="2571" spans="16:16" x14ac:dyDescent="0.25">
      <c r="P2571" s="137"/>
    </row>
    <row r="2572" spans="16:16" x14ac:dyDescent="0.25">
      <c r="P2572" s="137"/>
    </row>
    <row r="2573" spans="16:16" x14ac:dyDescent="0.25">
      <c r="P2573" s="137"/>
    </row>
    <row r="2574" spans="16:16" x14ac:dyDescent="0.25">
      <c r="P2574" s="137"/>
    </row>
    <row r="2575" spans="16:16" x14ac:dyDescent="0.25">
      <c r="P2575" s="137"/>
    </row>
    <row r="2576" spans="16:16" x14ac:dyDescent="0.25">
      <c r="P2576" s="137"/>
    </row>
    <row r="2577" spans="16:16" x14ac:dyDescent="0.25">
      <c r="P2577" s="137"/>
    </row>
    <row r="2578" spans="16:16" x14ac:dyDescent="0.25">
      <c r="P2578" s="137"/>
    </row>
    <row r="2579" spans="16:16" x14ac:dyDescent="0.25">
      <c r="P2579" s="137"/>
    </row>
    <row r="2580" spans="16:16" x14ac:dyDescent="0.25">
      <c r="P2580" s="137"/>
    </row>
    <row r="2581" spans="16:16" x14ac:dyDescent="0.25">
      <c r="P2581" s="137"/>
    </row>
    <row r="2582" spans="16:16" x14ac:dyDescent="0.25">
      <c r="P2582" s="137"/>
    </row>
    <row r="2583" spans="16:16" x14ac:dyDescent="0.25">
      <c r="P2583" s="137"/>
    </row>
    <row r="2584" spans="16:16" x14ac:dyDescent="0.25">
      <c r="P2584" s="137"/>
    </row>
    <row r="2585" spans="16:16" x14ac:dyDescent="0.25">
      <c r="P2585" s="137"/>
    </row>
    <row r="2586" spans="16:16" x14ac:dyDescent="0.25">
      <c r="P2586" s="137"/>
    </row>
    <row r="2587" spans="16:16" x14ac:dyDescent="0.25">
      <c r="P2587" s="137"/>
    </row>
    <row r="2588" spans="16:16" x14ac:dyDescent="0.25">
      <c r="P2588" s="137"/>
    </row>
    <row r="2589" spans="16:16" x14ac:dyDescent="0.25">
      <c r="P2589" s="137"/>
    </row>
    <row r="2590" spans="16:16" x14ac:dyDescent="0.25">
      <c r="P2590" s="137"/>
    </row>
    <row r="2591" spans="16:16" x14ac:dyDescent="0.25">
      <c r="P2591" s="137"/>
    </row>
    <row r="2592" spans="16:16" x14ac:dyDescent="0.25">
      <c r="P2592" s="137"/>
    </row>
    <row r="2593" spans="16:16" x14ac:dyDescent="0.25">
      <c r="P2593" s="137"/>
    </row>
    <row r="2594" spans="16:16" x14ac:dyDescent="0.25">
      <c r="P2594" s="137"/>
    </row>
    <row r="2595" spans="16:16" x14ac:dyDescent="0.25">
      <c r="P2595" s="137"/>
    </row>
    <row r="2596" spans="16:16" x14ac:dyDescent="0.25">
      <c r="P2596" s="137"/>
    </row>
    <row r="2597" spans="16:16" x14ac:dyDescent="0.25">
      <c r="P2597" s="137"/>
    </row>
    <row r="2598" spans="16:16" x14ac:dyDescent="0.25">
      <c r="P2598" s="137"/>
    </row>
    <row r="2599" spans="16:16" x14ac:dyDescent="0.25">
      <c r="P2599" s="137"/>
    </row>
    <row r="2600" spans="16:16" x14ac:dyDescent="0.25">
      <c r="P2600" s="137"/>
    </row>
    <row r="2601" spans="16:16" x14ac:dyDescent="0.25">
      <c r="P2601" s="137"/>
    </row>
    <row r="2602" spans="16:16" x14ac:dyDescent="0.25">
      <c r="P2602" s="137"/>
    </row>
    <row r="2603" spans="16:16" x14ac:dyDescent="0.25">
      <c r="P2603" s="137"/>
    </row>
    <row r="2604" spans="16:16" x14ac:dyDescent="0.25">
      <c r="P2604" s="137"/>
    </row>
    <row r="2605" spans="16:16" x14ac:dyDescent="0.25">
      <c r="P2605" s="137"/>
    </row>
    <row r="2606" spans="16:16" x14ac:dyDescent="0.25">
      <c r="P2606" s="137"/>
    </row>
    <row r="2607" spans="16:16" x14ac:dyDescent="0.25">
      <c r="P2607" s="137"/>
    </row>
    <row r="2608" spans="16:16" x14ac:dyDescent="0.25">
      <c r="P2608" s="137"/>
    </row>
    <row r="2609" spans="16:16" x14ac:dyDescent="0.25">
      <c r="P2609" s="137"/>
    </row>
    <row r="2610" spans="16:16" x14ac:dyDescent="0.25">
      <c r="P2610" s="137"/>
    </row>
    <row r="2611" spans="16:16" x14ac:dyDescent="0.25">
      <c r="P2611" s="137"/>
    </row>
    <row r="2612" spans="16:16" x14ac:dyDescent="0.25">
      <c r="P2612" s="137"/>
    </row>
    <row r="2613" spans="16:16" x14ac:dyDescent="0.25">
      <c r="P2613" s="137"/>
    </row>
    <row r="2614" spans="16:16" x14ac:dyDescent="0.25">
      <c r="P2614" s="137"/>
    </row>
    <row r="2615" spans="16:16" x14ac:dyDescent="0.25">
      <c r="P2615" s="137"/>
    </row>
    <row r="2616" spans="16:16" x14ac:dyDescent="0.25">
      <c r="P2616" s="137"/>
    </row>
    <row r="2617" spans="16:16" x14ac:dyDescent="0.25">
      <c r="P2617" s="137"/>
    </row>
    <row r="2618" spans="16:16" x14ac:dyDescent="0.25">
      <c r="P2618" s="137"/>
    </row>
    <row r="2619" spans="16:16" x14ac:dyDescent="0.25">
      <c r="P2619" s="137"/>
    </row>
    <row r="2620" spans="16:16" x14ac:dyDescent="0.25">
      <c r="P2620" s="137"/>
    </row>
    <row r="2621" spans="16:16" x14ac:dyDescent="0.25">
      <c r="P2621" s="137"/>
    </row>
    <row r="2622" spans="16:16" x14ac:dyDescent="0.25">
      <c r="P2622" s="137"/>
    </row>
    <row r="2623" spans="16:16" x14ac:dyDescent="0.25">
      <c r="P2623" s="137"/>
    </row>
    <row r="2624" spans="16:16" x14ac:dyDescent="0.25">
      <c r="P2624" s="137"/>
    </row>
    <row r="2625" spans="16:16" x14ac:dyDescent="0.25">
      <c r="P2625" s="137"/>
    </row>
    <row r="2626" spans="16:16" x14ac:dyDescent="0.25">
      <c r="P2626" s="137"/>
    </row>
    <row r="2627" spans="16:16" x14ac:dyDescent="0.25">
      <c r="P2627" s="137"/>
    </row>
    <row r="2628" spans="16:16" x14ac:dyDescent="0.25">
      <c r="P2628" s="137"/>
    </row>
    <row r="2629" spans="16:16" x14ac:dyDescent="0.25">
      <c r="P2629" s="137"/>
    </row>
    <row r="2630" spans="16:16" x14ac:dyDescent="0.25">
      <c r="P2630" s="137"/>
    </row>
    <row r="2631" spans="16:16" x14ac:dyDescent="0.25">
      <c r="P2631" s="137"/>
    </row>
    <row r="2632" spans="16:16" x14ac:dyDescent="0.25">
      <c r="P2632" s="137"/>
    </row>
    <row r="2633" spans="16:16" x14ac:dyDescent="0.25">
      <c r="P2633" s="137"/>
    </row>
    <row r="2634" spans="16:16" x14ac:dyDescent="0.25">
      <c r="P2634" s="137"/>
    </row>
    <row r="2635" spans="16:16" x14ac:dyDescent="0.25">
      <c r="P2635" s="137"/>
    </row>
    <row r="2636" spans="16:16" x14ac:dyDescent="0.25">
      <c r="P2636" s="137"/>
    </row>
    <row r="2637" spans="16:16" x14ac:dyDescent="0.25">
      <c r="P2637" s="137"/>
    </row>
    <row r="2638" spans="16:16" x14ac:dyDescent="0.25">
      <c r="P2638" s="137"/>
    </row>
    <row r="2639" spans="16:16" x14ac:dyDescent="0.25">
      <c r="P2639" s="137"/>
    </row>
    <row r="2640" spans="16:16" x14ac:dyDescent="0.25">
      <c r="P2640" s="137"/>
    </row>
    <row r="2641" spans="16:16" x14ac:dyDescent="0.25">
      <c r="P2641" s="137"/>
    </row>
    <row r="2642" spans="16:16" x14ac:dyDescent="0.25">
      <c r="P2642" s="137"/>
    </row>
    <row r="2643" spans="16:16" x14ac:dyDescent="0.25">
      <c r="P2643" s="137"/>
    </row>
    <row r="2644" spans="16:16" x14ac:dyDescent="0.25">
      <c r="P2644" s="137"/>
    </row>
    <row r="2645" spans="16:16" x14ac:dyDescent="0.25">
      <c r="P2645" s="137"/>
    </row>
    <row r="2646" spans="16:16" x14ac:dyDescent="0.25">
      <c r="P2646" s="137"/>
    </row>
    <row r="2647" spans="16:16" x14ac:dyDescent="0.25">
      <c r="P2647" s="137"/>
    </row>
    <row r="2648" spans="16:16" x14ac:dyDescent="0.25">
      <c r="P2648" s="137"/>
    </row>
    <row r="2649" spans="16:16" x14ac:dyDescent="0.25">
      <c r="P2649" s="137"/>
    </row>
    <row r="2650" spans="16:16" x14ac:dyDescent="0.25">
      <c r="P2650" s="137"/>
    </row>
    <row r="2651" spans="16:16" x14ac:dyDescent="0.25">
      <c r="P2651" s="137"/>
    </row>
    <row r="2652" spans="16:16" x14ac:dyDescent="0.25">
      <c r="P2652" s="137"/>
    </row>
    <row r="2653" spans="16:16" x14ac:dyDescent="0.25">
      <c r="P2653" s="137"/>
    </row>
    <row r="2654" spans="16:16" x14ac:dyDescent="0.25">
      <c r="P2654" s="137"/>
    </row>
    <row r="2655" spans="16:16" x14ac:dyDescent="0.25">
      <c r="P2655" s="137"/>
    </row>
    <row r="2656" spans="16:16" x14ac:dyDescent="0.25">
      <c r="P2656" s="137"/>
    </row>
    <row r="2657" spans="16:16" x14ac:dyDescent="0.25">
      <c r="P2657" s="137"/>
    </row>
    <row r="2658" spans="16:16" x14ac:dyDescent="0.25">
      <c r="P2658" s="137"/>
    </row>
    <row r="2659" spans="16:16" x14ac:dyDescent="0.25">
      <c r="P2659" s="137"/>
    </row>
    <row r="2660" spans="16:16" x14ac:dyDescent="0.25">
      <c r="P2660" s="137"/>
    </row>
    <row r="2661" spans="16:16" x14ac:dyDescent="0.25">
      <c r="P2661" s="137"/>
    </row>
    <row r="2662" spans="16:16" x14ac:dyDescent="0.25">
      <c r="P2662" s="137"/>
    </row>
    <row r="2663" spans="16:16" x14ac:dyDescent="0.25">
      <c r="P2663" s="137"/>
    </row>
    <row r="2664" spans="16:16" x14ac:dyDescent="0.25">
      <c r="P2664" s="137"/>
    </row>
    <row r="2665" spans="16:16" x14ac:dyDescent="0.25">
      <c r="P2665" s="137"/>
    </row>
    <row r="2666" spans="16:16" x14ac:dyDescent="0.25">
      <c r="P2666" s="137"/>
    </row>
    <row r="2667" spans="16:16" x14ac:dyDescent="0.25">
      <c r="P2667" s="137"/>
    </row>
    <row r="2668" spans="16:16" x14ac:dyDescent="0.25">
      <c r="P2668" s="137"/>
    </row>
    <row r="2669" spans="16:16" x14ac:dyDescent="0.25">
      <c r="P2669" s="137"/>
    </row>
    <row r="2670" spans="16:16" x14ac:dyDescent="0.25">
      <c r="P2670" s="137"/>
    </row>
    <row r="2671" spans="16:16" x14ac:dyDescent="0.25">
      <c r="P2671" s="137"/>
    </row>
    <row r="2672" spans="16:16" x14ac:dyDescent="0.25">
      <c r="P2672" s="137"/>
    </row>
    <row r="2673" spans="16:16" x14ac:dyDescent="0.25">
      <c r="P2673" s="137"/>
    </row>
    <row r="2674" spans="16:16" x14ac:dyDescent="0.25">
      <c r="P2674" s="137"/>
    </row>
    <row r="2675" spans="16:16" x14ac:dyDescent="0.25">
      <c r="P2675" s="137"/>
    </row>
    <row r="2676" spans="16:16" x14ac:dyDescent="0.25">
      <c r="P2676" s="137"/>
    </row>
    <row r="2677" spans="16:16" x14ac:dyDescent="0.25">
      <c r="P2677" s="137"/>
    </row>
    <row r="2678" spans="16:16" x14ac:dyDescent="0.25">
      <c r="P2678" s="137"/>
    </row>
    <row r="2679" spans="16:16" x14ac:dyDescent="0.25">
      <c r="P2679" s="137"/>
    </row>
    <row r="2680" spans="16:16" x14ac:dyDescent="0.25">
      <c r="P2680" s="137"/>
    </row>
    <row r="2681" spans="16:16" x14ac:dyDescent="0.25">
      <c r="P2681" s="137"/>
    </row>
    <row r="2682" spans="16:16" x14ac:dyDescent="0.25">
      <c r="P2682" s="137"/>
    </row>
    <row r="2683" spans="16:16" x14ac:dyDescent="0.25">
      <c r="P2683" s="137"/>
    </row>
    <row r="2684" spans="16:16" x14ac:dyDescent="0.25">
      <c r="P2684" s="137"/>
    </row>
    <row r="2685" spans="16:16" x14ac:dyDescent="0.25">
      <c r="P2685" s="137"/>
    </row>
    <row r="2686" spans="16:16" x14ac:dyDescent="0.25">
      <c r="P2686" s="137"/>
    </row>
    <row r="2687" spans="16:16" x14ac:dyDescent="0.25">
      <c r="P2687" s="137"/>
    </row>
    <row r="2688" spans="16:16" x14ac:dyDescent="0.25">
      <c r="P2688" s="137"/>
    </row>
    <row r="2689" spans="16:16" x14ac:dyDescent="0.25">
      <c r="P2689" s="137"/>
    </row>
    <row r="2690" spans="16:16" x14ac:dyDescent="0.25">
      <c r="P2690" s="137"/>
    </row>
    <row r="2691" spans="16:16" x14ac:dyDescent="0.25">
      <c r="P2691" s="137"/>
    </row>
    <row r="2692" spans="16:16" x14ac:dyDescent="0.25">
      <c r="P2692" s="137"/>
    </row>
    <row r="2693" spans="16:16" x14ac:dyDescent="0.25">
      <c r="P2693" s="137"/>
    </row>
    <row r="2694" spans="16:16" x14ac:dyDescent="0.25">
      <c r="P2694" s="137"/>
    </row>
    <row r="2695" spans="16:16" x14ac:dyDescent="0.25">
      <c r="P2695" s="137"/>
    </row>
    <row r="2696" spans="16:16" x14ac:dyDescent="0.25">
      <c r="P2696" s="137"/>
    </row>
    <row r="2697" spans="16:16" x14ac:dyDescent="0.25">
      <c r="P2697" s="137"/>
    </row>
    <row r="2698" spans="16:16" x14ac:dyDescent="0.25">
      <c r="P2698" s="137"/>
    </row>
    <row r="2699" spans="16:16" x14ac:dyDescent="0.25">
      <c r="P2699" s="137"/>
    </row>
    <row r="2700" spans="16:16" x14ac:dyDescent="0.25">
      <c r="P2700" s="137"/>
    </row>
    <row r="2701" spans="16:16" x14ac:dyDescent="0.25">
      <c r="P2701" s="137"/>
    </row>
    <row r="2702" spans="16:16" x14ac:dyDescent="0.25">
      <c r="P2702" s="137"/>
    </row>
    <row r="2703" spans="16:16" x14ac:dyDescent="0.25">
      <c r="P2703" s="137"/>
    </row>
    <row r="2704" spans="16:16" x14ac:dyDescent="0.25">
      <c r="P2704" s="137"/>
    </row>
    <row r="2705" spans="16:16" x14ac:dyDescent="0.25">
      <c r="P2705" s="137"/>
    </row>
    <row r="2706" spans="16:16" x14ac:dyDescent="0.25">
      <c r="P2706" s="137"/>
    </row>
    <row r="2707" spans="16:16" x14ac:dyDescent="0.25">
      <c r="P2707" s="137"/>
    </row>
    <row r="2708" spans="16:16" x14ac:dyDescent="0.25">
      <c r="P2708" s="137"/>
    </row>
    <row r="2709" spans="16:16" x14ac:dyDescent="0.25">
      <c r="P2709" s="137"/>
    </row>
    <row r="2710" spans="16:16" x14ac:dyDescent="0.25">
      <c r="P2710" s="137"/>
    </row>
    <row r="2711" spans="16:16" x14ac:dyDescent="0.25">
      <c r="P2711" s="137"/>
    </row>
    <row r="2712" spans="16:16" x14ac:dyDescent="0.25">
      <c r="P2712" s="137"/>
    </row>
    <row r="2713" spans="16:16" x14ac:dyDescent="0.25">
      <c r="P2713" s="137"/>
    </row>
    <row r="2714" spans="16:16" x14ac:dyDescent="0.25">
      <c r="P2714" s="137"/>
    </row>
    <row r="2715" spans="16:16" x14ac:dyDescent="0.25">
      <c r="P2715" s="137"/>
    </row>
    <row r="2716" spans="16:16" x14ac:dyDescent="0.25">
      <c r="P2716" s="137"/>
    </row>
    <row r="2717" spans="16:16" x14ac:dyDescent="0.25">
      <c r="P2717" s="137"/>
    </row>
    <row r="2718" spans="16:16" x14ac:dyDescent="0.25">
      <c r="P2718" s="137"/>
    </row>
    <row r="2719" spans="16:16" x14ac:dyDescent="0.25">
      <c r="P2719" s="137"/>
    </row>
    <row r="2720" spans="16:16" x14ac:dyDescent="0.25">
      <c r="P2720" s="137"/>
    </row>
    <row r="2721" spans="16:16" x14ac:dyDescent="0.25">
      <c r="P2721" s="137"/>
    </row>
    <row r="2722" spans="16:16" x14ac:dyDescent="0.25">
      <c r="P2722" s="137"/>
    </row>
    <row r="2723" spans="16:16" x14ac:dyDescent="0.25">
      <c r="P2723" s="137"/>
    </row>
    <row r="2724" spans="16:16" x14ac:dyDescent="0.25">
      <c r="P2724" s="137"/>
    </row>
    <row r="2725" spans="16:16" x14ac:dyDescent="0.25">
      <c r="P2725" s="137"/>
    </row>
    <row r="2726" spans="16:16" x14ac:dyDescent="0.25">
      <c r="P2726" s="137"/>
    </row>
    <row r="2727" spans="16:16" x14ac:dyDescent="0.25">
      <c r="P2727" s="137"/>
    </row>
    <row r="2728" spans="16:16" x14ac:dyDescent="0.25">
      <c r="P2728" s="137"/>
    </row>
    <row r="2729" spans="16:16" x14ac:dyDescent="0.25">
      <c r="P2729" s="137"/>
    </row>
    <row r="2730" spans="16:16" x14ac:dyDescent="0.25">
      <c r="P2730" s="137"/>
    </row>
    <row r="2731" spans="16:16" x14ac:dyDescent="0.25">
      <c r="P2731" s="137"/>
    </row>
    <row r="2732" spans="16:16" x14ac:dyDescent="0.25">
      <c r="P2732" s="137"/>
    </row>
    <row r="2733" spans="16:16" x14ac:dyDescent="0.25">
      <c r="P2733" s="137"/>
    </row>
    <row r="2734" spans="16:16" x14ac:dyDescent="0.25">
      <c r="P2734" s="137"/>
    </row>
    <row r="2735" spans="16:16" x14ac:dyDescent="0.25">
      <c r="P2735" s="137"/>
    </row>
    <row r="2736" spans="16:16" x14ac:dyDescent="0.25">
      <c r="P2736" s="137"/>
    </row>
    <row r="2737" spans="16:16" x14ac:dyDescent="0.25">
      <c r="P2737" s="137"/>
    </row>
    <row r="2738" spans="16:16" x14ac:dyDescent="0.25">
      <c r="P2738" s="137"/>
    </row>
    <row r="2739" spans="16:16" x14ac:dyDescent="0.25">
      <c r="P2739" s="137"/>
    </row>
    <row r="2740" spans="16:16" x14ac:dyDescent="0.25">
      <c r="P2740" s="137"/>
    </row>
    <row r="2741" spans="16:16" x14ac:dyDescent="0.25">
      <c r="P2741" s="137"/>
    </row>
    <row r="2742" spans="16:16" x14ac:dyDescent="0.25">
      <c r="P2742" s="137"/>
    </row>
    <row r="2743" spans="16:16" x14ac:dyDescent="0.25">
      <c r="P2743" s="137"/>
    </row>
    <row r="2744" spans="16:16" x14ac:dyDescent="0.25">
      <c r="P2744" s="137"/>
    </row>
    <row r="2745" spans="16:16" x14ac:dyDescent="0.25">
      <c r="P2745" s="137"/>
    </row>
    <row r="2746" spans="16:16" x14ac:dyDescent="0.25">
      <c r="P2746" s="137"/>
    </row>
    <row r="2747" spans="16:16" x14ac:dyDescent="0.25">
      <c r="P2747" s="137"/>
    </row>
    <row r="2748" spans="16:16" x14ac:dyDescent="0.25">
      <c r="P2748" s="137"/>
    </row>
    <row r="2749" spans="16:16" x14ac:dyDescent="0.25">
      <c r="P2749" s="137"/>
    </row>
    <row r="2750" spans="16:16" x14ac:dyDescent="0.25">
      <c r="P2750" s="137"/>
    </row>
    <row r="2751" spans="16:16" x14ac:dyDescent="0.25">
      <c r="P2751" s="137"/>
    </row>
    <row r="2752" spans="16:16" x14ac:dyDescent="0.25">
      <c r="P2752" s="137"/>
    </row>
    <row r="2753" spans="16:16" x14ac:dyDescent="0.25">
      <c r="P2753" s="137"/>
    </row>
    <row r="2754" spans="16:16" x14ac:dyDescent="0.25">
      <c r="P2754" s="137"/>
    </row>
    <row r="2755" spans="16:16" x14ac:dyDescent="0.25">
      <c r="P2755" s="137"/>
    </row>
    <row r="2756" spans="16:16" x14ac:dyDescent="0.25">
      <c r="P2756" s="137"/>
    </row>
    <row r="2757" spans="16:16" x14ac:dyDescent="0.25">
      <c r="P2757" s="137"/>
    </row>
    <row r="2758" spans="16:16" x14ac:dyDescent="0.25">
      <c r="P2758" s="137"/>
    </row>
    <row r="2759" spans="16:16" x14ac:dyDescent="0.25">
      <c r="P2759" s="137"/>
    </row>
    <row r="2760" spans="16:16" x14ac:dyDescent="0.25">
      <c r="P2760" s="137"/>
    </row>
    <row r="2761" spans="16:16" x14ac:dyDescent="0.25">
      <c r="P2761" s="137"/>
    </row>
    <row r="2762" spans="16:16" x14ac:dyDescent="0.25">
      <c r="P2762" s="137"/>
    </row>
    <row r="2763" spans="16:16" x14ac:dyDescent="0.25">
      <c r="P2763" s="137"/>
    </row>
    <row r="2764" spans="16:16" x14ac:dyDescent="0.25">
      <c r="P2764" s="137"/>
    </row>
    <row r="2765" spans="16:16" x14ac:dyDescent="0.25">
      <c r="P2765" s="137"/>
    </row>
    <row r="2766" spans="16:16" x14ac:dyDescent="0.25">
      <c r="P2766" s="137"/>
    </row>
    <row r="2767" spans="16:16" x14ac:dyDescent="0.25">
      <c r="P2767" s="137"/>
    </row>
    <row r="2768" spans="16:16" x14ac:dyDescent="0.25">
      <c r="P2768" s="137"/>
    </row>
    <row r="2769" spans="16:16" x14ac:dyDescent="0.25">
      <c r="P2769" s="137"/>
    </row>
    <row r="2770" spans="16:16" x14ac:dyDescent="0.25">
      <c r="P2770" s="137"/>
    </row>
    <row r="2771" spans="16:16" x14ac:dyDescent="0.25">
      <c r="P2771" s="137"/>
    </row>
    <row r="2772" spans="16:16" x14ac:dyDescent="0.25">
      <c r="P2772" s="137"/>
    </row>
    <row r="2773" spans="16:16" x14ac:dyDescent="0.25">
      <c r="P2773" s="137"/>
    </row>
    <row r="2774" spans="16:16" x14ac:dyDescent="0.25">
      <c r="P2774" s="137"/>
    </row>
    <row r="2775" spans="16:16" x14ac:dyDescent="0.25">
      <c r="P2775" s="137"/>
    </row>
    <row r="2776" spans="16:16" x14ac:dyDescent="0.25">
      <c r="P2776" s="137"/>
    </row>
    <row r="2777" spans="16:16" x14ac:dyDescent="0.25">
      <c r="P2777" s="137"/>
    </row>
    <row r="2778" spans="16:16" x14ac:dyDescent="0.25">
      <c r="P2778" s="137"/>
    </row>
    <row r="2779" spans="16:16" x14ac:dyDescent="0.25">
      <c r="P2779" s="137"/>
    </row>
    <row r="2780" spans="16:16" x14ac:dyDescent="0.25">
      <c r="P2780" s="137"/>
    </row>
    <row r="2781" spans="16:16" x14ac:dyDescent="0.25">
      <c r="P2781" s="137"/>
    </row>
    <row r="2782" spans="16:16" x14ac:dyDescent="0.25">
      <c r="P2782" s="137"/>
    </row>
    <row r="2783" spans="16:16" x14ac:dyDescent="0.25">
      <c r="P2783" s="137"/>
    </row>
    <row r="2784" spans="16:16" x14ac:dyDescent="0.25">
      <c r="P2784" s="137"/>
    </row>
    <row r="2785" spans="16:16" x14ac:dyDescent="0.25">
      <c r="P2785" s="137"/>
    </row>
    <row r="2786" spans="16:16" x14ac:dyDescent="0.25">
      <c r="P2786" s="137"/>
    </row>
    <row r="2787" spans="16:16" x14ac:dyDescent="0.25">
      <c r="P2787" s="137"/>
    </row>
    <row r="2788" spans="16:16" x14ac:dyDescent="0.25">
      <c r="P2788" s="137"/>
    </row>
    <row r="2789" spans="16:16" x14ac:dyDescent="0.25">
      <c r="P2789" s="137"/>
    </row>
    <row r="2790" spans="16:16" x14ac:dyDescent="0.25">
      <c r="P2790" s="137"/>
    </row>
    <row r="2791" spans="16:16" x14ac:dyDescent="0.25">
      <c r="P2791" s="137"/>
    </row>
    <row r="2792" spans="16:16" x14ac:dyDescent="0.25">
      <c r="P2792" s="137"/>
    </row>
    <row r="2793" spans="16:16" x14ac:dyDescent="0.25">
      <c r="P2793" s="137"/>
    </row>
    <row r="2794" spans="16:16" x14ac:dyDescent="0.25">
      <c r="P2794" s="137"/>
    </row>
    <row r="2795" spans="16:16" x14ac:dyDescent="0.25">
      <c r="P2795" s="137"/>
    </row>
    <row r="2796" spans="16:16" x14ac:dyDescent="0.25">
      <c r="P2796" s="137"/>
    </row>
    <row r="2797" spans="16:16" x14ac:dyDescent="0.25">
      <c r="P2797" s="137"/>
    </row>
    <row r="2798" spans="16:16" x14ac:dyDescent="0.25">
      <c r="P2798" s="137"/>
    </row>
    <row r="2799" spans="16:16" x14ac:dyDescent="0.25">
      <c r="P2799" s="137"/>
    </row>
    <row r="2800" spans="16:16" x14ac:dyDescent="0.25">
      <c r="P2800" s="137"/>
    </row>
    <row r="2801" spans="16:16" x14ac:dyDescent="0.25">
      <c r="P2801" s="137"/>
    </row>
    <row r="2802" spans="16:16" x14ac:dyDescent="0.25">
      <c r="P2802" s="137"/>
    </row>
    <row r="2803" spans="16:16" x14ac:dyDescent="0.25">
      <c r="P2803" s="137"/>
    </row>
    <row r="2804" spans="16:16" x14ac:dyDescent="0.25">
      <c r="P2804" s="137"/>
    </row>
    <row r="2805" spans="16:16" x14ac:dyDescent="0.25">
      <c r="P2805" s="137"/>
    </row>
    <row r="2806" spans="16:16" x14ac:dyDescent="0.25">
      <c r="P2806" s="137"/>
    </row>
    <row r="2807" spans="16:16" x14ac:dyDescent="0.25">
      <c r="P2807" s="137"/>
    </row>
    <row r="2808" spans="16:16" x14ac:dyDescent="0.25">
      <c r="P2808" s="137"/>
    </row>
    <row r="2809" spans="16:16" x14ac:dyDescent="0.25">
      <c r="P2809" s="137"/>
    </row>
    <row r="2810" spans="16:16" x14ac:dyDescent="0.25">
      <c r="P2810" s="137"/>
    </row>
    <row r="2811" spans="16:16" x14ac:dyDescent="0.25">
      <c r="P2811" s="137"/>
    </row>
    <row r="2812" spans="16:16" x14ac:dyDescent="0.25">
      <c r="P2812" s="137"/>
    </row>
    <row r="2813" spans="16:16" x14ac:dyDescent="0.25">
      <c r="P2813" s="137"/>
    </row>
    <row r="2814" spans="16:16" x14ac:dyDescent="0.25">
      <c r="P2814" s="137"/>
    </row>
    <row r="2815" spans="16:16" x14ac:dyDescent="0.25">
      <c r="P2815" s="137"/>
    </row>
    <row r="2816" spans="16:16" x14ac:dyDescent="0.25">
      <c r="P2816" s="137"/>
    </row>
    <row r="2817" spans="16:16" x14ac:dyDescent="0.25">
      <c r="P2817" s="137"/>
    </row>
    <row r="2818" spans="16:16" x14ac:dyDescent="0.25">
      <c r="P2818" s="137"/>
    </row>
    <row r="2819" spans="16:16" x14ac:dyDescent="0.25">
      <c r="P2819" s="137"/>
    </row>
    <row r="2820" spans="16:16" x14ac:dyDescent="0.25">
      <c r="P2820" s="137"/>
    </row>
    <row r="2821" spans="16:16" x14ac:dyDescent="0.25">
      <c r="P2821" s="137"/>
    </row>
    <row r="2822" spans="16:16" x14ac:dyDescent="0.25">
      <c r="P2822" s="137"/>
    </row>
    <row r="2823" spans="16:16" x14ac:dyDescent="0.25">
      <c r="P2823" s="137"/>
    </row>
    <row r="2824" spans="16:16" x14ac:dyDescent="0.25">
      <c r="P2824" s="137"/>
    </row>
    <row r="2825" spans="16:16" x14ac:dyDescent="0.25">
      <c r="P2825" s="137"/>
    </row>
    <row r="2826" spans="16:16" x14ac:dyDescent="0.25">
      <c r="P2826" s="137"/>
    </row>
    <row r="2827" spans="16:16" x14ac:dyDescent="0.25">
      <c r="P2827" s="137"/>
    </row>
    <row r="2828" spans="16:16" x14ac:dyDescent="0.25">
      <c r="P2828" s="137"/>
    </row>
    <row r="2829" spans="16:16" x14ac:dyDescent="0.25">
      <c r="P2829" s="137"/>
    </row>
    <row r="2830" spans="16:16" x14ac:dyDescent="0.25">
      <c r="P2830" s="137"/>
    </row>
    <row r="2831" spans="16:16" x14ac:dyDescent="0.25">
      <c r="P2831" s="137"/>
    </row>
    <row r="2832" spans="16:16" x14ac:dyDescent="0.25">
      <c r="P2832" s="137"/>
    </row>
    <row r="2833" spans="16:16" x14ac:dyDescent="0.25">
      <c r="P2833" s="137"/>
    </row>
    <row r="2834" spans="16:16" x14ac:dyDescent="0.25">
      <c r="P2834" s="137"/>
    </row>
    <row r="2835" spans="16:16" x14ac:dyDescent="0.25">
      <c r="P2835" s="137"/>
    </row>
    <row r="2836" spans="16:16" x14ac:dyDescent="0.25">
      <c r="P2836" s="137"/>
    </row>
    <row r="2837" spans="16:16" x14ac:dyDescent="0.25">
      <c r="P2837" s="137"/>
    </row>
    <row r="2838" spans="16:16" x14ac:dyDescent="0.25">
      <c r="P2838" s="137"/>
    </row>
    <row r="2839" spans="16:16" x14ac:dyDescent="0.25">
      <c r="P2839" s="137"/>
    </row>
    <row r="2840" spans="16:16" x14ac:dyDescent="0.25">
      <c r="P2840" s="137"/>
    </row>
    <row r="2841" spans="16:16" x14ac:dyDescent="0.25">
      <c r="P2841" s="137"/>
    </row>
    <row r="2842" spans="16:16" x14ac:dyDescent="0.25">
      <c r="P2842" s="137"/>
    </row>
    <row r="2843" spans="16:16" x14ac:dyDescent="0.25">
      <c r="P2843" s="137"/>
    </row>
    <row r="2844" spans="16:16" x14ac:dyDescent="0.25">
      <c r="P2844" s="137"/>
    </row>
    <row r="2845" spans="16:16" x14ac:dyDescent="0.25">
      <c r="P2845" s="137"/>
    </row>
    <row r="2846" spans="16:16" x14ac:dyDescent="0.25">
      <c r="P2846" s="137"/>
    </row>
    <row r="2847" spans="16:16" x14ac:dyDescent="0.25">
      <c r="P2847" s="137"/>
    </row>
    <row r="2848" spans="16:16" x14ac:dyDescent="0.25">
      <c r="P2848" s="137"/>
    </row>
    <row r="2849" spans="16:16" x14ac:dyDescent="0.25">
      <c r="P2849" s="137"/>
    </row>
    <row r="2850" spans="16:16" x14ac:dyDescent="0.25">
      <c r="P2850" s="137"/>
    </row>
    <row r="2851" spans="16:16" x14ac:dyDescent="0.25">
      <c r="P2851" s="137"/>
    </row>
    <row r="2852" spans="16:16" x14ac:dyDescent="0.25">
      <c r="P2852" s="137"/>
    </row>
    <row r="2853" spans="16:16" x14ac:dyDescent="0.25">
      <c r="P2853" s="137"/>
    </row>
    <row r="2854" spans="16:16" x14ac:dyDescent="0.25">
      <c r="P2854" s="137"/>
    </row>
    <row r="2855" spans="16:16" x14ac:dyDescent="0.25">
      <c r="P2855" s="137"/>
    </row>
    <row r="2856" spans="16:16" x14ac:dyDescent="0.25">
      <c r="P2856" s="137"/>
    </row>
    <row r="2857" spans="16:16" x14ac:dyDescent="0.25">
      <c r="P2857" s="137"/>
    </row>
    <row r="2858" spans="16:16" x14ac:dyDescent="0.25">
      <c r="P2858" s="137"/>
    </row>
    <row r="2859" spans="16:16" x14ac:dyDescent="0.25">
      <c r="P2859" s="137"/>
    </row>
    <row r="2860" spans="16:16" x14ac:dyDescent="0.25">
      <c r="P2860" s="137"/>
    </row>
    <row r="2861" spans="16:16" x14ac:dyDescent="0.25">
      <c r="P2861" s="137"/>
    </row>
    <row r="2862" spans="16:16" x14ac:dyDescent="0.25">
      <c r="P2862" s="137"/>
    </row>
    <row r="2863" spans="16:16" x14ac:dyDescent="0.25">
      <c r="P2863" s="137"/>
    </row>
    <row r="2864" spans="16:16" x14ac:dyDescent="0.25">
      <c r="P2864" s="137"/>
    </row>
    <row r="2865" spans="16:16" x14ac:dyDescent="0.25">
      <c r="P2865" s="137"/>
    </row>
    <row r="2866" spans="16:16" x14ac:dyDescent="0.25">
      <c r="P2866" s="137"/>
    </row>
    <row r="2867" spans="16:16" x14ac:dyDescent="0.25">
      <c r="P2867" s="137"/>
    </row>
    <row r="2868" spans="16:16" x14ac:dyDescent="0.25">
      <c r="P2868" s="137"/>
    </row>
    <row r="2869" spans="16:16" x14ac:dyDescent="0.25">
      <c r="P2869" s="137"/>
    </row>
    <row r="2870" spans="16:16" x14ac:dyDescent="0.25">
      <c r="P2870" s="137"/>
    </row>
    <row r="2871" spans="16:16" x14ac:dyDescent="0.25">
      <c r="P2871" s="137"/>
    </row>
    <row r="2872" spans="16:16" x14ac:dyDescent="0.25">
      <c r="P2872" s="137"/>
    </row>
    <row r="2873" spans="16:16" x14ac:dyDescent="0.25">
      <c r="P2873" s="137"/>
    </row>
    <row r="2874" spans="16:16" x14ac:dyDescent="0.25">
      <c r="P2874" s="137"/>
    </row>
    <row r="2875" spans="16:16" x14ac:dyDescent="0.25">
      <c r="P2875" s="137"/>
    </row>
    <row r="2876" spans="16:16" x14ac:dyDescent="0.25">
      <c r="P2876" s="137"/>
    </row>
    <row r="2877" spans="16:16" x14ac:dyDescent="0.25">
      <c r="P2877" s="137"/>
    </row>
    <row r="2878" spans="16:16" x14ac:dyDescent="0.25">
      <c r="P2878" s="137"/>
    </row>
    <row r="2879" spans="16:16" x14ac:dyDescent="0.25">
      <c r="P2879" s="137"/>
    </row>
    <row r="2880" spans="16:16" x14ac:dyDescent="0.25">
      <c r="P2880" s="137"/>
    </row>
    <row r="2881" spans="16:16" x14ac:dyDescent="0.25">
      <c r="P2881" s="137"/>
    </row>
    <row r="2882" spans="16:16" x14ac:dyDescent="0.25">
      <c r="P2882" s="137"/>
    </row>
    <row r="2883" spans="16:16" x14ac:dyDescent="0.25">
      <c r="P2883" s="137"/>
    </row>
    <row r="2884" spans="16:16" x14ac:dyDescent="0.25">
      <c r="P2884" s="137"/>
    </row>
    <row r="2885" spans="16:16" x14ac:dyDescent="0.25">
      <c r="P2885" s="137"/>
    </row>
    <row r="2886" spans="16:16" x14ac:dyDescent="0.25">
      <c r="P2886" s="137"/>
    </row>
    <row r="2887" spans="16:16" x14ac:dyDescent="0.25">
      <c r="P2887" s="137"/>
    </row>
    <row r="2888" spans="16:16" x14ac:dyDescent="0.25">
      <c r="P2888" s="137"/>
    </row>
    <row r="2889" spans="16:16" x14ac:dyDescent="0.25">
      <c r="P2889" s="137"/>
    </row>
    <row r="2890" spans="16:16" x14ac:dyDescent="0.25">
      <c r="P2890" s="137"/>
    </row>
    <row r="2891" spans="16:16" x14ac:dyDescent="0.25">
      <c r="P2891" s="137"/>
    </row>
    <row r="2892" spans="16:16" x14ac:dyDescent="0.25">
      <c r="P2892" s="137"/>
    </row>
    <row r="2893" spans="16:16" x14ac:dyDescent="0.25">
      <c r="P2893" s="137"/>
    </row>
    <row r="2894" spans="16:16" x14ac:dyDescent="0.25">
      <c r="P2894" s="137"/>
    </row>
    <row r="2895" spans="16:16" x14ac:dyDescent="0.25">
      <c r="P2895" s="137"/>
    </row>
    <row r="2896" spans="16:16" x14ac:dyDescent="0.25">
      <c r="P2896" s="137"/>
    </row>
    <row r="2897" spans="16:16" x14ac:dyDescent="0.25">
      <c r="P2897" s="137"/>
    </row>
    <row r="2898" spans="16:16" x14ac:dyDescent="0.25">
      <c r="P2898" s="137"/>
    </row>
    <row r="2899" spans="16:16" x14ac:dyDescent="0.25">
      <c r="P2899" s="137"/>
    </row>
    <row r="2900" spans="16:16" x14ac:dyDescent="0.25">
      <c r="P2900" s="137"/>
    </row>
    <row r="2901" spans="16:16" x14ac:dyDescent="0.25">
      <c r="P2901" s="137"/>
    </row>
    <row r="2902" spans="16:16" x14ac:dyDescent="0.25">
      <c r="P2902" s="137"/>
    </row>
    <row r="2903" spans="16:16" x14ac:dyDescent="0.25">
      <c r="P2903" s="137"/>
    </row>
    <row r="2904" spans="16:16" x14ac:dyDescent="0.25">
      <c r="P2904" s="137"/>
    </row>
    <row r="2905" spans="16:16" x14ac:dyDescent="0.25">
      <c r="P2905" s="137"/>
    </row>
    <row r="2906" spans="16:16" x14ac:dyDescent="0.25">
      <c r="P2906" s="137"/>
    </row>
    <row r="2907" spans="16:16" x14ac:dyDescent="0.25">
      <c r="P2907" s="137"/>
    </row>
    <row r="2908" spans="16:16" x14ac:dyDescent="0.25">
      <c r="P2908" s="137"/>
    </row>
    <row r="2909" spans="16:16" x14ac:dyDescent="0.25">
      <c r="P2909" s="137"/>
    </row>
    <row r="2910" spans="16:16" x14ac:dyDescent="0.25">
      <c r="P2910" s="137"/>
    </row>
    <row r="2911" spans="16:16" x14ac:dyDescent="0.25">
      <c r="P2911" s="137"/>
    </row>
    <row r="2912" spans="16:16" x14ac:dyDescent="0.25">
      <c r="P2912" s="137"/>
    </row>
    <row r="2913" spans="16:16" x14ac:dyDescent="0.25">
      <c r="P2913" s="137"/>
    </row>
    <row r="2914" spans="16:16" x14ac:dyDescent="0.25">
      <c r="P2914" s="137"/>
    </row>
    <row r="2915" spans="16:16" x14ac:dyDescent="0.25">
      <c r="P2915" s="137"/>
    </row>
    <row r="2916" spans="16:16" x14ac:dyDescent="0.25">
      <c r="P2916" s="137"/>
    </row>
    <row r="2917" spans="16:16" x14ac:dyDescent="0.25">
      <c r="P2917" s="137"/>
    </row>
    <row r="2918" spans="16:16" x14ac:dyDescent="0.25">
      <c r="P2918" s="137"/>
    </row>
    <row r="2919" spans="16:16" x14ac:dyDescent="0.25">
      <c r="P2919" s="137"/>
    </row>
    <row r="2920" spans="16:16" x14ac:dyDescent="0.25">
      <c r="P2920" s="137"/>
    </row>
    <row r="2921" spans="16:16" x14ac:dyDescent="0.25">
      <c r="P2921" s="137"/>
    </row>
    <row r="2922" spans="16:16" x14ac:dyDescent="0.25">
      <c r="P2922" s="137"/>
    </row>
    <row r="2923" spans="16:16" x14ac:dyDescent="0.25">
      <c r="P2923" s="137"/>
    </row>
    <row r="2924" spans="16:16" x14ac:dyDescent="0.25">
      <c r="P2924" s="137"/>
    </row>
    <row r="2925" spans="16:16" x14ac:dyDescent="0.25">
      <c r="P2925" s="137"/>
    </row>
    <row r="2926" spans="16:16" x14ac:dyDescent="0.25">
      <c r="P2926" s="137"/>
    </row>
    <row r="2927" spans="16:16" x14ac:dyDescent="0.25">
      <c r="P2927" s="137"/>
    </row>
    <row r="2928" spans="16:16" x14ac:dyDescent="0.25">
      <c r="P2928" s="137"/>
    </row>
    <row r="2929" spans="16:16" x14ac:dyDescent="0.25">
      <c r="P2929" s="137"/>
    </row>
    <row r="2930" spans="16:16" x14ac:dyDescent="0.25">
      <c r="P2930" s="137"/>
    </row>
    <row r="2931" spans="16:16" x14ac:dyDescent="0.25">
      <c r="P2931" s="137"/>
    </row>
    <row r="2932" spans="16:16" x14ac:dyDescent="0.25">
      <c r="P2932" s="137"/>
    </row>
    <row r="2933" spans="16:16" x14ac:dyDescent="0.25">
      <c r="P2933" s="137"/>
    </row>
    <row r="2934" spans="16:16" x14ac:dyDescent="0.25">
      <c r="P2934" s="137"/>
    </row>
    <row r="2935" spans="16:16" x14ac:dyDescent="0.25">
      <c r="P2935" s="137"/>
    </row>
    <row r="2936" spans="16:16" x14ac:dyDescent="0.25">
      <c r="P2936" s="137"/>
    </row>
    <row r="2937" spans="16:16" x14ac:dyDescent="0.25">
      <c r="P2937" s="137"/>
    </row>
    <row r="2938" spans="16:16" x14ac:dyDescent="0.25">
      <c r="P2938" s="137"/>
    </row>
    <row r="2939" spans="16:16" x14ac:dyDescent="0.25">
      <c r="P2939" s="137"/>
    </row>
    <row r="2940" spans="16:16" x14ac:dyDescent="0.25">
      <c r="P2940" s="137"/>
    </row>
    <row r="2941" spans="16:16" x14ac:dyDescent="0.25">
      <c r="P2941" s="137"/>
    </row>
    <row r="2942" spans="16:16" x14ac:dyDescent="0.25">
      <c r="P2942" s="137"/>
    </row>
    <row r="2943" spans="16:16" x14ac:dyDescent="0.25">
      <c r="P2943" s="137"/>
    </row>
    <row r="2944" spans="16:16" x14ac:dyDescent="0.25">
      <c r="P2944" s="137"/>
    </row>
    <row r="2945" spans="16:16" x14ac:dyDescent="0.25">
      <c r="P2945" s="137"/>
    </row>
    <row r="2946" spans="16:16" x14ac:dyDescent="0.25">
      <c r="P2946" s="137"/>
    </row>
    <row r="2947" spans="16:16" x14ac:dyDescent="0.25">
      <c r="P2947" s="137"/>
    </row>
    <row r="2948" spans="16:16" x14ac:dyDescent="0.25">
      <c r="P2948" s="137"/>
    </row>
    <row r="2949" spans="16:16" x14ac:dyDescent="0.25">
      <c r="P2949" s="137"/>
    </row>
    <row r="2950" spans="16:16" x14ac:dyDescent="0.25">
      <c r="P2950" s="137"/>
    </row>
    <row r="2951" spans="16:16" x14ac:dyDescent="0.25">
      <c r="P2951" s="137"/>
    </row>
    <row r="2952" spans="16:16" x14ac:dyDescent="0.25">
      <c r="P2952" s="137"/>
    </row>
    <row r="2953" spans="16:16" x14ac:dyDescent="0.25">
      <c r="P2953" s="137"/>
    </row>
    <row r="2954" spans="16:16" x14ac:dyDescent="0.25">
      <c r="P2954" s="137"/>
    </row>
    <row r="2955" spans="16:16" x14ac:dyDescent="0.25">
      <c r="P2955" s="137"/>
    </row>
    <row r="2956" spans="16:16" x14ac:dyDescent="0.25">
      <c r="P2956" s="137"/>
    </row>
    <row r="2957" spans="16:16" x14ac:dyDescent="0.25">
      <c r="P2957" s="137"/>
    </row>
    <row r="2958" spans="16:16" x14ac:dyDescent="0.25">
      <c r="P2958" s="137"/>
    </row>
    <row r="2959" spans="16:16" x14ac:dyDescent="0.25">
      <c r="P2959" s="137"/>
    </row>
    <row r="2960" spans="16:16" x14ac:dyDescent="0.25">
      <c r="P2960" s="137"/>
    </row>
    <row r="2961" spans="16:16" x14ac:dyDescent="0.25">
      <c r="P2961" s="137"/>
    </row>
    <row r="2962" spans="16:16" x14ac:dyDescent="0.25">
      <c r="P2962" s="137"/>
    </row>
    <row r="2963" spans="16:16" x14ac:dyDescent="0.25">
      <c r="P2963" s="137"/>
    </row>
    <row r="2964" spans="16:16" x14ac:dyDescent="0.25">
      <c r="P2964" s="137"/>
    </row>
    <row r="2965" spans="16:16" x14ac:dyDescent="0.25">
      <c r="P2965" s="137"/>
    </row>
    <row r="2966" spans="16:16" x14ac:dyDescent="0.25">
      <c r="P2966" s="137"/>
    </row>
    <row r="2967" spans="16:16" x14ac:dyDescent="0.25">
      <c r="P2967" s="137"/>
    </row>
    <row r="2968" spans="16:16" x14ac:dyDescent="0.25">
      <c r="P2968" s="137"/>
    </row>
    <row r="2969" spans="16:16" x14ac:dyDescent="0.25">
      <c r="P2969" s="137"/>
    </row>
    <row r="2970" spans="16:16" x14ac:dyDescent="0.25">
      <c r="P2970" s="137"/>
    </row>
    <row r="2971" spans="16:16" x14ac:dyDescent="0.25">
      <c r="P2971" s="137"/>
    </row>
    <row r="2972" spans="16:16" x14ac:dyDescent="0.25">
      <c r="P2972" s="137"/>
    </row>
    <row r="2973" spans="16:16" x14ac:dyDescent="0.25">
      <c r="P2973" s="137"/>
    </row>
    <row r="2974" spans="16:16" x14ac:dyDescent="0.25">
      <c r="P2974" s="137"/>
    </row>
    <row r="2975" spans="16:16" x14ac:dyDescent="0.25">
      <c r="P2975" s="137"/>
    </row>
    <row r="2976" spans="16:16" x14ac:dyDescent="0.25">
      <c r="P2976" s="137"/>
    </row>
    <row r="2977" spans="16:16" x14ac:dyDescent="0.25">
      <c r="P2977" s="137"/>
    </row>
    <row r="2978" spans="16:16" x14ac:dyDescent="0.25">
      <c r="P2978" s="137"/>
    </row>
    <row r="2979" spans="16:16" x14ac:dyDescent="0.25">
      <c r="P2979" s="137"/>
    </row>
    <row r="2980" spans="16:16" x14ac:dyDescent="0.25">
      <c r="P2980" s="137"/>
    </row>
    <row r="2981" spans="16:16" x14ac:dyDescent="0.25">
      <c r="P2981" s="137"/>
    </row>
    <row r="2982" spans="16:16" x14ac:dyDescent="0.25">
      <c r="P2982" s="137"/>
    </row>
    <row r="2983" spans="16:16" x14ac:dyDescent="0.25">
      <c r="P2983" s="137"/>
    </row>
    <row r="2984" spans="16:16" x14ac:dyDescent="0.25">
      <c r="P2984" s="137"/>
    </row>
    <row r="2985" spans="16:16" x14ac:dyDescent="0.25">
      <c r="P2985" s="137"/>
    </row>
    <row r="2986" spans="16:16" x14ac:dyDescent="0.25">
      <c r="P2986" s="137"/>
    </row>
    <row r="2987" spans="16:16" x14ac:dyDescent="0.25">
      <c r="P2987" s="137"/>
    </row>
    <row r="2988" spans="16:16" x14ac:dyDescent="0.25">
      <c r="P2988" s="137"/>
    </row>
    <row r="2989" spans="16:16" x14ac:dyDescent="0.25">
      <c r="P2989" s="137"/>
    </row>
    <row r="2990" spans="16:16" x14ac:dyDescent="0.25">
      <c r="P2990" s="137"/>
    </row>
    <row r="2991" spans="16:16" x14ac:dyDescent="0.25">
      <c r="P2991" s="137"/>
    </row>
    <row r="2992" spans="16:16" x14ac:dyDescent="0.25">
      <c r="P2992" s="137"/>
    </row>
    <row r="2993" spans="16:16" x14ac:dyDescent="0.25">
      <c r="P2993" s="137"/>
    </row>
    <row r="2994" spans="16:16" x14ac:dyDescent="0.25">
      <c r="P2994" s="137"/>
    </row>
    <row r="2995" spans="16:16" x14ac:dyDescent="0.25">
      <c r="P2995" s="137"/>
    </row>
    <row r="2996" spans="16:16" x14ac:dyDescent="0.25">
      <c r="P2996" s="137"/>
    </row>
    <row r="2997" spans="16:16" x14ac:dyDescent="0.25">
      <c r="P2997" s="137"/>
    </row>
    <row r="2998" spans="16:16" x14ac:dyDescent="0.25">
      <c r="P2998" s="137"/>
    </row>
    <row r="2999" spans="16:16" x14ac:dyDescent="0.25">
      <c r="P2999" s="137"/>
    </row>
    <row r="3000" spans="16:16" x14ac:dyDescent="0.25">
      <c r="P3000" s="137"/>
    </row>
    <row r="3001" spans="16:16" x14ac:dyDescent="0.25">
      <c r="P3001" s="137"/>
    </row>
    <row r="3002" spans="16:16" x14ac:dyDescent="0.25">
      <c r="P3002" s="137"/>
    </row>
    <row r="3003" spans="16:16" x14ac:dyDescent="0.25">
      <c r="P3003" s="137"/>
    </row>
    <row r="3004" spans="16:16" x14ac:dyDescent="0.25">
      <c r="P3004" s="137"/>
    </row>
    <row r="3005" spans="16:16" x14ac:dyDescent="0.25">
      <c r="P3005" s="137"/>
    </row>
    <row r="3006" spans="16:16" x14ac:dyDescent="0.25">
      <c r="P3006" s="137"/>
    </row>
    <row r="3007" spans="16:16" x14ac:dyDescent="0.25">
      <c r="P3007" s="137"/>
    </row>
    <row r="3008" spans="16:16" x14ac:dyDescent="0.25">
      <c r="P3008" s="137"/>
    </row>
    <row r="3009" spans="16:16" x14ac:dyDescent="0.25">
      <c r="P3009" s="137"/>
    </row>
    <row r="3010" spans="16:16" x14ac:dyDescent="0.25">
      <c r="P3010" s="137"/>
    </row>
    <row r="3011" spans="16:16" x14ac:dyDescent="0.25">
      <c r="P3011" s="137"/>
    </row>
    <row r="3012" spans="16:16" x14ac:dyDescent="0.25">
      <c r="P3012" s="137"/>
    </row>
    <row r="3013" spans="16:16" x14ac:dyDescent="0.25">
      <c r="P3013" s="137"/>
    </row>
    <row r="3014" spans="16:16" x14ac:dyDescent="0.25">
      <c r="P3014" s="137"/>
    </row>
    <row r="3015" spans="16:16" x14ac:dyDescent="0.25">
      <c r="P3015" s="137"/>
    </row>
    <row r="3016" spans="16:16" x14ac:dyDescent="0.25">
      <c r="P3016" s="137"/>
    </row>
    <row r="3017" spans="16:16" x14ac:dyDescent="0.25">
      <c r="P3017" s="137"/>
    </row>
    <row r="3018" spans="16:16" x14ac:dyDescent="0.25">
      <c r="P3018" s="137"/>
    </row>
    <row r="3019" spans="16:16" x14ac:dyDescent="0.25">
      <c r="P3019" s="137"/>
    </row>
    <row r="3020" spans="16:16" x14ac:dyDescent="0.25">
      <c r="P3020" s="137"/>
    </row>
    <row r="3021" spans="16:16" x14ac:dyDescent="0.25">
      <c r="P3021" s="137"/>
    </row>
    <row r="3022" spans="16:16" x14ac:dyDescent="0.25">
      <c r="P3022" s="137"/>
    </row>
    <row r="3023" spans="16:16" x14ac:dyDescent="0.25">
      <c r="P3023" s="137"/>
    </row>
    <row r="3024" spans="16:16" x14ac:dyDescent="0.25">
      <c r="P3024" s="137"/>
    </row>
    <row r="3025" spans="16:16" x14ac:dyDescent="0.25">
      <c r="P3025" s="137"/>
    </row>
    <row r="3026" spans="16:16" x14ac:dyDescent="0.25">
      <c r="P3026" s="137"/>
    </row>
    <row r="3027" spans="16:16" x14ac:dyDescent="0.25">
      <c r="P3027" s="137"/>
    </row>
    <row r="3028" spans="16:16" x14ac:dyDescent="0.25">
      <c r="P3028" s="137"/>
    </row>
    <row r="3029" spans="16:16" x14ac:dyDescent="0.25">
      <c r="P3029" s="137"/>
    </row>
    <row r="3030" spans="16:16" x14ac:dyDescent="0.25">
      <c r="P3030" s="137"/>
    </row>
    <row r="3031" spans="16:16" x14ac:dyDescent="0.25">
      <c r="P3031" s="137"/>
    </row>
    <row r="3032" spans="16:16" x14ac:dyDescent="0.25">
      <c r="P3032" s="137"/>
    </row>
    <row r="3033" spans="16:16" x14ac:dyDescent="0.25">
      <c r="P3033" s="137"/>
    </row>
    <row r="3034" spans="16:16" x14ac:dyDescent="0.25">
      <c r="P3034" s="137"/>
    </row>
    <row r="3035" spans="16:16" x14ac:dyDescent="0.25">
      <c r="P3035" s="137"/>
    </row>
    <row r="3036" spans="16:16" x14ac:dyDescent="0.25">
      <c r="P3036" s="137"/>
    </row>
    <row r="3037" spans="16:16" x14ac:dyDescent="0.25">
      <c r="P3037" s="137"/>
    </row>
    <row r="3038" spans="16:16" x14ac:dyDescent="0.25">
      <c r="P3038" s="137"/>
    </row>
    <row r="3039" spans="16:16" x14ac:dyDescent="0.25">
      <c r="P3039" s="137"/>
    </row>
    <row r="3040" spans="16:16" x14ac:dyDescent="0.25">
      <c r="P3040" s="137"/>
    </row>
    <row r="3041" spans="16:16" x14ac:dyDescent="0.25">
      <c r="P3041" s="137"/>
    </row>
    <row r="3042" spans="16:16" x14ac:dyDescent="0.25">
      <c r="P3042" s="137"/>
    </row>
    <row r="3043" spans="16:16" x14ac:dyDescent="0.25">
      <c r="P3043" s="137"/>
    </row>
    <row r="3044" spans="16:16" x14ac:dyDescent="0.25">
      <c r="P3044" s="137"/>
    </row>
    <row r="3045" spans="16:16" x14ac:dyDescent="0.25">
      <c r="P3045" s="137"/>
    </row>
    <row r="3046" spans="16:16" x14ac:dyDescent="0.25">
      <c r="P3046" s="137"/>
    </row>
    <row r="3047" spans="16:16" x14ac:dyDescent="0.25">
      <c r="P3047" s="137"/>
    </row>
    <row r="3048" spans="16:16" x14ac:dyDescent="0.25">
      <c r="P3048" s="137"/>
    </row>
    <row r="3049" spans="16:16" x14ac:dyDescent="0.25">
      <c r="P3049" s="137"/>
    </row>
    <row r="3050" spans="16:16" x14ac:dyDescent="0.25">
      <c r="P3050" s="137"/>
    </row>
    <row r="3051" spans="16:16" x14ac:dyDescent="0.25">
      <c r="P3051" s="137"/>
    </row>
    <row r="3052" spans="16:16" x14ac:dyDescent="0.25">
      <c r="P3052" s="137"/>
    </row>
    <row r="3053" spans="16:16" x14ac:dyDescent="0.25">
      <c r="P3053" s="137"/>
    </row>
    <row r="3054" spans="16:16" x14ac:dyDescent="0.25">
      <c r="P3054" s="137"/>
    </row>
    <row r="3055" spans="16:16" x14ac:dyDescent="0.25">
      <c r="P3055" s="137"/>
    </row>
    <row r="3056" spans="16:16" x14ac:dyDescent="0.25">
      <c r="P3056" s="137"/>
    </row>
    <row r="3057" spans="16:16" x14ac:dyDescent="0.25">
      <c r="P3057" s="137"/>
    </row>
    <row r="3058" spans="16:16" x14ac:dyDescent="0.25">
      <c r="P3058" s="137"/>
    </row>
    <row r="3059" spans="16:16" x14ac:dyDescent="0.25">
      <c r="P3059" s="137"/>
    </row>
    <row r="3060" spans="16:16" x14ac:dyDescent="0.25">
      <c r="P3060" s="137"/>
    </row>
    <row r="3061" spans="16:16" x14ac:dyDescent="0.25">
      <c r="P3061" s="137"/>
    </row>
    <row r="3062" spans="16:16" x14ac:dyDescent="0.25">
      <c r="P3062" s="137"/>
    </row>
    <row r="3063" spans="16:16" x14ac:dyDescent="0.25">
      <c r="P3063" s="137"/>
    </row>
    <row r="3064" spans="16:16" x14ac:dyDescent="0.25">
      <c r="P3064" s="137"/>
    </row>
    <row r="3065" spans="16:16" x14ac:dyDescent="0.25">
      <c r="P3065" s="137"/>
    </row>
    <row r="3066" spans="16:16" x14ac:dyDescent="0.25">
      <c r="P3066" s="137"/>
    </row>
    <row r="3067" spans="16:16" x14ac:dyDescent="0.25">
      <c r="P3067" s="137"/>
    </row>
    <row r="3068" spans="16:16" x14ac:dyDescent="0.25">
      <c r="P3068" s="137"/>
    </row>
    <row r="3069" spans="16:16" x14ac:dyDescent="0.25">
      <c r="P3069" s="137"/>
    </row>
    <row r="3070" spans="16:16" x14ac:dyDescent="0.25">
      <c r="P3070" s="137"/>
    </row>
    <row r="3071" spans="16:16" x14ac:dyDescent="0.25">
      <c r="P3071" s="137"/>
    </row>
    <row r="3072" spans="16:16" x14ac:dyDescent="0.25">
      <c r="P3072" s="137"/>
    </row>
    <row r="3073" spans="16:16" x14ac:dyDescent="0.25">
      <c r="P3073" s="137"/>
    </row>
    <row r="3074" spans="16:16" x14ac:dyDescent="0.25">
      <c r="P3074" s="137"/>
    </row>
    <row r="3075" spans="16:16" x14ac:dyDescent="0.25">
      <c r="P3075" s="137"/>
    </row>
    <row r="3076" spans="16:16" x14ac:dyDescent="0.25">
      <c r="P3076" s="137"/>
    </row>
    <row r="3077" spans="16:16" x14ac:dyDescent="0.25">
      <c r="P3077" s="137"/>
    </row>
    <row r="3078" spans="16:16" x14ac:dyDescent="0.25">
      <c r="P3078" s="137"/>
    </row>
    <row r="3079" spans="16:16" x14ac:dyDescent="0.25">
      <c r="P3079" s="137"/>
    </row>
    <row r="3080" spans="16:16" x14ac:dyDescent="0.25">
      <c r="P3080" s="137"/>
    </row>
    <row r="3081" spans="16:16" x14ac:dyDescent="0.25">
      <c r="P3081" s="137"/>
    </row>
    <row r="3082" spans="16:16" x14ac:dyDescent="0.25">
      <c r="P3082" s="137"/>
    </row>
    <row r="3083" spans="16:16" x14ac:dyDescent="0.25">
      <c r="P3083" s="137"/>
    </row>
    <row r="3084" spans="16:16" x14ac:dyDescent="0.25">
      <c r="P3084" s="137"/>
    </row>
    <row r="3085" spans="16:16" x14ac:dyDescent="0.25">
      <c r="P3085" s="137"/>
    </row>
    <row r="3086" spans="16:16" x14ac:dyDescent="0.25">
      <c r="P3086" s="137"/>
    </row>
    <row r="3087" spans="16:16" x14ac:dyDescent="0.25">
      <c r="P3087" s="137"/>
    </row>
    <row r="3088" spans="16:16" x14ac:dyDescent="0.25">
      <c r="P3088" s="137"/>
    </row>
    <row r="3089" spans="16:16" x14ac:dyDescent="0.25">
      <c r="P3089" s="137"/>
    </row>
    <row r="3090" spans="16:16" x14ac:dyDescent="0.25">
      <c r="P3090" s="137"/>
    </row>
    <row r="3091" spans="16:16" x14ac:dyDescent="0.25">
      <c r="P3091" s="137"/>
    </row>
    <row r="3092" spans="16:16" x14ac:dyDescent="0.25">
      <c r="P3092" s="137"/>
    </row>
    <row r="3093" spans="16:16" x14ac:dyDescent="0.25">
      <c r="P3093" s="137"/>
    </row>
    <row r="3094" spans="16:16" x14ac:dyDescent="0.25">
      <c r="P3094" s="137"/>
    </row>
    <row r="3095" spans="16:16" x14ac:dyDescent="0.25">
      <c r="P3095" s="137"/>
    </row>
    <row r="3096" spans="16:16" x14ac:dyDescent="0.25">
      <c r="P3096" s="137"/>
    </row>
    <row r="3097" spans="16:16" x14ac:dyDescent="0.25">
      <c r="P3097" s="137"/>
    </row>
    <row r="3098" spans="16:16" x14ac:dyDescent="0.25">
      <c r="P3098" s="137"/>
    </row>
    <row r="3099" spans="16:16" x14ac:dyDescent="0.25">
      <c r="P3099" s="137"/>
    </row>
    <row r="3100" spans="16:16" x14ac:dyDescent="0.25">
      <c r="P3100" s="137"/>
    </row>
    <row r="3101" spans="16:16" x14ac:dyDescent="0.25">
      <c r="P3101" s="137"/>
    </row>
    <row r="3102" spans="16:16" x14ac:dyDescent="0.25">
      <c r="P3102" s="137"/>
    </row>
    <row r="3103" spans="16:16" x14ac:dyDescent="0.25">
      <c r="P3103" s="137"/>
    </row>
    <row r="3104" spans="16:16" x14ac:dyDescent="0.25">
      <c r="P3104" s="137"/>
    </row>
    <row r="3105" spans="16:16" x14ac:dyDescent="0.25">
      <c r="P3105" s="137"/>
    </row>
    <row r="3106" spans="16:16" x14ac:dyDescent="0.25">
      <c r="P3106" s="137"/>
    </row>
    <row r="3107" spans="16:16" x14ac:dyDescent="0.25">
      <c r="P3107" s="137"/>
    </row>
    <row r="3108" spans="16:16" x14ac:dyDescent="0.25">
      <c r="P3108" s="137"/>
    </row>
    <row r="3109" spans="16:16" x14ac:dyDescent="0.25">
      <c r="P3109" s="137"/>
    </row>
    <row r="3110" spans="16:16" x14ac:dyDescent="0.25">
      <c r="P3110" s="137"/>
    </row>
    <row r="3111" spans="16:16" x14ac:dyDescent="0.25">
      <c r="P3111" s="137"/>
    </row>
    <row r="3112" spans="16:16" x14ac:dyDescent="0.25">
      <c r="P3112" s="137"/>
    </row>
    <row r="3113" spans="16:16" x14ac:dyDescent="0.25">
      <c r="P3113" s="137"/>
    </row>
    <row r="3114" spans="16:16" x14ac:dyDescent="0.25">
      <c r="P3114" s="137"/>
    </row>
    <row r="3115" spans="16:16" x14ac:dyDescent="0.25">
      <c r="P3115" s="137"/>
    </row>
    <row r="3116" spans="16:16" x14ac:dyDescent="0.25">
      <c r="P3116" s="137"/>
    </row>
    <row r="3117" spans="16:16" x14ac:dyDescent="0.25">
      <c r="P3117" s="137"/>
    </row>
    <row r="3118" spans="16:16" x14ac:dyDescent="0.25">
      <c r="P3118" s="137"/>
    </row>
    <row r="3119" spans="16:16" x14ac:dyDescent="0.25">
      <c r="P3119" s="137"/>
    </row>
    <row r="3120" spans="16:16" x14ac:dyDescent="0.25">
      <c r="P3120" s="137"/>
    </row>
    <row r="3121" spans="16:16" x14ac:dyDescent="0.25">
      <c r="P3121" s="137"/>
    </row>
    <row r="3122" spans="16:16" x14ac:dyDescent="0.25">
      <c r="P3122" s="137"/>
    </row>
    <row r="3123" spans="16:16" x14ac:dyDescent="0.25">
      <c r="P3123" s="137"/>
    </row>
    <row r="3124" spans="16:16" x14ac:dyDescent="0.25">
      <c r="P3124" s="137"/>
    </row>
    <row r="3125" spans="16:16" x14ac:dyDescent="0.25">
      <c r="P3125" s="137"/>
    </row>
    <row r="3126" spans="16:16" x14ac:dyDescent="0.25">
      <c r="P3126" s="137"/>
    </row>
    <row r="3127" spans="16:16" x14ac:dyDescent="0.25">
      <c r="P3127" s="137"/>
    </row>
    <row r="3128" spans="16:16" x14ac:dyDescent="0.25">
      <c r="P3128" s="137"/>
    </row>
    <row r="3129" spans="16:16" x14ac:dyDescent="0.25">
      <c r="P3129" s="137"/>
    </row>
    <row r="3130" spans="16:16" x14ac:dyDescent="0.25">
      <c r="P3130" s="137"/>
    </row>
    <row r="3131" spans="16:16" x14ac:dyDescent="0.25">
      <c r="P3131" s="137"/>
    </row>
    <row r="3132" spans="16:16" x14ac:dyDescent="0.25">
      <c r="P3132" s="137"/>
    </row>
    <row r="3133" spans="16:16" x14ac:dyDescent="0.25">
      <c r="P3133" s="137"/>
    </row>
    <row r="3134" spans="16:16" x14ac:dyDescent="0.25">
      <c r="P3134" s="137"/>
    </row>
    <row r="3135" spans="16:16" x14ac:dyDescent="0.25">
      <c r="P3135" s="137"/>
    </row>
    <row r="3136" spans="16:16" x14ac:dyDescent="0.25">
      <c r="P3136" s="137"/>
    </row>
    <row r="3137" spans="16:16" x14ac:dyDescent="0.25">
      <c r="P3137" s="137"/>
    </row>
    <row r="3138" spans="16:16" x14ac:dyDescent="0.25">
      <c r="P3138" s="137"/>
    </row>
    <row r="3139" spans="16:16" x14ac:dyDescent="0.25">
      <c r="P3139" s="137"/>
    </row>
    <row r="3140" spans="16:16" x14ac:dyDescent="0.25">
      <c r="P3140" s="137"/>
    </row>
    <row r="3141" spans="16:16" x14ac:dyDescent="0.25">
      <c r="P3141" s="137"/>
    </row>
    <row r="3142" spans="16:16" x14ac:dyDescent="0.25">
      <c r="P3142" s="137"/>
    </row>
    <row r="3143" spans="16:16" x14ac:dyDescent="0.25">
      <c r="P3143" s="137"/>
    </row>
    <row r="3144" spans="16:16" x14ac:dyDescent="0.25">
      <c r="P3144" s="137"/>
    </row>
    <row r="3145" spans="16:16" x14ac:dyDescent="0.25">
      <c r="P3145" s="137"/>
    </row>
    <row r="3146" spans="16:16" x14ac:dyDescent="0.25">
      <c r="P3146" s="137"/>
    </row>
    <row r="3147" spans="16:16" x14ac:dyDescent="0.25">
      <c r="P3147" s="137"/>
    </row>
    <row r="3148" spans="16:16" x14ac:dyDescent="0.25">
      <c r="P3148" s="137"/>
    </row>
    <row r="3149" spans="16:16" x14ac:dyDescent="0.25">
      <c r="P3149" s="137"/>
    </row>
    <row r="3150" spans="16:16" x14ac:dyDescent="0.25">
      <c r="P3150" s="137"/>
    </row>
    <row r="3151" spans="16:16" x14ac:dyDescent="0.25">
      <c r="P3151" s="137"/>
    </row>
    <row r="3152" spans="16:16" x14ac:dyDescent="0.25">
      <c r="P3152" s="137"/>
    </row>
    <row r="3153" spans="16:16" x14ac:dyDescent="0.25">
      <c r="P3153" s="137"/>
    </row>
    <row r="3154" spans="16:16" x14ac:dyDescent="0.25">
      <c r="P3154" s="137"/>
    </row>
    <row r="3155" spans="16:16" x14ac:dyDescent="0.25">
      <c r="P3155" s="137"/>
    </row>
    <row r="3156" spans="16:16" x14ac:dyDescent="0.25">
      <c r="P3156" s="137"/>
    </row>
    <row r="3157" spans="16:16" x14ac:dyDescent="0.25">
      <c r="P3157" s="137"/>
    </row>
    <row r="3158" spans="16:16" x14ac:dyDescent="0.25">
      <c r="P3158" s="137"/>
    </row>
    <row r="3159" spans="16:16" x14ac:dyDescent="0.25">
      <c r="P3159" s="137"/>
    </row>
    <row r="3160" spans="16:16" x14ac:dyDescent="0.25">
      <c r="P3160" s="137"/>
    </row>
    <row r="3161" spans="16:16" x14ac:dyDescent="0.25">
      <c r="P3161" s="137"/>
    </row>
    <row r="3162" spans="16:16" x14ac:dyDescent="0.25">
      <c r="P3162" s="137"/>
    </row>
    <row r="3163" spans="16:16" x14ac:dyDescent="0.25">
      <c r="P3163" s="137"/>
    </row>
    <row r="3164" spans="16:16" x14ac:dyDescent="0.25">
      <c r="P3164" s="137"/>
    </row>
    <row r="3165" spans="16:16" x14ac:dyDescent="0.25">
      <c r="P3165" s="137"/>
    </row>
    <row r="3166" spans="16:16" x14ac:dyDescent="0.25">
      <c r="P3166" s="137"/>
    </row>
    <row r="3167" spans="16:16" x14ac:dyDescent="0.25">
      <c r="P3167" s="137"/>
    </row>
    <row r="3168" spans="16:16" x14ac:dyDescent="0.25">
      <c r="P3168" s="137"/>
    </row>
    <row r="3169" spans="16:16" x14ac:dyDescent="0.25">
      <c r="P3169" s="137"/>
    </row>
    <row r="3170" spans="16:16" x14ac:dyDescent="0.25">
      <c r="P3170" s="137"/>
    </row>
    <row r="3171" spans="16:16" x14ac:dyDescent="0.25">
      <c r="P3171" s="137"/>
    </row>
    <row r="3172" spans="16:16" x14ac:dyDescent="0.25">
      <c r="P3172" s="137"/>
    </row>
    <row r="3173" spans="16:16" x14ac:dyDescent="0.25">
      <c r="P3173" s="137"/>
    </row>
    <row r="3174" spans="16:16" x14ac:dyDescent="0.25">
      <c r="P3174" s="137"/>
    </row>
    <row r="3175" spans="16:16" x14ac:dyDescent="0.25">
      <c r="P3175" s="137"/>
    </row>
    <row r="3176" spans="16:16" x14ac:dyDescent="0.25">
      <c r="P3176" s="137"/>
    </row>
    <row r="3177" spans="16:16" x14ac:dyDescent="0.25">
      <c r="P3177" s="137"/>
    </row>
    <row r="3178" spans="16:16" x14ac:dyDescent="0.25">
      <c r="P3178" s="137"/>
    </row>
    <row r="3179" spans="16:16" x14ac:dyDescent="0.25">
      <c r="P3179" s="137"/>
    </row>
    <row r="3180" spans="16:16" x14ac:dyDescent="0.25">
      <c r="P3180" s="137"/>
    </row>
    <row r="3181" spans="16:16" x14ac:dyDescent="0.25">
      <c r="P3181" s="137"/>
    </row>
    <row r="3182" spans="16:16" x14ac:dyDescent="0.25">
      <c r="P3182" s="137"/>
    </row>
    <row r="3183" spans="16:16" x14ac:dyDescent="0.25">
      <c r="P3183" s="137"/>
    </row>
    <row r="3184" spans="16:16" x14ac:dyDescent="0.25">
      <c r="P3184" s="137"/>
    </row>
    <row r="3185" spans="16:16" x14ac:dyDescent="0.25">
      <c r="P3185" s="137"/>
    </row>
    <row r="3186" spans="16:16" x14ac:dyDescent="0.25">
      <c r="P3186" s="137"/>
    </row>
    <row r="3187" spans="16:16" x14ac:dyDescent="0.25">
      <c r="P3187" s="137"/>
    </row>
    <row r="3188" spans="16:16" x14ac:dyDescent="0.25">
      <c r="P3188" s="137"/>
    </row>
    <row r="3189" spans="16:16" x14ac:dyDescent="0.25">
      <c r="P3189" s="137"/>
    </row>
    <row r="3190" spans="16:16" x14ac:dyDescent="0.25">
      <c r="P3190" s="137"/>
    </row>
    <row r="3191" spans="16:16" x14ac:dyDescent="0.25">
      <c r="P3191" s="137"/>
    </row>
    <row r="3192" spans="16:16" x14ac:dyDescent="0.25">
      <c r="P3192" s="137"/>
    </row>
    <row r="3193" spans="16:16" x14ac:dyDescent="0.25">
      <c r="P3193" s="137"/>
    </row>
    <row r="3194" spans="16:16" x14ac:dyDescent="0.25">
      <c r="P3194" s="137"/>
    </row>
    <row r="3195" spans="16:16" x14ac:dyDescent="0.25">
      <c r="P3195" s="137"/>
    </row>
    <row r="3196" spans="16:16" x14ac:dyDescent="0.25">
      <c r="P3196" s="137"/>
    </row>
    <row r="3197" spans="16:16" x14ac:dyDescent="0.25">
      <c r="P3197" s="137"/>
    </row>
    <row r="3198" spans="16:16" x14ac:dyDescent="0.25">
      <c r="P3198" s="137"/>
    </row>
    <row r="3199" spans="16:16" x14ac:dyDescent="0.25">
      <c r="P3199" s="137"/>
    </row>
    <row r="3200" spans="16:16" x14ac:dyDescent="0.25">
      <c r="P3200" s="137"/>
    </row>
    <row r="3201" spans="16:16" x14ac:dyDescent="0.25">
      <c r="P3201" s="137"/>
    </row>
    <row r="3202" spans="16:16" x14ac:dyDescent="0.25">
      <c r="P3202" s="137"/>
    </row>
    <row r="3203" spans="16:16" x14ac:dyDescent="0.25">
      <c r="P3203" s="137"/>
    </row>
    <row r="3204" spans="16:16" x14ac:dyDescent="0.25">
      <c r="P3204" s="137"/>
    </row>
    <row r="3205" spans="16:16" x14ac:dyDescent="0.25">
      <c r="P3205" s="137"/>
    </row>
    <row r="3206" spans="16:16" x14ac:dyDescent="0.25">
      <c r="P3206" s="137"/>
    </row>
    <row r="3207" spans="16:16" x14ac:dyDescent="0.25">
      <c r="P3207" s="137"/>
    </row>
    <row r="3208" spans="16:16" x14ac:dyDescent="0.25">
      <c r="P3208" s="137"/>
    </row>
    <row r="3209" spans="16:16" x14ac:dyDescent="0.25">
      <c r="P3209" s="137"/>
    </row>
    <row r="3210" spans="16:16" x14ac:dyDescent="0.25">
      <c r="P3210" s="137"/>
    </row>
    <row r="3211" spans="16:16" x14ac:dyDescent="0.25">
      <c r="P3211" s="137"/>
    </row>
    <row r="3212" spans="16:16" x14ac:dyDescent="0.25">
      <c r="P3212" s="137"/>
    </row>
    <row r="3213" spans="16:16" x14ac:dyDescent="0.25">
      <c r="P3213" s="137"/>
    </row>
    <row r="3214" spans="16:16" x14ac:dyDescent="0.25">
      <c r="P3214" s="137"/>
    </row>
    <row r="3215" spans="16:16" x14ac:dyDescent="0.25">
      <c r="P3215" s="137"/>
    </row>
    <row r="3216" spans="16:16" x14ac:dyDescent="0.25">
      <c r="P3216" s="137"/>
    </row>
    <row r="3217" spans="16:16" x14ac:dyDescent="0.25">
      <c r="P3217" s="137"/>
    </row>
    <row r="3218" spans="16:16" x14ac:dyDescent="0.25">
      <c r="P3218" s="137"/>
    </row>
    <row r="3219" spans="16:16" x14ac:dyDescent="0.25">
      <c r="P3219" s="137"/>
    </row>
    <row r="3220" spans="16:16" x14ac:dyDescent="0.25">
      <c r="P3220" s="137"/>
    </row>
    <row r="3221" spans="16:16" x14ac:dyDescent="0.25">
      <c r="P3221" s="137"/>
    </row>
    <row r="3222" spans="16:16" x14ac:dyDescent="0.25">
      <c r="P3222" s="137"/>
    </row>
    <row r="3223" spans="16:16" x14ac:dyDescent="0.25">
      <c r="P3223" s="137"/>
    </row>
    <row r="3224" spans="16:16" x14ac:dyDescent="0.25">
      <c r="P3224" s="137"/>
    </row>
    <row r="3225" spans="16:16" x14ac:dyDescent="0.25">
      <c r="P3225" s="137"/>
    </row>
    <row r="3226" spans="16:16" x14ac:dyDescent="0.25">
      <c r="P3226" s="137"/>
    </row>
    <row r="3227" spans="16:16" x14ac:dyDescent="0.25">
      <c r="P3227" s="137"/>
    </row>
    <row r="3228" spans="16:16" x14ac:dyDescent="0.25">
      <c r="P3228" s="137"/>
    </row>
    <row r="3229" spans="16:16" x14ac:dyDescent="0.25">
      <c r="P3229" s="137"/>
    </row>
    <row r="3230" spans="16:16" x14ac:dyDescent="0.25">
      <c r="P3230" s="137"/>
    </row>
    <row r="3231" spans="16:16" x14ac:dyDescent="0.25">
      <c r="P3231" s="137"/>
    </row>
    <row r="3232" spans="16:16" x14ac:dyDescent="0.25">
      <c r="P3232" s="137"/>
    </row>
    <row r="3233" spans="16:16" x14ac:dyDescent="0.25">
      <c r="P3233" s="137"/>
    </row>
    <row r="3234" spans="16:16" x14ac:dyDescent="0.25">
      <c r="P3234" s="137"/>
    </row>
    <row r="3235" spans="16:16" x14ac:dyDescent="0.25">
      <c r="P3235" s="137"/>
    </row>
    <row r="3236" spans="16:16" x14ac:dyDescent="0.25">
      <c r="P3236" s="137"/>
    </row>
    <row r="3237" spans="16:16" x14ac:dyDescent="0.25">
      <c r="P3237" s="137"/>
    </row>
    <row r="3238" spans="16:16" x14ac:dyDescent="0.25">
      <c r="P3238" s="137"/>
    </row>
    <row r="3239" spans="16:16" x14ac:dyDescent="0.25">
      <c r="P3239" s="137"/>
    </row>
    <row r="3240" spans="16:16" x14ac:dyDescent="0.25">
      <c r="P3240" s="137"/>
    </row>
    <row r="3241" spans="16:16" x14ac:dyDescent="0.25">
      <c r="P3241" s="137"/>
    </row>
    <row r="3242" spans="16:16" x14ac:dyDescent="0.25">
      <c r="P3242" s="137"/>
    </row>
    <row r="3243" spans="16:16" x14ac:dyDescent="0.25">
      <c r="P3243" s="137"/>
    </row>
    <row r="3244" spans="16:16" x14ac:dyDescent="0.25">
      <c r="P3244" s="137"/>
    </row>
    <row r="3245" spans="16:16" x14ac:dyDescent="0.25">
      <c r="P3245" s="137"/>
    </row>
    <row r="3246" spans="16:16" x14ac:dyDescent="0.25">
      <c r="P3246" s="137"/>
    </row>
    <row r="3247" spans="16:16" x14ac:dyDescent="0.25">
      <c r="P3247" s="137"/>
    </row>
    <row r="3248" spans="16:16" x14ac:dyDescent="0.25">
      <c r="P3248" s="137"/>
    </row>
    <row r="3249" spans="16:16" x14ac:dyDescent="0.25">
      <c r="P3249" s="137"/>
    </row>
    <row r="3250" spans="16:16" x14ac:dyDescent="0.25">
      <c r="P3250" s="137"/>
    </row>
    <row r="3251" spans="16:16" x14ac:dyDescent="0.25">
      <c r="P3251" s="137"/>
    </row>
    <row r="3252" spans="16:16" x14ac:dyDescent="0.25">
      <c r="P3252" s="137"/>
    </row>
    <row r="3253" spans="16:16" x14ac:dyDescent="0.25">
      <c r="P3253" s="137"/>
    </row>
    <row r="3254" spans="16:16" x14ac:dyDescent="0.25">
      <c r="P3254" s="137"/>
    </row>
    <row r="3255" spans="16:16" x14ac:dyDescent="0.25">
      <c r="P3255" s="137"/>
    </row>
    <row r="3256" spans="16:16" x14ac:dyDescent="0.25">
      <c r="P3256" s="137"/>
    </row>
    <row r="3257" spans="16:16" x14ac:dyDescent="0.25">
      <c r="P3257" s="137"/>
    </row>
    <row r="3258" spans="16:16" x14ac:dyDescent="0.25">
      <c r="P3258" s="137"/>
    </row>
    <row r="3259" spans="16:16" x14ac:dyDescent="0.25">
      <c r="P3259" s="137"/>
    </row>
    <row r="3260" spans="16:16" x14ac:dyDescent="0.25">
      <c r="P3260" s="137"/>
    </row>
    <row r="3261" spans="16:16" x14ac:dyDescent="0.25">
      <c r="P3261" s="137"/>
    </row>
    <row r="3262" spans="16:16" x14ac:dyDescent="0.25">
      <c r="P3262" s="137"/>
    </row>
    <row r="3263" spans="16:16" x14ac:dyDescent="0.25">
      <c r="P3263" s="137"/>
    </row>
    <row r="3264" spans="16:16" x14ac:dyDescent="0.25">
      <c r="P3264" s="137"/>
    </row>
    <row r="3265" spans="16:16" x14ac:dyDescent="0.25">
      <c r="P3265" s="137"/>
    </row>
    <row r="3266" spans="16:16" x14ac:dyDescent="0.25">
      <c r="P3266" s="137"/>
    </row>
    <row r="3267" spans="16:16" x14ac:dyDescent="0.25">
      <c r="P3267" s="137"/>
    </row>
    <row r="3268" spans="16:16" x14ac:dyDescent="0.25">
      <c r="P3268" s="137"/>
    </row>
    <row r="3269" spans="16:16" x14ac:dyDescent="0.25">
      <c r="P3269" s="137"/>
    </row>
    <row r="3270" spans="16:16" x14ac:dyDescent="0.25">
      <c r="P3270" s="137"/>
    </row>
    <row r="3271" spans="16:16" x14ac:dyDescent="0.25">
      <c r="P3271" s="137"/>
    </row>
    <row r="3272" spans="16:16" x14ac:dyDescent="0.25">
      <c r="P3272" s="137"/>
    </row>
    <row r="3273" spans="16:16" x14ac:dyDescent="0.25">
      <c r="P3273" s="137"/>
    </row>
    <row r="3274" spans="16:16" x14ac:dyDescent="0.25">
      <c r="P3274" s="137"/>
    </row>
    <row r="3275" spans="16:16" x14ac:dyDescent="0.25">
      <c r="P3275" s="137"/>
    </row>
    <row r="3276" spans="16:16" x14ac:dyDescent="0.25">
      <c r="P3276" s="137"/>
    </row>
    <row r="3277" spans="16:16" x14ac:dyDescent="0.25">
      <c r="P3277" s="137"/>
    </row>
    <row r="3278" spans="16:16" x14ac:dyDescent="0.25">
      <c r="P3278" s="137"/>
    </row>
    <row r="3279" spans="16:16" x14ac:dyDescent="0.25">
      <c r="P3279" s="137"/>
    </row>
    <row r="3280" spans="16:16" x14ac:dyDescent="0.25">
      <c r="P3280" s="137"/>
    </row>
    <row r="3281" spans="16:16" x14ac:dyDescent="0.25">
      <c r="P3281" s="137"/>
    </row>
    <row r="3282" spans="16:16" x14ac:dyDescent="0.25">
      <c r="P3282" s="137"/>
    </row>
    <row r="3283" spans="16:16" x14ac:dyDescent="0.25">
      <c r="P3283" s="137"/>
    </row>
    <row r="3284" spans="16:16" x14ac:dyDescent="0.25">
      <c r="P3284" s="137"/>
    </row>
    <row r="3285" spans="16:16" x14ac:dyDescent="0.25">
      <c r="P3285" s="137"/>
    </row>
    <row r="3286" spans="16:16" x14ac:dyDescent="0.25">
      <c r="P3286" s="137"/>
    </row>
    <row r="3287" spans="16:16" x14ac:dyDescent="0.25">
      <c r="P3287" s="137"/>
    </row>
    <row r="3288" spans="16:16" x14ac:dyDescent="0.25">
      <c r="P3288" s="137"/>
    </row>
    <row r="3289" spans="16:16" x14ac:dyDescent="0.25">
      <c r="P3289" s="137"/>
    </row>
    <row r="3290" spans="16:16" x14ac:dyDescent="0.25">
      <c r="P3290" s="137"/>
    </row>
    <row r="3291" spans="16:16" x14ac:dyDescent="0.25">
      <c r="P3291" s="137"/>
    </row>
    <row r="3292" spans="16:16" x14ac:dyDescent="0.25">
      <c r="P3292" s="137"/>
    </row>
    <row r="3293" spans="16:16" x14ac:dyDescent="0.25">
      <c r="P3293" s="137"/>
    </row>
    <row r="3294" spans="16:16" x14ac:dyDescent="0.25">
      <c r="P3294" s="137"/>
    </row>
    <row r="3295" spans="16:16" x14ac:dyDescent="0.25">
      <c r="P3295" s="137"/>
    </row>
    <row r="3296" spans="16:16" x14ac:dyDescent="0.25">
      <c r="P3296" s="137"/>
    </row>
    <row r="3297" spans="16:16" x14ac:dyDescent="0.25">
      <c r="P3297" s="137"/>
    </row>
    <row r="3298" spans="16:16" x14ac:dyDescent="0.25">
      <c r="P3298" s="137"/>
    </row>
    <row r="3299" spans="16:16" x14ac:dyDescent="0.25">
      <c r="P3299" s="137"/>
    </row>
    <row r="3300" spans="16:16" x14ac:dyDescent="0.25">
      <c r="P3300" s="137"/>
    </row>
    <row r="3301" spans="16:16" x14ac:dyDescent="0.25">
      <c r="P3301" s="137"/>
    </row>
    <row r="3302" spans="16:16" x14ac:dyDescent="0.25">
      <c r="P3302" s="137"/>
    </row>
    <row r="3303" spans="16:16" x14ac:dyDescent="0.25">
      <c r="P3303" s="137"/>
    </row>
    <row r="3304" spans="16:16" x14ac:dyDescent="0.25">
      <c r="P3304" s="137"/>
    </row>
    <row r="3305" spans="16:16" x14ac:dyDescent="0.25">
      <c r="P3305" s="137"/>
    </row>
    <row r="3306" spans="16:16" x14ac:dyDescent="0.25">
      <c r="P3306" s="137"/>
    </row>
    <row r="3307" spans="16:16" x14ac:dyDescent="0.25">
      <c r="P3307" s="137"/>
    </row>
    <row r="3308" spans="16:16" x14ac:dyDescent="0.25">
      <c r="P3308" s="137"/>
    </row>
    <row r="3309" spans="16:16" x14ac:dyDescent="0.25">
      <c r="P3309" s="137"/>
    </row>
    <row r="3310" spans="16:16" x14ac:dyDescent="0.25">
      <c r="P3310" s="137"/>
    </row>
    <row r="3311" spans="16:16" x14ac:dyDescent="0.25">
      <c r="P3311" s="137"/>
    </row>
    <row r="3312" spans="16:16" x14ac:dyDescent="0.25">
      <c r="P3312" s="137"/>
    </row>
    <row r="3313" spans="16:16" x14ac:dyDescent="0.25">
      <c r="P3313" s="137"/>
    </row>
    <row r="3314" spans="16:16" x14ac:dyDescent="0.25">
      <c r="P3314" s="137"/>
    </row>
    <row r="3315" spans="16:16" x14ac:dyDescent="0.25">
      <c r="P3315" s="137"/>
    </row>
    <row r="3316" spans="16:16" x14ac:dyDescent="0.25">
      <c r="P3316" s="137"/>
    </row>
    <row r="3317" spans="16:16" x14ac:dyDescent="0.25">
      <c r="P3317" s="137"/>
    </row>
    <row r="3318" spans="16:16" x14ac:dyDescent="0.25">
      <c r="P3318" s="137"/>
    </row>
    <row r="3319" spans="16:16" x14ac:dyDescent="0.25">
      <c r="P3319" s="137"/>
    </row>
    <row r="3320" spans="16:16" x14ac:dyDescent="0.25">
      <c r="P3320" s="137"/>
    </row>
    <row r="3321" spans="16:16" x14ac:dyDescent="0.25">
      <c r="P3321" s="137"/>
    </row>
    <row r="3322" spans="16:16" x14ac:dyDescent="0.25">
      <c r="P3322" s="137"/>
    </row>
    <row r="3323" spans="16:16" x14ac:dyDescent="0.25">
      <c r="P3323" s="137"/>
    </row>
    <row r="3324" spans="16:16" x14ac:dyDescent="0.25">
      <c r="P3324" s="137"/>
    </row>
    <row r="3325" spans="16:16" x14ac:dyDescent="0.25">
      <c r="P3325" s="137"/>
    </row>
    <row r="3326" spans="16:16" x14ac:dyDescent="0.25">
      <c r="P3326" s="137"/>
    </row>
    <row r="3327" spans="16:16" x14ac:dyDescent="0.25">
      <c r="P3327" s="137"/>
    </row>
    <row r="3328" spans="16:16" x14ac:dyDescent="0.25">
      <c r="P3328" s="137"/>
    </row>
    <row r="3329" spans="16:16" x14ac:dyDescent="0.25">
      <c r="P3329" s="137"/>
    </row>
    <row r="3330" spans="16:16" x14ac:dyDescent="0.25">
      <c r="P3330" s="137"/>
    </row>
    <row r="3331" spans="16:16" x14ac:dyDescent="0.25">
      <c r="P3331" s="137"/>
    </row>
    <row r="3332" spans="16:16" x14ac:dyDescent="0.25">
      <c r="P3332" s="137"/>
    </row>
    <row r="3333" spans="16:16" x14ac:dyDescent="0.25">
      <c r="P3333" s="137"/>
    </row>
    <row r="3334" spans="16:16" x14ac:dyDescent="0.25">
      <c r="P3334" s="137"/>
    </row>
    <row r="3335" spans="16:16" x14ac:dyDescent="0.25">
      <c r="P3335" s="137"/>
    </row>
    <row r="3336" spans="16:16" x14ac:dyDescent="0.25">
      <c r="P3336" s="137"/>
    </row>
    <row r="3337" spans="16:16" x14ac:dyDescent="0.25">
      <c r="P3337" s="137"/>
    </row>
    <row r="3338" spans="16:16" x14ac:dyDescent="0.25">
      <c r="P3338" s="137"/>
    </row>
    <row r="3339" spans="16:16" x14ac:dyDescent="0.25">
      <c r="P3339" s="137"/>
    </row>
    <row r="3340" spans="16:16" x14ac:dyDescent="0.25">
      <c r="P3340" s="137"/>
    </row>
    <row r="3341" spans="16:16" x14ac:dyDescent="0.25">
      <c r="P3341" s="137"/>
    </row>
    <row r="3342" spans="16:16" x14ac:dyDescent="0.25">
      <c r="P3342" s="137"/>
    </row>
    <row r="3343" spans="16:16" x14ac:dyDescent="0.25">
      <c r="P3343" s="137"/>
    </row>
    <row r="3344" spans="16:16" x14ac:dyDescent="0.25">
      <c r="P3344" s="137"/>
    </row>
    <row r="3345" spans="16:16" x14ac:dyDescent="0.25">
      <c r="P3345" s="137"/>
    </row>
    <row r="3346" spans="16:16" x14ac:dyDescent="0.25">
      <c r="P3346" s="137"/>
    </row>
    <row r="3347" spans="16:16" x14ac:dyDescent="0.25">
      <c r="P3347" s="137"/>
    </row>
    <row r="3348" spans="16:16" x14ac:dyDescent="0.25">
      <c r="P3348" s="137"/>
    </row>
    <row r="3349" spans="16:16" x14ac:dyDescent="0.25">
      <c r="P3349" s="137"/>
    </row>
    <row r="3350" spans="16:16" x14ac:dyDescent="0.25">
      <c r="P3350" s="137"/>
    </row>
    <row r="3351" spans="16:16" x14ac:dyDescent="0.25">
      <c r="P3351" s="137"/>
    </row>
    <row r="3352" spans="16:16" x14ac:dyDescent="0.25">
      <c r="P3352" s="137"/>
    </row>
    <row r="3353" spans="16:16" x14ac:dyDescent="0.25">
      <c r="P3353" s="137"/>
    </row>
    <row r="3354" spans="16:16" x14ac:dyDescent="0.25">
      <c r="P3354" s="137"/>
    </row>
    <row r="3355" spans="16:16" x14ac:dyDescent="0.25">
      <c r="P3355" s="137"/>
    </row>
    <row r="3356" spans="16:16" x14ac:dyDescent="0.25">
      <c r="P3356" s="137"/>
    </row>
    <row r="3357" spans="16:16" x14ac:dyDescent="0.25">
      <c r="P3357" s="137"/>
    </row>
    <row r="3358" spans="16:16" x14ac:dyDescent="0.25">
      <c r="P3358" s="137"/>
    </row>
    <row r="3359" spans="16:16" x14ac:dyDescent="0.25">
      <c r="P3359" s="137"/>
    </row>
    <row r="3360" spans="16:16" x14ac:dyDescent="0.25">
      <c r="P3360" s="137"/>
    </row>
    <row r="3361" spans="16:16" x14ac:dyDescent="0.25">
      <c r="P3361" s="137"/>
    </row>
    <row r="3362" spans="16:16" x14ac:dyDescent="0.25">
      <c r="P3362" s="137"/>
    </row>
    <row r="3363" spans="16:16" x14ac:dyDescent="0.25">
      <c r="P3363" s="137"/>
    </row>
    <row r="3364" spans="16:16" x14ac:dyDescent="0.25">
      <c r="P3364" s="137"/>
    </row>
    <row r="3365" spans="16:16" x14ac:dyDescent="0.25">
      <c r="P3365" s="137"/>
    </row>
    <row r="3366" spans="16:16" x14ac:dyDescent="0.25">
      <c r="P3366" s="137"/>
    </row>
    <row r="3367" spans="16:16" x14ac:dyDescent="0.25">
      <c r="P3367" s="137"/>
    </row>
    <row r="3368" spans="16:16" x14ac:dyDescent="0.25">
      <c r="P3368" s="137"/>
    </row>
    <row r="3369" spans="16:16" x14ac:dyDescent="0.25">
      <c r="P3369" s="137"/>
    </row>
    <row r="3370" spans="16:16" x14ac:dyDescent="0.25">
      <c r="P3370" s="137"/>
    </row>
    <row r="3371" spans="16:16" x14ac:dyDescent="0.25">
      <c r="P3371" s="137"/>
    </row>
    <row r="3372" spans="16:16" x14ac:dyDescent="0.25">
      <c r="P3372" s="137"/>
    </row>
    <row r="3373" spans="16:16" x14ac:dyDescent="0.25">
      <c r="P3373" s="137"/>
    </row>
    <row r="3374" spans="16:16" x14ac:dyDescent="0.25">
      <c r="P3374" s="137"/>
    </row>
    <row r="3375" spans="16:16" x14ac:dyDescent="0.25">
      <c r="P3375" s="137"/>
    </row>
    <row r="3376" spans="16:16" x14ac:dyDescent="0.25">
      <c r="P3376" s="137"/>
    </row>
    <row r="3377" spans="16:16" x14ac:dyDescent="0.25">
      <c r="P3377" s="137"/>
    </row>
    <row r="3378" spans="16:16" x14ac:dyDescent="0.25">
      <c r="P3378" s="137"/>
    </row>
    <row r="3379" spans="16:16" x14ac:dyDescent="0.25">
      <c r="P3379" s="137"/>
    </row>
    <row r="3380" spans="16:16" x14ac:dyDescent="0.25">
      <c r="P3380" s="137"/>
    </row>
    <row r="3381" spans="16:16" x14ac:dyDescent="0.25">
      <c r="P3381" s="137"/>
    </row>
    <row r="3382" spans="16:16" x14ac:dyDescent="0.25">
      <c r="P3382" s="137"/>
    </row>
    <row r="3383" spans="16:16" x14ac:dyDescent="0.25">
      <c r="P3383" s="137"/>
    </row>
    <row r="3384" spans="16:16" x14ac:dyDescent="0.25">
      <c r="P3384" s="137"/>
    </row>
    <row r="3385" spans="16:16" x14ac:dyDescent="0.25">
      <c r="P3385" s="137"/>
    </row>
    <row r="3386" spans="16:16" x14ac:dyDescent="0.25">
      <c r="P3386" s="137"/>
    </row>
    <row r="3387" spans="16:16" x14ac:dyDescent="0.25">
      <c r="P3387" s="137"/>
    </row>
    <row r="3388" spans="16:16" x14ac:dyDescent="0.25">
      <c r="P3388" s="137"/>
    </row>
    <row r="3389" spans="16:16" x14ac:dyDescent="0.25">
      <c r="P3389" s="137"/>
    </row>
    <row r="3390" spans="16:16" x14ac:dyDescent="0.25">
      <c r="P3390" s="137"/>
    </row>
    <row r="3391" spans="16:16" x14ac:dyDescent="0.25">
      <c r="P3391" s="137"/>
    </row>
    <row r="3392" spans="16:16" x14ac:dyDescent="0.25">
      <c r="P3392" s="137"/>
    </row>
    <row r="3393" spans="16:16" x14ac:dyDescent="0.25">
      <c r="P3393" s="137"/>
    </row>
    <row r="3394" spans="16:16" x14ac:dyDescent="0.25">
      <c r="P3394" s="137"/>
    </row>
    <row r="3395" spans="16:16" x14ac:dyDescent="0.25">
      <c r="P3395" s="137"/>
    </row>
    <row r="3396" spans="16:16" x14ac:dyDescent="0.25">
      <c r="P3396" s="137"/>
    </row>
    <row r="3397" spans="16:16" x14ac:dyDescent="0.25">
      <c r="P3397" s="137"/>
    </row>
    <row r="3398" spans="16:16" x14ac:dyDescent="0.25">
      <c r="P3398" s="137"/>
    </row>
    <row r="3399" spans="16:16" x14ac:dyDescent="0.25">
      <c r="P3399" s="137"/>
    </row>
    <row r="3400" spans="16:16" x14ac:dyDescent="0.25">
      <c r="P3400" s="137"/>
    </row>
    <row r="3401" spans="16:16" x14ac:dyDescent="0.25">
      <c r="P3401" s="137"/>
    </row>
    <row r="3402" spans="16:16" x14ac:dyDescent="0.25">
      <c r="P3402" s="137"/>
    </row>
    <row r="3403" spans="16:16" x14ac:dyDescent="0.25">
      <c r="P3403" s="137"/>
    </row>
    <row r="3404" spans="16:16" x14ac:dyDescent="0.25">
      <c r="P3404" s="137"/>
    </row>
    <row r="3405" spans="16:16" x14ac:dyDescent="0.25">
      <c r="P3405" s="137"/>
    </row>
    <row r="3406" spans="16:16" x14ac:dyDescent="0.25">
      <c r="P3406" s="137"/>
    </row>
    <row r="3407" spans="16:16" x14ac:dyDescent="0.25">
      <c r="P3407" s="137"/>
    </row>
    <row r="3408" spans="16:16" x14ac:dyDescent="0.25">
      <c r="P3408" s="137"/>
    </row>
    <row r="3409" spans="16:16" x14ac:dyDescent="0.25">
      <c r="P3409" s="137"/>
    </row>
    <row r="3410" spans="16:16" x14ac:dyDescent="0.25">
      <c r="P3410" s="137"/>
    </row>
    <row r="3411" spans="16:16" x14ac:dyDescent="0.25">
      <c r="P3411" s="137"/>
    </row>
    <row r="3412" spans="16:16" x14ac:dyDescent="0.25">
      <c r="P3412" s="137"/>
    </row>
    <row r="3413" spans="16:16" x14ac:dyDescent="0.25">
      <c r="P3413" s="137"/>
    </row>
    <row r="3414" spans="16:16" x14ac:dyDescent="0.25">
      <c r="P3414" s="137"/>
    </row>
    <row r="3415" spans="16:16" x14ac:dyDescent="0.25">
      <c r="P3415" s="137"/>
    </row>
    <row r="3416" spans="16:16" x14ac:dyDescent="0.25">
      <c r="P3416" s="137"/>
    </row>
    <row r="3417" spans="16:16" x14ac:dyDescent="0.25">
      <c r="P3417" s="137"/>
    </row>
    <row r="3418" spans="16:16" x14ac:dyDescent="0.25">
      <c r="P3418" s="137"/>
    </row>
    <row r="3419" spans="16:16" x14ac:dyDescent="0.25">
      <c r="P3419" s="137"/>
    </row>
    <row r="3420" spans="16:16" x14ac:dyDescent="0.25">
      <c r="P3420" s="137"/>
    </row>
    <row r="3421" spans="16:16" x14ac:dyDescent="0.25">
      <c r="P3421" s="137"/>
    </row>
    <row r="3422" spans="16:16" x14ac:dyDescent="0.25">
      <c r="P3422" s="137"/>
    </row>
    <row r="3423" spans="16:16" x14ac:dyDescent="0.25">
      <c r="P3423" s="137"/>
    </row>
    <row r="3424" spans="16:16" x14ac:dyDescent="0.25">
      <c r="P3424" s="137"/>
    </row>
    <row r="3425" spans="16:16" x14ac:dyDescent="0.25">
      <c r="P3425" s="137"/>
    </row>
    <row r="3426" spans="16:16" x14ac:dyDescent="0.25">
      <c r="P3426" s="137"/>
    </row>
    <row r="3427" spans="16:16" x14ac:dyDescent="0.25">
      <c r="P3427" s="137"/>
    </row>
    <row r="3428" spans="16:16" x14ac:dyDescent="0.25">
      <c r="P3428" s="137"/>
    </row>
    <row r="3429" spans="16:16" x14ac:dyDescent="0.25">
      <c r="P3429" s="137"/>
    </row>
    <row r="3430" spans="16:16" x14ac:dyDescent="0.25">
      <c r="P3430" s="137"/>
    </row>
    <row r="3431" spans="16:16" x14ac:dyDescent="0.25">
      <c r="P3431" s="137"/>
    </row>
    <row r="3432" spans="16:16" x14ac:dyDescent="0.25">
      <c r="P3432" s="137"/>
    </row>
    <row r="3433" spans="16:16" x14ac:dyDescent="0.25">
      <c r="P3433" s="137"/>
    </row>
    <row r="3434" spans="16:16" x14ac:dyDescent="0.25">
      <c r="P3434" s="137"/>
    </row>
    <row r="3435" spans="16:16" x14ac:dyDescent="0.25">
      <c r="P3435" s="137"/>
    </row>
    <row r="3436" spans="16:16" x14ac:dyDescent="0.25">
      <c r="P3436" s="137"/>
    </row>
    <row r="3437" spans="16:16" x14ac:dyDescent="0.25">
      <c r="P3437" s="137"/>
    </row>
    <row r="3438" spans="16:16" x14ac:dyDescent="0.25">
      <c r="P3438" s="137"/>
    </row>
    <row r="3439" spans="16:16" x14ac:dyDescent="0.25">
      <c r="P3439" s="137"/>
    </row>
    <row r="3440" spans="16:16" x14ac:dyDescent="0.25">
      <c r="P3440" s="137"/>
    </row>
    <row r="3441" spans="16:16" x14ac:dyDescent="0.25">
      <c r="P3441" s="137"/>
    </row>
    <row r="3442" spans="16:16" x14ac:dyDescent="0.25">
      <c r="P3442" s="137"/>
    </row>
    <row r="3443" spans="16:16" x14ac:dyDescent="0.25">
      <c r="P3443" s="137"/>
    </row>
    <row r="3444" spans="16:16" x14ac:dyDescent="0.25">
      <c r="P3444" s="137"/>
    </row>
    <row r="3445" spans="16:16" x14ac:dyDescent="0.25">
      <c r="P3445" s="137"/>
    </row>
    <row r="3446" spans="16:16" x14ac:dyDescent="0.25">
      <c r="P3446" s="137"/>
    </row>
    <row r="3447" spans="16:16" x14ac:dyDescent="0.25">
      <c r="P3447" s="137"/>
    </row>
    <row r="3448" spans="16:16" x14ac:dyDescent="0.25">
      <c r="P3448" s="137"/>
    </row>
    <row r="3449" spans="16:16" x14ac:dyDescent="0.25">
      <c r="P3449" s="137"/>
    </row>
    <row r="3450" spans="16:16" x14ac:dyDescent="0.25">
      <c r="P3450" s="137"/>
    </row>
    <row r="3451" spans="16:16" x14ac:dyDescent="0.25">
      <c r="P3451" s="137"/>
    </row>
    <row r="3452" spans="16:16" x14ac:dyDescent="0.25">
      <c r="P3452" s="137"/>
    </row>
    <row r="3453" spans="16:16" x14ac:dyDescent="0.25">
      <c r="P3453" s="137"/>
    </row>
    <row r="3454" spans="16:16" x14ac:dyDescent="0.25">
      <c r="P3454" s="137"/>
    </row>
    <row r="3455" spans="16:16" x14ac:dyDescent="0.25">
      <c r="P3455" s="137"/>
    </row>
    <row r="3456" spans="16:16" x14ac:dyDescent="0.25">
      <c r="P3456" s="137"/>
    </row>
    <row r="3457" spans="16:16" x14ac:dyDescent="0.25">
      <c r="P3457" s="137"/>
    </row>
    <row r="3458" spans="16:16" x14ac:dyDescent="0.25">
      <c r="P3458" s="137"/>
    </row>
    <row r="3459" spans="16:16" x14ac:dyDescent="0.25">
      <c r="P3459" s="137"/>
    </row>
    <row r="3460" spans="16:16" x14ac:dyDescent="0.25">
      <c r="P3460" s="137"/>
    </row>
    <row r="3461" spans="16:16" x14ac:dyDescent="0.25">
      <c r="P3461" s="137"/>
    </row>
    <row r="3462" spans="16:16" x14ac:dyDescent="0.25">
      <c r="P3462" s="137"/>
    </row>
    <row r="3463" spans="16:16" x14ac:dyDescent="0.25">
      <c r="P3463" s="137"/>
    </row>
    <row r="3464" spans="16:16" x14ac:dyDescent="0.25">
      <c r="P3464" s="137"/>
    </row>
    <row r="3465" spans="16:16" x14ac:dyDescent="0.25">
      <c r="P3465" s="137"/>
    </row>
    <row r="3466" spans="16:16" x14ac:dyDescent="0.25">
      <c r="P3466" s="137"/>
    </row>
    <row r="3467" spans="16:16" x14ac:dyDescent="0.25">
      <c r="P3467" s="137"/>
    </row>
    <row r="3468" spans="16:16" x14ac:dyDescent="0.25">
      <c r="P3468" s="137"/>
    </row>
    <row r="3469" spans="16:16" x14ac:dyDescent="0.25">
      <c r="P3469" s="137"/>
    </row>
    <row r="3470" spans="16:16" x14ac:dyDescent="0.25">
      <c r="P3470" s="137"/>
    </row>
    <row r="3471" spans="16:16" x14ac:dyDescent="0.25">
      <c r="P3471" s="137"/>
    </row>
    <row r="3472" spans="16:16" x14ac:dyDescent="0.25">
      <c r="P3472" s="137"/>
    </row>
    <row r="3473" spans="16:16" x14ac:dyDescent="0.25">
      <c r="P3473" s="137"/>
    </row>
    <row r="3474" spans="16:16" x14ac:dyDescent="0.25">
      <c r="P3474" s="137"/>
    </row>
    <row r="3475" spans="16:16" x14ac:dyDescent="0.25">
      <c r="P3475" s="137"/>
    </row>
    <row r="3476" spans="16:16" x14ac:dyDescent="0.25">
      <c r="P3476" s="137"/>
    </row>
    <row r="3477" spans="16:16" x14ac:dyDescent="0.25">
      <c r="P3477" s="137"/>
    </row>
    <row r="3478" spans="16:16" x14ac:dyDescent="0.25">
      <c r="P3478" s="137"/>
    </row>
    <row r="3479" spans="16:16" x14ac:dyDescent="0.25">
      <c r="P3479" s="137"/>
    </row>
    <row r="3480" spans="16:16" x14ac:dyDescent="0.25">
      <c r="P3480" s="137"/>
    </row>
    <row r="3481" spans="16:16" x14ac:dyDescent="0.25">
      <c r="P3481" s="137"/>
    </row>
    <row r="3482" spans="16:16" x14ac:dyDescent="0.25">
      <c r="P3482" s="137"/>
    </row>
    <row r="3483" spans="16:16" x14ac:dyDescent="0.25">
      <c r="P3483" s="137"/>
    </row>
    <row r="3484" spans="16:16" x14ac:dyDescent="0.25">
      <c r="P3484" s="137"/>
    </row>
    <row r="3485" spans="16:16" x14ac:dyDescent="0.25">
      <c r="P3485" s="137"/>
    </row>
    <row r="3486" spans="16:16" x14ac:dyDescent="0.25">
      <c r="P3486" s="137"/>
    </row>
    <row r="3487" spans="16:16" x14ac:dyDescent="0.25">
      <c r="P3487" s="137"/>
    </row>
    <row r="3488" spans="16:16" x14ac:dyDescent="0.25">
      <c r="P3488" s="137"/>
    </row>
    <row r="3489" spans="16:16" x14ac:dyDescent="0.25">
      <c r="P3489" s="137"/>
    </row>
    <row r="3490" spans="16:16" x14ac:dyDescent="0.25">
      <c r="P3490" s="137"/>
    </row>
    <row r="3491" spans="16:16" x14ac:dyDescent="0.25">
      <c r="P3491" s="137"/>
    </row>
    <row r="3492" spans="16:16" x14ac:dyDescent="0.25">
      <c r="P3492" s="137"/>
    </row>
    <row r="3493" spans="16:16" x14ac:dyDescent="0.25">
      <c r="P3493" s="137"/>
    </row>
    <row r="3494" spans="16:16" x14ac:dyDescent="0.25">
      <c r="P3494" s="137"/>
    </row>
    <row r="3495" spans="16:16" x14ac:dyDescent="0.25">
      <c r="P3495" s="137"/>
    </row>
    <row r="3496" spans="16:16" x14ac:dyDescent="0.25">
      <c r="P3496" s="137"/>
    </row>
    <row r="3497" spans="16:16" x14ac:dyDescent="0.25">
      <c r="P3497" s="137"/>
    </row>
    <row r="3498" spans="16:16" x14ac:dyDescent="0.25">
      <c r="P3498" s="137"/>
    </row>
    <row r="3499" spans="16:16" x14ac:dyDescent="0.25">
      <c r="P3499" s="137"/>
    </row>
    <row r="3500" spans="16:16" x14ac:dyDescent="0.25">
      <c r="P3500" s="137"/>
    </row>
    <row r="3501" spans="16:16" x14ac:dyDescent="0.25">
      <c r="P3501" s="137"/>
    </row>
    <row r="3502" spans="16:16" x14ac:dyDescent="0.25">
      <c r="P3502" s="137"/>
    </row>
    <row r="3503" spans="16:16" x14ac:dyDescent="0.25">
      <c r="P3503" s="137"/>
    </row>
    <row r="3504" spans="16:16" x14ac:dyDescent="0.25">
      <c r="P3504" s="137"/>
    </row>
    <row r="3505" spans="16:16" x14ac:dyDescent="0.25">
      <c r="P3505" s="137"/>
    </row>
    <row r="3506" spans="16:16" x14ac:dyDescent="0.25">
      <c r="P3506" s="137"/>
    </row>
    <row r="3507" spans="16:16" x14ac:dyDescent="0.25">
      <c r="P3507" s="137"/>
    </row>
    <row r="3508" spans="16:16" x14ac:dyDescent="0.25">
      <c r="P3508" s="137"/>
    </row>
    <row r="3509" spans="16:16" x14ac:dyDescent="0.25">
      <c r="P3509" s="137"/>
    </row>
    <row r="3510" spans="16:16" x14ac:dyDescent="0.25">
      <c r="P3510" s="137"/>
    </row>
    <row r="3511" spans="16:16" x14ac:dyDescent="0.25">
      <c r="P3511" s="137"/>
    </row>
    <row r="3512" spans="16:16" x14ac:dyDescent="0.25">
      <c r="P3512" s="137"/>
    </row>
    <row r="3513" spans="16:16" x14ac:dyDescent="0.25">
      <c r="P3513" s="137"/>
    </row>
    <row r="3514" spans="16:16" x14ac:dyDescent="0.25">
      <c r="P3514" s="137"/>
    </row>
    <row r="3515" spans="16:16" x14ac:dyDescent="0.25">
      <c r="P3515" s="137"/>
    </row>
    <row r="3516" spans="16:16" x14ac:dyDescent="0.25">
      <c r="P3516" s="137"/>
    </row>
    <row r="3517" spans="16:16" x14ac:dyDescent="0.25">
      <c r="P3517" s="137"/>
    </row>
    <row r="3518" spans="16:16" x14ac:dyDescent="0.25">
      <c r="P3518" s="137"/>
    </row>
    <row r="3519" spans="16:16" x14ac:dyDescent="0.25">
      <c r="P3519" s="137"/>
    </row>
    <row r="3520" spans="16:16" x14ac:dyDescent="0.25">
      <c r="P3520" s="137"/>
    </row>
    <row r="3521" spans="16:16" x14ac:dyDescent="0.25">
      <c r="P3521" s="137"/>
    </row>
    <row r="3522" spans="16:16" x14ac:dyDescent="0.25">
      <c r="P3522" s="137"/>
    </row>
    <row r="3523" spans="16:16" x14ac:dyDescent="0.25">
      <c r="P3523" s="137"/>
    </row>
    <row r="3524" spans="16:16" x14ac:dyDescent="0.25">
      <c r="P3524" s="137"/>
    </row>
    <row r="3525" spans="16:16" x14ac:dyDescent="0.25">
      <c r="P3525" s="137"/>
    </row>
    <row r="3526" spans="16:16" x14ac:dyDescent="0.25">
      <c r="P3526" s="137"/>
    </row>
    <row r="3527" spans="16:16" x14ac:dyDescent="0.25">
      <c r="P3527" s="137"/>
    </row>
    <row r="3528" spans="16:16" x14ac:dyDescent="0.25">
      <c r="P3528" s="137"/>
    </row>
    <row r="3529" spans="16:16" x14ac:dyDescent="0.25">
      <c r="P3529" s="137"/>
    </row>
    <row r="3530" spans="16:16" x14ac:dyDescent="0.25">
      <c r="P3530" s="137"/>
    </row>
    <row r="3531" spans="16:16" x14ac:dyDescent="0.25">
      <c r="P3531" s="137"/>
    </row>
    <row r="3532" spans="16:16" x14ac:dyDescent="0.25">
      <c r="P3532" s="137"/>
    </row>
    <row r="3533" spans="16:16" x14ac:dyDescent="0.25">
      <c r="P3533" s="137"/>
    </row>
    <row r="3534" spans="16:16" x14ac:dyDescent="0.25">
      <c r="P3534" s="137"/>
    </row>
    <row r="3535" spans="16:16" x14ac:dyDescent="0.25">
      <c r="P3535" s="137"/>
    </row>
    <row r="3536" spans="16:16" x14ac:dyDescent="0.25">
      <c r="P3536" s="137"/>
    </row>
    <row r="3537" spans="16:16" x14ac:dyDescent="0.25">
      <c r="P3537" s="137"/>
    </row>
    <row r="3538" spans="16:16" x14ac:dyDescent="0.25">
      <c r="P3538" s="137"/>
    </row>
    <row r="3539" spans="16:16" x14ac:dyDescent="0.25">
      <c r="P3539" s="137"/>
    </row>
    <row r="3540" spans="16:16" x14ac:dyDescent="0.25">
      <c r="P3540" s="137"/>
    </row>
    <row r="3541" spans="16:16" x14ac:dyDescent="0.25">
      <c r="P3541" s="137"/>
    </row>
    <row r="3542" spans="16:16" x14ac:dyDescent="0.25">
      <c r="P3542" s="137"/>
    </row>
    <row r="3543" spans="16:16" x14ac:dyDescent="0.25">
      <c r="P3543" s="137"/>
    </row>
    <row r="3544" spans="16:16" x14ac:dyDescent="0.25">
      <c r="P3544" s="137"/>
    </row>
    <row r="3545" spans="16:16" x14ac:dyDescent="0.25">
      <c r="P3545" s="137"/>
    </row>
    <row r="3546" spans="16:16" x14ac:dyDescent="0.25">
      <c r="P3546" s="137"/>
    </row>
    <row r="3547" spans="16:16" x14ac:dyDescent="0.25">
      <c r="P3547" s="137"/>
    </row>
    <row r="3548" spans="16:16" x14ac:dyDescent="0.25">
      <c r="P3548" s="137"/>
    </row>
    <row r="3549" spans="16:16" x14ac:dyDescent="0.25">
      <c r="P3549" s="137"/>
    </row>
    <row r="3550" spans="16:16" x14ac:dyDescent="0.25">
      <c r="P3550" s="137"/>
    </row>
    <row r="3551" spans="16:16" x14ac:dyDescent="0.25">
      <c r="P3551" s="137"/>
    </row>
    <row r="3552" spans="16:16" x14ac:dyDescent="0.25">
      <c r="P3552" s="137"/>
    </row>
    <row r="3553" spans="16:16" x14ac:dyDescent="0.25">
      <c r="P3553" s="137"/>
    </row>
    <row r="3554" spans="16:16" x14ac:dyDescent="0.25">
      <c r="P3554" s="137"/>
    </row>
    <row r="3555" spans="16:16" x14ac:dyDescent="0.25">
      <c r="P3555" s="137"/>
    </row>
    <row r="3556" spans="16:16" x14ac:dyDescent="0.25">
      <c r="P3556" s="137"/>
    </row>
    <row r="3557" spans="16:16" x14ac:dyDescent="0.25">
      <c r="P3557" s="137"/>
    </row>
    <row r="3558" spans="16:16" x14ac:dyDescent="0.25">
      <c r="P3558" s="137"/>
    </row>
    <row r="3559" spans="16:16" x14ac:dyDescent="0.25">
      <c r="P3559" s="137"/>
    </row>
    <row r="3560" spans="16:16" x14ac:dyDescent="0.25">
      <c r="P3560" s="137"/>
    </row>
    <row r="3561" spans="16:16" x14ac:dyDescent="0.25">
      <c r="P3561" s="137"/>
    </row>
    <row r="3562" spans="16:16" x14ac:dyDescent="0.25">
      <c r="P3562" s="137"/>
    </row>
    <row r="3563" spans="16:16" x14ac:dyDescent="0.25">
      <c r="P3563" s="137"/>
    </row>
    <row r="3564" spans="16:16" x14ac:dyDescent="0.25">
      <c r="P3564" s="137"/>
    </row>
    <row r="3565" spans="16:16" x14ac:dyDescent="0.25">
      <c r="P3565" s="137"/>
    </row>
    <row r="3566" spans="16:16" x14ac:dyDescent="0.25">
      <c r="P3566" s="137"/>
    </row>
    <row r="3567" spans="16:16" x14ac:dyDescent="0.25">
      <c r="P3567" s="137"/>
    </row>
    <row r="3568" spans="16:16" x14ac:dyDescent="0.25">
      <c r="P3568" s="137"/>
    </row>
    <row r="3569" spans="16:16" x14ac:dyDescent="0.25">
      <c r="P3569" s="137"/>
    </row>
    <row r="3570" spans="16:16" x14ac:dyDescent="0.25">
      <c r="P3570" s="137"/>
    </row>
    <row r="3571" spans="16:16" x14ac:dyDescent="0.25">
      <c r="P3571" s="137"/>
    </row>
    <row r="3572" spans="16:16" x14ac:dyDescent="0.25">
      <c r="P3572" s="137"/>
    </row>
    <row r="3573" spans="16:16" x14ac:dyDescent="0.25">
      <c r="P3573" s="137"/>
    </row>
    <row r="3574" spans="16:16" x14ac:dyDescent="0.25">
      <c r="P3574" s="137"/>
    </row>
    <row r="3575" spans="16:16" x14ac:dyDescent="0.25">
      <c r="P3575" s="137"/>
    </row>
    <row r="3576" spans="16:16" x14ac:dyDescent="0.25">
      <c r="P3576" s="137"/>
    </row>
    <row r="3577" spans="16:16" x14ac:dyDescent="0.25">
      <c r="P3577" s="137"/>
    </row>
    <row r="3578" spans="16:16" x14ac:dyDescent="0.25">
      <c r="P3578" s="137"/>
    </row>
    <row r="3579" spans="16:16" x14ac:dyDescent="0.25">
      <c r="P3579" s="137"/>
    </row>
    <row r="3580" spans="16:16" x14ac:dyDescent="0.25">
      <c r="P3580" s="137"/>
    </row>
    <row r="3581" spans="16:16" x14ac:dyDescent="0.25">
      <c r="P3581" s="137"/>
    </row>
    <row r="3582" spans="16:16" x14ac:dyDescent="0.25">
      <c r="P3582" s="137"/>
    </row>
    <row r="3583" spans="16:16" x14ac:dyDescent="0.25">
      <c r="P3583" s="137"/>
    </row>
    <row r="3584" spans="16:16" x14ac:dyDescent="0.25">
      <c r="P3584" s="137"/>
    </row>
    <row r="3585" spans="16:16" x14ac:dyDescent="0.25">
      <c r="P3585" s="137"/>
    </row>
    <row r="3586" spans="16:16" x14ac:dyDescent="0.25">
      <c r="P3586" s="137"/>
    </row>
    <row r="3587" spans="16:16" x14ac:dyDescent="0.25">
      <c r="P3587" s="137"/>
    </row>
    <row r="3588" spans="16:16" x14ac:dyDescent="0.25">
      <c r="P3588" s="137"/>
    </row>
    <row r="3589" spans="16:16" x14ac:dyDescent="0.25">
      <c r="P3589" s="137"/>
    </row>
    <row r="3590" spans="16:16" x14ac:dyDescent="0.25">
      <c r="P3590" s="137"/>
    </row>
    <row r="3591" spans="16:16" x14ac:dyDescent="0.25">
      <c r="P3591" s="137"/>
    </row>
    <row r="3592" spans="16:16" x14ac:dyDescent="0.25">
      <c r="P3592" s="137"/>
    </row>
    <row r="3593" spans="16:16" x14ac:dyDescent="0.25">
      <c r="P3593" s="137"/>
    </row>
    <row r="3594" spans="16:16" x14ac:dyDescent="0.25">
      <c r="P3594" s="137"/>
    </row>
    <row r="3595" spans="16:16" x14ac:dyDescent="0.25">
      <c r="P3595" s="137"/>
    </row>
    <row r="3596" spans="16:16" x14ac:dyDescent="0.25">
      <c r="P3596" s="137"/>
    </row>
    <row r="3597" spans="16:16" x14ac:dyDescent="0.25">
      <c r="P3597" s="137"/>
    </row>
    <row r="3598" spans="16:16" x14ac:dyDescent="0.25">
      <c r="P3598" s="137"/>
    </row>
    <row r="3599" spans="16:16" x14ac:dyDescent="0.25">
      <c r="P3599" s="137"/>
    </row>
    <row r="3600" spans="16:16" x14ac:dyDescent="0.25">
      <c r="P3600" s="137"/>
    </row>
    <row r="3601" spans="16:16" x14ac:dyDescent="0.25">
      <c r="P3601" s="137"/>
    </row>
    <row r="3602" spans="16:16" x14ac:dyDescent="0.25">
      <c r="P3602" s="137"/>
    </row>
    <row r="3603" spans="16:16" x14ac:dyDescent="0.25">
      <c r="P3603" s="137"/>
    </row>
    <row r="3604" spans="16:16" x14ac:dyDescent="0.25">
      <c r="P3604" s="137"/>
    </row>
    <row r="3605" spans="16:16" x14ac:dyDescent="0.25">
      <c r="P3605" s="137"/>
    </row>
    <row r="3606" spans="16:16" x14ac:dyDescent="0.25">
      <c r="P3606" s="137"/>
    </row>
    <row r="3607" spans="16:16" x14ac:dyDescent="0.25">
      <c r="P3607" s="137"/>
    </row>
    <row r="3608" spans="16:16" x14ac:dyDescent="0.25">
      <c r="P3608" s="137"/>
    </row>
    <row r="3609" spans="16:16" x14ac:dyDescent="0.25">
      <c r="P3609" s="137"/>
    </row>
    <row r="3610" spans="16:16" x14ac:dyDescent="0.25">
      <c r="P3610" s="137"/>
    </row>
    <row r="3611" spans="16:16" x14ac:dyDescent="0.25">
      <c r="P3611" s="137"/>
    </row>
    <row r="3612" spans="16:16" x14ac:dyDescent="0.25">
      <c r="P3612" s="137"/>
    </row>
    <row r="3613" spans="16:16" x14ac:dyDescent="0.25">
      <c r="P3613" s="137"/>
    </row>
    <row r="3614" spans="16:16" x14ac:dyDescent="0.25">
      <c r="P3614" s="137"/>
    </row>
    <row r="3615" spans="16:16" x14ac:dyDescent="0.25">
      <c r="P3615" s="137"/>
    </row>
    <row r="3616" spans="16:16" x14ac:dyDescent="0.25">
      <c r="P3616" s="137"/>
    </row>
    <row r="3617" spans="16:16" x14ac:dyDescent="0.25">
      <c r="P3617" s="137"/>
    </row>
    <row r="3618" spans="16:16" x14ac:dyDescent="0.25">
      <c r="P3618" s="137"/>
    </row>
    <row r="3619" spans="16:16" x14ac:dyDescent="0.25">
      <c r="P3619" s="137"/>
    </row>
    <row r="3620" spans="16:16" x14ac:dyDescent="0.25">
      <c r="P3620" s="137"/>
    </row>
    <row r="3621" spans="16:16" x14ac:dyDescent="0.25">
      <c r="P3621" s="137"/>
    </row>
    <row r="3622" spans="16:16" x14ac:dyDescent="0.25">
      <c r="P3622" s="137"/>
    </row>
    <row r="3623" spans="16:16" x14ac:dyDescent="0.25">
      <c r="P3623" s="137"/>
    </row>
    <row r="3624" spans="16:16" x14ac:dyDescent="0.25">
      <c r="P3624" s="137"/>
    </row>
    <row r="3625" spans="16:16" x14ac:dyDescent="0.25">
      <c r="P3625" s="137"/>
    </row>
    <row r="3626" spans="16:16" x14ac:dyDescent="0.25">
      <c r="P3626" s="137"/>
    </row>
    <row r="3627" spans="16:16" x14ac:dyDescent="0.25">
      <c r="P3627" s="137"/>
    </row>
    <row r="3628" spans="16:16" x14ac:dyDescent="0.25">
      <c r="P3628" s="137"/>
    </row>
    <row r="3629" spans="16:16" x14ac:dyDescent="0.25">
      <c r="P3629" s="137"/>
    </row>
    <row r="3630" spans="16:16" x14ac:dyDescent="0.25">
      <c r="P3630" s="137"/>
    </row>
    <row r="3631" spans="16:16" x14ac:dyDescent="0.25">
      <c r="P3631" s="137"/>
    </row>
    <row r="3632" spans="16:16" x14ac:dyDescent="0.25">
      <c r="P3632" s="137"/>
    </row>
    <row r="3633" spans="16:16" x14ac:dyDescent="0.25">
      <c r="P3633" s="137"/>
    </row>
    <row r="3634" spans="16:16" x14ac:dyDescent="0.25">
      <c r="P3634" s="137"/>
    </row>
    <row r="3635" spans="16:16" x14ac:dyDescent="0.25">
      <c r="P3635" s="137"/>
    </row>
    <row r="3636" spans="16:16" x14ac:dyDescent="0.25">
      <c r="P3636" s="137"/>
    </row>
    <row r="3637" spans="16:16" x14ac:dyDescent="0.25">
      <c r="P3637" s="137"/>
    </row>
    <row r="3638" spans="16:16" x14ac:dyDescent="0.25">
      <c r="P3638" s="137"/>
    </row>
    <row r="3639" spans="16:16" x14ac:dyDescent="0.25">
      <c r="P3639" s="137"/>
    </row>
    <row r="3640" spans="16:16" x14ac:dyDescent="0.25">
      <c r="P3640" s="137"/>
    </row>
    <row r="3641" spans="16:16" x14ac:dyDescent="0.25">
      <c r="P3641" s="137"/>
    </row>
    <row r="3642" spans="16:16" x14ac:dyDescent="0.25">
      <c r="P3642" s="137"/>
    </row>
    <row r="3643" spans="16:16" x14ac:dyDescent="0.25">
      <c r="P3643" s="137"/>
    </row>
    <row r="3644" spans="16:16" x14ac:dyDescent="0.25">
      <c r="P3644" s="137"/>
    </row>
    <row r="3645" spans="16:16" x14ac:dyDescent="0.25">
      <c r="P3645" s="137"/>
    </row>
    <row r="3646" spans="16:16" x14ac:dyDescent="0.25">
      <c r="P3646" s="137"/>
    </row>
    <row r="3647" spans="16:16" x14ac:dyDescent="0.25">
      <c r="P3647" s="137"/>
    </row>
    <row r="3648" spans="16:16" x14ac:dyDescent="0.25">
      <c r="P3648" s="137"/>
    </row>
    <row r="3649" spans="16:16" x14ac:dyDescent="0.25">
      <c r="P3649" s="137"/>
    </row>
    <row r="3650" spans="16:16" x14ac:dyDescent="0.25">
      <c r="P3650" s="137"/>
    </row>
    <row r="3651" spans="16:16" x14ac:dyDescent="0.25">
      <c r="P3651" s="137"/>
    </row>
    <row r="3652" spans="16:16" x14ac:dyDescent="0.25">
      <c r="P3652" s="137"/>
    </row>
    <row r="3653" spans="16:16" x14ac:dyDescent="0.25">
      <c r="P3653" s="137"/>
    </row>
    <row r="3654" spans="16:16" x14ac:dyDescent="0.25">
      <c r="P3654" s="137"/>
    </row>
    <row r="3655" spans="16:16" x14ac:dyDescent="0.25">
      <c r="P3655" s="137"/>
    </row>
    <row r="3656" spans="16:16" x14ac:dyDescent="0.25">
      <c r="P3656" s="137"/>
    </row>
    <row r="3657" spans="16:16" x14ac:dyDescent="0.25">
      <c r="P3657" s="137"/>
    </row>
    <row r="3658" spans="16:16" x14ac:dyDescent="0.25">
      <c r="P3658" s="137"/>
    </row>
    <row r="3659" spans="16:16" x14ac:dyDescent="0.25">
      <c r="P3659" s="137"/>
    </row>
    <row r="3660" spans="16:16" x14ac:dyDescent="0.25">
      <c r="P3660" s="137"/>
    </row>
    <row r="3661" spans="16:16" x14ac:dyDescent="0.25">
      <c r="P3661" s="137"/>
    </row>
    <row r="3662" spans="16:16" x14ac:dyDescent="0.25">
      <c r="P3662" s="137"/>
    </row>
    <row r="3663" spans="16:16" x14ac:dyDescent="0.25">
      <c r="P3663" s="137"/>
    </row>
    <row r="3664" spans="16:16" x14ac:dyDescent="0.25">
      <c r="P3664" s="137"/>
    </row>
    <row r="3665" spans="16:16" x14ac:dyDescent="0.25">
      <c r="P3665" s="137"/>
    </row>
    <row r="3666" spans="16:16" x14ac:dyDescent="0.25">
      <c r="P3666" s="137"/>
    </row>
    <row r="3667" spans="16:16" x14ac:dyDescent="0.25">
      <c r="P3667" s="137"/>
    </row>
    <row r="3668" spans="16:16" x14ac:dyDescent="0.25">
      <c r="P3668" s="137"/>
    </row>
    <row r="3669" spans="16:16" x14ac:dyDescent="0.25">
      <c r="P3669" s="137"/>
    </row>
    <row r="3670" spans="16:16" x14ac:dyDescent="0.25">
      <c r="P3670" s="137"/>
    </row>
    <row r="3671" spans="16:16" x14ac:dyDescent="0.25">
      <c r="P3671" s="137"/>
    </row>
    <row r="3672" spans="16:16" x14ac:dyDescent="0.25">
      <c r="P3672" s="137"/>
    </row>
    <row r="3673" spans="16:16" x14ac:dyDescent="0.25">
      <c r="P3673" s="137"/>
    </row>
    <row r="3674" spans="16:16" x14ac:dyDescent="0.25">
      <c r="P3674" s="137"/>
    </row>
    <row r="3675" spans="16:16" x14ac:dyDescent="0.25">
      <c r="P3675" s="137"/>
    </row>
    <row r="3676" spans="16:16" x14ac:dyDescent="0.25">
      <c r="P3676" s="137"/>
    </row>
    <row r="3677" spans="16:16" x14ac:dyDescent="0.25">
      <c r="P3677" s="137"/>
    </row>
    <row r="3678" spans="16:16" x14ac:dyDescent="0.25">
      <c r="P3678" s="137"/>
    </row>
    <row r="3679" spans="16:16" x14ac:dyDescent="0.25">
      <c r="P3679" s="137"/>
    </row>
    <row r="3680" spans="16:16" x14ac:dyDescent="0.25">
      <c r="P3680" s="137"/>
    </row>
    <row r="3681" spans="16:16" x14ac:dyDescent="0.25">
      <c r="P3681" s="137"/>
    </row>
    <row r="3682" spans="16:16" x14ac:dyDescent="0.25">
      <c r="P3682" s="137"/>
    </row>
    <row r="3683" spans="16:16" x14ac:dyDescent="0.25">
      <c r="P3683" s="137"/>
    </row>
    <row r="3684" spans="16:16" x14ac:dyDescent="0.25">
      <c r="P3684" s="137"/>
    </row>
    <row r="3685" spans="16:16" x14ac:dyDescent="0.25">
      <c r="P3685" s="137"/>
    </row>
    <row r="3686" spans="16:16" x14ac:dyDescent="0.25">
      <c r="P3686" s="137"/>
    </row>
    <row r="3687" spans="16:16" x14ac:dyDescent="0.25">
      <c r="P3687" s="137"/>
    </row>
    <row r="3688" spans="16:16" x14ac:dyDescent="0.25">
      <c r="P3688" s="137"/>
    </row>
    <row r="3689" spans="16:16" x14ac:dyDescent="0.25">
      <c r="P3689" s="137"/>
    </row>
    <row r="3690" spans="16:16" x14ac:dyDescent="0.25">
      <c r="P3690" s="137"/>
    </row>
    <row r="3691" spans="16:16" x14ac:dyDescent="0.25">
      <c r="P3691" s="137"/>
    </row>
    <row r="3692" spans="16:16" x14ac:dyDescent="0.25">
      <c r="P3692" s="137"/>
    </row>
    <row r="3693" spans="16:16" x14ac:dyDescent="0.25">
      <c r="P3693" s="137"/>
    </row>
    <row r="3694" spans="16:16" x14ac:dyDescent="0.25">
      <c r="P3694" s="137"/>
    </row>
    <row r="3695" spans="16:16" x14ac:dyDescent="0.25">
      <c r="P3695" s="137"/>
    </row>
    <row r="3696" spans="16:16" x14ac:dyDescent="0.25">
      <c r="P3696" s="137"/>
    </row>
    <row r="3697" spans="16:16" x14ac:dyDescent="0.25">
      <c r="P3697" s="137"/>
    </row>
    <row r="3698" spans="16:16" x14ac:dyDescent="0.25">
      <c r="P3698" s="137"/>
    </row>
    <row r="3699" spans="16:16" x14ac:dyDescent="0.25">
      <c r="P3699" s="137"/>
    </row>
    <row r="3700" spans="16:16" x14ac:dyDescent="0.25">
      <c r="P3700" s="137"/>
    </row>
    <row r="3701" spans="16:16" x14ac:dyDescent="0.25">
      <c r="P3701" s="137"/>
    </row>
    <row r="3702" spans="16:16" x14ac:dyDescent="0.25">
      <c r="P3702" s="137"/>
    </row>
    <row r="3703" spans="16:16" x14ac:dyDescent="0.25">
      <c r="P3703" s="137"/>
    </row>
    <row r="3704" spans="16:16" x14ac:dyDescent="0.25">
      <c r="P3704" s="137"/>
    </row>
    <row r="3705" spans="16:16" x14ac:dyDescent="0.25">
      <c r="P3705" s="137"/>
    </row>
    <row r="3706" spans="16:16" x14ac:dyDescent="0.25">
      <c r="P3706" s="137"/>
    </row>
    <row r="3707" spans="16:16" x14ac:dyDescent="0.25">
      <c r="P3707" s="137"/>
    </row>
    <row r="3708" spans="16:16" x14ac:dyDescent="0.25">
      <c r="P3708" s="137"/>
    </row>
    <row r="3709" spans="16:16" x14ac:dyDescent="0.25">
      <c r="P3709" s="137"/>
    </row>
    <row r="3710" spans="16:16" x14ac:dyDescent="0.25">
      <c r="P3710" s="137"/>
    </row>
    <row r="3711" spans="16:16" x14ac:dyDescent="0.25">
      <c r="P3711" s="137"/>
    </row>
    <row r="3712" spans="16:16" x14ac:dyDescent="0.25">
      <c r="P3712" s="137"/>
    </row>
    <row r="3713" spans="16:16" x14ac:dyDescent="0.25">
      <c r="P3713" s="137"/>
    </row>
    <row r="3714" spans="16:16" x14ac:dyDescent="0.25">
      <c r="P3714" s="137"/>
    </row>
    <row r="3715" spans="16:16" x14ac:dyDescent="0.25">
      <c r="P3715" s="137"/>
    </row>
    <row r="3716" spans="16:16" x14ac:dyDescent="0.25">
      <c r="P3716" s="137"/>
    </row>
    <row r="3717" spans="16:16" x14ac:dyDescent="0.25">
      <c r="P3717" s="137"/>
    </row>
    <row r="3718" spans="16:16" x14ac:dyDescent="0.25">
      <c r="P3718" s="137"/>
    </row>
    <row r="3719" spans="16:16" x14ac:dyDescent="0.25">
      <c r="P3719" s="137"/>
    </row>
    <row r="3720" spans="16:16" x14ac:dyDescent="0.25">
      <c r="P3720" s="137"/>
    </row>
    <row r="3721" spans="16:16" x14ac:dyDescent="0.25">
      <c r="P3721" s="137"/>
    </row>
    <row r="3722" spans="16:16" x14ac:dyDescent="0.25">
      <c r="P3722" s="137"/>
    </row>
    <row r="3723" spans="16:16" x14ac:dyDescent="0.25">
      <c r="P3723" s="137"/>
    </row>
    <row r="3724" spans="16:16" x14ac:dyDescent="0.25">
      <c r="P3724" s="137"/>
    </row>
    <row r="3725" spans="16:16" x14ac:dyDescent="0.25">
      <c r="P3725" s="137"/>
    </row>
    <row r="3726" spans="16:16" x14ac:dyDescent="0.25">
      <c r="P3726" s="137"/>
    </row>
    <row r="3727" spans="16:16" x14ac:dyDescent="0.25">
      <c r="P3727" s="137"/>
    </row>
    <row r="3728" spans="16:16" x14ac:dyDescent="0.25">
      <c r="P3728" s="137"/>
    </row>
    <row r="3729" spans="16:16" x14ac:dyDescent="0.25">
      <c r="P3729" s="137"/>
    </row>
    <row r="3730" spans="16:16" x14ac:dyDescent="0.25">
      <c r="P3730" s="137"/>
    </row>
    <row r="3731" spans="16:16" x14ac:dyDescent="0.25">
      <c r="P3731" s="137"/>
    </row>
    <row r="3732" spans="16:16" x14ac:dyDescent="0.25">
      <c r="P3732" s="137"/>
    </row>
    <row r="3733" spans="16:16" x14ac:dyDescent="0.25">
      <c r="P3733" s="137"/>
    </row>
    <row r="3734" spans="16:16" x14ac:dyDescent="0.25">
      <c r="P3734" s="137"/>
    </row>
    <row r="3735" spans="16:16" x14ac:dyDescent="0.25">
      <c r="P3735" s="137"/>
    </row>
    <row r="3736" spans="16:16" x14ac:dyDescent="0.25">
      <c r="P3736" s="137"/>
    </row>
    <row r="3737" spans="16:16" x14ac:dyDescent="0.25">
      <c r="P3737" s="137"/>
    </row>
    <row r="3738" spans="16:16" x14ac:dyDescent="0.25">
      <c r="P3738" s="137"/>
    </row>
    <row r="3739" spans="16:16" x14ac:dyDescent="0.25">
      <c r="P3739" s="137"/>
    </row>
    <row r="3740" spans="16:16" x14ac:dyDescent="0.25">
      <c r="P3740" s="137"/>
    </row>
    <row r="3741" spans="16:16" x14ac:dyDescent="0.25">
      <c r="P3741" s="137"/>
    </row>
    <row r="3742" spans="16:16" x14ac:dyDescent="0.25">
      <c r="P3742" s="137"/>
    </row>
    <row r="3743" spans="16:16" x14ac:dyDescent="0.25">
      <c r="P3743" s="137"/>
    </row>
    <row r="3744" spans="16:16" x14ac:dyDescent="0.25">
      <c r="P3744" s="137"/>
    </row>
    <row r="3745" spans="16:16" x14ac:dyDescent="0.25">
      <c r="P3745" s="137"/>
    </row>
    <row r="3746" spans="16:16" x14ac:dyDescent="0.25">
      <c r="P3746" s="137"/>
    </row>
    <row r="3747" spans="16:16" x14ac:dyDescent="0.25">
      <c r="P3747" s="137"/>
    </row>
    <row r="3748" spans="16:16" x14ac:dyDescent="0.25">
      <c r="P3748" s="137"/>
    </row>
    <row r="3749" spans="16:16" x14ac:dyDescent="0.25">
      <c r="P3749" s="137"/>
    </row>
    <row r="3750" spans="16:16" x14ac:dyDescent="0.25">
      <c r="P3750" s="137"/>
    </row>
    <row r="3751" spans="16:16" x14ac:dyDescent="0.25">
      <c r="P3751" s="137"/>
    </row>
    <row r="3752" spans="16:16" x14ac:dyDescent="0.25">
      <c r="P3752" s="137"/>
    </row>
    <row r="3753" spans="16:16" x14ac:dyDescent="0.25">
      <c r="P3753" s="137"/>
    </row>
    <row r="3754" spans="16:16" x14ac:dyDescent="0.25">
      <c r="P3754" s="137"/>
    </row>
    <row r="3755" spans="16:16" x14ac:dyDescent="0.25">
      <c r="P3755" s="137"/>
    </row>
    <row r="3756" spans="16:16" x14ac:dyDescent="0.25">
      <c r="P3756" s="137"/>
    </row>
    <row r="3757" spans="16:16" x14ac:dyDescent="0.25">
      <c r="P3757" s="137"/>
    </row>
    <row r="3758" spans="16:16" x14ac:dyDescent="0.25">
      <c r="P3758" s="137"/>
    </row>
    <row r="3759" spans="16:16" x14ac:dyDescent="0.25">
      <c r="P3759" s="137"/>
    </row>
    <row r="3760" spans="16:16" x14ac:dyDescent="0.25">
      <c r="P3760" s="137"/>
    </row>
    <row r="3761" spans="16:16" x14ac:dyDescent="0.25">
      <c r="P3761" s="137"/>
    </row>
    <row r="3762" spans="16:16" x14ac:dyDescent="0.25">
      <c r="P3762" s="137"/>
    </row>
    <row r="3763" spans="16:16" x14ac:dyDescent="0.25">
      <c r="P3763" s="137"/>
    </row>
    <row r="3764" spans="16:16" x14ac:dyDescent="0.25">
      <c r="P3764" s="137"/>
    </row>
    <row r="3765" spans="16:16" x14ac:dyDescent="0.25">
      <c r="P3765" s="137"/>
    </row>
    <row r="3766" spans="16:16" x14ac:dyDescent="0.25">
      <c r="P3766" s="137"/>
    </row>
    <row r="3767" spans="16:16" x14ac:dyDescent="0.25">
      <c r="P3767" s="137"/>
    </row>
    <row r="3768" spans="16:16" x14ac:dyDescent="0.25">
      <c r="P3768" s="137"/>
    </row>
    <row r="3769" spans="16:16" x14ac:dyDescent="0.25">
      <c r="P3769" s="137"/>
    </row>
    <row r="3770" spans="16:16" x14ac:dyDescent="0.25">
      <c r="P3770" s="137"/>
    </row>
    <row r="3771" spans="16:16" x14ac:dyDescent="0.25">
      <c r="P3771" s="137"/>
    </row>
    <row r="3772" spans="16:16" x14ac:dyDescent="0.25">
      <c r="P3772" s="137"/>
    </row>
    <row r="3773" spans="16:16" x14ac:dyDescent="0.25">
      <c r="P3773" s="137"/>
    </row>
    <row r="3774" spans="16:16" x14ac:dyDescent="0.25">
      <c r="P3774" s="137"/>
    </row>
    <row r="3775" spans="16:16" x14ac:dyDescent="0.25">
      <c r="P3775" s="137"/>
    </row>
    <row r="3776" spans="16:16" x14ac:dyDescent="0.25">
      <c r="P3776" s="137"/>
    </row>
    <row r="3777" spans="16:16" x14ac:dyDescent="0.25">
      <c r="P3777" s="137"/>
    </row>
    <row r="3778" spans="16:16" x14ac:dyDescent="0.25">
      <c r="P3778" s="137"/>
    </row>
    <row r="3779" spans="16:16" x14ac:dyDescent="0.25">
      <c r="P3779" s="137"/>
    </row>
    <row r="3780" spans="16:16" x14ac:dyDescent="0.25">
      <c r="P3780" s="137"/>
    </row>
    <row r="3781" spans="16:16" x14ac:dyDescent="0.25">
      <c r="P3781" s="137"/>
    </row>
    <row r="3782" spans="16:16" x14ac:dyDescent="0.25">
      <c r="P3782" s="137"/>
    </row>
    <row r="3783" spans="16:16" x14ac:dyDescent="0.25">
      <c r="P3783" s="137"/>
    </row>
    <row r="3784" spans="16:16" x14ac:dyDescent="0.25">
      <c r="P3784" s="137"/>
    </row>
    <row r="3785" spans="16:16" x14ac:dyDescent="0.25">
      <c r="P3785" s="137"/>
    </row>
    <row r="3786" spans="16:16" x14ac:dyDescent="0.25">
      <c r="P3786" s="137"/>
    </row>
    <row r="3787" spans="16:16" x14ac:dyDescent="0.25">
      <c r="P3787" s="137"/>
    </row>
    <row r="3788" spans="16:16" x14ac:dyDescent="0.25">
      <c r="P3788" s="137"/>
    </row>
    <row r="3789" spans="16:16" x14ac:dyDescent="0.25">
      <c r="P3789" s="137"/>
    </row>
    <row r="3790" spans="16:16" x14ac:dyDescent="0.25">
      <c r="P3790" s="137"/>
    </row>
    <row r="3791" spans="16:16" x14ac:dyDescent="0.25">
      <c r="P3791" s="137"/>
    </row>
    <row r="3792" spans="16:16" x14ac:dyDescent="0.25">
      <c r="P3792" s="137"/>
    </row>
    <row r="3793" spans="16:16" x14ac:dyDescent="0.25">
      <c r="P3793" s="137"/>
    </row>
    <row r="3794" spans="16:16" x14ac:dyDescent="0.25">
      <c r="P3794" s="137"/>
    </row>
    <row r="3795" spans="16:16" x14ac:dyDescent="0.25">
      <c r="P3795" s="137"/>
    </row>
    <row r="3796" spans="16:16" x14ac:dyDescent="0.25">
      <c r="P3796" s="137"/>
    </row>
    <row r="3797" spans="16:16" x14ac:dyDescent="0.25">
      <c r="P3797" s="137"/>
    </row>
    <row r="3798" spans="16:16" x14ac:dyDescent="0.25">
      <c r="P3798" s="137"/>
    </row>
    <row r="3799" spans="16:16" x14ac:dyDescent="0.25">
      <c r="P3799" s="137"/>
    </row>
    <row r="3800" spans="16:16" x14ac:dyDescent="0.25">
      <c r="P3800" s="137"/>
    </row>
    <row r="3801" spans="16:16" x14ac:dyDescent="0.25">
      <c r="P3801" s="137"/>
    </row>
    <row r="3802" spans="16:16" x14ac:dyDescent="0.25">
      <c r="P3802" s="137"/>
    </row>
    <row r="3803" spans="16:16" x14ac:dyDescent="0.25">
      <c r="P3803" s="137"/>
    </row>
    <row r="3804" spans="16:16" x14ac:dyDescent="0.25">
      <c r="P3804" s="137"/>
    </row>
    <row r="3805" spans="16:16" x14ac:dyDescent="0.25">
      <c r="P3805" s="137"/>
    </row>
    <row r="3806" spans="16:16" x14ac:dyDescent="0.25">
      <c r="P3806" s="137"/>
    </row>
    <row r="3807" spans="16:16" x14ac:dyDescent="0.25">
      <c r="P3807" s="137"/>
    </row>
    <row r="3808" spans="16:16" x14ac:dyDescent="0.25">
      <c r="P3808" s="137"/>
    </row>
    <row r="3809" spans="16:16" x14ac:dyDescent="0.25">
      <c r="P3809" s="137"/>
    </row>
    <row r="3810" spans="16:16" x14ac:dyDescent="0.25">
      <c r="P3810" s="137"/>
    </row>
    <row r="3811" spans="16:16" x14ac:dyDescent="0.25">
      <c r="P3811" s="137"/>
    </row>
    <row r="3812" spans="16:16" x14ac:dyDescent="0.25">
      <c r="P3812" s="137"/>
    </row>
    <row r="3813" spans="16:16" x14ac:dyDescent="0.25">
      <c r="P3813" s="137"/>
    </row>
    <row r="3814" spans="16:16" x14ac:dyDescent="0.25">
      <c r="P3814" s="137"/>
    </row>
    <row r="3815" spans="16:16" x14ac:dyDescent="0.25">
      <c r="P3815" s="137"/>
    </row>
    <row r="3816" spans="16:16" x14ac:dyDescent="0.25">
      <c r="P3816" s="137"/>
    </row>
    <row r="3817" spans="16:16" x14ac:dyDescent="0.25">
      <c r="P3817" s="137"/>
    </row>
    <row r="3818" spans="16:16" x14ac:dyDescent="0.25">
      <c r="P3818" s="137"/>
    </row>
    <row r="3819" spans="16:16" x14ac:dyDescent="0.25">
      <c r="P3819" s="137"/>
    </row>
    <row r="3820" spans="16:16" x14ac:dyDescent="0.25">
      <c r="P3820" s="137"/>
    </row>
    <row r="3821" spans="16:16" x14ac:dyDescent="0.25">
      <c r="P3821" s="137"/>
    </row>
    <row r="3822" spans="16:16" x14ac:dyDescent="0.25">
      <c r="P3822" s="137"/>
    </row>
    <row r="3823" spans="16:16" x14ac:dyDescent="0.25">
      <c r="P3823" s="137"/>
    </row>
    <row r="3824" spans="16:16" x14ac:dyDescent="0.25">
      <c r="P3824" s="137"/>
    </row>
    <row r="3825" spans="16:16" x14ac:dyDescent="0.25">
      <c r="P3825" s="137"/>
    </row>
    <row r="3826" spans="16:16" x14ac:dyDescent="0.25">
      <c r="P3826" s="137"/>
    </row>
    <row r="3827" spans="16:16" x14ac:dyDescent="0.25">
      <c r="P3827" s="137"/>
    </row>
    <row r="3828" spans="16:16" x14ac:dyDescent="0.25">
      <c r="P3828" s="137"/>
    </row>
    <row r="3829" spans="16:16" x14ac:dyDescent="0.25">
      <c r="P3829" s="137"/>
    </row>
    <row r="3830" spans="16:16" x14ac:dyDescent="0.25">
      <c r="P3830" s="137"/>
    </row>
    <row r="3831" spans="16:16" x14ac:dyDescent="0.25">
      <c r="P3831" s="137"/>
    </row>
    <row r="3832" spans="16:16" x14ac:dyDescent="0.25">
      <c r="P3832" s="137"/>
    </row>
    <row r="3833" spans="16:16" x14ac:dyDescent="0.25">
      <c r="P3833" s="137"/>
    </row>
    <row r="3834" spans="16:16" x14ac:dyDescent="0.25">
      <c r="P3834" s="137"/>
    </row>
    <row r="3835" spans="16:16" x14ac:dyDescent="0.25">
      <c r="P3835" s="137"/>
    </row>
    <row r="3836" spans="16:16" x14ac:dyDescent="0.25">
      <c r="P3836" s="137"/>
    </row>
    <row r="3837" spans="16:16" x14ac:dyDescent="0.25">
      <c r="P3837" s="137"/>
    </row>
    <row r="3838" spans="16:16" x14ac:dyDescent="0.25">
      <c r="P3838" s="137"/>
    </row>
    <row r="3839" spans="16:16" x14ac:dyDescent="0.25">
      <c r="P3839" s="137"/>
    </row>
    <row r="3840" spans="16:16" x14ac:dyDescent="0.25">
      <c r="P3840" s="137"/>
    </row>
    <row r="3841" spans="16:16" x14ac:dyDescent="0.25">
      <c r="P3841" s="137"/>
    </row>
    <row r="3842" spans="16:16" x14ac:dyDescent="0.25">
      <c r="P3842" s="137"/>
    </row>
    <row r="3843" spans="16:16" x14ac:dyDescent="0.25">
      <c r="P3843" s="137"/>
    </row>
    <row r="3844" spans="16:16" x14ac:dyDescent="0.25">
      <c r="P3844" s="137"/>
    </row>
    <row r="3845" spans="16:16" x14ac:dyDescent="0.25">
      <c r="P3845" s="137"/>
    </row>
    <row r="3846" spans="16:16" x14ac:dyDescent="0.25">
      <c r="P3846" s="137"/>
    </row>
    <row r="3847" spans="16:16" x14ac:dyDescent="0.25">
      <c r="P3847" s="137"/>
    </row>
    <row r="3848" spans="16:16" x14ac:dyDescent="0.25">
      <c r="P3848" s="137"/>
    </row>
    <row r="3849" spans="16:16" x14ac:dyDescent="0.25">
      <c r="P3849" s="137"/>
    </row>
    <row r="3850" spans="16:16" x14ac:dyDescent="0.25">
      <c r="P3850" s="137"/>
    </row>
    <row r="3851" spans="16:16" x14ac:dyDescent="0.25">
      <c r="P3851" s="137"/>
    </row>
    <row r="3852" spans="16:16" x14ac:dyDescent="0.25">
      <c r="P3852" s="137"/>
    </row>
    <row r="3853" spans="16:16" x14ac:dyDescent="0.25">
      <c r="P3853" s="137"/>
    </row>
    <row r="3854" spans="16:16" x14ac:dyDescent="0.25">
      <c r="P3854" s="137"/>
    </row>
    <row r="3855" spans="16:16" x14ac:dyDescent="0.25">
      <c r="P3855" s="137"/>
    </row>
    <row r="3856" spans="16:16" x14ac:dyDescent="0.25">
      <c r="P3856" s="137"/>
    </row>
    <row r="3857" spans="16:16" x14ac:dyDescent="0.25">
      <c r="P3857" s="137"/>
    </row>
    <row r="3858" spans="16:16" x14ac:dyDescent="0.25">
      <c r="P3858" s="137"/>
    </row>
    <row r="3859" spans="16:16" x14ac:dyDescent="0.25">
      <c r="P3859" s="137"/>
    </row>
    <row r="3860" spans="16:16" x14ac:dyDescent="0.25">
      <c r="P3860" s="137"/>
    </row>
    <row r="3861" spans="16:16" x14ac:dyDescent="0.25">
      <c r="P3861" s="137"/>
    </row>
    <row r="3862" spans="16:16" x14ac:dyDescent="0.25">
      <c r="P3862" s="137"/>
    </row>
    <row r="3863" spans="16:16" x14ac:dyDescent="0.25">
      <c r="P3863" s="137"/>
    </row>
    <row r="3864" spans="16:16" x14ac:dyDescent="0.25">
      <c r="P3864" s="137"/>
    </row>
    <row r="3865" spans="16:16" x14ac:dyDescent="0.25">
      <c r="P3865" s="137"/>
    </row>
    <row r="3866" spans="16:16" x14ac:dyDescent="0.25">
      <c r="P3866" s="137"/>
    </row>
    <row r="3867" spans="16:16" x14ac:dyDescent="0.25">
      <c r="P3867" s="137"/>
    </row>
    <row r="3868" spans="16:16" x14ac:dyDescent="0.25">
      <c r="P3868" s="137"/>
    </row>
    <row r="3869" spans="16:16" x14ac:dyDescent="0.25">
      <c r="P3869" s="137"/>
    </row>
    <row r="3870" spans="16:16" x14ac:dyDescent="0.25">
      <c r="P3870" s="137"/>
    </row>
    <row r="3871" spans="16:16" x14ac:dyDescent="0.25">
      <c r="P3871" s="137"/>
    </row>
    <row r="3872" spans="16:16" x14ac:dyDescent="0.25">
      <c r="P3872" s="137"/>
    </row>
    <row r="3873" spans="16:16" x14ac:dyDescent="0.25">
      <c r="P3873" s="137"/>
    </row>
    <row r="3874" spans="16:16" x14ac:dyDescent="0.25">
      <c r="P3874" s="137"/>
    </row>
    <row r="3875" spans="16:16" x14ac:dyDescent="0.25">
      <c r="P3875" s="137"/>
    </row>
    <row r="3876" spans="16:16" x14ac:dyDescent="0.25">
      <c r="P3876" s="137"/>
    </row>
    <row r="3877" spans="16:16" x14ac:dyDescent="0.25">
      <c r="P3877" s="137"/>
    </row>
    <row r="3878" spans="16:16" x14ac:dyDescent="0.25">
      <c r="P3878" s="137"/>
    </row>
    <row r="3879" spans="16:16" x14ac:dyDescent="0.25">
      <c r="P3879" s="137"/>
    </row>
    <row r="3880" spans="16:16" x14ac:dyDescent="0.25">
      <c r="P3880" s="137"/>
    </row>
    <row r="3881" spans="16:16" x14ac:dyDescent="0.25">
      <c r="P3881" s="137"/>
    </row>
    <row r="3882" spans="16:16" x14ac:dyDescent="0.25">
      <c r="P3882" s="137"/>
    </row>
    <row r="3883" spans="16:16" x14ac:dyDescent="0.25">
      <c r="P3883" s="137"/>
    </row>
    <row r="3884" spans="16:16" x14ac:dyDescent="0.25">
      <c r="P3884" s="137"/>
    </row>
    <row r="3885" spans="16:16" x14ac:dyDescent="0.25">
      <c r="P3885" s="137"/>
    </row>
    <row r="3886" spans="16:16" x14ac:dyDescent="0.25">
      <c r="P3886" s="137"/>
    </row>
    <row r="3887" spans="16:16" x14ac:dyDescent="0.25">
      <c r="P3887" s="137"/>
    </row>
    <row r="3888" spans="16:16" x14ac:dyDescent="0.25">
      <c r="P3888" s="137"/>
    </row>
    <row r="3889" spans="16:16" x14ac:dyDescent="0.25">
      <c r="P3889" s="137"/>
    </row>
    <row r="3890" spans="16:16" x14ac:dyDescent="0.25">
      <c r="P3890" s="137"/>
    </row>
    <row r="3891" spans="16:16" x14ac:dyDescent="0.25">
      <c r="P3891" s="137"/>
    </row>
    <row r="3892" spans="16:16" x14ac:dyDescent="0.25">
      <c r="P3892" s="137"/>
    </row>
    <row r="3893" spans="16:16" x14ac:dyDescent="0.25">
      <c r="P3893" s="137"/>
    </row>
    <row r="3894" spans="16:16" x14ac:dyDescent="0.25">
      <c r="P3894" s="137"/>
    </row>
    <row r="3895" spans="16:16" x14ac:dyDescent="0.25">
      <c r="P3895" s="137"/>
    </row>
    <row r="3896" spans="16:16" x14ac:dyDescent="0.25">
      <c r="P3896" s="137"/>
    </row>
    <row r="3897" spans="16:16" x14ac:dyDescent="0.25">
      <c r="P3897" s="137"/>
    </row>
    <row r="3898" spans="16:16" x14ac:dyDescent="0.25">
      <c r="P3898" s="137"/>
    </row>
    <row r="3899" spans="16:16" x14ac:dyDescent="0.25">
      <c r="P3899" s="137"/>
    </row>
    <row r="3900" spans="16:16" x14ac:dyDescent="0.25">
      <c r="P3900" s="137"/>
    </row>
    <row r="3901" spans="16:16" x14ac:dyDescent="0.25">
      <c r="P3901" s="137"/>
    </row>
    <row r="3902" spans="16:16" x14ac:dyDescent="0.25">
      <c r="P3902" s="137"/>
    </row>
    <row r="3903" spans="16:16" x14ac:dyDescent="0.25">
      <c r="P3903" s="137"/>
    </row>
    <row r="3904" spans="16:16" x14ac:dyDescent="0.25">
      <c r="P3904" s="137"/>
    </row>
    <row r="3905" spans="16:16" x14ac:dyDescent="0.25">
      <c r="P3905" s="137"/>
    </row>
    <row r="3906" spans="16:16" x14ac:dyDescent="0.25">
      <c r="P3906" s="137"/>
    </row>
    <row r="3907" spans="16:16" x14ac:dyDescent="0.25">
      <c r="P3907" s="137"/>
    </row>
    <row r="3908" spans="16:16" x14ac:dyDescent="0.25">
      <c r="P3908" s="137"/>
    </row>
    <row r="3909" spans="16:16" x14ac:dyDescent="0.25">
      <c r="P3909" s="137"/>
    </row>
    <row r="3910" spans="16:16" x14ac:dyDescent="0.25">
      <c r="P3910" s="137"/>
    </row>
    <row r="3911" spans="16:16" x14ac:dyDescent="0.25">
      <c r="P3911" s="137"/>
    </row>
    <row r="3912" spans="16:16" x14ac:dyDescent="0.25">
      <c r="P3912" s="137"/>
    </row>
    <row r="3913" spans="16:16" x14ac:dyDescent="0.25">
      <c r="P3913" s="137"/>
    </row>
    <row r="3914" spans="16:16" x14ac:dyDescent="0.25">
      <c r="P3914" s="137"/>
    </row>
    <row r="3915" spans="16:16" x14ac:dyDescent="0.25">
      <c r="P3915" s="137"/>
    </row>
    <row r="3916" spans="16:16" x14ac:dyDescent="0.25">
      <c r="P3916" s="137"/>
    </row>
    <row r="3917" spans="16:16" x14ac:dyDescent="0.25">
      <c r="P3917" s="137"/>
    </row>
    <row r="3918" spans="16:16" x14ac:dyDescent="0.25">
      <c r="P3918" s="137"/>
    </row>
    <row r="3919" spans="16:16" x14ac:dyDescent="0.25">
      <c r="P3919" s="137"/>
    </row>
    <row r="3920" spans="16:16" x14ac:dyDescent="0.25">
      <c r="P3920" s="137"/>
    </row>
    <row r="3921" spans="16:16" x14ac:dyDescent="0.25">
      <c r="P3921" s="137"/>
    </row>
    <row r="3922" spans="16:16" x14ac:dyDescent="0.25">
      <c r="P3922" s="137"/>
    </row>
    <row r="3923" spans="16:16" x14ac:dyDescent="0.25">
      <c r="P3923" s="137"/>
    </row>
    <row r="3924" spans="16:16" x14ac:dyDescent="0.25">
      <c r="P3924" s="137"/>
    </row>
    <row r="3925" spans="16:16" x14ac:dyDescent="0.25">
      <c r="P3925" s="137"/>
    </row>
    <row r="3926" spans="16:16" x14ac:dyDescent="0.25">
      <c r="P3926" s="137"/>
    </row>
    <row r="3927" spans="16:16" x14ac:dyDescent="0.25">
      <c r="P3927" s="137"/>
    </row>
    <row r="3928" spans="16:16" x14ac:dyDescent="0.25">
      <c r="P3928" s="137"/>
    </row>
    <row r="3929" spans="16:16" x14ac:dyDescent="0.25">
      <c r="P3929" s="137"/>
    </row>
    <row r="3930" spans="16:16" x14ac:dyDescent="0.25">
      <c r="P3930" s="137"/>
    </row>
    <row r="3931" spans="16:16" x14ac:dyDescent="0.25">
      <c r="P3931" s="137"/>
    </row>
    <row r="3932" spans="16:16" x14ac:dyDescent="0.25">
      <c r="P3932" s="137"/>
    </row>
    <row r="3933" spans="16:16" x14ac:dyDescent="0.25">
      <c r="P3933" s="137"/>
    </row>
    <row r="3934" spans="16:16" x14ac:dyDescent="0.25">
      <c r="P3934" s="137"/>
    </row>
    <row r="3935" spans="16:16" x14ac:dyDescent="0.25">
      <c r="P3935" s="137"/>
    </row>
    <row r="3936" spans="16:16" x14ac:dyDescent="0.25">
      <c r="P3936" s="137"/>
    </row>
    <row r="3937" spans="16:16" x14ac:dyDescent="0.25">
      <c r="P3937" s="137"/>
    </row>
    <row r="3938" spans="16:16" x14ac:dyDescent="0.25">
      <c r="P3938" s="137"/>
    </row>
    <row r="3939" spans="16:16" x14ac:dyDescent="0.25">
      <c r="P3939" s="137"/>
    </row>
    <row r="3940" spans="16:16" x14ac:dyDescent="0.25">
      <c r="P3940" s="137"/>
    </row>
    <row r="3941" spans="16:16" x14ac:dyDescent="0.25">
      <c r="P3941" s="137"/>
    </row>
    <row r="3942" spans="16:16" x14ac:dyDescent="0.25">
      <c r="P3942" s="137"/>
    </row>
    <row r="3943" spans="16:16" x14ac:dyDescent="0.25">
      <c r="P3943" s="137"/>
    </row>
    <row r="3944" spans="16:16" x14ac:dyDescent="0.25">
      <c r="P3944" s="137"/>
    </row>
    <row r="3945" spans="16:16" x14ac:dyDescent="0.25">
      <c r="P3945" s="137"/>
    </row>
    <row r="3946" spans="16:16" x14ac:dyDescent="0.25">
      <c r="P3946" s="137"/>
    </row>
    <row r="3947" spans="16:16" x14ac:dyDescent="0.25">
      <c r="P3947" s="137"/>
    </row>
    <row r="3948" spans="16:16" x14ac:dyDescent="0.25">
      <c r="P3948" s="137"/>
    </row>
    <row r="3949" spans="16:16" x14ac:dyDescent="0.25">
      <c r="P3949" s="137"/>
    </row>
    <row r="3950" spans="16:16" x14ac:dyDescent="0.25">
      <c r="P3950" s="137"/>
    </row>
    <row r="3951" spans="16:16" x14ac:dyDescent="0.25">
      <c r="P3951" s="137"/>
    </row>
    <row r="3952" spans="16:16" x14ac:dyDescent="0.25">
      <c r="P3952" s="137"/>
    </row>
    <row r="3953" spans="16:16" x14ac:dyDescent="0.25">
      <c r="P3953" s="137"/>
    </row>
    <row r="3954" spans="16:16" x14ac:dyDescent="0.25">
      <c r="P3954" s="137"/>
    </row>
    <row r="3955" spans="16:16" x14ac:dyDescent="0.25">
      <c r="P3955" s="137"/>
    </row>
    <row r="3956" spans="16:16" x14ac:dyDescent="0.25">
      <c r="P3956" s="137"/>
    </row>
    <row r="3957" spans="16:16" x14ac:dyDescent="0.25">
      <c r="P3957" s="137"/>
    </row>
    <row r="3958" spans="16:16" x14ac:dyDescent="0.25">
      <c r="P3958" s="137"/>
    </row>
    <row r="3959" spans="16:16" x14ac:dyDescent="0.25">
      <c r="P3959" s="137"/>
    </row>
    <row r="3960" spans="16:16" x14ac:dyDescent="0.25">
      <c r="P3960" s="137"/>
    </row>
    <row r="3961" spans="16:16" x14ac:dyDescent="0.25">
      <c r="P3961" s="137"/>
    </row>
    <row r="3962" spans="16:16" x14ac:dyDescent="0.25">
      <c r="P3962" s="137"/>
    </row>
    <row r="3963" spans="16:16" x14ac:dyDescent="0.25">
      <c r="P3963" s="137"/>
    </row>
    <row r="3964" spans="16:16" x14ac:dyDescent="0.25">
      <c r="P3964" s="137"/>
    </row>
    <row r="3965" spans="16:16" x14ac:dyDescent="0.25">
      <c r="P3965" s="137"/>
    </row>
    <row r="3966" spans="16:16" x14ac:dyDescent="0.25">
      <c r="P3966" s="137"/>
    </row>
    <row r="3967" spans="16:16" x14ac:dyDescent="0.25">
      <c r="P3967" s="137"/>
    </row>
    <row r="3968" spans="16:16" x14ac:dyDescent="0.25">
      <c r="P3968" s="137"/>
    </row>
    <row r="3969" spans="16:16" x14ac:dyDescent="0.25">
      <c r="P3969" s="137"/>
    </row>
    <row r="3970" spans="16:16" x14ac:dyDescent="0.25">
      <c r="P3970" s="137"/>
    </row>
    <row r="3971" spans="16:16" x14ac:dyDescent="0.25">
      <c r="P3971" s="137"/>
    </row>
    <row r="3972" spans="16:16" x14ac:dyDescent="0.25">
      <c r="P3972" s="137"/>
    </row>
    <row r="3973" spans="16:16" x14ac:dyDescent="0.25">
      <c r="P3973" s="137"/>
    </row>
    <row r="3974" spans="16:16" x14ac:dyDescent="0.25">
      <c r="P3974" s="137"/>
    </row>
    <row r="3975" spans="16:16" x14ac:dyDescent="0.25">
      <c r="P3975" s="137"/>
    </row>
    <row r="3976" spans="16:16" x14ac:dyDescent="0.25">
      <c r="P3976" s="137"/>
    </row>
    <row r="3977" spans="16:16" x14ac:dyDescent="0.25">
      <c r="P3977" s="137"/>
    </row>
    <row r="3978" spans="16:16" x14ac:dyDescent="0.25">
      <c r="P3978" s="137"/>
    </row>
    <row r="3979" spans="16:16" x14ac:dyDescent="0.25">
      <c r="P3979" s="137"/>
    </row>
    <row r="3980" spans="16:16" x14ac:dyDescent="0.25">
      <c r="P3980" s="137"/>
    </row>
    <row r="3981" spans="16:16" x14ac:dyDescent="0.25">
      <c r="P3981" s="137"/>
    </row>
    <row r="3982" spans="16:16" x14ac:dyDescent="0.25">
      <c r="P3982" s="137"/>
    </row>
    <row r="3983" spans="16:16" x14ac:dyDescent="0.25">
      <c r="P3983" s="137"/>
    </row>
    <row r="3984" spans="16:16" x14ac:dyDescent="0.25">
      <c r="P3984" s="137"/>
    </row>
    <row r="3985" spans="16:16" x14ac:dyDescent="0.25">
      <c r="P3985" s="137"/>
    </row>
    <row r="3986" spans="16:16" x14ac:dyDescent="0.25">
      <c r="P3986" s="137"/>
    </row>
    <row r="3987" spans="16:16" x14ac:dyDescent="0.25">
      <c r="P3987" s="137"/>
    </row>
    <row r="3988" spans="16:16" x14ac:dyDescent="0.25">
      <c r="P3988" s="137"/>
    </row>
    <row r="3989" spans="16:16" x14ac:dyDescent="0.25">
      <c r="P3989" s="137"/>
    </row>
    <row r="3990" spans="16:16" x14ac:dyDescent="0.25">
      <c r="P3990" s="137"/>
    </row>
    <row r="3991" spans="16:16" x14ac:dyDescent="0.25">
      <c r="P3991" s="137"/>
    </row>
    <row r="3992" spans="16:16" x14ac:dyDescent="0.25">
      <c r="P3992" s="137"/>
    </row>
    <row r="3993" spans="16:16" x14ac:dyDescent="0.25">
      <c r="P3993" s="137"/>
    </row>
    <row r="3994" spans="16:16" x14ac:dyDescent="0.25">
      <c r="P3994" s="137"/>
    </row>
    <row r="3995" spans="16:16" x14ac:dyDescent="0.25">
      <c r="P3995" s="137"/>
    </row>
    <row r="3996" spans="16:16" x14ac:dyDescent="0.25">
      <c r="P3996" s="137"/>
    </row>
    <row r="3997" spans="16:16" x14ac:dyDescent="0.25">
      <c r="P3997" s="137"/>
    </row>
    <row r="3998" spans="16:16" x14ac:dyDescent="0.25">
      <c r="P3998" s="137"/>
    </row>
    <row r="3999" spans="16:16" x14ac:dyDescent="0.25">
      <c r="P3999" s="137"/>
    </row>
    <row r="4000" spans="16:16" x14ac:dyDescent="0.25">
      <c r="P4000" s="137"/>
    </row>
    <row r="4001" spans="16:16" x14ac:dyDescent="0.25">
      <c r="P4001" s="137"/>
    </row>
    <row r="4002" spans="16:16" x14ac:dyDescent="0.25">
      <c r="P4002" s="137"/>
    </row>
    <row r="4003" spans="16:16" x14ac:dyDescent="0.25">
      <c r="P4003" s="137"/>
    </row>
    <row r="4004" spans="16:16" x14ac:dyDescent="0.25">
      <c r="P4004" s="137"/>
    </row>
    <row r="4005" spans="16:16" x14ac:dyDescent="0.25">
      <c r="P4005" s="137"/>
    </row>
    <row r="4006" spans="16:16" x14ac:dyDescent="0.25">
      <c r="P4006" s="137"/>
    </row>
    <row r="4007" spans="16:16" x14ac:dyDescent="0.25">
      <c r="P4007" s="137"/>
    </row>
    <row r="4008" spans="16:16" x14ac:dyDescent="0.25">
      <c r="P4008" s="137"/>
    </row>
    <row r="4009" spans="16:16" x14ac:dyDescent="0.25">
      <c r="P4009" s="137"/>
    </row>
    <row r="4010" spans="16:16" x14ac:dyDescent="0.25">
      <c r="P4010" s="137"/>
    </row>
    <row r="4011" spans="16:16" x14ac:dyDescent="0.25">
      <c r="P4011" s="137"/>
    </row>
    <row r="4012" spans="16:16" x14ac:dyDescent="0.25">
      <c r="P4012" s="137"/>
    </row>
    <row r="4013" spans="16:16" x14ac:dyDescent="0.25">
      <c r="P4013" s="137"/>
    </row>
    <row r="4014" spans="16:16" x14ac:dyDescent="0.25">
      <c r="P4014" s="137"/>
    </row>
    <row r="4015" spans="16:16" x14ac:dyDescent="0.25">
      <c r="P4015" s="137"/>
    </row>
    <row r="4016" spans="16:16" x14ac:dyDescent="0.25">
      <c r="P4016" s="137"/>
    </row>
    <row r="4017" spans="16:16" x14ac:dyDescent="0.25">
      <c r="P4017" s="137"/>
    </row>
    <row r="4018" spans="16:16" x14ac:dyDescent="0.25">
      <c r="P4018" s="137"/>
    </row>
    <row r="4019" spans="16:16" x14ac:dyDescent="0.25">
      <c r="P4019" s="137"/>
    </row>
    <row r="4020" spans="16:16" x14ac:dyDescent="0.25">
      <c r="P4020" s="137"/>
    </row>
    <row r="4021" spans="16:16" x14ac:dyDescent="0.25">
      <c r="P4021" s="137"/>
    </row>
    <row r="4022" spans="16:16" x14ac:dyDescent="0.25">
      <c r="P4022" s="137"/>
    </row>
    <row r="4023" spans="16:16" x14ac:dyDescent="0.25">
      <c r="P4023" s="137"/>
    </row>
    <row r="4024" spans="16:16" x14ac:dyDescent="0.25">
      <c r="P4024" s="137"/>
    </row>
    <row r="4025" spans="16:16" x14ac:dyDescent="0.25">
      <c r="P4025" s="137"/>
    </row>
    <row r="4026" spans="16:16" x14ac:dyDescent="0.25">
      <c r="P4026" s="137"/>
    </row>
    <row r="4027" spans="16:16" x14ac:dyDescent="0.25">
      <c r="P4027" s="137"/>
    </row>
    <row r="4028" spans="16:16" x14ac:dyDescent="0.25">
      <c r="P4028" s="137"/>
    </row>
    <row r="4029" spans="16:16" x14ac:dyDescent="0.25">
      <c r="P4029" s="137"/>
    </row>
    <row r="4030" spans="16:16" x14ac:dyDescent="0.25">
      <c r="P4030" s="137"/>
    </row>
    <row r="4031" spans="16:16" x14ac:dyDescent="0.25">
      <c r="P4031" s="137"/>
    </row>
    <row r="4032" spans="16:16" x14ac:dyDescent="0.25">
      <c r="P4032" s="137"/>
    </row>
    <row r="4033" spans="16:16" x14ac:dyDescent="0.25">
      <c r="P4033" s="137"/>
    </row>
    <row r="4034" spans="16:16" x14ac:dyDescent="0.25">
      <c r="P4034" s="137"/>
    </row>
    <row r="4035" spans="16:16" x14ac:dyDescent="0.25">
      <c r="P4035" s="137"/>
    </row>
    <row r="4036" spans="16:16" x14ac:dyDescent="0.25">
      <c r="P4036" s="137"/>
    </row>
    <row r="4037" spans="16:16" x14ac:dyDescent="0.25">
      <c r="P4037" s="137"/>
    </row>
    <row r="4038" spans="16:16" x14ac:dyDescent="0.25">
      <c r="P4038" s="137"/>
    </row>
    <row r="4039" spans="16:16" x14ac:dyDescent="0.25">
      <c r="P4039" s="137"/>
    </row>
    <row r="4040" spans="16:16" x14ac:dyDescent="0.25">
      <c r="P4040" s="137"/>
    </row>
    <row r="4041" spans="16:16" x14ac:dyDescent="0.25">
      <c r="P4041" s="137"/>
    </row>
    <row r="4042" spans="16:16" x14ac:dyDescent="0.25">
      <c r="P4042" s="137"/>
    </row>
    <row r="4043" spans="16:16" x14ac:dyDescent="0.25">
      <c r="P4043" s="137"/>
    </row>
    <row r="4044" spans="16:16" x14ac:dyDescent="0.25">
      <c r="P4044" s="137"/>
    </row>
    <row r="4045" spans="16:16" x14ac:dyDescent="0.25">
      <c r="P4045" s="137"/>
    </row>
    <row r="4046" spans="16:16" x14ac:dyDescent="0.25">
      <c r="P4046" s="137"/>
    </row>
    <row r="4047" spans="16:16" x14ac:dyDescent="0.25">
      <c r="P4047" s="137"/>
    </row>
    <row r="4048" spans="16:16" x14ac:dyDescent="0.25">
      <c r="P4048" s="137"/>
    </row>
    <row r="4049" spans="16:16" x14ac:dyDescent="0.25">
      <c r="P4049" s="137"/>
    </row>
    <row r="4050" spans="16:16" x14ac:dyDescent="0.25">
      <c r="P4050" s="137"/>
    </row>
    <row r="4051" spans="16:16" x14ac:dyDescent="0.25">
      <c r="P4051" s="137"/>
    </row>
    <row r="4052" spans="16:16" x14ac:dyDescent="0.25">
      <c r="P4052" s="137"/>
    </row>
    <row r="4053" spans="16:16" x14ac:dyDescent="0.25">
      <c r="P4053" s="137"/>
    </row>
    <row r="4054" spans="16:16" x14ac:dyDescent="0.25">
      <c r="P4054" s="137"/>
    </row>
    <row r="4055" spans="16:16" x14ac:dyDescent="0.25">
      <c r="P4055" s="137"/>
    </row>
    <row r="4056" spans="16:16" x14ac:dyDescent="0.25">
      <c r="P4056" s="137"/>
    </row>
    <row r="4057" spans="16:16" x14ac:dyDescent="0.25">
      <c r="P4057" s="137"/>
    </row>
    <row r="4058" spans="16:16" x14ac:dyDescent="0.25">
      <c r="P4058" s="137"/>
    </row>
    <row r="4059" spans="16:16" x14ac:dyDescent="0.25">
      <c r="P4059" s="137"/>
    </row>
    <row r="4060" spans="16:16" x14ac:dyDescent="0.25">
      <c r="P4060" s="137"/>
    </row>
    <row r="4061" spans="16:16" x14ac:dyDescent="0.25">
      <c r="P4061" s="137"/>
    </row>
    <row r="4062" spans="16:16" x14ac:dyDescent="0.25">
      <c r="P4062" s="137"/>
    </row>
    <row r="4063" spans="16:16" x14ac:dyDescent="0.25">
      <c r="P4063" s="137"/>
    </row>
    <row r="4064" spans="16:16" x14ac:dyDescent="0.25">
      <c r="P4064" s="137"/>
    </row>
    <row r="4065" spans="16:16" x14ac:dyDescent="0.25">
      <c r="P4065" s="137"/>
    </row>
    <row r="4066" spans="16:16" x14ac:dyDescent="0.25">
      <c r="P4066" s="137"/>
    </row>
    <row r="4067" spans="16:16" x14ac:dyDescent="0.25">
      <c r="P4067" s="137"/>
    </row>
    <row r="4068" spans="16:16" x14ac:dyDescent="0.25">
      <c r="P4068" s="137"/>
    </row>
    <row r="4069" spans="16:16" x14ac:dyDescent="0.25">
      <c r="P4069" s="137"/>
    </row>
    <row r="4070" spans="16:16" x14ac:dyDescent="0.25">
      <c r="P4070" s="137"/>
    </row>
    <row r="4071" spans="16:16" x14ac:dyDescent="0.25">
      <c r="P4071" s="137"/>
    </row>
    <row r="4072" spans="16:16" x14ac:dyDescent="0.25">
      <c r="P4072" s="137"/>
    </row>
    <row r="4073" spans="16:16" x14ac:dyDescent="0.25">
      <c r="P4073" s="137"/>
    </row>
    <row r="4074" spans="16:16" x14ac:dyDescent="0.25">
      <c r="P4074" s="137"/>
    </row>
    <row r="4075" spans="16:16" x14ac:dyDescent="0.25">
      <c r="P4075" s="137"/>
    </row>
    <row r="4076" spans="16:16" x14ac:dyDescent="0.25">
      <c r="P4076" s="137"/>
    </row>
    <row r="4077" spans="16:16" x14ac:dyDescent="0.25">
      <c r="P4077" s="137"/>
    </row>
    <row r="4078" spans="16:16" x14ac:dyDescent="0.25">
      <c r="P4078" s="137"/>
    </row>
    <row r="4079" spans="16:16" x14ac:dyDescent="0.25">
      <c r="P4079" s="137"/>
    </row>
    <row r="4080" spans="16:16" x14ac:dyDescent="0.25">
      <c r="P4080" s="137"/>
    </row>
    <row r="4081" spans="16:16" x14ac:dyDescent="0.25">
      <c r="P4081" s="137"/>
    </row>
    <row r="4082" spans="16:16" x14ac:dyDescent="0.25">
      <c r="P4082" s="137"/>
    </row>
    <row r="4083" spans="16:16" x14ac:dyDescent="0.25">
      <c r="P4083" s="137"/>
    </row>
    <row r="4084" spans="16:16" x14ac:dyDescent="0.25">
      <c r="P4084" s="137"/>
    </row>
    <row r="4085" spans="16:16" x14ac:dyDescent="0.25">
      <c r="P4085" s="137"/>
    </row>
    <row r="4086" spans="16:16" x14ac:dyDescent="0.25">
      <c r="P4086" s="137"/>
    </row>
    <row r="4087" spans="16:16" x14ac:dyDescent="0.25">
      <c r="P4087" s="137"/>
    </row>
    <row r="4088" spans="16:16" x14ac:dyDescent="0.25">
      <c r="P4088" s="137"/>
    </row>
    <row r="4089" spans="16:16" x14ac:dyDescent="0.25">
      <c r="P4089" s="137"/>
    </row>
    <row r="4090" spans="16:16" x14ac:dyDescent="0.25">
      <c r="P4090" s="137"/>
    </row>
    <row r="4091" spans="16:16" x14ac:dyDescent="0.25">
      <c r="P4091" s="137"/>
    </row>
    <row r="4092" spans="16:16" x14ac:dyDescent="0.25">
      <c r="P4092" s="137"/>
    </row>
    <row r="4093" spans="16:16" x14ac:dyDescent="0.25">
      <c r="P4093" s="137"/>
    </row>
    <row r="4094" spans="16:16" x14ac:dyDescent="0.25">
      <c r="P4094" s="137"/>
    </row>
    <row r="4095" spans="16:16" x14ac:dyDescent="0.25">
      <c r="P4095" s="137"/>
    </row>
    <row r="4096" spans="16:16" x14ac:dyDescent="0.25">
      <c r="P4096" s="137"/>
    </row>
    <row r="4097" spans="16:16" x14ac:dyDescent="0.25">
      <c r="P4097" s="137"/>
    </row>
    <row r="4098" spans="16:16" x14ac:dyDescent="0.25">
      <c r="P4098" s="137"/>
    </row>
    <row r="4099" spans="16:16" x14ac:dyDescent="0.25">
      <c r="P4099" s="137"/>
    </row>
    <row r="4100" spans="16:16" x14ac:dyDescent="0.25">
      <c r="P4100" s="137"/>
    </row>
    <row r="4101" spans="16:16" x14ac:dyDescent="0.25">
      <c r="P4101" s="137"/>
    </row>
    <row r="4102" spans="16:16" x14ac:dyDescent="0.25">
      <c r="P4102" s="137"/>
    </row>
    <row r="4103" spans="16:16" x14ac:dyDescent="0.25">
      <c r="P4103" s="137"/>
    </row>
    <row r="4104" spans="16:16" x14ac:dyDescent="0.25">
      <c r="P4104" s="137"/>
    </row>
    <row r="4105" spans="16:16" x14ac:dyDescent="0.25">
      <c r="P4105" s="137"/>
    </row>
    <row r="4106" spans="16:16" x14ac:dyDescent="0.25">
      <c r="P4106" s="137"/>
    </row>
    <row r="4107" spans="16:16" x14ac:dyDescent="0.25">
      <c r="P4107" s="137"/>
    </row>
    <row r="4108" spans="16:16" x14ac:dyDescent="0.25">
      <c r="P4108" s="137"/>
    </row>
    <row r="4109" spans="16:16" x14ac:dyDescent="0.25">
      <c r="P4109" s="137"/>
    </row>
    <row r="4110" spans="16:16" x14ac:dyDescent="0.25">
      <c r="P4110" s="137"/>
    </row>
    <row r="4111" spans="16:16" x14ac:dyDescent="0.25">
      <c r="P4111" s="137"/>
    </row>
    <row r="4112" spans="16:16" x14ac:dyDescent="0.25">
      <c r="P4112" s="137"/>
    </row>
    <row r="4113" spans="16:16" x14ac:dyDescent="0.25">
      <c r="P4113" s="137"/>
    </row>
    <row r="4114" spans="16:16" x14ac:dyDescent="0.25">
      <c r="P4114" s="137"/>
    </row>
    <row r="4115" spans="16:16" x14ac:dyDescent="0.25">
      <c r="P4115" s="137"/>
    </row>
    <row r="4116" spans="16:16" x14ac:dyDescent="0.25">
      <c r="P4116" s="137"/>
    </row>
    <row r="4117" spans="16:16" x14ac:dyDescent="0.25">
      <c r="P4117" s="137"/>
    </row>
    <row r="4118" spans="16:16" x14ac:dyDescent="0.25">
      <c r="P4118" s="137"/>
    </row>
    <row r="4119" spans="16:16" x14ac:dyDescent="0.25">
      <c r="P4119" s="137"/>
    </row>
    <row r="4120" spans="16:16" x14ac:dyDescent="0.25">
      <c r="P4120" s="137"/>
    </row>
    <row r="4121" spans="16:16" x14ac:dyDescent="0.25">
      <c r="P4121" s="137"/>
    </row>
    <row r="4122" spans="16:16" x14ac:dyDescent="0.25">
      <c r="P4122" s="137"/>
    </row>
    <row r="4123" spans="16:16" x14ac:dyDescent="0.25">
      <c r="P4123" s="137"/>
    </row>
    <row r="4124" spans="16:16" x14ac:dyDescent="0.25">
      <c r="P4124" s="137"/>
    </row>
    <row r="4125" spans="16:16" x14ac:dyDescent="0.25">
      <c r="P4125" s="137"/>
    </row>
    <row r="4126" spans="16:16" x14ac:dyDescent="0.25">
      <c r="P4126" s="137"/>
    </row>
    <row r="4127" spans="16:16" x14ac:dyDescent="0.25">
      <c r="P4127" s="137"/>
    </row>
    <row r="4128" spans="16:16" x14ac:dyDescent="0.25">
      <c r="P4128" s="137"/>
    </row>
    <row r="4129" spans="16:16" x14ac:dyDescent="0.25">
      <c r="P4129" s="137"/>
    </row>
    <row r="4130" spans="16:16" x14ac:dyDescent="0.25">
      <c r="P4130" s="137"/>
    </row>
    <row r="4131" spans="16:16" x14ac:dyDescent="0.25">
      <c r="P4131" s="137"/>
    </row>
    <row r="4132" spans="16:16" x14ac:dyDescent="0.25">
      <c r="P4132" s="137"/>
    </row>
    <row r="4133" spans="16:16" x14ac:dyDescent="0.25">
      <c r="P4133" s="137"/>
    </row>
    <row r="4134" spans="16:16" x14ac:dyDescent="0.25">
      <c r="P4134" s="137"/>
    </row>
    <row r="4135" spans="16:16" x14ac:dyDescent="0.25">
      <c r="P4135" s="137"/>
    </row>
    <row r="4136" spans="16:16" x14ac:dyDescent="0.25">
      <c r="P4136" s="137"/>
    </row>
    <row r="4137" spans="16:16" x14ac:dyDescent="0.25">
      <c r="P4137" s="137"/>
    </row>
    <row r="4138" spans="16:16" x14ac:dyDescent="0.25">
      <c r="P4138" s="137"/>
    </row>
    <row r="4139" spans="16:16" x14ac:dyDescent="0.25">
      <c r="P4139" s="137"/>
    </row>
    <row r="4140" spans="16:16" x14ac:dyDescent="0.25">
      <c r="P4140" s="137"/>
    </row>
    <row r="4141" spans="16:16" x14ac:dyDescent="0.25">
      <c r="P4141" s="137"/>
    </row>
    <row r="4142" spans="16:16" x14ac:dyDescent="0.25">
      <c r="P4142" s="137"/>
    </row>
    <row r="4143" spans="16:16" x14ac:dyDescent="0.25">
      <c r="P4143" s="137"/>
    </row>
    <row r="4144" spans="16:16" x14ac:dyDescent="0.25">
      <c r="P4144" s="137"/>
    </row>
    <row r="4145" spans="16:16" x14ac:dyDescent="0.25">
      <c r="P4145" s="137"/>
    </row>
    <row r="4146" spans="16:16" x14ac:dyDescent="0.25">
      <c r="P4146" s="137"/>
    </row>
    <row r="4147" spans="16:16" x14ac:dyDescent="0.25">
      <c r="P4147" s="137"/>
    </row>
    <row r="4148" spans="16:16" x14ac:dyDescent="0.25">
      <c r="P4148" s="137"/>
    </row>
    <row r="4149" spans="16:16" x14ac:dyDescent="0.25">
      <c r="P4149" s="137"/>
    </row>
    <row r="4150" spans="16:16" x14ac:dyDescent="0.25">
      <c r="P4150" s="137"/>
    </row>
    <row r="4151" spans="16:16" x14ac:dyDescent="0.25">
      <c r="P4151" s="137"/>
    </row>
    <row r="4152" spans="16:16" x14ac:dyDescent="0.25">
      <c r="P4152" s="137"/>
    </row>
    <row r="4153" spans="16:16" x14ac:dyDescent="0.25">
      <c r="P4153" s="137"/>
    </row>
    <row r="4154" spans="16:16" x14ac:dyDescent="0.25">
      <c r="P4154" s="137"/>
    </row>
    <row r="4155" spans="16:16" x14ac:dyDescent="0.25">
      <c r="P4155" s="137"/>
    </row>
    <row r="4156" spans="16:16" x14ac:dyDescent="0.25">
      <c r="P4156" s="137"/>
    </row>
    <row r="4157" spans="16:16" x14ac:dyDescent="0.25">
      <c r="P4157" s="137"/>
    </row>
    <row r="4158" spans="16:16" x14ac:dyDescent="0.25">
      <c r="P4158" s="137"/>
    </row>
    <row r="4159" spans="16:16" x14ac:dyDescent="0.25">
      <c r="P4159" s="137"/>
    </row>
    <row r="4160" spans="16:16" x14ac:dyDescent="0.25">
      <c r="P4160" s="137"/>
    </row>
    <row r="4161" spans="16:16" x14ac:dyDescent="0.25">
      <c r="P4161" s="137"/>
    </row>
    <row r="4162" spans="16:16" x14ac:dyDescent="0.25">
      <c r="P4162" s="137"/>
    </row>
    <row r="4163" spans="16:16" x14ac:dyDescent="0.25">
      <c r="P4163" s="137"/>
    </row>
    <row r="4164" spans="16:16" x14ac:dyDescent="0.25">
      <c r="P4164" s="137"/>
    </row>
    <row r="4165" spans="16:16" x14ac:dyDescent="0.25">
      <c r="P4165" s="137"/>
    </row>
    <row r="4166" spans="16:16" x14ac:dyDescent="0.25">
      <c r="P4166" s="137"/>
    </row>
    <row r="4167" spans="16:16" x14ac:dyDescent="0.25">
      <c r="P4167" s="137"/>
    </row>
    <row r="4168" spans="16:16" x14ac:dyDescent="0.25">
      <c r="P4168" s="137"/>
    </row>
    <row r="4169" spans="16:16" x14ac:dyDescent="0.25">
      <c r="P4169" s="137"/>
    </row>
    <row r="4170" spans="16:16" x14ac:dyDescent="0.25">
      <c r="P4170" s="137"/>
    </row>
    <row r="4171" spans="16:16" x14ac:dyDescent="0.25">
      <c r="P4171" s="137"/>
    </row>
    <row r="4172" spans="16:16" x14ac:dyDescent="0.25">
      <c r="P4172" s="137"/>
    </row>
    <row r="4173" spans="16:16" x14ac:dyDescent="0.25">
      <c r="P4173" s="137"/>
    </row>
    <row r="4174" spans="16:16" x14ac:dyDescent="0.25">
      <c r="P4174" s="137"/>
    </row>
    <row r="4175" spans="16:16" x14ac:dyDescent="0.25">
      <c r="P4175" s="137"/>
    </row>
    <row r="4176" spans="16:16" x14ac:dyDescent="0.25">
      <c r="P4176" s="137"/>
    </row>
    <row r="4177" spans="16:16" x14ac:dyDescent="0.25">
      <c r="P4177" s="137"/>
    </row>
    <row r="4178" spans="16:16" x14ac:dyDescent="0.25">
      <c r="P4178" s="137"/>
    </row>
    <row r="4179" spans="16:16" x14ac:dyDescent="0.25">
      <c r="P4179" s="137"/>
    </row>
    <row r="4180" spans="16:16" x14ac:dyDescent="0.25">
      <c r="P4180" s="137"/>
    </row>
    <row r="4181" spans="16:16" x14ac:dyDescent="0.25">
      <c r="P4181" s="137"/>
    </row>
    <row r="4182" spans="16:16" x14ac:dyDescent="0.25">
      <c r="P4182" s="137"/>
    </row>
    <row r="4183" spans="16:16" x14ac:dyDescent="0.25">
      <c r="P4183" s="137"/>
    </row>
    <row r="4184" spans="16:16" x14ac:dyDescent="0.25">
      <c r="P4184" s="137"/>
    </row>
    <row r="4185" spans="16:16" x14ac:dyDescent="0.25">
      <c r="P4185" s="137"/>
    </row>
    <row r="4186" spans="16:16" x14ac:dyDescent="0.25">
      <c r="P4186" s="137"/>
    </row>
    <row r="4187" spans="16:16" x14ac:dyDescent="0.25">
      <c r="P4187" s="137"/>
    </row>
    <row r="4188" spans="16:16" x14ac:dyDescent="0.25">
      <c r="P4188" s="137"/>
    </row>
    <row r="4189" spans="16:16" x14ac:dyDescent="0.25">
      <c r="P4189" s="137"/>
    </row>
    <row r="4190" spans="16:16" x14ac:dyDescent="0.25">
      <c r="P4190" s="137"/>
    </row>
    <row r="4191" spans="16:16" x14ac:dyDescent="0.25">
      <c r="P4191" s="137"/>
    </row>
    <row r="4192" spans="16:16" x14ac:dyDescent="0.25">
      <c r="P4192" s="137"/>
    </row>
    <row r="4193" spans="16:16" x14ac:dyDescent="0.25">
      <c r="P4193" s="137"/>
    </row>
    <row r="4194" spans="16:16" x14ac:dyDescent="0.25">
      <c r="P4194" s="137"/>
    </row>
    <row r="4195" spans="16:16" x14ac:dyDescent="0.25">
      <c r="P4195" s="137"/>
    </row>
    <row r="4196" spans="16:16" x14ac:dyDescent="0.25">
      <c r="P4196" s="137"/>
    </row>
    <row r="4197" spans="16:16" x14ac:dyDescent="0.25">
      <c r="P4197" s="137"/>
    </row>
    <row r="4198" spans="16:16" x14ac:dyDescent="0.25">
      <c r="P4198" s="137"/>
    </row>
    <row r="4199" spans="16:16" x14ac:dyDescent="0.25">
      <c r="P4199" s="137"/>
    </row>
    <row r="4200" spans="16:16" x14ac:dyDescent="0.25">
      <c r="P4200" s="137"/>
    </row>
    <row r="4201" spans="16:16" x14ac:dyDescent="0.25">
      <c r="P4201" s="137"/>
    </row>
    <row r="4202" spans="16:16" x14ac:dyDescent="0.25">
      <c r="P4202" s="137"/>
    </row>
    <row r="4203" spans="16:16" x14ac:dyDescent="0.25">
      <c r="P4203" s="137"/>
    </row>
    <row r="4204" spans="16:16" x14ac:dyDescent="0.25">
      <c r="P4204" s="137"/>
    </row>
    <row r="4205" spans="16:16" x14ac:dyDescent="0.25">
      <c r="P4205" s="137"/>
    </row>
    <row r="4206" spans="16:16" x14ac:dyDescent="0.25">
      <c r="P4206" s="137"/>
    </row>
    <row r="4207" spans="16:16" x14ac:dyDescent="0.25">
      <c r="P4207" s="137"/>
    </row>
    <row r="4208" spans="16:16" x14ac:dyDescent="0.25">
      <c r="P4208" s="137"/>
    </row>
    <row r="4209" spans="16:16" x14ac:dyDescent="0.25">
      <c r="P4209" s="137"/>
    </row>
    <row r="4210" spans="16:16" x14ac:dyDescent="0.25">
      <c r="P4210" s="137"/>
    </row>
    <row r="4211" spans="16:16" x14ac:dyDescent="0.25">
      <c r="P4211" s="137"/>
    </row>
    <row r="4212" spans="16:16" x14ac:dyDescent="0.25">
      <c r="P4212" s="137"/>
    </row>
    <row r="4213" spans="16:16" x14ac:dyDescent="0.25">
      <c r="P4213" s="137"/>
    </row>
    <row r="4214" spans="16:16" x14ac:dyDescent="0.25">
      <c r="P4214" s="137"/>
    </row>
    <row r="4215" spans="16:16" x14ac:dyDescent="0.25">
      <c r="P4215" s="137"/>
    </row>
    <row r="4216" spans="16:16" x14ac:dyDescent="0.25">
      <c r="P4216" s="137"/>
    </row>
    <row r="4217" spans="16:16" x14ac:dyDescent="0.25">
      <c r="P4217" s="137"/>
    </row>
    <row r="4218" spans="16:16" x14ac:dyDescent="0.25">
      <c r="P4218" s="137"/>
    </row>
    <row r="4219" spans="16:16" x14ac:dyDescent="0.25">
      <c r="P4219" s="137"/>
    </row>
    <row r="4220" spans="16:16" x14ac:dyDescent="0.25">
      <c r="P4220" s="137"/>
    </row>
    <row r="4221" spans="16:16" x14ac:dyDescent="0.25">
      <c r="P4221" s="137"/>
    </row>
    <row r="4222" spans="16:16" x14ac:dyDescent="0.25">
      <c r="P4222" s="137"/>
    </row>
    <row r="4223" spans="16:16" x14ac:dyDescent="0.25">
      <c r="P4223" s="137"/>
    </row>
    <row r="4224" spans="16:16" x14ac:dyDescent="0.25">
      <c r="P4224" s="137"/>
    </row>
    <row r="4225" spans="16:16" x14ac:dyDescent="0.25">
      <c r="P4225" s="137"/>
    </row>
    <row r="4226" spans="16:16" x14ac:dyDescent="0.25">
      <c r="P4226" s="137"/>
    </row>
    <row r="4227" spans="16:16" x14ac:dyDescent="0.25">
      <c r="P4227" s="137"/>
    </row>
    <row r="4228" spans="16:16" x14ac:dyDescent="0.25">
      <c r="P4228" s="137"/>
    </row>
    <row r="4229" spans="16:16" x14ac:dyDescent="0.25">
      <c r="P4229" s="137"/>
    </row>
    <row r="4230" spans="16:16" x14ac:dyDescent="0.25">
      <c r="P4230" s="137"/>
    </row>
    <row r="4231" spans="16:16" x14ac:dyDescent="0.25">
      <c r="P4231" s="137"/>
    </row>
    <row r="4232" spans="16:16" x14ac:dyDescent="0.25">
      <c r="P4232" s="137"/>
    </row>
    <row r="4233" spans="16:16" x14ac:dyDescent="0.25">
      <c r="P4233" s="137"/>
    </row>
    <row r="4234" spans="16:16" x14ac:dyDescent="0.25">
      <c r="P4234" s="137"/>
    </row>
    <row r="4235" spans="16:16" x14ac:dyDescent="0.25">
      <c r="P4235" s="137"/>
    </row>
    <row r="4236" spans="16:16" x14ac:dyDescent="0.25">
      <c r="P4236" s="137"/>
    </row>
    <row r="4237" spans="16:16" x14ac:dyDescent="0.25">
      <c r="P4237" s="137"/>
    </row>
    <row r="4238" spans="16:16" x14ac:dyDescent="0.25">
      <c r="P4238" s="137"/>
    </row>
    <row r="4239" spans="16:16" x14ac:dyDescent="0.25">
      <c r="P4239" s="137"/>
    </row>
    <row r="4240" spans="16:16" x14ac:dyDescent="0.25">
      <c r="P4240" s="137"/>
    </row>
    <row r="4241" spans="16:16" x14ac:dyDescent="0.25">
      <c r="P4241" s="137"/>
    </row>
    <row r="4242" spans="16:16" x14ac:dyDescent="0.25">
      <c r="P4242" s="137"/>
    </row>
    <row r="4243" spans="16:16" x14ac:dyDescent="0.25">
      <c r="P4243" s="137"/>
    </row>
    <row r="4244" spans="16:16" x14ac:dyDescent="0.25">
      <c r="P4244" s="137"/>
    </row>
    <row r="4245" spans="16:16" x14ac:dyDescent="0.25">
      <c r="P4245" s="137"/>
    </row>
    <row r="4246" spans="16:16" x14ac:dyDescent="0.25">
      <c r="P4246" s="137"/>
    </row>
    <row r="4247" spans="16:16" x14ac:dyDescent="0.25">
      <c r="P4247" s="137"/>
    </row>
    <row r="4248" spans="16:16" x14ac:dyDescent="0.25">
      <c r="P4248" s="137"/>
    </row>
    <row r="4249" spans="16:16" x14ac:dyDescent="0.25">
      <c r="P4249" s="137"/>
    </row>
    <row r="4250" spans="16:16" x14ac:dyDescent="0.25">
      <c r="P4250" s="137"/>
    </row>
    <row r="4251" spans="16:16" x14ac:dyDescent="0.25">
      <c r="P4251" s="137"/>
    </row>
    <row r="4252" spans="16:16" x14ac:dyDescent="0.25">
      <c r="P4252" s="137"/>
    </row>
    <row r="4253" spans="16:16" x14ac:dyDescent="0.25">
      <c r="P4253" s="137"/>
    </row>
    <row r="4254" spans="16:16" x14ac:dyDescent="0.25">
      <c r="P4254" s="137"/>
    </row>
    <row r="4255" spans="16:16" x14ac:dyDescent="0.25">
      <c r="P4255" s="137"/>
    </row>
    <row r="4256" spans="16:16" x14ac:dyDescent="0.25">
      <c r="P4256" s="137"/>
    </row>
    <row r="4257" spans="16:16" x14ac:dyDescent="0.25">
      <c r="P4257" s="137"/>
    </row>
    <row r="4258" spans="16:16" x14ac:dyDescent="0.25">
      <c r="P4258" s="137"/>
    </row>
    <row r="4259" spans="16:16" x14ac:dyDescent="0.25">
      <c r="P4259" s="137"/>
    </row>
    <row r="4260" spans="16:16" x14ac:dyDescent="0.25">
      <c r="P4260" s="137"/>
    </row>
    <row r="4261" spans="16:16" x14ac:dyDescent="0.25">
      <c r="P4261" s="137"/>
    </row>
    <row r="4262" spans="16:16" x14ac:dyDescent="0.25">
      <c r="P4262" s="137"/>
    </row>
    <row r="4263" spans="16:16" x14ac:dyDescent="0.25">
      <c r="P4263" s="137"/>
    </row>
    <row r="4264" spans="16:16" x14ac:dyDescent="0.25">
      <c r="P4264" s="137"/>
    </row>
    <row r="4265" spans="16:16" x14ac:dyDescent="0.25">
      <c r="P4265" s="137"/>
    </row>
    <row r="4266" spans="16:16" x14ac:dyDescent="0.25">
      <c r="P4266" s="137"/>
    </row>
    <row r="4267" spans="16:16" x14ac:dyDescent="0.25">
      <c r="P4267" s="137"/>
    </row>
    <row r="4268" spans="16:16" x14ac:dyDescent="0.25">
      <c r="P4268" s="137"/>
    </row>
    <row r="4269" spans="16:16" x14ac:dyDescent="0.25">
      <c r="P4269" s="137"/>
    </row>
    <row r="4270" spans="16:16" x14ac:dyDescent="0.25">
      <c r="P4270" s="137"/>
    </row>
    <row r="4271" spans="16:16" x14ac:dyDescent="0.25">
      <c r="P4271" s="137"/>
    </row>
    <row r="4272" spans="16:16" x14ac:dyDescent="0.25">
      <c r="P4272" s="137"/>
    </row>
    <row r="4273" spans="16:16" x14ac:dyDescent="0.25">
      <c r="P4273" s="137"/>
    </row>
    <row r="4274" spans="16:16" x14ac:dyDescent="0.25">
      <c r="P4274" s="137"/>
    </row>
    <row r="4275" spans="16:16" x14ac:dyDescent="0.25">
      <c r="P4275" s="137"/>
    </row>
    <row r="4276" spans="16:16" x14ac:dyDescent="0.25">
      <c r="P4276" s="137"/>
    </row>
    <row r="4277" spans="16:16" x14ac:dyDescent="0.25">
      <c r="P4277" s="137"/>
    </row>
    <row r="4278" spans="16:16" x14ac:dyDescent="0.25">
      <c r="P4278" s="137"/>
    </row>
    <row r="4279" spans="16:16" x14ac:dyDescent="0.25">
      <c r="P4279" s="137"/>
    </row>
    <row r="4280" spans="16:16" x14ac:dyDescent="0.25">
      <c r="P4280" s="137"/>
    </row>
    <row r="4281" spans="16:16" x14ac:dyDescent="0.25">
      <c r="P4281" s="137"/>
    </row>
    <row r="4282" spans="16:16" x14ac:dyDescent="0.25">
      <c r="P4282" s="137"/>
    </row>
    <row r="4283" spans="16:16" x14ac:dyDescent="0.25">
      <c r="P4283" s="137"/>
    </row>
    <row r="4284" spans="16:16" x14ac:dyDescent="0.25">
      <c r="P4284" s="137"/>
    </row>
    <row r="4285" spans="16:16" x14ac:dyDescent="0.25">
      <c r="P4285" s="137"/>
    </row>
    <row r="4286" spans="16:16" x14ac:dyDescent="0.25">
      <c r="P4286" s="137"/>
    </row>
    <row r="4287" spans="16:16" x14ac:dyDescent="0.25">
      <c r="P4287" s="137"/>
    </row>
    <row r="4288" spans="16:16" x14ac:dyDescent="0.25">
      <c r="P4288" s="137"/>
    </row>
    <row r="4289" spans="16:16" x14ac:dyDescent="0.25">
      <c r="P4289" s="137"/>
    </row>
    <row r="4290" spans="16:16" x14ac:dyDescent="0.25">
      <c r="P4290" s="137"/>
    </row>
    <row r="4291" spans="16:16" x14ac:dyDescent="0.25">
      <c r="P4291" s="137"/>
    </row>
    <row r="4292" spans="16:16" x14ac:dyDescent="0.25">
      <c r="P4292" s="137"/>
    </row>
    <row r="4293" spans="16:16" x14ac:dyDescent="0.25">
      <c r="P4293" s="137"/>
    </row>
    <row r="4294" spans="16:16" x14ac:dyDescent="0.25">
      <c r="P4294" s="137"/>
    </row>
    <row r="4295" spans="16:16" x14ac:dyDescent="0.25">
      <c r="P4295" s="137"/>
    </row>
    <row r="4296" spans="16:16" x14ac:dyDescent="0.25">
      <c r="P4296" s="137"/>
    </row>
    <row r="4297" spans="16:16" x14ac:dyDescent="0.25">
      <c r="P4297" s="137"/>
    </row>
    <row r="4298" spans="16:16" x14ac:dyDescent="0.25">
      <c r="P4298" s="137"/>
    </row>
    <row r="4299" spans="16:16" x14ac:dyDescent="0.25">
      <c r="P4299" s="137"/>
    </row>
    <row r="4300" spans="16:16" x14ac:dyDescent="0.25">
      <c r="P4300" s="137"/>
    </row>
    <row r="4301" spans="16:16" x14ac:dyDescent="0.25">
      <c r="P4301" s="137"/>
    </row>
    <row r="4302" spans="16:16" x14ac:dyDescent="0.25">
      <c r="P4302" s="137"/>
    </row>
    <row r="4303" spans="16:16" x14ac:dyDescent="0.25">
      <c r="P4303" s="137"/>
    </row>
    <row r="4304" spans="16:16" x14ac:dyDescent="0.25">
      <c r="P4304" s="137"/>
    </row>
    <row r="4305" spans="16:16" x14ac:dyDescent="0.25">
      <c r="P4305" s="137"/>
    </row>
    <row r="4306" spans="16:16" x14ac:dyDescent="0.25">
      <c r="P4306" s="137"/>
    </row>
    <row r="4307" spans="16:16" x14ac:dyDescent="0.25">
      <c r="P4307" s="137"/>
    </row>
    <row r="4308" spans="16:16" x14ac:dyDescent="0.25">
      <c r="P4308" s="137"/>
    </row>
    <row r="4309" spans="16:16" x14ac:dyDescent="0.25">
      <c r="P4309" s="137"/>
    </row>
    <row r="4310" spans="16:16" x14ac:dyDescent="0.25">
      <c r="P4310" s="137"/>
    </row>
    <row r="4311" spans="16:16" x14ac:dyDescent="0.25">
      <c r="P4311" s="137"/>
    </row>
    <row r="4312" spans="16:16" x14ac:dyDescent="0.25">
      <c r="P4312" s="137"/>
    </row>
    <row r="4313" spans="16:16" x14ac:dyDescent="0.25">
      <c r="P4313" s="137"/>
    </row>
    <row r="4314" spans="16:16" x14ac:dyDescent="0.25">
      <c r="P4314" s="137"/>
    </row>
    <row r="4315" spans="16:16" x14ac:dyDescent="0.25">
      <c r="P4315" s="137"/>
    </row>
    <row r="4316" spans="16:16" x14ac:dyDescent="0.25">
      <c r="P4316" s="137"/>
    </row>
    <row r="4317" spans="16:16" x14ac:dyDescent="0.25">
      <c r="P4317" s="137"/>
    </row>
    <row r="4318" spans="16:16" x14ac:dyDescent="0.25">
      <c r="P4318" s="137"/>
    </row>
    <row r="4319" spans="16:16" x14ac:dyDescent="0.25">
      <c r="P4319" s="137"/>
    </row>
    <row r="4320" spans="16:16" x14ac:dyDescent="0.25">
      <c r="P4320" s="137"/>
    </row>
    <row r="4321" spans="16:16" x14ac:dyDescent="0.25">
      <c r="P4321" s="137"/>
    </row>
    <row r="4322" spans="16:16" x14ac:dyDescent="0.25">
      <c r="P4322" s="137"/>
    </row>
    <row r="4323" spans="16:16" x14ac:dyDescent="0.25">
      <c r="P4323" s="137"/>
    </row>
    <row r="4324" spans="16:16" x14ac:dyDescent="0.25">
      <c r="P4324" s="137"/>
    </row>
    <row r="4325" spans="16:16" x14ac:dyDescent="0.25">
      <c r="P4325" s="137"/>
    </row>
    <row r="4326" spans="16:16" x14ac:dyDescent="0.25">
      <c r="P4326" s="137"/>
    </row>
    <row r="4327" spans="16:16" x14ac:dyDescent="0.25">
      <c r="P4327" s="137"/>
    </row>
    <row r="4328" spans="16:16" x14ac:dyDescent="0.25">
      <c r="P4328" s="137"/>
    </row>
    <row r="4329" spans="16:16" x14ac:dyDescent="0.25">
      <c r="P4329" s="137"/>
    </row>
    <row r="4330" spans="16:16" x14ac:dyDescent="0.25">
      <c r="P4330" s="137"/>
    </row>
    <row r="4331" spans="16:16" x14ac:dyDescent="0.25">
      <c r="P4331" s="137"/>
    </row>
    <row r="4332" spans="16:16" x14ac:dyDescent="0.25">
      <c r="P4332" s="137"/>
    </row>
    <row r="4333" spans="16:16" x14ac:dyDescent="0.25">
      <c r="P4333" s="137"/>
    </row>
    <row r="4334" spans="16:16" x14ac:dyDescent="0.25">
      <c r="P4334" s="137"/>
    </row>
    <row r="4335" spans="16:16" x14ac:dyDescent="0.25">
      <c r="P4335" s="137"/>
    </row>
    <row r="4336" spans="16:16" x14ac:dyDescent="0.25">
      <c r="P4336" s="137"/>
    </row>
    <row r="4337" spans="16:16" x14ac:dyDescent="0.25">
      <c r="P4337" s="137"/>
    </row>
    <row r="4338" spans="16:16" x14ac:dyDescent="0.25">
      <c r="P4338" s="137"/>
    </row>
    <row r="4339" spans="16:16" x14ac:dyDescent="0.25">
      <c r="P4339" s="137"/>
    </row>
    <row r="4340" spans="16:16" x14ac:dyDescent="0.25">
      <c r="P4340" s="137"/>
    </row>
    <row r="4341" spans="16:16" x14ac:dyDescent="0.25">
      <c r="P4341" s="137"/>
    </row>
    <row r="4342" spans="16:16" x14ac:dyDescent="0.25">
      <c r="P4342" s="137"/>
    </row>
    <row r="4343" spans="16:16" x14ac:dyDescent="0.25">
      <c r="P4343" s="137"/>
    </row>
    <row r="4344" spans="16:16" x14ac:dyDescent="0.25">
      <c r="P4344" s="137"/>
    </row>
    <row r="4345" spans="16:16" x14ac:dyDescent="0.25">
      <c r="P4345" s="137"/>
    </row>
    <row r="4346" spans="16:16" x14ac:dyDescent="0.25">
      <c r="P4346" s="137"/>
    </row>
    <row r="4347" spans="16:16" x14ac:dyDescent="0.25">
      <c r="P4347" s="137"/>
    </row>
    <row r="4348" spans="16:16" x14ac:dyDescent="0.25">
      <c r="P4348" s="137"/>
    </row>
    <row r="4349" spans="16:16" x14ac:dyDescent="0.25">
      <c r="P4349" s="137"/>
    </row>
    <row r="4350" spans="16:16" x14ac:dyDescent="0.25">
      <c r="P4350" s="137"/>
    </row>
    <row r="4351" spans="16:16" x14ac:dyDescent="0.25">
      <c r="P4351" s="137"/>
    </row>
    <row r="4352" spans="16:16" x14ac:dyDescent="0.25">
      <c r="P4352" s="137"/>
    </row>
    <row r="4353" spans="16:16" x14ac:dyDescent="0.25">
      <c r="P4353" s="137"/>
    </row>
    <row r="4354" spans="16:16" x14ac:dyDescent="0.25">
      <c r="P4354" s="137"/>
    </row>
    <row r="4355" spans="16:16" x14ac:dyDescent="0.25">
      <c r="P4355" s="137"/>
    </row>
    <row r="4356" spans="16:16" x14ac:dyDescent="0.25">
      <c r="P4356" s="137"/>
    </row>
    <row r="4357" spans="16:16" x14ac:dyDescent="0.25">
      <c r="P4357" s="137"/>
    </row>
    <row r="4358" spans="16:16" x14ac:dyDescent="0.25">
      <c r="P4358" s="137"/>
    </row>
    <row r="4359" spans="16:16" x14ac:dyDescent="0.25">
      <c r="P4359" s="137"/>
    </row>
    <row r="4360" spans="16:16" x14ac:dyDescent="0.25">
      <c r="P4360" s="137"/>
    </row>
    <row r="4361" spans="16:16" x14ac:dyDescent="0.25">
      <c r="P4361" s="137"/>
    </row>
    <row r="4362" spans="16:16" x14ac:dyDescent="0.25">
      <c r="P4362" s="137"/>
    </row>
    <row r="4363" spans="16:16" x14ac:dyDescent="0.25">
      <c r="P4363" s="137"/>
    </row>
    <row r="4364" spans="16:16" x14ac:dyDescent="0.25">
      <c r="P4364" s="137"/>
    </row>
    <row r="4365" spans="16:16" x14ac:dyDescent="0.25">
      <c r="P4365" s="137"/>
    </row>
    <row r="4366" spans="16:16" x14ac:dyDescent="0.25">
      <c r="P4366" s="137"/>
    </row>
    <row r="4367" spans="16:16" x14ac:dyDescent="0.25">
      <c r="P4367" s="137"/>
    </row>
    <row r="4368" spans="16:16" x14ac:dyDescent="0.25">
      <c r="P4368" s="137"/>
    </row>
    <row r="4369" spans="16:16" x14ac:dyDescent="0.25">
      <c r="P4369" s="137"/>
    </row>
    <row r="4370" spans="16:16" x14ac:dyDescent="0.25">
      <c r="P4370" s="137"/>
    </row>
    <row r="4371" spans="16:16" x14ac:dyDescent="0.25">
      <c r="P4371" s="137"/>
    </row>
    <row r="4372" spans="16:16" x14ac:dyDescent="0.25">
      <c r="P4372" s="137"/>
    </row>
    <row r="4373" spans="16:16" x14ac:dyDescent="0.25">
      <c r="P4373" s="137"/>
    </row>
    <row r="4374" spans="16:16" x14ac:dyDescent="0.25">
      <c r="P4374" s="137"/>
    </row>
    <row r="4375" spans="16:16" x14ac:dyDescent="0.25">
      <c r="P4375" s="137"/>
    </row>
    <row r="4376" spans="16:16" x14ac:dyDescent="0.25">
      <c r="P4376" s="137"/>
    </row>
    <row r="4377" spans="16:16" x14ac:dyDescent="0.25">
      <c r="P4377" s="137"/>
    </row>
    <row r="4378" spans="16:16" x14ac:dyDescent="0.25">
      <c r="P4378" s="137"/>
    </row>
    <row r="4379" spans="16:16" x14ac:dyDescent="0.25">
      <c r="P4379" s="137"/>
    </row>
    <row r="4380" spans="16:16" x14ac:dyDescent="0.25">
      <c r="P4380" s="137"/>
    </row>
    <row r="4381" spans="16:16" x14ac:dyDescent="0.25">
      <c r="P4381" s="137"/>
    </row>
    <row r="4382" spans="16:16" x14ac:dyDescent="0.25">
      <c r="P4382" s="137"/>
    </row>
    <row r="4383" spans="16:16" x14ac:dyDescent="0.25">
      <c r="P4383" s="137"/>
    </row>
    <row r="4384" spans="16:16" x14ac:dyDescent="0.25">
      <c r="P4384" s="137"/>
    </row>
    <row r="4385" spans="16:16" x14ac:dyDescent="0.25">
      <c r="P4385" s="137"/>
    </row>
    <row r="4386" spans="16:16" x14ac:dyDescent="0.25">
      <c r="P4386" s="137"/>
    </row>
    <row r="4387" spans="16:16" x14ac:dyDescent="0.25">
      <c r="P4387" s="137"/>
    </row>
    <row r="4388" spans="16:16" x14ac:dyDescent="0.25">
      <c r="P4388" s="137"/>
    </row>
    <row r="4389" spans="16:16" x14ac:dyDescent="0.25">
      <c r="P4389" s="137"/>
    </row>
    <row r="4390" spans="16:16" x14ac:dyDescent="0.25">
      <c r="P4390" s="137"/>
    </row>
    <row r="4391" spans="16:16" x14ac:dyDescent="0.25">
      <c r="P4391" s="137"/>
    </row>
    <row r="4392" spans="16:16" x14ac:dyDescent="0.25">
      <c r="P4392" s="137"/>
    </row>
    <row r="4393" spans="16:16" x14ac:dyDescent="0.25">
      <c r="P4393" s="137"/>
    </row>
    <row r="4394" spans="16:16" x14ac:dyDescent="0.25">
      <c r="P4394" s="137"/>
    </row>
    <row r="4395" spans="16:16" x14ac:dyDescent="0.25">
      <c r="P4395" s="137"/>
    </row>
    <row r="4396" spans="16:16" x14ac:dyDescent="0.25">
      <c r="P4396" s="137"/>
    </row>
    <row r="4397" spans="16:16" x14ac:dyDescent="0.25">
      <c r="P4397" s="137"/>
    </row>
    <row r="4398" spans="16:16" x14ac:dyDescent="0.25">
      <c r="P4398" s="137"/>
    </row>
    <row r="4399" spans="16:16" x14ac:dyDescent="0.25">
      <c r="P4399" s="137"/>
    </row>
    <row r="4400" spans="16:16" x14ac:dyDescent="0.25">
      <c r="P4400" s="137"/>
    </row>
    <row r="4401" spans="16:16" x14ac:dyDescent="0.25">
      <c r="P4401" s="137"/>
    </row>
    <row r="4402" spans="16:16" x14ac:dyDescent="0.25">
      <c r="P4402" s="137"/>
    </row>
    <row r="4403" spans="16:16" x14ac:dyDescent="0.25">
      <c r="P4403" s="137"/>
    </row>
    <row r="4404" spans="16:16" x14ac:dyDescent="0.25">
      <c r="P4404" s="137"/>
    </row>
    <row r="4405" spans="16:16" x14ac:dyDescent="0.25">
      <c r="P4405" s="137"/>
    </row>
    <row r="4406" spans="16:16" x14ac:dyDescent="0.25">
      <c r="P4406" s="137"/>
    </row>
    <row r="4407" spans="16:16" x14ac:dyDescent="0.25">
      <c r="P4407" s="137"/>
    </row>
    <row r="4408" spans="16:16" x14ac:dyDescent="0.25">
      <c r="P4408" s="137"/>
    </row>
    <row r="4409" spans="16:16" x14ac:dyDescent="0.25">
      <c r="P4409" s="137"/>
    </row>
    <row r="4410" spans="16:16" x14ac:dyDescent="0.25">
      <c r="P4410" s="137"/>
    </row>
    <row r="4411" spans="16:16" x14ac:dyDescent="0.25">
      <c r="P4411" s="137"/>
    </row>
    <row r="4412" spans="16:16" x14ac:dyDescent="0.25">
      <c r="P4412" s="137"/>
    </row>
    <row r="4413" spans="16:16" x14ac:dyDescent="0.25">
      <c r="P4413" s="137"/>
    </row>
    <row r="4414" spans="16:16" x14ac:dyDescent="0.25">
      <c r="P4414" s="137"/>
    </row>
    <row r="4415" spans="16:16" x14ac:dyDescent="0.25">
      <c r="P4415" s="137"/>
    </row>
    <row r="4416" spans="16:16" x14ac:dyDescent="0.25">
      <c r="P4416" s="137"/>
    </row>
    <row r="4417" spans="16:16" x14ac:dyDescent="0.25">
      <c r="P4417" s="137"/>
    </row>
    <row r="4418" spans="16:16" x14ac:dyDescent="0.25">
      <c r="P4418" s="137"/>
    </row>
    <row r="4419" spans="16:16" x14ac:dyDescent="0.25">
      <c r="P4419" s="137"/>
    </row>
    <row r="4420" spans="16:16" x14ac:dyDescent="0.25">
      <c r="P4420" s="137"/>
    </row>
    <row r="4421" spans="16:16" x14ac:dyDescent="0.25">
      <c r="P4421" s="137"/>
    </row>
    <row r="4422" spans="16:16" x14ac:dyDescent="0.25">
      <c r="P4422" s="137"/>
    </row>
    <row r="4423" spans="16:16" x14ac:dyDescent="0.25">
      <c r="P4423" s="137"/>
    </row>
    <row r="4424" spans="16:16" x14ac:dyDescent="0.25">
      <c r="P4424" s="137"/>
    </row>
    <row r="4425" spans="16:16" x14ac:dyDescent="0.25">
      <c r="P4425" s="137"/>
    </row>
    <row r="4426" spans="16:16" x14ac:dyDescent="0.25">
      <c r="P4426" s="137"/>
    </row>
    <row r="4427" spans="16:16" x14ac:dyDescent="0.25">
      <c r="P4427" s="137"/>
    </row>
    <row r="4428" spans="16:16" x14ac:dyDescent="0.25">
      <c r="P4428" s="137"/>
    </row>
    <row r="4429" spans="16:16" x14ac:dyDescent="0.25">
      <c r="P4429" s="137"/>
    </row>
    <row r="4430" spans="16:16" x14ac:dyDescent="0.25">
      <c r="P4430" s="137"/>
    </row>
    <row r="4431" spans="16:16" x14ac:dyDescent="0.25">
      <c r="P4431" s="137"/>
    </row>
    <row r="4432" spans="16:16" x14ac:dyDescent="0.25">
      <c r="P4432" s="137"/>
    </row>
    <row r="4433" spans="16:16" x14ac:dyDescent="0.25">
      <c r="P4433" s="137"/>
    </row>
    <row r="4434" spans="16:16" x14ac:dyDescent="0.25">
      <c r="P4434" s="137"/>
    </row>
    <row r="4435" spans="16:16" x14ac:dyDescent="0.25">
      <c r="P4435" s="137"/>
    </row>
    <row r="4436" spans="16:16" x14ac:dyDescent="0.25">
      <c r="P4436" s="137"/>
    </row>
    <row r="4437" spans="16:16" x14ac:dyDescent="0.25">
      <c r="P4437" s="137"/>
    </row>
    <row r="4438" spans="16:16" x14ac:dyDescent="0.25">
      <c r="P4438" s="137"/>
    </row>
    <row r="4439" spans="16:16" x14ac:dyDescent="0.25">
      <c r="P4439" s="137"/>
    </row>
    <row r="4440" spans="16:16" x14ac:dyDescent="0.25">
      <c r="P4440" s="137"/>
    </row>
    <row r="4441" spans="16:16" x14ac:dyDescent="0.25">
      <c r="P4441" s="137"/>
    </row>
    <row r="4442" spans="16:16" x14ac:dyDescent="0.25">
      <c r="P4442" s="137"/>
    </row>
    <row r="4443" spans="16:16" x14ac:dyDescent="0.25">
      <c r="P4443" s="137"/>
    </row>
    <row r="4444" spans="16:16" x14ac:dyDescent="0.25">
      <c r="P4444" s="137"/>
    </row>
    <row r="4445" spans="16:16" x14ac:dyDescent="0.25">
      <c r="P4445" s="137"/>
    </row>
    <row r="4446" spans="16:16" x14ac:dyDescent="0.25">
      <c r="P4446" s="137"/>
    </row>
    <row r="4447" spans="16:16" x14ac:dyDescent="0.25">
      <c r="P4447" s="137"/>
    </row>
    <row r="4448" spans="16:16" x14ac:dyDescent="0.25">
      <c r="P4448" s="137"/>
    </row>
    <row r="4449" spans="16:16" x14ac:dyDescent="0.25">
      <c r="P4449" s="137"/>
    </row>
    <row r="4450" spans="16:16" x14ac:dyDescent="0.25">
      <c r="P4450" s="137"/>
    </row>
    <row r="4451" spans="16:16" x14ac:dyDescent="0.25">
      <c r="P4451" s="137"/>
    </row>
    <row r="4452" spans="16:16" x14ac:dyDescent="0.25">
      <c r="P4452" s="137"/>
    </row>
    <row r="4453" spans="16:16" x14ac:dyDescent="0.25">
      <c r="P4453" s="137"/>
    </row>
    <row r="4454" spans="16:16" x14ac:dyDescent="0.25">
      <c r="P4454" s="137"/>
    </row>
    <row r="4455" spans="16:16" x14ac:dyDescent="0.25">
      <c r="P4455" s="137"/>
    </row>
    <row r="4456" spans="16:16" x14ac:dyDescent="0.25">
      <c r="P4456" s="137"/>
    </row>
    <row r="4457" spans="16:16" x14ac:dyDescent="0.25">
      <c r="P4457" s="137"/>
    </row>
    <row r="4458" spans="16:16" x14ac:dyDescent="0.25">
      <c r="P4458" s="137"/>
    </row>
    <row r="4459" spans="16:16" x14ac:dyDescent="0.25">
      <c r="P4459" s="137"/>
    </row>
    <row r="4460" spans="16:16" x14ac:dyDescent="0.25">
      <c r="P4460" s="137"/>
    </row>
    <row r="4461" spans="16:16" x14ac:dyDescent="0.25">
      <c r="P4461" s="137"/>
    </row>
    <row r="4462" spans="16:16" x14ac:dyDescent="0.25">
      <c r="P4462" s="137"/>
    </row>
    <row r="4463" spans="16:16" x14ac:dyDescent="0.25">
      <c r="P4463" s="137"/>
    </row>
    <row r="4464" spans="16:16" x14ac:dyDescent="0.25">
      <c r="P4464" s="137"/>
    </row>
    <row r="4465" spans="16:16" x14ac:dyDescent="0.25">
      <c r="P4465" s="137"/>
    </row>
    <row r="4466" spans="16:16" x14ac:dyDescent="0.25">
      <c r="P4466" s="137"/>
    </row>
    <row r="4467" spans="16:16" x14ac:dyDescent="0.25">
      <c r="P4467" s="137"/>
    </row>
    <row r="4468" spans="16:16" x14ac:dyDescent="0.25">
      <c r="P4468" s="137"/>
    </row>
    <row r="4469" spans="16:16" x14ac:dyDescent="0.25">
      <c r="P4469" s="137"/>
    </row>
    <row r="4470" spans="16:16" x14ac:dyDescent="0.25">
      <c r="P4470" s="137"/>
    </row>
    <row r="4471" spans="16:16" x14ac:dyDescent="0.25">
      <c r="P4471" s="137"/>
    </row>
    <row r="4472" spans="16:16" x14ac:dyDescent="0.25">
      <c r="P4472" s="137"/>
    </row>
    <row r="4473" spans="16:16" x14ac:dyDescent="0.25">
      <c r="P4473" s="137"/>
    </row>
    <row r="4474" spans="16:16" x14ac:dyDescent="0.25">
      <c r="P4474" s="137"/>
    </row>
    <row r="4475" spans="16:16" x14ac:dyDescent="0.25">
      <c r="P4475" s="137"/>
    </row>
    <row r="4476" spans="16:16" x14ac:dyDescent="0.25">
      <c r="P4476" s="137"/>
    </row>
    <row r="4477" spans="16:16" x14ac:dyDescent="0.25">
      <c r="P4477" s="137"/>
    </row>
    <row r="4478" spans="16:16" x14ac:dyDescent="0.25">
      <c r="P4478" s="137"/>
    </row>
    <row r="4479" spans="16:16" x14ac:dyDescent="0.25">
      <c r="P4479" s="137"/>
    </row>
    <row r="4480" spans="16:16" x14ac:dyDescent="0.25">
      <c r="P4480" s="137"/>
    </row>
    <row r="4481" spans="16:16" x14ac:dyDescent="0.25">
      <c r="P4481" s="137"/>
    </row>
    <row r="4482" spans="16:16" x14ac:dyDescent="0.25">
      <c r="P4482" s="137"/>
    </row>
    <row r="4483" spans="16:16" x14ac:dyDescent="0.25">
      <c r="P4483" s="137"/>
    </row>
    <row r="4484" spans="16:16" x14ac:dyDescent="0.25">
      <c r="P4484" s="137"/>
    </row>
    <row r="4485" spans="16:16" x14ac:dyDescent="0.25">
      <c r="P4485" s="137"/>
    </row>
    <row r="4486" spans="16:16" x14ac:dyDescent="0.25">
      <c r="P4486" s="137"/>
    </row>
    <row r="4487" spans="16:16" x14ac:dyDescent="0.25">
      <c r="P4487" s="137"/>
    </row>
    <row r="4488" spans="16:16" x14ac:dyDescent="0.25">
      <c r="P4488" s="137"/>
    </row>
    <row r="4489" spans="16:16" x14ac:dyDescent="0.25">
      <c r="P4489" s="137"/>
    </row>
    <row r="4490" spans="16:16" x14ac:dyDescent="0.25">
      <c r="P4490" s="137"/>
    </row>
    <row r="4491" spans="16:16" x14ac:dyDescent="0.25">
      <c r="P4491" s="137"/>
    </row>
    <row r="4492" spans="16:16" x14ac:dyDescent="0.25">
      <c r="P4492" s="137"/>
    </row>
    <row r="4493" spans="16:16" x14ac:dyDescent="0.25">
      <c r="P4493" s="137"/>
    </row>
    <row r="4494" spans="16:16" x14ac:dyDescent="0.25">
      <c r="P4494" s="137"/>
    </row>
    <row r="4495" spans="16:16" x14ac:dyDescent="0.25">
      <c r="P4495" s="137"/>
    </row>
    <row r="4496" spans="16:16" x14ac:dyDescent="0.25">
      <c r="P4496" s="137"/>
    </row>
    <row r="4497" spans="16:16" x14ac:dyDescent="0.25">
      <c r="P4497" s="137"/>
    </row>
    <row r="4498" spans="16:16" x14ac:dyDescent="0.25">
      <c r="P4498" s="137"/>
    </row>
    <row r="4499" spans="16:16" x14ac:dyDescent="0.25">
      <c r="P4499" s="137"/>
    </row>
    <row r="4500" spans="16:16" x14ac:dyDescent="0.25">
      <c r="P4500" s="137"/>
    </row>
    <row r="4501" spans="16:16" x14ac:dyDescent="0.25">
      <c r="P4501" s="137"/>
    </row>
    <row r="4502" spans="16:16" x14ac:dyDescent="0.25">
      <c r="P4502" s="137"/>
    </row>
    <row r="4503" spans="16:16" x14ac:dyDescent="0.25">
      <c r="P4503" s="137"/>
    </row>
    <row r="4504" spans="16:16" x14ac:dyDescent="0.25">
      <c r="P4504" s="137"/>
    </row>
    <row r="4505" spans="16:16" x14ac:dyDescent="0.25">
      <c r="P4505" s="137"/>
    </row>
    <row r="4506" spans="16:16" x14ac:dyDescent="0.25">
      <c r="P4506" s="137"/>
    </row>
    <row r="4507" spans="16:16" x14ac:dyDescent="0.25">
      <c r="P4507" s="137"/>
    </row>
    <row r="4508" spans="16:16" x14ac:dyDescent="0.25">
      <c r="P4508" s="137"/>
    </row>
    <row r="4509" spans="16:16" x14ac:dyDescent="0.25">
      <c r="P4509" s="137"/>
    </row>
    <row r="4510" spans="16:16" x14ac:dyDescent="0.25">
      <c r="P4510" s="137"/>
    </row>
    <row r="4511" spans="16:16" x14ac:dyDescent="0.25">
      <c r="P4511" s="137"/>
    </row>
    <row r="4512" spans="16:16" x14ac:dyDescent="0.25">
      <c r="P4512" s="137"/>
    </row>
    <row r="4513" spans="16:16" x14ac:dyDescent="0.25">
      <c r="P4513" s="137"/>
    </row>
    <row r="4514" spans="16:16" x14ac:dyDescent="0.25">
      <c r="P4514" s="137"/>
    </row>
    <row r="4515" spans="16:16" x14ac:dyDescent="0.25">
      <c r="P4515" s="137"/>
    </row>
    <row r="4516" spans="16:16" x14ac:dyDescent="0.25">
      <c r="P4516" s="137"/>
    </row>
    <row r="4517" spans="16:16" x14ac:dyDescent="0.25">
      <c r="P4517" s="137"/>
    </row>
    <row r="4518" spans="16:16" x14ac:dyDescent="0.25">
      <c r="P4518" s="137"/>
    </row>
    <row r="4519" spans="16:16" x14ac:dyDescent="0.25">
      <c r="P4519" s="137"/>
    </row>
    <row r="4520" spans="16:16" x14ac:dyDescent="0.25">
      <c r="P4520" s="137"/>
    </row>
    <row r="4521" spans="16:16" x14ac:dyDescent="0.25">
      <c r="P4521" s="137"/>
    </row>
    <row r="4522" spans="16:16" x14ac:dyDescent="0.25">
      <c r="P4522" s="137"/>
    </row>
    <row r="4523" spans="16:16" x14ac:dyDescent="0.25">
      <c r="P4523" s="137"/>
    </row>
    <row r="4524" spans="16:16" x14ac:dyDescent="0.25">
      <c r="P4524" s="137"/>
    </row>
    <row r="4525" spans="16:16" x14ac:dyDescent="0.25">
      <c r="P4525" s="137"/>
    </row>
    <row r="4526" spans="16:16" x14ac:dyDescent="0.25">
      <c r="P4526" s="137"/>
    </row>
    <row r="4527" spans="16:16" x14ac:dyDescent="0.25">
      <c r="P4527" s="137"/>
    </row>
    <row r="4528" spans="16:16" x14ac:dyDescent="0.25">
      <c r="P4528" s="137"/>
    </row>
    <row r="4529" spans="16:16" x14ac:dyDescent="0.25">
      <c r="P4529" s="137"/>
    </row>
    <row r="4530" spans="16:16" x14ac:dyDescent="0.25">
      <c r="P4530" s="137"/>
    </row>
    <row r="4531" spans="16:16" x14ac:dyDescent="0.25">
      <c r="P4531" s="137"/>
    </row>
    <row r="4532" spans="16:16" x14ac:dyDescent="0.25">
      <c r="P4532" s="137"/>
    </row>
    <row r="4533" spans="16:16" x14ac:dyDescent="0.25">
      <c r="P4533" s="137"/>
    </row>
    <row r="4534" spans="16:16" x14ac:dyDescent="0.25">
      <c r="P4534" s="137"/>
    </row>
    <row r="4535" spans="16:16" x14ac:dyDescent="0.25">
      <c r="P4535" s="137"/>
    </row>
    <row r="4536" spans="16:16" x14ac:dyDescent="0.25">
      <c r="P4536" s="137"/>
    </row>
    <row r="4537" spans="16:16" x14ac:dyDescent="0.25">
      <c r="P4537" s="137"/>
    </row>
    <row r="4538" spans="16:16" x14ac:dyDescent="0.25">
      <c r="P4538" s="137"/>
    </row>
    <row r="4539" spans="16:16" x14ac:dyDescent="0.25">
      <c r="P4539" s="137"/>
    </row>
    <row r="4540" spans="16:16" x14ac:dyDescent="0.25">
      <c r="P4540" s="137"/>
    </row>
    <row r="4541" spans="16:16" x14ac:dyDescent="0.25">
      <c r="P4541" s="137"/>
    </row>
    <row r="4542" spans="16:16" x14ac:dyDescent="0.25">
      <c r="P4542" s="137"/>
    </row>
    <row r="4543" spans="16:16" x14ac:dyDescent="0.25">
      <c r="P4543" s="137"/>
    </row>
    <row r="4544" spans="16:16" x14ac:dyDescent="0.25">
      <c r="P4544" s="137"/>
    </row>
    <row r="4545" spans="16:16" x14ac:dyDescent="0.25">
      <c r="P4545" s="137"/>
    </row>
    <row r="4546" spans="16:16" x14ac:dyDescent="0.25">
      <c r="P4546" s="137"/>
    </row>
    <row r="4547" spans="16:16" x14ac:dyDescent="0.25">
      <c r="P4547" s="137"/>
    </row>
    <row r="4548" spans="16:16" x14ac:dyDescent="0.25">
      <c r="P4548" s="137"/>
    </row>
    <row r="4549" spans="16:16" x14ac:dyDescent="0.25">
      <c r="P4549" s="137"/>
    </row>
    <row r="4550" spans="16:16" x14ac:dyDescent="0.25">
      <c r="P4550" s="137"/>
    </row>
    <row r="4551" spans="16:16" x14ac:dyDescent="0.25">
      <c r="P4551" s="137"/>
    </row>
    <row r="4552" spans="16:16" x14ac:dyDescent="0.25">
      <c r="P4552" s="137"/>
    </row>
    <row r="4553" spans="16:16" x14ac:dyDescent="0.25">
      <c r="P4553" s="137"/>
    </row>
    <row r="4554" spans="16:16" x14ac:dyDescent="0.25">
      <c r="P4554" s="137"/>
    </row>
    <row r="4555" spans="16:16" x14ac:dyDescent="0.25">
      <c r="P4555" s="137"/>
    </row>
    <row r="4556" spans="16:16" x14ac:dyDescent="0.25">
      <c r="P4556" s="137"/>
    </row>
    <row r="4557" spans="16:16" x14ac:dyDescent="0.25">
      <c r="P4557" s="137"/>
    </row>
    <row r="4558" spans="16:16" x14ac:dyDescent="0.25">
      <c r="P4558" s="137"/>
    </row>
    <row r="4559" spans="16:16" x14ac:dyDescent="0.25">
      <c r="P4559" s="137"/>
    </row>
    <row r="4560" spans="16:16" x14ac:dyDescent="0.25">
      <c r="P4560" s="137"/>
    </row>
    <row r="4561" spans="16:16" x14ac:dyDescent="0.25">
      <c r="P4561" s="137"/>
    </row>
    <row r="4562" spans="16:16" x14ac:dyDescent="0.25">
      <c r="P4562" s="137"/>
    </row>
    <row r="4563" spans="16:16" x14ac:dyDescent="0.25">
      <c r="P4563" s="137"/>
    </row>
    <row r="4564" spans="16:16" x14ac:dyDescent="0.25">
      <c r="P4564" s="137"/>
    </row>
    <row r="4565" spans="16:16" x14ac:dyDescent="0.25">
      <c r="P4565" s="137"/>
    </row>
    <row r="4566" spans="16:16" x14ac:dyDescent="0.25">
      <c r="P4566" s="137"/>
    </row>
    <row r="4567" spans="16:16" x14ac:dyDescent="0.25">
      <c r="P4567" s="137"/>
    </row>
    <row r="4568" spans="16:16" x14ac:dyDescent="0.25">
      <c r="P4568" s="137"/>
    </row>
    <row r="4569" spans="16:16" x14ac:dyDescent="0.25">
      <c r="P4569" s="137"/>
    </row>
    <row r="4570" spans="16:16" x14ac:dyDescent="0.25">
      <c r="P4570" s="137"/>
    </row>
    <row r="4571" spans="16:16" x14ac:dyDescent="0.25">
      <c r="P4571" s="137"/>
    </row>
    <row r="4572" spans="16:16" x14ac:dyDescent="0.25">
      <c r="P4572" s="137"/>
    </row>
    <row r="4573" spans="16:16" x14ac:dyDescent="0.25">
      <c r="P4573" s="137"/>
    </row>
    <row r="4574" spans="16:16" x14ac:dyDescent="0.25">
      <c r="P4574" s="137"/>
    </row>
    <row r="4575" spans="16:16" x14ac:dyDescent="0.25">
      <c r="P4575" s="137"/>
    </row>
    <row r="4576" spans="16:16" x14ac:dyDescent="0.25">
      <c r="P4576" s="137"/>
    </row>
    <row r="4577" spans="16:16" x14ac:dyDescent="0.25">
      <c r="P4577" s="137"/>
    </row>
    <row r="4578" spans="16:16" x14ac:dyDescent="0.25">
      <c r="P4578" s="137"/>
    </row>
    <row r="4579" spans="16:16" x14ac:dyDescent="0.25">
      <c r="P4579" s="137"/>
    </row>
    <row r="4580" spans="16:16" x14ac:dyDescent="0.25">
      <c r="P4580" s="137"/>
    </row>
    <row r="4581" spans="16:16" x14ac:dyDescent="0.25">
      <c r="P4581" s="137"/>
    </row>
    <row r="4582" spans="16:16" x14ac:dyDescent="0.25">
      <c r="P4582" s="137"/>
    </row>
    <row r="4583" spans="16:16" x14ac:dyDescent="0.25">
      <c r="P4583" s="137"/>
    </row>
    <row r="4584" spans="16:16" x14ac:dyDescent="0.25">
      <c r="P4584" s="137"/>
    </row>
    <row r="4585" spans="16:16" x14ac:dyDescent="0.25">
      <c r="P4585" s="137"/>
    </row>
    <row r="4586" spans="16:16" x14ac:dyDescent="0.25">
      <c r="P4586" s="137"/>
    </row>
    <row r="4587" spans="16:16" x14ac:dyDescent="0.25">
      <c r="P4587" s="137"/>
    </row>
    <row r="4588" spans="16:16" x14ac:dyDescent="0.25">
      <c r="P4588" s="137"/>
    </row>
    <row r="4589" spans="16:16" x14ac:dyDescent="0.25">
      <c r="P4589" s="137"/>
    </row>
    <row r="4590" spans="16:16" x14ac:dyDescent="0.25">
      <c r="P4590" s="137"/>
    </row>
    <row r="4591" spans="16:16" x14ac:dyDescent="0.25">
      <c r="P4591" s="137"/>
    </row>
    <row r="4592" spans="16:16" x14ac:dyDescent="0.25">
      <c r="P4592" s="137"/>
    </row>
    <row r="4593" spans="16:16" x14ac:dyDescent="0.25">
      <c r="P4593" s="137"/>
    </row>
    <row r="4594" spans="16:16" x14ac:dyDescent="0.25">
      <c r="P4594" s="137"/>
    </row>
    <row r="4595" spans="16:16" x14ac:dyDescent="0.25">
      <c r="P4595" s="137"/>
    </row>
    <row r="4596" spans="16:16" x14ac:dyDescent="0.25">
      <c r="P4596" s="137"/>
    </row>
    <row r="4597" spans="16:16" x14ac:dyDescent="0.25">
      <c r="P4597" s="137"/>
    </row>
    <row r="4598" spans="16:16" x14ac:dyDescent="0.25">
      <c r="P4598" s="137"/>
    </row>
    <row r="4599" spans="16:16" x14ac:dyDescent="0.25">
      <c r="P4599" s="137"/>
    </row>
    <row r="4600" spans="16:16" x14ac:dyDescent="0.25">
      <c r="P4600" s="137"/>
    </row>
    <row r="4601" spans="16:16" x14ac:dyDescent="0.25">
      <c r="P4601" s="137"/>
    </row>
    <row r="4602" spans="16:16" x14ac:dyDescent="0.25">
      <c r="P4602" s="137"/>
    </row>
    <row r="4603" spans="16:16" x14ac:dyDescent="0.25">
      <c r="P4603" s="137"/>
    </row>
    <row r="4604" spans="16:16" x14ac:dyDescent="0.25">
      <c r="P4604" s="137"/>
    </row>
    <row r="4605" spans="16:16" x14ac:dyDescent="0.25">
      <c r="P4605" s="137"/>
    </row>
    <row r="4606" spans="16:16" x14ac:dyDescent="0.25">
      <c r="P4606" s="137"/>
    </row>
    <row r="4607" spans="16:16" x14ac:dyDescent="0.25">
      <c r="P4607" s="137"/>
    </row>
    <row r="4608" spans="16:16" x14ac:dyDescent="0.25">
      <c r="P4608" s="137"/>
    </row>
    <row r="4609" spans="16:16" x14ac:dyDescent="0.25">
      <c r="P4609" s="137"/>
    </row>
    <row r="4610" spans="16:16" x14ac:dyDescent="0.25">
      <c r="P4610" s="137"/>
    </row>
    <row r="4611" spans="16:16" x14ac:dyDescent="0.25">
      <c r="P4611" s="137"/>
    </row>
    <row r="4612" spans="16:16" x14ac:dyDescent="0.25">
      <c r="P4612" s="137"/>
    </row>
    <row r="4613" spans="16:16" x14ac:dyDescent="0.25">
      <c r="P4613" s="137"/>
    </row>
    <row r="4614" spans="16:16" x14ac:dyDescent="0.25">
      <c r="P4614" s="137"/>
    </row>
    <row r="4615" spans="16:16" x14ac:dyDescent="0.25">
      <c r="P4615" s="137"/>
    </row>
    <row r="4616" spans="16:16" x14ac:dyDescent="0.25">
      <c r="P4616" s="137"/>
    </row>
    <row r="4617" spans="16:16" x14ac:dyDescent="0.25">
      <c r="P4617" s="137"/>
    </row>
    <row r="4618" spans="16:16" x14ac:dyDescent="0.25">
      <c r="P4618" s="137"/>
    </row>
    <row r="4619" spans="16:16" x14ac:dyDescent="0.25">
      <c r="P4619" s="137"/>
    </row>
    <row r="4620" spans="16:16" x14ac:dyDescent="0.25">
      <c r="P4620" s="137"/>
    </row>
    <row r="4621" spans="16:16" x14ac:dyDescent="0.25">
      <c r="P4621" s="137"/>
    </row>
    <row r="4622" spans="16:16" x14ac:dyDescent="0.25">
      <c r="P4622" s="137"/>
    </row>
    <row r="4623" spans="16:16" x14ac:dyDescent="0.25">
      <c r="P4623" s="137"/>
    </row>
    <row r="4624" spans="16:16" x14ac:dyDescent="0.25">
      <c r="P4624" s="137"/>
    </row>
    <row r="4625" spans="16:16" x14ac:dyDescent="0.25">
      <c r="P4625" s="137"/>
    </row>
    <row r="4626" spans="16:16" x14ac:dyDescent="0.25">
      <c r="P4626" s="137"/>
    </row>
    <row r="4627" spans="16:16" x14ac:dyDescent="0.25">
      <c r="P4627" s="137"/>
    </row>
    <row r="4628" spans="16:16" x14ac:dyDescent="0.25">
      <c r="P4628" s="137"/>
    </row>
    <row r="4629" spans="16:16" x14ac:dyDescent="0.25">
      <c r="P4629" s="137"/>
    </row>
    <row r="4630" spans="16:16" x14ac:dyDescent="0.25">
      <c r="P4630" s="137"/>
    </row>
    <row r="4631" spans="16:16" x14ac:dyDescent="0.25">
      <c r="P4631" s="137"/>
    </row>
    <row r="4632" spans="16:16" x14ac:dyDescent="0.25">
      <c r="P4632" s="137"/>
    </row>
    <row r="4633" spans="16:16" x14ac:dyDescent="0.25">
      <c r="P4633" s="137"/>
    </row>
    <row r="4634" spans="16:16" x14ac:dyDescent="0.25">
      <c r="P4634" s="137"/>
    </row>
    <row r="4635" spans="16:16" x14ac:dyDescent="0.25">
      <c r="P4635" s="137"/>
    </row>
    <row r="4636" spans="16:16" x14ac:dyDescent="0.25">
      <c r="P4636" s="137"/>
    </row>
    <row r="4637" spans="16:16" x14ac:dyDescent="0.25">
      <c r="P4637" s="137"/>
    </row>
    <row r="4638" spans="16:16" x14ac:dyDescent="0.25">
      <c r="P4638" s="137"/>
    </row>
    <row r="4639" spans="16:16" x14ac:dyDescent="0.25">
      <c r="P4639" s="137"/>
    </row>
    <row r="4640" spans="16:16" x14ac:dyDescent="0.25">
      <c r="P4640" s="137"/>
    </row>
    <row r="4641" spans="16:16" x14ac:dyDescent="0.25">
      <c r="P4641" s="137"/>
    </row>
    <row r="4642" spans="16:16" x14ac:dyDescent="0.25">
      <c r="P4642" s="137"/>
    </row>
    <row r="4643" spans="16:16" x14ac:dyDescent="0.25">
      <c r="P4643" s="137"/>
    </row>
    <row r="4644" spans="16:16" x14ac:dyDescent="0.25">
      <c r="P4644" s="137"/>
    </row>
    <row r="4645" spans="16:16" x14ac:dyDescent="0.25">
      <c r="P4645" s="137"/>
    </row>
    <row r="4646" spans="16:16" x14ac:dyDescent="0.25">
      <c r="P4646" s="137"/>
    </row>
    <row r="4647" spans="16:16" x14ac:dyDescent="0.25">
      <c r="P4647" s="137"/>
    </row>
    <row r="4648" spans="16:16" x14ac:dyDescent="0.25">
      <c r="P4648" s="137"/>
    </row>
    <row r="4649" spans="16:16" x14ac:dyDescent="0.25">
      <c r="P4649" s="137"/>
    </row>
    <row r="4650" spans="16:16" x14ac:dyDescent="0.25">
      <c r="P4650" s="137"/>
    </row>
    <row r="4651" spans="16:16" x14ac:dyDescent="0.25">
      <c r="P4651" s="137"/>
    </row>
    <row r="4652" spans="16:16" x14ac:dyDescent="0.25">
      <c r="P4652" s="137"/>
    </row>
    <row r="4653" spans="16:16" x14ac:dyDescent="0.25">
      <c r="P4653" s="137"/>
    </row>
    <row r="4654" spans="16:16" x14ac:dyDescent="0.25">
      <c r="P4654" s="137"/>
    </row>
    <row r="4655" spans="16:16" x14ac:dyDescent="0.25">
      <c r="P4655" s="137"/>
    </row>
    <row r="4656" spans="16:16" x14ac:dyDescent="0.25">
      <c r="P4656" s="137"/>
    </row>
    <row r="4657" spans="16:16" x14ac:dyDescent="0.25">
      <c r="P4657" s="137"/>
    </row>
    <row r="4658" spans="16:16" x14ac:dyDescent="0.25">
      <c r="P4658" s="137"/>
    </row>
    <row r="4659" spans="16:16" x14ac:dyDescent="0.25">
      <c r="P4659" s="137"/>
    </row>
    <row r="4660" spans="16:16" x14ac:dyDescent="0.25">
      <c r="P4660" s="137"/>
    </row>
    <row r="4661" spans="16:16" x14ac:dyDescent="0.25">
      <c r="P4661" s="137"/>
    </row>
    <row r="4662" spans="16:16" x14ac:dyDescent="0.25">
      <c r="P4662" s="137"/>
    </row>
    <row r="4663" spans="16:16" x14ac:dyDescent="0.25">
      <c r="P4663" s="137"/>
    </row>
    <row r="4664" spans="16:16" x14ac:dyDescent="0.25">
      <c r="P4664" s="137"/>
    </row>
    <row r="4665" spans="16:16" x14ac:dyDescent="0.25">
      <c r="P4665" s="137"/>
    </row>
    <row r="4666" spans="16:16" x14ac:dyDescent="0.25">
      <c r="P4666" s="137"/>
    </row>
    <row r="4667" spans="16:16" x14ac:dyDescent="0.25">
      <c r="P4667" s="137"/>
    </row>
    <row r="4668" spans="16:16" x14ac:dyDescent="0.25">
      <c r="P4668" s="137"/>
    </row>
    <row r="4669" spans="16:16" x14ac:dyDescent="0.25">
      <c r="P4669" s="137"/>
    </row>
    <row r="4670" spans="16:16" x14ac:dyDescent="0.25">
      <c r="P4670" s="137"/>
    </row>
    <row r="4671" spans="16:16" x14ac:dyDescent="0.25">
      <c r="P4671" s="137"/>
    </row>
    <row r="4672" spans="16:16" x14ac:dyDescent="0.25">
      <c r="P4672" s="137"/>
    </row>
    <row r="4673" spans="16:16" x14ac:dyDescent="0.25">
      <c r="P4673" s="137"/>
    </row>
    <row r="4674" spans="16:16" x14ac:dyDescent="0.25">
      <c r="P4674" s="137"/>
    </row>
    <row r="4675" spans="16:16" x14ac:dyDescent="0.25">
      <c r="P4675" s="137"/>
    </row>
    <row r="4676" spans="16:16" x14ac:dyDescent="0.25">
      <c r="P4676" s="137"/>
    </row>
    <row r="4677" spans="16:16" x14ac:dyDescent="0.25">
      <c r="P4677" s="137"/>
    </row>
    <row r="4678" spans="16:16" x14ac:dyDescent="0.25">
      <c r="P4678" s="137"/>
    </row>
    <row r="4679" spans="16:16" x14ac:dyDescent="0.25">
      <c r="P4679" s="137"/>
    </row>
    <row r="4680" spans="16:16" x14ac:dyDescent="0.25">
      <c r="P4680" s="137"/>
    </row>
    <row r="4681" spans="16:16" x14ac:dyDescent="0.25">
      <c r="P4681" s="137"/>
    </row>
    <row r="4682" spans="16:16" x14ac:dyDescent="0.25">
      <c r="P4682" s="137"/>
    </row>
    <row r="4683" spans="16:16" x14ac:dyDescent="0.25">
      <c r="P4683" s="137"/>
    </row>
    <row r="4684" spans="16:16" x14ac:dyDescent="0.25">
      <c r="P4684" s="137"/>
    </row>
    <row r="4685" spans="16:16" x14ac:dyDescent="0.25">
      <c r="P4685" s="137"/>
    </row>
    <row r="4686" spans="16:16" x14ac:dyDescent="0.25">
      <c r="P4686" s="137"/>
    </row>
    <row r="4687" spans="16:16" x14ac:dyDescent="0.25">
      <c r="P4687" s="137"/>
    </row>
    <row r="4688" spans="16:16" x14ac:dyDescent="0.25">
      <c r="P4688" s="137"/>
    </row>
    <row r="4689" spans="16:16" x14ac:dyDescent="0.25">
      <c r="P4689" s="137"/>
    </row>
    <row r="4690" spans="16:16" x14ac:dyDescent="0.25">
      <c r="P4690" s="137"/>
    </row>
    <row r="4691" spans="16:16" x14ac:dyDescent="0.25">
      <c r="P4691" s="137"/>
    </row>
    <row r="4692" spans="16:16" x14ac:dyDescent="0.25">
      <c r="P4692" s="137"/>
    </row>
    <row r="4693" spans="16:16" x14ac:dyDescent="0.25">
      <c r="P4693" s="137"/>
    </row>
    <row r="4694" spans="16:16" x14ac:dyDescent="0.25">
      <c r="P4694" s="137"/>
    </row>
    <row r="4695" spans="16:16" x14ac:dyDescent="0.25">
      <c r="P4695" s="137"/>
    </row>
    <row r="4696" spans="16:16" x14ac:dyDescent="0.25">
      <c r="P4696" s="137"/>
    </row>
    <row r="4697" spans="16:16" x14ac:dyDescent="0.25">
      <c r="P4697" s="137"/>
    </row>
    <row r="4698" spans="16:16" x14ac:dyDescent="0.25">
      <c r="P4698" s="137"/>
    </row>
    <row r="4699" spans="16:16" x14ac:dyDescent="0.25">
      <c r="P4699" s="137"/>
    </row>
    <row r="4700" spans="16:16" x14ac:dyDescent="0.25">
      <c r="P4700" s="137"/>
    </row>
    <row r="4701" spans="16:16" x14ac:dyDescent="0.25">
      <c r="P4701" s="137"/>
    </row>
    <row r="4702" spans="16:16" x14ac:dyDescent="0.25">
      <c r="P4702" s="137"/>
    </row>
    <row r="4703" spans="16:16" x14ac:dyDescent="0.25">
      <c r="P4703" s="137"/>
    </row>
    <row r="4704" spans="16:16" x14ac:dyDescent="0.25">
      <c r="P4704" s="137"/>
    </row>
    <row r="4705" spans="16:16" x14ac:dyDescent="0.25">
      <c r="P4705" s="137"/>
    </row>
    <row r="4706" spans="16:16" x14ac:dyDescent="0.25">
      <c r="P4706" s="137"/>
    </row>
    <row r="4707" spans="16:16" x14ac:dyDescent="0.25">
      <c r="P4707" s="137"/>
    </row>
    <row r="4708" spans="16:16" x14ac:dyDescent="0.25">
      <c r="P4708" s="137"/>
    </row>
    <row r="4709" spans="16:16" x14ac:dyDescent="0.25">
      <c r="P4709" s="137"/>
    </row>
    <row r="4710" spans="16:16" x14ac:dyDescent="0.25">
      <c r="P4710" s="137"/>
    </row>
    <row r="4711" spans="16:16" x14ac:dyDescent="0.25">
      <c r="P4711" s="137"/>
    </row>
    <row r="4712" spans="16:16" x14ac:dyDescent="0.25">
      <c r="P4712" s="137"/>
    </row>
    <row r="4713" spans="16:16" x14ac:dyDescent="0.25">
      <c r="P4713" s="137"/>
    </row>
    <row r="4714" spans="16:16" x14ac:dyDescent="0.25">
      <c r="P4714" s="137"/>
    </row>
    <row r="4715" spans="16:16" x14ac:dyDescent="0.25">
      <c r="P4715" s="137"/>
    </row>
    <row r="4716" spans="16:16" x14ac:dyDescent="0.25">
      <c r="P4716" s="137"/>
    </row>
    <row r="4717" spans="16:16" x14ac:dyDescent="0.25">
      <c r="P4717" s="137"/>
    </row>
    <row r="4718" spans="16:16" x14ac:dyDescent="0.25">
      <c r="P4718" s="137"/>
    </row>
    <row r="4719" spans="16:16" x14ac:dyDescent="0.25">
      <c r="P4719" s="137"/>
    </row>
    <row r="4720" spans="16:16" x14ac:dyDescent="0.25">
      <c r="P4720" s="137"/>
    </row>
    <row r="4721" spans="16:16" x14ac:dyDescent="0.25">
      <c r="P4721" s="137"/>
    </row>
    <row r="4722" spans="16:16" x14ac:dyDescent="0.25">
      <c r="P4722" s="137"/>
    </row>
    <row r="4723" spans="16:16" x14ac:dyDescent="0.25">
      <c r="P4723" s="137"/>
    </row>
    <row r="4724" spans="16:16" x14ac:dyDescent="0.25">
      <c r="P4724" s="137"/>
    </row>
    <row r="4725" spans="16:16" x14ac:dyDescent="0.25">
      <c r="P4725" s="137"/>
    </row>
    <row r="4726" spans="16:16" x14ac:dyDescent="0.25">
      <c r="P4726" s="137"/>
    </row>
    <row r="4727" spans="16:16" x14ac:dyDescent="0.25">
      <c r="P4727" s="137"/>
    </row>
    <row r="4728" spans="16:16" x14ac:dyDescent="0.25">
      <c r="P4728" s="137"/>
    </row>
    <row r="4729" spans="16:16" x14ac:dyDescent="0.25">
      <c r="P4729" s="137"/>
    </row>
    <row r="4730" spans="16:16" x14ac:dyDescent="0.25">
      <c r="P4730" s="137"/>
    </row>
    <row r="4731" spans="16:16" x14ac:dyDescent="0.25">
      <c r="P4731" s="137"/>
    </row>
    <row r="4732" spans="16:16" x14ac:dyDescent="0.25">
      <c r="P4732" s="137"/>
    </row>
    <row r="4733" spans="16:16" x14ac:dyDescent="0.25">
      <c r="P4733" s="137"/>
    </row>
    <row r="4734" spans="16:16" x14ac:dyDescent="0.25">
      <c r="P4734" s="137"/>
    </row>
    <row r="4735" spans="16:16" x14ac:dyDescent="0.25">
      <c r="P4735" s="137"/>
    </row>
    <row r="4736" spans="16:16" x14ac:dyDescent="0.25">
      <c r="P4736" s="137"/>
    </row>
    <row r="4737" spans="16:16" x14ac:dyDescent="0.25">
      <c r="P4737" s="137"/>
    </row>
    <row r="4738" spans="16:16" x14ac:dyDescent="0.25">
      <c r="P4738" s="137"/>
    </row>
    <row r="4739" spans="16:16" x14ac:dyDescent="0.25">
      <c r="P4739" s="137"/>
    </row>
    <row r="4740" spans="16:16" x14ac:dyDescent="0.25">
      <c r="P4740" s="137"/>
    </row>
    <row r="4741" spans="16:16" x14ac:dyDescent="0.25">
      <c r="P4741" s="137"/>
    </row>
    <row r="4742" spans="16:16" x14ac:dyDescent="0.25">
      <c r="P4742" s="137"/>
    </row>
    <row r="4743" spans="16:16" x14ac:dyDescent="0.25">
      <c r="P4743" s="137"/>
    </row>
    <row r="4744" spans="16:16" x14ac:dyDescent="0.25">
      <c r="P4744" s="137"/>
    </row>
    <row r="4745" spans="16:16" x14ac:dyDescent="0.25">
      <c r="P4745" s="137"/>
    </row>
    <row r="4746" spans="16:16" x14ac:dyDescent="0.25">
      <c r="P4746" s="137"/>
    </row>
    <row r="4747" spans="16:16" x14ac:dyDescent="0.25">
      <c r="P4747" s="137"/>
    </row>
    <row r="4748" spans="16:16" x14ac:dyDescent="0.25">
      <c r="P4748" s="137"/>
    </row>
    <row r="4749" spans="16:16" x14ac:dyDescent="0.25">
      <c r="P4749" s="137"/>
    </row>
    <row r="4750" spans="16:16" x14ac:dyDescent="0.25">
      <c r="P4750" s="137"/>
    </row>
    <row r="4751" spans="16:16" x14ac:dyDescent="0.25">
      <c r="P4751" s="137"/>
    </row>
    <row r="4752" spans="16:16" x14ac:dyDescent="0.25">
      <c r="P4752" s="137"/>
    </row>
    <row r="4753" spans="16:16" x14ac:dyDescent="0.25">
      <c r="P4753" s="137"/>
    </row>
    <row r="4754" spans="16:16" x14ac:dyDescent="0.25">
      <c r="P4754" s="137"/>
    </row>
    <row r="4755" spans="16:16" x14ac:dyDescent="0.25">
      <c r="P4755" s="137"/>
    </row>
    <row r="4756" spans="16:16" x14ac:dyDescent="0.25">
      <c r="P4756" s="137"/>
    </row>
    <row r="4757" spans="16:16" x14ac:dyDescent="0.25">
      <c r="P4757" s="137"/>
    </row>
    <row r="4758" spans="16:16" x14ac:dyDescent="0.25">
      <c r="P4758" s="137"/>
    </row>
    <row r="4759" spans="16:16" x14ac:dyDescent="0.25">
      <c r="P4759" s="137"/>
    </row>
    <row r="4760" spans="16:16" x14ac:dyDescent="0.25">
      <c r="P4760" s="137"/>
    </row>
    <row r="4761" spans="16:16" x14ac:dyDescent="0.25">
      <c r="P4761" s="137"/>
    </row>
    <row r="4762" spans="16:16" x14ac:dyDescent="0.25">
      <c r="P4762" s="137"/>
    </row>
    <row r="4763" spans="16:16" x14ac:dyDescent="0.25">
      <c r="P4763" s="137"/>
    </row>
    <row r="4764" spans="16:16" x14ac:dyDescent="0.25">
      <c r="P4764" s="137"/>
    </row>
    <row r="4765" spans="16:16" x14ac:dyDescent="0.25">
      <c r="P4765" s="137"/>
    </row>
    <row r="4766" spans="16:16" x14ac:dyDescent="0.25">
      <c r="P4766" s="137"/>
    </row>
    <row r="4767" spans="16:16" x14ac:dyDescent="0.25">
      <c r="P4767" s="137"/>
    </row>
    <row r="4768" spans="16:16" x14ac:dyDescent="0.25">
      <c r="P4768" s="137"/>
    </row>
    <row r="4769" spans="16:16" x14ac:dyDescent="0.25">
      <c r="P4769" s="137"/>
    </row>
    <row r="4770" spans="16:16" x14ac:dyDescent="0.25">
      <c r="P4770" s="137"/>
    </row>
    <row r="4771" spans="16:16" x14ac:dyDescent="0.25">
      <c r="P4771" s="137"/>
    </row>
    <row r="4772" spans="16:16" x14ac:dyDescent="0.25">
      <c r="P4772" s="137"/>
    </row>
    <row r="4773" spans="16:16" x14ac:dyDescent="0.25">
      <c r="P4773" s="137"/>
    </row>
    <row r="4774" spans="16:16" x14ac:dyDescent="0.25">
      <c r="P4774" s="137"/>
    </row>
    <row r="4775" spans="16:16" x14ac:dyDescent="0.25">
      <c r="P4775" s="137"/>
    </row>
    <row r="4776" spans="16:16" x14ac:dyDescent="0.25">
      <c r="P4776" s="137"/>
    </row>
    <row r="4777" spans="16:16" x14ac:dyDescent="0.25">
      <c r="P4777" s="137"/>
    </row>
    <row r="4778" spans="16:16" x14ac:dyDescent="0.25">
      <c r="P4778" s="137"/>
    </row>
    <row r="4779" spans="16:16" x14ac:dyDescent="0.25">
      <c r="P4779" s="137"/>
    </row>
    <row r="4780" spans="16:16" x14ac:dyDescent="0.25">
      <c r="P4780" s="137"/>
    </row>
    <row r="4781" spans="16:16" x14ac:dyDescent="0.25">
      <c r="P4781" s="137"/>
    </row>
    <row r="4782" spans="16:16" x14ac:dyDescent="0.25">
      <c r="P4782" s="137"/>
    </row>
    <row r="4783" spans="16:16" x14ac:dyDescent="0.25">
      <c r="P4783" s="137"/>
    </row>
    <row r="4784" spans="16:16" x14ac:dyDescent="0.25">
      <c r="P4784" s="137"/>
    </row>
    <row r="4785" spans="16:16" x14ac:dyDescent="0.25">
      <c r="P4785" s="137"/>
    </row>
    <row r="4786" spans="16:16" x14ac:dyDescent="0.25">
      <c r="P4786" s="137"/>
    </row>
    <row r="4787" spans="16:16" x14ac:dyDescent="0.25">
      <c r="P4787" s="137"/>
    </row>
    <row r="4788" spans="16:16" x14ac:dyDescent="0.25">
      <c r="P4788" s="137"/>
    </row>
    <row r="4789" spans="16:16" x14ac:dyDescent="0.25">
      <c r="P4789" s="137"/>
    </row>
    <row r="4790" spans="16:16" x14ac:dyDescent="0.25">
      <c r="P4790" s="137"/>
    </row>
    <row r="4791" spans="16:16" x14ac:dyDescent="0.25">
      <c r="P4791" s="137"/>
    </row>
    <row r="4792" spans="16:16" x14ac:dyDescent="0.25">
      <c r="P4792" s="137"/>
    </row>
    <row r="4793" spans="16:16" x14ac:dyDescent="0.25">
      <c r="P4793" s="137"/>
    </row>
    <row r="4794" spans="16:16" x14ac:dyDescent="0.25">
      <c r="P4794" s="137"/>
    </row>
    <row r="4795" spans="16:16" x14ac:dyDescent="0.25">
      <c r="P4795" s="137"/>
    </row>
    <row r="4796" spans="16:16" x14ac:dyDescent="0.25">
      <c r="P4796" s="137"/>
    </row>
    <row r="4797" spans="16:16" x14ac:dyDescent="0.25">
      <c r="P4797" s="137"/>
    </row>
    <row r="4798" spans="16:16" x14ac:dyDescent="0.25">
      <c r="P4798" s="137"/>
    </row>
    <row r="4799" spans="16:16" x14ac:dyDescent="0.25">
      <c r="P4799" s="137"/>
    </row>
    <row r="4800" spans="16:16" x14ac:dyDescent="0.25">
      <c r="P4800" s="137"/>
    </row>
    <row r="4801" spans="16:16" x14ac:dyDescent="0.25">
      <c r="P4801" s="137"/>
    </row>
    <row r="4802" spans="16:16" x14ac:dyDescent="0.25">
      <c r="P4802" s="137"/>
    </row>
    <row r="4803" spans="16:16" x14ac:dyDescent="0.25">
      <c r="P4803" s="137"/>
    </row>
    <row r="4804" spans="16:16" x14ac:dyDescent="0.25">
      <c r="P4804" s="137"/>
    </row>
    <row r="4805" spans="16:16" x14ac:dyDescent="0.25">
      <c r="P4805" s="137"/>
    </row>
    <row r="4806" spans="16:16" x14ac:dyDescent="0.25">
      <c r="P4806" s="137"/>
    </row>
    <row r="4807" spans="16:16" x14ac:dyDescent="0.25">
      <c r="P4807" s="137"/>
    </row>
    <row r="4808" spans="16:16" x14ac:dyDescent="0.25">
      <c r="P4808" s="137"/>
    </row>
    <row r="4809" spans="16:16" x14ac:dyDescent="0.25">
      <c r="P4809" s="137"/>
    </row>
    <row r="4810" spans="16:16" x14ac:dyDescent="0.25">
      <c r="P4810" s="137"/>
    </row>
    <row r="4811" spans="16:16" x14ac:dyDescent="0.25">
      <c r="P4811" s="137"/>
    </row>
    <row r="4812" spans="16:16" x14ac:dyDescent="0.25">
      <c r="P4812" s="137"/>
    </row>
    <row r="4813" spans="16:16" x14ac:dyDescent="0.25">
      <c r="P4813" s="137"/>
    </row>
    <row r="4814" spans="16:16" x14ac:dyDescent="0.25">
      <c r="P4814" s="137"/>
    </row>
    <row r="4815" spans="16:16" x14ac:dyDescent="0.25">
      <c r="P4815" s="137"/>
    </row>
    <row r="4816" spans="16:16" x14ac:dyDescent="0.25">
      <c r="P4816" s="137"/>
    </row>
    <row r="4817" spans="16:16" x14ac:dyDescent="0.25">
      <c r="P4817" s="137"/>
    </row>
    <row r="4818" spans="16:16" x14ac:dyDescent="0.25">
      <c r="P4818" s="137"/>
    </row>
    <row r="4819" spans="16:16" x14ac:dyDescent="0.25">
      <c r="P4819" s="137"/>
    </row>
    <row r="4820" spans="16:16" x14ac:dyDescent="0.25">
      <c r="P4820" s="137"/>
    </row>
    <row r="4821" spans="16:16" x14ac:dyDescent="0.25">
      <c r="P4821" s="137"/>
    </row>
    <row r="4822" spans="16:16" x14ac:dyDescent="0.25">
      <c r="P4822" s="137"/>
    </row>
    <row r="4823" spans="16:16" x14ac:dyDescent="0.25">
      <c r="P4823" s="137"/>
    </row>
    <row r="4824" spans="16:16" x14ac:dyDescent="0.25">
      <c r="P4824" s="137"/>
    </row>
    <row r="4825" spans="16:16" x14ac:dyDescent="0.25">
      <c r="P4825" s="137"/>
    </row>
    <row r="4826" spans="16:16" x14ac:dyDescent="0.25">
      <c r="P4826" s="137"/>
    </row>
    <row r="4827" spans="16:16" x14ac:dyDescent="0.25">
      <c r="P4827" s="137"/>
    </row>
    <row r="4828" spans="16:16" x14ac:dyDescent="0.25">
      <c r="P4828" s="137"/>
    </row>
    <row r="4829" spans="16:16" x14ac:dyDescent="0.25">
      <c r="P4829" s="137"/>
    </row>
    <row r="4830" spans="16:16" x14ac:dyDescent="0.25">
      <c r="P4830" s="137"/>
    </row>
    <row r="4831" spans="16:16" x14ac:dyDescent="0.25">
      <c r="P4831" s="137"/>
    </row>
    <row r="4832" spans="16:16" x14ac:dyDescent="0.25">
      <c r="P4832" s="137"/>
    </row>
    <row r="4833" spans="16:16" x14ac:dyDescent="0.25">
      <c r="P4833" s="137"/>
    </row>
    <row r="4834" spans="16:16" x14ac:dyDescent="0.25">
      <c r="P4834" s="137"/>
    </row>
    <row r="4835" spans="16:16" x14ac:dyDescent="0.25">
      <c r="P4835" s="137"/>
    </row>
    <row r="4836" spans="16:16" x14ac:dyDescent="0.25">
      <c r="P4836" s="137"/>
    </row>
    <row r="4837" spans="16:16" x14ac:dyDescent="0.25">
      <c r="P4837" s="137"/>
    </row>
    <row r="4838" spans="16:16" x14ac:dyDescent="0.25">
      <c r="P4838" s="137"/>
    </row>
    <row r="4839" spans="16:16" x14ac:dyDescent="0.25">
      <c r="P4839" s="137"/>
    </row>
    <row r="4840" spans="16:16" x14ac:dyDescent="0.25">
      <c r="P4840" s="137"/>
    </row>
    <row r="4841" spans="16:16" x14ac:dyDescent="0.25">
      <c r="P4841" s="137"/>
    </row>
    <row r="4842" spans="16:16" x14ac:dyDescent="0.25">
      <c r="P4842" s="137"/>
    </row>
    <row r="4843" spans="16:16" x14ac:dyDescent="0.25">
      <c r="P4843" s="137"/>
    </row>
    <row r="4844" spans="16:16" x14ac:dyDescent="0.25">
      <c r="P4844" s="137"/>
    </row>
    <row r="4845" spans="16:16" x14ac:dyDescent="0.25">
      <c r="P4845" s="137"/>
    </row>
    <row r="4846" spans="16:16" x14ac:dyDescent="0.25">
      <c r="P4846" s="137"/>
    </row>
    <row r="4847" spans="16:16" x14ac:dyDescent="0.25">
      <c r="P4847" s="137"/>
    </row>
    <row r="4848" spans="16:16" x14ac:dyDescent="0.25">
      <c r="P4848" s="137"/>
    </row>
    <row r="4849" spans="16:16" x14ac:dyDescent="0.25">
      <c r="P4849" s="137"/>
    </row>
    <row r="4850" spans="16:16" x14ac:dyDescent="0.25">
      <c r="P4850" s="137"/>
    </row>
    <row r="4851" spans="16:16" x14ac:dyDescent="0.25">
      <c r="P4851" s="137"/>
    </row>
    <row r="4852" spans="16:16" x14ac:dyDescent="0.25">
      <c r="P4852" s="137"/>
    </row>
    <row r="4853" spans="16:16" x14ac:dyDescent="0.25">
      <c r="P4853" s="137"/>
    </row>
    <row r="4854" spans="16:16" x14ac:dyDescent="0.25">
      <c r="P4854" s="137"/>
    </row>
    <row r="4855" spans="16:16" x14ac:dyDescent="0.25">
      <c r="P4855" s="137"/>
    </row>
    <row r="4856" spans="16:16" x14ac:dyDescent="0.25">
      <c r="P4856" s="137"/>
    </row>
    <row r="4857" spans="16:16" x14ac:dyDescent="0.25">
      <c r="P4857" s="137"/>
    </row>
    <row r="4858" spans="16:16" x14ac:dyDescent="0.25">
      <c r="P4858" s="137"/>
    </row>
    <row r="4859" spans="16:16" x14ac:dyDescent="0.25">
      <c r="P4859" s="137"/>
    </row>
    <row r="4860" spans="16:16" x14ac:dyDescent="0.25">
      <c r="P4860" s="137"/>
    </row>
    <row r="4861" spans="16:16" x14ac:dyDescent="0.25">
      <c r="P4861" s="137"/>
    </row>
    <row r="4862" spans="16:16" x14ac:dyDescent="0.25">
      <c r="P4862" s="137"/>
    </row>
    <row r="4863" spans="16:16" x14ac:dyDescent="0.25">
      <c r="P4863" s="137"/>
    </row>
    <row r="4864" spans="16:16" x14ac:dyDescent="0.25">
      <c r="P4864" s="137"/>
    </row>
    <row r="4865" spans="16:16" x14ac:dyDescent="0.25">
      <c r="P4865" s="137"/>
    </row>
    <row r="4866" spans="16:16" x14ac:dyDescent="0.25">
      <c r="P4866" s="137"/>
    </row>
    <row r="4867" spans="16:16" x14ac:dyDescent="0.25">
      <c r="P4867" s="137"/>
    </row>
    <row r="4868" spans="16:16" x14ac:dyDescent="0.25">
      <c r="P4868" s="137"/>
    </row>
    <row r="4869" spans="16:16" x14ac:dyDescent="0.25">
      <c r="P4869" s="137"/>
    </row>
    <row r="4870" spans="16:16" x14ac:dyDescent="0.25">
      <c r="P4870" s="137"/>
    </row>
    <row r="4871" spans="16:16" x14ac:dyDescent="0.25">
      <c r="P4871" s="137"/>
    </row>
    <row r="4872" spans="16:16" x14ac:dyDescent="0.25">
      <c r="P4872" s="137"/>
    </row>
    <row r="4873" spans="16:16" x14ac:dyDescent="0.25">
      <c r="P4873" s="137"/>
    </row>
    <row r="4874" spans="16:16" x14ac:dyDescent="0.25">
      <c r="P4874" s="137"/>
    </row>
    <row r="4875" spans="16:16" x14ac:dyDescent="0.25">
      <c r="P4875" s="137"/>
    </row>
    <row r="4876" spans="16:16" x14ac:dyDescent="0.25">
      <c r="P4876" s="137"/>
    </row>
    <row r="4877" spans="16:16" x14ac:dyDescent="0.25">
      <c r="P4877" s="137"/>
    </row>
    <row r="4878" spans="16:16" x14ac:dyDescent="0.25">
      <c r="P4878" s="137"/>
    </row>
    <row r="4879" spans="16:16" x14ac:dyDescent="0.25">
      <c r="P4879" s="137"/>
    </row>
    <row r="4880" spans="16:16" x14ac:dyDescent="0.25">
      <c r="P4880" s="137"/>
    </row>
    <row r="4881" spans="16:16" x14ac:dyDescent="0.25">
      <c r="P4881" s="137"/>
    </row>
    <row r="4882" spans="16:16" x14ac:dyDescent="0.25">
      <c r="P4882" s="137"/>
    </row>
    <row r="4883" spans="16:16" x14ac:dyDescent="0.25">
      <c r="P4883" s="137"/>
    </row>
    <row r="4884" spans="16:16" x14ac:dyDescent="0.25">
      <c r="P4884" s="137"/>
    </row>
    <row r="4885" spans="16:16" x14ac:dyDescent="0.25">
      <c r="P4885" s="137"/>
    </row>
    <row r="4886" spans="16:16" x14ac:dyDescent="0.25">
      <c r="P4886" s="137"/>
    </row>
    <row r="4887" spans="16:16" x14ac:dyDescent="0.25">
      <c r="P4887" s="137"/>
    </row>
    <row r="4888" spans="16:16" x14ac:dyDescent="0.25">
      <c r="P4888" s="137"/>
    </row>
    <row r="4889" spans="16:16" x14ac:dyDescent="0.25">
      <c r="P4889" s="137"/>
    </row>
    <row r="4890" spans="16:16" x14ac:dyDescent="0.25">
      <c r="P4890" s="137"/>
    </row>
    <row r="4891" spans="16:16" x14ac:dyDescent="0.25">
      <c r="P4891" s="137"/>
    </row>
    <row r="4892" spans="16:16" x14ac:dyDescent="0.25">
      <c r="P4892" s="137"/>
    </row>
    <row r="4893" spans="16:16" x14ac:dyDescent="0.25">
      <c r="P4893" s="137"/>
    </row>
    <row r="4894" spans="16:16" x14ac:dyDescent="0.25">
      <c r="P4894" s="137"/>
    </row>
    <row r="4895" spans="16:16" x14ac:dyDescent="0.25">
      <c r="P4895" s="137"/>
    </row>
    <row r="4896" spans="16:16" x14ac:dyDescent="0.25">
      <c r="P4896" s="137"/>
    </row>
    <row r="4897" spans="16:16" x14ac:dyDescent="0.25">
      <c r="P4897" s="137"/>
    </row>
    <row r="4898" spans="16:16" x14ac:dyDescent="0.25">
      <c r="P4898" s="137"/>
    </row>
    <row r="4899" spans="16:16" x14ac:dyDescent="0.25">
      <c r="P4899" s="137"/>
    </row>
    <row r="4900" spans="16:16" x14ac:dyDescent="0.25">
      <c r="P4900" s="137"/>
    </row>
    <row r="4901" spans="16:16" x14ac:dyDescent="0.25">
      <c r="P4901" s="137"/>
    </row>
    <row r="4902" spans="16:16" x14ac:dyDescent="0.25">
      <c r="P4902" s="137"/>
    </row>
    <row r="4903" spans="16:16" x14ac:dyDescent="0.25">
      <c r="P4903" s="137"/>
    </row>
    <row r="4904" spans="16:16" x14ac:dyDescent="0.25">
      <c r="P4904" s="137"/>
    </row>
    <row r="4905" spans="16:16" x14ac:dyDescent="0.25">
      <c r="P4905" s="137"/>
    </row>
    <row r="4906" spans="16:16" x14ac:dyDescent="0.25">
      <c r="P4906" s="137"/>
    </row>
    <row r="4907" spans="16:16" x14ac:dyDescent="0.25">
      <c r="P4907" s="137"/>
    </row>
    <row r="4908" spans="16:16" x14ac:dyDescent="0.25">
      <c r="P4908" s="137"/>
    </row>
    <row r="4909" spans="16:16" x14ac:dyDescent="0.25">
      <c r="P4909" s="137"/>
    </row>
    <row r="4910" spans="16:16" x14ac:dyDescent="0.25">
      <c r="P4910" s="137"/>
    </row>
    <row r="4911" spans="16:16" x14ac:dyDescent="0.25">
      <c r="P4911" s="137"/>
    </row>
    <row r="4912" spans="16:16" x14ac:dyDescent="0.25">
      <c r="P4912" s="137"/>
    </row>
    <row r="4913" spans="16:16" x14ac:dyDescent="0.25">
      <c r="P4913" s="137"/>
    </row>
    <row r="4914" spans="16:16" x14ac:dyDescent="0.25">
      <c r="P4914" s="137"/>
    </row>
    <row r="4915" spans="16:16" x14ac:dyDescent="0.25">
      <c r="P4915" s="137"/>
    </row>
    <row r="4916" spans="16:16" x14ac:dyDescent="0.25">
      <c r="P4916" s="137"/>
    </row>
    <row r="4917" spans="16:16" x14ac:dyDescent="0.25">
      <c r="P4917" s="137"/>
    </row>
    <row r="4918" spans="16:16" x14ac:dyDescent="0.25">
      <c r="P4918" s="137"/>
    </row>
    <row r="4919" spans="16:16" x14ac:dyDescent="0.25">
      <c r="P4919" s="137"/>
    </row>
    <row r="4920" spans="16:16" x14ac:dyDescent="0.25">
      <c r="P4920" s="137"/>
    </row>
    <row r="4921" spans="16:16" x14ac:dyDescent="0.25">
      <c r="P4921" s="137"/>
    </row>
    <row r="4922" spans="16:16" x14ac:dyDescent="0.25">
      <c r="P4922" s="137"/>
    </row>
    <row r="4923" spans="16:16" x14ac:dyDescent="0.25">
      <c r="P4923" s="137"/>
    </row>
    <row r="4924" spans="16:16" x14ac:dyDescent="0.25">
      <c r="P4924" s="137"/>
    </row>
    <row r="4925" spans="16:16" x14ac:dyDescent="0.25">
      <c r="P4925" s="137"/>
    </row>
    <row r="4926" spans="16:16" x14ac:dyDescent="0.25">
      <c r="P4926" s="137"/>
    </row>
    <row r="4927" spans="16:16" x14ac:dyDescent="0.25">
      <c r="P4927" s="137"/>
    </row>
    <row r="4928" spans="16:16" x14ac:dyDescent="0.25">
      <c r="P4928" s="137"/>
    </row>
    <row r="4929" spans="16:16" x14ac:dyDescent="0.25">
      <c r="P4929" s="137"/>
    </row>
    <row r="4930" spans="16:16" x14ac:dyDescent="0.25">
      <c r="P4930" s="137"/>
    </row>
    <row r="4931" spans="16:16" x14ac:dyDescent="0.25">
      <c r="P4931" s="137"/>
    </row>
    <row r="4932" spans="16:16" x14ac:dyDescent="0.25">
      <c r="P4932" s="137"/>
    </row>
    <row r="4933" spans="16:16" x14ac:dyDescent="0.25">
      <c r="P4933" s="137"/>
    </row>
    <row r="4934" spans="16:16" x14ac:dyDescent="0.25">
      <c r="P4934" s="137"/>
    </row>
    <row r="4935" spans="16:16" x14ac:dyDescent="0.25">
      <c r="P4935" s="137"/>
    </row>
    <row r="4936" spans="16:16" x14ac:dyDescent="0.25">
      <c r="P4936" s="137"/>
    </row>
    <row r="4937" spans="16:16" x14ac:dyDescent="0.25">
      <c r="P4937" s="137"/>
    </row>
    <row r="4938" spans="16:16" x14ac:dyDescent="0.25">
      <c r="P4938" s="137"/>
    </row>
    <row r="4939" spans="16:16" x14ac:dyDescent="0.25">
      <c r="P4939" s="137"/>
    </row>
    <row r="4940" spans="16:16" x14ac:dyDescent="0.25">
      <c r="P4940" s="137"/>
    </row>
    <row r="4941" spans="16:16" x14ac:dyDescent="0.25">
      <c r="P4941" s="137"/>
    </row>
    <row r="4942" spans="16:16" x14ac:dyDescent="0.25">
      <c r="P4942" s="137"/>
    </row>
    <row r="4943" spans="16:16" x14ac:dyDescent="0.25">
      <c r="P4943" s="137"/>
    </row>
    <row r="4944" spans="16:16" x14ac:dyDescent="0.25">
      <c r="P4944" s="137"/>
    </row>
    <row r="4945" spans="16:16" x14ac:dyDescent="0.25">
      <c r="P4945" s="137"/>
    </row>
    <row r="4946" spans="16:16" x14ac:dyDescent="0.25">
      <c r="P4946" s="137"/>
    </row>
    <row r="4947" spans="16:16" x14ac:dyDescent="0.25">
      <c r="P4947" s="137"/>
    </row>
    <row r="4948" spans="16:16" x14ac:dyDescent="0.25">
      <c r="P4948" s="137"/>
    </row>
    <row r="4949" spans="16:16" x14ac:dyDescent="0.25">
      <c r="P4949" s="137"/>
    </row>
    <row r="4950" spans="16:16" x14ac:dyDescent="0.25">
      <c r="P4950" s="137"/>
    </row>
    <row r="4951" spans="16:16" x14ac:dyDescent="0.25">
      <c r="P4951" s="137"/>
    </row>
    <row r="4952" spans="16:16" x14ac:dyDescent="0.25">
      <c r="P4952" s="137"/>
    </row>
    <row r="4953" spans="16:16" x14ac:dyDescent="0.25">
      <c r="P4953" s="137"/>
    </row>
    <row r="4954" spans="16:16" x14ac:dyDescent="0.25">
      <c r="P4954" s="137"/>
    </row>
    <row r="4955" spans="16:16" x14ac:dyDescent="0.25">
      <c r="P4955" s="137"/>
    </row>
    <row r="4956" spans="16:16" x14ac:dyDescent="0.25">
      <c r="P4956" s="137"/>
    </row>
    <row r="4957" spans="16:16" x14ac:dyDescent="0.25">
      <c r="P4957" s="137"/>
    </row>
    <row r="4958" spans="16:16" x14ac:dyDescent="0.25">
      <c r="P4958" s="137"/>
    </row>
    <row r="4959" spans="16:16" x14ac:dyDescent="0.25">
      <c r="P4959" s="137"/>
    </row>
    <row r="4960" spans="16:16" x14ac:dyDescent="0.25">
      <c r="P4960" s="137"/>
    </row>
    <row r="4961" spans="16:16" x14ac:dyDescent="0.25">
      <c r="P4961" s="137"/>
    </row>
    <row r="4962" spans="16:16" x14ac:dyDescent="0.25">
      <c r="P4962" s="137"/>
    </row>
    <row r="4963" spans="16:16" x14ac:dyDescent="0.25">
      <c r="P4963" s="137"/>
    </row>
    <row r="4964" spans="16:16" x14ac:dyDescent="0.25">
      <c r="P4964" s="137"/>
    </row>
    <row r="4965" spans="16:16" x14ac:dyDescent="0.25">
      <c r="P4965" s="137"/>
    </row>
    <row r="4966" spans="16:16" x14ac:dyDescent="0.25">
      <c r="P4966" s="137"/>
    </row>
    <row r="4967" spans="16:16" x14ac:dyDescent="0.25">
      <c r="P4967" s="137"/>
    </row>
    <row r="4968" spans="16:16" x14ac:dyDescent="0.25">
      <c r="P4968" s="137"/>
    </row>
    <row r="4969" spans="16:16" x14ac:dyDescent="0.25">
      <c r="P4969" s="137"/>
    </row>
    <row r="4970" spans="16:16" x14ac:dyDescent="0.25">
      <c r="P4970" s="137"/>
    </row>
    <row r="4971" spans="16:16" x14ac:dyDescent="0.25">
      <c r="P4971" s="137"/>
    </row>
    <row r="4972" spans="16:16" x14ac:dyDescent="0.25">
      <c r="P4972" s="137"/>
    </row>
    <row r="4973" spans="16:16" x14ac:dyDescent="0.25">
      <c r="P4973" s="137"/>
    </row>
    <row r="4974" spans="16:16" x14ac:dyDescent="0.25">
      <c r="P4974" s="137"/>
    </row>
    <row r="4975" spans="16:16" x14ac:dyDescent="0.25">
      <c r="P4975" s="137"/>
    </row>
    <row r="4976" spans="16:16" x14ac:dyDescent="0.25">
      <c r="P4976" s="137"/>
    </row>
    <row r="4977" spans="16:16" x14ac:dyDescent="0.25">
      <c r="P4977" s="137"/>
    </row>
    <row r="4978" spans="16:16" x14ac:dyDescent="0.25">
      <c r="P4978" s="137"/>
    </row>
    <row r="4979" spans="16:16" x14ac:dyDescent="0.25">
      <c r="P4979" s="137"/>
    </row>
    <row r="4980" spans="16:16" x14ac:dyDescent="0.25">
      <c r="P4980" s="137"/>
    </row>
    <row r="4981" spans="16:16" x14ac:dyDescent="0.25">
      <c r="P4981" s="137"/>
    </row>
    <row r="4982" spans="16:16" x14ac:dyDescent="0.25">
      <c r="P4982" s="137"/>
    </row>
    <row r="4983" spans="16:16" x14ac:dyDescent="0.25">
      <c r="P4983" s="137"/>
    </row>
    <row r="4984" spans="16:16" x14ac:dyDescent="0.25">
      <c r="P4984" s="137"/>
    </row>
    <row r="4985" spans="16:16" x14ac:dyDescent="0.25">
      <c r="P4985" s="137"/>
    </row>
    <row r="4986" spans="16:16" x14ac:dyDescent="0.25">
      <c r="P4986" s="137"/>
    </row>
    <row r="4987" spans="16:16" x14ac:dyDescent="0.25">
      <c r="P4987" s="137"/>
    </row>
    <row r="4988" spans="16:16" x14ac:dyDescent="0.25">
      <c r="P4988" s="137"/>
    </row>
    <row r="4989" spans="16:16" x14ac:dyDescent="0.25">
      <c r="P4989" s="137"/>
    </row>
    <row r="4990" spans="16:16" x14ac:dyDescent="0.25">
      <c r="P4990" s="137"/>
    </row>
    <row r="4991" spans="16:16" x14ac:dyDescent="0.25">
      <c r="P4991" s="137"/>
    </row>
    <row r="4992" spans="16:16" x14ac:dyDescent="0.25">
      <c r="P4992" s="137"/>
    </row>
    <row r="4993" spans="16:16" x14ac:dyDescent="0.25">
      <c r="P4993" s="137"/>
    </row>
    <row r="4994" spans="16:16" x14ac:dyDescent="0.25">
      <c r="P4994" s="137"/>
    </row>
    <row r="4995" spans="16:16" x14ac:dyDescent="0.25">
      <c r="P4995" s="137"/>
    </row>
    <row r="4996" spans="16:16" x14ac:dyDescent="0.25">
      <c r="P4996" s="137"/>
    </row>
    <row r="4997" spans="16:16" x14ac:dyDescent="0.25">
      <c r="P4997" s="137"/>
    </row>
    <row r="4998" spans="16:16" x14ac:dyDescent="0.25">
      <c r="P4998" s="137"/>
    </row>
    <row r="4999" spans="16:16" x14ac:dyDescent="0.25">
      <c r="P4999" s="137"/>
    </row>
    <row r="5000" spans="16:16" x14ac:dyDescent="0.25">
      <c r="P5000" s="137"/>
    </row>
    <row r="5001" spans="16:16" x14ac:dyDescent="0.25">
      <c r="P5001" s="137"/>
    </row>
    <row r="5002" spans="16:16" x14ac:dyDescent="0.25">
      <c r="P5002" s="137"/>
    </row>
    <row r="5003" spans="16:16" x14ac:dyDescent="0.25">
      <c r="P5003" s="137"/>
    </row>
    <row r="5004" spans="16:16" x14ac:dyDescent="0.25">
      <c r="P5004" s="137"/>
    </row>
    <row r="5005" spans="16:16" x14ac:dyDescent="0.25">
      <c r="P5005" s="137"/>
    </row>
    <row r="5006" spans="16:16" x14ac:dyDescent="0.25">
      <c r="P5006" s="137"/>
    </row>
  </sheetData>
  <autoFilter ref="A7:AV596" xr:uid="{00000000-0001-0000-0000-000000000000}"/>
  <sortState xmlns:xlrd2="http://schemas.microsoft.com/office/spreadsheetml/2017/richdata2" ref="F669:AT674">
    <sortCondition ref="G669:G674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71" priority="1672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70" priority="1671" operator="equal">
      <formula>$H$300</formula>
    </cfRule>
  </conditionalFormatting>
  <conditionalFormatting sqref="H1:H597 I20:I21 I164:I165 I224:I225 I260 I284:I287 I297:I299 I403:I407 I419:I421 I424:I425 H679:H1048576">
    <cfRule type="cellIs" dxfId="169" priority="1217" operator="equal">
      <formula>"IPCOMS"</formula>
    </cfRule>
  </conditionalFormatting>
  <conditionalFormatting sqref="J1:J568 J583:J597 J679:J1048576">
    <cfRule type="containsText" dxfId="168" priority="1677" operator="containsText" text="fija">
      <formula>NOT(ISERROR(SEARCH("fija",J1)))</formula>
    </cfRule>
    <cfRule type="containsText" dxfId="167" priority="1678" operator="containsText" text="domo">
      <formula>NOT(ISERROR(SEARCH("domo",J1)))</formula>
    </cfRule>
  </conditionalFormatting>
  <conditionalFormatting sqref="J1:J597 J679:J1048576">
    <cfRule type="cellIs" dxfId="166" priority="1673" operator="equal">
      <formula>$J$10</formula>
    </cfRule>
  </conditionalFormatting>
  <conditionalFormatting sqref="J34:J35 J162:N232 J236:N401">
    <cfRule type="containsText" dxfId="165" priority="1145" operator="containsText" text="Radio">
      <formula>NOT(ISERROR(SEARCH("Radio",J34)))</formula>
    </cfRule>
  </conditionalFormatting>
  <conditionalFormatting sqref="J135:J148 L148:N148">
    <cfRule type="containsText" dxfId="164" priority="1159" operator="containsText" text="Radio">
      <formula>NOT(ISERROR(SEARCH("Radio",J135)))</formula>
    </cfRule>
  </conditionalFormatting>
  <conditionalFormatting sqref="J403:J407">
    <cfRule type="containsText" dxfId="163" priority="1178" operator="containsText" text="Radio">
      <formula>NOT(ISERROR(SEARCH("Radio",J403)))</formula>
    </cfRule>
  </conditionalFormatting>
  <conditionalFormatting sqref="J570">
    <cfRule type="containsText" dxfId="162" priority="1620" operator="containsText" text="Radio">
      <formula>NOT(ISERROR(SEARCH("Radio",J570)))</formula>
    </cfRule>
    <cfRule type="containsText" dxfId="161" priority="1619" operator="containsText" text="domo">
      <formula>NOT(ISERROR(SEARCH("domo",J570)))</formula>
    </cfRule>
    <cfRule type="containsText" dxfId="160" priority="1618" operator="containsText" text="fija">
      <formula>NOT(ISERROR(SEARCH("fija",J570)))</formula>
    </cfRule>
  </conditionalFormatting>
  <conditionalFormatting sqref="J570:J571">
    <cfRule type="containsText" dxfId="159" priority="1614" operator="containsText" text="domo">
      <formula>NOT(ISERROR(SEARCH("domo",J570)))</formula>
    </cfRule>
    <cfRule type="containsText" dxfId="158" priority="1613" operator="containsText" text="fija">
      <formula>NOT(ISERROR(SEARCH("fija",J570)))</formula>
    </cfRule>
  </conditionalFormatting>
  <conditionalFormatting sqref="J571">
    <cfRule type="containsText" dxfId="157" priority="1611" operator="containsText" text="fija">
      <formula>NOT(ISERROR(SEARCH("fija",J571)))</formula>
    </cfRule>
    <cfRule type="containsText" dxfId="156" priority="1615" operator="containsText" text="Radio">
      <formula>NOT(ISERROR(SEARCH("Radio",J571)))</formula>
    </cfRule>
    <cfRule type="containsText" dxfId="155" priority="1612" operator="containsText" text="domo">
      <formula>NOT(ISERROR(SEARCH("domo",J571)))</formula>
    </cfRule>
  </conditionalFormatting>
  <conditionalFormatting sqref="J574">
    <cfRule type="containsText" dxfId="154" priority="1609" operator="containsText" text="domo">
      <formula>NOT(ISERROR(SEARCH("domo",J574)))</formula>
    </cfRule>
    <cfRule type="containsText" dxfId="153" priority="1610" operator="containsText" text="Radio">
      <formula>NOT(ISERROR(SEARCH("Radio",J574)))</formula>
    </cfRule>
    <cfRule type="containsText" dxfId="152" priority="1608" operator="containsText" text="fija">
      <formula>NOT(ISERROR(SEARCH("fija",J574)))</formula>
    </cfRule>
  </conditionalFormatting>
  <conditionalFormatting sqref="J574:J575">
    <cfRule type="containsText" dxfId="151" priority="1604" operator="containsText" text="domo">
      <formula>NOT(ISERROR(SEARCH("domo",J574)))</formula>
    </cfRule>
    <cfRule type="containsText" dxfId="150" priority="1603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149" priority="1605" operator="containsText" text="Radio">
      <formula>NOT(ISERROR(SEARCH("Radio",J48)))</formula>
    </cfRule>
  </conditionalFormatting>
  <conditionalFormatting sqref="J575:J576">
    <cfRule type="containsText" dxfId="148" priority="1599" operator="containsText" text="domo">
      <formula>NOT(ISERROR(SEARCH("domo",J575)))</formula>
    </cfRule>
    <cfRule type="containsText" dxfId="147" priority="1598" operator="containsText" text="fija">
      <formula>NOT(ISERROR(SEARCH("fija",J575)))</formula>
    </cfRule>
  </conditionalFormatting>
  <conditionalFormatting sqref="J576">
    <cfRule type="containsText" dxfId="146" priority="1600" operator="containsText" text="Radio">
      <formula>NOT(ISERROR(SEARCH("Radio",J576)))</formula>
    </cfRule>
  </conditionalFormatting>
  <conditionalFormatting sqref="J576:J577">
    <cfRule type="containsText" dxfId="145" priority="1593" operator="containsText" text="fija">
      <formula>NOT(ISERROR(SEARCH("fija",J576)))</formula>
    </cfRule>
    <cfRule type="containsText" dxfId="144" priority="1594" operator="containsText" text="domo">
      <formula>NOT(ISERROR(SEARCH("domo",J576)))</formula>
    </cfRule>
  </conditionalFormatting>
  <conditionalFormatting sqref="J577">
    <cfRule type="containsText" dxfId="143" priority="1592" operator="containsText" text="domo">
      <formula>NOT(ISERROR(SEARCH("domo",J577)))</formula>
    </cfRule>
    <cfRule type="containsText" dxfId="142" priority="1591" operator="containsText" text="fija">
      <formula>NOT(ISERROR(SEARCH("fija",J577)))</formula>
    </cfRule>
    <cfRule type="containsText" dxfId="141" priority="1595" operator="containsText" text="Radio">
      <formula>NOT(ISERROR(SEARCH("Radio",J577)))</formula>
    </cfRule>
  </conditionalFormatting>
  <conditionalFormatting sqref="J581">
    <cfRule type="containsText" dxfId="140" priority="1890" operator="containsText" text="domo">
      <formula>NOT(ISERROR(SEARCH("domo",J581)))</formula>
    </cfRule>
    <cfRule type="containsText" dxfId="139" priority="1889" operator="containsText" text="fija">
      <formula>NOT(ISERROR(SEARCH("fija",J581)))</formula>
    </cfRule>
  </conditionalFormatting>
  <conditionalFormatting sqref="J584:J587">
    <cfRule type="containsText" dxfId="138" priority="1622" operator="containsText" text="domo">
      <formula>NOT(ISERROR(SEARCH("domo",J584)))</formula>
    </cfRule>
    <cfRule type="containsText" dxfId="137" priority="1621" operator="containsText" text="fija">
      <formula>NOT(ISERROR(SEARCH("fija",J584)))</formula>
    </cfRule>
  </conditionalFormatting>
  <conditionalFormatting sqref="J233:K233">
    <cfRule type="containsText" dxfId="136" priority="1180" operator="containsText" text="Radio">
      <formula>NOT(ISERROR(SEARCH("Radio",J233)))</formula>
    </cfRule>
  </conditionalFormatting>
  <conditionalFormatting sqref="J37:L47">
    <cfRule type="containsText" dxfId="135" priority="1150" operator="containsText" text="Radio">
      <formula>NOT(ISERROR(SEARCH("Radio",J37)))</formula>
    </cfRule>
  </conditionalFormatting>
  <conditionalFormatting sqref="J1:N36">
    <cfRule type="containsText" dxfId="134" priority="1215" operator="containsText" text="Radio">
      <formula>NOT(ISERROR(SEARCH("Radio",J1)))</formula>
    </cfRule>
  </conditionalFormatting>
  <conditionalFormatting sqref="J149:N161">
    <cfRule type="containsText" dxfId="133" priority="1153" operator="containsText" text="Radio">
      <formula>NOT(ISERROR(SEARCH("Radio",J149)))</formula>
    </cfRule>
  </conditionalFormatting>
  <conditionalFormatting sqref="J581:N581 K582">
    <cfRule type="containsText" dxfId="132" priority="2146" operator="containsText" text="Radio">
      <formula>NOT(ISERROR(SEARCH("Radio",J581)))</formula>
    </cfRule>
  </conditionalFormatting>
  <conditionalFormatting sqref="K1:K136 K162:K597 K679:K1048576">
    <cfRule type="cellIs" dxfId="131" priority="1219" operator="equal">
      <formula>"GPON"</formula>
    </cfRule>
    <cfRule type="cellIs" dxfId="130" priority="1218" operator="equal">
      <formula>"GPON"</formula>
    </cfRule>
  </conditionalFormatting>
  <conditionalFormatting sqref="K139">
    <cfRule type="containsText" dxfId="129" priority="1208" operator="containsText" text="Radio">
      <formula>NOT(ISERROR(SEARCH("Radio",K139)))</formula>
    </cfRule>
    <cfRule type="cellIs" dxfId="128" priority="1206" operator="equal">
      <formula>"GPON"</formula>
    </cfRule>
    <cfRule type="cellIs" dxfId="127" priority="1210" operator="equal">
      <formula>"PTP A FO"</formula>
    </cfRule>
    <cfRule type="cellIs" dxfId="126" priority="1209" operator="equal">
      <formula>$K$13</formula>
    </cfRule>
    <cfRule type="cellIs" dxfId="125" priority="1207" operator="equal">
      <formula>"GPON"</formula>
    </cfRule>
    <cfRule type="cellIs" dxfId="124" priority="1211" operator="equal">
      <formula>"PTP A FO"</formula>
    </cfRule>
  </conditionalFormatting>
  <conditionalFormatting sqref="K142:K149">
    <cfRule type="containsText" dxfId="123" priority="1183" operator="containsText" text="Radio">
      <formula>NOT(ISERROR(SEARCH("Radio",K142)))</formula>
    </cfRule>
    <cfRule type="cellIs" dxfId="122" priority="1184" operator="equal">
      <formula>$K$13</formula>
    </cfRule>
    <cfRule type="cellIs" dxfId="121" priority="1186" operator="equal">
      <formula>"PTP A FO"</formula>
    </cfRule>
    <cfRule type="cellIs" dxfId="120" priority="1185" operator="equal">
      <formula>"PTP A FO"</formula>
    </cfRule>
  </conditionalFormatting>
  <conditionalFormatting sqref="K142:K161">
    <cfRule type="cellIs" dxfId="119" priority="1151" operator="equal">
      <formula>"GPON"</formula>
    </cfRule>
    <cfRule type="cellIs" dxfId="118" priority="1152" operator="equal">
      <formula>"GPON"</formula>
    </cfRule>
  </conditionalFormatting>
  <conditionalFormatting sqref="K146:K147">
    <cfRule type="cellIs" dxfId="117" priority="1148" operator="equal">
      <formula>"PTP A FO"</formula>
    </cfRule>
    <cfRule type="cellIs" dxfId="116" priority="1149" operator="equal">
      <formula>"PTP A FO"</formula>
    </cfRule>
    <cfRule type="cellIs" dxfId="115" priority="1147" operator="equal">
      <formula>$K$13</formula>
    </cfRule>
    <cfRule type="containsText" dxfId="114" priority="1146" operator="containsText" text="Radio">
      <formula>NOT(ISERROR(SEARCH("Radio",K146)))</formula>
    </cfRule>
  </conditionalFormatting>
  <conditionalFormatting sqref="K233:K235">
    <cfRule type="cellIs" dxfId="113" priority="1197" operator="equal">
      <formula>$K$13</formula>
    </cfRule>
    <cfRule type="cellIs" dxfId="112" priority="1198" operator="equal">
      <formula>"PTP A FO"</formula>
    </cfRule>
    <cfRule type="cellIs" dxfId="111" priority="1199" operator="equal">
      <formula>"PTP A FO"</formula>
    </cfRule>
  </conditionalFormatting>
  <conditionalFormatting sqref="K234:K235">
    <cfRule type="cellIs" dxfId="110" priority="1193" operator="equal">
      <formula>$K$13</formula>
    </cfRule>
    <cfRule type="cellIs" dxfId="109" priority="1194" operator="equal">
      <formula>"PTP A FO"</formula>
    </cfRule>
    <cfRule type="cellIs" dxfId="108" priority="1195" operator="equal">
      <formula>"PTP A FO"</formula>
    </cfRule>
  </conditionalFormatting>
  <conditionalFormatting sqref="K424:K425">
    <cfRule type="cellIs" dxfId="107" priority="1203" operator="equal">
      <formula>$K$13</formula>
    </cfRule>
    <cfRule type="cellIs" dxfId="106" priority="1205" operator="equal">
      <formula>"PTP A FO"</formula>
    </cfRule>
    <cfRule type="cellIs" dxfId="105" priority="1204" operator="equal">
      <formula>"PTP A FO"</formula>
    </cfRule>
    <cfRule type="containsText" dxfId="104" priority="1202" operator="containsText" text="Radio">
      <formula>NOT(ISERROR(SEARCH("Radio",K424)))</formula>
    </cfRule>
  </conditionalFormatting>
  <conditionalFormatting sqref="K569">
    <cfRule type="containsText" dxfId="103" priority="1268" operator="containsText" text="Radio">
      <formula>NOT(ISERROR(SEARCH("Radio",K569)))</formula>
    </cfRule>
    <cfRule type="cellIs" dxfId="102" priority="1269" operator="equal">
      <formula>"PTP A FO"</formula>
    </cfRule>
  </conditionalFormatting>
  <conditionalFormatting sqref="K1:L134 K135:K136 K162:L232 K236:L423 K424:K425 K426:L568 K581:L581 K582 K583:L597 K679:L1048576">
    <cfRule type="cellIs" dxfId="101" priority="1870" operator="equal">
      <formula>"PTP A FO"</formula>
    </cfRule>
  </conditionalFormatting>
  <conditionalFormatting sqref="K1:L134 K135:K136 K162:L232 K236:L423 K424:K425 K426:L597 K679:L1048576">
    <cfRule type="cellIs" dxfId="100" priority="1675" operator="equal">
      <formula>"PTP A FO"</formula>
    </cfRule>
  </conditionalFormatting>
  <conditionalFormatting sqref="K1:L134 K135:K136 K236:L423 K424:K425 K426:L597 K679:L1048576 K162:L232">
    <cfRule type="cellIs" dxfId="99" priority="1674" operator="equal">
      <formula>$K$13</formula>
    </cfRule>
  </conditionalFormatting>
  <conditionalFormatting sqref="K149:L161">
    <cfRule type="cellIs" dxfId="98" priority="1156" operator="equal">
      <formula>"PTP A FO"</formula>
    </cfRule>
    <cfRule type="cellIs" dxfId="97" priority="1155" operator="equal">
      <formula>"PTP A FO"</formula>
    </cfRule>
    <cfRule type="cellIs" dxfId="96" priority="1154" operator="equal">
      <formula>$K$13</formula>
    </cfRule>
  </conditionalFormatting>
  <conditionalFormatting sqref="L148">
    <cfRule type="cellIs" dxfId="95" priority="1162" operator="equal">
      <formula>"PTP A FO"</formula>
    </cfRule>
    <cfRule type="cellIs" dxfId="94" priority="1161" operator="equal">
      <formula>"PTP A FO"</formula>
    </cfRule>
    <cfRule type="cellIs" dxfId="93" priority="1160" operator="equal">
      <formula>$K$13</formula>
    </cfRule>
  </conditionalFormatting>
  <conditionalFormatting sqref="R7:R597">
    <cfRule type="cellIs" dxfId="92" priority="2106" operator="greaterThan">
      <formula>0.8</formula>
    </cfRule>
    <cfRule type="cellIs" dxfId="91" priority="2105" operator="lessThan">
      <formula>0.8</formula>
    </cfRule>
  </conditionalFormatting>
  <conditionalFormatting sqref="S37:V38">
    <cfRule type="cellIs" dxfId="90" priority="71" operator="equal">
      <formula>"APAGADO"</formula>
    </cfRule>
  </conditionalFormatting>
  <conditionalFormatting sqref="S121:AA121">
    <cfRule type="cellIs" dxfId="89" priority="88" operator="equal">
      <formula>"APAGADO"</formula>
    </cfRule>
  </conditionalFormatting>
  <conditionalFormatting sqref="S39:AT94">
    <cfRule type="cellIs" dxfId="88" priority="92" operator="equal">
      <formula>"APAGADO"</formula>
    </cfRule>
  </conditionalFormatting>
  <conditionalFormatting sqref="S96:AT120">
    <cfRule type="cellIs" dxfId="87" priority="89" operator="equal">
      <formula>"APAGADO"</formula>
    </cfRule>
  </conditionalFormatting>
  <conditionalFormatting sqref="S236:AT327">
    <cfRule type="cellIs" dxfId="86" priority="1" operator="equal">
      <formula>"APAGADO"</formula>
    </cfRule>
  </conditionalFormatting>
  <conditionalFormatting sqref="S329:AT351">
    <cfRule type="cellIs" dxfId="85" priority="63" operator="equal">
      <formula>"APAGADO"</formula>
    </cfRule>
  </conditionalFormatting>
  <conditionalFormatting sqref="S353:AT402">
    <cfRule type="cellIs" dxfId="84" priority="51" operator="equal">
      <formula>"APAGADO"</formula>
    </cfRule>
  </conditionalFormatting>
  <conditionalFormatting sqref="S8:AV36">
    <cfRule type="cellIs" dxfId="83" priority="250" operator="equal">
      <formula>"APAGADO"</formula>
    </cfRule>
  </conditionalFormatting>
  <conditionalFormatting sqref="S122:AV232">
    <cfRule type="cellIs" dxfId="82" priority="84" operator="equal">
      <formula>"APAGADO"</formula>
    </cfRule>
  </conditionalFormatting>
  <conditionalFormatting sqref="S426:AV597">
    <cfRule type="cellIs" dxfId="81" priority="11" operator="equal">
      <formula>"APAGADO"</formula>
    </cfRule>
  </conditionalFormatting>
  <conditionalFormatting sqref="S679:AV755 AC679:AN1048576">
    <cfRule type="cellIs" dxfId="80" priority="1252" operator="equal">
      <formula>"apagado"</formula>
    </cfRule>
  </conditionalFormatting>
  <conditionalFormatting sqref="S679:AV1048576">
    <cfRule type="notContainsText" dxfId="79" priority="2135" operator="notContains" text="Caida">
      <formula>ISERROR(SEARCH("Caida",S679))</formula>
    </cfRule>
    <cfRule type="containsText" dxfId="78" priority="1802" operator="containsText" text="Caida">
      <formula>NOT(ISERROR(SEARCH("Caida",S679)))</formula>
    </cfRule>
  </conditionalFormatting>
  <conditionalFormatting sqref="U679:U1198">
    <cfRule type="notContainsText" dxfId="77" priority="1431" operator="notContains" text="Caida">
      <formula>ISERROR(SEARCH("Caida",U679))</formula>
    </cfRule>
    <cfRule type="containsText" dxfId="76" priority="1432" operator="containsText" text="Caida">
      <formula>NOT(ISERROR(SEARCH("Caida",U679)))</formula>
    </cfRule>
    <cfRule type="cellIs" dxfId="75" priority="1433" operator="lessThan">
      <formula>0.8</formula>
    </cfRule>
    <cfRule type="cellIs" dxfId="74" priority="1434" operator="greaterThan">
      <formula>0.8</formula>
    </cfRule>
    <cfRule type="cellIs" dxfId="73" priority="1561" operator="equal">
      <formula>"APAGADO"</formula>
    </cfRule>
    <cfRule type="cellIs" dxfId="72" priority="1457" operator="greaterThan">
      <formula>0.8</formula>
    </cfRule>
  </conditionalFormatting>
  <conditionalFormatting sqref="U679:U1048576">
    <cfRule type="cellIs" dxfId="71" priority="1451" operator="equal">
      <formula>$U$16</formula>
    </cfRule>
  </conditionalFormatting>
  <conditionalFormatting sqref="V234">
    <cfRule type="cellIs" dxfId="70" priority="83" operator="equal">
      <formula>"APAGADO"</formula>
    </cfRule>
  </conditionalFormatting>
  <conditionalFormatting sqref="V408:AG408">
    <cfRule type="cellIs" dxfId="69" priority="50" operator="equal">
      <formula>"APAGADO"</formula>
    </cfRule>
  </conditionalFormatting>
  <conditionalFormatting sqref="V414:AV417">
    <cfRule type="cellIs" dxfId="68" priority="46" operator="equal">
      <formula>"APAGADO"</formula>
    </cfRule>
  </conditionalFormatting>
  <conditionalFormatting sqref="W37:AJ37 S95:AM95 AO95:AT95 AF233:AF235 S328:AA328 AC328:AT328 S352:AH352 AJ352:AT352 T403:U403 S403:S408 T404:T407 U404:U408 S408:T408 AI408:AK408 AQ408:AR408 S409:AV413 S414:U416 U417 S417:T425 U418:AV423 AO679:AV1048576">
    <cfRule type="cellIs" dxfId="67" priority="1251" operator="equal">
      <formula>"APAGADO"</formula>
    </cfRule>
  </conditionalFormatting>
  <conditionalFormatting sqref="W38:AK38">
    <cfRule type="cellIs" dxfId="66" priority="1028" operator="equal">
      <formula>"APAGADO"</formula>
    </cfRule>
  </conditionalFormatting>
  <conditionalFormatting sqref="X406:Z407">
    <cfRule type="cellIs" dxfId="65" priority="1134" operator="equal">
      <formula>"APAGADO"</formula>
    </cfRule>
  </conditionalFormatting>
  <conditionalFormatting sqref="AC121:AV121">
    <cfRule type="cellIs" dxfId="64" priority="164" operator="equal">
      <formula>"APAGADO"</formula>
    </cfRule>
  </conditionalFormatting>
  <conditionalFormatting sqref="AD406">
    <cfRule type="cellIs" dxfId="63" priority="1144" operator="equal">
      <formula>"APAGADO"</formula>
    </cfRule>
  </conditionalFormatting>
  <conditionalFormatting sqref="AE406:AG407">
    <cfRule type="cellIs" dxfId="62" priority="1128" operator="equal">
      <formula>"APAGADO"</formula>
    </cfRule>
  </conditionalFormatting>
  <conditionalFormatting sqref="AH406:AH408">
    <cfRule type="cellIs" dxfId="61" priority="1105" operator="equal">
      <formula>"APAGADO"</formula>
    </cfRule>
  </conditionalFormatting>
  <conditionalFormatting sqref="AH234:AI234">
    <cfRule type="cellIs" dxfId="60" priority="1033" operator="equal">
      <formula>"APAGADO"</formula>
    </cfRule>
  </conditionalFormatting>
  <conditionalFormatting sqref="AI406:AI407">
    <cfRule type="cellIs" dxfId="59" priority="997" operator="equal">
      <formula>"APAGADO"</formula>
    </cfRule>
  </conditionalFormatting>
  <conditionalFormatting sqref="AL234:AP234">
    <cfRule type="cellIs" dxfId="58" priority="574" operator="equal">
      <formula>"APAGADO"</formula>
    </cfRule>
  </conditionalFormatting>
  <conditionalFormatting sqref="AL406:AP408">
    <cfRule type="cellIs" dxfId="57" priority="555" operator="equal">
      <formula>"APAGADO"</formula>
    </cfRule>
  </conditionalFormatting>
  <conditionalFormatting sqref="AL37:AV38">
    <cfRule type="cellIs" dxfId="56" priority="171" operator="equal">
      <formula>"APAGADO"</formula>
    </cfRule>
  </conditionalFormatting>
  <conditionalFormatting sqref="AR234:AV234">
    <cfRule type="cellIs" dxfId="55" priority="145" operator="equal">
      <formula>"APAGADO"</formula>
    </cfRule>
  </conditionalFormatting>
  <conditionalFormatting sqref="AS407:AS408">
    <cfRule type="cellIs" dxfId="54" priority="417" operator="equal">
      <formula>"APAGADO"</formula>
    </cfRule>
  </conditionalFormatting>
  <conditionalFormatting sqref="AT408:AU408">
    <cfRule type="cellIs" dxfId="53" priority="303" operator="equal">
      <formula>"APAGADO"</formula>
    </cfRule>
  </conditionalFormatting>
  <conditionalFormatting sqref="AU39:AV120">
    <cfRule type="cellIs" dxfId="52" priority="165" operator="equal">
      <formula>"APAGADO"</formula>
    </cfRule>
  </conditionalFormatting>
  <conditionalFormatting sqref="AU236:AV402">
    <cfRule type="cellIs" dxfId="51" priority="94" operator="equal">
      <formula>"APAGADO"</formula>
    </cfRule>
  </conditionalFormatting>
  <conditionalFormatting sqref="AV406:AV408">
    <cfRule type="cellIs" dxfId="50" priority="113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1293</v>
      </c>
      <c r="D1" s="29">
        <f>COUNTIFS(A5:A602,"=paradas seguras")/2</f>
        <v>0</v>
      </c>
      <c r="E1" s="77" t="s">
        <v>1294</v>
      </c>
      <c r="F1" s="77"/>
      <c r="G1" s="77"/>
      <c r="H1" s="78">
        <f>COUNTIFS(A5:A602,"=paradas seguras")</f>
        <v>0</v>
      </c>
      <c r="I1" s="79" t="s">
        <v>1295</v>
      </c>
      <c r="J1" s="79"/>
      <c r="K1" s="80">
        <f>COUNTIFS(D5:D602,"=GFIJA")</f>
        <v>0</v>
      </c>
      <c r="L1" s="81" t="s">
        <v>1296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1298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ALT01</v>
      </c>
      <c r="C5" t="str">
        <f>'RESUMEN TOTAL'!I8</f>
        <v>Calchaqui y Sgto. Cabral</v>
      </c>
      <c r="D5" s="30" t="str">
        <f>'RESUMEN TOTAL'!J8</f>
        <v>Domo</v>
      </c>
      <c r="E5" s="30" t="str">
        <f>'RESUMEN TOTAL'!K8</f>
        <v>Fibra Optica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ALT02</v>
      </c>
      <c r="C6" t="str">
        <f>'RESUMEN TOTAL'!I9</f>
        <v>Calchaqui y Lope de Vega</v>
      </c>
      <c r="D6" s="30" t="str">
        <f>'RESUMEN TOTAL'!J9</f>
        <v>Domo</v>
      </c>
      <c r="E6" s="30" t="str">
        <f>'RESUMEN TOTAL'!K9</f>
        <v>PTO A FO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03</v>
      </c>
      <c r="C7" t="str">
        <f>'RESUMEN TOTAL'!I10</f>
        <v>Bombero Galarza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04</v>
      </c>
      <c r="C8" t="str">
        <f>'RESUMEN TOTAL'!I11</f>
        <v>Francia y Necochea</v>
      </c>
      <c r="D8" s="30" t="str">
        <f>'RESUMEN TOTAL'!J11</f>
        <v>Domo</v>
      </c>
      <c r="E8" s="30" t="str">
        <f>'RESUMEN TOTAL'!K11</f>
        <v>GPON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ALT05</v>
      </c>
      <c r="C9" t="str">
        <f>'RESUMEN TOTAL'!I12</f>
        <v>Av. Calchaqui y Bombero Galarza</v>
      </c>
      <c r="D9" s="30" t="str">
        <f>'RESUMEN TOTAL'!J12</f>
        <v>Domo</v>
      </c>
      <c r="E9" s="30" t="str">
        <f>'RESUMEN TOTAL'!K12</f>
        <v>GPON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06</v>
      </c>
      <c r="C10" t="str">
        <f>'RESUMEN TOTAL'!I13</f>
        <v>LOPE DE VEGA Y NECOCHEA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ALT07</v>
      </c>
      <c r="C11" t="str">
        <f>'RESUMEN TOTAL'!I14</f>
        <v>AV. CALCHAQUI Y AV. DEL TRABAJO</v>
      </c>
      <c r="D11" s="30" t="str">
        <f>'RESUMEN TOTAL'!J14</f>
        <v>DOMO</v>
      </c>
      <c r="E11" s="30" t="str">
        <f>'RESUMEN TOTAL'!K14</f>
        <v>PTO A FO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 08</v>
      </c>
      <c r="C12" t="str">
        <f>'RESUMEN TOTAL'!I15</f>
        <v>HUMAITA Y NECOCHEA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 t="str">
        <f>'RESUMEN TOTAL'!V15</f>
        <v>APAGADO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 09</v>
      </c>
      <c r="C13" t="str">
        <f>'RESUMEN TOTAL'!I16</f>
        <v>NECOCHEA Y CURUPAITY</v>
      </c>
      <c r="D13" s="30" t="str">
        <f>'RESUMEN TOTAL'!J16</f>
        <v>DOMO</v>
      </c>
      <c r="E13" s="30" t="str">
        <f>'RESUMEN TOTAL'!K16</f>
        <v>Fibra Optica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 t="str">
        <f>'RESUMEN TOTAL'!V16</f>
        <v>APAGADO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 10</v>
      </c>
      <c r="C14" t="str">
        <f>'RESUMEN TOTAL'!I17</f>
        <v>Calchaqui y Francia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 11</v>
      </c>
      <c r="C15" s="68" t="s">
        <v>1512</v>
      </c>
      <c r="D15" s="30" t="str">
        <f>'RESUMEN TOTAL'!J18</f>
        <v>Fija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Fibra Optica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BOSQC 01</v>
      </c>
      <c r="C19" t="str">
        <f>'RESUMEN TOTAL'!I24</f>
        <v>LUIS AGOTE E/DANUNCIO Y CAMPOAMOR</v>
      </c>
      <c r="D19" s="30" t="str">
        <f>'RESUMEN TOTAL'!J24</f>
        <v>Fija</v>
      </c>
      <c r="E19" s="30" t="str">
        <f>'RESUMEN TOTAL'!K24</f>
        <v>PTO A FO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BOSQC 02</v>
      </c>
      <c r="C20" t="str">
        <f>'RESUMEN TOTAL'!I25</f>
        <v>LUIS AGOTE E/DANUNCIO Y CAMPOAMOR</v>
      </c>
      <c r="D20" s="30" t="str">
        <f>'RESUMEN TOTAL'!J25</f>
        <v>Fija</v>
      </c>
      <c r="E20" s="30" t="str">
        <f>'RESUMEN TOTAL'!K25</f>
        <v>PTO A FO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BOSQC 03</v>
      </c>
      <c r="C21" t="str">
        <f>'RESUMEN TOTAL'!I26</f>
        <v>BENAVENTE Y LUIS AGOTE</v>
      </c>
      <c r="D21" s="30" t="str">
        <f>'RESUMEN TOTAL'!J26</f>
        <v>Fija</v>
      </c>
      <c r="E21" s="30" t="str">
        <f>'RESUMEN TOTAL'!K26</f>
        <v>PTO A FO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 t="str">
        <f>'RESUMEN TOTAL'!V26</f>
        <v>APAGADO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BOSQC 04</v>
      </c>
      <c r="C22" t="str">
        <f>'RESUMEN TOTAL'!I27</f>
        <v>BENAVENTE Y LUIS AGOTE</v>
      </c>
      <c r="D22" s="30" t="str">
        <f>'RESUMEN TOTAL'!J27</f>
        <v>Fija</v>
      </c>
      <c r="E22" s="30" t="str">
        <f>'RESUMEN TOTAL'!K27</f>
        <v>PTO A FO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BOSQC 05</v>
      </c>
      <c r="C23" t="str">
        <f>'RESUMEN TOTAL'!I28</f>
        <v>LUIS AGOTE Y RUTA 36</v>
      </c>
      <c r="D23" s="30" t="str">
        <f>'RESUMEN TOTAL'!J28</f>
        <v>Fija</v>
      </c>
      <c r="E23" s="30" t="str">
        <f>'RESUMEN TOTAL'!K28</f>
        <v>PTO A FO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BOSQC 06</v>
      </c>
      <c r="C24" t="str">
        <f>'RESUMEN TOTAL'!I29</f>
        <v>LUIS AGOTE Y RUTA 36</v>
      </c>
      <c r="D24" s="30" t="str">
        <f>'RESUMEN TOTAL'!J29</f>
        <v>Fija</v>
      </c>
      <c r="E24" s="30" t="str">
        <f>'RESUMEN TOTAL'!K29</f>
        <v>PTO A FO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CEN01</v>
      </c>
      <c r="C25" t="str">
        <f>'RESUMEN TOTAL'!I48</f>
        <v>San Martin y 9 de Julio</v>
      </c>
      <c r="D25" s="30" t="str">
        <f>'RESUMEN TOTAL'!J48</f>
        <v>Fija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CEN02</v>
      </c>
      <c r="C26" t="str">
        <f>'RESUMEN TOTAL'!I49</f>
        <v>San Martin y Almafuerte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CEN03</v>
      </c>
      <c r="C27" t="str">
        <f>'RESUMEN TOTAL'!I50</f>
        <v>San Martin y Sallares</v>
      </c>
      <c r="D27" s="30" t="str">
        <f>'RESUMEN TOTAL'!J50</f>
        <v>Domo</v>
      </c>
      <c r="E27" s="30" t="str">
        <f>'RESUMEN TOTAL'!K50</f>
        <v>Fibra Optica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CEN04</v>
      </c>
      <c r="C28" t="str">
        <f>'RESUMEN TOTAL'!I51</f>
        <v>San Martin y Contreras</v>
      </c>
      <c r="D28" s="30" t="str">
        <f>'RESUMEN TOTAL'!J51</f>
        <v>Domo</v>
      </c>
      <c r="E28" s="30" t="str">
        <f>'RESUMEN TOTAL'!K51</f>
        <v>Fibra Optica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05</v>
      </c>
      <c r="C29" t="str">
        <f>'RESUMEN TOTAL'!I52</f>
        <v>Bocuzzi e/España y San Martin</v>
      </c>
      <c r="D29" s="30" t="str">
        <f>'RESUMEN TOTAL'!J52</f>
        <v>DOMO</v>
      </c>
      <c r="E29" s="30" t="str">
        <f>'RESUMEN TOTAL'!K52</f>
        <v>Fibra Optica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CEN06</v>
      </c>
      <c r="C30" t="str">
        <f>'RESUMEN TOTAL'!I53</f>
        <v>Monteagudo y A.del Valle</v>
      </c>
      <c r="D30" s="30" t="str">
        <f>'RESUMEN TOTAL'!J53</f>
        <v>Fija</v>
      </c>
      <c r="E30" s="30" t="str">
        <f>'RESUMEN TOTAL'!K53</f>
        <v>Fibra Optica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 t="str">
        <f>'RESUMEN TOTAL'!V53</f>
        <v>APAGADO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CEN07</v>
      </c>
      <c r="C31" t="str">
        <f>'RESUMEN TOTAL'!I54</f>
        <v>San Martin y Guemes</v>
      </c>
      <c r="D31" s="30" t="str">
        <f>'RESUMEN TOTAL'!J54</f>
        <v>DOMO</v>
      </c>
      <c r="E31" s="30" t="str">
        <f>'RESUMEN TOTAL'!K54</f>
        <v>Fibra Optica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CEN08</v>
      </c>
      <c r="C32" t="str">
        <f>'RESUMEN TOTAL'!I55</f>
        <v>San Martin y Pte.Peron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CEN09</v>
      </c>
      <c r="C33" t="str">
        <f>'RESUMEN TOTAL'!I56</f>
        <v>Chacabuco y 25 de Mayo</v>
      </c>
      <c r="D33" s="30" t="str">
        <f>'RESUMEN TOTAL'!J56</f>
        <v>Domo</v>
      </c>
      <c r="E33" s="30" t="str">
        <f>'RESUMEN TOTAL'!K56</f>
        <v>Fibra Optica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CEN10</v>
      </c>
      <c r="C34" t="str">
        <f>'RESUMEN TOTAL'!I57</f>
        <v>Monteagudo y Pte. Peron</v>
      </c>
      <c r="D34" s="30" t="str">
        <f>'RESUMEN TOTAL'!J57</f>
        <v>Domo</v>
      </c>
      <c r="E34" s="30" t="str">
        <f>'RESUMEN TOTAL'!K57</f>
        <v>Fibra Optica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CEN11</v>
      </c>
      <c r="C35" t="str">
        <f>'RESUMEN TOTAL'!I58</f>
        <v>Monteagudo y Bocuzzi</v>
      </c>
      <c r="D35" s="30" t="str">
        <f>'RESUMEN TOTAL'!J58</f>
        <v>Domo</v>
      </c>
      <c r="E35" s="30" t="str">
        <f>'RESUMEN TOTAL'!K58</f>
        <v>Fibra Optica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12</v>
      </c>
      <c r="C36" t="str">
        <f>'RESUMEN TOTAL'!I59</f>
        <v>Monteagudo y Mitre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13</v>
      </c>
      <c r="C37" t="str">
        <f>'RESUMEN TOTAL'!I60</f>
        <v>25 de Mayo y Maipu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CEN14</v>
      </c>
      <c r="C38" t="str">
        <f>'RESUMEN TOTAL'!I61</f>
        <v>Pte.Peron e/Pringles y Brown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CEN15</v>
      </c>
      <c r="C39" t="str">
        <f>'RESUMEN TOTAL'!I62</f>
        <v>Alberdi y A.del Valle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CEN16</v>
      </c>
      <c r="C40" t="str">
        <f>'RESUMEN TOTAL'!I63</f>
        <v>San Martin y Pte. Peron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CEN17</v>
      </c>
      <c r="C41" t="str">
        <f>'RESUMEN TOTAL'!I64</f>
        <v>San Martin y Mitre</v>
      </c>
      <c r="D41" s="30" t="str">
        <f>'RESUMEN TOTAL'!J64</f>
        <v>Domo</v>
      </c>
      <c r="E41" s="30" t="str">
        <f>'RESUMEN TOTAL'!K64</f>
        <v>PTO A FO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CEN18</v>
      </c>
      <c r="C42" t="str">
        <f>'RESUMEN TOTAL'!I65</f>
        <v>Monteagudo e/Mitre y Sallares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CEN19</v>
      </c>
      <c r="C43" t="str">
        <f>'RESUMEN TOTAL'!I66</f>
        <v>Chacabuco y 25 de Mayo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LOMAS DE MONTEVERDE</v>
      </c>
      <c r="B44" t="str">
        <f>'RESUMEN TOTAL'!G67</f>
        <v>CEN20</v>
      </c>
      <c r="C44" t="str">
        <f>'RESUMEN TOTAL'!I67</f>
        <v>Pte. Illia y Las Heras</v>
      </c>
      <c r="D44" s="30" t="str">
        <f>'RESUMEN TOTAL'!J67</f>
        <v>Domo</v>
      </c>
      <c r="E44" s="30" t="str">
        <f>'RESUMEN TOTAL'!K67</f>
        <v>GPON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CEN21</v>
      </c>
      <c r="C45" t="str">
        <f>'RESUMEN TOTAL'!I68</f>
        <v>Misiones y Urquiza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CEN22</v>
      </c>
      <c r="C46" t="str">
        <f>'RESUMEN TOTAL'!I69</f>
        <v>Las Heras y Chacabuco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CEN23</v>
      </c>
      <c r="C47" t="str">
        <f>'RESUMEN TOTAL'!I70</f>
        <v>Sallares y Monteagudo</v>
      </c>
      <c r="D47" s="30" t="str">
        <f>'RESUMEN TOTAL'!J70</f>
        <v>Domo</v>
      </c>
      <c r="E47" s="30" t="str">
        <f>'RESUMEN TOTAL'!K70</f>
        <v>Fibra Optica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CEN24</v>
      </c>
      <c r="C48" t="str">
        <f>'RESUMEN TOTAL'!I71</f>
        <v>Sallares y España</v>
      </c>
      <c r="D48" s="30" t="str">
        <f>'RESUMEN TOTAL'!J71</f>
        <v>Domo</v>
      </c>
      <c r="E48" s="30" t="str">
        <f>'RESUMEN TOTAL'!K71</f>
        <v>GPON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CEN25</v>
      </c>
      <c r="C49" t="str">
        <f>'RESUMEN TOTAL'!I72</f>
        <v>SAN MARTIN Y 9 DE JULIO</v>
      </c>
      <c r="D49" s="30" t="str">
        <f>'RESUMEN TOTAL'!J72</f>
        <v>Domo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CEN26</v>
      </c>
      <c r="C50" t="str">
        <f>'RESUMEN TOTAL'!I73</f>
        <v>Mitre y España</v>
      </c>
      <c r="D50" s="30" t="str">
        <f>'RESUMEN TOTAL'!J73</f>
        <v>Domo</v>
      </c>
      <c r="E50" s="30" t="str">
        <f>'RESUMEN TOTAL'!K73</f>
        <v>Fibra Optica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CEN27</v>
      </c>
      <c r="C51" t="str">
        <f>'RESUMEN TOTAL'!I74</f>
        <v>San Juan y España</v>
      </c>
      <c r="D51" s="30" t="str">
        <f>'RESUMEN TOTAL'!J74</f>
        <v>Domo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CEN28</v>
      </c>
      <c r="C52" t="str">
        <f>'RESUMEN TOTAL'!I75</f>
        <v>Mitre y Alberdi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CEN29</v>
      </c>
      <c r="C53" t="str">
        <f>'RESUMEN TOTAL'!I76</f>
        <v>Alberdi y San Juan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CEN30</v>
      </c>
      <c r="C54" t="str">
        <f>'RESUMEN TOTAL'!I77</f>
        <v>Mitre y Pringles</v>
      </c>
      <c r="D54" s="30" t="str">
        <f>'RESUMEN TOTAL'!J77</f>
        <v>Domo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CEN31</v>
      </c>
      <c r="C55" t="str">
        <f>'RESUMEN TOTAL'!I78</f>
        <v>Mitre e/Monteagudo y Alberdi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CEN32</v>
      </c>
      <c r="C56" t="str">
        <f>'RESUMEN TOTAL'!I79</f>
        <v>Aristobulo del Valle y España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CEN33</v>
      </c>
      <c r="C57" t="str">
        <f>'RESUMEN TOTAL'!I80</f>
        <v>Peron y Alberdi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CEN34</v>
      </c>
      <c r="C58" t="str">
        <f>'RESUMEN TOTAL'!I81</f>
        <v>Peron y España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CEN35</v>
      </c>
      <c r="C59" t="str">
        <f>'RESUMEN TOTAL'!I82</f>
        <v>España y Marmol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CEN36</v>
      </c>
      <c r="C60" t="str">
        <f>'RESUMEN TOTAL'!I83</f>
        <v>España y 9 de Julio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 37</v>
      </c>
      <c r="C61" t="str">
        <f>'RESUMEN TOTAL'!I84</f>
        <v>Diagonal Granaderos y Monteagudo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CEN38</v>
      </c>
      <c r="C62" t="str">
        <f>'RESUMEN TOTAL'!I85</f>
        <v>Diagonal Constituyentes y Almafuerte</v>
      </c>
      <c r="D62" s="30" t="str">
        <f>'RESUMEN TOTAL'!J85</f>
        <v>Domo</v>
      </c>
      <c r="E62" s="30" t="str">
        <f>'RESUMEN TOTAL'!K85</f>
        <v>Fibra Optica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CEN39</v>
      </c>
      <c r="C63" t="str">
        <f>'RESUMEN TOTAL'!I86</f>
        <v>San Martin y Alem</v>
      </c>
      <c r="D63" s="30" t="str">
        <f>'RESUMEN TOTAL'!J86</f>
        <v>Domo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CEN40</v>
      </c>
      <c r="C64" t="str">
        <f>'RESUMEN TOTAL'!I87</f>
        <v>Contreras y Monteagudo</v>
      </c>
      <c r="D64" s="30" t="str">
        <f>'RESUMEN TOTAL'!J87</f>
        <v>Domo</v>
      </c>
      <c r="E64" s="30" t="str">
        <f>'RESUMEN TOTAL'!K87</f>
        <v>Fibra Optica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CEN41</v>
      </c>
      <c r="C65" t="str">
        <f>'RESUMEN TOTAL'!I88</f>
        <v>Contreras y Alberdi</v>
      </c>
      <c r="D65" s="30" t="str">
        <f>'RESUMEN TOTAL'!J88</f>
        <v>Domo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CEN42</v>
      </c>
      <c r="C66" t="str">
        <f>'RESUMEN TOTAL'!I89</f>
        <v>Diagonal Constitucion Y ALEM</v>
      </c>
      <c r="D66" s="30" t="str">
        <f>'RESUMEN TOTAL'!J89</f>
        <v>Domo</v>
      </c>
      <c r="E66" s="30" t="str">
        <f>'RESUMEN TOTAL'!K89</f>
        <v>GPON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CENTRO</v>
      </c>
      <c r="B67" t="str">
        <f>'RESUMEN TOTAL'!G90</f>
        <v>CEN43</v>
      </c>
      <c r="C67" t="str">
        <f>'RESUMEN TOTAL'!I90</f>
        <v>Sallares y Alberdi</v>
      </c>
      <c r="D67" s="30" t="str">
        <f>'RESUMEN TOTAL'!J90</f>
        <v>Domo</v>
      </c>
      <c r="E67" s="30" t="str">
        <f>'RESUMEN TOTAL'!K90</f>
        <v>Fibra Optica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CEN44</v>
      </c>
      <c r="C68" t="str">
        <f>'RESUMEN TOTAL'!I91</f>
        <v>Mitre y Brown</v>
      </c>
      <c r="D68" s="30" t="str">
        <f>'RESUMEN TOTAL'!J91</f>
        <v>Domo</v>
      </c>
      <c r="E68" s="30" t="str">
        <f>'RESUMEN TOTAL'!K91</f>
        <v>Fibra Optica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CEN45 (fija 2)</v>
      </c>
      <c r="C69" t="str">
        <f>'RESUMEN TOTAL'!I92</f>
        <v>EEUU Y MORENO</v>
      </c>
      <c r="D69" s="30" t="str">
        <f>'RESUMEN TOTAL'!J92</f>
        <v>Fija</v>
      </c>
      <c r="E69" s="30" t="str">
        <f>'RESUMEN TOTAL'!K92</f>
        <v>Fibra Optica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CEN46 (fija 1)</v>
      </c>
      <c r="C70" t="str">
        <f>'RESUMEN TOTAL'!I93</f>
        <v>EEUU Y MORENO</v>
      </c>
      <c r="D70" s="30" t="str">
        <f>'RESUMEN TOTAL'!J93</f>
        <v>Fija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CEN47</v>
      </c>
      <c r="C71" t="str">
        <f>'RESUMEN TOTAL'!I94</f>
        <v>Sallares y Brown</v>
      </c>
      <c r="D71" s="30" t="str">
        <f>'RESUMEN TOTAL'!J94</f>
        <v>Domo</v>
      </c>
      <c r="E71" s="30" t="str">
        <f>'RESUMEN TOTAL'!K94</f>
        <v>Fibra Optica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CEN48</v>
      </c>
      <c r="C72" t="str">
        <f>'RESUMEN TOTAL'!I95</f>
        <v>Velez Sarsfield y Las Heras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CEN49</v>
      </c>
      <c r="C73" t="str">
        <f>'RESUMEN TOTAL'!I96</f>
        <v>Av. San Martin y Florencio Sanchez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 t="str">
        <f>'RESUMEN TOTAL'!V96</f>
        <v>APAGADO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 50</v>
      </c>
      <c r="C74" t="str">
        <f>'RESUMEN TOTAL'!I97</f>
        <v>Av. San Martin y Newbery</v>
      </c>
      <c r="D74" s="30" t="str">
        <f>'RESUMEN TOTAL'!J97</f>
        <v>Domo</v>
      </c>
      <c r="E74" s="30" t="str">
        <f>'RESUMEN TOTAL'!K97</f>
        <v>GPON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 t="str">
        <f>'RESUMEN TOTAL'!V97</f>
        <v>APAGADO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 51</v>
      </c>
      <c r="C75" t="str">
        <f>'RESUMEN TOTAL'!I98</f>
        <v>ILLIA Y LAS HERAS</v>
      </c>
      <c r="D75" s="30" t="str">
        <f>'RESUMEN TOTAL'!J98</f>
        <v>FIJA</v>
      </c>
      <c r="E75" s="30" t="str">
        <f>'RESUMEN TOTAL'!K98</f>
        <v>GPON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CEN52</v>
      </c>
      <c r="C76" t="str">
        <f>'RESUMEN TOTAL'!I99</f>
        <v>San Martin y Almafuerte (ex San Martin y Dorrego)</v>
      </c>
      <c r="D76" s="30" t="str">
        <f>'RESUMEN TOTAL'!J99</f>
        <v>DOMO</v>
      </c>
      <c r="E76" s="30" t="str">
        <f>'RESUMEN TOTAL'!K99</f>
        <v>GPON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 53</v>
      </c>
      <c r="C77" t="str">
        <f>'RESUMEN TOTAL'!I100</f>
        <v>GUTIERREZ Y BROWN</v>
      </c>
      <c r="D77" s="30" t="str">
        <f>'RESUMEN TOTAL'!J100</f>
        <v>Domo</v>
      </c>
      <c r="E77" s="30" t="str">
        <f>'RESUMEN TOTAL'!K100</f>
        <v>GPON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 54</v>
      </c>
      <c r="C78" t="str">
        <f>'RESUMEN TOTAL'!I101</f>
        <v>GUTIERREZ Y PRINGLES</v>
      </c>
      <c r="D78" s="30" t="str">
        <f>'RESUMEN TOTAL'!J101</f>
        <v>Domo</v>
      </c>
      <c r="E78" s="30" t="str">
        <f>'RESUMEN TOTAL'!K101</f>
        <v>GPON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 t="str">
        <f>'RESUMEN TOTAL'!V101</f>
        <v>APAGADO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 55</v>
      </c>
      <c r="C79" t="str">
        <f>'RESUMEN TOTAL'!I102</f>
        <v>BOUREL Y URQUIZA</v>
      </c>
      <c r="D79" s="30" t="str">
        <f>'RESUMEN TOTAL'!J102</f>
        <v>Domo</v>
      </c>
      <c r="E79" s="30" t="str">
        <f>'RESUMEN TOTAL'!K102</f>
        <v>GPON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 56</v>
      </c>
      <c r="C80" t="str">
        <f>'RESUMEN TOTAL'!I103</f>
        <v>Newbery y Falucho</v>
      </c>
      <c r="D80" s="30" t="str">
        <f>'RESUMEN TOTAL'!J103</f>
        <v>DOMO</v>
      </c>
      <c r="E80" s="30" t="str">
        <f>'RESUMEN TOTAL'!K103</f>
        <v>GPON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 57</v>
      </c>
      <c r="C81" t="str">
        <f>'RESUMEN TOTAL'!I104</f>
        <v>25 DE MAYO Y DORREGO</v>
      </c>
      <c r="D81" s="30" t="str">
        <f>'RESUMEN TOTAL'!J104</f>
        <v>DOMO</v>
      </c>
      <c r="E81" s="30" t="str">
        <f>'RESUMEN TOTAL'!K104</f>
        <v>GPON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 58</v>
      </c>
      <c r="C82" t="str">
        <f>'RESUMEN TOTAL'!I105</f>
        <v>EEUU Y MORENO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CEN59</v>
      </c>
      <c r="C83" t="str">
        <f>'RESUMEN TOTAL'!I106</f>
        <v>CHACABUCO Y BOUREL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 60</v>
      </c>
      <c r="C84" t="str">
        <f>'RESUMEN TOTAL'!I107</f>
        <v>RECONQUISTA Y ILLIA</v>
      </c>
      <c r="D84" s="30" t="str">
        <f>'RESUMEN TOTAL'!J107</f>
        <v>DOMO</v>
      </c>
      <c r="E84" s="30" t="str">
        <f>'RESUMEN TOTAL'!K107</f>
        <v>PTO A FO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 61</v>
      </c>
      <c r="C85" t="str">
        <f>'RESUMEN TOTAL'!I108</f>
        <v>BOUREL Y MAIPU</v>
      </c>
      <c r="D85" s="30" t="str">
        <f>'RESUMEN TOTAL'!J108</f>
        <v>DOMO</v>
      </c>
      <c r="E85" s="30" t="str">
        <f>'RESUMEN TOTAL'!K108</f>
        <v>GPON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CEN62</v>
      </c>
      <c r="C86" t="str">
        <f>'RESUMEN TOTAL'!I109</f>
        <v>ESPAÑA Y ALEM</v>
      </c>
      <c r="D86" s="30" t="str">
        <f>'RESUMEN TOTAL'!J109</f>
        <v>DOMO</v>
      </c>
      <c r="E86" s="30" t="str">
        <f>'RESUMEN TOTAL'!K109</f>
        <v>PTO A FO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CEN63</v>
      </c>
      <c r="C87" t="str">
        <f>'RESUMEN TOTAL'!I110</f>
        <v>SAN MARTIN Y URQUIZA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CEN64</v>
      </c>
      <c r="C88" t="str">
        <f>'RESUMEN TOTAL'!I111</f>
        <v>SAN MARTIN Y BOCCUZZI</v>
      </c>
      <c r="D88" s="30" t="str">
        <f>'RESUMEN TOTAL'!J111</f>
        <v>FIJA</v>
      </c>
      <c r="E88" s="30" t="str">
        <f>'RESUMEN TOTAL'!K111</f>
        <v>Fibra Optica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 65</v>
      </c>
      <c r="C89" t="str">
        <f>'RESUMEN TOTAL'!I112</f>
        <v>SAN MARTIN Y JUAN PERON</v>
      </c>
      <c r="D89" s="30" t="str">
        <f>'RESUMEN TOTAL'!J112</f>
        <v>FIJA</v>
      </c>
      <c r="E89" s="30" t="str">
        <f>'RESUMEN TOTAL'!K112</f>
        <v>GPON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CEN66</v>
      </c>
      <c r="C90" t="str">
        <f>'RESUMEN TOTAL'!I113</f>
        <v>SAN MARTIN Y JUAN PERON</v>
      </c>
      <c r="D90" s="30" t="str">
        <f>'RESUMEN TOTAL'!J113</f>
        <v>FIJA</v>
      </c>
      <c r="E90" s="30" t="str">
        <f>'RESUMEN TOTAL'!K113</f>
        <v>GPON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CEN67 (fija 1)</v>
      </c>
      <c r="C91" t="str">
        <f>'RESUMEN TOTAL'!I114</f>
        <v>9 DE JULIO Y BROWN</v>
      </c>
      <c r="D91" s="30" t="str">
        <f>'RESUMEN TOTAL'!J114</f>
        <v>Fija</v>
      </c>
      <c r="E91" s="30" t="str">
        <f>'RESUMEN TOTAL'!K114</f>
        <v>GPON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CEN68 (fija 2)</v>
      </c>
      <c r="C92" t="str">
        <f>'RESUMEN TOTAL'!I115</f>
        <v>9 DE JULIO Y BROWN</v>
      </c>
      <c r="D92" s="30" t="str">
        <f>'RESUMEN TOTAL'!J115</f>
        <v>Fija</v>
      </c>
      <c r="E92" s="30" t="str">
        <f>'RESUMEN TOTAL'!K115</f>
        <v>GPON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CEN69</v>
      </c>
      <c r="C93" t="str">
        <f>'RESUMEN TOTAL'!I116</f>
        <v>RIVADAVIA Y BOUREL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 70</v>
      </c>
      <c r="C94" t="str">
        <f>'RESUMEN TOTAL'!I117</f>
        <v>RIVADAVIA Y 25 MAYO</v>
      </c>
      <c r="D94" s="30" t="str">
        <f>'RESUMEN TOTAL'!J117</f>
        <v>Domo</v>
      </c>
      <c r="E94" s="30" t="str">
        <f>'RESUMEN TOTAL'!K117</f>
        <v>Fibra Optica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 71</v>
      </c>
      <c r="C95" t="str">
        <f>'RESUMEN TOTAL'!I118</f>
        <v>MORENO Y BOUREL</v>
      </c>
      <c r="D95" s="30" t="str">
        <f>'RESUMEN TOTAL'!J118</f>
        <v>Domo</v>
      </c>
      <c r="E95" s="30" t="str">
        <f>'RESUMEN TOTAL'!K118</f>
        <v>GPON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 72</v>
      </c>
      <c r="C96" t="str">
        <f>'RESUMEN TOTAL'!I119</f>
        <v>MORENO Y 25 DE MAYO</v>
      </c>
      <c r="D96" s="30" t="str">
        <f>'RESUMEN TOTAL'!J119</f>
        <v>Domo</v>
      </c>
      <c r="E96" s="30" t="str">
        <f>'RESUMEN TOTAL'!K119</f>
        <v>Fibra Optica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CEN73</v>
      </c>
      <c r="C97" t="str">
        <f>'RESUMEN TOTAL'!I120</f>
        <v>BOUREL Y DEFENSA</v>
      </c>
      <c r="D97" s="30" t="str">
        <f>'RESUMEN TOTAL'!J120</f>
        <v>DOMO</v>
      </c>
      <c r="E97" s="30" t="str">
        <f>'RESUMEN TOTAL'!K120</f>
        <v>Fibra Optica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CEN74</v>
      </c>
      <c r="C98" t="str">
        <f>'RESUMEN TOTAL'!I121</f>
        <v>Las Heras y Maipu</v>
      </c>
      <c r="D98" s="30" t="str">
        <f>'RESUMEN TOTAL'!J121</f>
        <v>Domo</v>
      </c>
      <c r="E98" s="30" t="str">
        <f>'RESUMEN TOTAL'!K121</f>
        <v>Fibra Optica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 t="str">
        <f>'RESUMEN TOTAL'!V121</f>
        <v>APAGADO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 75</v>
      </c>
      <c r="C99" t="str">
        <f>'RESUMEN TOTAL'!I122</f>
        <v>25 DE MAYO Y CASTELLI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 76</v>
      </c>
      <c r="C100" t="str">
        <f>'RESUMEN TOTAL'!I123</f>
        <v>ESPAÑA E/MITRE Y BOCUZZI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 77</v>
      </c>
      <c r="C101" t="str">
        <f>'RESUMEN TOTAL'!I124</f>
        <v>Monteagudo e/ Mitre y Boccuzzi</v>
      </c>
      <c r="D101" s="30" t="str">
        <f>'RESUMEN TOTAL'!J124</f>
        <v>Fija</v>
      </c>
      <c r="E101" s="30" t="str">
        <f>'RESUMEN TOTAL'!K124</f>
        <v>Fibra Optica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 78</v>
      </c>
      <c r="C102" t="str">
        <f>'RESUMEN TOTAL'!I125</f>
        <v>Mitre e/Monteagudo y Alberdi</v>
      </c>
      <c r="D102" s="30" t="str">
        <f>'RESUMEN TOTAL'!J125</f>
        <v>Fija</v>
      </c>
      <c r="E102" s="30" t="str">
        <f>'RESUMEN TOTAL'!K125</f>
        <v>Fibra Optica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 79</v>
      </c>
      <c r="C103" t="str">
        <f>'RESUMEN TOTAL'!I126</f>
        <v>Diag. Constituyente y Brown</v>
      </c>
      <c r="D103" s="30" t="str">
        <f>'RESUMEN TOTAL'!J126</f>
        <v>Fija</v>
      </c>
      <c r="E103" s="30" t="str">
        <f>'RESUMEN TOTAL'!K126</f>
        <v>Fibra Optica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 80</v>
      </c>
      <c r="C104" t="str">
        <f>'RESUMEN TOTAL'!I127</f>
        <v>Diag. Constituyente y Brown</v>
      </c>
      <c r="D104" s="30" t="str">
        <f>'RESUMEN TOTAL'!J127</f>
        <v>Fija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 81</v>
      </c>
      <c r="C105" t="str">
        <f>'RESUMEN TOTAL'!I128</f>
        <v>Alberdi y A.del Valle</v>
      </c>
      <c r="D105" s="30" t="str">
        <f>'RESUMEN TOTAL'!J128</f>
        <v>Fija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 82</v>
      </c>
      <c r="C106" t="str">
        <f>'RESUMEN TOTAL'!I129</f>
        <v>DORREGO Y BOUREL</v>
      </c>
      <c r="D106" s="30" t="str">
        <f>'RESUMEN TOTAL'!J129</f>
        <v>Domo</v>
      </c>
      <c r="E106" s="30" t="str">
        <f>'RESUMEN TOTAL'!K129</f>
        <v>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 84</v>
      </c>
      <c r="C108" t="str">
        <f>'RESUMEN TOTAL'!I131</f>
        <v>25 DE MAYO Y MAIPU</v>
      </c>
      <c r="D108" s="30" t="str">
        <f>'RESUMEN TOTAL'!J131</f>
        <v>Fija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 85</v>
      </c>
      <c r="C109" t="str">
        <f>'RESUMEN TOTAL'!I132</f>
        <v>PTE PERON E/ PRINGLES Y BROWN</v>
      </c>
      <c r="D109" s="30" t="str">
        <f>'RESUMEN TOTAL'!J132</f>
        <v>Fija</v>
      </c>
      <c r="E109" s="30" t="str">
        <f>'RESUMEN TOTAL'!K132</f>
        <v>Fibra Optica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 86</v>
      </c>
      <c r="C110" t="str">
        <f>'RESUMEN TOTAL'!I133</f>
        <v>Monteagudo y Bocuzzi</v>
      </c>
      <c r="D110" s="30" t="str">
        <f>'RESUMEN TOTAL'!J133</f>
        <v>Fija</v>
      </c>
      <c r="E110" s="30" t="str">
        <f>'RESUMEN TOTAL'!K133</f>
        <v>Fibra Optica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SAN NICOLAS</v>
      </c>
      <c r="B111" t="str">
        <f>'RESUMEN TOTAL'!G148</f>
        <v>CHA01</v>
      </c>
      <c r="C111" t="str">
        <f>'RESUMEN TOTAL'!I148</f>
        <v>Novak y Pte Illia</v>
      </c>
      <c r="D111" s="30" t="str">
        <f>'RESUMEN TOTAL'!J148</f>
        <v>Domo</v>
      </c>
      <c r="E111" s="30" t="str">
        <f>'RESUMEN TOTAL'!K148</f>
        <v>PTO A FO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CHACABUCO</v>
      </c>
      <c r="B112" t="str">
        <f>'RESUMEN TOTAL'!G149</f>
        <v>CHA02</v>
      </c>
      <c r="C112" t="str">
        <f>'RESUMEN TOTAL'!I149</f>
        <v>Pte. Illia y Posadas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CHACABUCO</v>
      </c>
      <c r="B113" t="str">
        <f>'RESUMEN TOTAL'!G150</f>
        <v>CHA03</v>
      </c>
      <c r="C113" t="str">
        <f>'RESUMEN TOTAL'!I150</f>
        <v>MAIPU Y ALVAREZ THOMAS</v>
      </c>
      <c r="D113" s="30" t="str">
        <f>'RESUMEN TOTAL'!J150</f>
        <v>DOMO</v>
      </c>
      <c r="E113" s="30" t="str">
        <f>'RESUMEN TOTAL'!K150</f>
        <v>Fibra Optica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CHACABUCO</v>
      </c>
      <c r="B114" t="str">
        <f>'RESUMEN TOTAL'!G151</f>
        <v>CHA04</v>
      </c>
      <c r="C114" t="str">
        <f>'RESUMEN TOTAL'!I151</f>
        <v>ESTADOS UNIDOS DE A. E ILLIA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 t="str">
        <f>'RESUMEN TOTAL'!F152</f>
        <v>VILLA MONICA NUEVA</v>
      </c>
      <c r="B115" t="str">
        <f>'RESUMEN TOTAL'!G152</f>
        <v>COL 01</v>
      </c>
      <c r="C115" t="str">
        <f>'RESUMEN TOTAL'!I152</f>
        <v>Eva Peron y Cariboni</v>
      </c>
      <c r="D115" s="30" t="str">
        <f>'RESUMEN TOTAL'!J152</f>
        <v>Domo</v>
      </c>
      <c r="E115" s="30" t="str">
        <f>'RESUMEN TOTAL'!K152</f>
        <v>Fibra Optica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 t="str">
        <f>'RESUMEN TOTAL'!V152</f>
        <v>APAGADO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LA COLORADA ESTE</v>
      </c>
      <c r="B116" t="str">
        <f>'RESUMEN TOTAL'!G153</f>
        <v>COL 02</v>
      </c>
      <c r="C116" t="str">
        <f>'RESUMEN TOTAL'!I153</f>
        <v>Av. Eva Peron y Pompeya</v>
      </c>
      <c r="D116" s="30" t="str">
        <f>'RESUMEN TOTAL'!J153</f>
        <v>Domo</v>
      </c>
      <c r="E116" s="30" t="str">
        <f>'RESUMEN TOTAL'!K153</f>
        <v>PTO A FO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 t="str">
        <f>'RESUMEN TOTAL'!V153</f>
        <v>APAGADO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LA COLORADA ESTE</v>
      </c>
      <c r="B117" t="str">
        <f>'RESUMEN TOTAL'!G154</f>
        <v>COL 03</v>
      </c>
      <c r="C117" t="str">
        <f>'RESUMEN TOTAL'!I154</f>
        <v>CARIBONI Y LA ANCIANIDAD</v>
      </c>
      <c r="D117" s="30" t="str">
        <f>'RESUMEN TOTAL'!J154</f>
        <v>DOMO</v>
      </c>
      <c r="E117" s="30" t="str">
        <f>'RESUMEN TOTAL'!K154</f>
        <v>Radio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LA COLORADA ESTE</v>
      </c>
      <c r="B118" t="str">
        <f>'RESUMEN TOTAL'!G155</f>
        <v>COL 04</v>
      </c>
      <c r="C118" t="str">
        <f>'RESUMEN TOTAL'!I155</f>
        <v>EVA PERON Y SAVIO</v>
      </c>
      <c r="D118" s="30" t="str">
        <f>'RESUMEN TOTAL'!J155</f>
        <v>Domo</v>
      </c>
      <c r="E118" s="30" t="str">
        <f>'RESUMEN TOTAL'!K155</f>
        <v>Fibra Optica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 t="str">
        <f>'RESUMEN TOTAL'!V155</f>
        <v>APAGADO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DJO01</v>
      </c>
      <c r="C119" t="str">
        <f>'RESUMEN TOTAL'!I157</f>
        <v>Monteverde y Donato Alvarez</v>
      </c>
      <c r="D119" s="30" t="str">
        <f>'RESUMEN TOTAL'!J157</f>
        <v>Domo</v>
      </c>
      <c r="E119" s="30" t="str">
        <f>'RESUMEN TOTAL'!K157</f>
        <v>GPON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 O6</v>
      </c>
      <c r="C124" t="str">
        <f>'RESUMEN TOTAL'!I162</f>
        <v>Calle 414 y El Indio</v>
      </c>
      <c r="D124" s="30" t="str">
        <f>'RESUMEN TOTAL'!J162</f>
        <v>Fija</v>
      </c>
      <c r="E124" s="30" t="str">
        <f>'RESUMEN TOTAL'!K162</f>
        <v>PTO A FO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JOSE</v>
      </c>
      <c r="B125" t="str">
        <f>'RESUMEN TOTAL'!G163</f>
        <v>DJ 07</v>
      </c>
      <c r="C125" t="str">
        <f>'RESUMEN TOTAL'!I163</f>
        <v>Calle 414 y El Indio</v>
      </c>
      <c r="D125" s="30" t="str">
        <f>'RESUMEN TOTAL'!J163</f>
        <v>Fija</v>
      </c>
      <c r="E125" s="30" t="str">
        <f>'RESUMEN TOTAL'!K163</f>
        <v>PTO A FO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01</v>
      </c>
      <c r="C126" t="str">
        <f>'RESUMEN TOTAL'!I169</f>
        <v>1282 Y GRIERSON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 t="str">
        <f>'RESUMEN TOTAL'!V169</f>
        <v>APAGADO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02</v>
      </c>
      <c r="C127" t="str">
        <f>'RESUMEN TOTAL'!I170</f>
        <v>1282 Y MASSE</v>
      </c>
      <c r="D127" s="30" t="str">
        <f>'RESUMEN TOTAL'!J170</f>
        <v>DOMO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03</v>
      </c>
      <c r="C128" t="str">
        <f>'RESUMEN TOTAL'!I171</f>
        <v>1282 Y RP 36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EL PARQUE</v>
      </c>
      <c r="B129" t="str">
        <f>'RESUMEN TOTAL'!G172</f>
        <v>EPQ 04</v>
      </c>
      <c r="C129" t="str">
        <f>'RESUMEN TOTAL'!I172</f>
        <v>1282 Y MORENO</v>
      </c>
      <c r="D129" s="30" t="str">
        <f>'RESUMEN TOTAL'!J172</f>
        <v>DOMO</v>
      </c>
      <c r="E129" s="30" t="str">
        <f>'RESUMEN TOTAL'!K172</f>
        <v>Fibra Optica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ESM01</v>
      </c>
      <c r="C130" t="str">
        <f>'RESUMEN TOTAL'!I175</f>
        <v>Cabello y Brasil</v>
      </c>
      <c r="D130" s="30" t="str">
        <f>'RESUMEN TOTAL'!J175</f>
        <v>Domo</v>
      </c>
      <c r="E130" s="30" t="str">
        <f>'RESUMEN TOTAL'!K175</f>
        <v>PTO A FO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>
        <f>'RESUMEN TOTAL'!V175</f>
        <v>0</v>
      </c>
      <c r="J130" s="70">
        <f>'RESUMEN TOTAL'!W175</f>
        <v>0</v>
      </c>
      <c r="K130" s="70">
        <f>'RESUMEN TOTAL'!X175</f>
        <v>0</v>
      </c>
      <c r="L130" s="70">
        <f>'RESUMEN TOTAL'!Y175</f>
        <v>0</v>
      </c>
      <c r="M130" s="70">
        <f>'RESUMEN TOTAL'!Z175</f>
        <v>0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SAN JORGE</v>
      </c>
      <c r="B131" t="str">
        <f>'RESUMEN TOTAL'!G176</f>
        <v>ESM02</v>
      </c>
      <c r="C131" t="str">
        <f>'RESUMEN TOTAL'!I176</f>
        <v>Novak y Cabello</v>
      </c>
      <c r="D131" s="30" t="str">
        <f>'RESUMEN TOTAL'!J176</f>
        <v>Domo</v>
      </c>
      <c r="E131" s="30" t="str">
        <f>'RESUMEN TOTAL'!K176</f>
        <v>PTO A FO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>
        <f>'RESUMEN TOTAL'!V176</f>
        <v>0</v>
      </c>
      <c r="J131" s="70">
        <f>'RESUMEN TOTAL'!W176</f>
        <v>0</v>
      </c>
      <c r="K131" s="70">
        <f>'RESUMEN TOTAL'!X176</f>
        <v>0</v>
      </c>
      <c r="L131" s="70">
        <f>'RESUMEN TOTAL'!Y176</f>
        <v>0</v>
      </c>
      <c r="M131" s="70">
        <f>'RESUMEN TOTAL'!Z176</f>
        <v>0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SAN JORGE</v>
      </c>
      <c r="B132" t="str">
        <f>'RESUMEN TOTAL'!G177</f>
        <v>ESM03</v>
      </c>
      <c r="C132" t="str">
        <f>'RESUMEN TOTAL'!I177</f>
        <v>Novak y Humahuaca</v>
      </c>
      <c r="D132" s="30" t="str">
        <f>'RESUMEN TOTAL'!J177</f>
        <v>DOMO</v>
      </c>
      <c r="E132" s="30" t="str">
        <f>'RESUMEN TOTAL'!K177</f>
        <v>PTO A FO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ESM04</v>
      </c>
      <c r="C133" t="str">
        <f>'RESUMEN TOTAL'!I178</f>
        <v>Basualdo y Bengochea</v>
      </c>
      <c r="D133" s="30" t="str">
        <f>'RESUMEN TOTAL'!J178</f>
        <v>Domo</v>
      </c>
      <c r="E133" s="30" t="str">
        <f>'RESUMEN TOTAL'!K178</f>
        <v>Fibra Optica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ESM05</v>
      </c>
      <c r="C134" t="str">
        <f>'RESUMEN TOTAL'!I179</f>
        <v>Aniceto Diaz y Villar</v>
      </c>
      <c r="D134" s="30" t="str">
        <f>'RESUMEN TOTAL'!J179</f>
        <v>Domo</v>
      </c>
      <c r="E134" s="30" t="str">
        <f>'RESUMEN TOTAL'!K179</f>
        <v>Fibra Optica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ESM06</v>
      </c>
      <c r="C135" t="str">
        <f>'RESUMEN TOTAL'!I180</f>
        <v>Roselli y Cabello</v>
      </c>
      <c r="D135" s="30" t="str">
        <f>'RESUMEN TOTAL'!J180</f>
        <v>Domo</v>
      </c>
      <c r="E135" s="30" t="str">
        <f>'RESUMEN TOTAL'!K180</f>
        <v>GPON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LA ESMERALDA</v>
      </c>
      <c r="B136" t="str">
        <f>'RESUMEN TOTAL'!G181</f>
        <v>ESM07</v>
      </c>
      <c r="C136" t="str">
        <f>'RESUMEN TOTAL'!I181</f>
        <v>AV. NOVAK Y SERRANO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LA ESMERALDA</v>
      </c>
      <c r="B137" t="str">
        <f>'RESUMEN TOTAL'!G182</f>
        <v>ESM 08</v>
      </c>
      <c r="C137" t="str">
        <f>'RESUMEN TOTAL'!I182</f>
        <v>DAVINSON Y MORANCHEL</v>
      </c>
      <c r="D137" s="30" t="str">
        <f>'RESUMEN TOTAL'!J182</f>
        <v>FIJA</v>
      </c>
      <c r="E137" s="30" t="str">
        <f>'RESUMEN TOTAL'!K182</f>
        <v>Radio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ESM09 (fija 1)</v>
      </c>
      <c r="C138" t="str">
        <f>'RESUMEN TOTAL'!I183</f>
        <v>EEUU Y CABELLO</v>
      </c>
      <c r="D138" s="30" t="str">
        <f>'RESUMEN TOTAL'!J183</f>
        <v>Fija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ESM10 (fija 2)</v>
      </c>
      <c r="C139" t="str">
        <f>'RESUMEN TOTAL'!I184</f>
        <v>EEUU Y CABELLO</v>
      </c>
      <c r="D139" s="30" t="str">
        <f>'RESUMEN TOTAL'!J184</f>
        <v>Fija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ESM11 (fija 1)</v>
      </c>
      <c r="C140" t="str">
        <f>'RESUMEN TOTAL'!I185</f>
        <v>NOVAK Y LAMBARDI</v>
      </c>
      <c r="D140" s="30" t="str">
        <f>'RESUMEN TOTAL'!J185</f>
        <v>Fija</v>
      </c>
      <c r="E140" s="30" t="str">
        <f>'RESUMEN TOTAL'!K185</f>
        <v>Fibra Optica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>
        <f>'RESUMEN TOTAL'!Y185</f>
        <v>0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ESM12 (fija 2)</v>
      </c>
      <c r="C141" t="str">
        <f>'RESUMEN TOTAL'!I186</f>
        <v>NOVAK Y LAMBARDI</v>
      </c>
      <c r="D141" s="30" t="str">
        <f>'RESUMEN TOTAL'!J186</f>
        <v>Fija</v>
      </c>
      <c r="E141" s="30" t="str">
        <f>'RESUMEN TOTAL'!K186</f>
        <v>Fibra Optica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 13</v>
      </c>
      <c r="C142" t="str">
        <f>'RESUMEN TOTAL'!I187</f>
        <v>Barzi y Serrano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 14</v>
      </c>
      <c r="C143" t="str">
        <f>'RESUMEN TOTAL'!I188</f>
        <v>Barzi y Serrano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 15</v>
      </c>
      <c r="C144" t="str">
        <f>'RESUMEN TOTAL'!I189</f>
        <v>Basualdo y Lieja</v>
      </c>
      <c r="D144" s="30" t="str">
        <f>'RESUMEN TOTAL'!J189</f>
        <v>Fija</v>
      </c>
      <c r="E144" s="30" t="str">
        <f>'RESUMEN TOTAL'!K189</f>
        <v>Fibra Optica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 t="str">
        <f>'RESUMEN TOTAL'!V189</f>
        <v>APAGADO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 16</v>
      </c>
      <c r="C145" t="str">
        <f>'RESUMEN TOTAL'!I190</f>
        <v>Basualdo y Lieja</v>
      </c>
      <c r="D145" s="30" t="str">
        <f>'RESUMEN TOTAL'!J190</f>
        <v>Fija</v>
      </c>
      <c r="E145" s="30" t="str">
        <f>'RESUMEN TOTAL'!K190</f>
        <v>Fibra Optica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 t="str">
        <f>'RESUMEN TOTAL'!V190</f>
        <v>APAGADO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INGENIERO ALLAN</v>
      </c>
      <c r="B146" t="str">
        <f>'RESUMEN TOTAL'!G197</f>
        <v>INA 01</v>
      </c>
      <c r="C146" t="str">
        <f>'RESUMEN TOTAL'!I197</f>
        <v>1138 Y 1155</v>
      </c>
      <c r="D146" s="30" t="str">
        <f>'RESUMEN TOTAL'!J197</f>
        <v>DOMO</v>
      </c>
      <c r="E146" s="30" t="str">
        <f>'RESUMEN TOTAL'!K197</f>
        <v>Fibra Optica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INGENIERO ALLAN</v>
      </c>
      <c r="B147" t="str">
        <f>'RESUMEN TOTAL'!G198</f>
        <v>INA 02</v>
      </c>
      <c r="C147" t="str">
        <f>'RESUMEN TOTAL'!I198</f>
        <v>1144 Y 1155</v>
      </c>
      <c r="D147" s="30" t="str">
        <f>'RESUMEN TOTAL'!J198</f>
        <v>DOMO</v>
      </c>
      <c r="E147" s="30" t="str">
        <f>'RESUMEN TOTAL'!K198</f>
        <v>Fibra Optica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INFICO</v>
      </c>
      <c r="B148" t="str">
        <f>'RESUMEN TOTAL'!G199</f>
        <v>INF 01</v>
      </c>
      <c r="C148" t="str">
        <f>'RESUMEN TOTAL'!I199</f>
        <v>AV. HUDSON Y CARIBONI</v>
      </c>
      <c r="D148" s="30" t="str">
        <f>'RESUMEN TOTAL'!J199</f>
        <v>Domo</v>
      </c>
      <c r="E148" s="30" t="str">
        <f>'RESUMEN TOTAL'!K199</f>
        <v>Fibra Optica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 t="str">
        <f>'RESUMEN TOTAL'!V199</f>
        <v>APAGADO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VILLA ARGENTINA</v>
      </c>
      <c r="B149" t="str">
        <f>'RESUMEN TOTAL'!G200</f>
        <v>KM01</v>
      </c>
      <c r="C149" t="str">
        <f>'RESUMEN TOTAL'!I200</f>
        <v>Vias FFCC y La Pulperia</v>
      </c>
      <c r="D149" s="30" t="str">
        <f>'RESUMEN TOTAL'!J200</f>
        <v>DOMO</v>
      </c>
      <c r="E149" s="30" t="str">
        <f>'RESUMEN TOTAL'!K200</f>
        <v>GPON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CHACABUCO</v>
      </c>
      <c r="B150" t="str">
        <f>'RESUMEN TOTAL'!G201</f>
        <v>KM02</v>
      </c>
      <c r="C150" t="str">
        <f>'RESUMEN TOTAL'!I201</f>
        <v>Novak e/El Overo y el Mangrullo</v>
      </c>
      <c r="D150" s="30" t="str">
        <f>'RESUMEN TOTAL'!J201</f>
        <v>Domo</v>
      </c>
      <c r="E150" s="30" t="str">
        <f>'RESUMEN TOTAL'!K201</f>
        <v>GPON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KM03</v>
      </c>
      <c r="C151" t="str">
        <f>'RESUMEN TOTAL'!I202</f>
        <v>Novak y La Pulperia</v>
      </c>
      <c r="D151" s="30" t="str">
        <f>'RESUMEN TOTAL'!J202</f>
        <v>Domo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KM04</v>
      </c>
      <c r="C152" t="str">
        <f>'RESUMEN TOTAL'!I203</f>
        <v>El Ombu y El Zonda</v>
      </c>
      <c r="D152" s="30" t="str">
        <f>'RESUMEN TOTAL'!J203</f>
        <v>Domo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KM05</v>
      </c>
      <c r="C153" t="str">
        <f>'RESUMEN TOTAL'!I204</f>
        <v>El Ombu y Los Charruas</v>
      </c>
      <c r="D153" s="30" t="str">
        <f>'RESUMEN TOTAL'!J204</f>
        <v>Domo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 t="str">
        <f>'RESUMEN TOTAL'!V204</f>
        <v>APAGADO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KM06</v>
      </c>
      <c r="C154" t="str">
        <f>'RESUMEN TOTAL'!I205</f>
        <v>El Ombu y La Cautiva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>
        <f>'RESUMEN TOTAL'!V205</f>
        <v>0</v>
      </c>
      <c r="J154" s="70">
        <f>'RESUMEN TOTAL'!W205</f>
        <v>0</v>
      </c>
      <c r="K154" s="70">
        <f>'RESUMEN TOTAL'!X205</f>
        <v>0</v>
      </c>
      <c r="L154" s="70">
        <f>'RESUMEN TOTAL'!Y205</f>
        <v>0</v>
      </c>
      <c r="M154" s="70">
        <f>'RESUMEN TOTAL'!Z205</f>
        <v>0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>
        <f>'RESUMEN TOTAL'!AE205</f>
        <v>0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 t="str">
        <f>'RESUMEN TOTAL'!F206</f>
        <v>KM 26700 (JULIO A. COSTA)</v>
      </c>
      <c r="B155" t="str">
        <f>'RESUMEN TOTAL'!G206</f>
        <v>KM 07</v>
      </c>
      <c r="C155" t="str">
        <f>'RESUMEN TOTAL'!I206</f>
        <v>EL ALJIBE E/ EL ZONDA Y DON SEGUNDO SOMBRA</v>
      </c>
      <c r="D155" s="30" t="str">
        <f>'RESUMEN TOTAL'!J206</f>
        <v>DOMO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>
        <f>'RESUMEN TOTAL'!V206</f>
        <v>0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KM 26700 (JULIO A. COSTA)</v>
      </c>
      <c r="B156" t="str">
        <f>'RESUMEN TOTAL'!G207</f>
        <v>KM08 / UPA 03</v>
      </c>
      <c r="C156" t="str">
        <f>'RESUMEN TOTAL'!I207</f>
        <v>LOS CHARRUAS Y BLANDENGUES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 t="str">
        <f>'RESUMEN TOTAL'!V207</f>
        <v>APAGADO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KM 26700 (JULIO A. COSTA)</v>
      </c>
      <c r="B157" t="str">
        <f>'RESUMEN TOTAL'!G208</f>
        <v>KM09 / UPA 1</v>
      </c>
      <c r="C157" t="str">
        <f>'RESUMEN TOTAL'!I208</f>
        <v>NOVAK Y LA POSTA</v>
      </c>
      <c r="D157" s="30" t="str">
        <f>'RESUMEN TOTAL'!J208</f>
        <v>DOMO</v>
      </c>
      <c r="E157" s="30" t="str">
        <f>'RESUMEN TOTAL'!K208</f>
        <v>PTO A FO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 10 / UPA 2</v>
      </c>
      <c r="C158" t="str">
        <f>'RESUMEN TOTAL'!I209</f>
        <v>PLAYA DE ESTACIONAMIENTO INTERNA E/ HOSP. MODULAR Y UPA 11.</v>
      </c>
      <c r="D158" s="30" t="str">
        <f>'RESUMEN TOTAL'!J209</f>
        <v>DOMO</v>
      </c>
      <c r="E158" s="30" t="str">
        <f>'RESUMEN TOTAL'!K209</f>
        <v>GPON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KM11</v>
      </c>
      <c r="C159" t="str">
        <f>'RESUMEN TOTAL'!I210</f>
        <v>NOVAK Y EL OVERO</v>
      </c>
      <c r="D159" s="30" t="str">
        <f>'RESUMEN TOTAL'!J210</f>
        <v>DOMO</v>
      </c>
      <c r="E159" s="30" t="str">
        <f>'RESUMEN TOTAL'!K210</f>
        <v>Fibra Optica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 12 FIJA 1</v>
      </c>
      <c r="C160" t="str">
        <f>'RESUMEN TOTAL'!I211</f>
        <v>BLANDENGUES Y LA ZAMBA</v>
      </c>
      <c r="D160" s="30" t="str">
        <f>'RESUMEN TOTAL'!J211</f>
        <v>Fija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>
        <f>'RESUMEN TOTAL'!V211</f>
        <v>0</v>
      </c>
      <c r="J160" s="70">
        <f>'RESUMEN TOTAL'!W211</f>
        <v>0</v>
      </c>
      <c r="K160" s="70">
        <f>'RESUMEN TOTAL'!X211</f>
        <v>0</v>
      </c>
      <c r="L160" s="70">
        <f>'RESUMEN TOTAL'!Y211</f>
        <v>0</v>
      </c>
      <c r="M160" s="70">
        <f>'RESUMEN TOTAL'!Z211</f>
        <v>0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 13 FIJA 2</v>
      </c>
      <c r="C161" t="str">
        <f>'RESUMEN TOTAL'!I212</f>
        <v>BLANDENGUES Y LA ZAMBA</v>
      </c>
      <c r="D161" s="30" t="str">
        <f>'RESUMEN TOTAL'!J212</f>
        <v>Fija</v>
      </c>
      <c r="E161" s="30" t="str">
        <f>'RESUMEN TOTAL'!K212</f>
        <v>PTO A FO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 14 (fija 1)</v>
      </c>
      <c r="C162" t="str">
        <f>'RESUMEN TOTAL'!I213</f>
        <v>EL GAUCHO Y EL ZONDA</v>
      </c>
      <c r="D162" s="30" t="str">
        <f>'RESUMEN TOTAL'!J213</f>
        <v>Fija</v>
      </c>
      <c r="E162" s="30" t="str">
        <f>'RESUMEN TOTAL'!K213</f>
        <v>PTO A FO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>
        <f>'RESUMEN TOTAL'!V213</f>
        <v>0</v>
      </c>
      <c r="J162" s="70">
        <f>'RESUMEN TOTAL'!W213</f>
        <v>0</v>
      </c>
      <c r="K162" s="70">
        <f>'RESUMEN TOTAL'!X213</f>
        <v>0</v>
      </c>
      <c r="L162" s="70">
        <f>'RESUMEN TOTAL'!Y213</f>
        <v>0</v>
      </c>
      <c r="M162" s="70">
        <f>'RESUMEN TOTAL'!Z213</f>
        <v>0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 15 (fija 2)</v>
      </c>
      <c r="C163" t="str">
        <f>'RESUMEN TOTAL'!I214</f>
        <v>EL GAUCHO Y EL ZONDA</v>
      </c>
      <c r="D163" s="30" t="str">
        <f>'RESUMEN TOTAL'!J214</f>
        <v>Fija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 16 (fija 1)</v>
      </c>
      <c r="C164" t="str">
        <f>'RESUMEN TOTAL'!I215</f>
        <v>EL GAUCHO Y MARTIN FIERRO</v>
      </c>
      <c r="D164" s="30" t="str">
        <f>'RESUMEN TOTAL'!J215</f>
        <v>Fija</v>
      </c>
      <c r="E164" s="30" t="str">
        <f>'RESUMEN TOTAL'!K215</f>
        <v>PTO A FO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 17 (fija 2)</v>
      </c>
      <c r="C165" t="str">
        <f>'RESUMEN TOTAL'!I216</f>
        <v>EL GAUCHO Y MARTIN FIERRO</v>
      </c>
      <c r="D165" s="30" t="str">
        <f>'RESUMEN TOTAL'!J216</f>
        <v>Fija</v>
      </c>
      <c r="E165" s="30" t="str">
        <f>'RESUMEN TOTAL'!K216</f>
        <v>PTO A FO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 18</v>
      </c>
      <c r="C166" t="str">
        <f>'RESUMEN TOTAL'!I217</f>
        <v>PULPERIA Y EL ALJIBE</v>
      </c>
      <c r="D166" s="30" t="str">
        <f>'RESUMEN TOTAL'!J217</f>
        <v>Domo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 t="str">
        <f>'RESUMEN TOTAL'!V217</f>
        <v>APAGADO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01</v>
      </c>
      <c r="C167" t="str">
        <f>'RESUMEN TOTAL'!I221</f>
        <v>ILLIA Y BOUREL</v>
      </c>
      <c r="D167" s="30" t="str">
        <f>'RESUMEN TOTAL'!J221</f>
        <v>DOMO</v>
      </c>
      <c r="E167" s="30" t="str">
        <f>'RESUMEN TOTAL'!K221</f>
        <v>PTO A FO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>
        <f>'RESUMEN TOTAL'!V221</f>
        <v>0</v>
      </c>
      <c r="J167" s="70">
        <f>'RESUMEN TOTAL'!W221</f>
        <v>0</v>
      </c>
      <c r="K167" s="70">
        <f>'RESUMEN TOTAL'!X221</f>
        <v>0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02</v>
      </c>
      <c r="C168" t="str">
        <f>'RESUMEN TOTAL'!I222</f>
        <v>LAS HERAS Y EDISON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 t="str">
        <f>'RESUMEN TOTAL'!V222</f>
        <v>APAGADO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LOMAS DE MONTEVERDE</v>
      </c>
      <c r="B169" t="str">
        <f>'RESUMEN TOTAL'!G223</f>
        <v>LDM 03</v>
      </c>
      <c r="C169" t="str">
        <f>'RESUMEN TOTAL'!I223</f>
        <v>LAS HERAS Y FRANKLIN</v>
      </c>
      <c r="D169" s="30" t="str">
        <f>'RESUMEN TOTAL'!J223</f>
        <v>DOMO</v>
      </c>
      <c r="E169" s="30" t="str">
        <f>'RESUMEN TOTAL'!K223</f>
        <v>GPON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 t="str">
        <f>'RESUMEN TOTAL'!V223</f>
        <v>APAGADO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LIBERTAD</v>
      </c>
      <c r="B170" t="str">
        <f>'RESUMEN TOTAL'!G226</f>
        <v>LIBER 01</v>
      </c>
      <c r="C170" t="str">
        <f>'RESUMEN TOTAL'!I226</f>
        <v>511 Y 574 FIJA 01</v>
      </c>
      <c r="D170" s="30" t="str">
        <f>'RESUMEN TOTAL'!J226</f>
        <v>Fija</v>
      </c>
      <c r="E170" s="30" t="str">
        <f>'RESUMEN TOTAL'!K226</f>
        <v>Radio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LIBERTAD</v>
      </c>
      <c r="B171" t="str">
        <f>'RESUMEN TOTAL'!G227</f>
        <v>LIBER 02</v>
      </c>
      <c r="C171" t="str">
        <f>'RESUMEN TOTAL'!I227</f>
        <v>511 Y 574 FIJA 02</v>
      </c>
      <c r="D171" s="30" t="str">
        <f>'RESUMEN TOTAL'!J227</f>
        <v>Fija</v>
      </c>
      <c r="E171" s="30" t="str">
        <f>'RESUMEN TOTAL'!K227</f>
        <v>Radio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z</v>
      </c>
      <c r="B172" t="str">
        <f>'RESUMEN TOTAL'!G228</f>
        <v>LPI 01</v>
      </c>
      <c r="C172" t="str">
        <f>'RESUMEN TOTAL'!I228</f>
        <v>Maipu y Posadas</v>
      </c>
      <c r="D172" s="30" t="str">
        <f>'RESUMEN TOTAL'!J228</f>
        <v>Domo</v>
      </c>
      <c r="E172" s="30" t="str">
        <f>'RESUMEN TOTAL'!K228</f>
        <v>PTO A FO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CHACABUCO</v>
      </c>
      <c r="B173" t="str">
        <f>'RESUMEN TOTAL'!G229</f>
        <v>LPI02</v>
      </c>
      <c r="C173" t="str">
        <f>'RESUMEN TOTAL'!I229</f>
        <v>EE.UU y Ayacucho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LPI03 (fija 2)</v>
      </c>
      <c r="C174" t="str">
        <f>'RESUMEN TOTAL'!I230</f>
        <v>MAIPU Y POSADAS</v>
      </c>
      <c r="D174" s="30" t="str">
        <f>'RESUMEN TOTAL'!J230</f>
        <v>Fija</v>
      </c>
      <c r="E174" s="30" t="str">
        <f>'RESUMEN TOTAL'!K230</f>
        <v>Fibra Optica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LPI04 (fija 1)</v>
      </c>
      <c r="C175" t="str">
        <f>'RESUMEN TOTAL'!I231</f>
        <v>MAIPU Y POSADAS</v>
      </c>
      <c r="D175" s="30" t="str">
        <f>'RESUMEN TOTAL'!J231</f>
        <v>FIJA</v>
      </c>
      <c r="E175" s="30" t="str">
        <f>'RESUMEN TOTAL'!K231</f>
        <v>Fibra Optica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>
        <f>'RESUMEN TOTAL'!V231</f>
        <v>0</v>
      </c>
      <c r="J175" s="70">
        <f>'RESUMEN TOTAL'!W231</f>
        <v>0</v>
      </c>
      <c r="K175" s="70">
        <f>'RESUMEN TOTAL'!X231</f>
        <v>0</v>
      </c>
      <c r="L175" s="70">
        <f>'RESUMEN TOTAL'!Y231</f>
        <v>0</v>
      </c>
      <c r="M175" s="70">
        <f>'RESUMEN TOTAL'!Z231</f>
        <v>0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 01</v>
      </c>
      <c r="C176" t="str">
        <f>'RESUMEN TOTAL'!I236</f>
        <v>EVA PERON E/ CACHEUTA Y 1406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LOS PILARES</v>
      </c>
      <c r="B177" t="str">
        <f>'RESUMEN TOTAL'!G237</f>
        <v>LPR02 (fija 1)</v>
      </c>
      <c r="C177" t="str">
        <f>'RESUMEN TOTAL'!I237</f>
        <v>EVA PERON Y CACHEUTA</v>
      </c>
      <c r="D177" s="30" t="str">
        <f>'RESUMEN TOTAL'!J237</f>
        <v>Fija</v>
      </c>
      <c r="E177" s="30" t="str">
        <f>'RESUMEN TOTAL'!K237</f>
        <v>GPON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LOS PILARES</v>
      </c>
      <c r="B178" t="str">
        <f>'RESUMEN TOTAL'!G238</f>
        <v>LPR03 (fija 2)</v>
      </c>
      <c r="C178" t="str">
        <f>'RESUMEN TOTAL'!I238</f>
        <v>EVA PERON Y CACHEUTA</v>
      </c>
      <c r="D178" s="30" t="str">
        <f>'RESUMEN TOTAL'!J238</f>
        <v>Fija</v>
      </c>
      <c r="E178" s="30" t="str">
        <f>'RESUMEN TOTAL'!K238</f>
        <v>GPON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05</v>
      </c>
      <c r="C179" t="str">
        <f>'RESUMEN TOTAL'!I240</f>
        <v>Calchaqui y Las Americas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09</v>
      </c>
      <c r="C180" t="str">
        <f>'RESUMEN TOTAL'!I241</f>
        <v>Las Americas y Braile</v>
      </c>
      <c r="D180" s="30" t="str">
        <f>'RESUMEN TOTAL'!J241</f>
        <v>Domo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 10</v>
      </c>
      <c r="C181" t="str">
        <f>'RESUMEN TOTAL'!I242</f>
        <v>Con. Gral. Belgrano y Balcarce</v>
      </c>
      <c r="D181" s="30" t="str">
        <f>'RESUMEN TOTAL'!J242</f>
        <v>Domo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LOPEZ ROMERO</v>
      </c>
      <c r="B182" t="str">
        <f>'RESUMEN TOTAL'!G243</f>
        <v>LRO 12 (fija 1)</v>
      </c>
      <c r="C182" t="str">
        <f>'RESUMEN TOTAL'!I243</f>
        <v>LAS AMERICAS E/ BRAILLE Y ALVARADO</v>
      </c>
      <c r="D182" s="30" t="str">
        <f>'RESUMEN TOTAL'!J243</f>
        <v>Fija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 13 (fija 2)</v>
      </c>
      <c r="C183" t="str">
        <f>'RESUMEN TOTAL'!I244</f>
        <v>LAS AMERICAS E/ BRAILLE Y ALVARADO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LRO01</v>
      </c>
      <c r="C184" t="str">
        <f>'RESUMEN TOTAL'!I245</f>
        <v>H. IRIGOYEN Y BRAILE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LRO02</v>
      </c>
      <c r="C185" t="str">
        <f>'RESUMEN TOTAL'!I246</f>
        <v>H. Irigoyen e Islas Orcadas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LRO03</v>
      </c>
      <c r="C186" t="str">
        <f>'RESUMEN TOTAL'!I247</f>
        <v>H. Irigoyen y Parravicini</v>
      </c>
      <c r="D186" s="30" t="str">
        <f>'RESUMEN TOTAL'!J247</f>
        <v>Fija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LRO04</v>
      </c>
      <c r="C187" t="str">
        <f>'RESUMEN TOTAL'!I248</f>
        <v>H. Irigoyen y Alvarado</v>
      </c>
      <c r="D187" s="30" t="str">
        <f>'RESUMEN TOTAL'!J248</f>
        <v>FIJA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>
        <f>'RESUMEN TOTAL'!V248</f>
        <v>0</v>
      </c>
      <c r="J187" s="70">
        <f>'RESUMEN TOTAL'!W248</f>
        <v>0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PRESIDENTE SARMIENTO</v>
      </c>
      <c r="B188" t="str">
        <f>'RESUMEN TOTAL'!G249</f>
        <v>LRO06</v>
      </c>
      <c r="C188" t="str">
        <f>'RESUMEN TOTAL'!I249</f>
        <v>H. Irigoyen y Belgrano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LRO07</v>
      </c>
      <c r="C189" t="str">
        <f>'RESUMEN TOTAL'!I250</f>
        <v>H. Irigoyen y Remedios de Escalada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>
        <f>'RESUMEN TOTAL'!V250</f>
        <v>0</v>
      </c>
      <c r="J189" s="70">
        <f>'RESUMEN TOTAL'!W250</f>
        <v>0</v>
      </c>
      <c r="K189" s="70">
        <f>'RESUMEN TOTAL'!X250</f>
        <v>0</v>
      </c>
      <c r="L189" s="70">
        <f>'RESUMEN TOTAL'!Y250</f>
        <v>0</v>
      </c>
      <c r="M189" s="70">
        <f>'RESUMEN TOTAL'!Z250</f>
        <v>0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LRO08</v>
      </c>
      <c r="C190" t="str">
        <f>'RESUMEN TOTAL'!I251</f>
        <v>Remedios de Escalada y Finochieto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>
        <f>'RESUMEN TOTAL'!W251</f>
        <v>0</v>
      </c>
      <c r="K190" s="70">
        <f>'RESUMEN TOTAL'!X251</f>
        <v>0</v>
      </c>
      <c r="L190" s="70">
        <f>'RESUMEN TOTAL'!Y251</f>
        <v>0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LOPEZ ROMERO</v>
      </c>
      <c r="B191" t="str">
        <f>'RESUMEN TOTAL'!G252</f>
        <v>LRO11</v>
      </c>
      <c r="C191" t="str">
        <f>'RESUMEN TOTAL'!I252</f>
        <v>Av. Yrigoyen y Braile</v>
      </c>
      <c r="D191" s="30" t="str">
        <f>'RESUMEN TOTAL'!J252</f>
        <v>Domo</v>
      </c>
      <c r="E191" s="30" t="str">
        <f>'RESUMEN TOTAL'!K252</f>
        <v>Fibra Optica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LOPEZ ROMERO</v>
      </c>
      <c r="B192" t="str">
        <f>'RESUMEN TOTAL'!G253</f>
        <v>LRO14</v>
      </c>
      <c r="C192" t="str">
        <f>'RESUMEN TOTAL'!I253</f>
        <v>YRIGOYEN Y STORNI</v>
      </c>
      <c r="D192" s="30" t="str">
        <f>'RESUMEN TOTAL'!J253</f>
        <v>DOMO</v>
      </c>
      <c r="E192" s="30" t="str">
        <f>'RESUMEN TOTAL'!K253</f>
        <v>Fibra Optica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>
        <f>'RESUMEN TOTAL'!W253</f>
        <v>0</v>
      </c>
      <c r="K192" s="70">
        <f>'RESUMEN TOTAL'!X253</f>
        <v>0</v>
      </c>
      <c r="L192" s="70">
        <f>'RESUMEN TOTAL'!Y253</f>
        <v>0</v>
      </c>
      <c r="M192" s="70">
        <f>'RESUMEN TOTAL'!Z253</f>
        <v>0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LOPEZ ROMERO</v>
      </c>
      <c r="B193" t="str">
        <f>'RESUMEN TOTAL'!G254</f>
        <v>LRO15</v>
      </c>
      <c r="C193" t="str">
        <f>'RESUMEN TOTAL'!I254</f>
        <v>BRAILE Y FINOCCHIETTO</v>
      </c>
      <c r="D193" s="30" t="str">
        <f>'RESUMEN TOTAL'!J254</f>
        <v>DOMO</v>
      </c>
      <c r="E193" s="30" t="str">
        <f>'RESUMEN TOTAL'!K254</f>
        <v>Fibra Optica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>
        <f>'RESUMEN TOTAL'!W254</f>
        <v>0</v>
      </c>
      <c r="K193" s="70">
        <f>'RESUMEN TOTAL'!X254</f>
        <v>0</v>
      </c>
      <c r="L193" s="70">
        <f>'RESUMEN TOTAL'!Y254</f>
        <v>0</v>
      </c>
      <c r="M193" s="70">
        <f>'RESUMEN TOTAL'!Z254</f>
        <v>0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 01</v>
      </c>
      <c r="C194" t="str">
        <f>'RESUMEN TOTAL'!I255</f>
        <v>ñandu y Los Pinos</v>
      </c>
      <c r="D194" s="30" t="str">
        <f>'RESUMEN TOTAL'!J255</f>
        <v>Domo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>
        <f>'RESUMEN TOTAL'!V255</f>
        <v>0</v>
      </c>
      <c r="J194" s="70">
        <f>'RESUMEN TOTAL'!W255</f>
        <v>0</v>
      </c>
      <c r="K194" s="70">
        <f>'RESUMEN TOTAL'!X255</f>
        <v>0</v>
      </c>
      <c r="L194" s="70">
        <f>'RESUMEN TOTAL'!Y255</f>
        <v>0</v>
      </c>
      <c r="M194" s="70">
        <f>'RESUMEN TOTAL'!Z255</f>
        <v>0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VILLA ARGENTINA</v>
      </c>
      <c r="B195" t="str">
        <f>'RESUMEN TOTAL'!G256</f>
        <v>LUJ 02</v>
      </c>
      <c r="C195" t="str">
        <f>'RESUMEN TOTAL'!I256</f>
        <v>DIAG. LOS TILOS Y 527</v>
      </c>
      <c r="D195" s="30" t="str">
        <f>'RESUMEN TOTAL'!J256</f>
        <v>DOMO</v>
      </c>
      <c r="E195" s="30" t="str">
        <f>'RESUMEN TOTAL'!K256</f>
        <v>PTO A FO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 t="str">
        <f>'RESUMEN TOTAL'!V256</f>
        <v>APAGADO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LUJ03</v>
      </c>
      <c r="C196" t="str">
        <f>'RESUMEN TOTAL'!I257</f>
        <v>LOS PINOS Y LOS TILOS</v>
      </c>
      <c r="D196" s="30" t="str">
        <f>'RESUMEN TOTAL'!J257</f>
        <v>DOMO</v>
      </c>
      <c r="E196" s="30" t="str">
        <f>'RESUMEN TOTAL'!K257</f>
        <v>Fibra Optica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 t="str">
        <f>'RESUMEN TOTAL'!V257</f>
        <v>APAGADO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PRESIDENTE PERON (PEPSI)</v>
      </c>
      <c r="B197" t="str">
        <f>'RESUMEN TOTAL'!G261</f>
        <v>MAR 01</v>
      </c>
      <c r="C197" t="str">
        <f>'RESUMEN TOTAL'!I261</f>
        <v>RP36 Y LA ESMERALDA</v>
      </c>
      <c r="D197" s="30" t="str">
        <f>'RESUMEN TOTAL'!J261</f>
        <v>DOMO</v>
      </c>
      <c r="E197" s="30" t="str">
        <f>'RESUMEN TOTAL'!K261</f>
        <v>GPON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RICARDO ROJAS</v>
      </c>
      <c r="B198" t="str">
        <f>'RESUMEN TOTAL'!G262</f>
        <v>MAR 02 (FIJA1)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 t="str">
        <f>'RESUMEN TOTAL'!F263</f>
        <v>LAS MARGARITAS</v>
      </c>
      <c r="B199" t="str">
        <f>'RESUMEN TOTAL'!G263</f>
        <v>MAR 03 (FIJA 2)</v>
      </c>
      <c r="C199" t="str">
        <f>'RESUMEN TOTAL'!I263</f>
        <v>LUJAN Y PATAGONES</v>
      </c>
      <c r="D199" s="30" t="str">
        <f>'RESUMEN TOTAL'!J263</f>
        <v>Fija</v>
      </c>
      <c r="E199" s="30" t="str">
        <f>'RESUMEN TOTAL'!K263</f>
        <v>Fibra Optica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01</v>
      </c>
      <c r="C200" t="str">
        <f>'RESUMEN TOTAL'!I266</f>
        <v>Eva Peron y Cabildo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02</v>
      </c>
      <c r="C201" t="str">
        <f>'RESUMEN TOTAL'!I267</f>
        <v>EVA PERON Y MONTEVIDEO</v>
      </c>
      <c r="D201" s="30" t="str">
        <f>'RESUMEN TOTAL'!J267</f>
        <v>Domo</v>
      </c>
      <c r="E201" s="30" t="str">
        <f>'RESUMEN TOTAL'!K267</f>
        <v>GPON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03</v>
      </c>
      <c r="C202" t="str">
        <f>'RESUMEN TOTAL'!I268</f>
        <v>CHAÑAR Y SAN NICOLAS</v>
      </c>
      <c r="D202" s="30" t="str">
        <f>'RESUMEN TOTAL'!J268</f>
        <v>DOMO</v>
      </c>
      <c r="E202" s="30" t="str">
        <f>'RESUMEN TOTAL'!K268</f>
        <v>PTO A FO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 t="str">
        <f>'RESUMEN TOTAL'!F269</f>
        <v>MAYOL</v>
      </c>
      <c r="B203" t="str">
        <f>'RESUMEN TOTAL'!G269</f>
        <v>MAY 04</v>
      </c>
      <c r="C203" t="str">
        <f>'RESUMEN TOTAL'!I269</f>
        <v>MAR CHIQUITA Y RIO JACHAL</v>
      </c>
      <c r="D203" s="30" t="str">
        <f>'RESUMEN TOTAL'!J269</f>
        <v>DOMO</v>
      </c>
      <c r="E203" s="30" t="str">
        <f>'RESUMEN TOTAL'!K269</f>
        <v>Radio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01</v>
      </c>
      <c r="C204" t="str">
        <f>'RESUMEN TOTAL'!I270</f>
        <v>TINOGASTA Y SAN LORENZO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>
        <f>'RESUMEN TOTAL'!V270</f>
        <v>0</v>
      </c>
      <c r="J204" s="70">
        <f>'RESUMEN TOTAL'!W270</f>
        <v>0</v>
      </c>
      <c r="K204" s="70">
        <f>'RESUMEN TOTAL'!X270</f>
        <v>0</v>
      </c>
      <c r="L204" s="70">
        <f>'RESUMEN TOTAL'!Y270</f>
        <v>0</v>
      </c>
      <c r="M204" s="70">
        <f>'RESUMEN TOTAL'!Z270</f>
        <v>0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>
        <f>'RESUMEN TOTAL'!F271</f>
        <v>0</v>
      </c>
      <c r="B205" t="str">
        <f>'RESUMEN TOTAL'!G271</f>
        <v>MCUD 02</v>
      </c>
      <c r="C205" t="str">
        <f>'RESUMEN TOTAL'!I271</f>
        <v>CALLE 115 A Y 158</v>
      </c>
      <c r="D205" s="30" t="str">
        <f>'RESUMEN TOTAL'!J271</f>
        <v>DOMO</v>
      </c>
      <c r="E205" s="30" t="str">
        <f>'RESUMEN TOTAL'!K271</f>
        <v>Fibra Optica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 t="str">
        <f>'RESUMEN TOTAL'!V271</f>
        <v>APAGADO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MARTIN FIERRO</v>
      </c>
      <c r="B206" t="str">
        <f>'RESUMEN TOTAL'!G272</f>
        <v>MFI 01</v>
      </c>
      <c r="C206" t="str">
        <f>'RESUMEN TOTAL'!I272</f>
        <v>Belgrano y Sgto. Cabral</v>
      </c>
      <c r="D206" s="30" t="str">
        <f>'RESUMEN TOTAL'!J272</f>
        <v>Fija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LOPEZ ROMERO</v>
      </c>
      <c r="B207" t="str">
        <f>'RESUMEN TOTAL'!G273</f>
        <v>MFI02</v>
      </c>
      <c r="C207" t="str">
        <f>'RESUMEN TOTAL'!I273</f>
        <v>Calchaqui y Balcarce</v>
      </c>
      <c r="D207" s="30" t="str">
        <f>'RESUMEN TOTAL'!J273</f>
        <v>Fija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SAN EMILIO</v>
      </c>
      <c r="B208" t="str">
        <f>'RESUMEN TOTAL'!G274</f>
        <v>MFI 03</v>
      </c>
      <c r="C208" t="str">
        <f>'RESUMEN TOTAL'!I274</f>
        <v>Cno. Gral. Belgrano y Av. del Trabajo</v>
      </c>
      <c r="D208" s="30" t="str">
        <f>'RESUMEN TOTAL'!J274</f>
        <v>Domo</v>
      </c>
      <c r="E208" s="30" t="str">
        <f>'RESUMEN TOTAL'!K274</f>
        <v>Fibra Optica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>
        <f>'RESUMEN TOTAL'!V274</f>
        <v>0</v>
      </c>
      <c r="J208" s="70">
        <f>'RESUMEN TOTAL'!W274</f>
        <v>0</v>
      </c>
      <c r="K208" s="70">
        <f>'RESUMEN TOTAL'!X274</f>
        <v>0</v>
      </c>
      <c r="L208" s="70">
        <f>'RESUMEN TOTAL'!Y274</f>
        <v>0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MFI04</v>
      </c>
      <c r="C209" t="str">
        <f>'RESUMEN TOTAL'!I275</f>
        <v>Calchaqui y balcarce</v>
      </c>
      <c r="D209" s="30" t="str">
        <f>'RESUMEN TOTAL'!J275</f>
        <v>Domo</v>
      </c>
      <c r="E209" s="30" t="str">
        <f>'RESUMEN TOTAL'!K275</f>
        <v>Fibra Optica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>
        <f>'RESUMEN TOTAL'!W275</f>
        <v>0</v>
      </c>
      <c r="K209" s="70">
        <f>'RESUMEN TOTAL'!X275</f>
        <v>0</v>
      </c>
      <c r="L209" s="70">
        <f>'RESUMEN TOTAL'!Y275</f>
        <v>0</v>
      </c>
      <c r="M209" s="70">
        <f>'RESUMEN TOTAL'!Z275</f>
        <v>0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SAN EMILIO</v>
      </c>
      <c r="B210" t="str">
        <f>'RESUMEN TOTAL'!G276</f>
        <v>MFI 05</v>
      </c>
      <c r="C210" t="str">
        <f>'RESUMEN TOTAL'!I276</f>
        <v>Cno. Gral. Belgrano y Guayaquil</v>
      </c>
      <c r="D210" s="30" t="str">
        <f>'RESUMEN TOTAL'!J276</f>
        <v>Domo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SAN EMILIO</v>
      </c>
      <c r="B211" t="str">
        <f>'RESUMEN TOTAL'!G277</f>
        <v>MFI06</v>
      </c>
      <c r="C211" t="str">
        <f>'RESUMEN TOTAL'!I277</f>
        <v>Con. Gral. Belgrano y Bombero Galarza</v>
      </c>
      <c r="D211" s="30" t="str">
        <f>'RESUMEN TOTAL'!J277</f>
        <v>DOMO</v>
      </c>
      <c r="E211" s="30" t="str">
        <f>'RESUMEN TOTAL'!K277</f>
        <v>PTO A FO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MARTIN FIERRO</v>
      </c>
      <c r="B212" t="str">
        <f>'RESUMEN TOTAL'!G278</f>
        <v>MFI 07</v>
      </c>
      <c r="C212" t="str">
        <f>'RESUMEN TOTAL'!I278</f>
        <v>Sargento Cabral y Carlos Gardel</v>
      </c>
      <c r="D212" s="30" t="str">
        <f>'RESUMEN TOTAL'!J278</f>
        <v>Domo</v>
      </c>
      <c r="E212" s="30" t="str">
        <f>'RESUMEN TOTAL'!K278</f>
        <v>GPON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 t="str">
        <f>'RESUMEN TOTAL'!V278</f>
        <v>APAGADO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MARTIN FIERRO</v>
      </c>
      <c r="B213" t="str">
        <f>'RESUMEN TOTAL'!G279</f>
        <v>MFI 08</v>
      </c>
      <c r="C213" t="str">
        <f>'RESUMEN TOTAL'!I279</f>
        <v>Braile y Batalla de Callao</v>
      </c>
      <c r="D213" s="30" t="str">
        <f>'RESUMEN TOTAL'!J279</f>
        <v>Domo</v>
      </c>
      <c r="E213" s="30" t="str">
        <f>'RESUMEN TOTAL'!K279</f>
        <v>PTO A FO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MON01</v>
      </c>
      <c r="C214" t="str">
        <f>'RESUMEN TOTAL'!I280</f>
        <v>San Martin y Patricias Argentinas</v>
      </c>
      <c r="D214" s="30" t="str">
        <f>'RESUMEN TOTAL'!J280</f>
        <v>Fija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MON02</v>
      </c>
      <c r="C215" t="str">
        <f>'RESUMEN TOTAL'!I281</f>
        <v>Senzabello y Famatina</v>
      </c>
      <c r="D215" s="30" t="str">
        <f>'RESUMEN TOTAL'!J281</f>
        <v>Domo</v>
      </c>
      <c r="E215" s="30" t="str">
        <f>'RESUMEN TOTAL'!K281</f>
        <v>Fibra Optica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MON03</v>
      </c>
      <c r="C216" t="str">
        <f>'RESUMEN TOTAL'!I282</f>
        <v>Senzabello y Guemes</v>
      </c>
      <c r="D216" s="30" t="str">
        <f>'RESUMEN TOTAL'!J282</f>
        <v>Domo</v>
      </c>
      <c r="E216" s="30" t="str">
        <f>'RESUMEN TOTAL'!K282</f>
        <v>PTO A FO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MON04</v>
      </c>
      <c r="C217" t="str">
        <f>'RESUMEN TOTAL'!I283</f>
        <v>Av. Yrigoyen y San Lorenzo</v>
      </c>
      <c r="D217" s="30" t="str">
        <f>'RESUMEN TOTAL'!J283</f>
        <v>Domo</v>
      </c>
      <c r="E217" s="30" t="str">
        <f>'RESUMEN TOTAL'!K283</f>
        <v>GPON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 01</v>
      </c>
      <c r="C218" t="str">
        <f>'RESUMEN TOTAL'!I288</f>
        <v>Sallares y Parrillo</v>
      </c>
      <c r="D218" s="30" t="str">
        <f>'RESUMEN TOTAL'!J288</f>
        <v>Domo</v>
      </c>
      <c r="E218" s="30" t="str">
        <f>'RESUMEN TOTAL'!K288</f>
        <v>Fibra Optica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 t="str">
        <f>'RESUMEN TOTAL'!V288</f>
        <v>APAGADO</v>
      </c>
      <c r="J218" s="70">
        <f>'RESUMEN TOTAL'!W288</f>
        <v>0</v>
      </c>
      <c r="K218" s="70">
        <f>'RESUMEN TOTAL'!X288</f>
        <v>0</v>
      </c>
      <c r="L218" s="70">
        <f>'RESUMEN TOTAL'!Y288</f>
        <v>0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NJU02</v>
      </c>
      <c r="C219" t="str">
        <f>'RESUMEN TOTAL'!I289</f>
        <v>Ituzaingo y Boccuzzi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9 DE JULIO</v>
      </c>
      <c r="B220" t="str">
        <f>'RESUMEN TOTAL'!G290</f>
        <v>NJU03</v>
      </c>
      <c r="C220" t="str">
        <f>'RESUMEN TOTAL'!I290</f>
        <v>San Juan y Parrillo</v>
      </c>
      <c r="D220" s="30" t="str">
        <f>'RESUMEN TOTAL'!J290</f>
        <v>Domo</v>
      </c>
      <c r="E220" s="30" t="str">
        <f>'RESUMEN TOTAL'!K290</f>
        <v>PTO A FO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9 DE JULIO</v>
      </c>
      <c r="B221" t="str">
        <f>'RESUMEN TOTAL'!G291</f>
        <v>NJU04</v>
      </c>
      <c r="C221" t="str">
        <f>'RESUMEN TOTAL'!I291</f>
        <v>Ituzaingo y 214 A</v>
      </c>
      <c r="D221" s="30" t="str">
        <f>'RESUMEN TOTAL'!J291</f>
        <v>Domo</v>
      </c>
      <c r="E221" s="30" t="str">
        <f>'RESUMEN TOTAL'!K291</f>
        <v>GPON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>
        <f>'RESUMEN TOTAL'!V291</f>
        <v>0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ZEBALLOS CENTRO</v>
      </c>
      <c r="B222" t="str">
        <f>'RESUMEN TOTAL'!G292</f>
        <v>NJU05</v>
      </c>
      <c r="C222" t="str">
        <f>'RESUMEN TOTAL'!I292</f>
        <v>Ituzaingo y Alem</v>
      </c>
      <c r="D222" s="30" t="str">
        <f>'RESUMEN TOTAL'!J292</f>
        <v>Domo</v>
      </c>
      <c r="E222" s="30" t="str">
        <f>'RESUMEN TOTAL'!K292</f>
        <v>GPON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CENTRO</v>
      </c>
      <c r="B223" t="str">
        <f>'RESUMEN TOTAL'!G293</f>
        <v>NJU06</v>
      </c>
      <c r="C223" t="str">
        <f>'RESUMEN TOTAL'!I293</f>
        <v>Sallares y Rodo</v>
      </c>
      <c r="D223" s="30" t="str">
        <f>'RESUMEN TOTAL'!J293</f>
        <v>Domo</v>
      </c>
      <c r="E223" s="30" t="str">
        <f>'RESUMEN TOTAL'!K293</f>
        <v>Fibra Optica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 t="str">
        <f>'RESUMEN TOTAL'!V293</f>
        <v>APAGADO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NJU07</v>
      </c>
      <c r="C224" t="str">
        <f>'RESUMEN TOTAL'!I294</f>
        <v>Gral. Juan Domingo Peron y Parrillo</v>
      </c>
      <c r="D224" s="30" t="str">
        <f>'RESUMEN TOTAL'!J294</f>
        <v>Domo</v>
      </c>
      <c r="E224" s="30" t="str">
        <f>'RESUMEN TOTAL'!K294</f>
        <v>Fibra Optica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9 DE JULIO</v>
      </c>
      <c r="B225" t="str">
        <f>'RESUMEN TOTAL'!G295</f>
        <v>NJU 08</v>
      </c>
      <c r="C225" t="str">
        <f>'RESUMEN TOTAL'!I295</f>
        <v>BOCCUZZI Y O HIGGINS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9 DE JULIO</v>
      </c>
      <c r="B226" t="str">
        <f>'RESUMEN TOTAL'!G296</f>
        <v>NJU09</v>
      </c>
      <c r="C226" t="str">
        <f>'RESUMEN TOTAL'!I296</f>
        <v>PARRILLO Y CONTRERAS</v>
      </c>
      <c r="D226" s="30" t="str">
        <f>'RESUMEN TOTAL'!J296</f>
        <v>DOMO</v>
      </c>
      <c r="E226" s="30" t="str">
        <f>'RESUMEN TOTAL'!K296</f>
        <v>GPON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>
        <f>'RESUMEN TOTAL'!W300</f>
        <v>0</v>
      </c>
      <c r="K227" s="70">
        <f>'RESUMEN TOTAL'!X300</f>
        <v>0</v>
      </c>
      <c r="L227" s="70">
        <f>'RESUMEN TOTAL'!Y300</f>
        <v>0</v>
      </c>
      <c r="M227" s="70">
        <f>'RESUMEN TOTAL'!Z300</f>
        <v>0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>
        <f>'RESUMEN TOTAL'!W301</f>
        <v>0</v>
      </c>
      <c r="K228" s="70">
        <f>'RESUMEN TOTAL'!X301</f>
        <v>0</v>
      </c>
      <c r="L228" s="70">
        <f>'RESUMEN TOTAL'!Y301</f>
        <v>0</v>
      </c>
      <c r="M228" s="70">
        <f>'RESUMEN TOTAL'!Z301</f>
        <v>0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>
        <f>'RESUMEN TOTAL'!W302</f>
        <v>0</v>
      </c>
      <c r="K229" s="70">
        <f>'RESUMEN TOTAL'!X302</f>
        <v>0</v>
      </c>
      <c r="L229" s="70">
        <f>'RESUMEN TOTAL'!Y302</f>
        <v>0</v>
      </c>
      <c r="M229" s="70">
        <f>'RESUMEN TOTAL'!Z302</f>
        <v>0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>
        <f>'RESUMEN TOTAL'!W303</f>
        <v>0</v>
      </c>
      <c r="K230" s="70">
        <f>'RESUMEN TOTAL'!X303</f>
        <v>0</v>
      </c>
      <c r="L230" s="70">
        <f>'RESUMEN TOTAL'!Y303</f>
        <v>0</v>
      </c>
      <c r="M230" s="70">
        <f>'RESUMEN TOTAL'!Z303</f>
        <v>0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>
        <f>'RESUMEN TOTAL'!W304</f>
        <v>0</v>
      </c>
      <c r="K231" s="70">
        <f>'RESUMEN TOTAL'!X304</f>
        <v>0</v>
      </c>
      <c r="L231" s="70">
        <f>'RESUMEN TOTAL'!Y304</f>
        <v>0</v>
      </c>
      <c r="M231" s="70">
        <f>'RESUMEN TOTAL'!Z304</f>
        <v>0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AGUSTIN RAMIREZ</v>
      </c>
      <c r="B234" t="str">
        <f>'RESUMEN TOTAL'!G307</f>
        <v>PUNTO SEGURO AGUSTIN RAMIREZ INTERCOMUNICADOR</v>
      </c>
      <c r="C234" t="str">
        <f>'RESUMEN TOTAL'!I307</f>
        <v>MALAMBO Y LA TRANQUERA</v>
      </c>
      <c r="D234" s="30" t="str">
        <f>'RESUMEN TOTAL'!J307</f>
        <v>Fija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>
        <f>'RESUMEN TOTAL'!V307</f>
        <v>0</v>
      </c>
      <c r="J234" s="70">
        <f>'RESUMEN TOTAL'!W307</f>
        <v>0</v>
      </c>
      <c r="K234" s="70">
        <f>'RESUMEN TOTAL'!X307</f>
        <v>0</v>
      </c>
      <c r="L234" s="70">
        <f>'RESUMEN TOTAL'!Y307</f>
        <v>0</v>
      </c>
      <c r="M234" s="70">
        <f>'RESUMEN TOTAL'!Z307</f>
        <v>0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(domo)</v>
      </c>
      <c r="C235" t="str">
        <f>'RESUMEN TOTAL'!I308</f>
        <v>CALLE 1282 Y 1201</v>
      </c>
      <c r="D235" s="30" t="str">
        <f>'RESUMEN TOTAL'!J308</f>
        <v>DOMO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>
        <f>'RESUMEN TOTAL'!W308</f>
        <v>0</v>
      </c>
      <c r="K235" s="70">
        <f>'RESUMEN TOTAL'!X308</f>
        <v>0</v>
      </c>
      <c r="L235" s="70">
        <f>'RESUMEN TOTAL'!Y308</f>
        <v>0</v>
      </c>
      <c r="M235" s="70">
        <f>'RESUMEN TOTAL'!Z308</f>
        <v>0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(fija)</v>
      </c>
      <c r="C236" t="str">
        <f>'RESUMEN TOTAL'!I309</f>
        <v>CALLE 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 t="str">
        <f>'RESUMEN TOTAL'!V309</f>
        <v>APAGADO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EL PARQUE</v>
      </c>
      <c r="B237" t="str">
        <f>'RESUMEN TOTAL'!G310</f>
        <v>PUNTO SEGURO - EL PARQUE INTERCOMUNICADOR</v>
      </c>
      <c r="C237" t="str">
        <f>'RESUMEN TOTAL'!I310</f>
        <v>1282 Y 1201</v>
      </c>
      <c r="D237" s="30" t="str">
        <f>'RESUMEN TOTAL'!J310</f>
        <v>Fija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>
        <f>'RESUMEN TOTAL'!V310</f>
        <v>0</v>
      </c>
      <c r="J237" s="70">
        <f>'RESUMEN TOTAL'!W310</f>
        <v>0</v>
      </c>
      <c r="K237" s="70">
        <f>'RESUMEN TOTAL'!X310</f>
        <v>0</v>
      </c>
      <c r="L237" s="70">
        <f>'RESUMEN TOTAL'!Y310</f>
        <v>0</v>
      </c>
      <c r="M237" s="70">
        <f>'RESUMEN TOTAL'!Z310</f>
        <v>0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>
        <f>'RESUMEN TOTAL'!W312</f>
        <v>0</v>
      </c>
      <c r="K239" s="70">
        <f>'RESUMEN TOTAL'!X312</f>
        <v>0</v>
      </c>
      <c r="L239" s="70">
        <f>'RESUMEN TOTAL'!Y312</f>
        <v>0</v>
      </c>
      <c r="M239" s="70">
        <f>'RESUMEN TOTAL'!Z312</f>
        <v>0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INGENIERO ALLAN</v>
      </c>
      <c r="B240" t="str">
        <f>'RESUMEN TOTAL'!G313</f>
        <v>PUNTO SEGURO - ING ALLAN INTERCOMUNICADOR</v>
      </c>
      <c r="C240" t="str">
        <f>'RESUMEN TOTAL'!I313</f>
        <v>DIAG LOS YAGANES Y 1148</v>
      </c>
      <c r="D240" s="30" t="str">
        <f>'RESUMEN TOTAL'!J313</f>
        <v>Domo</v>
      </c>
      <c r="E240" s="30" t="str">
        <f>'RESUMEN TOTAL'!K313</f>
        <v>Fibra Optica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 t="str">
        <f>'RESUMEN TOTAL'!V313</f>
        <v>APAGADO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LUJAN</v>
      </c>
      <c r="B241" t="str">
        <f>'RESUMEN TOTAL'!G314</f>
        <v>PUNTO SEGURO - LUJAN (fija)</v>
      </c>
      <c r="C241" t="str">
        <f>'RESUMEN TOTAL'!I314</f>
        <v>DIAG. LOS TILOS Y LOS ALGARROBOS</v>
      </c>
      <c r="D241" s="30" t="str">
        <f>'RESUMEN TOTAL'!J314</f>
        <v>Fija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LUJAN</v>
      </c>
      <c r="B242" t="str">
        <f>'RESUMEN TOTAL'!G315</f>
        <v>PUNTO SEGURO LUJAN (domo)</v>
      </c>
      <c r="C242" t="str">
        <f>'RESUMEN TOTAL'!I315</f>
        <v>DIAG. LOS TILOS Y LOS ALGARROBOS</v>
      </c>
      <c r="D242" s="30" t="str">
        <f>'RESUMEN TOTAL'!J315</f>
        <v>DOMO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LUJAN</v>
      </c>
      <c r="B243" t="str">
        <f>'RESUMEN TOTAL'!G316</f>
        <v>PUNTO SEGURO LUJAN INTERCOMUNICADOR</v>
      </c>
      <c r="C243" t="str">
        <f>'RESUMEN TOTAL'!I316</f>
        <v>DIAG LOS TILOS Y LOS ALGARROBOS</v>
      </c>
      <c r="D243" s="30" t="str">
        <f>'RESUMEN TOTAL'!J316</f>
        <v>Fija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ZONA RURAL SANTA ROSA</v>
      </c>
      <c r="B244" t="str">
        <f>'RESUMEN TOTAL'!G317</f>
        <v>PUNTO SEGURO - PICO DE ORO (domo)</v>
      </c>
      <c r="C244" t="str">
        <f>'RESUMEN TOTAL'!I317</f>
        <v>PISANI Y BULGARIA</v>
      </c>
      <c r="D244" s="30" t="str">
        <f>'RESUMEN TOTAL'!J317</f>
        <v>DOMO</v>
      </c>
      <c r="E244" s="30" t="str">
        <f>'RESUMEN TOTAL'!K317</f>
        <v>Fibra Optica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>
        <f>'RESUMEN TOTAL'!V317</f>
        <v>0</v>
      </c>
      <c r="J244" s="70">
        <f>'RESUMEN TOTAL'!W317</f>
        <v>0</v>
      </c>
      <c r="K244" s="70">
        <f>'RESUMEN TOTAL'!X317</f>
        <v>0</v>
      </c>
      <c r="L244" s="70">
        <f>'RESUMEN TOTAL'!Y317</f>
        <v>0</v>
      </c>
      <c r="M244" s="70">
        <f>'RESUMEN TOTAL'!Z317</f>
        <v>0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ZONA RURAL SANTA ROSA</v>
      </c>
      <c r="B245" t="str">
        <f>'RESUMEN TOTAL'!G318</f>
        <v>PUNTO SEGURO - PICO DE ORO (fija)</v>
      </c>
      <c r="C245" t="str">
        <f>'RESUMEN TOTAL'!I318</f>
        <v>PISANI Y BULGARIA</v>
      </c>
      <c r="D245" s="30" t="str">
        <f>'RESUMEN TOTAL'!J318</f>
        <v>Fija</v>
      </c>
      <c r="E245" s="30" t="str">
        <f>'RESUMEN TOTAL'!K318</f>
        <v>Fibra Optica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ZONA RURAL SANTA ROSA</v>
      </c>
      <c r="B246" t="str">
        <f>'RESUMEN TOTAL'!G319</f>
        <v>PUNTO SEGURO PICO DE ORO INTERCOMUNICADOR</v>
      </c>
      <c r="C246" t="str">
        <f>'RESUMEN TOTAL'!I319</f>
        <v>PISANI Y BULGARIA</v>
      </c>
      <c r="D246" s="30" t="str">
        <f>'RESUMEN TOTAL'!J319</f>
        <v>Domo</v>
      </c>
      <c r="E246" s="30" t="str">
        <f>'RESUMEN TOTAL'!K319</f>
        <v>Fibra Optica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>
        <f>'RESUMEN TOTAL'!V319</f>
        <v>0</v>
      </c>
      <c r="J246" s="70">
        <f>'RESUMEN TOTAL'!W319</f>
        <v>0</v>
      </c>
      <c r="K246" s="70">
        <f>'RESUMEN TOTAL'!X319</f>
        <v>0</v>
      </c>
      <c r="L246" s="70">
        <f>'RESUMEN TOTAL'!Y319</f>
        <v>0</v>
      </c>
      <c r="M246" s="70">
        <f>'RESUMEN TOTAL'!Z319</f>
        <v>0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SAN FRANCISCO ESTE (CHICO)</v>
      </c>
      <c r="B247" t="str">
        <f>'RESUMEN TOTAL'!G320</f>
        <v>PUNTO SEGURO - SAN FRANCISCO (domo)</v>
      </c>
      <c r="C247" t="str">
        <f>'RESUMEN TOTAL'!I320</f>
        <v>RP 53 Y 1332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>
        <f>'RESUMEN TOTAL'!V320</f>
        <v>0</v>
      </c>
      <c r="J247" s="70">
        <f>'RESUMEN TOTAL'!W320</f>
        <v>0</v>
      </c>
      <c r="K247" s="70">
        <f>'RESUMEN TOTAL'!X320</f>
        <v>0</v>
      </c>
      <c r="L247" s="70">
        <f>'RESUMEN TOTAL'!Y320</f>
        <v>0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SAN JORGE</v>
      </c>
      <c r="B248" t="str">
        <f>'RESUMEN TOTAL'!G321</f>
        <v>Punto Seguro - San Jorge (Domo)</v>
      </c>
      <c r="C248" t="str">
        <f>'RESUMEN TOTAL'!I321</f>
        <v>CALLE 523 E/ 554 Y 556</v>
      </c>
      <c r="D248" s="30" t="str">
        <f>'RESUMEN TOTAL'!J321</f>
        <v>DOMO</v>
      </c>
      <c r="E248" s="30" t="str">
        <f>'RESUMEN TOTAL'!K321</f>
        <v>GPON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 t="str">
        <f>'RESUMEN TOTAL'!V321</f>
        <v>APAGADO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SAN JORGE</v>
      </c>
      <c r="B249" t="str">
        <f>'RESUMEN TOTAL'!G322</f>
        <v>Punto Seguro - San Jorge (Fija)</v>
      </c>
      <c r="C249" t="str">
        <f>'RESUMEN TOTAL'!I322</f>
        <v>CALLE 523 E/ 554 Y 556</v>
      </c>
      <c r="D249" s="30" t="str">
        <f>'RESUMEN TOTAL'!J322</f>
        <v>Fija</v>
      </c>
      <c r="E249" s="30" t="str">
        <f>'RESUMEN TOTAL'!K322</f>
        <v>GPON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SAN JORGE</v>
      </c>
      <c r="B250" t="str">
        <f>'RESUMEN TOTAL'!G323</f>
        <v>PUNTO SEGURO SAN JORGE INTERCOMUNICADOR</v>
      </c>
      <c r="C250" t="str">
        <f>'RESUMEN TOTAL'!I323</f>
        <v>CALLE 554 Y 523</v>
      </c>
      <c r="D250" s="30" t="str">
        <f>'RESUMEN TOTAL'!J323</f>
        <v>Fija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 t="str">
        <f>'RESUMEN TOTAL'!V323</f>
        <v>APAGADO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SAN RUDECINDO</v>
      </c>
      <c r="B251" t="str">
        <f>'RESUMEN TOTAL'!G324</f>
        <v>PUNTO SEGURO- SAN RUDECINDO (domo)</v>
      </c>
      <c r="C251" t="str">
        <f>'RESUMEN TOTAL'!I324</f>
        <v>SANTA SOFIA Y ALVAR NUÑEZ</v>
      </c>
      <c r="D251" s="30" t="str">
        <f>'RESUMEN TOTAL'!J324</f>
        <v>DOMO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 t="str">
        <f>'RESUMEN TOTAL'!V324</f>
        <v>APAGADO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SAN RUDECINDO</v>
      </c>
      <c r="B252" t="str">
        <f>'RESUMEN TOTAL'!G325</f>
        <v>PUNTO SEGURO - SAN RUDECINDO (fija)</v>
      </c>
      <c r="C252" t="str">
        <f>'RESUMEN TOTAL'!I325</f>
        <v>SANTA SOFIA Y ALVAR NUÑEZ</v>
      </c>
      <c r="D252" s="30" t="str">
        <f>'RESUMEN TOTAL'!J325</f>
        <v>Fija</v>
      </c>
      <c r="E252" s="30" t="str">
        <f>'RESUMEN TOTAL'!K325</f>
        <v>GPON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 t="str">
        <f>'RESUMEN TOTAL'!V325</f>
        <v>APAGADO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RUDECINDO</v>
      </c>
      <c r="B253" t="str">
        <f>'RESUMEN TOTAL'!G326</f>
        <v>PUNTO SEGURO SAN RUDECINDO INTERCOMUNICADOR</v>
      </c>
      <c r="C253" t="str">
        <f>'RESUMEN TOTAL'!I326</f>
        <v>SABTA SOFIA Y ALVAR NUÃ‘EZ</v>
      </c>
      <c r="D253" s="30" t="str">
        <f>'RESUMEN TOTAL'!J326</f>
        <v>Domo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>
        <f>'RESUMEN TOTAL'!W326</f>
        <v>0</v>
      </c>
      <c r="K253" s="70">
        <f>'RESUMEN TOTAL'!X326</f>
        <v>0</v>
      </c>
      <c r="L253" s="70">
        <f>'RESUMEN TOTAL'!Y326</f>
        <v>0</v>
      </c>
      <c r="M253" s="70">
        <f>'RESUMEN TOTAL'!Z326</f>
        <v>0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>
        <f>'RESUMEN TOTAL'!AE326</f>
        <v>0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ZONA RURAL SANTA ROSA</v>
      </c>
      <c r="B254" t="str">
        <f>'RESUMEN TOTAL'!G327</f>
        <v>PUNTO SEGURO - SANTA ROSA (domo)</v>
      </c>
      <c r="C254" t="str">
        <f>'RESUMEN TOTAL'!I327</f>
        <v>BRUSELAS Y SICILIA</v>
      </c>
      <c r="D254" s="30" t="str">
        <f>'RESUMEN TOTAL'!J327</f>
        <v>DOMO</v>
      </c>
      <c r="E254" s="30" t="str">
        <f>'RESUMEN TOTAL'!K327</f>
        <v>Fibra Optica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>
        <f>'RESUMEN TOTAL'!W327</f>
        <v>0</v>
      </c>
      <c r="K254" s="70">
        <f>'RESUMEN TOTAL'!X327</f>
        <v>0</v>
      </c>
      <c r="L254" s="70">
        <f>'RESUMEN TOTAL'!Y327</f>
        <v>0</v>
      </c>
      <c r="M254" s="70">
        <f>'RESUMEN TOTAL'!Z327</f>
        <v>0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ZONA RURAL SANTA ROSA</v>
      </c>
      <c r="B255" t="str">
        <f>'RESUMEN TOTAL'!G328</f>
        <v>PUNTO SEGURO - SANTA ROSA (fija)</v>
      </c>
      <c r="C255" t="str">
        <f>'RESUMEN TOTAL'!I328</f>
        <v>BRUSELAS Y SICILIA</v>
      </c>
      <c r="D255" s="30" t="str">
        <f>'RESUMEN TOTAL'!J328</f>
        <v>Fija</v>
      </c>
      <c r="E255" s="30" t="str">
        <f>'RESUMEN TOTAL'!K328</f>
        <v>Fibra Optica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>
        <f>'RESUMEN TOTAL'!V328</f>
        <v>0</v>
      </c>
      <c r="J255" s="70">
        <f>'RESUMEN TOTAL'!W328</f>
        <v>0</v>
      </c>
      <c r="K255" s="70">
        <f>'RESUMEN TOTAL'!X328</f>
        <v>0</v>
      </c>
      <c r="L255" s="70">
        <f>'RESUMEN TOTAL'!Y328</f>
        <v>0</v>
      </c>
      <c r="M255" s="70">
        <f>'RESUMEN TOTAL'!Z328</f>
        <v>0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>
        <f>'RESUMEN TOTAL'!Z333</f>
        <v>0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>
        <f>'RESUMEN TOTAL'!Y335</f>
        <v>0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>
        <f>'RESUMEN TOTAL'!Y336</f>
        <v>0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RRJ01</v>
      </c>
      <c r="C266" t="str">
        <f>'RESUMEN TOTAL'!I345</f>
        <v>AV. LUJAN Y BRAGADO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RRJ02</v>
      </c>
      <c r="C267" t="str">
        <f>'RESUMEN TOTAL'!I346</f>
        <v>AV. LUJAN Y DIAG. LOS POETAS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>
        <f>'RESUMEN TOTAL'!Y346</f>
        <v>0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RRJ03 (fija 1)</v>
      </c>
      <c r="C268" t="str">
        <f>'RESUMEN TOTAL'!I347</f>
        <v>RUBEN DARIO E/ FADER Y DIAG. LOS POETAS</v>
      </c>
      <c r="D268" s="30" t="str">
        <f>'RESUMEN TOTAL'!J347</f>
        <v>Fija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 t="str">
        <f>'RESUMEN TOTAL'!V347</f>
        <v>APAGADO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RRJ04 (fija 2)</v>
      </c>
      <c r="C269" t="str">
        <f>'RESUMEN TOTAL'!I348</f>
        <v>RUBEN DARIO E/ FADER Y DIAG. LOS POETAS</v>
      </c>
      <c r="D269" s="30" t="str">
        <f>'RESUMEN TOTAL'!J348</f>
        <v>Fija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 t="str">
        <f>'RESUMEN TOTAL'!V348</f>
        <v>APAGADO</v>
      </c>
      <c r="J269" s="70">
        <f>'RESUMEN TOTAL'!W348</f>
        <v>0</v>
      </c>
      <c r="K269" s="70">
        <f>'RESUMEN TOTAL'!X348</f>
        <v>0</v>
      </c>
      <c r="L269" s="70">
        <f>'RESUMEN TOTAL'!Y348</f>
        <v>0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05</v>
      </c>
      <c r="C270" t="str">
        <f>'RESUMEN TOTAL'!I349</f>
        <v>LUJAN Y RUTA 36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>
        <f>'RESUMEN TOTAL'!Y349</f>
        <v>0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06</v>
      </c>
      <c r="C271" t="str">
        <f>'RESUMEN TOTAL'!I350</f>
        <v>Constancio Vigil y Pablo Groussac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07</v>
      </c>
      <c r="C272" t="str">
        <f>'RESUMEN TOTAL'!I351</f>
        <v>Constancio Vigil y Estanislao del Campo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08</v>
      </c>
      <c r="C273" t="str">
        <f>'RESUMEN TOTAL'!I352</f>
        <v>Constancio Vigil y Pablo Podesta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09</v>
      </c>
      <c r="C274" t="str">
        <f>'RESUMEN TOTAL'!I353</f>
        <v>Constancio Vigil y Jose Ingeniero</v>
      </c>
      <c r="D274" s="30" t="str">
        <f>'RESUMEN TOTAL'!J353</f>
        <v>Domo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10</v>
      </c>
      <c r="C275" t="str">
        <f>'RESUMEN TOTAL'!I354</f>
        <v>LUGONES Y OBLIGADO</v>
      </c>
      <c r="D275" s="30" t="str">
        <f>'RESUMEN TOTAL'!J354</f>
        <v>Domo</v>
      </c>
      <c r="E275" s="30" t="str">
        <f>'RESUMEN TOTAL'!K354</f>
        <v>Fibra Optica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>
        <f>'RESUMEN TOTAL'!V354</f>
        <v>0</v>
      </c>
      <c r="J275" s="70">
        <f>'RESUMEN TOTAL'!W354</f>
        <v>0</v>
      </c>
      <c r="K275" s="70">
        <f>'RESUMEN TOTAL'!X354</f>
        <v>0</v>
      </c>
      <c r="L275" s="70">
        <f>'RESUMEN TOTAL'!Y354</f>
        <v>0</v>
      </c>
      <c r="M275" s="70">
        <f>'RESUMEN TOTAL'!Z354</f>
        <v>0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11</v>
      </c>
      <c r="C276" t="str">
        <f>'RESUMEN TOTAL'!I355</f>
        <v>LUGONES Y OBLIGADO</v>
      </c>
      <c r="D276" s="30" t="str">
        <f>'RESUMEN TOTAL'!J355</f>
        <v>Domo</v>
      </c>
      <c r="E276" s="30" t="str">
        <f>'RESUMEN TOTAL'!K355</f>
        <v>Fibra Optica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>
        <f>'RESUMEN TOTAL'!V355</f>
        <v>0</v>
      </c>
      <c r="J276" s="70">
        <f>'RESUMEN TOTAL'!W355</f>
        <v>0</v>
      </c>
      <c r="K276" s="70">
        <f>'RESUMEN TOTAL'!X355</f>
        <v>0</v>
      </c>
      <c r="L276" s="70">
        <f>'RESUMEN TOTAL'!Y355</f>
        <v>0</v>
      </c>
      <c r="M276" s="70">
        <f>'RESUMEN TOTAL'!Z355</f>
        <v>0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12</v>
      </c>
      <c r="C277" t="str">
        <f>'RESUMEN TOTAL'!I356</f>
        <v>FADER Y DIAGONAL LOS POETAS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>
        <f>'RESUMEN TOTAL'!V356</f>
        <v>0</v>
      </c>
      <c r="J277" s="70">
        <f>'RESUMEN TOTAL'!W356</f>
        <v>0</v>
      </c>
      <c r="K277" s="70">
        <f>'RESUMEN TOTAL'!X356</f>
        <v>0</v>
      </c>
      <c r="L277" s="70">
        <f>'RESUMEN TOTAL'!Y356</f>
        <v>0</v>
      </c>
      <c r="M277" s="70">
        <f>'RESUMEN TOTAL'!Z356</f>
        <v>0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 13</v>
      </c>
      <c r="C278" t="str">
        <f>'RESUMEN TOTAL'!I357</f>
        <v>LUJAN Y DIAGONAL LOS POETAS</v>
      </c>
      <c r="D278" s="30" t="str">
        <f>'RESUMEN TOTAL'!J357</f>
        <v>Fija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SAR01</v>
      </c>
      <c r="C281" t="str">
        <f>'RESUMEN TOTAL'!I363</f>
        <v>Storni Y Sanchez de Loria</v>
      </c>
      <c r="D281" s="30" t="str">
        <f>'RESUMEN TOTAL'!J363</f>
        <v>Domo</v>
      </c>
      <c r="E281" s="30" t="str">
        <f>'RESUMEN TOTAL'!K363</f>
        <v>Fibra Optica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02 (fija 1)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03 (fija 2)</v>
      </c>
      <c r="C283" t="str">
        <f>'RESUMEN TOTAL'!I365</f>
        <v>DARDO ROCHA Y GABRIELA MISTRAL</v>
      </c>
      <c r="D283" s="30" t="str">
        <f>'RESUMEN TOTAL'!J365</f>
        <v>Fija</v>
      </c>
      <c r="E283" s="30" t="str">
        <f>'RESUMEN TOTAL'!K365</f>
        <v>GPON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04</v>
      </c>
      <c r="C284" t="str">
        <f>'RESUMEN TOTAL'!I366</f>
        <v>MONTES DE OCA Y ALVARADO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05</v>
      </c>
      <c r="C285" t="str">
        <f>'RESUMEN TOTAL'!I367</f>
        <v>ALVARADO Y ROCHA</v>
      </c>
      <c r="D285" s="30" t="str">
        <f>'RESUMEN TOTAL'!J367</f>
        <v>Domo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06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07</v>
      </c>
      <c r="C287" t="str">
        <f>'RESUMEN TOTAL'!I369</f>
        <v>Necochea y Lorenzini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08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PRESIDENTE SARMIENTO</v>
      </c>
      <c r="B289" t="str">
        <f>'RESUMEN TOTAL'!G371</f>
        <v>SAR 09</v>
      </c>
      <c r="C289" t="str">
        <f>'RESUMEN TOTAL'!I371</f>
        <v>Necochea y Montes de Oca</v>
      </c>
      <c r="D289" s="30" t="str">
        <f>'RESUMEN TOTAL'!J371</f>
        <v>Fija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10</v>
      </c>
      <c r="C290" t="str">
        <f>'RESUMEN TOTAL'!I372</f>
        <v>SENZABELLO Y TINOGASTA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11</v>
      </c>
      <c r="C291" t="str">
        <f>'RESUMEN TOTAL'!I373</f>
        <v>SENSABELLO Y BRAILLE</v>
      </c>
      <c r="D291" s="30" t="str">
        <f>'RESUMEN TOTAL'!J373</f>
        <v>Domo</v>
      </c>
      <c r="E291" s="30" t="str">
        <f>'RESUMEN TOTAL'!K373</f>
        <v>Fibra Optica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>
        <f>'RESUMEN TOTAL'!W378</f>
        <v>0</v>
      </c>
      <c r="K292" s="70">
        <f>'RESUMEN TOTAL'!X378</f>
        <v>0</v>
      </c>
      <c r="L292" s="70">
        <f>'RESUMEN TOTAL'!Y378</f>
        <v>0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SEMI01</v>
      </c>
      <c r="C295" t="str">
        <f>'RESUMEN TOTAL'!I382</f>
        <v>San Martin y Av. del Trabajo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 02</v>
      </c>
      <c r="C296" t="str">
        <f>'RESUMEN TOTAL'!I383</f>
        <v>Cno. Gral. Belgrano y Francia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EMILIO</v>
      </c>
      <c r="B300" t="str">
        <f>'RESUMEN TOTAL'!G387</f>
        <v>SMAT01</v>
      </c>
      <c r="C300" t="str">
        <f>'RESUMEN TOTAL'!I387</f>
        <v xml:space="preserve">AV BOSQUES Y CANTU 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>
        <f>'RESUMEN TOTAL'!V387</f>
        <v>0</v>
      </c>
      <c r="J300" s="70">
        <f>'RESUMEN TOTAL'!W387</f>
        <v>0</v>
      </c>
      <c r="K300" s="70">
        <f>'RESUMEN TOTAL'!X387</f>
        <v>0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LA SIRENA</v>
      </c>
      <c r="B301" t="str">
        <f>'RESUMEN TOTAL'!G388</f>
        <v>SIR01</v>
      </c>
      <c r="C301" t="str">
        <f>'RESUMEN TOTAL'!I388</f>
        <v>Moran y Calle 14</v>
      </c>
      <c r="D301" s="30" t="str">
        <f>'RESUMEN TOTAL'!J388</f>
        <v>DOMO</v>
      </c>
      <c r="E301" s="30" t="str">
        <f>'RESUMEN TOTAL'!K388</f>
        <v>Radio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 t="str">
        <f>'RESUMEN TOTAL'!V388</f>
        <v>APAGADO</v>
      </c>
      <c r="J301" s="70">
        <f>'RESUMEN TOTAL'!W388</f>
        <v>0</v>
      </c>
      <c r="K301" s="70">
        <f>'RESUMEN TOTAL'!X388</f>
        <v>0</v>
      </c>
      <c r="L301" s="70">
        <f>'RESUMEN TOTAL'!Y388</f>
        <v>0</v>
      </c>
      <c r="M301" s="70">
        <f>'RESUMEN TOTAL'!Z388</f>
        <v>0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SAN EDUARDO</v>
      </c>
      <c r="B302" t="str">
        <f>'RESUMEN TOTAL'!G389</f>
        <v>SIR 02</v>
      </c>
      <c r="C302" t="str">
        <f>'RESUMEN TOTAL'!I389</f>
        <v>Victorino de la Plaza y Argentina</v>
      </c>
      <c r="D302" s="30" t="str">
        <f>'RESUMEN TOTAL'!J389</f>
        <v>Domo</v>
      </c>
      <c r="E302" s="30" t="str">
        <f>'RESUMEN TOTAL'!K389</f>
        <v>GPON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 t="str">
        <f>'RESUMEN TOTAL'!V389</f>
        <v>APAGADO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SAN EDUARDO</v>
      </c>
      <c r="B303" t="str">
        <f>'RESUMEN TOTAL'!G390</f>
        <v>SIR 03</v>
      </c>
      <c r="C303" t="str">
        <f>'RESUMEN TOTAL'!I390</f>
        <v>MONTES Y LONARDI</v>
      </c>
      <c r="D303" s="30" t="str">
        <f>'RESUMEN TOTAL'!J390</f>
        <v>DOMO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04</v>
      </c>
      <c r="C304" t="str">
        <f>'RESUMEN TOTAL'!I391</f>
        <v>AV. MONTEVERDE Y MORAN</v>
      </c>
      <c r="D304" s="30" t="str">
        <f>'RESUMEN TOTAL'!J391</f>
        <v>Domo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LA SIRENA</v>
      </c>
      <c r="B305" t="str">
        <f>'RESUMEN TOTAL'!G392</f>
        <v>SIR 05 (FIJA 01)</v>
      </c>
      <c r="C305" t="str">
        <f>'RESUMEN TOTAL'!I392</f>
        <v>AV. MONTEVERDE Y MORAN</v>
      </c>
      <c r="D305" s="30" t="str">
        <f>'RESUMEN TOTAL'!J392</f>
        <v>Fija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>
        <f>'RESUMEN TOTAL'!V392</f>
        <v>0</v>
      </c>
      <c r="J305" s="70">
        <f>'RESUMEN TOTAL'!W392</f>
        <v>0</v>
      </c>
      <c r="K305" s="70">
        <f>'RESUMEN TOTAL'!X392</f>
        <v>0</v>
      </c>
      <c r="L305" s="70">
        <f>'RESUMEN TOTAL'!Y392</f>
        <v>0</v>
      </c>
      <c r="M305" s="70">
        <f>'RESUMEN TOTAL'!Z392</f>
        <v>0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>
        <f>'RESUMEN TOTAL'!AE392</f>
        <v>0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06 (FIJA 02)</v>
      </c>
      <c r="C306" t="str">
        <f>'RESUMEN TOTAL'!I393</f>
        <v>AV. MONTEVERDE Y MORAN</v>
      </c>
      <c r="D306" s="30" t="str">
        <f>'RESUMEN TOTAL'!J393</f>
        <v>Fija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>
        <f>'RESUMEN TOTAL'!V393</f>
        <v>0</v>
      </c>
      <c r="J306" s="70">
        <f>'RESUMEN TOTAL'!W393</f>
        <v>0</v>
      </c>
      <c r="K306" s="70">
        <f>'RESUMEN TOTAL'!X393</f>
        <v>0</v>
      </c>
      <c r="L306" s="70">
        <f>'RESUMEN TOTAL'!Y393</f>
        <v>0</v>
      </c>
      <c r="M306" s="70">
        <f>'RESUMEN TOTAL'!Z393</f>
        <v>0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>
        <f>'RESUMEN TOTAL'!AE393</f>
        <v>0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VILLA AURORA</v>
      </c>
      <c r="B307" t="str">
        <f>'RESUMEN TOTAL'!G394</f>
        <v>SIR07 (fija 1)</v>
      </c>
      <c r="C307" t="str">
        <f>'RESUMEN TOTAL'!I394</f>
        <v>MONTEVERDE Y URIBURU</v>
      </c>
      <c r="D307" s="30" t="str">
        <f>'RESUMEN TOTAL'!J394</f>
        <v>Fija</v>
      </c>
      <c r="E307" s="30" t="str">
        <f>'RESUMEN TOTAL'!K394</f>
        <v>Fibra Optica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VILLA AURORA</v>
      </c>
      <c r="B308" t="str">
        <f>'RESUMEN TOTAL'!G395</f>
        <v>SIR08 (fija 2)</v>
      </c>
      <c r="C308" t="str">
        <f>'RESUMEN TOTAL'!I395</f>
        <v>MONTEVERDE Y URIBURU</v>
      </c>
      <c r="D308" s="30" t="str">
        <f>'RESUMEN TOTAL'!J395</f>
        <v>Fija</v>
      </c>
      <c r="E308" s="30" t="str">
        <f>'RESUMEN TOTAL'!K395</f>
        <v>Fibra Optica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 t="str">
        <f>'RESUMEN TOTAL'!V395</f>
        <v>APAGADO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SIR09 (fija 1)</v>
      </c>
      <c r="C309" t="str">
        <f>'RESUMEN TOTAL'!I396</f>
        <v>GUIDO SPANO Y MORAN</v>
      </c>
      <c r="D309" s="30" t="str">
        <f>'RESUMEN TOTAL'!J396</f>
        <v>Fija</v>
      </c>
      <c r="E309" s="30" t="str">
        <f>'RESUMEN TOTAL'!K396</f>
        <v>Fibra Optica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SIR10 (fija 2)</v>
      </c>
      <c r="C310" t="str">
        <f>'RESUMEN TOTAL'!I397</f>
        <v>GUIDO SPANO Y MORAN</v>
      </c>
      <c r="D310" s="30" t="str">
        <f>'RESUMEN TOTAL'!J397</f>
        <v>Fija</v>
      </c>
      <c r="E310" s="30" t="str">
        <f>'RESUMEN TOTAL'!K397</f>
        <v>Fibra Optica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SIR11 (fija 1)</v>
      </c>
      <c r="C311" t="str">
        <f>'RESUMEN TOTAL'!I398</f>
        <v>LARREA Y GUARDIA NACIONAL</v>
      </c>
      <c r="D311" s="30" t="str">
        <f>'RESUMEN TOTAL'!J398</f>
        <v>Fija</v>
      </c>
      <c r="E311" s="30" t="str">
        <f>'RESUMEN TOTAL'!K398</f>
        <v>Fibra Optica</v>
      </c>
      <c r="F311" s="70">
        <f>'RESUMEN TOTAL'!S398</f>
        <v>0</v>
      </c>
      <c r="G311" s="70">
        <f>'RESUMEN TOTAL'!T398</f>
        <v>0</v>
      </c>
      <c r="H311" s="70">
        <f>'RESUMEN TOTAL'!U398</f>
        <v>0</v>
      </c>
      <c r="I311" s="70">
        <f>'RESUMEN TOTAL'!V398</f>
        <v>0</v>
      </c>
      <c r="J311" s="70">
        <f>'RESUMEN TOTAL'!W398</f>
        <v>0</v>
      </c>
      <c r="K311" s="70">
        <f>'RESUMEN TOTAL'!X398</f>
        <v>0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SIR12 (fija 2)</v>
      </c>
      <c r="C312" t="str">
        <f>'RESUMEN TOTAL'!I399</f>
        <v>LARREA Y GUARDIA NACIONAL</v>
      </c>
      <c r="D312" s="30" t="str">
        <f>'RESUMEN TOTAL'!J399</f>
        <v>Fija</v>
      </c>
      <c r="E312" s="30" t="str">
        <f>'RESUMEN TOTAL'!K399</f>
        <v>Fibra Optica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VILLA AURORA</v>
      </c>
      <c r="B313" t="str">
        <f>'RESUMEN TOTAL'!G400</f>
        <v>SIR 13</v>
      </c>
      <c r="C313" t="str">
        <f>'RESUMEN TOTAL'!I400</f>
        <v>AV MONTEVERDE Y URIBURU</v>
      </c>
      <c r="D313" s="30" t="str">
        <f>'RESUMEN TOTAL'!J400</f>
        <v>Domo</v>
      </c>
      <c r="E313" s="30" t="str">
        <f>'RESUMEN TOTAL'!K400</f>
        <v>Fibra Optica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>
        <f>'RESUMEN TOTAL'!W400</f>
        <v>0</v>
      </c>
      <c r="K313" s="70">
        <f>'RESUMEN TOTAL'!X400</f>
        <v>0</v>
      </c>
      <c r="L313" s="70">
        <f>'RESUMEN TOTAL'!Y400</f>
        <v>0</v>
      </c>
      <c r="M313" s="70">
        <f>'RESUMEN TOTAL'!Z400</f>
        <v>0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LA SIRENA</v>
      </c>
      <c r="B314" t="str">
        <f>'RESUMEN TOTAL'!G401</f>
        <v>SIR 14</v>
      </c>
      <c r="C314" t="str">
        <f>'RESUMEN TOTAL'!I401</f>
        <v>MANUEL IGLESIAS Y PEDRAZA</v>
      </c>
      <c r="D314" s="30" t="str">
        <f>'RESUMEN TOTAL'!J401</f>
        <v>Domo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>
        <f>'RESUMEN TOTAL'!W401</f>
        <v>0</v>
      </c>
      <c r="K314" s="70">
        <f>'RESUMEN TOTAL'!X401</f>
        <v>0</v>
      </c>
      <c r="L314" s="70">
        <f>'RESUMEN TOTAL'!Y401</f>
        <v>0</v>
      </c>
      <c r="M314" s="70">
        <f>'RESUMEN TOTAL'!Z401</f>
        <v>0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LA SIRENA</v>
      </c>
      <c r="B315" t="str">
        <f>'RESUMEN TOTAL'!G402</f>
        <v>SIR 15</v>
      </c>
      <c r="C315" t="str">
        <f>'RESUMEN TOTAL'!I402</f>
        <v>Monteverde y Azara</v>
      </c>
      <c r="D315" s="30" t="str">
        <f>'RESUMEN TOTAL'!J402</f>
        <v>Domo</v>
      </c>
      <c r="E315" s="30" t="str">
        <f>'RESUMEN TOTAL'!K402</f>
        <v>GPON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>
        <f>'RESUMEN TOTAL'!W402</f>
        <v>0</v>
      </c>
      <c r="K315" s="70">
        <f>'RESUMEN TOTAL'!X402</f>
        <v>0</v>
      </c>
      <c r="L315" s="70">
        <f>'RESUMEN TOTAL'!Y402</f>
        <v>0</v>
      </c>
      <c r="M315" s="70">
        <f>'RESUMEN TOTAL'!Z402</f>
        <v>0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03</v>
      </c>
      <c r="C316" t="str">
        <f>'RESUMEN TOTAL'!I408</f>
        <v>517 Y 580</v>
      </c>
      <c r="D316" s="30" t="str">
        <f>'RESUMEN TOTAL'!J408</f>
        <v>DOMO</v>
      </c>
      <c r="E316" s="30" t="str">
        <f>'RESUMEN TOTAL'!K408</f>
        <v>Radio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 t="str">
        <f>'RESUMEN TOTAL'!V408</f>
        <v>APAGADO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04</v>
      </c>
      <c r="C317" t="str">
        <f>'RESUMEN TOTAL'!I409</f>
        <v>552 Y 519</v>
      </c>
      <c r="D317" s="30" t="str">
        <f>'RESUMEN TOTAL'!J409</f>
        <v>DOMO</v>
      </c>
      <c r="E317" s="30" t="str">
        <f>'RESUMEN TOTAL'!K409</f>
        <v>GPON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09 (FIJA 1)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 10 (FIJA 2)</v>
      </c>
      <c r="C319" t="str">
        <f>'RESUMEN TOTAL'!I411</f>
        <v>515 Y 566</v>
      </c>
      <c r="D319" s="30" t="str">
        <f>'RESUMEN TOTAL'!J411</f>
        <v>Fija</v>
      </c>
      <c r="E319" s="30" t="str">
        <f>'RESUMEN TOTAL'!K411</f>
        <v>Radio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SJO01</v>
      </c>
      <c r="C320" t="str">
        <f>'RESUMEN TOTAL'!I412</f>
        <v>Calle 554 y 527</v>
      </c>
      <c r="D320" s="30" t="str">
        <f>'RESUMEN TOTAL'!J412</f>
        <v>Domo</v>
      </c>
      <c r="E320" s="30" t="str">
        <f>'RESUMEN TOTAL'!K412</f>
        <v>PTO A FO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SJO02</v>
      </c>
      <c r="C321" t="str">
        <f>'RESUMEN TOTAL'!I413</f>
        <v>Calle 554 y 511</v>
      </c>
      <c r="D321" s="30" t="str">
        <f>'RESUMEN TOTAL'!J413</f>
        <v>Domo</v>
      </c>
      <c r="E321" s="30" t="str">
        <f>'RESUMEN TOTAL'!K413</f>
        <v>Radio</v>
      </c>
      <c r="F321" s="70">
        <f>'RESUMEN TOTAL'!S413</f>
        <v>0</v>
      </c>
      <c r="G321" s="70">
        <f>'RESUMEN TOTAL'!T413</f>
        <v>0</v>
      </c>
      <c r="H321" s="70">
        <f>'RESUMEN TOTAL'!V413</f>
        <v>0</v>
      </c>
      <c r="I321" s="70">
        <v>0</v>
      </c>
      <c r="J321" s="70">
        <f>'RESUMEN TOTAL'!W413</f>
        <v>0</v>
      </c>
      <c r="K321" s="70">
        <f>'RESUMEN TOTAL'!X413</f>
        <v>0</v>
      </c>
      <c r="L321" s="70">
        <f>'RESUMEN TOTAL'!Y413</f>
        <v>0</v>
      </c>
      <c r="M321" s="70">
        <f>'RESUMEN TOTAL'!Z413</f>
        <v>0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SJO05 (fija 1)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>
        <f>'RESUMEN TOTAL'!W414</f>
        <v>0</v>
      </c>
      <c r="K322" s="70">
        <f>'RESUMEN TOTAL'!X414</f>
        <v>0</v>
      </c>
      <c r="L322" s="70">
        <f>'RESUMEN TOTAL'!Y414</f>
        <v>0</v>
      </c>
      <c r="M322" s="70">
        <f>'RESUMEN TOTAL'!Z414</f>
        <v>0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SJO06 (fija 2)</v>
      </c>
      <c r="C323" t="str">
        <f>'RESUMEN TOTAL'!I415</f>
        <v>511 Y 560</v>
      </c>
      <c r="D323" s="30" t="str">
        <f>'RESUMEN TOTAL'!J415</f>
        <v>Fija</v>
      </c>
      <c r="E323" s="30" t="str">
        <f>'RESUMEN TOTAL'!K415</f>
        <v>Fibra Optica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>
        <f>'RESUMEN TOTAL'!W415</f>
        <v>0</v>
      </c>
      <c r="K323" s="70">
        <f>'RESUMEN TOTAL'!X415</f>
        <v>0</v>
      </c>
      <c r="L323" s="70">
        <f>'RESUMEN TOTAL'!Y415</f>
        <v>0</v>
      </c>
      <c r="M323" s="70">
        <f>'RESUMEN TOTAL'!Z415</f>
        <v>0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SJO07 (fija 1)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>
        <f>'RESUMEN TOTAL'!W416</f>
        <v>0</v>
      </c>
      <c r="K324" s="70">
        <f>'RESUMEN TOTAL'!X416</f>
        <v>0</v>
      </c>
      <c r="L324" s="70">
        <f>'RESUMEN TOTAL'!Y416</f>
        <v>0</v>
      </c>
      <c r="M324" s="70">
        <f>'RESUMEN TOTAL'!Z416</f>
        <v>0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SJO08 (fija 2)</v>
      </c>
      <c r="C325" t="str">
        <f>'RESUMEN TOTAL'!I417</f>
        <v>503 Y 556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 t="str">
        <f>'RESUMEN TOTAL'!V417</f>
        <v>APAGADO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SJU01</v>
      </c>
      <c r="C326" t="str">
        <f>'RESUMEN TOTAL'!I422</f>
        <v>Ruta 36 y Pte.Peron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SMA01</v>
      </c>
      <c r="C327" t="str">
        <f>'RESUMEN TOTAL'!I426</f>
        <v>Hudson y Montevideo</v>
      </c>
      <c r="D327" s="30" t="str">
        <f>'RESUMEN TOTAL'!J426</f>
        <v>DOMO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>
        <f>'RESUMEN TOTAL'!X426</f>
        <v>0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SMA02</v>
      </c>
      <c r="C328" t="str">
        <f>'RESUMEN TOTAL'!I427</f>
        <v>Hudson y San Nicolas</v>
      </c>
      <c r="D328" s="30" t="str">
        <f>'RESUMEN TOTAL'!J427</f>
        <v>Domo</v>
      </c>
      <c r="E328" s="30" t="str">
        <f>'RESUMEN TOTAL'!K427</f>
        <v>GPON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 t="str">
        <f>'RESUMEN TOTAL'!V427</f>
        <v>APAGADO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03</v>
      </c>
      <c r="C329" t="str">
        <f>'RESUMEN TOTAL'!I428</f>
        <v>ROSARIO Y SAN NICOLAS</v>
      </c>
      <c r="D329" s="30" t="str">
        <f>'RESUMEN TOTAL'!J428</f>
        <v>Domo</v>
      </c>
      <c r="E329" s="30" t="str">
        <f>'RESUMEN TOTAL'!K428</f>
        <v>Radio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>
        <f>'RESUMEN TOTAL'!Z428</f>
        <v>0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>
        <f>'RESUMEN TOTAL'!AE428</f>
        <v>0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VILLA GENERAL SAN MARTIN</v>
      </c>
      <c r="B330" t="str">
        <f>'RESUMEN TOTAL'!G429</f>
        <v>SMA 04</v>
      </c>
      <c r="C330" t="str">
        <f>'RESUMEN TOTAL'!I429</f>
        <v>HUDSON Y MONTEVIDEO</v>
      </c>
      <c r="D330" s="30" t="str">
        <f>'RESUMEN TOTAL'!J429</f>
        <v>FIJA</v>
      </c>
      <c r="E330" s="30" t="str">
        <f>'RESUMEN TOTAL'!K429</f>
        <v>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VILLA GENERAL SAN MARTIN</v>
      </c>
      <c r="B331" t="str">
        <f>'RESUMEN TOTAL'!G430</f>
        <v>SMA05</v>
      </c>
      <c r="C331" t="str">
        <f>'RESUMEN TOTAL'!I430</f>
        <v>MONTEVIDEO Y VILLEGAS</v>
      </c>
      <c r="D331" s="30" t="str">
        <f>'RESUMEN TOTAL'!J430</f>
        <v>DOMO</v>
      </c>
      <c r="E331" s="30" t="str">
        <f>'RESUMEN TOTAL'!K430</f>
        <v>PTO A FO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 06</v>
      </c>
      <c r="C332" t="str">
        <f>'RESUMEN TOTAL'!I431</f>
        <v>AV. HUDSON Y RIO IGUAZU</v>
      </c>
      <c r="D332" s="30" t="str">
        <f>'RESUMEN TOTAL'!J431</f>
        <v>DOMO</v>
      </c>
      <c r="E332" s="30" t="str">
        <f>'RESUMEN TOTAL'!K431</f>
        <v>Fibra Optica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 07</v>
      </c>
      <c r="C333" t="str">
        <f>'RESUMEN TOTAL'!I432</f>
        <v>AV. HUDSON Y RIO TURBIO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>
        <f>'RESUMEN TOTAL'!W432</f>
        <v>0</v>
      </c>
      <c r="K333" s="70">
        <f>'RESUMEN TOTAL'!X432</f>
        <v>0</v>
      </c>
      <c r="L333" s="70">
        <f>'RESUMEN TOTAL'!Y432</f>
        <v>0</v>
      </c>
      <c r="M333" s="70">
        <f>'RESUMEN TOTAL'!Z432</f>
        <v>0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SAN MARTIN</v>
      </c>
      <c r="B334" t="str">
        <f>'RESUMEN TOTAL'!G433</f>
        <v>SMA 08</v>
      </c>
      <c r="C334" t="str">
        <f>'RESUMEN TOTAL'!I433</f>
        <v>12 De Octubre y H. Lagos</v>
      </c>
      <c r="D334" s="30" t="str">
        <f>'RESUMEN TOTAL'!J433</f>
        <v>fija</v>
      </c>
      <c r="E334" s="30" t="str">
        <f>'RESUMEN TOTAL'!K433</f>
        <v>Fibra Optica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MARTIN</v>
      </c>
      <c r="B335" t="str">
        <f>'RESUMEN TOTAL'!G434</f>
        <v>SMA 09</v>
      </c>
      <c r="C335" t="str">
        <f>'RESUMEN TOTAL'!I434</f>
        <v>12 De Octubre y H. Lagos</v>
      </c>
      <c r="D335" s="30" t="str">
        <f>'RESUMEN TOTAL'!J434</f>
        <v>fija</v>
      </c>
      <c r="E335" s="30" t="str">
        <f>'RESUMEN TOTAL'!K434</f>
        <v>Fibra Optica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>
        <f>'RESUMEN TOTAL'!Z434</f>
        <v>0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SNI01 (fija 1)</v>
      </c>
      <c r="C336" t="str">
        <f>'RESUMEN TOTAL'!I438</f>
        <v>SARRATEA E/ EEUU DE A. Y AGRELO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SNI02 (fija 2)</v>
      </c>
      <c r="C337" t="str">
        <f>'RESUMEN TOTAL'!I439</f>
        <v>SARRATEA E/ EEUU DE A. Y AGRELO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 03 (fija 1)</v>
      </c>
      <c r="C338" t="str">
        <f>'RESUMEN TOTAL'!I440</f>
        <v>SARRATEA Y LOS TREBOLES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 04 (fija 2)</v>
      </c>
      <c r="C339" t="str">
        <f>'RESUMEN TOTAL'!I441</f>
        <v>SARRATEA Y LOS TREBOLES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SRO01</v>
      </c>
      <c r="C340" t="str">
        <f>'RESUMEN TOTAL'!I442</f>
        <v>Yugoslavia y MilÃ¡n</v>
      </c>
      <c r="D340" s="30" t="str">
        <f>'RESUMEN TOTAL'!J442</f>
        <v>Domo</v>
      </c>
      <c r="E340" s="30" t="str">
        <f>'RESUMEN TOTAL'!K442</f>
        <v>PTO A FO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>
        <f>'RESUMEN TOTAL'!V442</f>
        <v>0</v>
      </c>
      <c r="J340" s="70">
        <f>'RESUMEN TOTAL'!W442</f>
        <v>0</v>
      </c>
      <c r="K340" s="70">
        <f>'RESUMEN TOTAL'!X442</f>
        <v>0</v>
      </c>
      <c r="L340" s="70">
        <f>'RESUMEN TOTAL'!Y442</f>
        <v>0</v>
      </c>
      <c r="M340" s="70">
        <f>'RESUMEN TOTAL'!Z442</f>
        <v>0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ZONA RURAL SANTA ROSA</v>
      </c>
      <c r="B341" t="str">
        <f>'RESUMEN TOTAL'!G443</f>
        <v>SRO02</v>
      </c>
      <c r="C341" t="str">
        <f>'RESUMEN TOTAL'!I443</f>
        <v>Bruselas y Calle 647</v>
      </c>
      <c r="D341" s="30" t="str">
        <f>'RESUMEN TOTAL'!J443</f>
        <v>Domo</v>
      </c>
      <c r="E341" s="30" t="str">
        <f>'RESUMEN TOTAL'!K443</f>
        <v>PTO A FO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SRO03</v>
      </c>
      <c r="C342" t="str">
        <f>'RESUMEN TOTAL'!I444</f>
        <v>Eva Peron y Paysandu</v>
      </c>
      <c r="D342" s="30" t="str">
        <f>'RESUMEN TOTAL'!J444</f>
        <v>Domo</v>
      </c>
      <c r="E342" s="30" t="str">
        <f>'RESUMEN TOTAL'!K444</f>
        <v>GPON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>
        <f>'RESUMEN TOTAL'!V444</f>
        <v>0</v>
      </c>
      <c r="J342" s="70">
        <f>'RESUMEN TOTAL'!W444</f>
        <v>0</v>
      </c>
      <c r="K342" s="70">
        <f>'RESUMEN TOTAL'!X444</f>
        <v>0</v>
      </c>
      <c r="L342" s="70">
        <f>'RESUMEN TOTAL'!Y444</f>
        <v>0</v>
      </c>
      <c r="M342" s="70">
        <f>'RESUMEN TOTAL'!Z444</f>
        <v>0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SANTA ROSA</v>
      </c>
      <c r="B343" t="str">
        <f>'RESUMEN TOTAL'!G445</f>
        <v>SRO 04</v>
      </c>
      <c r="C343" t="str">
        <f>'RESUMEN TOTAL'!I445</f>
        <v>Belgica y Andorra</v>
      </c>
      <c r="D343" s="30" t="str">
        <f>'RESUMEN TOTAL'!J445</f>
        <v>Domo</v>
      </c>
      <c r="E343" s="30" t="str">
        <f>'RESUMEN TOTAL'!K445</f>
        <v>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 t="str">
        <f>'RESUMEN TOTAL'!V445</f>
        <v>APAGADO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SANTA ROSA</v>
      </c>
      <c r="B344" t="str">
        <f>'RESUMEN TOTAL'!G446</f>
        <v>SRO05</v>
      </c>
      <c r="C344" t="str">
        <f>'RESUMEN TOTAL'!I446</f>
        <v>CAFFERATA Y BONN</v>
      </c>
      <c r="D344" s="30" t="str">
        <f>'RESUMEN TOTAL'!J446</f>
        <v>DOMO</v>
      </c>
      <c r="E344" s="30" t="str">
        <f>'RESUMEN TOTAL'!K446</f>
        <v>Radio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SRO06</v>
      </c>
      <c r="C345" t="str">
        <f>'RESUMEN TOTAL'!I447</f>
        <v>Novak y Bonn</v>
      </c>
      <c r="D345" s="30" t="str">
        <f>'RESUMEN TOTAL'!J447</f>
        <v>Domo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SRO07</v>
      </c>
      <c r="C346" t="str">
        <f>'RESUMEN TOTAL'!I448</f>
        <v>NOVAK Y BELGICA</v>
      </c>
      <c r="D346" s="30" t="str">
        <f>'RESUMEN TOTAL'!J448</f>
        <v>Domo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 08</v>
      </c>
      <c r="C347" t="str">
        <f>'RESUMEN TOTAL'!I449</f>
        <v>NOVAK E/ DESSY Y BELGICA (POLIDEPORTIVO LA PATRIADA)</v>
      </c>
      <c r="D347" s="30" t="str">
        <f>'RESUMEN TOTAL'!J449</f>
        <v>Domo</v>
      </c>
      <c r="E347" s="30" t="str">
        <f>'RESUMEN TOTAL'!K449</f>
        <v>Fibra Optica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SANTA ROSA</v>
      </c>
      <c r="B348" t="str">
        <f>'RESUMEN TOTAL'!G450</f>
        <v>SRO09</v>
      </c>
      <c r="C348" t="str">
        <f>'RESUMEN TOTAL'!I450</f>
        <v>BUCAREST E/ ALEMANIA Y CAFFERATA</v>
      </c>
      <c r="D348" s="30" t="str">
        <f>'RESUMEN TOTAL'!J450</f>
        <v>DOMO</v>
      </c>
      <c r="E348" s="30" t="str">
        <f>'RESUMEN TOTAL'!K450</f>
        <v>Radio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SRO10</v>
      </c>
      <c r="C349" t="str">
        <f>'RESUMEN TOTAL'!I451</f>
        <v>DINAMARCA Y MILAN</v>
      </c>
      <c r="D349" s="30" t="str">
        <f>'RESUMEN TOTAL'!J451</f>
        <v>DOMO</v>
      </c>
      <c r="E349" s="30" t="str">
        <f>'RESUMEN TOTAL'!K451</f>
        <v>Radio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 t="str">
        <f>'RESUMEN TOTAL'!V451</f>
        <v>APAGADO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 11</v>
      </c>
      <c r="C350" t="str">
        <f>'RESUMEN TOTAL'!I452</f>
        <v>MILAN Y MALLORCA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 t="str">
        <f>'RESUMEN TOTAL'!V452</f>
        <v>APAGADO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SRO12</v>
      </c>
      <c r="C351" t="str">
        <f>'RESUMEN TOTAL'!I453</f>
        <v>YUGOSLAVIA Y PAYSANDU</v>
      </c>
      <c r="D351" s="30" t="str">
        <f>'RESUMEN TOTAL'!J453</f>
        <v>DOMO</v>
      </c>
      <c r="E351" s="30" t="str">
        <f>'RESUMEN TOTAL'!K453</f>
        <v>Radio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ZONA RURAL SANTA ROSA</v>
      </c>
      <c r="B352" t="str">
        <f>'RESUMEN TOTAL'!G454</f>
        <v>SRO 13 (fija 1)</v>
      </c>
      <c r="C352" t="str">
        <f>'RESUMEN TOTAL'!I454</f>
        <v>BRUSELAS E/ GRECIA Y CHECOSLOVAQUIA</v>
      </c>
      <c r="D352" s="30" t="str">
        <f>'RESUMEN TOTAL'!J454</f>
        <v>Fija</v>
      </c>
      <c r="E352" s="30" t="str">
        <f>'RESUMEN TOTAL'!K454</f>
        <v>PTO A FO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ZONA RURAL SANTA ROSA</v>
      </c>
      <c r="B353" t="str">
        <f>'RESUMEN TOTAL'!G455</f>
        <v>SRO 14 (fija 2)</v>
      </c>
      <c r="C353" t="str">
        <f>'RESUMEN TOTAL'!I455</f>
        <v>BRUSELAS E/ GRECIA Y CHECOSLOVAQUIA</v>
      </c>
      <c r="D353" s="30" t="str">
        <f>'RESUMEN TOTAL'!J455</f>
        <v>Fija</v>
      </c>
      <c r="E353" s="30" t="str">
        <f>'RESUMEN TOTAL'!K455</f>
        <v>PTO A FO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SRO15</v>
      </c>
      <c r="C354" t="str">
        <f>'RESUMEN TOTAL'!I456</f>
        <v>NOVAK Y TIRANA (614)</v>
      </c>
      <c r="D354" s="30" t="str">
        <f>'RESUMEN TOTAL'!J456</f>
        <v>DOMO</v>
      </c>
      <c r="E354" s="30" t="str">
        <f>'RESUMEN TOTAL'!K456</f>
        <v>GPON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>
        <f>'RESUMEN TOTAL'!V456</f>
        <v>0</v>
      </c>
      <c r="J354" s="70">
        <f>'RESUMEN TOTAL'!W456</f>
        <v>0</v>
      </c>
      <c r="K354" s="70">
        <f>'RESUMEN TOTAL'!X456</f>
        <v>0</v>
      </c>
      <c r="L354" s="70">
        <f>'RESUMEN TOTAL'!Y456</f>
        <v>0</v>
      </c>
      <c r="M354" s="70">
        <f>'RESUMEN TOTAL'!Z456</f>
        <v>0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SRO16 (fija 1)</v>
      </c>
      <c r="C355" t="str">
        <f>'RESUMEN TOTAL'!I457</f>
        <v>ANDORRA E/ BELGICA Y SAN MARINO</v>
      </c>
      <c r="D355" s="30" t="str">
        <f>'RESUMEN TOTAL'!J457</f>
        <v>Fija</v>
      </c>
      <c r="E355" s="30" t="str">
        <f>'RESUMEN TOTAL'!K457</f>
        <v>GPON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SRO17 (fija 2)</v>
      </c>
      <c r="C356" t="str">
        <f>'RESUMEN TOTAL'!I458</f>
        <v>ANDORRA E/ BELGICA Y SAN MARINO</v>
      </c>
      <c r="D356" s="30" t="str">
        <f>'RESUMEN TOTAL'!J458</f>
        <v>Fija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 18 (fija 1)</v>
      </c>
      <c r="C357" t="str">
        <f>'RESUMEN TOTAL'!I459</f>
        <v>GRAN CANARIA Y BUDAPEST</v>
      </c>
      <c r="D357" s="30" t="str">
        <f>'RESUMEN TOTAL'!J459</f>
        <v>Fija</v>
      </c>
      <c r="E357" s="30" t="str">
        <f>'RESUMEN TOTAL'!K459</f>
        <v>Fibra Optica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 19 (fija 2)</v>
      </c>
      <c r="C358" t="str">
        <f>'RESUMEN TOTAL'!I460</f>
        <v>GRAN CANARIA Y BUDAPEST</v>
      </c>
      <c r="D358" s="30" t="str">
        <f>'RESUMEN TOTAL'!J460</f>
        <v>Fija</v>
      </c>
      <c r="E358" s="30" t="str">
        <f>'RESUMEN TOTAL'!K460</f>
        <v>Fibra Optica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Fibra Optica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Fibra Optica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>
        <f>'RESUMEN TOTAL'!W469</f>
        <v>0</v>
      </c>
      <c r="K361" s="70">
        <f>'RESUMEN TOTAL'!X469</f>
        <v>0</v>
      </c>
      <c r="L361" s="70">
        <f>'RESUMEN TOTAL'!Y469</f>
        <v>0</v>
      </c>
      <c r="M361" s="70">
        <f>'RESUMEN TOTAL'!Z469</f>
        <v>0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>
        <f>'RESUMEN TOTAL'!W470</f>
        <v>0</v>
      </c>
      <c r="K362" s="70">
        <f>'RESUMEN TOTAL'!X470</f>
        <v>0</v>
      </c>
      <c r="L362" s="70">
        <f>'RESUMEN TOTAL'!Y470</f>
        <v>0</v>
      </c>
      <c r="M362" s="70">
        <f>'RESUMEN TOTAL'!Z470</f>
        <v>0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>
        <f>'RESUMEN TOTAL'!W471</f>
        <v>0</v>
      </c>
      <c r="K363" s="70">
        <f>'RESUMEN TOTAL'!X471</f>
        <v>0</v>
      </c>
      <c r="L363" s="70">
        <f>'RESUMEN TOTAL'!Y471</f>
        <v>0</v>
      </c>
      <c r="M363" s="70">
        <f>'RESUMEN TOTAL'!Z471</f>
        <v>0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>
        <f>'RESUMEN TOTAL'!W474</f>
        <v>0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>
        <f>'RESUMEN TOTAL'!W475</f>
        <v>0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VAR03 (fija 1)</v>
      </c>
      <c r="C379" t="str">
        <f>'RESUMEN TOTAL'!I496</f>
        <v>509 y 546</v>
      </c>
      <c r="D379" s="30" t="str">
        <f>'RESUMEN TOTAL'!J496</f>
        <v>Fija</v>
      </c>
      <c r="E379" s="30" t="str">
        <f>'RESUMEN TOTAL'!K496</f>
        <v>Radio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VAR04 (fija 2)</v>
      </c>
      <c r="C380" t="str">
        <f>'RESUMEN TOTAL'!I497</f>
        <v>509 y 546</v>
      </c>
      <c r="D380" s="30" t="str">
        <f>'RESUMEN TOTAL'!J497</f>
        <v>Fija</v>
      </c>
      <c r="E380" s="30" t="str">
        <f>'RESUMEN TOTAL'!K497</f>
        <v>Radio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VAR05 (fija 1)</v>
      </c>
      <c r="C381" t="str">
        <f>'RESUMEN TOTAL'!I498</f>
        <v>511 E/ 544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VAR06 (fija 2)</v>
      </c>
      <c r="C382" t="str">
        <f>'RESUMEN TOTAL'!I499</f>
        <v>511 E/ 544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>
        <f>'RESUMEN TOTAL'!X499</f>
        <v>0</v>
      </c>
      <c r="L382" s="70">
        <f>'RESUMEN TOTAL'!Y499</f>
        <v>0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VAR07</v>
      </c>
      <c r="C383" t="str">
        <f>'RESUMEN TOTAL'!I500</f>
        <v>DIAG. LOS TILOS Y 517</v>
      </c>
      <c r="D383" s="30" t="str">
        <f>'RESUMEN TOTAL'!J500</f>
        <v>DOMO</v>
      </c>
      <c r="E383" s="30" t="str">
        <f>'RESUMEN TOTAL'!K500</f>
        <v>Fibra Optica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 08 (fija 1)</v>
      </c>
      <c r="C384" t="str">
        <f>'RESUMEN TOTAL'!I501</f>
        <v>534 Y 523</v>
      </c>
      <c r="D384" s="30" t="str">
        <f>'RESUMEN TOTAL'!J501</f>
        <v>Fija</v>
      </c>
      <c r="E384" s="30" t="str">
        <f>'RESUMEN TOTAL'!K501</f>
        <v>Fibra Optica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 09 (fija 2)</v>
      </c>
      <c r="C385" t="str">
        <f>'RESUMEN TOTAL'!I502</f>
        <v>534 Y 523</v>
      </c>
      <c r="D385" s="30" t="str">
        <f>'RESUMEN TOTAL'!J502</f>
        <v>Fija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</v>
      </c>
      <c r="B391" t="str">
        <f>'RESUMEN TOTAL'!G508</f>
        <v>VAT01</v>
      </c>
      <c r="C391" t="str">
        <f>'RESUMEN TOTAL'!I508</f>
        <v>Montevideo y El Chañar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 t="str">
        <f>'RESUMEN TOTAL'!V508</f>
        <v>APAGADO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 CENTRO</v>
      </c>
      <c r="B392" t="str">
        <f>'RESUMEN TOTAL'!G509</f>
        <v>VAT02</v>
      </c>
      <c r="C392" t="str">
        <f>'RESUMEN TOTAL'!I509</f>
        <v>Eva Peron y 12 de Octubre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>
        <f>'RESUMEN TOTAL'!W509</f>
        <v>0</v>
      </c>
      <c r="K392" s="70">
        <f>'RESUMEN TOTAL'!X509</f>
        <v>0</v>
      </c>
      <c r="L392" s="70">
        <f>'RESUMEN TOTAL'!Y509</f>
        <v>0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 CENTRO</v>
      </c>
      <c r="B393" t="str">
        <f>'RESUMEN TOTAL'!G510</f>
        <v>VAT03</v>
      </c>
      <c r="C393" t="str">
        <f>'RESUMEN TOTAL'!I510</f>
        <v>Lavalle y Belgrano</v>
      </c>
      <c r="D393" s="30" t="str">
        <f>'RESUMEN TOTAL'!J510</f>
        <v>Domo</v>
      </c>
      <c r="E393" s="30" t="str">
        <f>'RESUMEN TOTAL'!K510</f>
        <v>Fibra Optica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 CENTRO</v>
      </c>
      <c r="B394" t="str">
        <f>'RESUMEN TOTAL'!G511</f>
        <v>VAT04</v>
      </c>
      <c r="C394" t="str">
        <f>'RESUMEN TOTAL'!I511</f>
        <v>Lavalle y Entre Rios</v>
      </c>
      <c r="D394" s="30" t="str">
        <f>'RESUMEN TOTAL'!J511</f>
        <v>Domo</v>
      </c>
      <c r="E394" s="30" t="str">
        <f>'RESUMEN TOTAL'!K511</f>
        <v>Fibra Optica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 CENTRO</v>
      </c>
      <c r="B395" t="str">
        <f>'RESUMEN TOTAL'!G512</f>
        <v>VAT05</v>
      </c>
      <c r="C395" t="str">
        <f>'RESUMEN TOTAL'!I512</f>
        <v>Lavalle y Colombia</v>
      </c>
      <c r="D395" s="30" t="str">
        <f>'RESUMEN TOTAL'!J512</f>
        <v>Domo</v>
      </c>
      <c r="E395" s="30" t="str">
        <f>'RESUMEN TOTAL'!K512</f>
        <v>GPON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>
        <f>'RESUMEN TOTAL'!V512</f>
        <v>0</v>
      </c>
      <c r="J395" s="70">
        <f>'RESUMEN TOTAL'!W512</f>
        <v>0</v>
      </c>
      <c r="K395" s="70">
        <f>'RESUMEN TOTAL'!X512</f>
        <v>0</v>
      </c>
      <c r="L395" s="70">
        <f>'RESUMEN TOTAL'!Y512</f>
        <v>0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 CENTRO</v>
      </c>
      <c r="B396" t="str">
        <f>'RESUMEN TOTAL'!G513</f>
        <v>VAT06</v>
      </c>
      <c r="C396" t="str">
        <f>'RESUMEN TOTAL'!I513</f>
        <v>Eva Peron y Pueyrredon</v>
      </c>
      <c r="D396" s="30" t="str">
        <f>'RESUMEN TOTAL'!J513</f>
        <v>Domo</v>
      </c>
      <c r="E396" s="30" t="str">
        <f>'RESUMEN TOTAL'!K513</f>
        <v>Fibra Optica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 t="str">
        <f>'RESUMEN TOTAL'!V513</f>
        <v>APAGADO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VAT07</v>
      </c>
      <c r="C397" t="str">
        <f>'RESUMEN TOTAL'!I514</f>
        <v>Eva Peron y Lavalle</v>
      </c>
      <c r="D397" s="30" t="str">
        <f>'RESUMEN TOTAL'!J514</f>
        <v>Domo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</v>
      </c>
      <c r="B398" t="str">
        <f>'RESUMEN TOTAL'!G515</f>
        <v>VAT08</v>
      </c>
      <c r="C398" t="str">
        <f>'RESUMEN TOTAL'!I515</f>
        <v>12 de Octubre y Florida</v>
      </c>
      <c r="D398" s="30" t="str">
        <f>'RESUMEN TOTAL'!J515</f>
        <v>Domo</v>
      </c>
      <c r="E398" s="30" t="str">
        <f>'RESUMEN TOTAL'!K515</f>
        <v>GPON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</v>
      </c>
      <c r="B399" t="str">
        <f>'RESUMEN TOTAL'!G516</f>
        <v>VAT09</v>
      </c>
      <c r="C399" t="str">
        <f>'RESUMEN TOTAL'!I516</f>
        <v>Montevideo y Alsina</v>
      </c>
      <c r="D399" s="30" t="str">
        <f>'RESUMEN TOTAL'!J516</f>
        <v>Domo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>
        <f>'RESUMEN TOTAL'!V516</f>
        <v>0</v>
      </c>
      <c r="J399" s="70">
        <f>'RESUMEN TOTAL'!W516</f>
        <v>0</v>
      </c>
      <c r="K399" s="70">
        <f>'RESUMEN TOTAL'!X516</f>
        <v>0</v>
      </c>
      <c r="L399" s="70">
        <f>'RESUMEN TOTAL'!Y516</f>
        <v>0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10</v>
      </c>
      <c r="C400" t="str">
        <f>'RESUMEN TOTAL'!I517</f>
        <v>Belgrano y Quintana</v>
      </c>
      <c r="D400" s="30" t="str">
        <f>'RESUMEN TOTAL'!J517</f>
        <v>Domo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>
        <f>'RESUMEN TOTAL'!V517</f>
        <v>0</v>
      </c>
      <c r="J400" s="70">
        <f>'RESUMEN TOTAL'!W517</f>
        <v>0</v>
      </c>
      <c r="K400" s="70">
        <f>'RESUMEN TOTAL'!X517</f>
        <v>0</v>
      </c>
      <c r="L400" s="70">
        <f>'RESUMEN TOTAL'!Y517</f>
        <v>0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VAT11</v>
      </c>
      <c r="C401" t="str">
        <f>'RESUMEN TOTAL'!I518</f>
        <v>Mainini y Montevideo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 t="str">
        <f>'RESUMEN TOTAL'!V518</f>
        <v>APAGADO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VAT12</v>
      </c>
      <c r="C402" t="str">
        <f>'RESUMEN TOTAL'!I519</f>
        <v>12 DE OCTUBRE Y CHACO</v>
      </c>
      <c r="D402" s="30" t="str">
        <f>'RESUMEN TOTAL'!J519</f>
        <v>DOMO</v>
      </c>
      <c r="E402" s="30" t="str">
        <f>'RESUMEN TOTAL'!K519</f>
        <v>PTO A FO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>
        <f>'RESUMEN TOTAL'!V519</f>
        <v>0</v>
      </c>
      <c r="J402" s="70">
        <f>'RESUMEN TOTAL'!W519</f>
        <v>0</v>
      </c>
      <c r="K402" s="70">
        <f>'RESUMEN TOTAL'!X519</f>
        <v>0</v>
      </c>
      <c r="L402" s="70">
        <f>'RESUMEN TOTAL'!Y519</f>
        <v>0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 CENTRO</v>
      </c>
      <c r="B403" t="str">
        <f>'RESUMEN TOTAL'!G520</f>
        <v>VAT13</v>
      </c>
      <c r="C403" t="str">
        <f>'RESUMEN TOTAL'!I520</f>
        <v>Av.12 de Octubre y Belgrano</v>
      </c>
      <c r="D403" s="30" t="str">
        <f>'RESUMEN TOTAL'!J520</f>
        <v>Domo</v>
      </c>
      <c r="E403" s="30" t="str">
        <f>'RESUMEN TOTAL'!K520</f>
        <v>Fibra Optica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 14</v>
      </c>
      <c r="C404" t="str">
        <f>'RESUMEN TOTAL'!I521</f>
        <v>FLORIDA Y MONTEVIDEO</v>
      </c>
      <c r="D404" s="30" t="str">
        <f>'RESUMEN TOTAL'!J521</f>
        <v>DOMO</v>
      </c>
      <c r="E404" s="30" t="str">
        <f>'RESUMEN TOTAL'!K521</f>
        <v>Fibra Optica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>
        <f>'RESUMEN TOTAL'!W521</f>
        <v>0</v>
      </c>
      <c r="K404" s="70">
        <f>'RESUMEN TOTAL'!X521</f>
        <v>0</v>
      </c>
      <c r="L404" s="70">
        <f>'RESUMEN TOTAL'!Y521</f>
        <v>0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</v>
      </c>
      <c r="B405" t="str">
        <f>'RESUMEN TOTAL'!G522</f>
        <v>VAT 15</v>
      </c>
      <c r="C405" t="str">
        <f>'RESUMEN TOTAL'!I522</f>
        <v>CORRIENTES Y VICENTE LOPEZ</v>
      </c>
      <c r="D405" s="30" t="str">
        <f>'RESUMEN TOTAL'!J522</f>
        <v>DOMO</v>
      </c>
      <c r="E405" s="30" t="str">
        <f>'RESUMEN TOTAL'!K522</f>
        <v>PTO A FO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>
        <f>'RESUMEN TOTAL'!V522</f>
        <v>0</v>
      </c>
      <c r="J405" s="70">
        <f>'RESUMEN TOTAL'!W522</f>
        <v>0</v>
      </c>
      <c r="K405" s="70">
        <f>'RESUMEN TOTAL'!X522</f>
        <v>0</v>
      </c>
      <c r="L405" s="70">
        <f>'RESUMEN TOTAL'!Y522</f>
        <v>0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</v>
      </c>
      <c r="B406" t="str">
        <f>'RESUMEN TOTAL'!G523</f>
        <v>VAT 16</v>
      </c>
      <c r="C406" t="str">
        <f>'RESUMEN TOTAL'!I523</f>
        <v>MONTEVIDEO Y CHACO</v>
      </c>
      <c r="D406" s="30" t="str">
        <f>'RESUMEN TOTAL'!J523</f>
        <v>DOMO</v>
      </c>
      <c r="E406" s="30" t="str">
        <f>'RESUMEN TOTAL'!K523</f>
        <v>PTO A FO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</v>
      </c>
      <c r="B407" t="str">
        <f>'RESUMEN TOTAL'!G524</f>
        <v>VAT 17</v>
      </c>
      <c r="C407" t="str">
        <f>'RESUMEN TOTAL'!I524</f>
        <v>CHAÑAR Y URUGUAY</v>
      </c>
      <c r="D407" s="30" t="str">
        <f>'RESUMEN TOTAL'!J524</f>
        <v>DOMO</v>
      </c>
      <c r="E407" s="30" t="str">
        <f>'RESUMEN TOTAL'!K524</f>
        <v>PTO A FO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 t="str">
        <f>'RESUMEN TOTAL'!V524</f>
        <v>APAGADO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VAT18</v>
      </c>
      <c r="C408" t="str">
        <f>'RESUMEN TOTAL'!I525</f>
        <v>LAVALLE Y FONROUGE</v>
      </c>
      <c r="D408" s="30" t="str">
        <f>'RESUMEN TOTAL'!J525</f>
        <v>DOMO</v>
      </c>
      <c r="E408" s="30" t="str">
        <f>'RESUMEN TOTAL'!K525</f>
        <v>PTO A FO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VAT19</v>
      </c>
      <c r="C409" t="str">
        <f>'RESUMEN TOTAL'!I526</f>
        <v>QUINTANA Y FONROUGE ( TUCUMAN )</v>
      </c>
      <c r="D409" s="30" t="str">
        <f>'RESUMEN TOTAL'!J526</f>
        <v>DOMO</v>
      </c>
      <c r="E409" s="30" t="str">
        <f>'RESUMEN TOTAL'!K526</f>
        <v>Radio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>
        <f>'RESUMEN TOTAL'!V526</f>
        <v>0</v>
      </c>
      <c r="J409" s="70">
        <f>'RESUMEN TOTAL'!W526</f>
        <v>0</v>
      </c>
      <c r="K409" s="70">
        <f>'RESUMEN TOTAL'!X526</f>
        <v>0</v>
      </c>
      <c r="L409" s="70">
        <f>'RESUMEN TOTAL'!Y526</f>
        <v>0</v>
      </c>
      <c r="M409" s="70">
        <f>'RESUMEN TOTAL'!Z526</f>
        <v>0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</v>
      </c>
      <c r="B410" t="str">
        <f>'RESUMEN TOTAL'!G527</f>
        <v>VAT 20</v>
      </c>
      <c r="C410" t="str">
        <f>'RESUMEN TOTAL'!I527</f>
        <v>URUGUAY Y PILCOMAYO</v>
      </c>
      <c r="D410" s="30" t="str">
        <f>'RESUMEN TOTAL'!J527</f>
        <v>FIJA</v>
      </c>
      <c r="E410" s="30" t="str">
        <f>'RESUMEN TOTAL'!K527</f>
        <v>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 CENTRO</v>
      </c>
      <c r="B411" t="str">
        <f>'RESUMEN TOTAL'!G528</f>
        <v>VAT 21 (fija 1)</v>
      </c>
      <c r="C411" t="str">
        <f>'RESUMEN TOTAL'!I528</f>
        <v>QUINTANA E/ BELGRANO Y FONROUGE</v>
      </c>
      <c r="D411" s="30" t="str">
        <f>'RESUMEN TOTAL'!J528</f>
        <v>Fija</v>
      </c>
      <c r="E411" s="30" t="str">
        <f>'RESUMEN TOTAL'!K528</f>
        <v>Fibra Optica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 CENTRO</v>
      </c>
      <c r="B412" t="str">
        <f>'RESUMEN TOTAL'!G529</f>
        <v>VAT 22 (fija 2)</v>
      </c>
      <c r="C412" t="str">
        <f>'RESUMEN TOTAL'!I529</f>
        <v>QUINTANA E/ BELGRANO Y FONROUGE</v>
      </c>
      <c r="D412" s="30" t="str">
        <f>'RESUMEN TOTAL'!J529</f>
        <v>Fija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 CENTRO</v>
      </c>
      <c r="B413" t="str">
        <f>'RESUMEN TOTAL'!G530</f>
        <v>VAT23 (fija 1)</v>
      </c>
      <c r="C413" t="str">
        <f>'RESUMEN TOTAL'!I530</f>
        <v>EVA PERON Y "EL TUNEL" (BAJO NIVEL)</v>
      </c>
      <c r="D413" s="30" t="str">
        <f>'RESUMEN TOTAL'!J530</f>
        <v>Fija</v>
      </c>
      <c r="E413" s="30" t="str">
        <f>'RESUMEN TOTAL'!K530</f>
        <v>Fibra Optica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>
        <f>'RESUMEN TOTAL'!V530</f>
        <v>0</v>
      </c>
      <c r="J413" s="70">
        <f>'RESUMEN TOTAL'!W530</f>
        <v>0</v>
      </c>
      <c r="K413" s="70">
        <f>'RESUMEN TOTAL'!X530</f>
        <v>0</v>
      </c>
      <c r="L413" s="70">
        <f>'RESUMEN TOTAL'!Y530</f>
        <v>0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 CENTRO</v>
      </c>
      <c r="B414" t="str">
        <f>'RESUMEN TOTAL'!G531</f>
        <v>VAT24 (fija 2)</v>
      </c>
      <c r="C414" t="str">
        <f>'RESUMEN TOTAL'!I531</f>
        <v>EVA PERON Y "EL TUNEL" (BAJO NIVEL)</v>
      </c>
      <c r="D414" s="30" t="str">
        <f>'RESUMEN TOTAL'!J531</f>
        <v>Fija</v>
      </c>
      <c r="E414" s="30" t="str">
        <f>'RESUMEN TOTAL'!K531</f>
        <v>Fibra Optica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 25</v>
      </c>
      <c r="C415" t="str">
        <f>'RESUMEN TOTAL'!I532</f>
        <v>Mainini y Uruguay</v>
      </c>
      <c r="D415" s="30" t="str">
        <f>'RESUMEN TOTAL'!J532</f>
        <v>Fija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 t="str">
        <f>'RESUMEN TOTAL'!V532</f>
        <v>APAGADO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 26</v>
      </c>
      <c r="C416" t="str">
        <f>'RESUMEN TOTAL'!I533</f>
        <v>Mainini y Uruguay</v>
      </c>
      <c r="D416" s="30" t="str">
        <f>'RESUMEN TOTAL'!J533</f>
        <v>fija</v>
      </c>
      <c r="E416" s="30" t="str">
        <f>'RESUMEN TOTAL'!K533</f>
        <v>Fibra Optica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 t="str">
        <f>'RESUMEN TOTAL'!V533</f>
        <v>APAGADO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</v>
      </c>
      <c r="B417" t="str">
        <f>'RESUMEN TOTAL'!G534</f>
        <v>VAT 27</v>
      </c>
      <c r="C417" t="str">
        <f>'RESUMEN TOTAL'!I534</f>
        <v>12 DE OCTUBRE Y ROSARIO</v>
      </c>
      <c r="D417" s="30" t="str">
        <f>'RESUMEN TOTAL'!J534</f>
        <v>DOMO</v>
      </c>
      <c r="E417" s="30" t="str">
        <f>'RESUMEN TOTAL'!K534</f>
        <v>GPON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VAU03 (fija 1)</v>
      </c>
      <c r="C420" t="str">
        <f>'RESUMEN TOTAL'!I542</f>
        <v>PIZZURNO Y NUESTRAS MALVINAS</v>
      </c>
      <c r="D420" s="30" t="str">
        <f>'RESUMEN TOTAL'!J542</f>
        <v>Fija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>
        <f>'RESUMEN TOTAL'!V542</f>
        <v>0</v>
      </c>
      <c r="J420" s="70">
        <f>'RESUMEN TOTAL'!W542</f>
        <v>0</v>
      </c>
      <c r="K420" s="70">
        <f>'RESUMEN TOTAL'!X542</f>
        <v>0</v>
      </c>
      <c r="L420" s="70">
        <f>'RESUMEN TOTAL'!Y542</f>
        <v>0</v>
      </c>
      <c r="M420" s="70">
        <f>'RESUMEN TOTAL'!Z542</f>
        <v>0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VAU04 (fija 2)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VAU05 (fija 1)</v>
      </c>
      <c r="C422" t="str">
        <f>'RESUMEN TOTAL'!I544</f>
        <v>GUIDO SPANO Y VICTORINO DE LA PLAZA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VAU06 (fija 2)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 07</v>
      </c>
      <c r="C424" t="str">
        <f>'RESUMEN TOTAL'!I546</f>
        <v>VICTORINO DE LA PLAZA Y MONTEVERDE</v>
      </c>
      <c r="D424" s="30" t="str">
        <f>'RESUMEN TOTAL'!J546</f>
        <v>Domo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 t="str">
        <f>'RESUMEN TOTAL'!V546</f>
        <v>APAGADO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VDPL02</v>
      </c>
      <c r="C426" t="str">
        <f>'RESUMEN TOTAL'!I549</f>
        <v>Thevenet y Berutti</v>
      </c>
      <c r="D426" s="30" t="str">
        <f>'RESUMEN TOTAL'!J549</f>
        <v>Domo</v>
      </c>
      <c r="E426" s="30" t="str">
        <f>'RESUMEN TOTAL'!K549</f>
        <v>Fibra Optica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VDPL03</v>
      </c>
      <c r="C427" t="str">
        <f>'RESUMEN TOTAL'!I550</f>
        <v>Neuquen y Alvarado</v>
      </c>
      <c r="D427" s="30" t="str">
        <f>'RESUMEN TOTAL'!J550</f>
        <v>Domo</v>
      </c>
      <c r="E427" s="30" t="str">
        <f>'RESUMEN TOTAL'!K550</f>
        <v>GPON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 t="str">
        <f>'RESUMEN TOTAL'!V550</f>
        <v>APAGADO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VDPL04</v>
      </c>
      <c r="C428" t="str">
        <f>'RESUMEN TOTAL'!I551</f>
        <v>Neuquen y Diagonal Guemes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>
        <f>'RESUMEN TOTAL'!V551</f>
        <v>0</v>
      </c>
      <c r="J428" s="70">
        <f>'RESUMEN TOTAL'!W551</f>
        <v>0</v>
      </c>
      <c r="K428" s="70">
        <f>'RESUMEN TOTAL'!X551</f>
        <v>0</v>
      </c>
      <c r="L428" s="70">
        <f>'RESUMEN TOTAL'!Y551</f>
        <v>0</v>
      </c>
      <c r="M428" s="70">
        <f>'RESUMEN TOTAL'!Z551</f>
        <v>0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VDPL05</v>
      </c>
      <c r="C429" t="str">
        <f>'RESUMEN TOTAL'!I552</f>
        <v>Ruta 36 y Abraham</v>
      </c>
      <c r="D429" s="30" t="str">
        <f>'RESUMEN TOTAL'!J552</f>
        <v>Domo</v>
      </c>
      <c r="E429" s="30" t="str">
        <f>'RESUMEN TOTAL'!K552</f>
        <v>PTO A FO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 t="str">
        <f>'RESUMEN TOTAL'!V552</f>
        <v>APAGADO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ANGELICA</v>
      </c>
      <c r="B430" t="str">
        <f>'RESUMEN TOTAL'!G553</f>
        <v>VDPL06</v>
      </c>
      <c r="C430" t="str">
        <f>'RESUMEN TOTAL'!I553</f>
        <v>Thevenet e/ Islas Orcadas y Gardel</v>
      </c>
      <c r="D430" s="30" t="str">
        <f>'RESUMEN TOTAL'!J553</f>
        <v>Domo</v>
      </c>
      <c r="E430" s="30" t="str">
        <f>'RESUMEN TOTAL'!K553</f>
        <v>GPON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>
        <f>'RESUMEN TOTAL'!V553</f>
        <v>0</v>
      </c>
      <c r="J430" s="70">
        <f>'RESUMEN TOTAL'!W553</f>
        <v>0</v>
      </c>
      <c r="K430" s="70">
        <f>'RESUMEN TOTAL'!X553</f>
        <v>0</v>
      </c>
      <c r="L430" s="70">
        <f>'RESUMEN TOTAL'!Y553</f>
        <v>0</v>
      </c>
      <c r="M430" s="70">
        <f>'RESUMEN TOTAL'!Z553</f>
        <v>0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VDPL07</v>
      </c>
      <c r="C431" t="str">
        <f>'RESUMEN TOTAL'!I554</f>
        <v>Berutti y Casares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 t="str">
        <f>'RESUMEN TOTAL'!V554</f>
        <v>APAGADO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HUDSON</v>
      </c>
      <c r="B432" t="str">
        <f>'RESUMEN TOTAL'!G556</f>
        <v>VHS 01</v>
      </c>
      <c r="C432" t="str">
        <f>'RESUMEN TOTAL'!I556</f>
        <v>AV. HUDSON Y AV. LUJAN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HUDSON</v>
      </c>
      <c r="B433" t="str">
        <f>'RESUMEN TOTAL'!G557</f>
        <v>VHS 02</v>
      </c>
      <c r="C433" t="str">
        <f>'RESUMEN TOTAL'!I557</f>
        <v>AV. LUJAN Y CALLE 909 A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03 (fija 1)</v>
      </c>
      <c r="C434" t="str">
        <f>'RESUMEN TOTAL'!I558</f>
        <v>AV. HUDSON Y LOS INMIGRANTES</v>
      </c>
      <c r="D434" s="30" t="str">
        <f>'RESUMEN TOTAL'!J558</f>
        <v>Fija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04 (fija 2)</v>
      </c>
      <c r="C435" t="str">
        <f>'RESUMEN TOTAL'!I559</f>
        <v>AV. HUDSON Y LOS INMIGRANTES</v>
      </c>
      <c r="D435" s="30" t="str">
        <f>'RESUMEN TOTAL'!J559</f>
        <v>Fija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ARIAS</v>
      </c>
      <c r="B436" t="str">
        <f>'RESUMEN TOTAL'!G563</f>
        <v>VLA 01 (fija 1)</v>
      </c>
      <c r="C436" t="str">
        <f>'RESUMEN TOTAL'!I563</f>
        <v>820 Y SOLER</v>
      </c>
      <c r="D436" s="30" t="str">
        <f>'RESUMEN TOTAL'!J563</f>
        <v>Fija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>
        <f>'RESUMEN TOTAL'!W563</f>
        <v>0</v>
      </c>
      <c r="K436" s="70">
        <f>'RESUMEN TOTAL'!X563</f>
        <v>0</v>
      </c>
      <c r="L436" s="70">
        <f>'RESUMEN TOTAL'!Y563</f>
        <v>0</v>
      </c>
      <c r="M436" s="70">
        <f>'RESUMEN TOTAL'!Z563</f>
        <v>0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ARIAS</v>
      </c>
      <c r="B437" t="str">
        <f>'RESUMEN TOTAL'!G564</f>
        <v>VLA 02</v>
      </c>
      <c r="C437" t="str">
        <f>'RESUMEN TOTAL'!I564</f>
        <v>ESPORA Y HUDSON</v>
      </c>
      <c r="D437" s="30" t="str">
        <f>'RESUMEN TOTAL'!J564</f>
        <v>DOMO</v>
      </c>
      <c r="E437" s="30" t="str">
        <f>'RESUMEN TOTAL'!K564</f>
        <v>Fibra Optica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VLA03 (fija 2)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>
        <f>'RESUMEN TOTAL'!W565</f>
        <v>0</v>
      </c>
      <c r="K438" s="70">
        <f>'RESUMEN TOTAL'!X565</f>
        <v>0</v>
      </c>
      <c r="L438" s="70">
        <f>'RESUMEN TOTAL'!Y565</f>
        <v>0</v>
      </c>
      <c r="M438" s="70">
        <f>'RESUMEN TOTAL'!Z565</f>
        <v>0</v>
      </c>
      <c r="N438" s="70">
        <f>'RESUMEN TOTAL'!AA565</f>
        <v>0</v>
      </c>
      <c r="O438" s="70">
        <f>'RESUMEN TOTAL'!AB565</f>
        <v>0</v>
      </c>
      <c r="P438" s="70">
        <f>'RESUMEN TOTAL'!AC565</f>
        <v>0</v>
      </c>
      <c r="Q438" s="70">
        <f>'RESUMEN TOTAL'!AD565</f>
        <v>0</v>
      </c>
      <c r="R438" s="70">
        <f>'RESUMEN TOTAL'!AE565</f>
        <v>0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VLA04</v>
      </c>
      <c r="C439" t="str">
        <f>'RESUMEN TOTAL'!I566</f>
        <v>ESPORA Y MARTIN GRASS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VLA05</v>
      </c>
      <c r="C440" t="str">
        <f>'RESUMEN TOTAL'!I567</f>
        <v>ESPORA Y 802</v>
      </c>
      <c r="D440" s="30" t="str">
        <f>'RESUMEN TOTAL'!J567</f>
        <v>DOMO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>
        <f>'RESUMEN TOTAL'!V567</f>
        <v>0</v>
      </c>
      <c r="J440" s="70">
        <f>'RESUMEN TOTAL'!W567</f>
        <v>0</v>
      </c>
      <c r="K440" s="70">
        <f>'RESUMEN TOTAL'!X567</f>
        <v>0</v>
      </c>
      <c r="L440" s="70">
        <f>'RESUMEN TOTAL'!Y567</f>
        <v>0</v>
      </c>
      <c r="M440" s="70">
        <f>'RESUMEN TOTAL'!Z567</f>
        <v>0</v>
      </c>
      <c r="N440" s="70">
        <f>'RESUMEN TOTAL'!AA567</f>
        <v>0</v>
      </c>
      <c r="O440" s="70">
        <f>'RESUMEN TOTAL'!AB567</f>
        <v>0</v>
      </c>
      <c r="P440" s="70">
        <f>'RESUMEN TOTAL'!AC567</f>
        <v>0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MONICA NUEVA</v>
      </c>
      <c r="B441" t="str">
        <f>'RESUMEN TOTAL'!G569</f>
        <v>VMO 02</v>
      </c>
      <c r="C441" t="str">
        <f>'RESUMEN TOTAL'!I569</f>
        <v>Rio Carapachay y Oroño</v>
      </c>
      <c r="D441" s="30" t="str">
        <f>'RESUMEN TOTAL'!J569</f>
        <v>Domo</v>
      </c>
      <c r="E441" s="30" t="str">
        <f>'RESUMEN TOTAL'!K569</f>
        <v>Radio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03 (fija 1)</v>
      </c>
      <c r="C442" t="str">
        <f>'RESUMEN TOTAL'!I570</f>
        <v>EVA PERON E/ OROÑO Y 734 A</v>
      </c>
      <c r="D442" s="30" t="str">
        <f>'RESUMEN TOTAL'!J570</f>
        <v>Fija</v>
      </c>
      <c r="E442" s="30" t="str">
        <f>'RESUMEN TOTAL'!K570</f>
        <v>Fibra Optica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 t="str">
        <f>'RESUMEN TOTAL'!V570</f>
        <v>APAGADO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04 (fija 2)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>
        <f>'RESUMEN TOTAL'!W571</f>
        <v>0</v>
      </c>
      <c r="K443" s="70">
        <f>'RESUMEN TOTAL'!X571</f>
        <v>0</v>
      </c>
      <c r="L443" s="70">
        <f>'RESUMEN TOTAL'!Y571</f>
        <v>0</v>
      </c>
      <c r="M443" s="70">
        <f>'RESUMEN TOTAL'!Z571</f>
        <v>0</v>
      </c>
      <c r="N443" s="70">
        <f>'RESUMEN TOTAL'!AA571</f>
        <v>0</v>
      </c>
      <c r="O443" s="70">
        <f>'RESUMEN TOTAL'!AB571</f>
        <v>0</v>
      </c>
      <c r="P443" s="70">
        <f>'RESUMEN TOTAL'!AC571</f>
        <v>0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05</v>
      </c>
      <c r="C444" t="str">
        <f>'RESUMEN TOTAL'!I572</f>
        <v>OROÑO Y EVA PERON</v>
      </c>
      <c r="D444" s="30" t="str">
        <f>'RESUMEN TOTAL'!J572</f>
        <v>DOMO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>
        <f>'RESUMEN TOTAL'!W572</f>
        <v>0</v>
      </c>
      <c r="K444" s="70">
        <f>'RESUMEN TOTAL'!X572</f>
        <v>0</v>
      </c>
      <c r="L444" s="70">
        <f>'RESUMEN TOTAL'!Y572</f>
        <v>0</v>
      </c>
      <c r="M444" s="70">
        <f>'RESUMEN TOTAL'!Z572</f>
        <v>0</v>
      </c>
      <c r="N444" s="70">
        <f>'RESUMEN TOTAL'!AA572</f>
        <v>0</v>
      </c>
      <c r="O444" s="70">
        <f>'RESUMEN TOTAL'!AB572</f>
        <v>0</v>
      </c>
      <c r="P444" s="70">
        <f>'RESUMEN TOTAL'!AC572</f>
        <v>0</v>
      </c>
      <c r="Q444" s="70">
        <f>'RESUMEN TOTAL'!AD572</f>
        <v>0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VMO01</v>
      </c>
      <c r="C445" t="str">
        <f>'RESUMEN TOTAL'!I573</f>
        <v>Eva Peron y Monseñor de las Casas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>
        <f>'RESUMEN TOTAL'!W573</f>
        <v>0</v>
      </c>
      <c r="K445" s="70">
        <f>'RESUMEN TOTAL'!X573</f>
        <v>0</v>
      </c>
      <c r="L445" s="70">
        <f>'RESUMEN TOTAL'!Y573</f>
        <v>0</v>
      </c>
      <c r="M445" s="70">
        <f>'RESUMEN TOTAL'!Z573</f>
        <v>0</v>
      </c>
      <c r="N445" s="70">
        <f>'RESUMEN TOTAL'!AA573</f>
        <v>0</v>
      </c>
      <c r="O445" s="70">
        <f>'RESUMEN TOTAL'!AB573</f>
        <v>0</v>
      </c>
      <c r="P445" s="70">
        <f>'RESUMEN TOTAL'!AC573</f>
        <v>0</v>
      </c>
      <c r="Q445" s="70">
        <f>'RESUMEN TOTAL'!AD573</f>
        <v>0</v>
      </c>
      <c r="R445" s="70">
        <f>'RESUMEN TOTAL'!AE573</f>
        <v>0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VIEJA</v>
      </c>
      <c r="B446" t="str">
        <f>'RESUMEN TOTAL'!G574</f>
        <v>VMOV01 (fija 1)</v>
      </c>
      <c r="C446" t="str">
        <f>'RESUMEN TOTAL'!I574</f>
        <v>ATENAS E/ CAFFERATA Y ALEMANIA</v>
      </c>
      <c r="D446" s="30" t="str">
        <f>'RESUMEN TOTAL'!J574</f>
        <v>Fija</v>
      </c>
      <c r="E446" s="30" t="str">
        <f>'RESUMEN TOTAL'!K574</f>
        <v>Fibra Optica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>
        <f>'RESUMEN TOTAL'!W574</f>
        <v>0</v>
      </c>
      <c r="K446" s="70">
        <f>'RESUMEN TOTAL'!X574</f>
        <v>0</v>
      </c>
      <c r="L446" s="70">
        <f>'RESUMEN TOTAL'!Y574</f>
        <v>0</v>
      </c>
      <c r="M446" s="70">
        <f>'RESUMEN TOTAL'!Z574</f>
        <v>0</v>
      </c>
      <c r="N446" s="70">
        <f>'RESUMEN TOTAL'!AA574</f>
        <v>0</v>
      </c>
      <c r="O446" s="70">
        <f>'RESUMEN TOTAL'!AB574</f>
        <v>0</v>
      </c>
      <c r="P446" s="70">
        <f>'RESUMEN TOTAL'!AC574</f>
        <v>0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>
        <f>'RESUMEN TOTAL'!W575</f>
        <v>0</v>
      </c>
      <c r="K447" s="70">
        <f>'RESUMEN TOTAL'!X575</f>
        <v>0</v>
      </c>
      <c r="L447" s="70">
        <f>'RESUMEN TOTAL'!Y575</f>
        <v>0</v>
      </c>
      <c r="M447" s="70">
        <f>'RESUMEN TOTAL'!Z575</f>
        <v>0</v>
      </c>
      <c r="N447" s="70">
        <f>'RESUMEN TOTAL'!AA575</f>
        <v>0</v>
      </c>
      <c r="O447" s="70">
        <f>'RESUMEN TOTAL'!AB575</f>
        <v>0</v>
      </c>
      <c r="P447" s="70">
        <f>'RESUMEN TOTAL'!AC575</f>
        <v>0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>
        <f>'RESUMEN TOTAL'!W576</f>
        <v>0</v>
      </c>
      <c r="K448" s="70">
        <f>'RESUMEN TOTAL'!X576</f>
        <v>0</v>
      </c>
      <c r="L448" s="70">
        <f>'RESUMEN TOTAL'!Y576</f>
        <v>0</v>
      </c>
      <c r="M448" s="70">
        <f>'RESUMEN TOTAL'!Z576</f>
        <v>0</v>
      </c>
      <c r="N448" s="70">
        <f>'RESUMEN TOTAL'!AA576</f>
        <v>0</v>
      </c>
      <c r="O448" s="70">
        <f>'RESUMEN TOTAL'!AB576</f>
        <v>0</v>
      </c>
      <c r="P448" s="70">
        <f>'RESUMEN TOTAL'!AC576</f>
        <v>0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VMOV04 (fija 2)</v>
      </c>
      <c r="C449" t="str">
        <f>'RESUMEN TOTAL'!I577</f>
        <v>ROMA E/ HOLANDA Y CAFFERATA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>
        <f>'RESUMEN TOTAL'!W577</f>
        <v>0</v>
      </c>
      <c r="K449" s="70">
        <f>'RESUMEN TOTAL'!X577</f>
        <v>0</v>
      </c>
      <c r="L449" s="70">
        <f>'RESUMEN TOTAL'!Y577</f>
        <v>0</v>
      </c>
      <c r="M449" s="70">
        <f>'RESUMEN TOTAL'!Z577</f>
        <v>0</v>
      </c>
      <c r="N449" s="70">
        <f>'RESUMEN TOTAL'!AA577</f>
        <v>0</v>
      </c>
      <c r="O449" s="70">
        <f>'RESUMEN TOTAL'!AB577</f>
        <v>0</v>
      </c>
      <c r="P449" s="70">
        <f>'RESUMEN TOTAL'!AC577</f>
        <v>0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SAN LUIS</v>
      </c>
      <c r="B450" t="str">
        <f>'RESUMEN TOTAL'!G578</f>
        <v>VSL 01</v>
      </c>
      <c r="C450" t="str">
        <f>'RESUMEN TOTAL'!I578</f>
        <v>AV. HUDSON Y CACHEUTA</v>
      </c>
      <c r="D450" s="30" t="str">
        <f>'RESUMEN TOTAL'!J578</f>
        <v>DOMO</v>
      </c>
      <c r="E450" s="30" t="str">
        <f>'RESUMEN TOTAL'!K578</f>
        <v>GPON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>
        <f>'RESUMEN TOTAL'!V578</f>
        <v>0</v>
      </c>
      <c r="J450" s="70">
        <f>'RESUMEN TOTAL'!W578</f>
        <v>0</v>
      </c>
      <c r="K450" s="70">
        <f>'RESUMEN TOTAL'!X578</f>
        <v>0</v>
      </c>
      <c r="L450" s="70">
        <f>'RESUMEN TOTAL'!Y578</f>
        <v>0</v>
      </c>
      <c r="M450" s="70">
        <f>'RESUMEN TOTAL'!Z578</f>
        <v>0</v>
      </c>
      <c r="N450" s="70">
        <f>'RESUMEN TOTAL'!AA578</f>
        <v>0</v>
      </c>
      <c r="O450" s="70">
        <f>'RESUMEN TOTAL'!AB578</f>
        <v>0</v>
      </c>
      <c r="P450" s="70">
        <f>'RESUMEN TOTAL'!AC578</f>
        <v>0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SUSANA</v>
      </c>
      <c r="B451" t="str">
        <f>'RESUMEN TOTAL'!G581</f>
        <v>VSU01</v>
      </c>
      <c r="C451" t="str">
        <f>'RESUMEN TOTAL'!I581</f>
        <v>CJAL. JUAN BROWN Y SANTA FE</v>
      </c>
      <c r="D451" s="30" t="str">
        <f>'RESUMEN TOTAL'!J581</f>
        <v>DOMO</v>
      </c>
      <c r="E451" s="30" t="str">
        <f>'RESUMEN TOTAL'!K581</f>
        <v>Radio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>
        <f>'RESUMEN TOTAL'!Y586</f>
        <v>0</v>
      </c>
      <c r="M456" s="70">
        <f>'RESUMEN TOTAL'!Z586</f>
        <v>0</v>
      </c>
      <c r="N456" s="70">
        <f>'RESUMEN TOTAL'!AA586</f>
        <v>0</v>
      </c>
      <c r="O456" s="70">
        <f>'RESUMEN TOTAL'!AB586</f>
        <v>0</v>
      </c>
      <c r="P456" s="70">
        <f>'RESUMEN TOTAL'!AC586</f>
        <v>0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ZEB02</v>
      </c>
      <c r="C457" t="str">
        <f>'RESUMEN TOTAL'!I588</f>
        <v>Quinquela Martin y Sgo. del Estero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9 DE JULIO</v>
      </c>
      <c r="B458" t="str">
        <f>'RESUMEN TOTAL'!G589</f>
        <v>ZEB03</v>
      </c>
      <c r="C458" t="str">
        <f>'RESUMEN TOTAL'!I589</f>
        <v>Quinquela Martin y Pte. Peron</v>
      </c>
      <c r="D458" s="30" t="str">
        <f>'RESUMEN TOTAL'!J589</f>
        <v>Domo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ZEB04</v>
      </c>
      <c r="C459" t="str">
        <f>'RESUMEN TOTAL'!I590</f>
        <v>THEVENET Y DIAGONAL GRANADEROS</v>
      </c>
      <c r="D459" s="30" t="str">
        <f>'RESUMEN TOTAL'!J590</f>
        <v>DOMO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05</v>
      </c>
      <c r="C460" t="str">
        <f>'RESUMEN TOTAL'!I591</f>
        <v>DIAG. GRANADEROS Y 214 BIS</v>
      </c>
      <c r="D460" s="30" t="str">
        <f>'RESUMEN TOTAL'!J591</f>
        <v>Domo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1292</v>
      </c>
      <c r="B642" t="s">
        <v>1328</v>
      </c>
      <c r="C642" t="s">
        <v>1327</v>
      </c>
      <c r="D642" s="30" t="s">
        <v>1297</v>
      </c>
      <c r="E642" s="30" t="s">
        <v>1291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1292</v>
      </c>
      <c r="B643" t="s">
        <v>1329</v>
      </c>
      <c r="C643" t="s">
        <v>1327</v>
      </c>
      <c r="D643" t="s">
        <v>1290</v>
      </c>
      <c r="E643" s="30" t="s">
        <v>1291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H3" sqref="H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1060</v>
      </c>
      <c r="C1" s="36">
        <v>45992</v>
      </c>
    </row>
    <row r="2" spans="1:36" ht="16.5" thickTop="1" thickBot="1" x14ac:dyDescent="0.3">
      <c r="A2" s="49" t="s">
        <v>1052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1052</v>
      </c>
      <c r="E3" s="45" t="s">
        <v>1061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TOTAL'!X8:X704,"=APAGADO",'RESUMEN TOTAL'!H8:H704,"=BONOMO")</f>
        <v>0</v>
      </c>
      <c r="L3" s="46">
        <f>COUNTIFS('RESUMEN TOTAL'!Y8:Y704,"=APAGADO",'RESUMEN TOTAL'!I8:I704,"=BONOMO")</f>
        <v>0</v>
      </c>
      <c r="M3" s="46">
        <v>0</v>
      </c>
      <c r="N3" s="46">
        <f>COUNTIFS('RESUMEN TOTAL'!AA8:AA704,"=APAGADO",'RESUMEN TOTAL'!H8:H704,"=BONOMO")</f>
        <v>0</v>
      </c>
      <c r="O3" s="46">
        <f>COUNTIFS('RESUMEN TOTAL'!AB8:AB704,"=APAGADO",'RESUMEN TOTAL'!H8:H704,"=BONOMO")</f>
        <v>0</v>
      </c>
      <c r="P3" s="46">
        <f>COUNTIFS('RESUMEN TOTAL'!AC8:AC704,"=APAGADO",'RESUMEN TOTAL'!H8:H704,"=BONOMO")</f>
        <v>0</v>
      </c>
      <c r="Q3" s="46">
        <f>COUNTIFS('RESUMEN TOTAL'!AD8:AD704,"=APAGADO",'RESUMEN TOTAL'!H8:H704,"=BONOMO")</f>
        <v>0</v>
      </c>
      <c r="R3" s="46">
        <f>COUNTIFS('RESUMEN TOTAL'!AE8:AE704,"=APAGADO",'RESUMEN TOTAL'!H8:H704,"=BONOMO")</f>
        <v>0</v>
      </c>
      <c r="S3" s="46">
        <f>COUNTIFS('RESUMEN TOTAL'!AF8:AF704,"=APAGADO",'RESUMEN TOTAL'!H8:H704,"=BONOMO")</f>
        <v>0</v>
      </c>
      <c r="T3" s="46">
        <f>COUNTIFS('RESUMEN TOTAL'!AG8:AG704,"=APAGADO",'RESUMEN TOTAL'!H8:H704,"=BONOMO")</f>
        <v>0</v>
      </c>
      <c r="U3" s="46">
        <f>COUNTIFS('RESUMEN TOTAL'!AH8:AH704,"=APAGADO",'RESUMEN TOTAL'!H8:H704,"=BONOMO")</f>
        <v>0</v>
      </c>
      <c r="V3" s="46">
        <f>COUNTIFS('RESUMEN TOTAL'!AI8:AI704,"=APAGADO",'RESUMEN TOTAL'!H8:H704,"=BONOMO")</f>
        <v>0</v>
      </c>
      <c r="W3" s="46">
        <f>COUNTIFS('RESUMEN TOTAL'!AJ8:AJ704,"=APAGADO",'RESUMEN TOTAL'!H8:H704,"=BONOMO")</f>
        <v>0</v>
      </c>
      <c r="X3" s="46">
        <f>COUNTIFS('RESUMEN TOTAL'!AK8:AK704,"=APAGADO",'RESUMEN TOTAL'!H8:H704,"=BONOMO")</f>
        <v>0</v>
      </c>
      <c r="Y3" s="46">
        <f>COUNTIFS('RESUMEN TOTAL'!AL8:AL704,"=APAGADO",'RESUMEN TOTAL'!H8:H704,"=BONOMO")</f>
        <v>0</v>
      </c>
      <c r="Z3" s="46">
        <f>COUNTIFS('RESUMEN TOTAL'!AM8:AM704,"=APAGADO",'RESUMEN TOTAL'!H8:H704,"=BONOMO")</f>
        <v>0</v>
      </c>
      <c r="AA3" s="46">
        <f>COUNTIFS('RESUMEN TOTAL'!AN8:AN704,"=APAGADO",'RESUMEN TOTAL'!H8:H704,"=BONOMO")</f>
        <v>0</v>
      </c>
      <c r="AB3" s="46">
        <f>COUNTIFS('RESUMEN TOTAL'!AO8:AO704,"=APAGADO",'RESUMEN TOTAL'!H8:H704,"=BONOMO")</f>
        <v>0</v>
      </c>
      <c r="AC3" s="46">
        <f>COUNTIFS('RESUMEN TOTAL'!AP8:AP704,"=APAGADO",'RESUMEN TOTAL'!H8:H704,"=BONOMO")</f>
        <v>0</v>
      </c>
      <c r="AD3" s="46">
        <f>COUNTIFS('RESUMEN TOTAL'!AQ8:AQ704,"=APAGADO",'RESUMEN TOTAL'!H8:H704,"=BONOMO")</f>
        <v>0</v>
      </c>
      <c r="AE3" s="46">
        <v>29</v>
      </c>
      <c r="AF3" s="46">
        <f>COUNTIFS('RESUMEN TOTAL'!AS8:AS704,"=APAGADO",'RESUMEN TOTAL'!H8:H704,"=BONOMO")</f>
        <v>0</v>
      </c>
      <c r="AG3" s="46">
        <f>COUNTIFS('RESUMEN TOTAL'!AT8:AT704,"=APAGADO",'RESUMEN TOTAL'!H8:H704,"=BONOMO")</f>
        <v>0</v>
      </c>
      <c r="AH3" s="46">
        <f>COUNTIFS('RESUMEN TOTAL'!AU8:AU704,"=APAGADO",'RESUMEN TOTAL'!I8:I704,"=BONOMO")</f>
        <v>0</v>
      </c>
      <c r="AI3" s="46">
        <v>48</v>
      </c>
      <c r="AJ3" s="46" t="e">
        <f>COUNTIFS('RESUMEN TOTAL'!#REF!,"=APAGADO",'RESUMEN TOTAL'!K8:K704,"=BONOMO")</f>
        <v>#REF!</v>
      </c>
    </row>
    <row r="4" spans="1:36" ht="16.5" thickTop="1" thickBot="1" x14ac:dyDescent="0.3">
      <c r="A4" s="48" t="s">
        <v>1053</v>
      </c>
      <c r="B4" s="41">
        <f>COUNTIFS('RESUMEN TOTAL'!H8:H627,"=COSEIDI")</f>
        <v>281</v>
      </c>
      <c r="C4" s="46">
        <v>0</v>
      </c>
      <c r="D4" s="39"/>
      <c r="E4" s="37" t="s">
        <v>1063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0.15584415584415584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1053</v>
      </c>
      <c r="E5" s="47" t="s">
        <v>1062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0</v>
      </c>
      <c r="K5" s="46">
        <f>COUNTIFS('RESUMEN TOTAL'!X10:X706,"=APAGADO",'RESUMEN TOTAL'!H10:H706,"=COSEIDI")</f>
        <v>0</v>
      </c>
      <c r="L5" s="46">
        <f>COUNTIFS('RESUMEN TOTAL'!Y10:Y706,"=APAGADO",'RESUMEN TOTAL'!H10:H706,"=COSEIDI")</f>
        <v>0</v>
      </c>
      <c r="M5" s="46">
        <v>0</v>
      </c>
      <c r="N5" s="46">
        <f>COUNTIFS('RESUMEN TOTAL'!AA10:AA706,"=APAGADO",'RESUMEN TOTAL'!H10:H706,"=COSEIDI")</f>
        <v>0</v>
      </c>
      <c r="O5" s="46">
        <f>COUNTIFS('RESUMEN TOTAL'!AB10:AB706,"=APAGADO",'RESUMEN TOTAL'!H10:H706,"=COSEIDI")</f>
        <v>0</v>
      </c>
      <c r="P5" s="46">
        <f>COUNTIFS('RESUMEN TOTAL'!AC10:AC706,"=APAGADO",'RESUMEN TOTAL'!H10:H706,"=COSEIDI")</f>
        <v>0</v>
      </c>
      <c r="Q5" s="46">
        <f>COUNTIFS('RESUMEN TOTAL'!AD10:AD706,"=APAGADO",'RESUMEN TOTAL'!H10:H706,"=COSEIDI")</f>
        <v>0</v>
      </c>
      <c r="R5" s="46">
        <f>COUNTIFS('RESUMEN TOTAL'!AE10:AE706,"=APAGADO",'RESUMEN TOTAL'!H10:H706,"=COSEIDI")</f>
        <v>0</v>
      </c>
      <c r="S5" s="46">
        <f>COUNTIFS('RESUMEN TOTAL'!AF10:AF706,"=APAGADO",'RESUMEN TOTAL'!H10:H706,"=COSEIDI")</f>
        <v>0</v>
      </c>
      <c r="T5" s="46">
        <v>0</v>
      </c>
      <c r="U5" s="46">
        <f>COUNTIFS('RESUMEN TOTAL'!AE10:AE706,"=APAGADO",'RESUMEN TOTAL'!H10:H706,"=COSEIDI")</f>
        <v>0</v>
      </c>
      <c r="V5" s="46">
        <f>COUNTIFS('RESUMEN TOTAL'!AI10:AI706,"=APAGADO",'RESUMEN TOTAL'!H10:H706,"=COSEIDI")</f>
        <v>0</v>
      </c>
      <c r="W5" s="46">
        <f>COUNTIFS('RESUMEN TOTAL'!AJ10:AJ706,"=APAGADO",'RESUMEN TOTAL'!H10:H706,"=COSEIDI")</f>
        <v>0</v>
      </c>
      <c r="X5" s="46">
        <f>COUNTIFS('RESUMEN TOTAL'!AK10:AK706,"=APAGADO",'RESUMEN TOTAL'!H10:H706,"=COSEIDI")</f>
        <v>0</v>
      </c>
      <c r="Y5" s="46">
        <f>COUNTIFS('RESUMEN TOTAL'!AL10:AL706,"=APAGADO",'RESUMEN TOTAL'!H10:H706,"=COSEIDI")</f>
        <v>0</v>
      </c>
      <c r="Z5" s="46">
        <f>COUNTIFS('RESUMEN TOTAL'!AM10:AM706,"=APAGADO",'RESUMEN TOTAL'!H10:H706,"=COSEIDI")</f>
        <v>0</v>
      </c>
      <c r="AA5" s="46">
        <f>COUNTIFS('RESUMEN TOTAL'!AN10:AN706,"=APAGADO",'RESUMEN TOTAL'!H10:H706,"=COSEIDI")</f>
        <v>0</v>
      </c>
      <c r="AB5" s="46">
        <f>COUNTIFS('RESUMEN TOTAL'!AO10:AO706,"=APAGADO",'RESUMEN TOTAL'!H10:H706,"=COSEIDI")</f>
        <v>0</v>
      </c>
      <c r="AC5" s="46">
        <f>COUNTIFS('RESUMEN TOTAL'!AP10:AP706,"=APAGADO",'RESUMEN TOTAL'!H10:H706,"=COSEIDI")</f>
        <v>0</v>
      </c>
      <c r="AD5" s="46">
        <f>COUNTIFS('RESUMEN TOTAL'!AQ10:AQ706,"=APAGADO",'RESUMEN TOTAL'!H10:H706,"=COSEIDI")</f>
        <v>0</v>
      </c>
      <c r="AE5" s="46">
        <f>COUNTIFS('RESUMEN TOTAL'!AR10:AR706,"=APAGADO",'RESUMEN TOTAL'!H10:H706,"=COSEIDI")</f>
        <v>0</v>
      </c>
      <c r="AF5" s="46">
        <f>COUNTIFS('RESUMEN TOTAL'!AS10:AS706,"=APAGADO",'RESUMEN TOTAL'!H10:H706,"=COSEIDI")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1064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8" zoomScaleNormal="100" workbookViewId="0">
      <selection activeCell="D44" sqref="D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903</v>
      </c>
      <c r="D1" s="106" t="s">
        <v>1447</v>
      </c>
      <c r="E1" s="107" t="s">
        <v>904</v>
      </c>
    </row>
    <row r="2" spans="1:6" ht="15.6" customHeight="1" thickTop="1" x14ac:dyDescent="0.25">
      <c r="A2" s="75"/>
      <c r="B2" s="52" t="s">
        <v>1232</v>
      </c>
      <c r="C2" s="98">
        <f>CANTIDAD_DE_CAMARAS</f>
        <v>589</v>
      </c>
      <c r="D2" s="99"/>
      <c r="E2" s="104"/>
      <c r="F2" s="149">
        <v>46113</v>
      </c>
    </row>
    <row r="3" spans="1:6" ht="15" customHeight="1" x14ac:dyDescent="0.25">
      <c r="A3" s="76" t="s">
        <v>1459</v>
      </c>
      <c r="B3" s="53" t="s">
        <v>6</v>
      </c>
      <c r="C3" s="66">
        <f>'RESUMEN TOTAL'!S3</f>
        <v>0</v>
      </c>
      <c r="D3" s="54"/>
      <c r="E3" s="55">
        <f>C3/C2</f>
        <v>0</v>
      </c>
      <c r="F3" s="150"/>
    </row>
    <row r="4" spans="1:6" x14ac:dyDescent="0.25">
      <c r="A4" s="76"/>
      <c r="B4" s="53" t="s">
        <v>1233</v>
      </c>
      <c r="C4" s="67">
        <v>17</v>
      </c>
      <c r="D4" s="101">
        <f>C3-C4</f>
        <v>-17</v>
      </c>
      <c r="E4" s="55">
        <f>D4/C2</f>
        <v>-2.8862478777589132E-2</v>
      </c>
      <c r="F4" s="150"/>
    </row>
    <row r="5" spans="1:6" x14ac:dyDescent="0.25">
      <c r="A5" s="76"/>
      <c r="B5" s="53" t="s">
        <v>1234</v>
      </c>
      <c r="C5" s="67">
        <v>11</v>
      </c>
      <c r="D5" s="101">
        <f>D4-C5</f>
        <v>-28</v>
      </c>
      <c r="E5" s="55">
        <f>D5/C2</f>
        <v>-4.7538200339558571E-2</v>
      </c>
      <c r="F5" s="150"/>
    </row>
    <row r="6" spans="1:6" x14ac:dyDescent="0.25">
      <c r="A6" s="95" t="s">
        <v>1459</v>
      </c>
      <c r="B6" s="53" t="s">
        <v>15</v>
      </c>
      <c r="C6" s="92">
        <v>16</v>
      </c>
      <c r="D6" s="101">
        <f>D5-C6</f>
        <v>-44</v>
      </c>
      <c r="E6" s="55">
        <f>D6/C2</f>
        <v>-7.4702886247877756E-2</v>
      </c>
      <c r="F6" s="150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50"/>
    </row>
    <row r="8" spans="1:6" ht="16.5" thickTop="1" thickBot="1" x14ac:dyDescent="0.3">
      <c r="A8" s="93"/>
      <c r="B8" s="109"/>
      <c r="C8" s="108" t="s">
        <v>903</v>
      </c>
      <c r="D8" s="94" t="s">
        <v>1447</v>
      </c>
      <c r="E8" s="100" t="s">
        <v>904</v>
      </c>
      <c r="F8" s="150"/>
    </row>
    <row r="9" spans="1:6" ht="15" customHeight="1" thickTop="1" thickBot="1" x14ac:dyDescent="0.3">
      <c r="A9" s="35" t="s">
        <v>1461</v>
      </c>
      <c r="B9" s="96" t="s">
        <v>1052</v>
      </c>
      <c r="C9" s="97">
        <v>307</v>
      </c>
      <c r="D9" s="113">
        <v>39</v>
      </c>
      <c r="E9" s="103">
        <f>D9/C9</f>
        <v>0.12703583061889251</v>
      </c>
      <c r="F9" s="150"/>
    </row>
    <row r="10" spans="1:6" ht="15.75" thickBot="1" x14ac:dyDescent="0.3">
      <c r="A10" t="s">
        <v>1461</v>
      </c>
      <c r="B10" s="110" t="s">
        <v>1053</v>
      </c>
      <c r="C10" s="111">
        <f>COSEIDIcam</f>
        <v>281</v>
      </c>
      <c r="D10" s="111">
        <v>68</v>
      </c>
      <c r="E10" s="112">
        <f>D10/C10</f>
        <v>0.24199288256227758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903</v>
      </c>
      <c r="D12" s="106" t="s">
        <v>1447</v>
      </c>
      <c r="E12" s="107" t="s">
        <v>904</v>
      </c>
    </row>
    <row r="13" spans="1:6" ht="15" customHeight="1" thickTop="1" x14ac:dyDescent="0.25">
      <c r="B13" s="52" t="s">
        <v>1232</v>
      </c>
      <c r="C13" s="98">
        <f>CANTIDAD_DE_CAMARAS</f>
        <v>589</v>
      </c>
      <c r="D13" s="99"/>
      <c r="E13" s="104"/>
      <c r="F13" s="149">
        <v>46114</v>
      </c>
    </row>
    <row r="14" spans="1:6" x14ac:dyDescent="0.25">
      <c r="A14" t="s">
        <v>1460</v>
      </c>
      <c r="B14" s="53" t="s">
        <v>6</v>
      </c>
      <c r="C14" s="66">
        <v>87</v>
      </c>
      <c r="D14" s="54"/>
      <c r="E14" s="55">
        <f>C14/C13</f>
        <v>0.14770797962648557</v>
      </c>
      <c r="F14" s="150"/>
    </row>
    <row r="15" spans="1:6" x14ac:dyDescent="0.25">
      <c r="B15" s="53" t="s">
        <v>1233</v>
      </c>
      <c r="C15" s="67">
        <v>3</v>
      </c>
      <c r="D15" s="101">
        <v>84</v>
      </c>
      <c r="E15" s="55">
        <f>D15/C13</f>
        <v>0.14261460101867574</v>
      </c>
      <c r="F15" s="150"/>
    </row>
    <row r="16" spans="1:6" x14ac:dyDescent="0.25">
      <c r="B16" s="53" t="s">
        <v>1234</v>
      </c>
      <c r="C16" s="67">
        <v>7</v>
      </c>
      <c r="D16" s="101">
        <v>77</v>
      </c>
      <c r="E16" s="55">
        <f>D16/C13</f>
        <v>0.13073005093378609</v>
      </c>
      <c r="F16" s="150"/>
    </row>
    <row r="17" spans="1:6" x14ac:dyDescent="0.25">
      <c r="A17" t="s">
        <v>1460</v>
      </c>
      <c r="B17" s="53" t="s">
        <v>15</v>
      </c>
      <c r="C17" s="92">
        <v>5</v>
      </c>
      <c r="D17" s="101">
        <v>72</v>
      </c>
      <c r="E17" s="55">
        <f>D17/C13</f>
        <v>0.12224108658743633</v>
      </c>
      <c r="F17" s="150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50"/>
    </row>
    <row r="19" spans="1:6" ht="16.5" thickTop="1" thickBot="1" x14ac:dyDescent="0.3">
      <c r="B19" s="109"/>
      <c r="C19" s="108" t="s">
        <v>903</v>
      </c>
      <c r="D19" s="94" t="s">
        <v>1447</v>
      </c>
      <c r="E19" s="100" t="s">
        <v>904</v>
      </c>
      <c r="F19" s="150"/>
    </row>
    <row r="20" spans="1:6" ht="16.5" thickTop="1" thickBot="1" x14ac:dyDescent="0.3">
      <c r="A20" t="s">
        <v>1462</v>
      </c>
      <c r="B20" s="96" t="s">
        <v>1052</v>
      </c>
      <c r="C20" s="97">
        <v>307</v>
      </c>
      <c r="D20" s="113">
        <v>32</v>
      </c>
      <c r="E20" s="103">
        <f>D20/C20</f>
        <v>0.10423452768729642</v>
      </c>
      <c r="F20" s="150"/>
    </row>
    <row r="21" spans="1:6" ht="15.75" thickBot="1" x14ac:dyDescent="0.3">
      <c r="A21" t="s">
        <v>1462</v>
      </c>
      <c r="B21" s="110" t="s">
        <v>1053</v>
      </c>
      <c r="C21" s="111">
        <f>COSEIDIcam</f>
        <v>281</v>
      </c>
      <c r="D21" s="111">
        <v>55</v>
      </c>
      <c r="E21" s="112">
        <f>D21/C21</f>
        <v>0.19572953736654805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903</v>
      </c>
      <c r="D23" s="106" t="s">
        <v>1447</v>
      </c>
      <c r="E23" s="107" t="s">
        <v>904</v>
      </c>
    </row>
    <row r="24" spans="1:6" ht="15.75" thickTop="1" x14ac:dyDescent="0.25">
      <c r="B24" s="52" t="s">
        <v>1232</v>
      </c>
      <c r="C24" s="98">
        <f>CANTIDAD_DE_CAMARAS</f>
        <v>589</v>
      </c>
      <c r="D24" s="99"/>
      <c r="E24" s="104"/>
      <c r="F24" s="149">
        <v>46115</v>
      </c>
    </row>
    <row r="25" spans="1:6" x14ac:dyDescent="0.25">
      <c r="A25" t="s">
        <v>1453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0"/>
    </row>
    <row r="26" spans="1:6" x14ac:dyDescent="0.25">
      <c r="B26" s="53" t="s">
        <v>1233</v>
      </c>
      <c r="C26" s="67">
        <v>6</v>
      </c>
      <c r="D26" s="101">
        <f>C25-C26</f>
        <v>-6</v>
      </c>
      <c r="E26" s="55">
        <f>D26/C24</f>
        <v>-1.0186757215619695E-2</v>
      </c>
      <c r="F26" s="150"/>
    </row>
    <row r="27" spans="1:6" x14ac:dyDescent="0.25">
      <c r="B27" s="53" t="s">
        <v>1234</v>
      </c>
      <c r="C27" s="67">
        <v>7</v>
      </c>
      <c r="D27" s="101">
        <f>D26-C27</f>
        <v>-13</v>
      </c>
      <c r="E27" s="55">
        <f>D27/C24</f>
        <v>-2.2071307300509338E-2</v>
      </c>
      <c r="F27" s="150"/>
    </row>
    <row r="28" spans="1:6" x14ac:dyDescent="0.25">
      <c r="A28" t="s">
        <v>1453</v>
      </c>
      <c r="B28" s="53" t="s">
        <v>15</v>
      </c>
      <c r="C28" s="92">
        <f>'RESUMEN TOTAL'!U5</f>
        <v>0</v>
      </c>
      <c r="D28" s="101">
        <f>D27-C28</f>
        <v>-13</v>
      </c>
      <c r="E28" s="55">
        <f>D28/C24</f>
        <v>-2.2071307300509338E-2</v>
      </c>
      <c r="F28" s="150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50"/>
    </row>
    <row r="30" spans="1:6" ht="16.5" thickTop="1" thickBot="1" x14ac:dyDescent="0.3">
      <c r="B30" s="109"/>
      <c r="C30" s="108" t="s">
        <v>903</v>
      </c>
      <c r="D30" s="94" t="s">
        <v>1447</v>
      </c>
      <c r="E30" s="100" t="s">
        <v>904</v>
      </c>
      <c r="F30" s="150"/>
    </row>
    <row r="31" spans="1:6" ht="16.5" thickTop="1" thickBot="1" x14ac:dyDescent="0.3">
      <c r="B31" s="96" t="s">
        <v>1052</v>
      </c>
      <c r="C31" s="97">
        <v>307</v>
      </c>
      <c r="D31" s="113">
        <v>31</v>
      </c>
      <c r="E31" s="103">
        <f>D31/C31</f>
        <v>0.10097719869706841</v>
      </c>
      <c r="F31" s="150"/>
    </row>
    <row r="32" spans="1:6" ht="15.75" thickBot="1" x14ac:dyDescent="0.3">
      <c r="B32" s="110" t="s">
        <v>1053</v>
      </c>
      <c r="C32" s="111">
        <f>COSEIDIcam</f>
        <v>281</v>
      </c>
      <c r="D32" s="111">
        <v>52</v>
      </c>
      <c r="E32" s="112">
        <f>D32/C32</f>
        <v>0.18505338078291814</v>
      </c>
      <c r="F32" s="151"/>
    </row>
    <row r="33" spans="1:6" ht="16.5" thickTop="1" thickBot="1" x14ac:dyDescent="0.3"/>
    <row r="34" spans="1:6" ht="16.5" thickTop="1" thickBot="1" x14ac:dyDescent="0.3">
      <c r="C34" s="105" t="s">
        <v>903</v>
      </c>
      <c r="D34" s="106" t="s">
        <v>1447</v>
      </c>
      <c r="E34" s="107" t="s">
        <v>904</v>
      </c>
    </row>
    <row r="35" spans="1:6" ht="15.75" thickTop="1" x14ac:dyDescent="0.25">
      <c r="B35" s="52" t="s">
        <v>1232</v>
      </c>
      <c r="C35" s="98">
        <f>CANTIDAD_DE_CAMARAS</f>
        <v>589</v>
      </c>
      <c r="D35" s="99"/>
      <c r="E35" s="104"/>
      <c r="F35" s="149">
        <v>46146</v>
      </c>
    </row>
    <row r="36" spans="1:6" x14ac:dyDescent="0.25">
      <c r="A36" t="s">
        <v>1452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0"/>
    </row>
    <row r="37" spans="1:6" x14ac:dyDescent="0.25">
      <c r="B37" s="53" t="s">
        <v>1233</v>
      </c>
      <c r="C37" s="67">
        <v>6</v>
      </c>
      <c r="D37" s="101">
        <f>C36-C37</f>
        <v>109</v>
      </c>
      <c r="E37" s="55">
        <f>D37/C35</f>
        <v>0.18505942275042445</v>
      </c>
      <c r="F37" s="150"/>
    </row>
    <row r="38" spans="1:6" x14ac:dyDescent="0.25">
      <c r="B38" s="53" t="s">
        <v>1234</v>
      </c>
      <c r="C38" s="67">
        <v>12</v>
      </c>
      <c r="D38" s="101">
        <f>D37-C38</f>
        <v>97</v>
      </c>
      <c r="E38" s="55">
        <f>D38/C35</f>
        <v>0.16468590831918506</v>
      </c>
      <c r="F38" s="150"/>
    </row>
    <row r="39" spans="1:6" x14ac:dyDescent="0.25">
      <c r="A39" t="s">
        <v>1452</v>
      </c>
      <c r="B39" s="53" t="s">
        <v>15</v>
      </c>
      <c r="C39" s="92">
        <v>5</v>
      </c>
      <c r="D39" s="101">
        <f>D38-C39</f>
        <v>92</v>
      </c>
      <c r="E39" s="55">
        <f>D39/C35</f>
        <v>0.15619694397283532</v>
      </c>
      <c r="F39" s="150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50"/>
    </row>
    <row r="41" spans="1:6" ht="16.5" thickTop="1" thickBot="1" x14ac:dyDescent="0.3">
      <c r="B41" s="109"/>
      <c r="C41" s="108" t="s">
        <v>903</v>
      </c>
      <c r="D41" s="94" t="s">
        <v>1447</v>
      </c>
      <c r="E41" s="100" t="s">
        <v>904</v>
      </c>
      <c r="F41" s="150"/>
    </row>
    <row r="42" spans="1:6" ht="16.5" thickTop="1" thickBot="1" x14ac:dyDescent="0.3">
      <c r="B42" s="96" t="s">
        <v>1052</v>
      </c>
      <c r="C42" s="97">
        <v>307</v>
      </c>
      <c r="D42" s="113">
        <v>47</v>
      </c>
      <c r="E42" s="103">
        <f>D42/C42</f>
        <v>0.15309446254071662</v>
      </c>
      <c r="F42" s="150"/>
    </row>
    <row r="43" spans="1:6" ht="15.75" thickBot="1" x14ac:dyDescent="0.3">
      <c r="B43" s="110" t="s">
        <v>1053</v>
      </c>
      <c r="C43" s="111">
        <f>COSEIDIcam</f>
        <v>281</v>
      </c>
      <c r="D43" s="111">
        <v>68</v>
      </c>
      <c r="E43" s="112">
        <f>D43/C43</f>
        <v>0.24199288256227758</v>
      </c>
      <c r="F43" s="151"/>
    </row>
    <row r="44" spans="1:6" ht="16.5" thickTop="1" thickBot="1" x14ac:dyDescent="0.3"/>
    <row r="45" spans="1:6" ht="16.5" thickTop="1" thickBot="1" x14ac:dyDescent="0.3">
      <c r="C45" s="105" t="s">
        <v>903</v>
      </c>
      <c r="D45" s="106" t="s">
        <v>1447</v>
      </c>
      <c r="E45" s="107" t="s">
        <v>904</v>
      </c>
    </row>
    <row r="46" spans="1:6" ht="15.75" thickTop="1" x14ac:dyDescent="0.25">
      <c r="B46" s="52" t="s">
        <v>1232</v>
      </c>
      <c r="C46" s="98">
        <f>CANTIDAD_DE_CAMARAS</f>
        <v>589</v>
      </c>
      <c r="D46" s="99"/>
      <c r="E46" s="104"/>
      <c r="F46" s="149">
        <v>46147</v>
      </c>
    </row>
    <row r="47" spans="1:6" x14ac:dyDescent="0.25">
      <c r="A47" t="s">
        <v>1454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0"/>
    </row>
    <row r="48" spans="1:6" x14ac:dyDescent="0.25">
      <c r="B48" s="53" t="s">
        <v>1233</v>
      </c>
      <c r="C48" s="67">
        <v>4</v>
      </c>
      <c r="D48" s="101">
        <f>C47-C48</f>
        <v>-4</v>
      </c>
      <c r="E48" s="55">
        <f>D48/C46</f>
        <v>-6.7911714770797962E-3</v>
      </c>
      <c r="F48" s="150"/>
    </row>
    <row r="49" spans="1:6" x14ac:dyDescent="0.25">
      <c r="B49" s="53" t="s">
        <v>1234</v>
      </c>
      <c r="C49" s="67">
        <v>8</v>
      </c>
      <c r="D49" s="101">
        <f>D48-C49</f>
        <v>-12</v>
      </c>
      <c r="E49" s="55">
        <f>D49/C46</f>
        <v>-2.037351443123939E-2</v>
      </c>
      <c r="F49" s="150"/>
    </row>
    <row r="50" spans="1:6" x14ac:dyDescent="0.25">
      <c r="A50" t="s">
        <v>1454</v>
      </c>
      <c r="B50" s="53" t="s">
        <v>15</v>
      </c>
      <c r="C50" s="92">
        <f>'RESUMEN TOTAL'!W5</f>
        <v>0</v>
      </c>
      <c r="D50" s="101">
        <f>D49-C50</f>
        <v>-12</v>
      </c>
      <c r="E50" s="55">
        <f>D50/C46</f>
        <v>-2.037351443123939E-2</v>
      </c>
      <c r="F50" s="150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50"/>
    </row>
    <row r="52" spans="1:6" ht="16.5" thickTop="1" thickBot="1" x14ac:dyDescent="0.3">
      <c r="B52" s="109"/>
      <c r="C52" s="108" t="s">
        <v>903</v>
      </c>
      <c r="D52" s="94" t="s">
        <v>1447</v>
      </c>
      <c r="E52" s="100" t="s">
        <v>904</v>
      </c>
      <c r="F52" s="150"/>
    </row>
    <row r="53" spans="1:6" ht="16.5" thickTop="1" thickBot="1" x14ac:dyDescent="0.3">
      <c r="B53" s="96" t="s">
        <v>1052</v>
      </c>
      <c r="C53" s="97">
        <v>307</v>
      </c>
      <c r="D53" s="113">
        <f>Hoja1!J3</f>
        <v>29</v>
      </c>
      <c r="E53" s="103">
        <f>D53/C53</f>
        <v>9.4462540716612378E-2</v>
      </c>
      <c r="F53" s="150"/>
    </row>
    <row r="54" spans="1:6" ht="15.75" thickBot="1" x14ac:dyDescent="0.3">
      <c r="B54" s="110" t="s">
        <v>1053</v>
      </c>
      <c r="C54" s="111">
        <f>COSEIDIcam</f>
        <v>281</v>
      </c>
      <c r="D54" s="111">
        <f>Hoja1!J5</f>
        <v>0</v>
      </c>
      <c r="E54" s="112">
        <f>D54/C54</f>
        <v>0</v>
      </c>
      <c r="F54" s="151"/>
    </row>
    <row r="55" spans="1:6" ht="16.5" thickTop="1" thickBot="1" x14ac:dyDescent="0.3"/>
    <row r="56" spans="1:6" ht="16.5" thickTop="1" thickBot="1" x14ac:dyDescent="0.3">
      <c r="C56" s="105" t="s">
        <v>903</v>
      </c>
      <c r="D56" s="106" t="s">
        <v>1447</v>
      </c>
      <c r="E56" s="107" t="s">
        <v>904</v>
      </c>
    </row>
    <row r="57" spans="1:6" ht="15.75" thickTop="1" x14ac:dyDescent="0.25">
      <c r="B57" s="52" t="s">
        <v>1232</v>
      </c>
      <c r="C57" s="98">
        <f>CANTIDAD_DE_CAMARAS</f>
        <v>589</v>
      </c>
      <c r="D57" s="99"/>
      <c r="E57" s="104"/>
      <c r="F57" s="149">
        <v>46118</v>
      </c>
    </row>
    <row r="58" spans="1:6" x14ac:dyDescent="0.25">
      <c r="A58" t="s">
        <v>1455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0"/>
    </row>
    <row r="59" spans="1:6" x14ac:dyDescent="0.25">
      <c r="B59" s="53" t="s">
        <v>1233</v>
      </c>
      <c r="C59" s="67">
        <v>4</v>
      </c>
      <c r="D59" s="101">
        <f>C58-C59</f>
        <v>-4</v>
      </c>
      <c r="E59" s="55">
        <f>D59/C57</f>
        <v>-6.7911714770797962E-3</v>
      </c>
      <c r="F59" s="150"/>
    </row>
    <row r="60" spans="1:6" x14ac:dyDescent="0.25">
      <c r="B60" s="53" t="s">
        <v>1234</v>
      </c>
      <c r="C60" s="67">
        <v>11</v>
      </c>
      <c r="D60" s="101">
        <f>D59-C60</f>
        <v>-15</v>
      </c>
      <c r="E60" s="55">
        <f>D60/C57</f>
        <v>-2.5466893039049237E-2</v>
      </c>
      <c r="F60" s="150"/>
    </row>
    <row r="61" spans="1:6" x14ac:dyDescent="0.25">
      <c r="A61" t="s">
        <v>1455</v>
      </c>
      <c r="B61" s="53" t="s">
        <v>15</v>
      </c>
      <c r="C61" s="92">
        <v>6</v>
      </c>
      <c r="D61" s="101">
        <f>D60-C61</f>
        <v>-21</v>
      </c>
      <c r="E61" s="55">
        <f>D61/C57</f>
        <v>-3.5653650254668934E-2</v>
      </c>
      <c r="F61" s="150"/>
    </row>
    <row r="62" spans="1:6" ht="15.75" thickBot="1" x14ac:dyDescent="0.3">
      <c r="B62" s="56"/>
      <c r="C62" s="129"/>
      <c r="D62" s="102"/>
      <c r="E62" s="74">
        <f>D62/C57</f>
        <v>0</v>
      </c>
      <c r="F62" s="150"/>
    </row>
    <row r="63" spans="1:6" ht="16.5" thickTop="1" thickBot="1" x14ac:dyDescent="0.3">
      <c r="B63" s="109"/>
      <c r="C63" s="108" t="s">
        <v>903</v>
      </c>
      <c r="D63" s="94" t="s">
        <v>1447</v>
      </c>
      <c r="E63" s="100" t="s">
        <v>904</v>
      </c>
      <c r="F63" s="150"/>
    </row>
    <row r="64" spans="1:6" ht="16.5" thickTop="1" thickBot="1" x14ac:dyDescent="0.3">
      <c r="B64" s="96" t="s">
        <v>1052</v>
      </c>
      <c r="C64" s="97">
        <v>307</v>
      </c>
      <c r="D64" s="113">
        <f>Hoja1!K3</f>
        <v>0</v>
      </c>
      <c r="E64" s="103">
        <f>D64/C64</f>
        <v>0</v>
      </c>
      <c r="F64" s="150"/>
    </row>
    <row r="65" spans="1:6" ht="15.75" thickBot="1" x14ac:dyDescent="0.3">
      <c r="B65" s="110" t="s">
        <v>1053</v>
      </c>
      <c r="C65" s="111">
        <f>COSEIDIcam</f>
        <v>281</v>
      </c>
      <c r="D65" s="111">
        <f>Hoja1!K5</f>
        <v>0</v>
      </c>
      <c r="E65" s="112">
        <f>D65/C65</f>
        <v>0</v>
      </c>
      <c r="F65" s="151"/>
    </row>
    <row r="66" spans="1:6" ht="16.5" thickTop="1" thickBot="1" x14ac:dyDescent="0.3"/>
    <row r="67" spans="1:6" ht="16.5" thickTop="1" thickBot="1" x14ac:dyDescent="0.3">
      <c r="C67" s="105" t="s">
        <v>903</v>
      </c>
      <c r="D67" s="106" t="s">
        <v>1447</v>
      </c>
      <c r="E67" s="107" t="s">
        <v>904</v>
      </c>
    </row>
    <row r="68" spans="1:6" ht="15.75" thickTop="1" x14ac:dyDescent="0.25">
      <c r="B68" s="52" t="s">
        <v>1232</v>
      </c>
      <c r="C68" s="98">
        <f>CANTIDAD_DE_CAMARAS</f>
        <v>589</v>
      </c>
      <c r="D68" s="99"/>
      <c r="E68" s="104"/>
      <c r="F68" s="149">
        <v>46119</v>
      </c>
    </row>
    <row r="69" spans="1:6" x14ac:dyDescent="0.25">
      <c r="A69" t="s">
        <v>1456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0"/>
    </row>
    <row r="70" spans="1:6" x14ac:dyDescent="0.25">
      <c r="B70" s="53" t="s">
        <v>1233</v>
      </c>
      <c r="C70" s="67">
        <v>3</v>
      </c>
      <c r="D70" s="101">
        <f>C69-C70</f>
        <v>-3</v>
      </c>
      <c r="E70" s="55">
        <f>D70/C68</f>
        <v>-5.0933786078098476E-3</v>
      </c>
      <c r="F70" s="150"/>
    </row>
    <row r="71" spans="1:6" x14ac:dyDescent="0.25">
      <c r="B71" s="53" t="s">
        <v>1234</v>
      </c>
      <c r="C71" s="67">
        <v>11</v>
      </c>
      <c r="D71" s="101">
        <f>D70-C71</f>
        <v>-14</v>
      </c>
      <c r="E71" s="55">
        <f>D71/C68</f>
        <v>-2.3769100169779286E-2</v>
      </c>
      <c r="F71" s="150"/>
    </row>
    <row r="72" spans="1:6" x14ac:dyDescent="0.25">
      <c r="A72" t="s">
        <v>1456</v>
      </c>
      <c r="B72" s="53" t="s">
        <v>15</v>
      </c>
      <c r="C72" s="92">
        <f>'RESUMEN TOTAL'!Y5</f>
        <v>0</v>
      </c>
      <c r="D72" s="101">
        <f>D71-C72</f>
        <v>-14</v>
      </c>
      <c r="E72" s="55">
        <f>D72/C68</f>
        <v>-2.3769100169779286E-2</v>
      </c>
      <c r="F72" s="150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50"/>
    </row>
    <row r="74" spans="1:6" ht="16.5" thickTop="1" thickBot="1" x14ac:dyDescent="0.3">
      <c r="B74" s="109"/>
      <c r="C74" s="108" t="s">
        <v>903</v>
      </c>
      <c r="D74" s="94" t="s">
        <v>1447</v>
      </c>
      <c r="E74" s="100" t="s">
        <v>904</v>
      </c>
      <c r="F74" s="150"/>
    </row>
    <row r="75" spans="1:6" ht="16.5" thickTop="1" thickBot="1" x14ac:dyDescent="0.3">
      <c r="B75" s="96" t="s">
        <v>1052</v>
      </c>
      <c r="C75" s="97">
        <v>307</v>
      </c>
      <c r="D75" s="113">
        <v>49</v>
      </c>
      <c r="E75" s="103">
        <f>D75/C75</f>
        <v>0.15960912052117263</v>
      </c>
      <c r="F75" s="150"/>
    </row>
    <row r="76" spans="1:6" ht="15.75" thickBot="1" x14ac:dyDescent="0.3">
      <c r="B76" s="110" t="s">
        <v>1053</v>
      </c>
      <c r="C76" s="111">
        <f>COSEIDIcam</f>
        <v>281</v>
      </c>
      <c r="D76" s="111">
        <f>Hoja1!L5</f>
        <v>0</v>
      </c>
      <c r="E76" s="112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05" t="s">
        <v>903</v>
      </c>
      <c r="D78" s="106" t="s">
        <v>1447</v>
      </c>
      <c r="E78" s="107" t="s">
        <v>904</v>
      </c>
    </row>
    <row r="79" spans="1:6" ht="15.75" thickTop="1" x14ac:dyDescent="0.25">
      <c r="B79" s="52" t="s">
        <v>1232</v>
      </c>
      <c r="C79" s="98">
        <f>CANTIDAD_DE_CAMARAS</f>
        <v>589</v>
      </c>
      <c r="D79" s="99"/>
      <c r="E79" s="104"/>
      <c r="F79" s="149">
        <v>46120</v>
      </c>
    </row>
    <row r="80" spans="1:6" x14ac:dyDescent="0.25">
      <c r="A80" t="s">
        <v>1451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50"/>
    </row>
    <row r="81" spans="1:6" x14ac:dyDescent="0.25">
      <c r="B81" s="53" t="s">
        <v>1233</v>
      </c>
      <c r="C81" s="67">
        <v>7</v>
      </c>
      <c r="D81" s="101">
        <f>C80-C81</f>
        <v>-7</v>
      </c>
      <c r="E81" s="55">
        <f>D81/C79</f>
        <v>-1.1884550084889643E-2</v>
      </c>
      <c r="F81" s="150"/>
    </row>
    <row r="82" spans="1:6" x14ac:dyDescent="0.25">
      <c r="B82" s="53" t="s">
        <v>1234</v>
      </c>
      <c r="C82" s="67">
        <v>10</v>
      </c>
      <c r="D82" s="101">
        <f>D81-C82</f>
        <v>-17</v>
      </c>
      <c r="E82" s="55">
        <f>D82/C79</f>
        <v>-2.8862478777589132E-2</v>
      </c>
      <c r="F82" s="150"/>
    </row>
    <row r="83" spans="1:6" x14ac:dyDescent="0.25">
      <c r="A83" t="s">
        <v>1451</v>
      </c>
      <c r="B83" s="53" t="s">
        <v>15</v>
      </c>
      <c r="C83" s="92">
        <v>5</v>
      </c>
      <c r="D83" s="101">
        <f>D82-C83</f>
        <v>-22</v>
      </c>
      <c r="E83" s="55">
        <f>D83/C79</f>
        <v>-3.7351443123938878E-2</v>
      </c>
      <c r="F83" s="150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50"/>
    </row>
    <row r="85" spans="1:6" ht="16.5" thickTop="1" thickBot="1" x14ac:dyDescent="0.3">
      <c r="B85" s="109"/>
      <c r="C85" s="108" t="s">
        <v>903</v>
      </c>
      <c r="D85" s="94" t="s">
        <v>1447</v>
      </c>
      <c r="E85" s="100" t="s">
        <v>904</v>
      </c>
      <c r="F85" s="150"/>
    </row>
    <row r="86" spans="1:6" ht="16.5" thickTop="1" thickBot="1" x14ac:dyDescent="0.3">
      <c r="B86" s="96" t="s">
        <v>1052</v>
      </c>
      <c r="C86" s="97">
        <v>307</v>
      </c>
      <c r="D86" s="113">
        <v>53</v>
      </c>
      <c r="E86" s="103">
        <f>D86/C86</f>
        <v>0.17263843648208468</v>
      </c>
      <c r="F86" s="150"/>
    </row>
    <row r="87" spans="1:6" ht="15.75" thickBot="1" x14ac:dyDescent="0.3">
      <c r="B87" s="110" t="s">
        <v>1053</v>
      </c>
      <c r="C87" s="111">
        <f>COSEIDIcam</f>
        <v>281</v>
      </c>
      <c r="D87" s="111">
        <v>51</v>
      </c>
      <c r="E87" s="112">
        <f>D87/C87</f>
        <v>0.18149466192170818</v>
      </c>
      <c r="F87" s="151"/>
    </row>
    <row r="88" spans="1:6" ht="16.5" thickTop="1" thickBot="1" x14ac:dyDescent="0.3"/>
    <row r="89" spans="1:6" ht="16.5" thickTop="1" thickBot="1" x14ac:dyDescent="0.3">
      <c r="C89" s="105" t="s">
        <v>903</v>
      </c>
      <c r="D89" s="106" t="s">
        <v>1447</v>
      </c>
      <c r="E89" s="107" t="s">
        <v>904</v>
      </c>
    </row>
    <row r="90" spans="1:6" ht="15.75" thickTop="1" x14ac:dyDescent="0.25">
      <c r="B90" s="52" t="s">
        <v>1232</v>
      </c>
      <c r="C90" s="98">
        <f>CANTIDAD_DE_CAMARAS</f>
        <v>589</v>
      </c>
      <c r="D90" s="99"/>
      <c r="E90" s="104"/>
      <c r="F90" s="149">
        <v>46090</v>
      </c>
    </row>
    <row r="91" spans="1:6" x14ac:dyDescent="0.25">
      <c r="A91" t="s">
        <v>1457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0"/>
    </row>
    <row r="92" spans="1:6" x14ac:dyDescent="0.25">
      <c r="B92" s="53" t="s">
        <v>1233</v>
      </c>
      <c r="C92" s="67">
        <v>5</v>
      </c>
      <c r="D92" s="101">
        <f>C91-C92</f>
        <v>-5</v>
      </c>
      <c r="E92" s="55">
        <f>D92/C90</f>
        <v>-8.4889643463497456E-3</v>
      </c>
      <c r="F92" s="150"/>
    </row>
    <row r="93" spans="1:6" x14ac:dyDescent="0.25">
      <c r="B93" s="53" t="s">
        <v>1234</v>
      </c>
      <c r="C93" s="67">
        <v>6</v>
      </c>
      <c r="D93" s="101">
        <f>D92-C93</f>
        <v>-11</v>
      </c>
      <c r="E93" s="55">
        <f>D93/C90</f>
        <v>-1.8675721561969439E-2</v>
      </c>
      <c r="F93" s="150"/>
    </row>
    <row r="94" spans="1:6" x14ac:dyDescent="0.25">
      <c r="A94" t="s">
        <v>1457</v>
      </c>
      <c r="B94" s="53" t="s">
        <v>15</v>
      </c>
      <c r="C94" s="92">
        <v>5</v>
      </c>
      <c r="D94" s="101">
        <f>D93-C94</f>
        <v>-16</v>
      </c>
      <c r="E94" s="55">
        <f>D94/C90</f>
        <v>-2.7164685908319185E-2</v>
      </c>
      <c r="F94" s="150"/>
    </row>
    <row r="95" spans="1:6" ht="15.75" thickBot="1" x14ac:dyDescent="0.3">
      <c r="B95" s="56"/>
      <c r="C95" s="129"/>
      <c r="D95" s="102"/>
      <c r="E95" s="74">
        <f>D95/C90</f>
        <v>0</v>
      </c>
      <c r="F95" s="150"/>
    </row>
    <row r="96" spans="1:6" ht="16.5" thickTop="1" thickBot="1" x14ac:dyDescent="0.3">
      <c r="B96" s="109"/>
      <c r="C96" s="108" t="s">
        <v>903</v>
      </c>
      <c r="D96" s="94" t="s">
        <v>1447</v>
      </c>
      <c r="E96" s="100" t="s">
        <v>904</v>
      </c>
      <c r="F96" s="150"/>
    </row>
    <row r="97" spans="1:6" ht="16.5" thickTop="1" thickBot="1" x14ac:dyDescent="0.3">
      <c r="B97" s="96" t="s">
        <v>1052</v>
      </c>
      <c r="C97" s="97">
        <v>307</v>
      </c>
      <c r="D97" s="113">
        <f>Hoja1!N3</f>
        <v>0</v>
      </c>
      <c r="E97" s="103">
        <f>D97/C97</f>
        <v>0</v>
      </c>
      <c r="F97" s="150"/>
    </row>
    <row r="98" spans="1:6" ht="15.75" thickBot="1" x14ac:dyDescent="0.3">
      <c r="B98" s="110" t="s">
        <v>1053</v>
      </c>
      <c r="C98" s="111">
        <f>COSEIDIcam</f>
        <v>281</v>
      </c>
      <c r="D98" s="111">
        <f>Hoja1!N5</f>
        <v>0</v>
      </c>
      <c r="E98" s="112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5" t="s">
        <v>903</v>
      </c>
      <c r="D100" s="106" t="s">
        <v>1447</v>
      </c>
      <c r="E100" s="107" t="s">
        <v>904</v>
      </c>
    </row>
    <row r="101" spans="1:6" ht="15.75" thickTop="1" x14ac:dyDescent="0.25">
      <c r="B101" s="52" t="s">
        <v>1232</v>
      </c>
      <c r="C101" s="98">
        <f>CANTIDAD_DE_CAMARAS</f>
        <v>589</v>
      </c>
      <c r="D101" s="99"/>
      <c r="E101" s="104"/>
      <c r="F101" s="149">
        <v>46122</v>
      </c>
    </row>
    <row r="102" spans="1:6" x14ac:dyDescent="0.25">
      <c r="A102" t="s">
        <v>1458</v>
      </c>
      <c r="B102" s="53" t="s">
        <v>6</v>
      </c>
      <c r="C102" s="66">
        <v>141</v>
      </c>
      <c r="D102" s="54"/>
      <c r="E102" s="55">
        <f>C102/C101</f>
        <v>0.23938879456706283</v>
      </c>
      <c r="F102" s="150"/>
    </row>
    <row r="103" spans="1:6" x14ac:dyDescent="0.25">
      <c r="B103" s="53" t="s">
        <v>1233</v>
      </c>
      <c r="C103" s="67">
        <v>0</v>
      </c>
      <c r="D103" s="101">
        <f>C102-C103</f>
        <v>141</v>
      </c>
      <c r="E103" s="55">
        <f>D103/C101</f>
        <v>0.23938879456706283</v>
      </c>
      <c r="F103" s="150"/>
    </row>
    <row r="104" spans="1:6" x14ac:dyDescent="0.25">
      <c r="B104" s="53" t="s">
        <v>1234</v>
      </c>
      <c r="C104" s="67">
        <v>11</v>
      </c>
      <c r="D104" s="101">
        <f>D103-C104</f>
        <v>130</v>
      </c>
      <c r="E104" s="55">
        <f>D104/C101</f>
        <v>0.22071307300509338</v>
      </c>
      <c r="F104" s="150"/>
    </row>
    <row r="105" spans="1:6" x14ac:dyDescent="0.25">
      <c r="A105" t="s">
        <v>1458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0.17147707979626486</v>
      </c>
      <c r="F105" s="150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50"/>
    </row>
    <row r="107" spans="1:6" ht="16.5" thickTop="1" thickBot="1" x14ac:dyDescent="0.3">
      <c r="B107" s="109"/>
      <c r="C107" s="108" t="s">
        <v>903</v>
      </c>
      <c r="D107" s="94" t="s">
        <v>1447</v>
      </c>
      <c r="E107" s="100" t="s">
        <v>904</v>
      </c>
      <c r="F107" s="150"/>
    </row>
    <row r="108" spans="1:6" ht="16.5" thickTop="1" thickBot="1" x14ac:dyDescent="0.3">
      <c r="B108" s="96" t="s">
        <v>1052</v>
      </c>
      <c r="C108" s="97">
        <v>307</v>
      </c>
      <c r="D108" s="113">
        <v>69</v>
      </c>
      <c r="E108" s="103">
        <f>D108/C108</f>
        <v>0.22475570032573289</v>
      </c>
      <c r="F108" s="150"/>
    </row>
    <row r="109" spans="1:6" ht="15.75" thickBot="1" x14ac:dyDescent="0.3">
      <c r="B109" s="110" t="s">
        <v>1053</v>
      </c>
      <c r="C109" s="111">
        <f>COSEIDIcam</f>
        <v>281</v>
      </c>
      <c r="D109" s="111">
        <v>72</v>
      </c>
      <c r="E109" s="112">
        <f>D109/C109</f>
        <v>0.25622775800711745</v>
      </c>
      <c r="F109" s="151"/>
    </row>
    <row r="110" spans="1:6" ht="16.5" thickTop="1" thickBot="1" x14ac:dyDescent="0.3"/>
    <row r="111" spans="1:6" ht="16.5" thickTop="1" thickBot="1" x14ac:dyDescent="0.3">
      <c r="C111" s="105" t="s">
        <v>903</v>
      </c>
      <c r="D111" s="106" t="s">
        <v>1447</v>
      </c>
      <c r="E111" s="107" t="s">
        <v>904</v>
      </c>
    </row>
    <row r="112" spans="1:6" ht="15.75" thickTop="1" x14ac:dyDescent="0.25">
      <c r="B112" s="52" t="s">
        <v>1232</v>
      </c>
      <c r="C112" s="98">
        <f>CANTIDAD_DE_CAMARAS</f>
        <v>589</v>
      </c>
      <c r="D112" s="99"/>
      <c r="E112" s="104"/>
      <c r="F112" s="149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0"/>
    </row>
    <row r="114" spans="2:6" x14ac:dyDescent="0.25">
      <c r="B114" s="53" t="s">
        <v>1233</v>
      </c>
      <c r="C114" s="67">
        <v>4</v>
      </c>
      <c r="D114" s="101">
        <f>C113-C114</f>
        <v>-4</v>
      </c>
      <c r="E114" s="55">
        <f>D114/C112</f>
        <v>-6.7911714770797962E-3</v>
      </c>
      <c r="F114" s="150"/>
    </row>
    <row r="115" spans="2:6" x14ac:dyDescent="0.25">
      <c r="B115" s="53" t="s">
        <v>1234</v>
      </c>
      <c r="C115" s="67">
        <v>7</v>
      </c>
      <c r="D115" s="101">
        <f>D114-C115</f>
        <v>-11</v>
      </c>
      <c r="E115" s="55">
        <f>D115/C112</f>
        <v>-1.8675721561969439E-2</v>
      </c>
      <c r="F115" s="150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-2.7164685908319185E-2</v>
      </c>
      <c r="F116" s="150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50"/>
    </row>
    <row r="118" spans="2:6" ht="16.5" thickTop="1" thickBot="1" x14ac:dyDescent="0.3">
      <c r="B118" s="109"/>
      <c r="C118" s="108" t="s">
        <v>903</v>
      </c>
      <c r="D118" s="94" t="s">
        <v>1447</v>
      </c>
      <c r="E118" s="100" t="s">
        <v>904</v>
      </c>
      <c r="F118" s="150"/>
    </row>
    <row r="119" spans="2:6" ht="16.5" thickTop="1" thickBot="1" x14ac:dyDescent="0.3">
      <c r="B119" s="96" t="s">
        <v>1052</v>
      </c>
      <c r="C119" s="97">
        <v>307</v>
      </c>
      <c r="D119" s="113">
        <f>Hoja1!P3</f>
        <v>0</v>
      </c>
      <c r="E119" s="103">
        <f>D119/C119</f>
        <v>0</v>
      </c>
      <c r="F119" s="150"/>
    </row>
    <row r="120" spans="2:6" ht="15.75" thickBot="1" x14ac:dyDescent="0.3">
      <c r="B120" s="110" t="s">
        <v>1053</v>
      </c>
      <c r="C120" s="111">
        <f>COSEIDIcam</f>
        <v>281</v>
      </c>
      <c r="D120" s="111">
        <f>Hoja1!P5</f>
        <v>0</v>
      </c>
      <c r="E120" s="112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5" t="s">
        <v>903</v>
      </c>
      <c r="D122" s="106" t="s">
        <v>1447</v>
      </c>
      <c r="E122" s="107" t="s">
        <v>904</v>
      </c>
    </row>
    <row r="123" spans="2:6" ht="15.75" thickTop="1" x14ac:dyDescent="0.25">
      <c r="B123" s="52" t="s">
        <v>1232</v>
      </c>
      <c r="C123" s="98">
        <f>CANTIDAD_DE_CAMARAS</f>
        <v>589</v>
      </c>
      <c r="D123" s="99"/>
      <c r="E123" s="104"/>
      <c r="F123" s="149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0"/>
    </row>
    <row r="125" spans="2:6" x14ac:dyDescent="0.25">
      <c r="B125" s="53" t="s">
        <v>1233</v>
      </c>
      <c r="C125" s="67">
        <v>8</v>
      </c>
      <c r="D125" s="101">
        <f>C124-C125</f>
        <v>-8</v>
      </c>
      <c r="E125" s="55">
        <f>D125/C123</f>
        <v>-1.3582342954159592E-2</v>
      </c>
      <c r="F125" s="150"/>
    </row>
    <row r="126" spans="2:6" x14ac:dyDescent="0.25">
      <c r="B126" s="53" t="s">
        <v>1234</v>
      </c>
      <c r="C126" s="67">
        <v>8</v>
      </c>
      <c r="D126" s="101">
        <f>D125-C126</f>
        <v>-16</v>
      </c>
      <c r="E126" s="55">
        <f>D126/C123</f>
        <v>-2.7164685908319185E-2</v>
      </c>
      <c r="F126" s="150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-3.3955857385398983E-2</v>
      </c>
      <c r="F127" s="150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50"/>
    </row>
    <row r="129" spans="2:6" ht="16.5" thickTop="1" thickBot="1" x14ac:dyDescent="0.3">
      <c r="B129" s="109"/>
      <c r="C129" s="108" t="s">
        <v>903</v>
      </c>
      <c r="D129" s="94" t="s">
        <v>1447</v>
      </c>
      <c r="E129" s="100" t="s">
        <v>904</v>
      </c>
      <c r="F129" s="150"/>
    </row>
    <row r="130" spans="2:6" ht="16.5" thickTop="1" thickBot="1" x14ac:dyDescent="0.3">
      <c r="B130" s="96" t="s">
        <v>1052</v>
      </c>
      <c r="C130" s="97">
        <v>307</v>
      </c>
      <c r="D130" s="113">
        <f>Hoja1!Q3</f>
        <v>0</v>
      </c>
      <c r="E130" s="103">
        <f>D130/C130</f>
        <v>0</v>
      </c>
      <c r="F130" s="150"/>
    </row>
    <row r="131" spans="2:6" ht="15.75" thickBot="1" x14ac:dyDescent="0.3">
      <c r="B131" s="110" t="s">
        <v>1053</v>
      </c>
      <c r="C131" s="111">
        <f>COSEIDIcam</f>
        <v>281</v>
      </c>
      <c r="D131" s="111">
        <f>Hoja1!Q5</f>
        <v>0</v>
      </c>
      <c r="E131" s="112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05" t="s">
        <v>903</v>
      </c>
      <c r="D133" s="106" t="s">
        <v>1447</v>
      </c>
      <c r="E133" s="107" t="s">
        <v>904</v>
      </c>
    </row>
    <row r="134" spans="2:6" ht="15.75" thickTop="1" x14ac:dyDescent="0.25">
      <c r="B134" s="52" t="s">
        <v>1232</v>
      </c>
      <c r="C134" s="98">
        <f>CANTIDAD_DE_CAMARAS</f>
        <v>589</v>
      </c>
      <c r="D134" s="99"/>
      <c r="E134" s="104"/>
      <c r="F134" s="149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0"/>
    </row>
    <row r="136" spans="2:6" x14ac:dyDescent="0.25">
      <c r="B136" s="53" t="s">
        <v>1233</v>
      </c>
      <c r="C136" s="67">
        <v>0</v>
      </c>
      <c r="D136" s="101">
        <f>C135-C136</f>
        <v>134</v>
      </c>
      <c r="E136" s="55">
        <f>D136/C134</f>
        <v>0.22750424448217318</v>
      </c>
      <c r="F136" s="150"/>
    </row>
    <row r="137" spans="2:6" x14ac:dyDescent="0.25">
      <c r="B137" s="53" t="s">
        <v>1234</v>
      </c>
      <c r="C137" s="67">
        <v>11</v>
      </c>
      <c r="D137" s="101">
        <f>D136-C137</f>
        <v>123</v>
      </c>
      <c r="E137" s="55">
        <f>D137/C134</f>
        <v>0.20882852292020374</v>
      </c>
      <c r="F137" s="150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0.16298811544991512</v>
      </c>
      <c r="F138" s="150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50"/>
    </row>
    <row r="140" spans="2:6" ht="16.5" thickTop="1" thickBot="1" x14ac:dyDescent="0.3">
      <c r="B140" s="109"/>
      <c r="C140" s="108" t="s">
        <v>903</v>
      </c>
      <c r="D140" s="94" t="s">
        <v>1447</v>
      </c>
      <c r="E140" s="100" t="s">
        <v>904</v>
      </c>
      <c r="F140" s="150"/>
    </row>
    <row r="141" spans="2:6" ht="16.5" thickTop="1" thickBot="1" x14ac:dyDescent="0.3">
      <c r="B141" s="96" t="s">
        <v>1052</v>
      </c>
      <c r="C141" s="97">
        <v>307</v>
      </c>
      <c r="D141" s="113">
        <v>61</v>
      </c>
      <c r="E141" s="103">
        <f>D141/C141</f>
        <v>0.1986970684039088</v>
      </c>
      <c r="F141" s="150"/>
    </row>
    <row r="142" spans="2:6" ht="15.75" thickBot="1" x14ac:dyDescent="0.3">
      <c r="B142" s="110" t="s">
        <v>1053</v>
      </c>
      <c r="C142" s="111">
        <f>COSEIDIcam</f>
        <v>281</v>
      </c>
      <c r="D142" s="111">
        <v>73</v>
      </c>
      <c r="E142" s="112">
        <f>D142/C142</f>
        <v>0.2597864768683274</v>
      </c>
      <c r="F142" s="151"/>
    </row>
    <row r="143" spans="2:6" ht="16.5" thickTop="1" thickBot="1" x14ac:dyDescent="0.3"/>
    <row r="144" spans="2:6" ht="16.5" thickTop="1" thickBot="1" x14ac:dyDescent="0.3">
      <c r="C144" s="105" t="s">
        <v>903</v>
      </c>
      <c r="D144" s="106" t="s">
        <v>1447</v>
      </c>
      <c r="E144" s="107" t="s">
        <v>904</v>
      </c>
    </row>
    <row r="145" spans="2:6" ht="15.75" thickTop="1" x14ac:dyDescent="0.25">
      <c r="B145" s="52" t="s">
        <v>1232</v>
      </c>
      <c r="C145" s="98">
        <f>CANTIDAD_DE_CAMARAS</f>
        <v>589</v>
      </c>
      <c r="D145" s="99"/>
      <c r="E145" s="104"/>
      <c r="F145" s="149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0"/>
    </row>
    <row r="147" spans="2:6" x14ac:dyDescent="0.25">
      <c r="B147" s="53" t="s">
        <v>1233</v>
      </c>
      <c r="C147" s="67">
        <v>0</v>
      </c>
      <c r="D147" s="101">
        <f>C146-C147</f>
        <v>131</v>
      </c>
      <c r="E147" s="55">
        <f>D147/C145</f>
        <v>0.22241086587436332</v>
      </c>
      <c r="F147" s="150"/>
    </row>
    <row r="148" spans="2:6" x14ac:dyDescent="0.25">
      <c r="B148" s="53" t="s">
        <v>1234</v>
      </c>
      <c r="C148" s="67">
        <v>11</v>
      </c>
      <c r="D148" s="101">
        <f>D147-C148</f>
        <v>120</v>
      </c>
      <c r="E148" s="55">
        <f>D148/C145</f>
        <v>0.2037351443123939</v>
      </c>
      <c r="F148" s="150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0.19524617996604415</v>
      </c>
      <c r="F149" s="150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50"/>
    </row>
    <row r="151" spans="2:6" ht="16.5" thickTop="1" thickBot="1" x14ac:dyDescent="0.3">
      <c r="B151" s="109"/>
      <c r="C151" s="108" t="s">
        <v>903</v>
      </c>
      <c r="D151" s="94" t="s">
        <v>1447</v>
      </c>
      <c r="E151" s="100" t="s">
        <v>904</v>
      </c>
      <c r="F151" s="150"/>
    </row>
    <row r="152" spans="2:6" ht="16.5" thickTop="1" thickBot="1" x14ac:dyDescent="0.3">
      <c r="B152" s="96" t="s">
        <v>1052</v>
      </c>
      <c r="C152" s="97">
        <v>307</v>
      </c>
      <c r="D152" s="113">
        <v>84</v>
      </c>
      <c r="E152" s="103">
        <f>D152/C152</f>
        <v>0.2736156351791531</v>
      </c>
      <c r="F152" s="150"/>
    </row>
    <row r="153" spans="2:6" ht="15.75" thickBot="1" x14ac:dyDescent="0.3">
      <c r="B153" s="110" t="s">
        <v>1053</v>
      </c>
      <c r="C153" s="111">
        <f>COSEIDIcam</f>
        <v>281</v>
      </c>
      <c r="D153" s="111">
        <v>47</v>
      </c>
      <c r="E153" s="112">
        <f>D153/C153</f>
        <v>0.16725978647686832</v>
      </c>
      <c r="F153" s="151"/>
    </row>
    <row r="154" spans="2:6" ht="15" customHeight="1" thickTop="1" thickBot="1" x14ac:dyDescent="0.3"/>
    <row r="155" spans="2:6" ht="16.5" thickTop="1" thickBot="1" x14ac:dyDescent="0.3">
      <c r="C155" s="105" t="s">
        <v>903</v>
      </c>
      <c r="D155" s="106" t="s">
        <v>1447</v>
      </c>
      <c r="E155" s="107" t="s">
        <v>904</v>
      </c>
    </row>
    <row r="156" spans="2:6" ht="15.75" thickTop="1" x14ac:dyDescent="0.25">
      <c r="B156" s="52" t="s">
        <v>1232</v>
      </c>
      <c r="C156" s="98">
        <f>CANTIDAD_DE_CAMARAS</f>
        <v>589</v>
      </c>
      <c r="D156" s="99"/>
      <c r="E156" s="104"/>
      <c r="F156" s="149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0"/>
    </row>
    <row r="158" spans="2:6" x14ac:dyDescent="0.25">
      <c r="B158" s="53" t="s">
        <v>1233</v>
      </c>
      <c r="C158" s="67">
        <v>9</v>
      </c>
      <c r="D158" s="101">
        <f>C157-C158</f>
        <v>-9</v>
      </c>
      <c r="E158" s="55">
        <f>D158/C156</f>
        <v>-1.5280135823429542E-2</v>
      </c>
      <c r="F158" s="150"/>
    </row>
    <row r="159" spans="2:6" x14ac:dyDescent="0.25">
      <c r="B159" s="53" t="s">
        <v>1234</v>
      </c>
      <c r="C159" s="67">
        <v>12</v>
      </c>
      <c r="D159" s="101">
        <f>D158-C159</f>
        <v>-21</v>
      </c>
      <c r="E159" s="55">
        <f>D159/C156</f>
        <v>-3.5653650254668934E-2</v>
      </c>
      <c r="F159" s="150"/>
    </row>
    <row r="160" spans="2:6" x14ac:dyDescent="0.25">
      <c r="B160" s="53" t="s">
        <v>15</v>
      </c>
      <c r="C160" s="92">
        <f>'RESUMEN TOTAL'!AG5</f>
        <v>0</v>
      </c>
      <c r="D160" s="101">
        <f>D159-C160</f>
        <v>-21</v>
      </c>
      <c r="E160" s="55">
        <f>D160/C156</f>
        <v>-3.5653650254668934E-2</v>
      </c>
      <c r="F160" s="150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50"/>
    </row>
    <row r="162" spans="2:6" ht="16.5" thickTop="1" thickBot="1" x14ac:dyDescent="0.3">
      <c r="B162" s="109"/>
      <c r="C162" s="108" t="s">
        <v>903</v>
      </c>
      <c r="D162" s="94" t="s">
        <v>1447</v>
      </c>
      <c r="E162" s="100" t="s">
        <v>904</v>
      </c>
      <c r="F162" s="150"/>
    </row>
    <row r="163" spans="2:6" ht="16.5" thickTop="1" thickBot="1" x14ac:dyDescent="0.3">
      <c r="B163" s="96" t="s">
        <v>1052</v>
      </c>
      <c r="C163" s="97">
        <v>307</v>
      </c>
      <c r="D163" s="113">
        <f>Hoja1!T3</f>
        <v>0</v>
      </c>
      <c r="E163" s="103">
        <f>D163/C163</f>
        <v>0</v>
      </c>
      <c r="F163" s="150"/>
    </row>
    <row r="164" spans="2:6" ht="15.75" thickBot="1" x14ac:dyDescent="0.3">
      <c r="B164" s="110" t="s">
        <v>1053</v>
      </c>
      <c r="C164" s="111">
        <f>COSEIDIcam</f>
        <v>281</v>
      </c>
      <c r="D164" s="111">
        <v>47</v>
      </c>
      <c r="E164" s="112">
        <f>D164/C164</f>
        <v>0.16725978647686832</v>
      </c>
      <c r="F164" s="151"/>
    </row>
    <row r="165" spans="2:6" ht="16.5" thickTop="1" thickBot="1" x14ac:dyDescent="0.3"/>
    <row r="166" spans="2:6" ht="16.5" thickTop="1" thickBot="1" x14ac:dyDescent="0.3">
      <c r="C166" s="105" t="s">
        <v>903</v>
      </c>
      <c r="D166" s="106" t="s">
        <v>1447</v>
      </c>
      <c r="E166" s="107" t="s">
        <v>904</v>
      </c>
    </row>
    <row r="167" spans="2:6" ht="15.75" thickTop="1" x14ac:dyDescent="0.25">
      <c r="B167" s="52" t="s">
        <v>1232</v>
      </c>
      <c r="C167" s="98">
        <f>CANTIDAD_DE_CAMARAS</f>
        <v>589</v>
      </c>
      <c r="D167" s="99"/>
      <c r="E167" s="104"/>
      <c r="F167" s="14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0"/>
    </row>
    <row r="169" spans="2:6" x14ac:dyDescent="0.25">
      <c r="B169" s="53" t="s">
        <v>1233</v>
      </c>
      <c r="C169" s="67">
        <v>2</v>
      </c>
      <c r="D169" s="101">
        <f>C168-C169</f>
        <v>-2</v>
      </c>
      <c r="E169" s="55">
        <f>D169/C167</f>
        <v>-3.3955857385398981E-3</v>
      </c>
      <c r="F169" s="150"/>
    </row>
    <row r="170" spans="2:6" x14ac:dyDescent="0.25">
      <c r="B170" s="53" t="s">
        <v>1234</v>
      </c>
      <c r="C170" s="67">
        <v>12</v>
      </c>
      <c r="D170" s="101">
        <f>D169-C170</f>
        <v>-14</v>
      </c>
      <c r="E170" s="55">
        <f>D170/C167</f>
        <v>-2.3769100169779286E-2</v>
      </c>
      <c r="F170" s="150"/>
    </row>
    <row r="171" spans="2:6" x14ac:dyDescent="0.25">
      <c r="B171" s="53" t="s">
        <v>15</v>
      </c>
      <c r="C171" s="92">
        <v>5</v>
      </c>
      <c r="D171" s="101">
        <f>D170-C171</f>
        <v>-19</v>
      </c>
      <c r="E171" s="55">
        <f>D171/C167</f>
        <v>-3.2258064516129031E-2</v>
      </c>
      <c r="F171" s="150"/>
    </row>
    <row r="172" spans="2:6" ht="15.75" thickBot="1" x14ac:dyDescent="0.3">
      <c r="B172" s="56"/>
      <c r="C172" s="129"/>
      <c r="D172" s="102">
        <f>D171-C172</f>
        <v>-19</v>
      </c>
      <c r="E172" s="74">
        <f>D172/C167</f>
        <v>-3.2258064516129031E-2</v>
      </c>
      <c r="F172" s="150"/>
    </row>
    <row r="173" spans="2:6" ht="16.5" thickTop="1" thickBot="1" x14ac:dyDescent="0.3">
      <c r="B173" s="109"/>
      <c r="C173" s="108" t="s">
        <v>903</v>
      </c>
      <c r="D173" s="94" t="s">
        <v>1447</v>
      </c>
      <c r="E173" s="100" t="s">
        <v>904</v>
      </c>
      <c r="F173" s="150"/>
    </row>
    <row r="174" spans="2:6" ht="16.5" thickTop="1" thickBot="1" x14ac:dyDescent="0.3">
      <c r="B174" s="96" t="s">
        <v>1052</v>
      </c>
      <c r="C174" s="97">
        <v>307</v>
      </c>
      <c r="D174" s="113">
        <f>Hoja1!U3</f>
        <v>0</v>
      </c>
      <c r="E174" s="103">
        <f>D174/C174</f>
        <v>0</v>
      </c>
      <c r="F174" s="150"/>
    </row>
    <row r="175" spans="2:6" ht="15.75" thickBot="1" x14ac:dyDescent="0.3">
      <c r="B175" s="110" t="s">
        <v>1053</v>
      </c>
      <c r="C175" s="111">
        <f>COSEIDIcam</f>
        <v>281</v>
      </c>
      <c r="D175" s="111">
        <v>40</v>
      </c>
      <c r="E175" s="112">
        <f>D175/C175</f>
        <v>0.14234875444839859</v>
      </c>
      <c r="F175" s="151"/>
    </row>
    <row r="176" spans="2:6" ht="16.5" thickTop="1" thickBot="1" x14ac:dyDescent="0.3"/>
    <row r="177" spans="2:6" ht="16.5" thickTop="1" thickBot="1" x14ac:dyDescent="0.3">
      <c r="C177" s="105" t="s">
        <v>903</v>
      </c>
      <c r="D177" s="106" t="s">
        <v>1447</v>
      </c>
      <c r="E177" s="107" t="s">
        <v>904</v>
      </c>
    </row>
    <row r="178" spans="2:6" ht="15.75" thickTop="1" x14ac:dyDescent="0.25">
      <c r="B178" s="52" t="s">
        <v>1232</v>
      </c>
      <c r="C178" s="98">
        <f>CANTIDAD_DE_CAMARAS</f>
        <v>589</v>
      </c>
      <c r="D178" s="99"/>
      <c r="E178" s="104"/>
      <c r="F178" s="14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0"/>
    </row>
    <row r="180" spans="2:6" x14ac:dyDescent="0.25">
      <c r="B180" s="53" t="s">
        <v>1233</v>
      </c>
      <c r="C180" s="67">
        <v>20</v>
      </c>
      <c r="D180" s="101">
        <f>C179-C180</f>
        <v>-20</v>
      </c>
      <c r="E180" s="55">
        <f>D180/C178</f>
        <v>-3.3955857385398983E-2</v>
      </c>
      <c r="F180" s="150"/>
    </row>
    <row r="181" spans="2:6" x14ac:dyDescent="0.25">
      <c r="B181" s="53" t="s">
        <v>1234</v>
      </c>
      <c r="C181" s="67">
        <v>12</v>
      </c>
      <c r="D181" s="101">
        <f>D180-C181</f>
        <v>-32</v>
      </c>
      <c r="E181" s="55">
        <f>D181/C178</f>
        <v>-5.4329371816638369E-2</v>
      </c>
      <c r="F181" s="150"/>
    </row>
    <row r="182" spans="2:6" x14ac:dyDescent="0.25">
      <c r="B182" s="53" t="s">
        <v>15</v>
      </c>
      <c r="C182" s="92">
        <v>5</v>
      </c>
      <c r="D182" s="101">
        <f>D181-C182</f>
        <v>-37</v>
      </c>
      <c r="E182" s="55">
        <f>D182/C178</f>
        <v>-6.2818336162988112E-2</v>
      </c>
      <c r="F182" s="150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50"/>
    </row>
    <row r="184" spans="2:6" ht="16.5" thickTop="1" thickBot="1" x14ac:dyDescent="0.3">
      <c r="B184" s="109"/>
      <c r="C184" s="108" t="s">
        <v>903</v>
      </c>
      <c r="D184" s="94" t="s">
        <v>1447</v>
      </c>
      <c r="E184" s="100" t="s">
        <v>904</v>
      </c>
      <c r="F184" s="150"/>
    </row>
    <row r="185" spans="2:6" ht="16.5" thickTop="1" thickBot="1" x14ac:dyDescent="0.3">
      <c r="B185" s="96" t="s">
        <v>1052</v>
      </c>
      <c r="C185" s="97">
        <v>307</v>
      </c>
      <c r="D185" s="113">
        <f>Hoja1!V3</f>
        <v>0</v>
      </c>
      <c r="E185" s="103">
        <f>D185/C185</f>
        <v>0</v>
      </c>
      <c r="F185" s="150"/>
    </row>
    <row r="186" spans="2:6" ht="15.75" thickBot="1" x14ac:dyDescent="0.3">
      <c r="B186" s="110" t="s">
        <v>1053</v>
      </c>
      <c r="C186" s="111">
        <f>COSEIDIcam</f>
        <v>281</v>
      </c>
      <c r="D186" s="111">
        <f>Hoja1!V5</f>
        <v>0</v>
      </c>
      <c r="E186" s="112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05" t="s">
        <v>903</v>
      </c>
      <c r="D188" s="106" t="s">
        <v>1447</v>
      </c>
      <c r="E188" s="107" t="s">
        <v>904</v>
      </c>
    </row>
    <row r="189" spans="2:6" ht="15.75" thickTop="1" x14ac:dyDescent="0.25">
      <c r="B189" s="52" t="s">
        <v>1232</v>
      </c>
      <c r="C189" s="98">
        <f>CANTIDAD_DE_CAMARAS</f>
        <v>589</v>
      </c>
      <c r="D189" s="99"/>
      <c r="E189" s="104"/>
      <c r="F189" s="149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0"/>
    </row>
    <row r="191" spans="2:6" x14ac:dyDescent="0.25">
      <c r="B191" s="53" t="s">
        <v>1233</v>
      </c>
      <c r="C191" s="67">
        <v>3</v>
      </c>
      <c r="D191" s="101">
        <f>C190-C191</f>
        <v>-3</v>
      </c>
      <c r="E191" s="55">
        <f>D191/C189</f>
        <v>-5.0933786078098476E-3</v>
      </c>
      <c r="F191" s="150"/>
    </row>
    <row r="192" spans="2:6" x14ac:dyDescent="0.25">
      <c r="B192" s="53" t="s">
        <v>1234</v>
      </c>
      <c r="C192" s="67">
        <v>8</v>
      </c>
      <c r="D192" s="101">
        <f>D191-C192</f>
        <v>-11</v>
      </c>
      <c r="E192" s="55">
        <f>D192/C189</f>
        <v>-1.8675721561969439E-2</v>
      </c>
      <c r="F192" s="150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-2.7164685908319185E-2</v>
      </c>
      <c r="F193" s="150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50"/>
    </row>
    <row r="195" spans="2:6" ht="16.5" thickTop="1" thickBot="1" x14ac:dyDescent="0.3">
      <c r="B195" s="109"/>
      <c r="C195" s="108" t="s">
        <v>903</v>
      </c>
      <c r="D195" s="94" t="s">
        <v>1447</v>
      </c>
      <c r="E195" s="100" t="s">
        <v>904</v>
      </c>
      <c r="F195" s="150"/>
    </row>
    <row r="196" spans="2:6" ht="16.5" thickTop="1" thickBot="1" x14ac:dyDescent="0.3">
      <c r="B196" s="96" t="s">
        <v>1052</v>
      </c>
      <c r="C196" s="97">
        <v>307</v>
      </c>
      <c r="D196" s="113">
        <f>Hoja1!W3</f>
        <v>0</v>
      </c>
      <c r="E196" s="103">
        <f>D196/C196</f>
        <v>0</v>
      </c>
      <c r="F196" s="150"/>
    </row>
    <row r="197" spans="2:6" ht="15.75" thickBot="1" x14ac:dyDescent="0.3">
      <c r="B197" s="110" t="s">
        <v>1053</v>
      </c>
      <c r="C197" s="111">
        <f>COSEIDIcam</f>
        <v>281</v>
      </c>
      <c r="D197" s="111">
        <f>Hoja1!W5</f>
        <v>0</v>
      </c>
      <c r="E197" s="112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5" t="s">
        <v>903</v>
      </c>
      <c r="D199" s="106" t="s">
        <v>1447</v>
      </c>
      <c r="E199" s="107" t="s">
        <v>904</v>
      </c>
    </row>
    <row r="200" spans="2:6" ht="15.75" thickTop="1" x14ac:dyDescent="0.25">
      <c r="B200" s="52" t="s">
        <v>1232</v>
      </c>
      <c r="C200" s="98">
        <f>CANTIDAD_DE_CAMARAS</f>
        <v>589</v>
      </c>
      <c r="D200" s="99"/>
      <c r="E200" s="104"/>
      <c r="F200" s="14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0"/>
    </row>
    <row r="202" spans="2:6" x14ac:dyDescent="0.25">
      <c r="B202" s="53" t="s">
        <v>1233</v>
      </c>
      <c r="C202" s="67">
        <v>8</v>
      </c>
      <c r="D202" s="101">
        <f>C201-C202</f>
        <v>-8</v>
      </c>
      <c r="E202" s="55">
        <f>D202/C200</f>
        <v>-1.3582342954159592E-2</v>
      </c>
      <c r="F202" s="150"/>
    </row>
    <row r="203" spans="2:6" x14ac:dyDescent="0.25">
      <c r="B203" s="53" t="s">
        <v>1234</v>
      </c>
      <c r="C203" s="67">
        <v>8</v>
      </c>
      <c r="D203" s="101">
        <f>D202-C203</f>
        <v>-16</v>
      </c>
      <c r="E203" s="55">
        <f>D203/C200</f>
        <v>-2.7164685908319185E-2</v>
      </c>
      <c r="F203" s="150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-3.9049235993208829E-2</v>
      </c>
      <c r="F204" s="150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50"/>
    </row>
    <row r="206" spans="2:6" ht="16.5" thickTop="1" thickBot="1" x14ac:dyDescent="0.3">
      <c r="B206" s="109"/>
      <c r="C206" s="108" t="s">
        <v>903</v>
      </c>
      <c r="D206" s="94" t="s">
        <v>1447</v>
      </c>
      <c r="E206" s="100" t="s">
        <v>904</v>
      </c>
      <c r="F206" s="150"/>
    </row>
    <row r="207" spans="2:6" ht="16.5" thickTop="1" thickBot="1" x14ac:dyDescent="0.3">
      <c r="B207" s="96" t="s">
        <v>1052</v>
      </c>
      <c r="C207" s="97">
        <v>307</v>
      </c>
      <c r="D207" s="113">
        <f>Hoja1!X3</f>
        <v>0</v>
      </c>
      <c r="E207" s="103">
        <f>D207/C207</f>
        <v>0</v>
      </c>
      <c r="F207" s="150"/>
    </row>
    <row r="208" spans="2:6" ht="15.75" thickBot="1" x14ac:dyDescent="0.3">
      <c r="B208" s="110" t="s">
        <v>1053</v>
      </c>
      <c r="C208" s="111">
        <f>COSEIDIcam</f>
        <v>281</v>
      </c>
      <c r="D208" s="111">
        <f>Hoja1!X5</f>
        <v>0</v>
      </c>
      <c r="E208" s="112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5" t="s">
        <v>903</v>
      </c>
      <c r="D210" s="106" t="s">
        <v>1447</v>
      </c>
      <c r="E210" s="107" t="s">
        <v>904</v>
      </c>
    </row>
    <row r="211" spans="2:6" ht="15.75" thickTop="1" x14ac:dyDescent="0.25">
      <c r="B211" s="52" t="s">
        <v>1232</v>
      </c>
      <c r="C211" s="98">
        <f>CANTIDAD_DE_CAMARAS</f>
        <v>589</v>
      </c>
      <c r="D211" s="99"/>
      <c r="E211" s="104"/>
      <c r="F211" s="149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0"/>
    </row>
    <row r="213" spans="2:6" x14ac:dyDescent="0.25">
      <c r="B213" s="53" t="s">
        <v>1233</v>
      </c>
      <c r="C213" s="67">
        <v>9</v>
      </c>
      <c r="D213" s="101">
        <f>C212-C213</f>
        <v>-9</v>
      </c>
      <c r="E213" s="55">
        <f>D213/C211</f>
        <v>-1.5280135823429542E-2</v>
      </c>
      <c r="F213" s="150"/>
    </row>
    <row r="214" spans="2:6" x14ac:dyDescent="0.25">
      <c r="B214" s="53" t="s">
        <v>1234</v>
      </c>
      <c r="C214" s="67">
        <v>12</v>
      </c>
      <c r="D214" s="101">
        <f>D213-C214</f>
        <v>-21</v>
      </c>
      <c r="E214" s="55">
        <f>D214/C211</f>
        <v>-3.5653650254668934E-2</v>
      </c>
      <c r="F214" s="150"/>
    </row>
    <row r="215" spans="2:6" x14ac:dyDescent="0.25">
      <c r="B215" s="53" t="s">
        <v>15</v>
      </c>
      <c r="C215" s="92">
        <v>5</v>
      </c>
      <c r="D215" s="101">
        <f>D214-C215</f>
        <v>-26</v>
      </c>
      <c r="E215" s="55">
        <f>D215/C211</f>
        <v>-4.4142614601018676E-2</v>
      </c>
      <c r="F215" s="150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50"/>
    </row>
    <row r="217" spans="2:6" ht="16.5" thickTop="1" thickBot="1" x14ac:dyDescent="0.3">
      <c r="B217" s="109"/>
      <c r="C217" s="108" t="s">
        <v>903</v>
      </c>
      <c r="D217" s="94" t="s">
        <v>1447</v>
      </c>
      <c r="E217" s="100" t="s">
        <v>904</v>
      </c>
      <c r="F217" s="150"/>
    </row>
    <row r="218" spans="2:6" ht="16.5" thickTop="1" thickBot="1" x14ac:dyDescent="0.3">
      <c r="B218" s="96" t="s">
        <v>1052</v>
      </c>
      <c r="C218" s="97">
        <v>307</v>
      </c>
      <c r="D218" s="113">
        <f>Hoja1!Y3</f>
        <v>0</v>
      </c>
      <c r="E218" s="103">
        <f>D218/C218</f>
        <v>0</v>
      </c>
      <c r="F218" s="150"/>
    </row>
    <row r="219" spans="2:6" ht="15.75" thickBot="1" x14ac:dyDescent="0.3">
      <c r="B219" s="110" t="s">
        <v>1053</v>
      </c>
      <c r="C219" s="111">
        <f>COSEIDIcam</f>
        <v>281</v>
      </c>
      <c r="D219" s="111">
        <f>Hoja1!Y5</f>
        <v>0</v>
      </c>
      <c r="E219" s="112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903</v>
      </c>
      <c r="D222" s="106" t="s">
        <v>1447</v>
      </c>
      <c r="E222" s="107" t="s">
        <v>904</v>
      </c>
    </row>
    <row r="223" spans="2:6" ht="15.75" thickTop="1" x14ac:dyDescent="0.25">
      <c r="B223" s="52" t="s">
        <v>1232</v>
      </c>
      <c r="C223" s="98">
        <f>CANTIDAD_DE_CAMARAS</f>
        <v>589</v>
      </c>
      <c r="D223" s="99"/>
      <c r="E223" s="104"/>
      <c r="F223" s="149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0"/>
    </row>
    <row r="225" spans="2:6" x14ac:dyDescent="0.25">
      <c r="B225" s="53" t="s">
        <v>1233</v>
      </c>
      <c r="C225" s="67">
        <v>3</v>
      </c>
      <c r="D225" s="101">
        <f>C224-C225</f>
        <v>96</v>
      </c>
      <c r="E225" s="55">
        <f>D225/C223</f>
        <v>0.16298811544991512</v>
      </c>
      <c r="F225" s="150"/>
    </row>
    <row r="226" spans="2:6" x14ac:dyDescent="0.25">
      <c r="B226" s="53" t="s">
        <v>1234</v>
      </c>
      <c r="C226" s="67">
        <v>12</v>
      </c>
      <c r="D226" s="101">
        <f>D225-C226</f>
        <v>84</v>
      </c>
      <c r="E226" s="55">
        <f>D226/C223</f>
        <v>0.14261460101867574</v>
      </c>
      <c r="F226" s="150"/>
    </row>
    <row r="227" spans="2:6" x14ac:dyDescent="0.25">
      <c r="B227" s="53" t="s">
        <v>15</v>
      </c>
      <c r="C227" s="92">
        <v>5</v>
      </c>
      <c r="D227" s="101">
        <f>D226-C227</f>
        <v>79</v>
      </c>
      <c r="E227" s="55">
        <f>D227/C223</f>
        <v>0.13412563667232597</v>
      </c>
      <c r="F227" s="150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50"/>
    </row>
    <row r="229" spans="2:6" ht="16.5" thickTop="1" thickBot="1" x14ac:dyDescent="0.3">
      <c r="B229" s="109"/>
      <c r="C229" s="108" t="s">
        <v>903</v>
      </c>
      <c r="D229" s="94" t="s">
        <v>1447</v>
      </c>
      <c r="E229" s="100" t="s">
        <v>904</v>
      </c>
      <c r="F229" s="150"/>
    </row>
    <row r="230" spans="2:6" ht="16.5" thickTop="1" thickBot="1" x14ac:dyDescent="0.3">
      <c r="B230" s="96" t="s">
        <v>1052</v>
      </c>
      <c r="C230" s="97">
        <v>307</v>
      </c>
      <c r="D230" s="113">
        <v>58</v>
      </c>
      <c r="E230" s="103">
        <f>D230/C230</f>
        <v>0.18892508143322476</v>
      </c>
      <c r="F230" s="150"/>
    </row>
    <row r="231" spans="2:6" ht="15.75" thickBot="1" x14ac:dyDescent="0.3">
      <c r="B231" s="110" t="s">
        <v>1053</v>
      </c>
      <c r="C231" s="111">
        <f>COSEIDIcam</f>
        <v>281</v>
      </c>
      <c r="D231" s="111">
        <v>41</v>
      </c>
      <c r="E231" s="112">
        <f>D231/C231</f>
        <v>0.14590747330960854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903</v>
      </c>
      <c r="D234" s="106" t="s">
        <v>1447</v>
      </c>
      <c r="E234" s="107" t="s">
        <v>904</v>
      </c>
    </row>
    <row r="235" spans="2:6" ht="15.75" thickTop="1" x14ac:dyDescent="0.25">
      <c r="B235" s="52" t="s">
        <v>1232</v>
      </c>
      <c r="C235" s="98">
        <f>CANTIDAD_DE_CAMARAS</f>
        <v>589</v>
      </c>
      <c r="D235" s="99"/>
      <c r="E235" s="104"/>
      <c r="F235" s="149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0"/>
    </row>
    <row r="237" spans="2:6" x14ac:dyDescent="0.25">
      <c r="B237" s="53" t="s">
        <v>1233</v>
      </c>
      <c r="C237" s="67">
        <v>14</v>
      </c>
      <c r="D237" s="101">
        <f>C236-C237</f>
        <v>84</v>
      </c>
      <c r="E237" s="55">
        <f>D237/C235</f>
        <v>0.14261460101867574</v>
      </c>
      <c r="F237" s="150"/>
    </row>
    <row r="238" spans="2:6" x14ac:dyDescent="0.25">
      <c r="B238" s="53" t="s">
        <v>1234</v>
      </c>
      <c r="C238" s="67">
        <v>12</v>
      </c>
      <c r="D238" s="101">
        <f>D237-C238</f>
        <v>72</v>
      </c>
      <c r="E238" s="55">
        <f>D238/C235</f>
        <v>0.12224108658743633</v>
      </c>
      <c r="F238" s="150"/>
    </row>
    <row r="239" spans="2:6" x14ac:dyDescent="0.25">
      <c r="B239" s="53" t="s">
        <v>15</v>
      </c>
      <c r="C239" s="92">
        <v>5</v>
      </c>
      <c r="D239" s="101">
        <f>D238-C239</f>
        <v>67</v>
      </c>
      <c r="E239" s="55">
        <f>D239/C235</f>
        <v>0.11375212224108659</v>
      </c>
      <c r="F239" s="150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50"/>
    </row>
    <row r="241" spans="2:6" ht="16.5" thickTop="1" thickBot="1" x14ac:dyDescent="0.3">
      <c r="B241" s="109"/>
      <c r="C241" s="108" t="s">
        <v>903</v>
      </c>
      <c r="D241" s="94" t="s">
        <v>1447</v>
      </c>
      <c r="E241" s="100" t="s">
        <v>904</v>
      </c>
      <c r="F241" s="150"/>
    </row>
    <row r="242" spans="2:6" ht="16.5" thickTop="1" thickBot="1" x14ac:dyDescent="0.3">
      <c r="B242" s="96" t="s">
        <v>1052</v>
      </c>
      <c r="C242" s="97">
        <v>307</v>
      </c>
      <c r="D242" s="113">
        <v>57</v>
      </c>
      <c r="E242" s="103">
        <f>D242/C242</f>
        <v>0.18566775244299674</v>
      </c>
      <c r="F242" s="150"/>
    </row>
    <row r="243" spans="2:6" ht="15.75" thickBot="1" x14ac:dyDescent="0.3">
      <c r="B243" s="110" t="s">
        <v>1053</v>
      </c>
      <c r="C243" s="111">
        <f>COSEIDIcam</f>
        <v>281</v>
      </c>
      <c r="D243" s="111">
        <v>41</v>
      </c>
      <c r="E243" s="112">
        <f>D243/C243</f>
        <v>0.14590747330960854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903</v>
      </c>
      <c r="D246" s="106" t="s">
        <v>1447</v>
      </c>
      <c r="E246" s="107" t="s">
        <v>904</v>
      </c>
    </row>
    <row r="247" spans="2:6" ht="15.75" thickTop="1" x14ac:dyDescent="0.25">
      <c r="B247" s="52" t="s">
        <v>1232</v>
      </c>
      <c r="C247" s="98">
        <f>CANTIDAD_DE_CAMARAS</f>
        <v>589</v>
      </c>
      <c r="D247" s="99"/>
      <c r="E247" s="104"/>
      <c r="F247" s="14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0"/>
    </row>
    <row r="249" spans="2:6" x14ac:dyDescent="0.25">
      <c r="B249" s="53" t="s">
        <v>1233</v>
      </c>
      <c r="C249" s="67">
        <v>9</v>
      </c>
      <c r="D249" s="101">
        <f>C248-C249</f>
        <v>115</v>
      </c>
      <c r="E249" s="55">
        <f>D249/C247</f>
        <v>0.19524617996604415</v>
      </c>
      <c r="F249" s="150"/>
    </row>
    <row r="250" spans="2:6" x14ac:dyDescent="0.25">
      <c r="B250" s="53" t="s">
        <v>1234</v>
      </c>
      <c r="C250" s="67">
        <v>12</v>
      </c>
      <c r="D250" s="101">
        <f>D249-C250</f>
        <v>103</v>
      </c>
      <c r="E250" s="55">
        <f>D250/C247</f>
        <v>0.17487266553480477</v>
      </c>
      <c r="F250" s="150"/>
    </row>
    <row r="251" spans="2:6" x14ac:dyDescent="0.25">
      <c r="B251" s="53" t="s">
        <v>15</v>
      </c>
      <c r="C251" s="92">
        <v>5</v>
      </c>
      <c r="D251" s="101">
        <f>D250-C251</f>
        <v>98</v>
      </c>
      <c r="E251" s="55">
        <f>D251/C247</f>
        <v>0.166383701188455</v>
      </c>
      <c r="F251" s="150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50"/>
    </row>
    <row r="253" spans="2:6" ht="16.5" thickTop="1" thickBot="1" x14ac:dyDescent="0.3">
      <c r="B253" s="109"/>
      <c r="C253" s="108" t="s">
        <v>903</v>
      </c>
      <c r="D253" s="94">
        <v>0</v>
      </c>
      <c r="E253" s="100" t="s">
        <v>904</v>
      </c>
      <c r="F253" s="150"/>
    </row>
    <row r="254" spans="2:6" ht="16.5" thickTop="1" thickBot="1" x14ac:dyDescent="0.3">
      <c r="B254" s="96" t="s">
        <v>1052</v>
      </c>
      <c r="C254" s="97">
        <v>307</v>
      </c>
      <c r="D254" s="113">
        <v>61</v>
      </c>
      <c r="E254" s="103">
        <f>D254/C254</f>
        <v>0.1986970684039088</v>
      </c>
      <c r="F254" s="150"/>
    </row>
    <row r="255" spans="2:6" ht="15.75" thickBot="1" x14ac:dyDescent="0.3">
      <c r="B255" s="110" t="s">
        <v>1053</v>
      </c>
      <c r="C255" s="111">
        <f>COSEIDIcam</f>
        <v>281</v>
      </c>
      <c r="D255" s="111">
        <v>63</v>
      </c>
      <c r="E255" s="112">
        <f>D255/C255</f>
        <v>0.22419928825622776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903</v>
      </c>
      <c r="D258" s="106" t="s">
        <v>1447</v>
      </c>
      <c r="E258" s="107" t="s">
        <v>904</v>
      </c>
    </row>
    <row r="259" spans="2:6" ht="15.75" thickTop="1" x14ac:dyDescent="0.25">
      <c r="B259" s="52" t="s">
        <v>1232</v>
      </c>
      <c r="C259" s="98">
        <f>CANTIDAD_DE_CAMARAS</f>
        <v>589</v>
      </c>
      <c r="D259" s="99"/>
      <c r="E259" s="104"/>
      <c r="F259" s="14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0"/>
    </row>
    <row r="261" spans="2:6" x14ac:dyDescent="0.25">
      <c r="B261" s="53" t="s">
        <v>1233</v>
      </c>
      <c r="C261" s="67">
        <v>7</v>
      </c>
      <c r="D261" s="101">
        <f>C260-C261</f>
        <v>109</v>
      </c>
      <c r="E261" s="55">
        <f>D261/C259</f>
        <v>0.18505942275042445</v>
      </c>
      <c r="F261" s="150"/>
    </row>
    <row r="262" spans="2:6" x14ac:dyDescent="0.25">
      <c r="B262" s="53" t="s">
        <v>1234</v>
      </c>
      <c r="C262" s="67">
        <v>12</v>
      </c>
      <c r="D262" s="101">
        <f>D261-C262</f>
        <v>97</v>
      </c>
      <c r="E262" s="55">
        <f>D262/C259</f>
        <v>0.16468590831918506</v>
      </c>
      <c r="F262" s="150"/>
    </row>
    <row r="263" spans="2:6" x14ac:dyDescent="0.25">
      <c r="B263" s="53" t="s">
        <v>15</v>
      </c>
      <c r="C263" s="92">
        <v>5</v>
      </c>
      <c r="D263" s="101">
        <f>D262-C263</f>
        <v>92</v>
      </c>
      <c r="E263" s="55">
        <f>D263/C259</f>
        <v>0.15619694397283532</v>
      </c>
      <c r="F263" s="150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50"/>
    </row>
    <row r="265" spans="2:6" ht="16.5" thickTop="1" thickBot="1" x14ac:dyDescent="0.3">
      <c r="B265" s="109"/>
      <c r="C265" s="108" t="s">
        <v>903</v>
      </c>
      <c r="D265" s="94" t="s">
        <v>1447</v>
      </c>
      <c r="E265" s="100" t="s">
        <v>904</v>
      </c>
      <c r="F265" s="150"/>
    </row>
    <row r="266" spans="2:6" ht="16.5" thickTop="1" thickBot="1" x14ac:dyDescent="0.3">
      <c r="B266" s="96" t="s">
        <v>1052</v>
      </c>
      <c r="C266" s="97">
        <v>307</v>
      </c>
      <c r="D266" s="113">
        <v>57</v>
      </c>
      <c r="E266" s="103">
        <f>D266/C266</f>
        <v>0.18566775244299674</v>
      </c>
      <c r="F266" s="150"/>
    </row>
    <row r="267" spans="2:6" ht="15.75" thickBot="1" x14ac:dyDescent="0.3">
      <c r="B267" s="110" t="s">
        <v>1053</v>
      </c>
      <c r="C267" s="111">
        <f>COSEIDIcam</f>
        <v>281</v>
      </c>
      <c r="D267" s="111">
        <v>59</v>
      </c>
      <c r="E267" s="112">
        <f>D267/C267</f>
        <v>0.20996441281138789</v>
      </c>
      <c r="F267" s="151"/>
    </row>
    <row r="268" spans="2:6" ht="16.5" thickTop="1" thickBot="1" x14ac:dyDescent="0.3"/>
    <row r="269" spans="2:6" ht="16.5" thickTop="1" thickBot="1" x14ac:dyDescent="0.3">
      <c r="C269" s="105" t="s">
        <v>903</v>
      </c>
      <c r="D269" s="106" t="s">
        <v>1447</v>
      </c>
      <c r="E269" s="107" t="s">
        <v>904</v>
      </c>
    </row>
    <row r="270" spans="2:6" ht="15.75" thickTop="1" x14ac:dyDescent="0.25">
      <c r="B270" s="52" t="s">
        <v>1232</v>
      </c>
      <c r="C270" s="98">
        <f>CANTIDAD_DE_CAMARAS</f>
        <v>589</v>
      </c>
      <c r="D270" s="99"/>
      <c r="E270" s="104"/>
      <c r="F270" s="14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0"/>
    </row>
    <row r="272" spans="2:6" x14ac:dyDescent="0.25">
      <c r="B272" s="53" t="s">
        <v>1233</v>
      </c>
      <c r="C272" s="67">
        <v>6</v>
      </c>
      <c r="D272" s="101">
        <f>C271-C272</f>
        <v>-6</v>
      </c>
      <c r="E272" s="55">
        <f>D272/C270</f>
        <v>-1.0186757215619695E-2</v>
      </c>
      <c r="F272" s="150"/>
    </row>
    <row r="273" spans="2:6" x14ac:dyDescent="0.25">
      <c r="B273" s="53" t="s">
        <v>1234</v>
      </c>
      <c r="C273" s="67">
        <v>10</v>
      </c>
      <c r="D273" s="101">
        <f>D272-C273</f>
        <v>-16</v>
      </c>
      <c r="E273" s="55">
        <f>D273/C270</f>
        <v>-2.7164685908319185E-2</v>
      </c>
      <c r="F273" s="150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-3.7351443123938878E-2</v>
      </c>
      <c r="F274" s="150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50"/>
    </row>
    <row r="276" spans="2:6" ht="16.5" thickTop="1" thickBot="1" x14ac:dyDescent="0.3">
      <c r="B276" s="109"/>
      <c r="C276" s="108" t="s">
        <v>903</v>
      </c>
      <c r="D276" s="94" t="s">
        <v>1447</v>
      </c>
      <c r="E276" s="100" t="s">
        <v>904</v>
      </c>
      <c r="F276" s="150"/>
    </row>
    <row r="277" spans="2:6" ht="16.5" thickTop="1" thickBot="1" x14ac:dyDescent="0.3">
      <c r="B277" s="96" t="s">
        <v>1052</v>
      </c>
      <c r="C277" s="97">
        <v>307</v>
      </c>
      <c r="D277" s="113">
        <f>Hoja1!AD3</f>
        <v>0</v>
      </c>
      <c r="E277" s="103">
        <f>D277/C277</f>
        <v>0</v>
      </c>
      <c r="F277" s="150"/>
    </row>
    <row r="278" spans="2:6" ht="15.75" thickBot="1" x14ac:dyDescent="0.3">
      <c r="B278" s="110" t="s">
        <v>1053</v>
      </c>
      <c r="C278" s="111">
        <f>COSEIDIcam</f>
        <v>281</v>
      </c>
      <c r="D278" s="111">
        <f>Hoja1!AD5</f>
        <v>0</v>
      </c>
      <c r="E278" s="112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05" t="s">
        <v>903</v>
      </c>
      <c r="D280" s="106" t="s">
        <v>1447</v>
      </c>
      <c r="E280" s="107" t="s">
        <v>904</v>
      </c>
    </row>
    <row r="281" spans="2:6" ht="15.75" thickTop="1" x14ac:dyDescent="0.25">
      <c r="B281" s="52" t="s">
        <v>1232</v>
      </c>
      <c r="C281" s="98">
        <f>CANTIDAD_DE_CAMARAS</f>
        <v>589</v>
      </c>
      <c r="D281" s="99"/>
      <c r="E281" s="104"/>
      <c r="F281" s="149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0"/>
    </row>
    <row r="283" spans="2:6" x14ac:dyDescent="0.25">
      <c r="B283" s="53" t="s">
        <v>1233</v>
      </c>
      <c r="C283" s="67">
        <v>0</v>
      </c>
      <c r="D283" s="101">
        <f>C282-C283</f>
        <v>0</v>
      </c>
      <c r="E283" s="55">
        <f>D283/C281</f>
        <v>0</v>
      </c>
      <c r="F283" s="150"/>
    </row>
    <row r="284" spans="2:6" x14ac:dyDescent="0.25">
      <c r="B284" s="53" t="s">
        <v>1234</v>
      </c>
      <c r="C284" s="67">
        <v>10</v>
      </c>
      <c r="D284" s="101">
        <f>D283-C284</f>
        <v>-10</v>
      </c>
      <c r="E284" s="55">
        <f>D284/C281</f>
        <v>-1.6977928692699491E-2</v>
      </c>
      <c r="F284" s="150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-2.3769100169779286E-2</v>
      </c>
      <c r="F285" s="150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50"/>
    </row>
    <row r="287" spans="2:6" ht="16.5" thickTop="1" thickBot="1" x14ac:dyDescent="0.3">
      <c r="B287" s="109"/>
      <c r="C287" s="108" t="s">
        <v>903</v>
      </c>
      <c r="D287" s="94" t="s">
        <v>1447</v>
      </c>
      <c r="E287" s="100" t="s">
        <v>904</v>
      </c>
      <c r="F287" s="150"/>
    </row>
    <row r="288" spans="2:6" ht="16.5" thickTop="1" thickBot="1" x14ac:dyDescent="0.3">
      <c r="B288" s="96" t="s">
        <v>1052</v>
      </c>
      <c r="C288" s="97">
        <v>307</v>
      </c>
      <c r="D288" s="113">
        <f>Hoja1!AE3</f>
        <v>29</v>
      </c>
      <c r="E288" s="103">
        <f>D288/C288</f>
        <v>9.4462540716612378E-2</v>
      </c>
      <c r="F288" s="150"/>
    </row>
    <row r="289" spans="2:6" ht="15.75" thickBot="1" x14ac:dyDescent="0.3">
      <c r="B289" s="110" t="s">
        <v>1053</v>
      </c>
      <c r="C289" s="111">
        <f>COSEIDIcam</f>
        <v>281</v>
      </c>
      <c r="D289" s="111">
        <f>Hoja1!AE5</f>
        <v>0</v>
      </c>
      <c r="E289" s="112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5" t="s">
        <v>903</v>
      </c>
      <c r="D291" s="106" t="s">
        <v>1447</v>
      </c>
      <c r="E291" s="107" t="s">
        <v>904</v>
      </c>
    </row>
    <row r="292" spans="2:6" ht="15.75" thickTop="1" x14ac:dyDescent="0.25">
      <c r="B292" s="52" t="s">
        <v>1232</v>
      </c>
      <c r="C292" s="98">
        <f>CANTIDAD_DE_CAMARAS</f>
        <v>589</v>
      </c>
      <c r="D292" s="99"/>
      <c r="E292" s="104"/>
      <c r="F292" s="149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0"/>
    </row>
    <row r="294" spans="2:6" x14ac:dyDescent="0.25">
      <c r="B294" s="53" t="s">
        <v>1233</v>
      </c>
      <c r="C294" s="67">
        <v>9</v>
      </c>
      <c r="D294" s="101">
        <f>C293-C294</f>
        <v>-9</v>
      </c>
      <c r="E294" s="55">
        <f>D294/C292</f>
        <v>-1.5280135823429542E-2</v>
      </c>
      <c r="F294" s="150"/>
    </row>
    <row r="295" spans="2:6" x14ac:dyDescent="0.25">
      <c r="B295" s="53" t="s">
        <v>1234</v>
      </c>
      <c r="C295" s="67">
        <v>12</v>
      </c>
      <c r="D295" s="101">
        <f>D294-C295</f>
        <v>-21</v>
      </c>
      <c r="E295" s="55">
        <f>D295/C292</f>
        <v>-3.5653650254668934E-2</v>
      </c>
      <c r="F295" s="150"/>
    </row>
    <row r="296" spans="2:6" x14ac:dyDescent="0.25">
      <c r="B296" s="53" t="s">
        <v>15</v>
      </c>
      <c r="C296" s="92">
        <v>6</v>
      </c>
      <c r="D296" s="101">
        <f>D295-C296</f>
        <v>-27</v>
      </c>
      <c r="E296" s="55">
        <f>D296/C292</f>
        <v>-4.5840407470288627E-2</v>
      </c>
      <c r="F296" s="150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50"/>
    </row>
    <row r="298" spans="2:6" ht="16.5" thickTop="1" thickBot="1" x14ac:dyDescent="0.3">
      <c r="B298" s="109"/>
      <c r="C298" s="108" t="s">
        <v>903</v>
      </c>
      <c r="D298" s="94" t="s">
        <v>1447</v>
      </c>
      <c r="E298" s="100" t="s">
        <v>904</v>
      </c>
      <c r="F298" s="150"/>
    </row>
    <row r="299" spans="2:6" ht="16.5" thickTop="1" thickBot="1" x14ac:dyDescent="0.3">
      <c r="B299" s="96" t="s">
        <v>1052</v>
      </c>
      <c r="C299" s="97">
        <v>307</v>
      </c>
      <c r="D299" s="113">
        <f>Hoja1!AF3</f>
        <v>0</v>
      </c>
      <c r="E299" s="103">
        <f>D299/C299</f>
        <v>0</v>
      </c>
      <c r="F299" s="150"/>
    </row>
    <row r="300" spans="2:6" ht="15.75" thickBot="1" x14ac:dyDescent="0.3">
      <c r="B300" s="110" t="s">
        <v>1053</v>
      </c>
      <c r="C300" s="111">
        <f>COSEIDIcam</f>
        <v>281</v>
      </c>
      <c r="D300" s="111">
        <f>Hoja1!AF5</f>
        <v>0</v>
      </c>
      <c r="E300" s="112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5" t="s">
        <v>903</v>
      </c>
      <c r="D302" s="106" t="s">
        <v>1447</v>
      </c>
      <c r="E302" s="107" t="s">
        <v>904</v>
      </c>
    </row>
    <row r="303" spans="2:6" ht="15.75" thickTop="1" x14ac:dyDescent="0.25">
      <c r="B303" s="52" t="s">
        <v>1232</v>
      </c>
      <c r="C303" s="98">
        <f>CANTIDAD_DE_CAMARAS</f>
        <v>589</v>
      </c>
      <c r="D303" s="99"/>
      <c r="E303" s="104"/>
      <c r="F303" s="149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0"/>
    </row>
    <row r="305" spans="2:6" x14ac:dyDescent="0.25">
      <c r="B305" s="53" t="s">
        <v>1233</v>
      </c>
      <c r="C305" s="67">
        <v>9</v>
      </c>
      <c r="D305" s="101">
        <f>C304-C305</f>
        <v>113</v>
      </c>
      <c r="E305" s="55">
        <f>D305/C303</f>
        <v>0.19185059422750425</v>
      </c>
      <c r="F305" s="150"/>
    </row>
    <row r="306" spans="2:6" x14ac:dyDescent="0.25">
      <c r="B306" s="53" t="s">
        <v>1234</v>
      </c>
      <c r="C306" s="67">
        <v>12</v>
      </c>
      <c r="D306" s="101">
        <f>D305-C306</f>
        <v>101</v>
      </c>
      <c r="E306" s="55">
        <f>D306/C303</f>
        <v>0.17147707979626486</v>
      </c>
      <c r="F306" s="150"/>
    </row>
    <row r="307" spans="2:6" x14ac:dyDescent="0.25">
      <c r="B307" s="53" t="s">
        <v>15</v>
      </c>
      <c r="C307" s="92">
        <v>5</v>
      </c>
      <c r="D307" s="101">
        <f>D306-C307</f>
        <v>96</v>
      </c>
      <c r="E307" s="55">
        <f>D307/C303</f>
        <v>0.16298811544991512</v>
      </c>
      <c r="F307" s="150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50"/>
    </row>
    <row r="309" spans="2:6" ht="16.5" thickTop="1" thickBot="1" x14ac:dyDescent="0.3">
      <c r="B309" s="109"/>
      <c r="C309" s="108" t="s">
        <v>903</v>
      </c>
      <c r="D309" s="94" t="s">
        <v>1447</v>
      </c>
      <c r="E309" s="100" t="s">
        <v>904</v>
      </c>
      <c r="F309" s="150"/>
    </row>
    <row r="310" spans="2:6" ht="16.5" thickTop="1" thickBot="1" x14ac:dyDescent="0.3">
      <c r="B310" s="96" t="s">
        <v>1052</v>
      </c>
      <c r="C310" s="97">
        <v>307</v>
      </c>
      <c r="D310" s="113">
        <v>53</v>
      </c>
      <c r="E310" s="103">
        <f>D310/C310</f>
        <v>0.17263843648208468</v>
      </c>
      <c r="F310" s="150"/>
    </row>
    <row r="311" spans="2:6" ht="15.75" thickBot="1" x14ac:dyDescent="0.3">
      <c r="B311" s="110" t="s">
        <v>1053</v>
      </c>
      <c r="C311" s="111">
        <f>COSEIDIcam</f>
        <v>281</v>
      </c>
      <c r="D311" s="111">
        <v>69</v>
      </c>
      <c r="E311" s="112">
        <f>D311/C311</f>
        <v>0.24555160142348753</v>
      </c>
      <c r="F311" s="151"/>
    </row>
    <row r="312" spans="2:6" ht="16.5" thickTop="1" thickBot="1" x14ac:dyDescent="0.3"/>
    <row r="313" spans="2:6" ht="16.5" thickTop="1" thickBot="1" x14ac:dyDescent="0.3">
      <c r="C313" s="105" t="s">
        <v>903</v>
      </c>
      <c r="D313" s="106" t="s">
        <v>1447</v>
      </c>
      <c r="E313" s="107" t="s">
        <v>904</v>
      </c>
    </row>
    <row r="314" spans="2:6" ht="15.75" thickTop="1" x14ac:dyDescent="0.25">
      <c r="B314" s="52" t="s">
        <v>1232</v>
      </c>
      <c r="C314" s="98">
        <f>CANTIDAD_DE_CAMARAS</f>
        <v>589</v>
      </c>
      <c r="D314" s="99"/>
      <c r="E314" s="104"/>
      <c r="F314" s="149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0"/>
    </row>
    <row r="316" spans="2:6" x14ac:dyDescent="0.25">
      <c r="B316" s="53" t="s">
        <v>1233</v>
      </c>
      <c r="C316" s="67">
        <v>8</v>
      </c>
      <c r="D316" s="101">
        <f>C315-C316</f>
        <v>108</v>
      </c>
      <c r="E316" s="55">
        <f>D316/C314</f>
        <v>0.18336162988115451</v>
      </c>
      <c r="F316" s="150"/>
    </row>
    <row r="317" spans="2:6" x14ac:dyDescent="0.25">
      <c r="B317" s="53" t="s">
        <v>1234</v>
      </c>
      <c r="C317" s="67">
        <v>12</v>
      </c>
      <c r="D317" s="101">
        <f>D316-C318</f>
        <v>103</v>
      </c>
      <c r="E317" s="55">
        <f>D317/C314</f>
        <v>0.17487266553480477</v>
      </c>
      <c r="F317" s="150"/>
    </row>
    <row r="318" spans="2:6" x14ac:dyDescent="0.25">
      <c r="B318" s="53" t="s">
        <v>15</v>
      </c>
      <c r="C318" s="92">
        <v>5</v>
      </c>
      <c r="D318" s="101">
        <f>D317-C318</f>
        <v>98</v>
      </c>
      <c r="E318" s="55">
        <f>D318/C314</f>
        <v>0.166383701188455</v>
      </c>
      <c r="F318" s="150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50"/>
    </row>
    <row r="320" spans="2:6" ht="16.5" thickTop="1" thickBot="1" x14ac:dyDescent="0.3">
      <c r="B320" s="109"/>
      <c r="C320" s="108" t="s">
        <v>903</v>
      </c>
      <c r="D320" s="94" t="s">
        <v>1447</v>
      </c>
      <c r="E320" s="100" t="s">
        <v>904</v>
      </c>
      <c r="F320" s="150"/>
    </row>
    <row r="321" spans="2:6" ht="16.5" thickTop="1" thickBot="1" x14ac:dyDescent="0.3">
      <c r="B321" s="96" t="s">
        <v>1052</v>
      </c>
      <c r="C321" s="97">
        <v>307</v>
      </c>
      <c r="D321" s="113">
        <v>49</v>
      </c>
      <c r="E321" s="103">
        <f>D321/C321</f>
        <v>0.15960912052117263</v>
      </c>
      <c r="F321" s="150"/>
    </row>
    <row r="322" spans="2:6" ht="15.75" thickBot="1" x14ac:dyDescent="0.3">
      <c r="B322" s="110" t="s">
        <v>1053</v>
      </c>
      <c r="C322" s="111">
        <f>COSEIDIcam</f>
        <v>281</v>
      </c>
      <c r="D322" s="111">
        <v>67</v>
      </c>
      <c r="E322" s="103">
        <f>D322/C322</f>
        <v>0.23843416370106763</v>
      </c>
      <c r="F322" s="151"/>
    </row>
    <row r="323" spans="2:6" ht="16.5" thickTop="1" thickBot="1" x14ac:dyDescent="0.3"/>
    <row r="324" spans="2:6" ht="16.5" thickTop="1" thickBot="1" x14ac:dyDescent="0.3">
      <c r="C324" s="105" t="s">
        <v>903</v>
      </c>
      <c r="D324" s="106" t="s">
        <v>1447</v>
      </c>
      <c r="E324" s="107" t="s">
        <v>904</v>
      </c>
    </row>
    <row r="325" spans="2:6" ht="15.75" thickTop="1" x14ac:dyDescent="0.25">
      <c r="B325" s="52" t="s">
        <v>1232</v>
      </c>
      <c r="C325" s="98">
        <f>CANTIDAD_DE_CAMARAS</f>
        <v>589</v>
      </c>
      <c r="D325" s="99"/>
      <c r="E325" s="104"/>
      <c r="F325" s="14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0"/>
    </row>
    <row r="327" spans="2:6" x14ac:dyDescent="0.25">
      <c r="B327" s="53" t="s">
        <v>1233</v>
      </c>
      <c r="C327" s="67">
        <v>6</v>
      </c>
      <c r="D327" s="101">
        <f>C326-C327</f>
        <v>-6</v>
      </c>
      <c r="E327" s="55">
        <f>D327/C325</f>
        <v>-1.0186757215619695E-2</v>
      </c>
      <c r="F327" s="150"/>
    </row>
    <row r="328" spans="2:6" x14ac:dyDescent="0.25">
      <c r="B328" s="53" t="s">
        <v>1234</v>
      </c>
      <c r="C328" s="67">
        <v>12</v>
      </c>
      <c r="D328" s="101">
        <f>D327-C328</f>
        <v>-18</v>
      </c>
      <c r="E328" s="55">
        <f>D328/C325</f>
        <v>-3.0560271646859084E-2</v>
      </c>
      <c r="F328" s="150"/>
    </row>
    <row r="329" spans="2:6" x14ac:dyDescent="0.25">
      <c r="B329" s="53" t="s">
        <v>15</v>
      </c>
      <c r="C329" s="92">
        <v>5</v>
      </c>
      <c r="D329" s="101">
        <f>D328-C329</f>
        <v>-23</v>
      </c>
      <c r="E329" s="55">
        <f>D329/C325</f>
        <v>-3.9049235993208829E-2</v>
      </c>
      <c r="F329" s="150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50"/>
    </row>
    <row r="331" spans="2:6" ht="16.5" thickTop="1" thickBot="1" x14ac:dyDescent="0.3">
      <c r="B331" s="109"/>
      <c r="C331" s="108" t="s">
        <v>903</v>
      </c>
      <c r="D331" s="94" t="s">
        <v>1447</v>
      </c>
      <c r="E331" s="100" t="s">
        <v>904</v>
      </c>
      <c r="F331" s="150"/>
    </row>
    <row r="332" spans="2:6" ht="16.5" thickTop="1" thickBot="1" x14ac:dyDescent="0.3">
      <c r="B332" s="96" t="s">
        <v>1052</v>
      </c>
      <c r="C332" s="97">
        <v>307</v>
      </c>
      <c r="D332" s="113">
        <v>48</v>
      </c>
      <c r="E332" s="103">
        <f>D332/C332</f>
        <v>0.15635179153094461</v>
      </c>
      <c r="F332" s="150"/>
    </row>
    <row r="333" spans="2:6" ht="15.75" thickBot="1" x14ac:dyDescent="0.3">
      <c r="B333" s="110" t="s">
        <v>1053</v>
      </c>
      <c r="C333" s="111">
        <f>COSEIDIcam</f>
        <v>281</v>
      </c>
      <c r="D333" s="111">
        <v>66</v>
      </c>
      <c r="E333" s="112">
        <f>D333/C333</f>
        <v>0.23487544483985764</v>
      </c>
      <c r="F333" s="15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903</v>
      </c>
      <c r="D336" s="106" t="s">
        <v>1447</v>
      </c>
      <c r="E336" s="107" t="s">
        <v>904</v>
      </c>
    </row>
    <row r="337" spans="2:6" ht="15.75" thickTop="1" x14ac:dyDescent="0.25">
      <c r="B337" s="52" t="s">
        <v>1232</v>
      </c>
      <c r="C337" s="98">
        <f>CANTIDAD_DE_CAMARAS</f>
        <v>589</v>
      </c>
      <c r="D337" s="99"/>
      <c r="E337" s="104"/>
      <c r="F337" s="14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0"/>
    </row>
    <row r="339" spans="2:6" x14ac:dyDescent="0.25">
      <c r="B339" s="53" t="s">
        <v>1233</v>
      </c>
      <c r="C339" s="67">
        <v>2</v>
      </c>
      <c r="D339" s="101" t="e">
        <f>C338-C339</f>
        <v>#REF!</v>
      </c>
      <c r="E339" s="55" t="e">
        <f>D339/C337</f>
        <v>#REF!</v>
      </c>
      <c r="F339" s="150"/>
    </row>
    <row r="340" spans="2:6" x14ac:dyDescent="0.25">
      <c r="B340" s="53" t="s">
        <v>1234</v>
      </c>
      <c r="C340" s="67">
        <v>11</v>
      </c>
      <c r="D340" s="101" t="e">
        <f>D339-C340</f>
        <v>#REF!</v>
      </c>
      <c r="E340" s="55" t="e">
        <f>D340/C337</f>
        <v>#REF!</v>
      </c>
      <c r="F340" s="150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50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50"/>
    </row>
    <row r="343" spans="2:6" ht="16.5" thickTop="1" thickBot="1" x14ac:dyDescent="0.3">
      <c r="B343" s="109"/>
      <c r="C343" s="108" t="s">
        <v>903</v>
      </c>
      <c r="D343" s="94" t="s">
        <v>1447</v>
      </c>
      <c r="E343" s="100" t="s">
        <v>904</v>
      </c>
      <c r="F343" s="150"/>
    </row>
    <row r="344" spans="2:6" ht="16.5" thickTop="1" thickBot="1" x14ac:dyDescent="0.3">
      <c r="B344" s="96" t="s">
        <v>1052</v>
      </c>
      <c r="C344" s="97">
        <v>307</v>
      </c>
      <c r="D344" s="113">
        <v>44</v>
      </c>
      <c r="E344" s="103">
        <f>D344/C344</f>
        <v>0.14332247557003258</v>
      </c>
      <c r="F344" s="150"/>
    </row>
    <row r="345" spans="2:6" ht="15.75" thickBot="1" x14ac:dyDescent="0.3">
      <c r="B345" s="110" t="s">
        <v>1053</v>
      </c>
      <c r="C345" s="111">
        <f>COSEIDIcam</f>
        <v>281</v>
      </c>
      <c r="D345" s="111">
        <v>77</v>
      </c>
      <c r="E345" s="112">
        <f>D345/C345</f>
        <v>0.27402135231316727</v>
      </c>
      <c r="F345" s="15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2026-05-04T19:33:04Z</dcterms:modified>
</cp:coreProperties>
</file>