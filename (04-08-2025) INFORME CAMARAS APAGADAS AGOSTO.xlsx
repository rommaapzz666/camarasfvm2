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30D60DE2-396F-4A31-9E25-93D9ADBBB889}" xr6:coauthVersionLast="47" xr6:coauthVersionMax="47" xr10:uidLastSave="{00000000-0000-0000-0000-000000000000}"/>
  <bookViews>
    <workbookView xWindow="-120" yWindow="-120" windowWidth="19440" windowHeight="1515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J4" i="25"/>
  <c r="F6" i="25"/>
  <c r="L6" i="25"/>
  <c r="H6" i="25"/>
  <c r="J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<sst xmlns="http://schemas.openxmlformats.org/spreadsheetml/2006/main" count="4299" uniqueCount="1567">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</sst>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tabSelected="1" zoomScale="55" zoomScaleNormal="55" workbookViewId="0">
      <pane xSplit="11" ySplit="7" topLeftCell="O130" activePane="bottomRight" state="frozen"/>
      <selection pane="topRight" activeCell="M1" sqref="M1"/>
      <selection pane="bottomLeft" activeCell="A5" sqref="A5"/>
      <selection pane="bottomRight" activeCell="B144" sqref="B144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0</v>
      </c>
      <c r="Q3" s="130">
        <f t="shared" si="3"/>
        <v>0</v>
      </c>
      <c r="R3" s="130">
        <f t="shared" si="3"/>
        <v>0</v>
      </c>
      <c r="S3" s="130">
        <f t="shared" si="3"/>
        <v>0</v>
      </c>
      <c r="T3" s="130">
        <f t="shared" si="3"/>
        <v>0</v>
      </c>
      <c r="U3" s="130">
        <f t="shared" si="3"/>
        <v>0</v>
      </c>
      <c r="V3" s="130">
        <f t="shared" si="3"/>
        <v>0</v>
      </c>
      <c r="W3" s="130">
        <f t="shared" si="3"/>
        <v>0</v>
      </c>
      <c r="X3" s="130">
        <f t="shared" si="3"/>
        <v>0</v>
      </c>
      <c r="Y3" s="130">
        <f t="shared" si="3"/>
        <v>0</v>
      </c>
      <c r="Z3" s="130">
        <f t="shared" si="3"/>
        <v>0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0</v>
      </c>
      <c r="Q4" s="10">
        <f>COUNTIFS(Q8:Q619, "=APAGADO",F8:F619,"=Fibra Optica")</f>
        <v>0</v>
      </c>
      <c r="R4" s="10">
        <f>COUNTIFS(R8:R619, "=APAGADO",F8:F619,"=Fibra Optica")</f>
        <v>0</v>
      </c>
      <c r="S4" s="10">
        <f>COUNTIFS(S8:S619, "=APAGADO",F8:F619,"=Fibra Optica")</f>
        <v>0</v>
      </c>
      <c r="T4" s="10">
        <f>COUNTIFS(T8:T619, "=APAGADO",F8:F619,"=Fibra Optica")</f>
        <v>0</v>
      </c>
      <c r="U4" s="10">
        <f>COUNTIFS(U8:U619, "=APAGADO",F8:F619,"=Fibra Optica")</f>
        <v>0</v>
      </c>
      <c r="V4" s="10">
        <f>COUNTIFS(V8:V619, "=APAGADO",F8:F619,"=Fibra Optica")</f>
        <v>0</v>
      </c>
      <c r="W4" s="10">
        <f>COUNTIFS(W8:W619, "=APAGADO",F8:F619,"=Fibra Optica")</f>
        <v>0</v>
      </c>
      <c r="X4" s="10">
        <f>COUNTIFS(X8:X619, "=APAGADO",F8:F619,"=Fibra Optica")</f>
        <v>0</v>
      </c>
      <c r="Y4" s="10">
        <f>COUNTIFS(Y8:Y619, "=APAGADO",F8:F619,"=Fibra Optica")</f>
        <v>0</v>
      </c>
      <c r="Z4" s="10">
        <f>COUNTIFS(Z8:Z619, "=APAGADO",F8:F619,"=Fibra Optica")</f>
        <v>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0</v>
      </c>
      <c r="Q5" s="134">
        <f>COUNTIFS(Q8:Q619, "=APAGADO",F8:F619,"=RADIO")</f>
        <v>0</v>
      </c>
      <c r="R5" s="134">
        <f>COUNTIFS(R8:R619, "=APAGADO",F8:F619,"=RADIO")</f>
        <v>0</v>
      </c>
      <c r="S5" s="134">
        <f>COUNTIFS(S8:S619, "=APAGADO",F8:F619,"=RADIO")</f>
        <v>0</v>
      </c>
      <c r="T5" s="134">
        <f>COUNTIFS(T8:T619, "=APAGADO",F8:F619,"=RADIO")</f>
        <v>0</v>
      </c>
      <c r="U5" s="134">
        <f>COUNTIFS(U8:U619, "=APAGADO",F8:F619,"=RADIO")</f>
        <v>0</v>
      </c>
      <c r="V5" s="134">
        <f>COUNTIFS(V8:V619, "=APAGADO",F8:F619,"=RADIO")</f>
        <v>0</v>
      </c>
      <c r="W5" s="134">
        <f>COUNTIFS(W8:W619, "=APAGADO",F8:F619,"=RADIO")</f>
        <v>0</v>
      </c>
      <c r="X5" s="134">
        <f>COUNTIFS(X8:X619, "=APAGADO",F8:F619,"=RADIO")</f>
        <v>0</v>
      </c>
      <c r="Y5" s="134">
        <f>COUNTIFS(Y8:Y619, "=APAGADO",F8:F619,"=RADIO")</f>
        <v>0</v>
      </c>
      <c r="Z5" s="134">
        <f>COUNTIFS(Z8:Z619, "=APAGADO",F8:F619,"=RADIO")</f>
        <v>0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0</v>
      </c>
      <c r="Q6" s="10">
        <f>COUNTIFS(Q8:Q619, "=APAGADO",F8:F619,"=PTO A FO")</f>
        <v>0</v>
      </c>
      <c r="R6" s="10">
        <f>COUNTIFS(R8:R619, "=APAGADO",F8:F619,"=PTO A FO")</f>
        <v>0</v>
      </c>
      <c r="S6" s="10">
        <f>COUNTIFS(S8:S619, "=APAGADO",F8:F619,"=PTO A FO")</f>
        <v>0</v>
      </c>
      <c r="T6" s="10">
        <f>COUNTIFS(T8:T619, "=APAGADO",F8:F619,"=PTO A FO")</f>
        <v>0</v>
      </c>
      <c r="U6" s="10">
        <f>COUNTIFS(U8:U619, "=APAGADO",F8:F619,"=PTO A FO")</f>
        <v>0</v>
      </c>
      <c r="V6" s="10">
        <f>COUNTIFS(V8:V619, "=APAGADO",F8:F619,"=PTO A FO")</f>
        <v>0</v>
      </c>
      <c r="W6" s="10">
        <f>COUNTIFS(W8:W619, "=APAGADO",F8:F619,"=PTO A FO")</f>
        <v>0</v>
      </c>
      <c r="X6" s="10">
        <f>COUNTIFS(X8:X619, "=APAGADO",F8:F619,"=PTO A FO")</f>
        <v>0</v>
      </c>
      <c r="Y6" s="10">
        <f>COUNTIFS(Y8:Y619, "=APAGADO",F8:F619,"=PTO A FO")</f>
        <v>0</v>
      </c>
      <c r="Z6" s="10">
        <f>COUNTIFS(Z8:Z619, "=APAGADO",F8:F619,"=PTO A FO")</f>
        <v>0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27</v>
      </c>
      <c r="J11" s="31">
        <f t="shared" si="5"/>
        <v>1</v>
      </c>
      <c r="K11" s="32">
        <f t="shared" si="6"/>
        <v>0.9642857142857143</v>
      </c>
      <c r="L11" s="70" t="s">
        <v>1530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25</v>
      </c>
      <c r="J12" s="31">
        <f t="shared" si="5"/>
        <v>3</v>
      </c>
      <c r="K12" s="32">
        <f t="shared" si="6"/>
        <v>0.8928571428571429</v>
      </c>
      <c r="L12" s="70" t="s">
        <v>1530</v>
      </c>
      <c r="M12" s="70"/>
      <c r="N12" s="70" t="s">
        <v>1530</v>
      </c>
      <c r="O12" s="70" t="s">
        <v>1530</v>
      </c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25</v>
      </c>
      <c r="J17" s="31">
        <f t="shared" si="5"/>
        <v>3</v>
      </c>
      <c r="K17" s="32">
        <f t="shared" si="6"/>
        <v>0.8928571428571429</v>
      </c>
      <c r="L17" s="70" t="s">
        <v>1530</v>
      </c>
      <c r="M17" s="70"/>
      <c r="N17" s="70" t="s">
        <v>1530</v>
      </c>
      <c r="O17" s="70" t="s">
        <v>1530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25</v>
      </c>
      <c r="J18" s="31">
        <f t="shared" si="5"/>
        <v>3</v>
      </c>
      <c r="K18" s="32">
        <f t="shared" si="6"/>
        <v>0.8928571428571429</v>
      </c>
      <c r="L18" s="70" t="s">
        <v>1530</v>
      </c>
      <c r="M18" s="70"/>
      <c r="N18" s="70" t="s">
        <v>1530</v>
      </c>
      <c r="O18" s="70" t="s">
        <v>1530</v>
      </c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25</v>
      </c>
      <c r="J30" s="138">
        <f t="shared" si="5"/>
        <v>3</v>
      </c>
      <c r="K30" s="139">
        <f t="shared" si="6"/>
        <v>0.8928571428571429</v>
      </c>
      <c r="L30" s="140" t="s">
        <v>1530</v>
      </c>
      <c r="M30" s="140"/>
      <c r="N30" s="140" t="s">
        <v>1530</v>
      </c>
      <c r="O30" s="140" t="s">
        <v>1530</v>
      </c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27</v>
      </c>
      <c r="J31" s="31">
        <f t="shared" si="5"/>
        <v>1</v>
      </c>
      <c r="K31" s="32">
        <f t="shared" si="6"/>
        <v>0.9642857142857143</v>
      </c>
      <c r="L31" s="70"/>
      <c r="M31" s="70"/>
      <c r="N31" s="70"/>
      <c r="O31" s="70" t="s">
        <v>1530</v>
      </c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25</v>
      </c>
      <c r="J39" s="31">
        <f t="shared" si="5"/>
        <v>3</v>
      </c>
      <c r="K39" s="32">
        <f t="shared" si="6"/>
        <v>0.8928571428571429</v>
      </c>
      <c r="L39" s="70" t="s">
        <v>1530</v>
      </c>
      <c r="M39" s="70"/>
      <c r="N39" s="70" t="s">
        <v>1530</v>
      </c>
      <c r="O39" s="70" t="s">
        <v>1530</v>
      </c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25</v>
      </c>
      <c r="J40" s="31">
        <f t="shared" si="5"/>
        <v>3</v>
      </c>
      <c r="K40" s="32">
        <f t="shared" si="6"/>
        <v>0.8928571428571429</v>
      </c>
      <c r="L40" s="70" t="s">
        <v>1530</v>
      </c>
      <c r="M40" s="70"/>
      <c r="N40" s="70" t="s">
        <v>1530</v>
      </c>
      <c r="O40" s="70" t="s">
        <v>1530</v>
      </c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27</v>
      </c>
      <c r="J54" s="31">
        <f t="shared" si="5"/>
        <v>1</v>
      </c>
      <c r="K54" s="32">
        <f t="shared" si="6"/>
        <v>0.9642857142857143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25</v>
      </c>
      <c r="J55" s="31">
        <f t="shared" si="5"/>
        <v>3</v>
      </c>
      <c r="K55" s="32">
        <f t="shared" si="6"/>
        <v>0.8928571428571429</v>
      </c>
      <c r="L55" s="70" t="s">
        <v>1530</v>
      </c>
      <c r="M55" s="70"/>
      <c r="N55" s="70" t="s">
        <v>1530</v>
      </c>
      <c r="O55" s="70" t="s">
        <v>1530</v>
      </c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25</v>
      </c>
      <c r="J58" s="31">
        <f t="shared" si="5"/>
        <v>3</v>
      </c>
      <c r="K58" s="32">
        <f t="shared" si="6"/>
        <v>0.8928571428571429</v>
      </c>
      <c r="L58" s="70" t="s">
        <v>1530</v>
      </c>
      <c r="M58" s="70"/>
      <c r="N58" s="70" t="s">
        <v>1530</v>
      </c>
      <c r="O58" s="70" t="s">
        <v>1530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27</v>
      </c>
      <c r="J77" s="31">
        <f t="shared" si="8"/>
        <v>1</v>
      </c>
      <c r="K77" s="32">
        <f t="shared" si="9"/>
        <v>0.9642857142857143</v>
      </c>
      <c r="L77" s="70"/>
      <c r="M77" s="70"/>
      <c r="N77" s="70"/>
      <c r="O77" s="70" t="s">
        <v>1530</v>
      </c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26</v>
      </c>
      <c r="J78" s="31">
        <f t="shared" si="8"/>
        <v>2</v>
      </c>
      <c r="K78" s="32">
        <f t="shared" si="9"/>
        <v>0.9285714285714286</v>
      </c>
      <c r="L78" s="70"/>
      <c r="M78" s="70"/>
      <c r="N78" s="70" t="s">
        <v>1530</v>
      </c>
      <c r="O78" s="70" t="s">
        <v>1530</v>
      </c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27</v>
      </c>
      <c r="J85" s="31">
        <f t="shared" si="8"/>
        <v>1</v>
      </c>
      <c r="K85" s="32">
        <f t="shared" si="9"/>
        <v>0.9642857142857143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25</v>
      </c>
      <c r="J88" s="31">
        <f t="shared" si="8"/>
        <v>3</v>
      </c>
      <c r="K88" s="32">
        <f t="shared" si="9"/>
        <v>0.8928571428571429</v>
      </c>
      <c r="L88" s="70" t="s">
        <v>1530</v>
      </c>
      <c r="M88" s="70"/>
      <c r="N88" s="70" t="s">
        <v>1530</v>
      </c>
      <c r="O88" s="70" t="s">
        <v>1530</v>
      </c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28</v>
      </c>
      <c r="J90" s="31">
        <f t="shared" si="8"/>
        <v>0</v>
      </c>
      <c r="K90" s="32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27</v>
      </c>
      <c r="J94" s="31">
        <f t="shared" si="8"/>
        <v>1</v>
      </c>
      <c r="K94" s="32">
        <f t="shared" si="9"/>
        <v>0.9642857142857143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25</v>
      </c>
      <c r="J95" s="31">
        <f t="shared" si="8"/>
        <v>3</v>
      </c>
      <c r="K95" s="32">
        <f t="shared" si="9"/>
        <v>0.8928571428571429</v>
      </c>
      <c r="L95" s="70" t="s">
        <v>1530</v>
      </c>
      <c r="M95" s="70"/>
      <c r="N95" s="70" t="s">
        <v>1530</v>
      </c>
      <c r="O95" s="70" t="s">
        <v>1530</v>
      </c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25</v>
      </c>
      <c r="J105" s="31">
        <f t="shared" si="8"/>
        <v>3</v>
      </c>
      <c r="K105" s="32">
        <f t="shared" si="9"/>
        <v>0.8928571428571429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25</v>
      </c>
      <c r="J106" s="31">
        <f t="shared" si="8"/>
        <v>3</v>
      </c>
      <c r="K106" s="32">
        <f t="shared" si="9"/>
        <v>0.8928571428571429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27</v>
      </c>
      <c r="J107" s="31">
        <f t="shared" si="8"/>
        <v>1</v>
      </c>
      <c r="K107" s="32">
        <f t="shared" si="9"/>
        <v>0.9642857142857143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25</v>
      </c>
      <c r="J108" s="31">
        <f t="shared" si="8"/>
        <v>3</v>
      </c>
      <c r="K108" s="32">
        <f t="shared" si="9"/>
        <v>0.8928571428571429</v>
      </c>
      <c r="L108" s="70" t="s">
        <v>1530</v>
      </c>
      <c r="M108" s="70"/>
      <c r="N108" s="70" t="s">
        <v>1530</v>
      </c>
      <c r="O108" s="70" t="s">
        <v>1530</v>
      </c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28</v>
      </c>
      <c r="J109" s="31">
        <f t="shared" si="8"/>
        <v>0</v>
      </c>
      <c r="K109" s="32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25</v>
      </c>
      <c r="J129" s="31">
        <f t="shared" si="8"/>
        <v>3</v>
      </c>
      <c r="K129" s="32">
        <f t="shared" si="9"/>
        <v>0.8928571428571429</v>
      </c>
      <c r="L129" s="70" t="s">
        <v>1530</v>
      </c>
      <c r="M129" s="70"/>
      <c r="N129" s="70" t="s">
        <v>1530</v>
      </c>
      <c r="O129" s="70" t="s">
        <v>1530</v>
      </c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27</v>
      </c>
      <c r="J131" s="31">
        <f t="shared" si="8"/>
        <v>1</v>
      </c>
      <c r="K131" s="32">
        <f t="shared" si="9"/>
        <v>0.9642857142857143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28</v>
      </c>
      <c r="J133" s="31">
        <f t="shared" si="8"/>
        <v>0</v>
      </c>
      <c r="K133" s="32">
        <f t="shared" si="9"/>
        <v>1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28</v>
      </c>
      <c r="J134" s="31">
        <f t="shared" si="8"/>
        <v>0</v>
      </c>
      <c r="K134" s="32">
        <f t="shared" si="9"/>
        <v>1</v>
      </c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25</v>
      </c>
      <c r="J136" s="145">
        <f t="shared" si="8"/>
        <v>3</v>
      </c>
      <c r="K136" s="146">
        <f t="shared" si="9"/>
        <v>0.8928571428571429</v>
      </c>
      <c r="L136" s="97" t="s">
        <v>1530</v>
      </c>
      <c r="M136" s="97"/>
      <c r="N136" s="97" t="s">
        <v>1530</v>
      </c>
      <c r="O136" s="97" t="s">
        <v>1530</v>
      </c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25</v>
      </c>
      <c r="J139" s="31">
        <f t="shared" si="8"/>
        <v>3</v>
      </c>
      <c r="K139" s="32">
        <f t="shared" si="9"/>
        <v>0.8928571428571429</v>
      </c>
      <c r="L139" s="70" t="s">
        <v>1530</v>
      </c>
      <c r="M139" s="70"/>
      <c r="N139" s="70" t="s">
        <v>1530</v>
      </c>
      <c r="O139" s="70" t="s">
        <v>1530</v>
      </c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25</v>
      </c>
      <c r="J140" s="31">
        <f t="shared" si="8"/>
        <v>3</v>
      </c>
      <c r="K140" s="32">
        <f t="shared" si="9"/>
        <v>0.8928571428571429</v>
      </c>
      <c r="L140" s="70" t="s">
        <v>1530</v>
      </c>
      <c r="M140" s="70"/>
      <c r="N140" s="70" t="s">
        <v>1530</v>
      </c>
      <c r="O140" s="70" t="s">
        <v>1530</v>
      </c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28</v>
      </c>
      <c r="J145" s="31">
        <f t="shared" si="11"/>
        <v>0</v>
      </c>
      <c r="K145" s="32">
        <f t="shared" si="12"/>
        <v>1</v>
      </c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28</v>
      </c>
      <c r="J146" s="31">
        <f t="shared" si="11"/>
        <v>0</v>
      </c>
      <c r="K146" s="32">
        <f t="shared" si="12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28</v>
      </c>
      <c r="J148" s="31">
        <f t="shared" si="11"/>
        <v>0</v>
      </c>
      <c r="K148" s="32">
        <f t="shared" si="12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28</v>
      </c>
      <c r="J152" s="31">
        <f t="shared" si="11"/>
        <v>0</v>
      </c>
      <c r="K152" s="32">
        <f t="shared" si="12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25</v>
      </c>
      <c r="J171" s="142">
        <f t="shared" si="11"/>
        <v>3</v>
      </c>
      <c r="K171" s="143">
        <f t="shared" si="12"/>
        <v>0.8928571428571429</v>
      </c>
      <c r="L171" s="144" t="s">
        <v>1530</v>
      </c>
      <c r="M171" s="144"/>
      <c r="N171" s="144" t="s">
        <v>1530</v>
      </c>
      <c r="O171" s="144" t="s">
        <v>1530</v>
      </c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27</v>
      </c>
      <c r="J177" s="31">
        <f t="shared" si="11"/>
        <v>1</v>
      </c>
      <c r="K177" s="32">
        <f t="shared" si="12"/>
        <v>0.9642857142857143</v>
      </c>
      <c r="L177" s="70" t="s">
        <v>1530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25</v>
      </c>
      <c r="J178" s="31">
        <f t="shared" si="11"/>
        <v>3</v>
      </c>
      <c r="K178" s="32">
        <f t="shared" si="12"/>
        <v>0.8928571428571429</v>
      </c>
      <c r="L178" s="70" t="s">
        <v>1530</v>
      </c>
      <c r="M178" s="70"/>
      <c r="N178" s="70" t="s">
        <v>1530</v>
      </c>
      <c r="O178" s="70" t="s">
        <v>1530</v>
      </c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27</v>
      </c>
      <c r="J190" s="31">
        <f t="shared" si="11"/>
        <v>1</v>
      </c>
      <c r="K190" s="32">
        <f t="shared" si="12"/>
        <v>0.9642857142857143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25</v>
      </c>
      <c r="J194" s="31">
        <f t="shared" si="11"/>
        <v>3</v>
      </c>
      <c r="K194" s="32">
        <f t="shared" si="12"/>
        <v>0.8928571428571429</v>
      </c>
      <c r="L194" s="70" t="s">
        <v>1530</v>
      </c>
      <c r="M194" s="70"/>
      <c r="N194" s="70" t="s">
        <v>1530</v>
      </c>
      <c r="O194" s="70" t="s">
        <v>1530</v>
      </c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25</v>
      </c>
      <c r="J195" s="31">
        <f t="shared" si="11"/>
        <v>3</v>
      </c>
      <c r="K195" s="32">
        <f t="shared" si="12"/>
        <v>0.8928571428571429</v>
      </c>
      <c r="L195" s="70" t="s">
        <v>1530</v>
      </c>
      <c r="M195" s="70"/>
      <c r="N195" s="70" t="s">
        <v>1530</v>
      </c>
      <c r="O195" s="70" t="s">
        <v>1530</v>
      </c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25</v>
      </c>
      <c r="J220" s="31">
        <f t="shared" si="14"/>
        <v>3</v>
      </c>
      <c r="K220" s="32">
        <f t="shared" si="15"/>
        <v>0.8928571428571429</v>
      </c>
      <c r="L220" s="70" t="s">
        <v>1530</v>
      </c>
      <c r="M220" s="70"/>
      <c r="N220" s="70" t="s">
        <v>1530</v>
      </c>
      <c r="O220" s="70" t="s">
        <v>1530</v>
      </c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28</v>
      </c>
      <c r="J221" s="31">
        <f t="shared" si="14"/>
        <v>0</v>
      </c>
      <c r="K221" s="32">
        <f t="shared" si="15"/>
        <v>1</v>
      </c>
      <c r="L221" s="70"/>
      <c r="M221" s="70"/>
      <c r="N221" s="70"/>
      <c r="O221" s="70"/>
      <c r="P221" s="70"/>
      <c r="Q221" s="70"/>
      <c r="R221" s="71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28</v>
      </c>
      <c r="J222" s="31">
        <f t="shared" si="14"/>
        <v>0</v>
      </c>
      <c r="K222" s="32">
        <f t="shared" si="15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28</v>
      </c>
      <c r="J223" s="31">
        <f t="shared" si="14"/>
        <v>0</v>
      </c>
      <c r="K223" s="32">
        <f t="shared" si="15"/>
        <v>1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28</v>
      </c>
      <c r="J224" s="31">
        <f t="shared" si="14"/>
        <v>0</v>
      </c>
      <c r="K224" s="32">
        <f t="shared" si="15"/>
        <v>1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28</v>
      </c>
      <c r="J225" s="31">
        <f t="shared" si="14"/>
        <v>0</v>
      </c>
      <c r="K225" s="32">
        <f t="shared" si="15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25</v>
      </c>
      <c r="J228" s="31">
        <f t="shared" si="14"/>
        <v>3</v>
      </c>
      <c r="K228" s="32">
        <f t="shared" si="15"/>
        <v>0.8928571428571429</v>
      </c>
      <c r="L228" s="70" t="s">
        <v>1530</v>
      </c>
      <c r="M228" s="70"/>
      <c r="N228" s="70" t="s">
        <v>1530</v>
      </c>
      <c r="O228" s="70" t="s">
        <v>1530</v>
      </c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25</v>
      </c>
      <c r="J231" s="31">
        <f t="shared" si="14"/>
        <v>3</v>
      </c>
      <c r="K231" s="32">
        <f t="shared" si="15"/>
        <v>0.8928571428571429</v>
      </c>
      <c r="L231" s="70" t="s">
        <v>1530</v>
      </c>
      <c r="M231" s="70"/>
      <c r="N231" s="70" t="s">
        <v>1530</v>
      </c>
      <c r="O231" s="70" t="s">
        <v>1530</v>
      </c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25</v>
      </c>
      <c r="J232" s="31">
        <f t="shared" si="14"/>
        <v>3</v>
      </c>
      <c r="K232" s="32">
        <f t="shared" si="15"/>
        <v>0.8928571428571429</v>
      </c>
      <c r="L232" s="70" t="s">
        <v>1530</v>
      </c>
      <c r="M232" s="70"/>
      <c r="N232" s="70" t="s">
        <v>1530</v>
      </c>
      <c r="O232" s="70" t="s">
        <v>1530</v>
      </c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26</v>
      </c>
      <c r="J246" s="31">
        <f t="shared" si="14"/>
        <v>2</v>
      </c>
      <c r="K246" s="32">
        <f t="shared" si="15"/>
        <v>0.9285714285714286</v>
      </c>
      <c r="L246" s="70"/>
      <c r="M246" s="70"/>
      <c r="N246" s="70" t="s">
        <v>1530</v>
      </c>
      <c r="O246" s="70" t="s">
        <v>1530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26</v>
      </c>
      <c r="J248" s="31">
        <f t="shared" si="14"/>
        <v>2</v>
      </c>
      <c r="K248" s="32">
        <f t="shared" si="15"/>
        <v>0.9285714285714286</v>
      </c>
      <c r="L248" s="70"/>
      <c r="M248" s="70"/>
      <c r="N248" s="70" t="s">
        <v>1530</v>
      </c>
      <c r="O248" s="70" t="s">
        <v>1530</v>
      </c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27</v>
      </c>
      <c r="J249" s="31">
        <f t="shared" si="14"/>
        <v>1</v>
      </c>
      <c r="K249" s="32">
        <f t="shared" si="15"/>
        <v>0.9642857142857143</v>
      </c>
      <c r="L249" s="70"/>
      <c r="M249" s="70"/>
      <c r="N249" s="70"/>
      <c r="O249" s="70" t="s">
        <v>1530</v>
      </c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26</v>
      </c>
      <c r="J251" s="31">
        <f t="shared" si="14"/>
        <v>2</v>
      </c>
      <c r="K251" s="32">
        <f t="shared" si="15"/>
        <v>0.9285714285714286</v>
      </c>
      <c r="L251" s="70"/>
      <c r="M251" s="70"/>
      <c r="N251" s="70" t="s">
        <v>1530</v>
      </c>
      <c r="O251" s="70" t="s">
        <v>1530</v>
      </c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25</v>
      </c>
      <c r="J265" s="31">
        <f t="shared" si="14"/>
        <v>3</v>
      </c>
      <c r="K265" s="32">
        <f t="shared" si="15"/>
        <v>0.8928571428571429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26</v>
      </c>
      <c r="J267" s="31">
        <f t="shared" si="14"/>
        <v>2</v>
      </c>
      <c r="K267" s="32">
        <f t="shared" si="15"/>
        <v>0.9285714285714286</v>
      </c>
      <c r="L267" s="70"/>
      <c r="M267" s="70"/>
      <c r="N267" s="70" t="s">
        <v>1530</v>
      </c>
      <c r="O267" s="70" t="s">
        <v>1530</v>
      </c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25</v>
      </c>
      <c r="J268" s="31">
        <f t="shared" si="14"/>
        <v>3</v>
      </c>
      <c r="K268" s="32">
        <f t="shared" si="15"/>
        <v>0.8928571428571429</v>
      </c>
      <c r="L268" s="70" t="s">
        <v>1530</v>
      </c>
      <c r="M268" s="70"/>
      <c r="N268" s="70" t="s">
        <v>1530</v>
      </c>
      <c r="O268" s="70" t="s">
        <v>1530</v>
      </c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28</v>
      </c>
      <c r="J271" s="31">
        <f t="shared" si="14"/>
        <v>0</v>
      </c>
      <c r="K271" s="32">
        <f t="shared" si="15"/>
        <v>1</v>
      </c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28</v>
      </c>
      <c r="J272" s="31">
        <f t="shared" si="14"/>
        <v>0</v>
      </c>
      <c r="K272" s="32">
        <f t="shared" si="15"/>
        <v>1</v>
      </c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28</v>
      </c>
      <c r="J273" s="31">
        <f t="shared" si="14"/>
        <v>0</v>
      </c>
      <c r="K273" s="32">
        <f t="shared" si="15"/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25</v>
      </c>
      <c r="J279" s="142">
        <f t="shared" si="14"/>
        <v>3</v>
      </c>
      <c r="K279" s="143">
        <f t="shared" si="15"/>
        <v>0.8928571428571429</v>
      </c>
      <c r="L279" s="144" t="s">
        <v>1530</v>
      </c>
      <c r="M279" s="144"/>
      <c r="N279" s="144" t="s">
        <v>1530</v>
      </c>
      <c r="O279" s="144" t="s">
        <v>1530</v>
      </c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28</v>
      </c>
      <c r="J280" s="31">
        <f t="shared" ref="J280:J343" si="17">COUNTIF(L280:AM280,"APAGADO")</f>
        <v>0</v>
      </c>
      <c r="K280" s="32">
        <f t="shared" ref="K280:K343" si="18">(I280)/(J280+I280)</f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25</v>
      </c>
      <c r="J284" s="31">
        <f t="shared" si="17"/>
        <v>3</v>
      </c>
      <c r="K284" s="32">
        <f t="shared" si="18"/>
        <v>0.8928571428571429</v>
      </c>
      <c r="L284" s="70" t="s">
        <v>1530</v>
      </c>
      <c r="M284" s="70"/>
      <c r="N284" s="70" t="s">
        <v>1530</v>
      </c>
      <c r="O284" s="70" t="s">
        <v>1530</v>
      </c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28</v>
      </c>
      <c r="J290" s="31">
        <f t="shared" si="17"/>
        <v>0</v>
      </c>
      <c r="K290" s="32">
        <f t="shared" si="18"/>
        <v>1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28</v>
      </c>
      <c r="J291" s="31">
        <f t="shared" si="17"/>
        <v>0</v>
      </c>
      <c r="K291" s="32">
        <f t="shared" si="18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28</v>
      </c>
      <c r="J292" s="31">
        <f t="shared" si="17"/>
        <v>0</v>
      </c>
      <c r="K292" s="32">
        <f t="shared" si="18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28</v>
      </c>
      <c r="J293" s="31">
        <f t="shared" si="17"/>
        <v>0</v>
      </c>
      <c r="K293" s="32">
        <f t="shared" si="18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28</v>
      </c>
      <c r="J294" s="31">
        <f t="shared" si="17"/>
        <v>0</v>
      </c>
      <c r="K294" s="32">
        <f t="shared" si="18"/>
        <v>1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28</v>
      </c>
      <c r="J295" s="31">
        <f t="shared" si="17"/>
        <v>0</v>
      </c>
      <c r="K295" s="32">
        <f t="shared" si="18"/>
        <v>1</v>
      </c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28</v>
      </c>
      <c r="J300" s="91">
        <f t="shared" si="17"/>
        <v>0</v>
      </c>
      <c r="K300" s="92">
        <f t="shared" si="18"/>
        <v>1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25</v>
      </c>
      <c r="J301" s="31">
        <f t="shared" si="17"/>
        <v>3</v>
      </c>
      <c r="K301" s="32">
        <f t="shared" si="18"/>
        <v>0.8928571428571429</v>
      </c>
      <c r="L301" s="70" t="s">
        <v>1530</v>
      </c>
      <c r="M301" s="70"/>
      <c r="N301" s="70" t="s">
        <v>1530</v>
      </c>
      <c r="O301" s="70" t="s">
        <v>1530</v>
      </c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25</v>
      </c>
      <c r="J307" s="31">
        <f t="shared" si="17"/>
        <v>3</v>
      </c>
      <c r="K307" s="32">
        <f t="shared" si="18"/>
        <v>0.8928571428571429</v>
      </c>
      <c r="L307" s="70" t="s">
        <v>1530</v>
      </c>
      <c r="M307" s="70"/>
      <c r="N307" s="70" t="s">
        <v>1530</v>
      </c>
      <c r="O307" s="70" t="s">
        <v>1530</v>
      </c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 t="s">
        <v>1530</v>
      </c>
      <c r="M313" s="70"/>
      <c r="N313" s="70" t="s">
        <v>1530</v>
      </c>
      <c r="O313" s="70" t="s">
        <v>1530</v>
      </c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 t="s">
        <v>1530</v>
      </c>
      <c r="M314" s="70"/>
      <c r="N314" s="70" t="s">
        <v>1530</v>
      </c>
      <c r="O314" s="70" t="s">
        <v>1530</v>
      </c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 t="s">
        <v>1530</v>
      </c>
      <c r="M315" s="70"/>
      <c r="N315" s="70" t="s">
        <v>1530</v>
      </c>
      <c r="O315" s="70" t="s">
        <v>1530</v>
      </c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27</v>
      </c>
      <c r="J319" s="31">
        <f t="shared" si="17"/>
        <v>1</v>
      </c>
      <c r="K319" s="32">
        <f t="shared" si="18"/>
        <v>0.9642857142857143</v>
      </c>
      <c r="L319" s="70"/>
      <c r="M319" s="70"/>
      <c r="N319" s="70" t="s">
        <v>1530</v>
      </c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27</v>
      </c>
      <c r="J320" s="31">
        <f t="shared" si="17"/>
        <v>1</v>
      </c>
      <c r="K320" s="32">
        <f t="shared" si="18"/>
        <v>0.9642857142857143</v>
      </c>
      <c r="L320" s="70"/>
      <c r="M320" s="70"/>
      <c r="N320" s="70" t="s">
        <v>1530</v>
      </c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25</v>
      </c>
      <c r="J322" s="31">
        <f t="shared" si="17"/>
        <v>3</v>
      </c>
      <c r="K322" s="32">
        <f t="shared" si="18"/>
        <v>0.8928571428571429</v>
      </c>
      <c r="L322" s="70" t="s">
        <v>1530</v>
      </c>
      <c r="M322" s="70"/>
      <c r="N322" s="70" t="s">
        <v>1530</v>
      </c>
      <c r="O322" s="70" t="s">
        <v>1530</v>
      </c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26</v>
      </c>
      <c r="J333" s="31">
        <f t="shared" si="17"/>
        <v>2</v>
      </c>
      <c r="K333" s="32">
        <f t="shared" si="18"/>
        <v>0.9285714285714286</v>
      </c>
      <c r="L333" s="70"/>
      <c r="M333" s="70"/>
      <c r="N333" s="70" t="s">
        <v>1530</v>
      </c>
      <c r="O333" s="70" t="s">
        <v>1530</v>
      </c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28</v>
      </c>
      <c r="J335" s="31">
        <f t="shared" si="17"/>
        <v>0</v>
      </c>
      <c r="K335" s="32">
        <f t="shared" si="18"/>
        <v>1</v>
      </c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25</v>
      </c>
      <c r="J338" s="31">
        <f t="shared" si="17"/>
        <v>3</v>
      </c>
      <c r="K338" s="32">
        <f t="shared" si="18"/>
        <v>0.8928571428571429</v>
      </c>
      <c r="L338" s="70" t="s">
        <v>1530</v>
      </c>
      <c r="M338" s="70"/>
      <c r="N338" s="70" t="s">
        <v>1530</v>
      </c>
      <c r="O338" s="70" t="s">
        <v>1530</v>
      </c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25</v>
      </c>
      <c r="J339" s="142">
        <f t="shared" si="17"/>
        <v>3</v>
      </c>
      <c r="K339" s="143">
        <f t="shared" si="18"/>
        <v>0.8928571428571429</v>
      </c>
      <c r="L339" s="144" t="s">
        <v>1530</v>
      </c>
      <c r="M339" s="144"/>
      <c r="N339" s="144" t="s">
        <v>1530</v>
      </c>
      <c r="O339" s="144" t="s">
        <v>1530</v>
      </c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28</v>
      </c>
      <c r="J343" s="31">
        <f t="shared" si="17"/>
        <v>0</v>
      </c>
      <c r="K343" s="32">
        <f t="shared" si="18"/>
        <v>1</v>
      </c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28</v>
      </c>
      <c r="J344" s="31">
        <f t="shared" ref="J344:J409" si="20">COUNTIF(L344:AM344,"APAGADO")</f>
        <v>0</v>
      </c>
      <c r="K344" s="32">
        <f t="shared" ref="K344:K409" si="21">(I344)/(J344+I344)</f>
        <v>1</v>
      </c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28</v>
      </c>
      <c r="J345" s="31">
        <f t="shared" si="20"/>
        <v>0</v>
      </c>
      <c r="K345" s="32">
        <f t="shared" si="21"/>
        <v>1</v>
      </c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28</v>
      </c>
      <c r="J346" s="31">
        <f t="shared" si="20"/>
        <v>0</v>
      </c>
      <c r="K346" s="32">
        <f t="shared" si="21"/>
        <v>1</v>
      </c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28</v>
      </c>
      <c r="J347" s="31">
        <f t="shared" si="20"/>
        <v>0</v>
      </c>
      <c r="K347" s="32">
        <f t="shared" si="21"/>
        <v>1</v>
      </c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28</v>
      </c>
      <c r="J348" s="31">
        <f t="shared" si="20"/>
        <v>0</v>
      </c>
      <c r="K348" s="32">
        <f t="shared" si="21"/>
        <v>1</v>
      </c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28</v>
      </c>
      <c r="J349" s="31">
        <f t="shared" si="20"/>
        <v>0</v>
      </c>
      <c r="K349" s="32">
        <f t="shared" si="21"/>
        <v>1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28</v>
      </c>
      <c r="J350" s="31">
        <f t="shared" si="20"/>
        <v>0</v>
      </c>
      <c r="K350" s="32">
        <f t="shared" si="21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28</v>
      </c>
      <c r="J351" s="31">
        <f t="shared" si="20"/>
        <v>0</v>
      </c>
      <c r="K351" s="32">
        <f t="shared" si="21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28</v>
      </c>
      <c r="J352" s="31">
        <f t="shared" si="20"/>
        <v>0</v>
      </c>
      <c r="K352" s="32">
        <f t="shared" si="21"/>
        <v>1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25</v>
      </c>
      <c r="J356" s="31">
        <f t="shared" si="20"/>
        <v>3</v>
      </c>
      <c r="K356" s="32">
        <f t="shared" si="21"/>
        <v>0.8928571428571429</v>
      </c>
      <c r="L356" s="70" t="s">
        <v>1530</v>
      </c>
      <c r="M356" s="70"/>
      <c r="N356" s="70" t="s">
        <v>1530</v>
      </c>
      <c r="O356" s="70" t="s">
        <v>1530</v>
      </c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28</v>
      </c>
      <c r="J362" s="31">
        <f t="shared" si="20"/>
        <v>0</v>
      </c>
      <c r="K362" s="32">
        <f t="shared" si="21"/>
        <v>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28</v>
      </c>
      <c r="J363" s="31">
        <f t="shared" si="20"/>
        <v>0</v>
      </c>
      <c r="K363" s="32">
        <f t="shared" si="21"/>
        <v>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25</v>
      </c>
      <c r="J368" s="31">
        <f t="shared" si="20"/>
        <v>3</v>
      </c>
      <c r="K368" s="32">
        <f t="shared" si="21"/>
        <v>0.8928571428571429</v>
      </c>
      <c r="L368" s="70" t="s">
        <v>1530</v>
      </c>
      <c r="M368" s="70"/>
      <c r="N368" s="70" t="s">
        <v>1530</v>
      </c>
      <c r="O368" s="70" t="s">
        <v>1530</v>
      </c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0" t="s">
        <v>1530</v>
      </c>
      <c r="M369" s="70"/>
      <c r="N369" s="70" t="s">
        <v>1530</v>
      </c>
      <c r="O369" s="70" t="s">
        <v>1530</v>
      </c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25</v>
      </c>
      <c r="J373" s="31">
        <f t="shared" si="20"/>
        <v>3</v>
      </c>
      <c r="K373" s="32">
        <f t="shared" si="21"/>
        <v>0.8928571428571429</v>
      </c>
      <c r="L373" s="70" t="s">
        <v>1530</v>
      </c>
      <c r="M373" s="70"/>
      <c r="N373" s="70" t="s">
        <v>1530</v>
      </c>
      <c r="O373" s="70" t="s">
        <v>1530</v>
      </c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25</v>
      </c>
      <c r="J376" s="31">
        <f t="shared" si="20"/>
        <v>3</v>
      </c>
      <c r="K376" s="32">
        <f t="shared" si="21"/>
        <v>0.8928571428571429</v>
      </c>
      <c r="L376" s="70" t="s">
        <v>1530</v>
      </c>
      <c r="M376" s="70"/>
      <c r="N376" s="70" t="s">
        <v>1530</v>
      </c>
      <c r="O376" s="70" t="s">
        <v>1530</v>
      </c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27</v>
      </c>
      <c r="J380" s="31">
        <f t="shared" si="20"/>
        <v>1</v>
      </c>
      <c r="K380" s="32">
        <f t="shared" si="21"/>
        <v>0.9642857142857143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27</v>
      </c>
      <c r="J381" s="31">
        <f t="shared" si="20"/>
        <v>1</v>
      </c>
      <c r="K381" s="32">
        <f t="shared" si="21"/>
        <v>0.9642857142857143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27</v>
      </c>
      <c r="J382" s="31">
        <f t="shared" si="20"/>
        <v>1</v>
      </c>
      <c r="K382" s="32">
        <f t="shared" si="21"/>
        <v>0.9642857142857143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27</v>
      </c>
      <c r="J383" s="31">
        <f t="shared" si="20"/>
        <v>1</v>
      </c>
      <c r="K383" s="32">
        <f t="shared" si="21"/>
        <v>0.9642857142857143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28</v>
      </c>
      <c r="J384" s="31">
        <f t="shared" si="20"/>
        <v>0</v>
      </c>
      <c r="K384" s="32">
        <f t="shared" si="21"/>
        <v>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25</v>
      </c>
      <c r="J392" s="31">
        <f t="shared" si="20"/>
        <v>3</v>
      </c>
      <c r="K392" s="32">
        <f t="shared" si="21"/>
        <v>0.8928571428571429</v>
      </c>
      <c r="L392" s="70" t="s">
        <v>1530</v>
      </c>
      <c r="M392" s="70"/>
      <c r="N392" s="70" t="s">
        <v>1530</v>
      </c>
      <c r="O392" s="70" t="s">
        <v>1530</v>
      </c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26</v>
      </c>
      <c r="J393" s="31">
        <f t="shared" si="20"/>
        <v>2</v>
      </c>
      <c r="K393" s="32">
        <f t="shared" si="21"/>
        <v>0.9285714285714286</v>
      </c>
      <c r="L393" s="70"/>
      <c r="M393" s="70"/>
      <c r="N393" s="70" t="s">
        <v>1530</v>
      </c>
      <c r="O393" s="70" t="s">
        <v>1530</v>
      </c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25</v>
      </c>
      <c r="J398" s="31">
        <f t="shared" si="20"/>
        <v>3</v>
      </c>
      <c r="K398" s="32">
        <f t="shared" si="21"/>
        <v>0.8928571428571429</v>
      </c>
      <c r="L398" s="70" t="s">
        <v>1530</v>
      </c>
      <c r="M398" s="70"/>
      <c r="N398" s="70" t="s">
        <v>1530</v>
      </c>
      <c r="O398" s="70" t="s">
        <v>1530</v>
      </c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25</v>
      </c>
      <c r="J404" s="31">
        <f t="shared" si="20"/>
        <v>3</v>
      </c>
      <c r="K404" s="32">
        <f t="shared" si="21"/>
        <v>0.8928571428571429</v>
      </c>
      <c r="L404" s="70" t="s">
        <v>1530</v>
      </c>
      <c r="M404" s="70"/>
      <c r="N404" s="70" t="s">
        <v>1530</v>
      </c>
      <c r="O404" s="70" t="s">
        <v>1530</v>
      </c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25</v>
      </c>
      <c r="J407" s="31">
        <f t="shared" si="20"/>
        <v>3</v>
      </c>
      <c r="K407" s="32">
        <f t="shared" si="21"/>
        <v>0.8928571428571429</v>
      </c>
      <c r="L407" s="70" t="s">
        <v>1530</v>
      </c>
      <c r="M407" s="70"/>
      <c r="N407" s="70" t="s">
        <v>1530</v>
      </c>
      <c r="O407" s="70" t="s">
        <v>1530</v>
      </c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25</v>
      </c>
      <c r="J417" s="31">
        <f t="shared" si="23"/>
        <v>3</v>
      </c>
      <c r="K417" s="32">
        <f t="shared" si="24"/>
        <v>0.8928571428571429</v>
      </c>
      <c r="L417" s="70" t="s">
        <v>1530</v>
      </c>
      <c r="M417" s="70"/>
      <c r="N417" s="70" t="s">
        <v>1530</v>
      </c>
      <c r="O417" s="70" t="s">
        <v>1530</v>
      </c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25</v>
      </c>
      <c r="J418" s="31">
        <f t="shared" si="23"/>
        <v>3</v>
      </c>
      <c r="K418" s="32">
        <f t="shared" si="24"/>
        <v>0.8928571428571429</v>
      </c>
      <c r="L418" s="70" t="s">
        <v>1530</v>
      </c>
      <c r="M418" s="70"/>
      <c r="N418" s="70" t="s">
        <v>1530</v>
      </c>
      <c r="O418" s="70" t="s">
        <v>1530</v>
      </c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25</v>
      </c>
      <c r="J422" s="31">
        <f t="shared" si="23"/>
        <v>3</v>
      </c>
      <c r="K422" s="32">
        <f t="shared" si="24"/>
        <v>0.8928571428571429</v>
      </c>
      <c r="L422" s="70" t="s">
        <v>1530</v>
      </c>
      <c r="M422" s="70"/>
      <c r="N422" s="70" t="s">
        <v>1530</v>
      </c>
      <c r="O422" s="70" t="s">
        <v>1530</v>
      </c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28</v>
      </c>
      <c r="J429" s="31">
        <f t="shared" si="23"/>
        <v>0</v>
      </c>
      <c r="K429" s="32">
        <f t="shared" si="24"/>
        <v>1</v>
      </c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28</v>
      </c>
      <c r="J472" s="31">
        <f t="shared" si="23"/>
        <v>0</v>
      </c>
      <c r="K472" s="32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28</v>
      </c>
      <c r="J476" s="31">
        <f t="shared" si="26"/>
        <v>0</v>
      </c>
      <c r="K476" s="32">
        <f t="shared" si="27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28</v>
      </c>
      <c r="J478" s="31">
        <f t="shared" si="26"/>
        <v>0</v>
      </c>
      <c r="K478" s="32">
        <f t="shared" si="27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25</v>
      </c>
      <c r="J484" s="31">
        <f t="shared" si="26"/>
        <v>3</v>
      </c>
      <c r="K484" s="32">
        <f t="shared" si="27"/>
        <v>0.8928571428571429</v>
      </c>
      <c r="L484" s="70" t="s">
        <v>1530</v>
      </c>
      <c r="M484" s="70"/>
      <c r="N484" s="70" t="s">
        <v>1530</v>
      </c>
      <c r="O484" s="70" t="s">
        <v>1530</v>
      </c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25</v>
      </c>
      <c r="J486" s="31">
        <f t="shared" si="26"/>
        <v>3</v>
      </c>
      <c r="K486" s="32">
        <f t="shared" si="27"/>
        <v>0.8928571428571429</v>
      </c>
      <c r="L486" s="70" t="s">
        <v>1530</v>
      </c>
      <c r="M486" s="70"/>
      <c r="N486" s="70" t="s">
        <v>1530</v>
      </c>
      <c r="O486" s="70" t="s">
        <v>1530</v>
      </c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28</v>
      </c>
      <c r="J507" s="31">
        <f t="shared" si="26"/>
        <v>0</v>
      </c>
      <c r="K507" s="32">
        <f t="shared" si="27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26</v>
      </c>
      <c r="J508" s="31">
        <f t="shared" si="26"/>
        <v>2</v>
      </c>
      <c r="K508" s="32">
        <f t="shared" si="27"/>
        <v>0.9285714285714286</v>
      </c>
      <c r="L508" s="70"/>
      <c r="M508" s="70"/>
      <c r="N508" s="70" t="s">
        <v>1530</v>
      </c>
      <c r="O508" s="70" t="s">
        <v>1530</v>
      </c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D20 D118:D127 D135 D189 D193:D195 D200:D201 D230:D231 D238 C239:D239 C240:C511 D244:D245 D255:D256 D327:D328 D336 C337:D337 D353:D355 D367 D370 D417:D420 D479 C594:C1048576 C1:C238">
    <cfRule type="cellIs" dxfId="101" priority="458" operator="equal">
      <formula>$C$241</formula>
    </cfRule>
  </conditionalFormatting>
  <conditionalFormatting sqref="D20 D193:D195 C239:D239 C240:C511 D244:D245 D255:D256 C337:D337 D353:D355 D367 D370 C594:C1048576 D118:D127 D135 D189 D200:D201 D230:D231 D238 D327:D328 D336 D417:D420 D479 C1:C238">
    <cfRule type="cellIs" dxfId="100" priority="457" operator="equal">
      <formula>$C$257</formula>
    </cfRule>
  </conditionalFormatting>
  <conditionalFormatting sqref="D20 D193 D244:D245 D255:D256 D353:D355 D367 D370 C594:C1048576 C1:C511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4" operator="containsText" text="fija">
      <formula>NOT(ISERROR(SEARCH("fija",E490)))</formula>
    </cfRule>
    <cfRule type="containsText" dxfId="93" priority="405" operator="containsText" text="domo">
      <formula>NOT(ISERROR(SEARCH("domo",E490)))</formula>
    </cfRule>
    <cfRule type="containsText" dxfId="92" priority="406" operator="containsText" text="Radio">
      <formula>NOT(ISERROR(SEARCH("Radio",E490)))</formula>
    </cfRule>
  </conditionalFormatting>
  <conditionalFormatting sqref="E490:E491">
    <cfRule type="containsText" dxfId="91" priority="399" operator="containsText" text="fija">
      <formula>NOT(ISERROR(SEARCH("fija",E490)))</formula>
    </cfRule>
    <cfRule type="containsText" dxfId="90" priority="400" operator="containsText" text="domo">
      <formula>NOT(ISERROR(SEARCH("domo",E490)))</formula>
    </cfRule>
  </conditionalFormatting>
  <conditionalFormatting sqref="E491">
    <cfRule type="containsText" dxfId="89" priority="397" operator="containsText" text="fija">
      <formula>NOT(ISERROR(SEARCH("fija",E491)))</formula>
    </cfRule>
    <cfRule type="containsText" dxfId="88" priority="398" operator="containsText" text="domo">
      <formula>NOT(ISERROR(SEARCH("domo",E491)))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4" operator="containsText" text="fija">
      <formula>NOT(ISERROR(SEARCH("fija",E494)))</formula>
    </cfRule>
    <cfRule type="containsText" dxfId="85" priority="395" operator="containsText" text="domo">
      <formula>NOT(ISERROR(SEARCH("domo",E494)))</formula>
    </cfRule>
    <cfRule type="containsText" dxfId="84" priority="396" operator="containsText" text="Radio">
      <formula>NOT(ISERROR(SEARCH("Radio",E494)))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4" operator="containsText" text="fija">
      <formula>NOT(ISERROR(SEARCH("fija",E495)))</formula>
    </cfRule>
    <cfRule type="containsText" dxfId="79" priority="385" operator="containsText" text="domo">
      <formula>NOT(ISERROR(SEARCH("domo",E495)))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79" operator="containsText" text="fija">
      <formula>NOT(ISERROR(SEARCH("fija",E496)))</formula>
    </cfRule>
    <cfRule type="containsText" dxfId="76" priority="380" operator="containsText" text="domo">
      <formula>NOT(ISERROR(SEARCH("domo",E496)))</formula>
    </cfRule>
  </conditionalFormatting>
  <conditionalFormatting sqref="E497">
    <cfRule type="containsText" dxfId="75" priority="377" operator="containsText" text="fija">
      <formula>NOT(ISERROR(SEARCH("fija",E497)))</formula>
    </cfRule>
    <cfRule type="containsText" dxfId="74" priority="378" operator="containsText" text="domo">
      <formula>NOT(ISERROR(SEARCH("domo",E497)))</formula>
    </cfRule>
    <cfRule type="containsText" dxfId="73" priority="381" operator="containsText" text="Radio">
      <formula>NOT(ISERROR(SEARCH("Radio",E497)))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4" operator="equal">
      <formula>"GPON"</formula>
    </cfRule>
    <cfRule type="cellIs" dxfId="66" priority="5" operator="equal">
      <formula>"GPON"</formula>
    </cfRule>
  </conditionalFormatting>
  <conditionalFormatting sqref="F489">
    <cfRule type="containsText" dxfId="65" priority="54" operator="containsText" text="Radio">
      <formula>NOT(ISERROR(SEARCH("Radio",F489)))</formula>
    </cfRule>
    <cfRule type="cellIs" dxfId="64" priority="55" operator="equal">
      <formula>"PTP A FO"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ontainsText" dxfId="53" priority="218" operator="containsText" text="Caida">
      <formula>NOT(ISERROR(SEARCH("Caida",N594)))</formula>
    </cfRule>
    <cfRule type="cellIs" dxfId="52" priority="219" operator="lessThan">
      <formula>0.8</formula>
    </cfRule>
    <cfRule type="cellIs" dxfId="51" priority="220" operator="greaterThan">
      <formula>0.8</formula>
    </cfRule>
    <cfRule type="cellIs" dxfId="50" priority="243" operator="greaterThan">
      <formula>0.8</formula>
    </cfRule>
    <cfRule type="cellIs" dxfId="49" priority="347" operator="equal">
      <formula>"APAGADO"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5" zoomScale="90" zoomScaleNormal="90" workbookViewId="0">
      <selection activeCell="B34" sqref="B34:F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0</v>
      </c>
      <c r="D47" s="54"/>
      <c r="E47" s="55">
        <f>C47/C46</f>
        <v>0</v>
      </c>
      <c r="F47" s="148"/>
    </row>
    <row r="48" spans="1:6" x14ac:dyDescent="0.25">
      <c r="B48" s="53" t="s">
        <v>1251</v>
      </c>
      <c r="C48" s="67">
        <v>0</v>
      </c>
      <c r="D48" s="107">
        <f>C47-C48</f>
        <v>0</v>
      </c>
      <c r="E48" s="55">
        <f>D48/C46</f>
        <v>0</v>
      </c>
      <c r="F48" s="148"/>
    </row>
    <row r="49" spans="1:6" x14ac:dyDescent="0.25">
      <c r="B49" s="53" t="s">
        <v>1252</v>
      </c>
      <c r="C49" s="67">
        <v>0</v>
      </c>
      <c r="D49" s="107">
        <f>D48-C49</f>
        <v>0</v>
      </c>
      <c r="E49" s="55">
        <f>D49/C46</f>
        <v>0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0</v>
      </c>
      <c r="D50" s="107">
        <f>D49-C50</f>
        <v>0</v>
      </c>
      <c r="E50" s="55">
        <f>D50/C46</f>
        <v>0</v>
      </c>
      <c r="F50" s="148"/>
    </row>
    <row r="51" spans="1:6" ht="15.75" thickBot="1" x14ac:dyDescent="0.3">
      <c r="B51" s="56" t="s">
        <v>1473</v>
      </c>
      <c r="C51" s="135">
        <v>0</v>
      </c>
      <c r="D51" s="108">
        <f>D50-C51</f>
        <v>0</v>
      </c>
      <c r="E51" s="74">
        <f>D51/C46</f>
        <v>0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0</v>
      </c>
      <c r="E53" s="109">
        <f>D53/C53</f>
        <v>0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0</v>
      </c>
      <c r="E54" s="118">
        <f>D54/C54</f>
        <v>0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0</v>
      </c>
      <c r="D58" s="54"/>
      <c r="E58" s="55">
        <f>C58/C57</f>
        <v>0</v>
      </c>
      <c r="F58" s="148"/>
    </row>
    <row r="59" spans="1:6" x14ac:dyDescent="0.25">
      <c r="B59" s="53" t="s">
        <v>1251</v>
      </c>
      <c r="C59" s="67">
        <v>4</v>
      </c>
      <c r="D59" s="107">
        <v>0</v>
      </c>
      <c r="E59" s="55">
        <f>D59/C57</f>
        <v>0</v>
      </c>
      <c r="F59" s="148"/>
    </row>
    <row r="60" spans="1:6" x14ac:dyDescent="0.25">
      <c r="B60" s="53" t="s">
        <v>1252</v>
      </c>
      <c r="C60" s="67">
        <v>6</v>
      </c>
      <c r="D60" s="107">
        <v>0</v>
      </c>
      <c r="E60" s="55">
        <f>D60/C57</f>
        <v>0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0</v>
      </c>
      <c r="D61" s="107">
        <f>D60-C61</f>
        <v>0</v>
      </c>
      <c r="E61" s="55">
        <f>D61/C57</f>
        <v>0</v>
      </c>
      <c r="F61" s="148"/>
    </row>
    <row r="62" spans="1:6" ht="15.75" thickBot="1" x14ac:dyDescent="0.3">
      <c r="B62" s="56" t="s">
        <v>1473</v>
      </c>
      <c r="C62" s="135">
        <v>10</v>
      </c>
      <c r="D62" s="108">
        <v>0</v>
      </c>
      <c r="E62" s="74">
        <f>D62/C57</f>
        <v>0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0</v>
      </c>
      <c r="E64" s="109">
        <f>D64/C64</f>
        <v>0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0</v>
      </c>
      <c r="E65" s="118">
        <f>D65/C65</f>
        <v>0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0</v>
      </c>
      <c r="D69" s="54"/>
      <c r="E69" s="55">
        <f>C69/C68</f>
        <v>0</v>
      </c>
      <c r="F69" s="148"/>
    </row>
    <row r="70" spans="1:6" x14ac:dyDescent="0.25">
      <c r="B70" s="53" t="s">
        <v>1251</v>
      </c>
      <c r="C70" s="67">
        <v>0</v>
      </c>
      <c r="D70" s="107">
        <f>C69-C70</f>
        <v>0</v>
      </c>
      <c r="E70" s="55">
        <f>D70/C68</f>
        <v>0</v>
      </c>
      <c r="F70" s="148"/>
    </row>
    <row r="71" spans="1:6" x14ac:dyDescent="0.25">
      <c r="B71" s="53" t="s">
        <v>1252</v>
      </c>
      <c r="C71" s="67">
        <v>0</v>
      </c>
      <c r="D71" s="107">
        <f>D70-C71</f>
        <v>0</v>
      </c>
      <c r="E71" s="55">
        <f>D71/C68</f>
        <v>0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0</v>
      </c>
      <c r="D72" s="107">
        <f>D71-C72</f>
        <v>0</v>
      </c>
      <c r="E72" s="55">
        <f>D72/C68</f>
        <v>0</v>
      </c>
      <c r="F72" s="148"/>
    </row>
    <row r="73" spans="1:6" ht="15.75" thickBot="1" x14ac:dyDescent="0.3">
      <c r="B73" s="56" t="s">
        <v>1473</v>
      </c>
      <c r="C73" s="135">
        <v>0</v>
      </c>
      <c r="D73" s="108">
        <f>D72-C73</f>
        <v>0</v>
      </c>
      <c r="E73" s="74">
        <f>D73/C68</f>
        <v>0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0</v>
      </c>
      <c r="E75" s="109">
        <f>D75/C75</f>
        <v>0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0</v>
      </c>
      <c r="E76" s="118">
        <f>D76/C76</f>
        <v>0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0</v>
      </c>
      <c r="D80" s="54"/>
      <c r="E80" s="55">
        <f>C80/C79</f>
        <v>0</v>
      </c>
      <c r="F80" s="148"/>
    </row>
    <row r="81" spans="1:6" x14ac:dyDescent="0.25">
      <c r="B81" s="53" t="s">
        <v>1251</v>
      </c>
      <c r="C81" s="67">
        <v>0</v>
      </c>
      <c r="D81" s="107">
        <f>C80-C81</f>
        <v>0</v>
      </c>
      <c r="E81" s="55">
        <f>D81/C79</f>
        <v>0</v>
      </c>
      <c r="F81" s="148"/>
    </row>
    <row r="82" spans="1:6" x14ac:dyDescent="0.25">
      <c r="B82" s="53" t="s">
        <v>1252</v>
      </c>
      <c r="C82" s="67">
        <v>0</v>
      </c>
      <c r="D82" s="107">
        <f>D81-C82</f>
        <v>0</v>
      </c>
      <c r="E82" s="55">
        <f>D82/C79</f>
        <v>0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0</v>
      </c>
      <c r="D83" s="107">
        <f>D82-C83</f>
        <v>0</v>
      </c>
      <c r="E83" s="55">
        <f>D83/C79</f>
        <v>0</v>
      </c>
      <c r="F83" s="148"/>
    </row>
    <row r="84" spans="1:6" ht="15.75" thickBot="1" x14ac:dyDescent="0.3">
      <c r="B84" s="56" t="s">
        <v>1473</v>
      </c>
      <c r="C84" s="135">
        <v>0</v>
      </c>
      <c r="D84" s="108">
        <f>D83-C84</f>
        <v>0</v>
      </c>
      <c r="E84" s="74">
        <f>D84/C79</f>
        <v>0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0</v>
      </c>
      <c r="E86" s="109">
        <f>D86/C86</f>
        <v>0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0</v>
      </c>
      <c r="E87" s="118">
        <f>D87/C87</f>
        <v>0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0</v>
      </c>
      <c r="D91" s="54"/>
      <c r="E91" s="55">
        <f>C91/C90</f>
        <v>0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0</v>
      </c>
      <c r="D94" s="107">
        <f>D93-C94</f>
        <v>0</v>
      </c>
      <c r="E94" s="55">
        <f>D94/C90</f>
        <v>0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0</v>
      </c>
      <c r="E97" s="109">
        <f>D97/C97</f>
        <v>0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0</v>
      </c>
      <c r="E98" s="118">
        <f>D98/C98</f>
        <v>0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0</v>
      </c>
      <c r="D102" s="54"/>
      <c r="E102" s="55">
        <f>C102/C101</f>
        <v>0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0</v>
      </c>
      <c r="E103" s="55">
        <f>D103/C101</f>
        <v>0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0</v>
      </c>
      <c r="E104" s="55">
        <f>D104/C101</f>
        <v>0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0</v>
      </c>
      <c r="D105" s="107">
        <f>D104-C105</f>
        <v>0</v>
      </c>
      <c r="E105" s="55">
        <f>D105/C101</f>
        <v>0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0</v>
      </c>
      <c r="E106" s="74">
        <f>D106/C101</f>
        <v>0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0</v>
      </c>
      <c r="E108" s="109">
        <f>D108/C108</f>
        <v>0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0</v>
      </c>
      <c r="E109" s="118">
        <f>D109/C109</f>
        <v>0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0</v>
      </c>
      <c r="D113" s="54"/>
      <c r="E113" s="55">
        <f>C113/C112</f>
        <v>0</v>
      </c>
      <c r="F113" s="148"/>
    </row>
    <row r="114" spans="2:6" x14ac:dyDescent="0.25">
      <c r="B114" s="53" t="s">
        <v>1251</v>
      </c>
      <c r="C114" s="67">
        <v>0</v>
      </c>
      <c r="D114" s="107">
        <f>C113-C114</f>
        <v>0</v>
      </c>
      <c r="E114" s="55">
        <f>D114/C112</f>
        <v>0</v>
      </c>
      <c r="F114" s="148"/>
    </row>
    <row r="115" spans="2:6" x14ac:dyDescent="0.25">
      <c r="B115" s="53" t="s">
        <v>1252</v>
      </c>
      <c r="C115" s="67">
        <v>0</v>
      </c>
      <c r="D115" s="107">
        <v>0</v>
      </c>
      <c r="E115" s="55">
        <f>D115/C112</f>
        <v>0</v>
      </c>
      <c r="F115" s="148"/>
    </row>
    <row r="116" spans="2:6" x14ac:dyDescent="0.25">
      <c r="B116" s="53" t="s">
        <v>16</v>
      </c>
      <c r="C116" s="98">
        <f>'RESUMEN TOTAL'!V5</f>
        <v>0</v>
      </c>
      <c r="D116" s="107">
        <v>0</v>
      </c>
      <c r="E116" s="55">
        <f>D116/C112</f>
        <v>0</v>
      </c>
      <c r="F116" s="148"/>
    </row>
    <row r="117" spans="2:6" ht="15.75" thickBot="1" x14ac:dyDescent="0.3">
      <c r="B117" s="56" t="s">
        <v>1473</v>
      </c>
      <c r="C117" s="135">
        <v>0</v>
      </c>
      <c r="D117" s="108">
        <v>0</v>
      </c>
      <c r="E117" s="74">
        <f>D117/C112</f>
        <v>0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0</v>
      </c>
      <c r="E119" s="109">
        <f>D119/C119</f>
        <v>0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0</v>
      </c>
      <c r="E120" s="118">
        <f>D120/C120</f>
        <v>0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0</v>
      </c>
      <c r="D124" s="54"/>
      <c r="E124" s="55">
        <f>C124/C123</f>
        <v>0</v>
      </c>
      <c r="F124" s="148"/>
    </row>
    <row r="125" spans="2:6" x14ac:dyDescent="0.25">
      <c r="B125" s="53" t="s">
        <v>1251</v>
      </c>
      <c r="C125" s="67">
        <v>0</v>
      </c>
      <c r="D125" s="107">
        <f>C124-C125</f>
        <v>0</v>
      </c>
      <c r="E125" s="55">
        <f>D125/C123</f>
        <v>0</v>
      </c>
      <c r="F125" s="148"/>
    </row>
    <row r="126" spans="2:6" x14ac:dyDescent="0.25">
      <c r="B126" s="53" t="s">
        <v>1252</v>
      </c>
      <c r="C126" s="67">
        <v>0</v>
      </c>
      <c r="D126" s="107">
        <f>D125-C126</f>
        <v>0</v>
      </c>
      <c r="E126" s="55">
        <f>D126/C123</f>
        <v>0</v>
      </c>
      <c r="F126" s="148"/>
    </row>
    <row r="127" spans="2:6" x14ac:dyDescent="0.25">
      <c r="B127" s="53" t="s">
        <v>16</v>
      </c>
      <c r="C127" s="98">
        <f>'RESUMEN TOTAL'!W5</f>
        <v>0</v>
      </c>
      <c r="D127" s="107">
        <f>D126-C127</f>
        <v>0</v>
      </c>
      <c r="E127" s="55">
        <f>D127/C123</f>
        <v>0</v>
      </c>
      <c r="F127" s="148"/>
    </row>
    <row r="128" spans="2:6" ht="15.75" thickBot="1" x14ac:dyDescent="0.3">
      <c r="B128" s="56" t="s">
        <v>1473</v>
      </c>
      <c r="C128" s="135"/>
      <c r="D128" s="108">
        <f>D127-C128</f>
        <v>0</v>
      </c>
      <c r="E128" s="74">
        <f>D128/C123</f>
        <v>0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0</v>
      </c>
      <c r="E130" s="109">
        <f>D130/C130</f>
        <v>0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0</v>
      </c>
      <c r="E131" s="118">
        <f>D131/C131</f>
        <v>0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0</v>
      </c>
      <c r="D135" s="54"/>
      <c r="E135" s="55">
        <f>C135/C134</f>
        <v>0</v>
      </c>
      <c r="F135" s="148"/>
    </row>
    <row r="136" spans="2:6" x14ac:dyDescent="0.25">
      <c r="B136" s="53" t="s">
        <v>1251</v>
      </c>
      <c r="C136" s="67">
        <v>0</v>
      </c>
      <c r="D136" s="107">
        <f>C135-C136</f>
        <v>0</v>
      </c>
      <c r="E136" s="55">
        <f>D136/C134</f>
        <v>0</v>
      </c>
      <c r="F136" s="148"/>
    </row>
    <row r="137" spans="2:6" x14ac:dyDescent="0.25">
      <c r="B137" s="53" t="s">
        <v>1252</v>
      </c>
      <c r="C137" s="67">
        <v>0</v>
      </c>
      <c r="D137" s="107">
        <f>D136-C137</f>
        <v>0</v>
      </c>
      <c r="E137" s="55">
        <f>D137/C134</f>
        <v>0</v>
      </c>
      <c r="F137" s="148"/>
    </row>
    <row r="138" spans="2:6" x14ac:dyDescent="0.25">
      <c r="B138" s="53" t="s">
        <v>16</v>
      </c>
      <c r="C138" s="98">
        <v>0</v>
      </c>
      <c r="D138" s="107">
        <f>D137-C138</f>
        <v>0</v>
      </c>
      <c r="E138" s="55">
        <f>D138/C134</f>
        <v>0</v>
      </c>
      <c r="F138" s="148"/>
    </row>
    <row r="139" spans="2:6" ht="15.75" thickBot="1" x14ac:dyDescent="0.3">
      <c r="B139" s="56" t="s">
        <v>1473</v>
      </c>
      <c r="C139" s="135">
        <v>0</v>
      </c>
      <c r="D139" s="108">
        <v>0</v>
      </c>
      <c r="E139" s="74">
        <f>D139/C134</f>
        <v>0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0</v>
      </c>
      <c r="E141" s="109">
        <f>D141/C141</f>
        <v>0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0</v>
      </c>
      <c r="E142" s="118">
        <f>D142/C142</f>
        <v>0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0</v>
      </c>
      <c r="D146" s="54"/>
      <c r="E146" s="55">
        <f>C146/C145</f>
        <v>0</v>
      </c>
      <c r="F146" s="148"/>
    </row>
    <row r="147" spans="2:6" x14ac:dyDescent="0.25">
      <c r="B147" s="53" t="s">
        <v>1251</v>
      </c>
      <c r="C147" s="67">
        <v>0</v>
      </c>
      <c r="D147" s="107">
        <f>C146-C147</f>
        <v>0</v>
      </c>
      <c r="E147" s="55">
        <f>D147/C145</f>
        <v>0</v>
      </c>
      <c r="F147" s="148"/>
    </row>
    <row r="148" spans="2:6" x14ac:dyDescent="0.25">
      <c r="B148" s="53" t="s">
        <v>1252</v>
      </c>
      <c r="C148" s="67">
        <v>0</v>
      </c>
      <c r="D148" s="107">
        <f>D147-C148</f>
        <v>0</v>
      </c>
      <c r="E148" s="55">
        <f>D148/C145</f>
        <v>0</v>
      </c>
      <c r="F148" s="148"/>
    </row>
    <row r="149" spans="2:6" x14ac:dyDescent="0.25">
      <c r="B149" s="53" t="s">
        <v>16</v>
      </c>
      <c r="C149" s="98">
        <f>'RESUMEN TOTAL'!Y5</f>
        <v>0</v>
      </c>
      <c r="D149" s="107">
        <f>D148-C149</f>
        <v>0</v>
      </c>
      <c r="E149" s="55">
        <f>D149/C145</f>
        <v>0</v>
      </c>
      <c r="F149" s="148"/>
    </row>
    <row r="150" spans="2:6" ht="15.75" thickBot="1" x14ac:dyDescent="0.3">
      <c r="B150" s="56" t="s">
        <v>1473</v>
      </c>
      <c r="C150" s="135"/>
      <c r="D150" s="108">
        <f>D149-C150</f>
        <v>0</v>
      </c>
      <c r="E150" s="74">
        <f>D150/C145</f>
        <v>0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f>Hoja1!S25</f>
        <v>0</v>
      </c>
      <c r="E152" s="109">
        <f>D152/C152</f>
        <v>0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f>Hoja1!S27</f>
        <v>0</v>
      </c>
      <c r="E153" s="118">
        <f>D153/C153</f>
        <v>0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0</v>
      </c>
      <c r="E158" s="55">
        <f>D158/C156</f>
        <v>0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0</v>
      </c>
      <c r="E159" s="55">
        <f>D159/C156</f>
        <v>0</v>
      </c>
      <c r="F159" s="148"/>
    </row>
    <row r="160" spans="2:6" x14ac:dyDescent="0.25">
      <c r="B160" s="53" t="s">
        <v>16</v>
      </c>
      <c r="C160" s="98">
        <f>'RESUMEN TOTAL'!Z5</f>
        <v>0</v>
      </c>
      <c r="D160" s="107">
        <f>D159-C160</f>
        <v>0</v>
      </c>
      <c r="E160" s="55">
        <f>D160/C156</f>
        <v>0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0</v>
      </c>
      <c r="E161" s="74">
        <f>D161/C156</f>
        <v>0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0</v>
      </c>
      <c r="E163" s="109">
        <f>D163/C163</f>
        <v>0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0</v>
      </c>
      <c r="E164" s="118">
        <f>D164/C164</f>
        <v>0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>
        <f>'RESUMEN TOTAL'!U23</f>
        <v>0</v>
      </c>
      <c r="P19" s="70">
        <f>'RESUMEN TOTAL'!V23</f>
        <v>0</v>
      </c>
      <c r="Q19" s="70">
        <f>'RESUMEN TOTAL'!W23</f>
        <v>0</v>
      </c>
      <c r="R19" s="70">
        <f>'RESUMEN TOTAL'!X23</f>
        <v>0</v>
      </c>
      <c r="S19" s="70">
        <f>'RESUMEN TOTAL'!Y23</f>
        <v>0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>
        <f>'RESUMEN TOTAL'!U24</f>
        <v>0</v>
      </c>
      <c r="P20" s="70">
        <f>'RESUMEN TOTAL'!V24</f>
        <v>0</v>
      </c>
      <c r="Q20" s="70">
        <f>'RESUMEN TOTAL'!W24</f>
        <v>0</v>
      </c>
      <c r="R20" s="70">
        <f>'RESUMEN TOTAL'!X24</f>
        <v>0</v>
      </c>
      <c r="S20" s="70">
        <f>'RESUMEN TOTAL'!Y24</f>
        <v>0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>
        <f>'RESUMEN TOTAL'!U25</f>
        <v>0</v>
      </c>
      <c r="P21" s="70">
        <f>'RESUMEN TOTAL'!V25</f>
        <v>0</v>
      </c>
      <c r="Q21" s="70">
        <f>'RESUMEN TOTAL'!W25</f>
        <v>0</v>
      </c>
      <c r="R21" s="70">
        <f>'RESUMEN TOTAL'!X25</f>
        <v>0</v>
      </c>
      <c r="S21" s="70">
        <f>'RESUMEN TOTAL'!Y25</f>
        <v>0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>
        <f>'RESUMEN TOTAL'!U26</f>
        <v>0</v>
      </c>
      <c r="P22" s="70">
        <f>'RESUMEN TOTAL'!V26</f>
        <v>0</v>
      </c>
      <c r="Q22" s="70">
        <f>'RESUMEN TOTAL'!W26</f>
        <v>0</v>
      </c>
      <c r="R22" s="70">
        <f>'RESUMEN TOTAL'!X26</f>
        <v>0</v>
      </c>
      <c r="S22" s="70">
        <f>'RESUMEN TOTAL'!Y26</f>
        <v>0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>
        <f>'RESUMEN TOTAL'!Y27</f>
        <v>0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>
        <f>'RESUMEN TOTAL'!Y28</f>
        <v>0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>
        <f>'RESUMEN TOTAL'!P39</f>
        <v>0</v>
      </c>
      <c r="K29" s="70">
        <f>'RESUMEN TOTAL'!Q39</f>
        <v>0</v>
      </c>
      <c r="L29" s="70">
        <f>'RESUMEN TOTAL'!R39</f>
        <v>0</v>
      </c>
      <c r="M29" s="70">
        <f>'RESUMEN TOTAL'!S39</f>
        <v>0</v>
      </c>
      <c r="N29" s="70">
        <f>'RESUMEN TOTAL'!T39</f>
        <v>0</v>
      </c>
      <c r="O29" s="70">
        <f>'RESUMEN TOTAL'!U39</f>
        <v>0</v>
      </c>
      <c r="P29" s="70">
        <f>'RESUMEN TOTAL'!V39</f>
        <v>0</v>
      </c>
      <c r="Q29" s="70">
        <f>'RESUMEN TOTAL'!W39</f>
        <v>0</v>
      </c>
      <c r="R29" s="70">
        <f>'RESUMEN TOTAL'!X39</f>
        <v>0</v>
      </c>
      <c r="S29" s="70">
        <f>'RESUMEN TOTAL'!Y39</f>
        <v>0</v>
      </c>
      <c r="T29" s="70">
        <f>'RESUMEN TOTAL'!Z39</f>
        <v>0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>
        <f>'RESUMEN TOTAL'!P40</f>
        <v>0</v>
      </c>
      <c r="K30" s="70">
        <f>'RESUMEN TOTAL'!Q40</f>
        <v>0</v>
      </c>
      <c r="L30" s="70">
        <f>'RESUMEN TOTAL'!R40</f>
        <v>0</v>
      </c>
      <c r="M30" s="70">
        <f>'RESUMEN TOTAL'!S40</f>
        <v>0</v>
      </c>
      <c r="N30" s="70">
        <f>'RESUMEN TOTAL'!T40</f>
        <v>0</v>
      </c>
      <c r="O30" s="70">
        <f>'RESUMEN TOTAL'!U40</f>
        <v>0</v>
      </c>
      <c r="P30" s="70">
        <f>'RESUMEN TOTAL'!V40</f>
        <v>0</v>
      </c>
      <c r="Q30" s="70">
        <f>'RESUMEN TOTAL'!W40</f>
        <v>0</v>
      </c>
      <c r="R30" s="70">
        <f>'RESUMEN TOTAL'!X40</f>
        <v>0</v>
      </c>
      <c r="S30" s="70">
        <f>'RESUMEN TOTAL'!Y40</f>
        <v>0</v>
      </c>
      <c r="T30" s="70">
        <f>'RESUMEN TOTAL'!Z40</f>
        <v>0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>
        <f>'RESUMEN TOTAL'!Y54</f>
        <v>0</v>
      </c>
      <c r="T44" s="70">
        <f>'RESUMEN TOTAL'!Z54</f>
        <v>0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>
        <f>'RESUMEN TOTAL'!P55</f>
        <v>0</v>
      </c>
      <c r="K45" s="70">
        <f>'RESUMEN TOTAL'!Q55</f>
        <v>0</v>
      </c>
      <c r="L45" s="70">
        <f>'RESUMEN TOTAL'!R55</f>
        <v>0</v>
      </c>
      <c r="M45" s="70">
        <f>'RESUMEN TOTAL'!S55</f>
        <v>0</v>
      </c>
      <c r="N45" s="70">
        <f>'RESUMEN TOTAL'!T55</f>
        <v>0</v>
      </c>
      <c r="O45" s="70">
        <f>'RESUMEN TOTAL'!U55</f>
        <v>0</v>
      </c>
      <c r="P45" s="70">
        <f>'RESUMEN TOTAL'!V55</f>
        <v>0</v>
      </c>
      <c r="Q45" s="70">
        <f>'RESUMEN TOTAL'!W55</f>
        <v>0</v>
      </c>
      <c r="R45" s="70">
        <f>'RESUMEN TOTAL'!X55</f>
        <v>0</v>
      </c>
      <c r="S45" s="70">
        <f>'RESUMEN TOTAL'!Y55</f>
        <v>0</v>
      </c>
      <c r="T45" s="70">
        <f>'RESUMEN TOTAL'!Z55</f>
        <v>0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>
        <f>'RESUMEN TOTAL'!R56</f>
        <v>0</v>
      </c>
      <c r="M46" s="70">
        <f>'RESUMEN TOTAL'!S56</f>
        <v>0</v>
      </c>
      <c r="N46" s="70">
        <f>'RESUMEN TOTAL'!T56</f>
        <v>0</v>
      </c>
      <c r="O46" s="70">
        <f>'RESUMEN TOTAL'!U56</f>
        <v>0</v>
      </c>
      <c r="P46" s="70">
        <f>'RESUMEN TOTAL'!V56</f>
        <v>0</v>
      </c>
      <c r="Q46" s="70">
        <f>'RESUMEN TOTAL'!W56</f>
        <v>0</v>
      </c>
      <c r="R46" s="70">
        <f>'RESUMEN TOTAL'!X56</f>
        <v>0</v>
      </c>
      <c r="S46" s="70">
        <f>'RESUMEN TOTAL'!Y56</f>
        <v>0</v>
      </c>
      <c r="T46" s="70">
        <f>'RESUMEN TOTAL'!Z56</f>
        <v>0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>
        <f>'RESUMEN TOTAL'!P58</f>
        <v>0</v>
      </c>
      <c r="K48" s="70">
        <f>'RESUMEN TOTAL'!Q58</f>
        <v>0</v>
      </c>
      <c r="L48" s="70">
        <f>'RESUMEN TOTAL'!R58</f>
        <v>0</v>
      </c>
      <c r="M48" s="70">
        <f>'RESUMEN TOTAL'!S58</f>
        <v>0</v>
      </c>
      <c r="N48" s="70">
        <f>'RESUMEN TOTAL'!T58</f>
        <v>0</v>
      </c>
      <c r="O48" s="70">
        <f>'RESUMEN TOTAL'!U58</f>
        <v>0</v>
      </c>
      <c r="P48" s="70">
        <f>'RESUMEN TOTAL'!V58</f>
        <v>0</v>
      </c>
      <c r="Q48" s="70">
        <f>'RESUMEN TOTAL'!W58</f>
        <v>0</v>
      </c>
      <c r="R48" s="70">
        <f>'RESUMEN TOTAL'!X58</f>
        <v>0</v>
      </c>
      <c r="S48" s="70">
        <f>'RESUMEN TOTAL'!Y58</f>
        <v>0</v>
      </c>
      <c r="T48" s="70">
        <f>'RESUMEN TOTAL'!Z58</f>
        <v>0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>
        <f>'RESUMEN TOTAL'!P77</f>
        <v>0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>
        <f>'RESUMEN TOTAL'!P78</f>
        <v>0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>
        <f>'RESUMEN TOTAL'!X85</f>
        <v>0</v>
      </c>
      <c r="S75" s="70">
        <f>'RESUMEN TOTAL'!Y85</f>
        <v>0</v>
      </c>
      <c r="T75" s="70">
        <f>'RESUMEN TOTAL'!Z85</f>
        <v>0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>
        <f>'RESUMEN TOTAL'!P88</f>
        <v>0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>
        <f>'RESUMEN TOTAL'!P90</f>
        <v>0</v>
      </c>
      <c r="K80" s="70">
        <f>'RESUMEN TOTAL'!Q90</f>
        <v>0</v>
      </c>
      <c r="L80" s="70">
        <f>'RESUMEN TOTAL'!R90</f>
        <v>0</v>
      </c>
      <c r="M80" s="70">
        <f>'RESUMEN TOTAL'!S90</f>
        <v>0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>
        <f>'RESUMEN TOTAL'!X94</f>
        <v>0</v>
      </c>
      <c r="S84" s="70">
        <f>'RESUMEN TOTAL'!Y94</f>
        <v>0</v>
      </c>
      <c r="T84" s="70">
        <f>'RESUMEN TOTAL'!Z94</f>
        <v>0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>
        <f>'RESUMEN TOTAL'!P95</f>
        <v>0</v>
      </c>
      <c r="K85" s="70">
        <f>'RESUMEN TOTAL'!Q95</f>
        <v>0</v>
      </c>
      <c r="L85" s="70">
        <f>'RESUMEN TOTAL'!R95</f>
        <v>0</v>
      </c>
      <c r="M85" s="70">
        <f>'RESUMEN TOTAL'!S95</f>
        <v>0</v>
      </c>
      <c r="N85" s="70">
        <f>'RESUMEN TOTAL'!T95</f>
        <v>0</v>
      </c>
      <c r="O85" s="70">
        <f>'RESUMEN TOTAL'!U95</f>
        <v>0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>
        <f>'RESUMEN TOTAL'!Y105</f>
        <v>0</v>
      </c>
      <c r="T95" s="70">
        <f>'RESUMEN TOTAL'!Z105</f>
        <v>0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>
        <f>'RESUMEN TOTAL'!Y106</f>
        <v>0</v>
      </c>
      <c r="T96" s="70">
        <f>'RESUMEN TOTAL'!Z106</f>
        <v>0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>
        <f>'RESUMEN TOTAL'!X107</f>
        <v>0</v>
      </c>
      <c r="S97" s="70">
        <f>'RESUMEN TOTAL'!Y107</f>
        <v>0</v>
      </c>
      <c r="T97" s="70">
        <f>'RESUMEN TOTAL'!Z107</f>
        <v>0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>
        <f>'RESUMEN TOTAL'!P108</f>
        <v>0</v>
      </c>
      <c r="K98" s="70">
        <f>'RESUMEN TOTAL'!Q108</f>
        <v>0</v>
      </c>
      <c r="L98" s="70">
        <f>'RESUMEN TOTAL'!R108</f>
        <v>0</v>
      </c>
      <c r="M98" s="70">
        <f>'RESUMEN TOTAL'!S108</f>
        <v>0</v>
      </c>
      <c r="N98" s="70">
        <f>'RESUMEN TOTAL'!T108</f>
        <v>0</v>
      </c>
      <c r="O98" s="70">
        <f>'RESUMEN TOTAL'!U108</f>
        <v>0</v>
      </c>
      <c r="P98" s="70">
        <f>'RESUMEN TOTAL'!V108</f>
        <v>0</v>
      </c>
      <c r="Q98" s="70">
        <f>'RESUMEN TOTAL'!W108</f>
        <v>0</v>
      </c>
      <c r="R98" s="70">
        <f>'RESUMEN TOTAL'!X108</f>
        <v>0</v>
      </c>
      <c r="S98" s="70">
        <f>'RESUMEN TOTAL'!Y108</f>
        <v>0</v>
      </c>
      <c r="T98" s="70">
        <f>'RESUMEN TOTAL'!Z108</f>
        <v>0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>
        <f>'RESUMEN TOTAL'!W109</f>
        <v>0</v>
      </c>
      <c r="R99" s="70">
        <f>'RESUMEN TOTAL'!X109</f>
        <v>0</v>
      </c>
      <c r="S99" s="70">
        <f>'RESUMEN TOTAL'!Y109</f>
        <v>0</v>
      </c>
      <c r="T99" s="70">
        <f>'RESUMEN TOTAL'!Z109</f>
        <v>0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>
        <f>'RESUMEN TOTAL'!P118</f>
        <v>0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>
        <f>'RESUMEN TOTAL'!P129</f>
        <v>0</v>
      </c>
      <c r="K112" s="70">
        <f>'RESUMEN TOTAL'!Q129</f>
        <v>0</v>
      </c>
      <c r="L112" s="70">
        <f>'RESUMEN TOTAL'!R129</f>
        <v>0</v>
      </c>
      <c r="M112" s="70">
        <f>'RESUMEN TOTAL'!S129</f>
        <v>0</v>
      </c>
      <c r="N112" s="70">
        <f>'RESUMEN TOTAL'!T129</f>
        <v>0</v>
      </c>
      <c r="O112" s="70">
        <f>'RESUMEN TOTAL'!U129</f>
        <v>0</v>
      </c>
      <c r="P112" s="70">
        <f>'RESUMEN TOTAL'!V129</f>
        <v>0</v>
      </c>
      <c r="Q112" s="70">
        <f>'RESUMEN TOTAL'!W129</f>
        <v>0</v>
      </c>
      <c r="R112" s="70">
        <f>'RESUMEN TOTAL'!X129</f>
        <v>0</v>
      </c>
      <c r="S112" s="70">
        <f>'RESUMEN TOTAL'!Y129</f>
        <v>0</v>
      </c>
      <c r="T112" s="70">
        <f>'RESUMEN TOTAL'!Z129</f>
        <v>0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>
        <f>'RESUMEN TOTAL'!X131</f>
        <v>0</v>
      </c>
      <c r="S114" s="70">
        <f>'RESUMEN TOTAL'!Y131</f>
        <v>0</v>
      </c>
      <c r="T114" s="70">
        <f>'RESUMEN TOTAL'!Z131</f>
        <v>0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>
        <f>'RESUMEN TOTAL'!V133</f>
        <v>0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>
        <f>'RESUMEN TOTAL'!P134</f>
        <v>0</v>
      </c>
      <c r="K117" s="70">
        <f>'RESUMEN TOTAL'!Q134</f>
        <v>0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>
        <f>'RESUMEN TOTAL'!P136</f>
        <v>0</v>
      </c>
      <c r="K119" s="70">
        <f>'RESUMEN TOTAL'!Q136</f>
        <v>0</v>
      </c>
      <c r="L119" s="70">
        <f>'RESUMEN TOTAL'!R136</f>
        <v>0</v>
      </c>
      <c r="M119" s="70">
        <f>'RESUMEN TOTAL'!S136</f>
        <v>0</v>
      </c>
      <c r="N119" s="70">
        <f>'RESUMEN TOTAL'!T136</f>
        <v>0</v>
      </c>
      <c r="O119" s="70">
        <f>'RESUMEN TOTAL'!U136</f>
        <v>0</v>
      </c>
      <c r="P119" s="70">
        <f>'RESUMEN TOTAL'!V136</f>
        <v>0</v>
      </c>
      <c r="Q119" s="70">
        <f>'RESUMEN TOTAL'!W136</f>
        <v>0</v>
      </c>
      <c r="R119" s="70">
        <f>'RESUMEN TOTAL'!X136</f>
        <v>0</v>
      </c>
      <c r="S119" s="70">
        <f>'RESUMEN TOTAL'!Y136</f>
        <v>0</v>
      </c>
      <c r="T119" s="70">
        <f>'RESUMEN TOTAL'!Z136</f>
        <v>0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>
        <f>'RESUMEN TOTAL'!P139</f>
        <v>0</v>
      </c>
      <c r="K122" s="70">
        <f>'RESUMEN TOTAL'!Q139</f>
        <v>0</v>
      </c>
      <c r="L122" s="70">
        <f>'RESUMEN TOTAL'!R139</f>
        <v>0</v>
      </c>
      <c r="M122" s="70">
        <f>'RESUMEN TOTAL'!S139</f>
        <v>0</v>
      </c>
      <c r="N122" s="70">
        <f>'RESUMEN TOTAL'!T139</f>
        <v>0</v>
      </c>
      <c r="O122" s="70">
        <f>'RESUMEN TOTAL'!U139</f>
        <v>0</v>
      </c>
      <c r="P122" s="70">
        <f>'RESUMEN TOTAL'!V139</f>
        <v>0</v>
      </c>
      <c r="Q122" s="70">
        <f>'RESUMEN TOTAL'!W139</f>
        <v>0</v>
      </c>
      <c r="R122" s="70">
        <f>'RESUMEN TOTAL'!X139</f>
        <v>0</v>
      </c>
      <c r="S122" s="70">
        <f>'RESUMEN TOTAL'!Y139</f>
        <v>0</v>
      </c>
      <c r="T122" s="70">
        <f>'RESUMEN TOTAL'!Z139</f>
        <v>0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>
        <f>'RESUMEN TOTAL'!P140</f>
        <v>0</v>
      </c>
      <c r="K123" s="70">
        <f>'RESUMEN TOTAL'!Q140</f>
        <v>0</v>
      </c>
      <c r="L123" s="70">
        <f>'RESUMEN TOTAL'!R140</f>
        <v>0</v>
      </c>
      <c r="M123" s="70">
        <f>'RESUMEN TOTAL'!S140</f>
        <v>0</v>
      </c>
      <c r="N123" s="70">
        <f>'RESUMEN TOTAL'!T140</f>
        <v>0</v>
      </c>
      <c r="O123" s="70">
        <f>'RESUMEN TOTAL'!U140</f>
        <v>0</v>
      </c>
      <c r="P123" s="70">
        <f>'RESUMEN TOTAL'!V140</f>
        <v>0</v>
      </c>
      <c r="Q123" s="70">
        <f>'RESUMEN TOTAL'!W140</f>
        <v>0</v>
      </c>
      <c r="R123" s="70">
        <f>'RESUMEN TOTAL'!X140</f>
        <v>0</v>
      </c>
      <c r="S123" s="70">
        <f>'RESUMEN TOTAL'!Y140</f>
        <v>0</v>
      </c>
      <c r="T123" s="70">
        <f>'RESUMEN TOTAL'!Z140</f>
        <v>0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>
        <f>'RESUMEN TOTAL'!S145</f>
        <v>0</v>
      </c>
      <c r="N126" s="70">
        <f>'RESUMEN TOTAL'!T145</f>
        <v>0</v>
      </c>
      <c r="O126" s="70">
        <f>'RESUMEN TOTAL'!U145</f>
        <v>0</v>
      </c>
      <c r="P126" s="70">
        <f>'RESUMEN TOTAL'!V145</f>
        <v>0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>
        <f>'RESUMEN TOTAL'!S146</f>
        <v>0</v>
      </c>
      <c r="N127" s="70">
        <f>'RESUMEN TOTAL'!T146</f>
        <v>0</v>
      </c>
      <c r="O127" s="70">
        <f>'RESUMEN TOTAL'!U146</f>
        <v>0</v>
      </c>
      <c r="P127" s="70">
        <f>'RESUMEN TOTAL'!V146</f>
        <v>0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>
        <f>'RESUMEN TOTAL'!S148</f>
        <v>0</v>
      </c>
      <c r="N129" s="70">
        <f>'RESUMEN TOTAL'!T148</f>
        <v>0</v>
      </c>
      <c r="O129" s="70">
        <f>'RESUMEN TOTAL'!U148</f>
        <v>0</v>
      </c>
      <c r="P129" s="70">
        <f>'RESUMEN TOTAL'!V148</f>
        <v>0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>
        <f>'RESUMEN TOTAL'!U152</f>
        <v>0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>
        <f>'RESUMEN TOTAL'!P171</f>
        <v>0</v>
      </c>
      <c r="K148" s="70">
        <f>'RESUMEN TOTAL'!Q171</f>
        <v>0</v>
      </c>
      <c r="L148" s="70">
        <f>'RESUMEN TOTAL'!R171</f>
        <v>0</v>
      </c>
      <c r="M148" s="70">
        <f>'RESUMEN TOTAL'!S171</f>
        <v>0</v>
      </c>
      <c r="N148" s="70">
        <f>'RESUMEN TOTAL'!T171</f>
        <v>0</v>
      </c>
      <c r="O148" s="70">
        <f>'RESUMEN TOTAL'!U171</f>
        <v>0</v>
      </c>
      <c r="P148" s="70">
        <f>'RESUMEN TOTAL'!V171</f>
        <v>0</v>
      </c>
      <c r="Q148" s="70">
        <f>'RESUMEN TOTAL'!W171</f>
        <v>0</v>
      </c>
      <c r="R148" s="70">
        <f>'RESUMEN TOTAL'!X171</f>
        <v>0</v>
      </c>
      <c r="S148" s="70">
        <f>'RESUMEN TOTAL'!Y171</f>
        <v>0</v>
      </c>
      <c r="T148" s="70">
        <f>'RESUMEN TOTAL'!Z171</f>
        <v>0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>
        <f>'RESUMEN TOTAL'!S175</f>
        <v>0</v>
      </c>
      <c r="N152" s="70">
        <f>'RESUMEN TOTAL'!T175</f>
        <v>0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>
        <f>'RESUMEN TOTAL'!S176</f>
        <v>0</v>
      </c>
      <c r="N153" s="70">
        <f>'RESUMEN TOTAL'!T176</f>
        <v>0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>
        <f>'RESUMEN TOTAL'!P177</f>
        <v>0</v>
      </c>
      <c r="K154" s="70">
        <f>'RESUMEN TOTAL'!Q177</f>
        <v>0</v>
      </c>
      <c r="L154" s="70">
        <f>'RESUMEN TOTAL'!R177</f>
        <v>0</v>
      </c>
      <c r="M154" s="70">
        <f>'RESUMEN TOTAL'!S177</f>
        <v>0</v>
      </c>
      <c r="N154" s="70">
        <f>'RESUMEN TOTAL'!T177</f>
        <v>0</v>
      </c>
      <c r="O154" s="70">
        <f>'RESUMEN TOTAL'!U177</f>
        <v>0</v>
      </c>
      <c r="P154" s="70">
        <f>'RESUMEN TOTAL'!V177</f>
        <v>0</v>
      </c>
      <c r="Q154" s="70">
        <f>'RESUMEN TOTAL'!W177</f>
        <v>0</v>
      </c>
      <c r="R154" s="70">
        <f>'RESUMEN TOTAL'!X177</f>
        <v>0</v>
      </c>
      <c r="S154" s="70">
        <f>'RESUMEN TOTAL'!Y177</f>
        <v>0</v>
      </c>
      <c r="T154" s="70">
        <f>'RESUMEN TOTAL'!Z177</f>
        <v>0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>
        <f>'RESUMEN TOTAL'!P178</f>
        <v>0</v>
      </c>
      <c r="K155" s="70">
        <f>'RESUMEN TOTAL'!Q178</f>
        <v>0</v>
      </c>
      <c r="L155" s="70">
        <f>'RESUMEN TOTAL'!R178</f>
        <v>0</v>
      </c>
      <c r="M155" s="70">
        <f>'RESUMEN TOTAL'!S178</f>
        <v>0</v>
      </c>
      <c r="N155" s="70">
        <f>'RESUMEN TOTAL'!T178</f>
        <v>0</v>
      </c>
      <c r="O155" s="70">
        <f>'RESUMEN TOTAL'!U178</f>
        <v>0</v>
      </c>
      <c r="P155" s="70">
        <f>'RESUMEN TOTAL'!V178</f>
        <v>0</v>
      </c>
      <c r="Q155" s="70">
        <f>'RESUMEN TOTAL'!W178</f>
        <v>0</v>
      </c>
      <c r="R155" s="70">
        <f>'RESUMEN TOTAL'!X178</f>
        <v>0</v>
      </c>
      <c r="S155" s="70">
        <f>'RESUMEN TOTAL'!Y178</f>
        <v>0</v>
      </c>
      <c r="T155" s="70">
        <f>'RESUMEN TOTAL'!Z178</f>
        <v>0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>
        <f>'RESUMEN TOTAL'!X190</f>
        <v>0</v>
      </c>
      <c r="S167" s="70">
        <f>'RESUMEN TOTAL'!Y190</f>
        <v>0</v>
      </c>
      <c r="T167" s="70">
        <f>'RESUMEN TOTAL'!Z190</f>
        <v>0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>
        <f>'RESUMEN TOTAL'!P194</f>
        <v>0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>
        <f>'RESUMEN TOTAL'!P195</f>
        <v>0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>
        <f>'RESUMEN TOTAL'!P220</f>
        <v>0</v>
      </c>
      <c r="K194" s="70">
        <f>'RESUMEN TOTAL'!Q220</f>
        <v>0</v>
      </c>
      <c r="L194" s="70">
        <f>'RESUMEN TOTAL'!R220</f>
        <v>0</v>
      </c>
      <c r="M194" s="70">
        <f>'RESUMEN TOTAL'!S220</f>
        <v>0</v>
      </c>
      <c r="N194" s="70">
        <f>'RESUMEN TOTAL'!T220</f>
        <v>0</v>
      </c>
      <c r="O194" s="70">
        <f>'RESUMEN TOTAL'!U220</f>
        <v>0</v>
      </c>
      <c r="P194" s="70">
        <f>'RESUMEN TOTAL'!V220</f>
        <v>0</v>
      </c>
      <c r="Q194" s="70">
        <f>'RESUMEN TOTAL'!W220</f>
        <v>0</v>
      </c>
      <c r="R194" s="70">
        <f>'RESUMEN TOTAL'!X220</f>
        <v>0</v>
      </c>
      <c r="S194" s="70">
        <f>'RESUMEN TOTAL'!Y220</f>
        <v>0</v>
      </c>
      <c r="T194" s="70">
        <f>'RESUMEN TOTAL'!Z220</f>
        <v>0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>
        <f>'RESUMEN TOTAL'!S221</f>
        <v>0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>
        <f>'RESUMEN TOTAL'!S222</f>
        <v>0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>
        <f>'RESUMEN TOTAL'!Y223</f>
        <v>0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>
        <f>'RESUMEN TOTAL'!Y224</f>
        <v>0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>
        <f>'RESUMEN TOTAL'!Y225</f>
        <v>0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>
        <f>'RESUMEN TOTAL'!P228</f>
        <v>0</v>
      </c>
      <c r="K202" s="70">
        <f>'RESUMEN TOTAL'!Q228</f>
        <v>0</v>
      </c>
      <c r="L202" s="70">
        <f>'RESUMEN TOTAL'!R228</f>
        <v>0</v>
      </c>
      <c r="M202" s="70">
        <f>'RESUMEN TOTAL'!S228</f>
        <v>0</v>
      </c>
      <c r="N202" s="70">
        <f>'RESUMEN TOTAL'!T228</f>
        <v>0</v>
      </c>
      <c r="O202" s="70">
        <f>'RESUMEN TOTAL'!U228</f>
        <v>0</v>
      </c>
      <c r="P202" s="70">
        <f>'RESUMEN TOTAL'!V228</f>
        <v>0</v>
      </c>
      <c r="Q202" s="70">
        <f>'RESUMEN TOTAL'!W228</f>
        <v>0</v>
      </c>
      <c r="R202" s="70">
        <f>'RESUMEN TOTAL'!X228</f>
        <v>0</v>
      </c>
      <c r="S202" s="70">
        <f>'RESUMEN TOTAL'!Y228</f>
        <v>0</v>
      </c>
      <c r="T202" s="70">
        <f>'RESUMEN TOTAL'!Z228</f>
        <v>0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>
        <f>'RESUMEN TOTAL'!P231</f>
        <v>0</v>
      </c>
      <c r="K205" s="70">
        <f>'RESUMEN TOTAL'!Q231</f>
        <v>0</v>
      </c>
      <c r="L205" s="70">
        <f>'RESUMEN TOTAL'!R231</f>
        <v>0</v>
      </c>
      <c r="M205" s="70">
        <f>'RESUMEN TOTAL'!S231</f>
        <v>0</v>
      </c>
      <c r="N205" s="70">
        <f>'RESUMEN TOTAL'!T231</f>
        <v>0</v>
      </c>
      <c r="O205" s="70">
        <f>'RESUMEN TOTAL'!U231</f>
        <v>0</v>
      </c>
      <c r="P205" s="70">
        <f>'RESUMEN TOTAL'!V231</f>
        <v>0</v>
      </c>
      <c r="Q205" s="70">
        <f>'RESUMEN TOTAL'!W231</f>
        <v>0</v>
      </c>
      <c r="R205" s="70">
        <f>'RESUMEN TOTAL'!X231</f>
        <v>0</v>
      </c>
      <c r="S205" s="70">
        <f>'RESUMEN TOTAL'!Y231</f>
        <v>0</v>
      </c>
      <c r="T205" s="70">
        <f>'RESUMEN TOTAL'!Z231</f>
        <v>0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>
        <f>'RESUMEN TOTAL'!P232</f>
        <v>0</v>
      </c>
      <c r="K206" s="70">
        <f>'RESUMEN TOTAL'!Q232</f>
        <v>0</v>
      </c>
      <c r="L206" s="70">
        <f>'RESUMEN TOTAL'!R232</f>
        <v>0</v>
      </c>
      <c r="M206" s="70">
        <f>'RESUMEN TOTAL'!S232</f>
        <v>0</v>
      </c>
      <c r="N206" s="70">
        <f>'RESUMEN TOTAL'!T232</f>
        <v>0</v>
      </c>
      <c r="O206" s="70">
        <f>'RESUMEN TOTAL'!U232</f>
        <v>0</v>
      </c>
      <c r="P206" s="70">
        <f>'RESUMEN TOTAL'!V232</f>
        <v>0</v>
      </c>
      <c r="Q206" s="70">
        <f>'RESUMEN TOTAL'!W232</f>
        <v>0</v>
      </c>
      <c r="R206" s="70">
        <f>'RESUMEN TOTAL'!X232</f>
        <v>0</v>
      </c>
      <c r="S206" s="70">
        <f>'RESUMEN TOTAL'!Y232</f>
        <v>0</v>
      </c>
      <c r="T206" s="70">
        <f>'RESUMEN TOTAL'!Z232</f>
        <v>0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>
        <f>'RESUMEN TOTAL'!P246</f>
        <v>0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>
        <f>'RESUMEN TOTAL'!P248</f>
        <v>0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>
        <f>'RESUMEN TOTAL'!P249</f>
        <v>0</v>
      </c>
      <c r="K221" s="70">
        <f>'RESUMEN TOTAL'!Q249</f>
        <v>0</v>
      </c>
      <c r="L221" s="70">
        <f>'RESUMEN TOTAL'!R249</f>
        <v>0</v>
      </c>
      <c r="M221" s="70">
        <f>'RESUMEN TOTAL'!S249</f>
        <v>0</v>
      </c>
      <c r="N221" s="70">
        <f>'RESUMEN TOTAL'!T249</f>
        <v>0</v>
      </c>
      <c r="O221" s="70">
        <f>'RESUMEN TOTAL'!U249</f>
        <v>0</v>
      </c>
      <c r="P221" s="70">
        <f>'RESUMEN TOTAL'!V249</f>
        <v>0</v>
      </c>
      <c r="Q221" s="70">
        <f>'RESUMEN TOTAL'!W249</f>
        <v>0</v>
      </c>
      <c r="R221" s="70">
        <f>'RESUMEN TOTAL'!X249</f>
        <v>0</v>
      </c>
      <c r="S221" s="70">
        <f>'RESUMEN TOTAL'!Y249</f>
        <v>0</v>
      </c>
      <c r="T221" s="70">
        <f>'RESUMEN TOTAL'!Z249</f>
        <v>0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>
        <f>'RESUMEN TOTAL'!P251</f>
        <v>0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>
        <f>'RESUMEN TOTAL'!Q265</f>
        <v>0</v>
      </c>
      <c r="L235" s="70">
        <f>'RESUMEN TOTAL'!R265</f>
        <v>0</v>
      </c>
      <c r="M235" s="70">
        <f>'RESUMEN TOTAL'!S265</f>
        <v>0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>
        <f>'RESUMEN TOTAL'!P267</f>
        <v>0</v>
      </c>
      <c r="K237" s="70">
        <f>'RESUMEN TOTAL'!Q267</f>
        <v>0</v>
      </c>
      <c r="L237" s="70">
        <f>'RESUMEN TOTAL'!R267</f>
        <v>0</v>
      </c>
      <c r="M237" s="70">
        <f>'RESUMEN TOTAL'!S267</f>
        <v>0</v>
      </c>
      <c r="N237" s="70">
        <f>'RESUMEN TOTAL'!T267</f>
        <v>0</v>
      </c>
      <c r="O237" s="70">
        <f>'RESUMEN TOTAL'!U267</f>
        <v>0</v>
      </c>
      <c r="P237" s="70">
        <f>'RESUMEN TOTAL'!V267</f>
        <v>0</v>
      </c>
      <c r="Q237" s="70">
        <f>'RESUMEN TOTAL'!W267</f>
        <v>0</v>
      </c>
      <c r="R237" s="70">
        <f>'RESUMEN TOTAL'!X267</f>
        <v>0</v>
      </c>
      <c r="S237" s="70">
        <f>'RESUMEN TOTAL'!Y267</f>
        <v>0</v>
      </c>
      <c r="T237" s="70">
        <f>'RESUMEN TOTAL'!Z267</f>
        <v>0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>
        <f>'RESUMEN TOTAL'!P268</f>
        <v>0</v>
      </c>
      <c r="K238" s="70">
        <f>'RESUMEN TOTAL'!Q268</f>
        <v>0</v>
      </c>
      <c r="L238" s="70">
        <f>'RESUMEN TOTAL'!R268</f>
        <v>0</v>
      </c>
      <c r="M238" s="70">
        <f>'RESUMEN TOTAL'!S268</f>
        <v>0</v>
      </c>
      <c r="N238" s="70">
        <f>'RESUMEN TOTAL'!T268</f>
        <v>0</v>
      </c>
      <c r="O238" s="70">
        <f>'RESUMEN TOTAL'!U268</f>
        <v>0</v>
      </c>
      <c r="P238" s="70">
        <f>'RESUMEN TOTAL'!V268</f>
        <v>0</v>
      </c>
      <c r="Q238" s="70">
        <f>'RESUMEN TOTAL'!W268</f>
        <v>0</v>
      </c>
      <c r="R238" s="70">
        <f>'RESUMEN TOTAL'!X268</f>
        <v>0</v>
      </c>
      <c r="S238" s="70">
        <f>'RESUMEN TOTAL'!Y268</f>
        <v>0</v>
      </c>
      <c r="T238" s="70">
        <f>'RESUMEN TOTAL'!Z268</f>
        <v>0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>
        <f>'RESUMEN TOTAL'!S271</f>
        <v>0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>
        <f>'RESUMEN TOTAL'!S272</f>
        <v>0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>
        <f>'RESUMEN TOTAL'!S273</f>
        <v>0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>
        <f>'RESUMEN TOTAL'!Q278</f>
        <v>0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>
        <f>'RESUMEN TOTAL'!Y278</f>
        <v>0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>
        <f>'RESUMEN TOTAL'!P279</f>
        <v>0</v>
      </c>
      <c r="K249" s="70">
        <f>'RESUMEN TOTAL'!Q279</f>
        <v>0</v>
      </c>
      <c r="L249" s="70">
        <f>'RESUMEN TOTAL'!R279</f>
        <v>0</v>
      </c>
      <c r="M249" s="70">
        <f>'RESUMEN TOTAL'!S279</f>
        <v>0</v>
      </c>
      <c r="N249" s="70">
        <f>'RESUMEN TOTAL'!T279</f>
        <v>0</v>
      </c>
      <c r="O249" s="70">
        <f>'RESUMEN TOTAL'!U279</f>
        <v>0</v>
      </c>
      <c r="P249" s="70">
        <f>'RESUMEN TOTAL'!V279</f>
        <v>0</v>
      </c>
      <c r="Q249" s="70">
        <f>'RESUMEN TOTAL'!W279</f>
        <v>0</v>
      </c>
      <c r="R249" s="70">
        <f>'RESUMEN TOTAL'!X279</f>
        <v>0</v>
      </c>
      <c r="S249" s="70">
        <f>'RESUMEN TOTAL'!Y279</f>
        <v>0</v>
      </c>
      <c r="T249" s="70">
        <f>'RESUMEN TOTAL'!Z279</f>
        <v>0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>
        <f>'RESUMEN TOTAL'!Q280</f>
        <v>0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>
        <f>'RESUMEN TOTAL'!Y280</f>
        <v>0</v>
      </c>
      <c r="T250" s="70">
        <f>'RESUMEN TOTAL'!Z280</f>
        <v>0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>
        <f>'RESUMEN TOTAL'!P284</f>
        <v>0</v>
      </c>
      <c r="K254" s="70">
        <f>'RESUMEN TOTAL'!Q284</f>
        <v>0</v>
      </c>
      <c r="L254" s="70">
        <f>'RESUMEN TOTAL'!R284</f>
        <v>0</v>
      </c>
      <c r="M254" s="70">
        <f>'RESUMEN TOTAL'!S284</f>
        <v>0</v>
      </c>
      <c r="N254" s="70">
        <f>'RESUMEN TOTAL'!T284</f>
        <v>0</v>
      </c>
      <c r="O254" s="70">
        <f>'RESUMEN TOTAL'!U284</f>
        <v>0</v>
      </c>
      <c r="P254" s="70">
        <f>'RESUMEN TOTAL'!V284</f>
        <v>0</v>
      </c>
      <c r="Q254" s="70">
        <f>'RESUMEN TOTAL'!W284</f>
        <v>0</v>
      </c>
      <c r="R254" s="70">
        <f>'RESUMEN TOTAL'!X284</f>
        <v>0</v>
      </c>
      <c r="S254" s="70">
        <f>'RESUMEN TOTAL'!Y284</f>
        <v>0</v>
      </c>
      <c r="T254" s="70">
        <f>'RESUMEN TOTAL'!Z284</f>
        <v>0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>
        <f>'RESUMEN TOTAL'!Y290</f>
        <v>0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>
        <f>'RESUMEN TOTAL'!Y291</f>
        <v>0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>
        <f>'RESUMEN TOTAL'!Y292</f>
        <v>0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>
        <f>'RESUMEN TOTAL'!Y293</f>
        <v>0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>
        <f>'RESUMEN TOTAL'!P294</f>
        <v>0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>
        <f>'RESUMEN TOTAL'!Y294</f>
        <v>0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>
        <f>'RESUMEN TOTAL'!P295</f>
        <v>0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>
        <f>'RESUMEN TOTAL'!Y295</f>
        <v>0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>
        <f>'RESUMEN TOTAL'!Y300</f>
        <v>0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>
        <f>'RESUMEN TOTAL'!P301</f>
        <v>0</v>
      </c>
      <c r="K267" s="70">
        <f>'RESUMEN TOTAL'!Q301</f>
        <v>0</v>
      </c>
      <c r="L267" s="70">
        <f>'RESUMEN TOTAL'!R301</f>
        <v>0</v>
      </c>
      <c r="M267" s="70">
        <f>'RESUMEN TOTAL'!S301</f>
        <v>0</v>
      </c>
      <c r="N267" s="70">
        <f>'RESUMEN TOTAL'!T301</f>
        <v>0</v>
      </c>
      <c r="O267" s="70">
        <f>'RESUMEN TOTAL'!U301</f>
        <v>0</v>
      </c>
      <c r="P267" s="70">
        <f>'RESUMEN TOTAL'!V301</f>
        <v>0</v>
      </c>
      <c r="Q267" s="70">
        <f>'RESUMEN TOTAL'!W301</f>
        <v>0</v>
      </c>
      <c r="R267" s="70">
        <f>'RESUMEN TOTAL'!X301</f>
        <v>0</v>
      </c>
      <c r="S267" s="70">
        <f>'RESUMEN TOTAL'!Y301</f>
        <v>0</v>
      </c>
      <c r="T267" s="70">
        <f>'RESUMEN TOTAL'!Z301</f>
        <v>0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>
        <f>'RESUMEN TOTAL'!Y302</f>
        <v>0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>
        <f>'RESUMEN TOTAL'!Y303</f>
        <v>0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>
        <f>'RESUMEN TOTAL'!Y304</f>
        <v>0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>
        <f>'RESUMEN TOTAL'!Y305</f>
        <v>0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>
        <f>'RESUMEN TOTAL'!Y306</f>
        <v>0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>
        <f>'RESUMEN TOTAL'!P307</f>
        <v>0</v>
      </c>
      <c r="K273" s="70">
        <f>'RESUMEN TOTAL'!Q307</f>
        <v>0</v>
      </c>
      <c r="L273" s="70">
        <f>'RESUMEN TOTAL'!R307</f>
        <v>0</v>
      </c>
      <c r="M273" s="70">
        <f>'RESUMEN TOTAL'!S307</f>
        <v>0</v>
      </c>
      <c r="N273" s="70">
        <f>'RESUMEN TOTAL'!T307</f>
        <v>0</v>
      </c>
      <c r="O273" s="70">
        <f>'RESUMEN TOTAL'!U307</f>
        <v>0</v>
      </c>
      <c r="P273" s="70">
        <f>'RESUMEN TOTAL'!V307</f>
        <v>0</v>
      </c>
      <c r="Q273" s="70">
        <f>'RESUMEN TOTAL'!W307</f>
        <v>0</v>
      </c>
      <c r="R273" s="70">
        <f>'RESUMEN TOTAL'!X307</f>
        <v>0</v>
      </c>
      <c r="S273" s="70">
        <f>'RESUMEN TOTAL'!Y307</f>
        <v>0</v>
      </c>
      <c r="T273" s="70">
        <f>'RESUMEN TOTAL'!Z307</f>
        <v>0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>
        <f>'RESUMEN TOTAL'!Y308</f>
        <v>0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>
        <f>'RESUMEN TOTAL'!Y309</f>
        <v>0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>
        <f>'RESUMEN TOTAL'!Y310</f>
        <v>0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>
        <f>'RESUMEN TOTAL'!Y311</f>
        <v>0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>
        <f>'RESUMEN TOTAL'!Y312</f>
        <v>0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>
        <f>'RESUMEN TOTAL'!S319</f>
        <v>0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>
        <f>'RESUMEN TOTAL'!X319</f>
        <v>0</v>
      </c>
      <c r="S282" s="70">
        <f>'RESUMEN TOTAL'!Y319</f>
        <v>0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>
        <f>'RESUMEN TOTAL'!S320</f>
        <v>0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>
        <f>'RESUMEN TOTAL'!X320</f>
        <v>0</v>
      </c>
      <c r="S283" s="70">
        <f>'RESUMEN TOTAL'!Y320</f>
        <v>0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>
        <f>'RESUMEN TOTAL'!P322</f>
        <v>0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>
        <f>'RESUMEN TOTAL'!U322</f>
        <v>0</v>
      </c>
      <c r="P285" s="70">
        <f>'RESUMEN TOTAL'!V322</f>
        <v>0</v>
      </c>
      <c r="Q285" s="70">
        <f>'RESUMEN TOTAL'!W322</f>
        <v>0</v>
      </c>
      <c r="R285" s="70">
        <f>'RESUMEN TOTAL'!X322</f>
        <v>0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>
        <f>'RESUMEN TOTAL'!P333</f>
        <v>0</v>
      </c>
      <c r="K296" s="70">
        <f>'RESUMEN TOTAL'!Q333</f>
        <v>0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>
        <f>'RESUMEN TOTAL'!Q334</f>
        <v>0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>
        <f>'RESUMEN TOTAL'!Q335</f>
        <v>0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>
        <f>'RESUMEN TOTAL'!P338</f>
        <v>0</v>
      </c>
      <c r="K301" s="70">
        <f>'RESUMEN TOTAL'!Q338</f>
        <v>0</v>
      </c>
      <c r="L301" s="70">
        <f>'RESUMEN TOTAL'!R338</f>
        <v>0</v>
      </c>
      <c r="M301" s="70">
        <f>'RESUMEN TOTAL'!S338</f>
        <v>0</v>
      </c>
      <c r="N301" s="70">
        <f>'RESUMEN TOTAL'!T338</f>
        <v>0</v>
      </c>
      <c r="O301" s="70">
        <f>'RESUMEN TOTAL'!U338</f>
        <v>0</v>
      </c>
      <c r="P301" s="70">
        <f>'RESUMEN TOTAL'!V338</f>
        <v>0</v>
      </c>
      <c r="Q301" s="70">
        <f>'RESUMEN TOTAL'!W338</f>
        <v>0</v>
      </c>
      <c r="R301" s="70">
        <f>'RESUMEN TOTAL'!X338</f>
        <v>0</v>
      </c>
      <c r="S301" s="70">
        <f>'RESUMEN TOTAL'!Y338</f>
        <v>0</v>
      </c>
      <c r="T301" s="70">
        <f>'RESUMEN TOTAL'!Z338</f>
        <v>0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>
        <f>'RESUMEN TOTAL'!P339</f>
        <v>0</v>
      </c>
      <c r="K302" s="70">
        <f>'RESUMEN TOTAL'!Q339</f>
        <v>0</v>
      </c>
      <c r="L302" s="70">
        <f>'RESUMEN TOTAL'!R339</f>
        <v>0</v>
      </c>
      <c r="M302" s="70">
        <f>'RESUMEN TOTAL'!S339</f>
        <v>0</v>
      </c>
      <c r="N302" s="70">
        <f>'RESUMEN TOTAL'!T339</f>
        <v>0</v>
      </c>
      <c r="O302" s="70">
        <f>'RESUMEN TOTAL'!U339</f>
        <v>0</v>
      </c>
      <c r="P302" s="70">
        <f>'RESUMEN TOTAL'!V339</f>
        <v>0</v>
      </c>
      <c r="Q302" s="70">
        <f>'RESUMEN TOTAL'!W339</f>
        <v>0</v>
      </c>
      <c r="R302" s="70">
        <f>'RESUMEN TOTAL'!X339</f>
        <v>0</v>
      </c>
      <c r="S302" s="70">
        <f>'RESUMEN TOTAL'!Y339</f>
        <v>0</v>
      </c>
      <c r="T302" s="70">
        <f>'RESUMEN TOTAL'!Z339</f>
        <v>0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>
        <f>'RESUMEN TOTAL'!Q341</f>
        <v>0</v>
      </c>
      <c r="L304" s="70">
        <f>'RESUMEN TOTAL'!R341</f>
        <v>0</v>
      </c>
      <c r="M304" s="70">
        <f>'RESUMEN TOTAL'!S341</f>
        <v>0</v>
      </c>
      <c r="N304" s="70">
        <f>'RESUMEN TOTAL'!T341</f>
        <v>0</v>
      </c>
      <c r="O304" s="70">
        <f>'RESUMEN TOTAL'!U341</f>
        <v>0</v>
      </c>
      <c r="P304" s="70">
        <f>'RESUMEN TOTAL'!V341</f>
        <v>0</v>
      </c>
      <c r="Q304" s="70">
        <f>'RESUMEN TOTAL'!W341</f>
        <v>0</v>
      </c>
      <c r="R304" s="70">
        <f>'RESUMEN TOTAL'!X341</f>
        <v>0</v>
      </c>
      <c r="S304" s="70">
        <f>'RESUMEN TOTAL'!Y341</f>
        <v>0</v>
      </c>
      <c r="T304" s="70">
        <f>'RESUMEN TOTAL'!Z341</f>
        <v>0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>
        <f>'RESUMEN TOTAL'!Q342</f>
        <v>0</v>
      </c>
      <c r="L305" s="70">
        <f>'RESUMEN TOTAL'!R342</f>
        <v>0</v>
      </c>
      <c r="M305" s="70">
        <f>'RESUMEN TOTAL'!S342</f>
        <v>0</v>
      </c>
      <c r="N305" s="70">
        <f>'RESUMEN TOTAL'!T342</f>
        <v>0</v>
      </c>
      <c r="O305" s="70">
        <f>'RESUMEN TOTAL'!U342</f>
        <v>0</v>
      </c>
      <c r="P305" s="70">
        <f>'RESUMEN TOTAL'!V342</f>
        <v>0</v>
      </c>
      <c r="Q305" s="70">
        <f>'RESUMEN TOTAL'!W342</f>
        <v>0</v>
      </c>
      <c r="R305" s="70">
        <f>'RESUMEN TOTAL'!X342</f>
        <v>0</v>
      </c>
      <c r="S305" s="70">
        <f>'RESUMEN TOTAL'!Y342</f>
        <v>0</v>
      </c>
      <c r="T305" s="70">
        <f>'RESUMEN TOTAL'!Z342</f>
        <v>0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>
        <f>'RESUMEN TOTAL'!Q343</f>
        <v>0</v>
      </c>
      <c r="L306" s="70">
        <f>'RESUMEN TOTAL'!R343</f>
        <v>0</v>
      </c>
      <c r="M306" s="70">
        <f>'RESUMEN TOTAL'!S343</f>
        <v>0</v>
      </c>
      <c r="N306" s="70">
        <f>'RESUMEN TOTAL'!T343</f>
        <v>0</v>
      </c>
      <c r="O306" s="70">
        <f>'RESUMEN TOTAL'!U343</f>
        <v>0</v>
      </c>
      <c r="P306" s="70">
        <f>'RESUMEN TOTAL'!V343</f>
        <v>0</v>
      </c>
      <c r="Q306" s="70">
        <f>'RESUMEN TOTAL'!W343</f>
        <v>0</v>
      </c>
      <c r="R306" s="70">
        <f>'RESUMEN TOTAL'!X343</f>
        <v>0</v>
      </c>
      <c r="S306" s="70">
        <f>'RESUMEN TOTAL'!Y343</f>
        <v>0</v>
      </c>
      <c r="T306" s="70">
        <f>'RESUMEN TOTAL'!Z343</f>
        <v>0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>
        <f>'RESUMEN TOTAL'!Q344</f>
        <v>0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>
        <f>'RESUMEN TOTAL'!Q345</f>
        <v>0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>
        <f>'RESUMEN TOTAL'!Q346</f>
        <v>0</v>
      </c>
      <c r="L309" s="70">
        <f>'RESUMEN TOTAL'!R346</f>
        <v>0</v>
      </c>
      <c r="M309" s="70">
        <f>'RESUMEN TOTAL'!S346</f>
        <v>0</v>
      </c>
      <c r="N309" s="70">
        <f>'RESUMEN TOTAL'!T346</f>
        <v>0</v>
      </c>
      <c r="O309" s="70">
        <f>'RESUMEN TOTAL'!U346</f>
        <v>0</v>
      </c>
      <c r="P309" s="70">
        <f>'RESUMEN TOTAL'!V346</f>
        <v>0</v>
      </c>
      <c r="Q309" s="70">
        <f>'RESUMEN TOTAL'!W346</f>
        <v>0</v>
      </c>
      <c r="R309" s="70">
        <f>'RESUMEN TOTAL'!X346</f>
        <v>0</v>
      </c>
      <c r="S309" s="70">
        <f>'RESUMEN TOTAL'!Y346</f>
        <v>0</v>
      </c>
      <c r="T309" s="70">
        <f>'RESUMEN TOTAL'!Z346</f>
        <v>0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>
        <f>'RESUMEN TOTAL'!Q347</f>
        <v>0</v>
      </c>
      <c r="L310" s="70">
        <f>'RESUMEN TOTAL'!R347</f>
        <v>0</v>
      </c>
      <c r="M310" s="70">
        <f>'RESUMEN TOTAL'!S347</f>
        <v>0</v>
      </c>
      <c r="N310" s="70">
        <f>'RESUMEN TOTAL'!T347</f>
        <v>0</v>
      </c>
      <c r="O310" s="70">
        <f>'RESUMEN TOTAL'!U347</f>
        <v>0</v>
      </c>
      <c r="P310" s="70">
        <f>'RESUMEN TOTAL'!V347</f>
        <v>0</v>
      </c>
      <c r="Q310" s="70">
        <f>'RESUMEN TOTAL'!W347</f>
        <v>0</v>
      </c>
      <c r="R310" s="70">
        <f>'RESUMEN TOTAL'!X347</f>
        <v>0</v>
      </c>
      <c r="S310" s="70">
        <f>'RESUMEN TOTAL'!Y347</f>
        <v>0</v>
      </c>
      <c r="T310" s="70">
        <f>'RESUMEN TOTAL'!Z347</f>
        <v>0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>
        <f>'RESUMEN TOTAL'!Q348</f>
        <v>0</v>
      </c>
      <c r="L311" s="70">
        <f>'RESUMEN TOTAL'!R348</f>
        <v>0</v>
      </c>
      <c r="M311" s="70">
        <f>'RESUMEN TOTAL'!S348</f>
        <v>0</v>
      </c>
      <c r="N311" s="70">
        <f>'RESUMEN TOTAL'!T348</f>
        <v>0</v>
      </c>
      <c r="O311" s="70">
        <f>'RESUMEN TOTAL'!U348</f>
        <v>0</v>
      </c>
      <c r="P311" s="70">
        <f>'RESUMEN TOTAL'!V348</f>
        <v>0</v>
      </c>
      <c r="Q311" s="70">
        <f>'RESUMEN TOTAL'!W348</f>
        <v>0</v>
      </c>
      <c r="R311" s="70">
        <f>'RESUMEN TOTAL'!X348</f>
        <v>0</v>
      </c>
      <c r="S311" s="70">
        <f>'RESUMEN TOTAL'!Y348</f>
        <v>0</v>
      </c>
      <c r="T311" s="70">
        <f>'RESUMEN TOTAL'!Z348</f>
        <v>0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>
        <f>'RESUMEN TOTAL'!Q349</f>
        <v>0</v>
      </c>
      <c r="L312" s="70">
        <f>'RESUMEN TOTAL'!R349</f>
        <v>0</v>
      </c>
      <c r="M312" s="70">
        <f>'RESUMEN TOTAL'!S349</f>
        <v>0</v>
      </c>
      <c r="N312" s="70">
        <f>'RESUMEN TOTAL'!T349</f>
        <v>0</v>
      </c>
      <c r="O312" s="70">
        <f>'RESUMEN TOTAL'!U349</f>
        <v>0</v>
      </c>
      <c r="P312" s="70">
        <f>'RESUMEN TOTAL'!V349</f>
        <v>0</v>
      </c>
      <c r="Q312" s="70">
        <f>'RESUMEN TOTAL'!W349</f>
        <v>0</v>
      </c>
      <c r="R312" s="70">
        <f>'RESUMEN TOTAL'!X349</f>
        <v>0</v>
      </c>
      <c r="S312" s="70">
        <f>'RESUMEN TOTAL'!Y349</f>
        <v>0</v>
      </c>
      <c r="T312" s="70">
        <f>'RESUMEN TOTAL'!Z349</f>
        <v>0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>
        <f>'RESUMEN TOTAL'!Q350</f>
        <v>0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>
        <f>'RESUMEN TOTAL'!Q351</f>
        <v>0</v>
      </c>
      <c r="L314" s="70">
        <f>'RESUMEN TOTAL'!R351</f>
        <v>0</v>
      </c>
      <c r="M314" s="70">
        <f>'RESUMEN TOTAL'!S351</f>
        <v>0</v>
      </c>
      <c r="N314" s="70">
        <f>'RESUMEN TOTAL'!T351</f>
        <v>0</v>
      </c>
      <c r="O314" s="70">
        <f>'RESUMEN TOTAL'!U351</f>
        <v>0</v>
      </c>
      <c r="P314" s="70">
        <f>'RESUMEN TOTAL'!V351</f>
        <v>0</v>
      </c>
      <c r="Q314" s="70">
        <f>'RESUMEN TOTAL'!W351</f>
        <v>0</v>
      </c>
      <c r="R314" s="70">
        <f>'RESUMEN TOTAL'!X351</f>
        <v>0</v>
      </c>
      <c r="S314" s="70">
        <f>'RESUMEN TOTAL'!Y351</f>
        <v>0</v>
      </c>
      <c r="T314" s="70">
        <f>'RESUMEN TOTAL'!Z351</f>
        <v>0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>
        <f>'RESUMEN TOTAL'!Q352</f>
        <v>0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>
        <f>'RESUMEN TOTAL'!P356</f>
        <v>0</v>
      </c>
      <c r="K316" s="70">
        <f>'RESUMEN TOTAL'!Q356</f>
        <v>0</v>
      </c>
      <c r="L316" s="70">
        <f>'RESUMEN TOTAL'!R356</f>
        <v>0</v>
      </c>
      <c r="M316" s="70">
        <f>'RESUMEN TOTAL'!S356</f>
        <v>0</v>
      </c>
      <c r="N316" s="70">
        <f>'RESUMEN TOTAL'!T356</f>
        <v>0</v>
      </c>
      <c r="O316" s="70">
        <f>'RESUMEN TOTAL'!U356</f>
        <v>0</v>
      </c>
      <c r="P316" s="70">
        <f>'RESUMEN TOTAL'!V356</f>
        <v>0</v>
      </c>
      <c r="Q316" s="70">
        <f>'RESUMEN TOTAL'!W356</f>
        <v>0</v>
      </c>
      <c r="R316" s="70">
        <f>'RESUMEN TOTAL'!X356</f>
        <v>0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>
        <f>'RESUMEN TOTAL'!V362</f>
        <v>0</v>
      </c>
      <c r="Q322" s="70">
        <f>'RESUMEN TOTAL'!W362</f>
        <v>0</v>
      </c>
      <c r="R322" s="70">
        <f>'RESUMEN TOTAL'!X362</f>
        <v>0</v>
      </c>
      <c r="S322" s="70">
        <f>'RESUMEN TOTAL'!Y362</f>
        <v>0</v>
      </c>
      <c r="T322" s="70">
        <f>'RESUMEN TOTAL'!Z362</f>
        <v>0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>
        <f>'RESUMEN TOTAL'!V363</f>
        <v>0</v>
      </c>
      <c r="Q323" s="70">
        <f>'RESUMEN TOTAL'!W363</f>
        <v>0</v>
      </c>
      <c r="R323" s="70">
        <f>'RESUMEN TOTAL'!X363</f>
        <v>0</v>
      </c>
      <c r="S323" s="70">
        <f>'RESUMEN TOTAL'!Y363</f>
        <v>0</v>
      </c>
      <c r="T323" s="70">
        <f>'RESUMEN TOTAL'!Z363</f>
        <v>0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>
        <f>'RESUMEN TOTAL'!P368</f>
        <v>0</v>
      </c>
      <c r="K326" s="70">
        <f>'RESUMEN TOTAL'!Q368</f>
        <v>0</v>
      </c>
      <c r="L326" s="70">
        <f>'RESUMEN TOTAL'!R368</f>
        <v>0</v>
      </c>
      <c r="M326" s="70">
        <f>'RESUMEN TOTAL'!S368</f>
        <v>0</v>
      </c>
      <c r="N326" s="70">
        <f>'RESUMEN TOTAL'!T368</f>
        <v>0</v>
      </c>
      <c r="O326" s="70">
        <f>'RESUMEN TOTAL'!U368</f>
        <v>0</v>
      </c>
      <c r="P326" s="70">
        <f>'RESUMEN TOTAL'!V368</f>
        <v>0</v>
      </c>
      <c r="Q326" s="70">
        <f>'RESUMEN TOTAL'!W368</f>
        <v>0</v>
      </c>
      <c r="R326" s="70">
        <f>'RESUMEN TOTAL'!X368</f>
        <v>0</v>
      </c>
      <c r="S326" s="70">
        <f>'RESUMEN TOTAL'!Y368</f>
        <v>0</v>
      </c>
      <c r="T326" s="70">
        <f>'RESUMEN TOTAL'!Z368</f>
        <v>0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>
        <f>'RESUMEN TOTAL'!P373</f>
        <v>0</v>
      </c>
      <c r="K329" s="70">
        <f>'RESUMEN TOTAL'!Q373</f>
        <v>0</v>
      </c>
      <c r="L329" s="70">
        <f>'RESUMEN TOTAL'!R373</f>
        <v>0</v>
      </c>
      <c r="M329" s="70">
        <f>'RESUMEN TOTAL'!S373</f>
        <v>0</v>
      </c>
      <c r="N329" s="70">
        <f>'RESUMEN TOTAL'!T373</f>
        <v>0</v>
      </c>
      <c r="O329" s="70">
        <f>'RESUMEN TOTAL'!U373</f>
        <v>0</v>
      </c>
      <c r="P329" s="70">
        <f>'RESUMEN TOTAL'!V373</f>
        <v>0</v>
      </c>
      <c r="Q329" s="70">
        <f>'RESUMEN TOTAL'!W373</f>
        <v>0</v>
      </c>
      <c r="R329" s="70">
        <f>'RESUMEN TOTAL'!X373</f>
        <v>0</v>
      </c>
      <c r="S329" s="70">
        <f>'RESUMEN TOTAL'!Y373</f>
        <v>0</v>
      </c>
      <c r="T329" s="70">
        <f>'RESUMEN TOTAL'!Z373</f>
        <v>0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>
        <f>'RESUMEN TOTAL'!P376</f>
        <v>0</v>
      </c>
      <c r="K332" s="70">
        <f>'RESUMEN TOTAL'!Q376</f>
        <v>0</v>
      </c>
      <c r="L332" s="70">
        <f>'RESUMEN TOTAL'!R376</f>
        <v>0</v>
      </c>
      <c r="M332" s="70">
        <f>'RESUMEN TOTAL'!S376</f>
        <v>0</v>
      </c>
      <c r="N332" s="70">
        <f>'RESUMEN TOTAL'!T376</f>
        <v>0</v>
      </c>
      <c r="O332" s="70">
        <f>'RESUMEN TOTAL'!U376</f>
        <v>0</v>
      </c>
      <c r="P332" s="70">
        <f>'RESUMEN TOTAL'!V376</f>
        <v>0</v>
      </c>
      <c r="Q332" s="70">
        <f>'RESUMEN TOTAL'!W376</f>
        <v>0</v>
      </c>
      <c r="R332" s="70">
        <f>'RESUMEN TOTAL'!X376</f>
        <v>0</v>
      </c>
      <c r="S332" s="70">
        <f>'RESUMEN TOTAL'!Y376</f>
        <v>0</v>
      </c>
      <c r="T332" s="70">
        <f>'RESUMEN TOTAL'!Z376</f>
        <v>0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>
        <f>'RESUMEN TOTAL'!X380</f>
        <v>0</v>
      </c>
      <c r="S336" s="70">
        <f>'RESUMEN TOTAL'!Y380</f>
        <v>0</v>
      </c>
      <c r="T336" s="70">
        <f>'RESUMEN TOTAL'!Z380</f>
        <v>0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>
        <f>'RESUMEN TOTAL'!X381</f>
        <v>0</v>
      </c>
      <c r="S337" s="70">
        <f>'RESUMEN TOTAL'!Y381</f>
        <v>0</v>
      </c>
      <c r="T337" s="70">
        <f>'RESUMEN TOTAL'!Z381</f>
        <v>0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>
        <f>'RESUMEN TOTAL'!X382</f>
        <v>0</v>
      </c>
      <c r="S338" s="70">
        <f>'RESUMEN TOTAL'!Y382</f>
        <v>0</v>
      </c>
      <c r="T338" s="70">
        <f>'RESUMEN TOTAL'!Z382</f>
        <v>0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>
        <f>'RESUMEN TOTAL'!X383</f>
        <v>0</v>
      </c>
      <c r="S339" s="70">
        <f>'RESUMEN TOTAL'!Y383</f>
        <v>0</v>
      </c>
      <c r="T339" s="70">
        <f>'RESUMEN TOTAL'!Z383</f>
        <v>0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>
        <f>'RESUMEN TOTAL'!V384</f>
        <v>0</v>
      </c>
      <c r="Q340" s="70">
        <f>'RESUMEN TOTAL'!W384</f>
        <v>0</v>
      </c>
      <c r="R340" s="70">
        <f>'RESUMEN TOTAL'!X384</f>
        <v>0</v>
      </c>
      <c r="S340" s="70">
        <f>'RESUMEN TOTAL'!Y384</f>
        <v>0</v>
      </c>
      <c r="T340" s="70">
        <f>'RESUMEN TOTAL'!Z384</f>
        <v>0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>
        <f>'RESUMEN TOTAL'!P392</f>
        <v>0</v>
      </c>
      <c r="K348" s="70">
        <f>'RESUMEN TOTAL'!Q392</f>
        <v>0</v>
      </c>
      <c r="L348" s="70">
        <f>'RESUMEN TOTAL'!R392</f>
        <v>0</v>
      </c>
      <c r="M348" s="70">
        <f>'RESUMEN TOTAL'!S392</f>
        <v>0</v>
      </c>
      <c r="N348" s="70">
        <f>'RESUMEN TOTAL'!T392</f>
        <v>0</v>
      </c>
      <c r="O348" s="70">
        <f>'RESUMEN TOTAL'!U392</f>
        <v>0</v>
      </c>
      <c r="P348" s="70">
        <f>'RESUMEN TOTAL'!V392</f>
        <v>0</v>
      </c>
      <c r="Q348" s="70">
        <f>'RESUMEN TOTAL'!W392</f>
        <v>0</v>
      </c>
      <c r="R348" s="70">
        <f>'RESUMEN TOTAL'!X392</f>
        <v>0</v>
      </c>
      <c r="S348" s="70">
        <f>'RESUMEN TOTAL'!Y392</f>
        <v>0</v>
      </c>
      <c r="T348" s="70">
        <f>'RESUMEN TOTAL'!Z392</f>
        <v>0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>
        <f>'RESUMEN TOTAL'!P393</f>
        <v>0</v>
      </c>
      <c r="K349" s="70">
        <f>'RESUMEN TOTAL'!Q393</f>
        <v>0</v>
      </c>
      <c r="L349" s="70">
        <f>'RESUMEN TOTAL'!R393</f>
        <v>0</v>
      </c>
      <c r="M349" s="70">
        <f>'RESUMEN TOTAL'!S393</f>
        <v>0</v>
      </c>
      <c r="N349" s="70">
        <f>'RESUMEN TOTAL'!T393</f>
        <v>0</v>
      </c>
      <c r="O349" s="70">
        <f>'RESUMEN TOTAL'!U393</f>
        <v>0</v>
      </c>
      <c r="P349" s="70">
        <f>'RESUMEN TOTAL'!V393</f>
        <v>0</v>
      </c>
      <c r="Q349" s="70">
        <f>'RESUMEN TOTAL'!W393</f>
        <v>0</v>
      </c>
      <c r="R349" s="70">
        <f>'RESUMEN TOTAL'!X393</f>
        <v>0</v>
      </c>
      <c r="S349" s="70">
        <f>'RESUMEN TOTAL'!Y393</f>
        <v>0</v>
      </c>
      <c r="T349" s="70">
        <f>'RESUMEN TOTAL'!Z393</f>
        <v>0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>
        <f>'RESUMEN TOTAL'!W397</f>
        <v>0</v>
      </c>
      <c r="R353" s="70">
        <f>'RESUMEN TOTAL'!X397</f>
        <v>0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>
        <f>'RESUMEN TOTAL'!P398</f>
        <v>0</v>
      </c>
      <c r="K354" s="70">
        <f>'RESUMEN TOTAL'!Q398</f>
        <v>0</v>
      </c>
      <c r="L354" s="70">
        <f>'RESUMEN TOTAL'!R398</f>
        <v>0</v>
      </c>
      <c r="M354" s="70">
        <f>'RESUMEN TOTAL'!S398</f>
        <v>0</v>
      </c>
      <c r="N354" s="70">
        <f>'RESUMEN TOTAL'!T398</f>
        <v>0</v>
      </c>
      <c r="O354" s="70">
        <f>'RESUMEN TOTAL'!U398</f>
        <v>0</v>
      </c>
      <c r="P354" s="70">
        <f>'RESUMEN TOTAL'!V398</f>
        <v>0</v>
      </c>
      <c r="Q354" s="70">
        <f>'RESUMEN TOTAL'!W398</f>
        <v>0</v>
      </c>
      <c r="R354" s="70">
        <f>'RESUMEN TOTAL'!X398</f>
        <v>0</v>
      </c>
      <c r="S354" s="70">
        <f>'RESUMEN TOTAL'!Y398</f>
        <v>0</v>
      </c>
      <c r="T354" s="70">
        <f>'RESUMEN TOTAL'!Z398</f>
        <v>0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>
        <f>'RESUMEN TOTAL'!P404</f>
        <v>0</v>
      </c>
      <c r="K360" s="70">
        <f>'RESUMEN TOTAL'!Q404</f>
        <v>0</v>
      </c>
      <c r="L360" s="70">
        <f>'RESUMEN TOTAL'!R404</f>
        <v>0</v>
      </c>
      <c r="M360" s="70">
        <f>'RESUMEN TOTAL'!S404</f>
        <v>0</v>
      </c>
      <c r="N360" s="70">
        <f>'RESUMEN TOTAL'!T404</f>
        <v>0</v>
      </c>
      <c r="O360" s="70">
        <f>'RESUMEN TOTAL'!U404</f>
        <v>0</v>
      </c>
      <c r="P360" s="70">
        <f>'RESUMEN TOTAL'!V404</f>
        <v>0</v>
      </c>
      <c r="Q360" s="70">
        <f>'RESUMEN TOTAL'!W404</f>
        <v>0</v>
      </c>
      <c r="R360" s="70">
        <f>'RESUMEN TOTAL'!X404</f>
        <v>0</v>
      </c>
      <c r="S360" s="70">
        <f>'RESUMEN TOTAL'!Y404</f>
        <v>0</v>
      </c>
      <c r="T360" s="70">
        <f>'RESUMEN TOTAL'!Z404</f>
        <v>0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>
        <f>'RESUMEN TOTAL'!P407</f>
        <v>0</v>
      </c>
      <c r="K363" s="70">
        <f>'RESUMEN TOTAL'!Q407</f>
        <v>0</v>
      </c>
      <c r="L363" s="70">
        <f>'RESUMEN TOTAL'!R407</f>
        <v>0</v>
      </c>
      <c r="M363" s="70">
        <f>'RESUMEN TOTAL'!S407</f>
        <v>0</v>
      </c>
      <c r="N363" s="70">
        <f>'RESUMEN TOTAL'!T407</f>
        <v>0</v>
      </c>
      <c r="O363" s="70">
        <f>'RESUMEN TOTAL'!U407</f>
        <v>0</v>
      </c>
      <c r="P363" s="70">
        <f>'RESUMEN TOTAL'!V407</f>
        <v>0</v>
      </c>
      <c r="Q363" s="70">
        <f>'RESUMEN TOTAL'!W407</f>
        <v>0</v>
      </c>
      <c r="R363" s="70">
        <f>'RESUMEN TOTAL'!X407</f>
        <v>0</v>
      </c>
      <c r="S363" s="70">
        <f>'RESUMEN TOTAL'!Y407</f>
        <v>0</v>
      </c>
      <c r="T363" s="70">
        <f>'RESUMEN TOTAL'!Z407</f>
        <v>0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>
        <f>'RESUMEN TOTAL'!P409</f>
        <v>0</v>
      </c>
      <c r="K365" s="70">
        <f>'RESUMEN TOTAL'!Q409</f>
        <v>0</v>
      </c>
      <c r="L365" s="70">
        <f>'RESUMEN TOTAL'!R409</f>
        <v>0</v>
      </c>
      <c r="M365" s="70">
        <f>'RESUMEN TOTAL'!S409</f>
        <v>0</v>
      </c>
      <c r="N365" s="70">
        <f>'RESUMEN TOTAL'!T409</f>
        <v>0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>
        <f>'RESUMEN TOTAL'!P417</f>
        <v>0</v>
      </c>
      <c r="K373" s="70">
        <f>'RESUMEN TOTAL'!Q417</f>
        <v>0</v>
      </c>
      <c r="L373" s="70">
        <f>'RESUMEN TOTAL'!R417</f>
        <v>0</v>
      </c>
      <c r="M373" s="70">
        <f>'RESUMEN TOTAL'!S417</f>
        <v>0</v>
      </c>
      <c r="N373" s="70">
        <f>'RESUMEN TOTAL'!T417</f>
        <v>0</v>
      </c>
      <c r="O373" s="70">
        <f>'RESUMEN TOTAL'!U417</f>
        <v>0</v>
      </c>
      <c r="P373" s="70">
        <f>'RESUMEN TOTAL'!V417</f>
        <v>0</v>
      </c>
      <c r="Q373" s="70">
        <f>'RESUMEN TOTAL'!W417</f>
        <v>0</v>
      </c>
      <c r="R373" s="70">
        <f>'RESUMEN TOTAL'!X417</f>
        <v>0</v>
      </c>
      <c r="S373" s="70">
        <f>'RESUMEN TOTAL'!Y417</f>
        <v>0</v>
      </c>
      <c r="T373" s="70">
        <f>'RESUMEN TOTAL'!Z417</f>
        <v>0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>
        <f>'RESUMEN TOTAL'!P418</f>
        <v>0</v>
      </c>
      <c r="K374" s="70">
        <f>'RESUMEN TOTAL'!Q418</f>
        <v>0</v>
      </c>
      <c r="L374" s="70">
        <f>'RESUMEN TOTAL'!R418</f>
        <v>0</v>
      </c>
      <c r="M374" s="70">
        <f>'RESUMEN TOTAL'!S418</f>
        <v>0</v>
      </c>
      <c r="N374" s="70">
        <f>'RESUMEN TOTAL'!T418</f>
        <v>0</v>
      </c>
      <c r="O374" s="70">
        <f>'RESUMEN TOTAL'!U418</f>
        <v>0</v>
      </c>
      <c r="P374" s="70">
        <f>'RESUMEN TOTAL'!V418</f>
        <v>0</v>
      </c>
      <c r="Q374" s="70">
        <f>'RESUMEN TOTAL'!W418</f>
        <v>0</v>
      </c>
      <c r="R374" s="70">
        <f>'RESUMEN TOTAL'!X418</f>
        <v>0</v>
      </c>
      <c r="S374" s="70">
        <f>'RESUMEN TOTAL'!Y418</f>
        <v>0</v>
      </c>
      <c r="T374" s="70">
        <f>'RESUMEN TOTAL'!Z418</f>
        <v>0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>
        <f>'RESUMEN TOTAL'!S429</f>
        <v>0</v>
      </c>
      <c r="N383" s="70">
        <f>'RESUMEN TOTAL'!T429</f>
        <v>0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>
        <f>'RESUMEN TOTAL'!R448</f>
        <v>0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>
        <f>'RESUMEN TOTAL'!P463</f>
        <v>0</v>
      </c>
      <c r="K417" s="70">
        <f>'RESUMEN TOTAL'!Q463</f>
        <v>0</v>
      </c>
      <c r="L417" s="70">
        <f>'RESUMEN TOTAL'!R463</f>
        <v>0</v>
      </c>
      <c r="M417" s="70">
        <f>'RESUMEN TOTAL'!S463</f>
        <v>0</v>
      </c>
      <c r="N417" s="70">
        <f>'RESUMEN TOTAL'!T463</f>
        <v>0</v>
      </c>
      <c r="O417" s="70">
        <f>'RESUMEN TOTAL'!U463</f>
        <v>0</v>
      </c>
      <c r="P417" s="70">
        <f>'RESUMEN TOTAL'!V463</f>
        <v>0</v>
      </c>
      <c r="Q417" s="70">
        <f>'RESUMEN TOTAL'!W463</f>
        <v>0</v>
      </c>
      <c r="R417" s="70">
        <f>'RESUMEN TOTAL'!X463</f>
        <v>0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>
        <f>'RESUMEN TOTAL'!Q465</f>
        <v>0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>
        <f>'RESUMEN TOTAL'!Q466</f>
        <v>0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>
        <f>'RESUMEN TOTAL'!Q467</f>
        <v>0</v>
      </c>
      <c r="L420" s="70">
        <f>'RESUMEN TOTAL'!R467</f>
        <v>0</v>
      </c>
      <c r="M420" s="70">
        <f>'RESUMEN TOTAL'!S467</f>
        <v>0</v>
      </c>
      <c r="N420" s="70">
        <f>'RESUMEN TOTAL'!T467</f>
        <v>0</v>
      </c>
      <c r="O420" s="70">
        <f>'RESUMEN TOTAL'!U467</f>
        <v>0</v>
      </c>
      <c r="P420" s="70">
        <f>'RESUMEN TOTAL'!V467</f>
        <v>0</v>
      </c>
      <c r="Q420" s="70">
        <f>'RESUMEN TOTAL'!W467</f>
        <v>0</v>
      </c>
      <c r="R420" s="70">
        <f>'RESUMEN TOTAL'!X467</f>
        <v>0</v>
      </c>
      <c r="S420" s="70">
        <f>'RESUMEN TOTAL'!Y467</f>
        <v>0</v>
      </c>
      <c r="T420" s="70">
        <f>'RESUMEN TOTAL'!Z467</f>
        <v>0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>
        <f>'RESUMEN TOTAL'!Q468</f>
        <v>0</v>
      </c>
      <c r="L421" s="70">
        <f>'RESUMEN TOTAL'!R468</f>
        <v>0</v>
      </c>
      <c r="M421" s="70">
        <f>'RESUMEN TOTAL'!S468</f>
        <v>0</v>
      </c>
      <c r="N421" s="70">
        <f>'RESUMEN TOTAL'!T468</f>
        <v>0</v>
      </c>
      <c r="O421" s="70">
        <f>'RESUMEN TOTAL'!U468</f>
        <v>0</v>
      </c>
      <c r="P421" s="70">
        <f>'RESUMEN TOTAL'!V468</f>
        <v>0</v>
      </c>
      <c r="Q421" s="70">
        <f>'RESUMEN TOTAL'!W468</f>
        <v>0</v>
      </c>
      <c r="R421" s="70">
        <f>'RESUMEN TOTAL'!X468</f>
        <v>0</v>
      </c>
      <c r="S421" s="70">
        <f>'RESUMEN TOTAL'!Y468</f>
        <v>0</v>
      </c>
      <c r="T421" s="70">
        <f>'RESUMEN TOTAL'!Z468</f>
        <v>0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>
        <f>'RESUMEN TOTAL'!Q469</f>
        <v>0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>
        <f>'RESUMEN TOTAL'!Q470</f>
        <v>0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>
        <f>'RESUMEN TOTAL'!Q471</f>
        <v>0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>
        <f>'RESUMEN TOTAL'!Q472</f>
        <v>0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>
        <f>'RESUMEN TOTAL'!X476</f>
        <v>0</v>
      </c>
      <c r="S428" s="70">
        <f>'RESUMEN TOTAL'!Y476</f>
        <v>0</v>
      </c>
      <c r="T428" s="70">
        <f>'RESUMEN TOTAL'!Z476</f>
        <v>0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>
        <f>'RESUMEN TOTAL'!X478</f>
        <v>0</v>
      </c>
      <c r="S430" s="70">
        <f>'RESUMEN TOTAL'!Y478</f>
        <v>0</v>
      </c>
      <c r="T430" s="70">
        <f>'RESUMEN TOTAL'!Z478</f>
        <v>0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>
        <f>'RESUMEN TOTAL'!P484</f>
        <v>0</v>
      </c>
      <c r="K436" s="70">
        <f>'RESUMEN TOTAL'!Q484</f>
        <v>0</v>
      </c>
      <c r="L436" s="70">
        <f>'RESUMEN TOTAL'!R484</f>
        <v>0</v>
      </c>
      <c r="M436" s="70">
        <f>'RESUMEN TOTAL'!S484</f>
        <v>0</v>
      </c>
      <c r="N436" s="70">
        <f>'RESUMEN TOTAL'!T484</f>
        <v>0</v>
      </c>
      <c r="O436" s="70">
        <f>'RESUMEN TOTAL'!U484</f>
        <v>0</v>
      </c>
      <c r="P436" s="70">
        <f>'RESUMEN TOTAL'!V484</f>
        <v>0</v>
      </c>
      <c r="Q436" s="70">
        <f>'RESUMEN TOTAL'!W484</f>
        <v>0</v>
      </c>
      <c r="R436" s="70">
        <f>'RESUMEN TOTAL'!X484</f>
        <v>0</v>
      </c>
      <c r="S436" s="70">
        <f>'RESUMEN TOTAL'!Y484</f>
        <v>0</v>
      </c>
      <c r="T436" s="70">
        <f>'RESUMEN TOTAL'!Z484</f>
        <v>0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>
        <f>'RESUMEN TOTAL'!P486</f>
        <v>0</v>
      </c>
      <c r="K438" s="70">
        <f>'RESUMEN TOTAL'!Q486</f>
        <v>0</v>
      </c>
      <c r="L438" s="70">
        <f>'RESUMEN TOTAL'!R486</f>
        <v>0</v>
      </c>
      <c r="M438" s="70">
        <f>'RESUMEN TOTAL'!S486</f>
        <v>0</v>
      </c>
      <c r="N438" s="70">
        <f>'RESUMEN TOTAL'!T486</f>
        <v>0</v>
      </c>
      <c r="O438" s="70">
        <f>'RESUMEN TOTAL'!U486</f>
        <v>0</v>
      </c>
      <c r="P438" s="70">
        <f>'RESUMEN TOTAL'!V486</f>
        <v>0</v>
      </c>
      <c r="Q438" s="70">
        <f>'RESUMEN TOTAL'!W486</f>
        <v>0</v>
      </c>
      <c r="R438" s="70">
        <f>'RESUMEN TOTAL'!X486</f>
        <v>0</v>
      </c>
      <c r="S438" s="70">
        <f>'RESUMEN TOTAL'!Y486</f>
        <v>0</v>
      </c>
      <c r="T438" s="70">
        <f>'RESUMEN TOTAL'!Z486</f>
        <v>0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>
        <f>'RESUMEN TOTAL'!X507</f>
        <v>0</v>
      </c>
      <c r="S459" s="70">
        <f>'RESUMEN TOTAL'!Y507</f>
        <v>0</v>
      </c>
      <c r="T459" s="70">
        <f>'RESUMEN TOTAL'!Z507</f>
        <v>0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>
        <f>'RESUMEN TOTAL'!P508</f>
        <v>0</v>
      </c>
      <c r="K460" s="70">
        <f>'RESUMEN TOTAL'!Q508</f>
        <v>0</v>
      </c>
      <c r="L460" s="70">
        <f>'RESUMEN TOTAL'!R508</f>
        <v>0</v>
      </c>
      <c r="M460" s="70">
        <f>'RESUMEN TOTAL'!S508</f>
        <v>0</v>
      </c>
      <c r="N460" s="70">
        <f>'RESUMEN TOTAL'!T508</f>
        <v>0</v>
      </c>
      <c r="O460" s="70">
        <f>'RESUMEN TOTAL'!U508</f>
        <v>0</v>
      </c>
      <c r="P460" s="70">
        <f>'RESUMEN TOTAL'!V508</f>
        <v>0</v>
      </c>
      <c r="Q460" s="70">
        <f>'RESUMEN TOTAL'!W508</f>
        <v>0</v>
      </c>
      <c r="R460" s="70">
        <f>'RESUMEN TOTAL'!X508</f>
        <v>0</v>
      </c>
      <c r="S460" s="70">
        <f>'RESUMEN TOTAL'!Y508</f>
        <v>0</v>
      </c>
      <c r="T460" s="70">
        <f>'RESUMEN TOTAL'!Z508</f>
        <v>0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7" operator="containsText" text="fija">
      <formula>NOT(ISERROR(SEARCH("fija",D439)))</formula>
    </cfRule>
    <cfRule type="containsText" dxfId="43" priority="68" operator="containsText" text="domo">
      <formula>NOT(ISERROR(SEARCH("domo",D439)))</formula>
    </cfRule>
    <cfRule type="containsText" dxfId="42" priority="69" operator="containsText" text="Radio">
      <formula>NOT(ISERROR(SEARCH("Radio",D439)))</formula>
    </cfRule>
  </conditionalFormatting>
  <conditionalFormatting sqref="D439:D440">
    <cfRule type="containsText" dxfId="41" priority="64" operator="containsText" text="fija">
      <formula>NOT(ISERROR(SEARCH("fija",D439)))</formula>
    </cfRule>
    <cfRule type="containsText" dxfId="40" priority="65" operator="containsText" text="domo">
      <formula>NOT(ISERROR(SEARCH("domo",D439)))</formula>
    </cfRule>
  </conditionalFormatting>
  <conditionalFormatting sqref="D440">
    <cfRule type="containsText" dxfId="39" priority="62" operator="containsText" text="fija">
      <formula>NOT(ISERROR(SEARCH("fija",D440)))</formula>
    </cfRule>
    <cfRule type="containsText" dxfId="38" priority="63" operator="containsText" text="domo">
      <formula>NOT(ISERROR(SEARCH("domo",D440)))</formula>
    </cfRule>
    <cfRule type="containsText" dxfId="37" priority="66" operator="containsText" text="Radio">
      <formula>NOT(ISERROR(SEARCH("Radio",D440)))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0" operator="containsText" text="domo">
      <formula>NOT(ISERROR(SEARCH("domo",D443)))</formula>
    </cfRule>
    <cfRule type="containsText" dxfId="34" priority="61" operator="containsText" text="Radio">
      <formula>NOT(ISERROR(SEARCH("Radio",D443)))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3" operator="containsText" text="fija">
      <formula>NOT(ISERROR(SEARCH("fija",D444)))</formula>
    </cfRule>
    <cfRule type="containsText" dxfId="30" priority="54" operator="containsText" text="domo">
      <formula>NOT(ISERROR(SEARCH("domo",D444)))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ontainsText" dxfId="13" priority="10" operator="containsText" text="Radio">
      <formula>NOT(ISERROR(SEARCH("Radio",E438)))</formula>
    </cfRule>
    <cfRule type="cellIs" dxfId="12" priority="11" operator="equal">
      <formula>"PTP A FO"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cellIs" dxfId="10" priority="8" operator="equal">
      <formula>"apagado"</formula>
    </cfRule>
    <cfRule type="cellIs" dxfId="9" priority="12" operator="equal">
      <formula>"APAGADO"</formula>
    </cfRule>
    <cfRule type="notContainsText" dxfId="8" priority="13" operator="notContains" text="Caida">
      <formula>ISERROR(SEARCH("Caida",F5))</formula>
    </cfRule>
    <cfRule type="containsText" dxfId="7" priority="14" operator="containsText" text="Caida">
      <formula>NOT(ISERROR(SEARCH("Caida",F5)))</formula>
    </cfRule>
    <cfRule type="cellIs" dxfId="6" priority="15" operator="lessThan">
      <formula>0.8</formula>
    </cfRule>
    <cfRule type="cellIs" dxfId="5" priority="16" operator="greaterThan">
      <formula>0.8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AL3" sqref="AL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0</v>
      </c>
      <c r="K3" s="46">
        <f>COUNTIFS('RESUMEN TOTAL'!Q8:Q619,"=APAGADO",'RESUMEN TOTAL'!C8:C619,"=BONOMO")</f>
        <v>0</v>
      </c>
      <c r="L3" s="46">
        <f>COUNTIFS('RESUMEN TOTAL'!R8:R619,"=APAGADO",'RESUMEN TOTAL'!C8:C619,"=BONOMO")</f>
        <v>0</v>
      </c>
      <c r="M3" s="46">
        <f>COUNTIFS('RESUMEN TOTAL'!S8:S619,"=APAGADO",'RESUMEN TOTAL'!C8:C619,"=BONOMO")</f>
        <v>0</v>
      </c>
      <c r="N3" s="46">
        <f>COUNTIFS('RESUMEN TOTAL'!T8:T619,"=APAGADO",'RESUMEN TOTAL'!C8:C619,"=BONOMO")</f>
        <v>0</v>
      </c>
      <c r="O3" s="46">
        <f>COUNTIFS('RESUMEN TOTAL'!U8:U619,"=APAGADO",'RESUMEN TOTAL'!C8:C619,"=BONOMO")</f>
        <v>0</v>
      </c>
      <c r="P3" s="46">
        <f>COUNTIFS('RESUMEN TOTAL'!V8:V619,"=APAGADO",'RESUMEN TOTAL'!C8:C619,"=BONOMO")</f>
        <v>0</v>
      </c>
      <c r="Q3" s="46">
        <f>COUNTIFS('RESUMEN TOTAL'!W8:W619,"=APAGADO",'RESUMEN TOTAL'!C8:C619,"=BONOMO")</f>
        <v>0</v>
      </c>
      <c r="R3" s="46">
        <f>COUNTIFS('RESUMEN TOTAL'!X8:X619,"=APAGADO",'RESUMEN TOTAL'!C8:C619,"=BONOMO")</f>
        <v>0</v>
      </c>
      <c r="S3" s="46">
        <f>COUNTIFS('RESUMEN TOTAL'!Y8:Y619,"=APAGADO",'RESUMEN TOTAL'!C8:C619,"=BONOMO")</f>
        <v>0</v>
      </c>
      <c r="T3" s="46">
        <f>COUNTIFS('RESUMEN TOTAL'!Z8:Z619,"=APAGADO",'RESUMEN TOTAL'!C8:C619,"=BONOMO")</f>
        <v>0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f t="shared" si="0"/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0</v>
      </c>
      <c r="K5" s="46">
        <f>COUNTIFS('RESUMEN TOTAL'!Q10:Q621,"=APAGADO",'RESUMEN TOTAL'!C10:C621,"=COSEIDI")</f>
        <v>0</v>
      </c>
      <c r="L5" s="46">
        <f>COUNTIFS('RESUMEN TOTAL'!R10:R621,"=APAGADO",'RESUMEN TOTAL'!C10:C621,"=COSEIDI")</f>
        <v>0</v>
      </c>
      <c r="M5" s="46">
        <f>COUNTIFS('RESUMEN TOTAL'!S10:S621,"=APAGADO",'RESUMEN TOTAL'!C10:C621,"=COSEIDI")</f>
        <v>0</v>
      </c>
      <c r="N5" s="46">
        <f>COUNTIFS('RESUMEN TOTAL'!T10:T621,"=APAGADO",'RESUMEN TOTAL'!C10:C621,"=COSEIDI")</f>
        <v>0</v>
      </c>
      <c r="O5" s="46">
        <f>COUNTIFS('RESUMEN TOTAL'!U10:U621,"=APAGADO",'RESUMEN TOTAL'!C10:C621,"=COSEIDI")</f>
        <v>0</v>
      </c>
      <c r="P5" s="46">
        <f>COUNTIFS('RESUMEN TOTAL'!V10:V621,"=APAGADO",'RESUMEN TOTAL'!C10:C621,"=COSEIDI")</f>
        <v>0</v>
      </c>
      <c r="Q5" s="46">
        <f>COUNTIFS('RESUMEN TOTAL'!W10:W621,"=APAGADO",'RESUMEN TOTAL'!C10:C621,"=COSEIDI")</f>
        <v>0</v>
      </c>
      <c r="R5" s="46">
        <f>COUNTIFS('RESUMEN TOTAL'!X10:X621,"=APAGADO",'RESUMEN TOTAL'!C10:C621,"=COSEIDI")</f>
        <v>0</v>
      </c>
      <c r="S5" s="46">
        <f>COUNTIFS('RESUMEN TOTAL'!Y10:Y621,"=APAGADO",'RESUMEN TOTAL'!C10:C621,"=COSEIDI")</f>
        <v>0</v>
      </c>
      <c r="T5" s="46">
        <f>COUNTIFS('RESUMEN TOTAL'!Z10:Z621,"=APAGADO",'RESUMEN TOTAL'!C10:C621,"=COSEIDI")</f>
        <v>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f t="shared" si="1"/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2025-08-04T23:34:35Z</dcterms:modified>
</cp:coreProperties>
</file>