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5EB35416-9800-4E4F-84D8-4FEEBE560D73}" xr6:coauthVersionLast="47" xr6:coauthVersionMax="47" xr10:uidLastSave="{00000000-0000-0000-0000-000000000000}"/>
  <bookViews>
    <workbookView xWindow="-108" yWindow="-108" windowWidth="23256" windowHeight="12456" tabRatio="602" firstSheet="1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5" l="1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U3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W5" i="25"/>
  <c r="M6" i="25"/>
  <c r="N6" i="25"/>
  <c r="O6" i="25"/>
  <c r="P6" i="25"/>
  <c r="Q6" i="25"/>
  <c r="R6" i="25"/>
  <c r="S6" i="25"/>
  <c r="T6" i="25"/>
  <c r="U6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<sst xmlns="http://schemas.openxmlformats.org/spreadsheetml/2006/main" count="5906" uniqueCount="1561">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</sst>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J162" activePane="bottomRight" state="frozen"/>
      <selection pane="topRight" activeCell="M1" sqref="M1"/>
      <selection pane="bottomLeft" activeCell="A5" sqref="A5"/>
      <selection pane="bottomRight" activeCell="E387" sqref="E387"/>
    </sheetView>
  </sheetViews>
  <sheetFormatPr baseColWidth="10" defaultColWidth="11.5546875" defaultRowHeight="14.4" x14ac:dyDescent="0.3"/>
  <cols>
    <col min="1" max="1" width="26.6640625" customWidth="1"/>
    <col min="2" max="2" width="46.33203125" style="30" customWidth="1"/>
    <col min="3" max="3" width="19.109375" style="30" bestFit="1" customWidth="1"/>
    <col min="4" max="4" width="70.6640625" bestFit="1" customWidth="1"/>
    <col min="5" max="5" width="18.44140625" style="61" bestFit="1" customWidth="1"/>
    <col min="6" max="6" width="22.44140625" style="65" bestFit="1" customWidth="1"/>
    <col min="7" max="7" width="26" style="65" bestFit="1" customWidth="1"/>
    <col min="8" max="8" width="15.109375" style="65" customWidth="1"/>
    <col min="9" max="9" width="17.5546875" customWidth="1"/>
    <col min="10" max="10" width="13.33203125" customWidth="1"/>
    <col min="11" max="11" width="19.109375" style="4" bestFit="1" customWidth="1"/>
    <col min="12" max="12" width="17.33203125" style="14" bestFit="1" customWidth="1"/>
    <col min="13" max="16" width="14.44140625" style="14" customWidth="1"/>
    <col min="17" max="17" width="13.44140625" style="14" customWidth="1"/>
    <col min="18" max="20" width="14.44140625" style="14" customWidth="1"/>
    <col min="21" max="37" width="14.109375" style="14" customWidth="1"/>
    <col min="38" max="40" width="14.109375" style="14" bestFit="1" customWidth="1"/>
    <col min="41" max="42" width="18.109375" bestFit="1" customWidth="1"/>
  </cols>
  <sheetData>
    <row r="1" spans="1:42" s="4" customFormat="1" ht="27.75" customHeight="1" thickTop="1" x14ac:dyDescent="0.3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" thickBot="1" x14ac:dyDescent="0.35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4">COUNTIF(L7:L661, "apagado")</f>
        <v>69</v>
      </c>
      <c r="M3" s="130">
        <f t="shared" si="4"/>
        <v>85</v>
      </c>
      <c r="N3" s="130">
        <f t="shared" si="4"/>
        <v>85</v>
      </c>
      <c r="O3" s="130">
        <f t="shared" si="4"/>
        <v>102</v>
      </c>
      <c r="P3" s="130">
        <f t="shared" si="4"/>
        <v>114</v>
      </c>
      <c r="Q3" s="130">
        <f t="shared" si="4"/>
        <v>101</v>
      </c>
      <c r="R3" s="130">
        <f t="shared" si="4"/>
        <v>122</v>
      </c>
      <c r="S3" s="130">
        <f t="shared" si="4"/>
        <v>98</v>
      </c>
      <c r="T3" s="130">
        <f t="shared" si="4"/>
        <v>80</v>
      </c>
      <c r="U3" s="130">
        <f t="shared" si="4"/>
        <v>78</v>
      </c>
      <c r="V3" s="130">
        <f t="shared" si="4"/>
        <v>77</v>
      </c>
      <c r="W3" s="130">
        <f t="shared" si="4"/>
        <v>63</v>
      </c>
      <c r="X3" s="130">
        <f t="shared" si="4"/>
        <v>68</v>
      </c>
      <c r="Y3" s="130">
        <f t="shared" si="4"/>
        <v>56</v>
      </c>
      <c r="Z3" s="130">
        <f t="shared" si="4"/>
        <v>62</v>
      </c>
      <c r="AA3" s="130">
        <f t="shared" si="4"/>
        <v>69</v>
      </c>
      <c r="AB3" s="130">
        <f t="shared" si="4"/>
        <v>94</v>
      </c>
      <c r="AC3" s="130">
        <f t="shared" si="4"/>
        <v>62</v>
      </c>
      <c r="AD3" s="130">
        <f t="shared" si="4"/>
        <v>56</v>
      </c>
      <c r="AE3" s="130">
        <f t="shared" si="4"/>
        <v>70</v>
      </c>
      <c r="AF3" s="130">
        <f t="shared" si="4"/>
        <v>51</v>
      </c>
      <c r="AG3" s="130">
        <f t="shared" si="4"/>
        <v>53</v>
      </c>
      <c r="AH3" s="130">
        <f t="shared" si="4"/>
        <v>55</v>
      </c>
      <c r="AI3" s="130">
        <f t="shared" si="4"/>
        <v>58</v>
      </c>
      <c r="AJ3" s="130">
        <f t="shared" si="4"/>
        <v>63</v>
      </c>
      <c r="AK3" s="130">
        <f t="shared" si="4"/>
        <v>0</v>
      </c>
      <c r="AL3" s="130">
        <f t="shared" si="4"/>
        <v>0</v>
      </c>
      <c r="AM3" s="130">
        <f t="shared" si="4"/>
        <v>0</v>
      </c>
      <c r="AN3" s="130">
        <f t="shared" si="4"/>
        <v>0</v>
      </c>
      <c r="AO3" s="130">
        <f t="shared" si="4"/>
        <v>0</v>
      </c>
      <c r="AP3" s="130">
        <f t="shared" si="4"/>
        <v>0</v>
      </c>
    </row>
    <row r="4" spans="1:42" s="8" customFormat="1" ht="15" thickTop="1" x14ac:dyDescent="0.3">
      <c r="A4" s="120"/>
      <c r="B4" s="58"/>
      <c r="C4" s="58"/>
      <c r="D4" s="21" t="s">
        <v>1476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0</v>
      </c>
      <c r="AL4" s="10">
        <f>COUNTIFS(AL8:AL615, "=APAGADO",F8:F615,"=Fibra Optica")</f>
        <v>0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3">
      <c r="A5" s="120"/>
      <c r="B5" s="58"/>
      <c r="C5" s="58"/>
      <c r="D5" s="131" t="s">
        <v>1477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0</v>
      </c>
      <c r="AL5" s="134">
        <f>COUNTIFS(AL8:AL615, "=APAGADO",F8:F615,"=RADIO")</f>
        <v>0</v>
      </c>
      <c r="AM5" s="134">
        <f>COUNTIFS(AM8:AM615, "=APAGADO",F8:F615,"=RADIO")</f>
        <v>0</v>
      </c>
      <c r="AN5" s="134">
        <f>COUNTIFS(AN8:AN615, "=APAGADO",F8:F615,"=RADIO")</f>
        <v>0</v>
      </c>
      <c r="AO5" s="134">
        <f>COUNTIFS(AO8:AO615, "=APAGADO",F8:F615,"=RADIO")</f>
        <v>0</v>
      </c>
      <c r="AP5" s="134">
        <f>COUNTIFS(AP8:AP615, "=APAGADO",G8:G615,"=RADIO")</f>
        <v>0</v>
      </c>
    </row>
    <row r="6" spans="1:42" s="8" customFormat="1" ht="15" thickBot="1" x14ac:dyDescent="0.35">
      <c r="A6" s="120"/>
      <c r="B6" s="58"/>
      <c r="C6" s="58"/>
      <c r="D6" s="21" t="s">
        <v>1478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0</v>
      </c>
      <c r="AL6" s="10">
        <f>COUNTIFS(AL8:AL615, "=APAGADO",F8:F615,"=PTO A FO")</f>
        <v>0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4" customFormat="1" ht="30.6" thickTop="1" thickBot="1" x14ac:dyDescent="0.4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" thickBot="1" x14ac:dyDescent="0.35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" thickBot="1" x14ac:dyDescent="0.35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" thickBot="1" x14ac:dyDescent="0.35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0"/>
      <c r="M10" s="70" t="s">
        <v>1532</v>
      </c>
      <c r="N10" s="70" t="s">
        <v>1532</v>
      </c>
      <c r="O10" s="70" t="s">
        <v>1532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" thickBot="1" x14ac:dyDescent="0.35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19</v>
      </c>
      <c r="J11" s="31">
        <f t="shared" si="6"/>
        <v>9</v>
      </c>
      <c r="K11" s="32">
        <f t="shared" si="7"/>
        <v>0.6785714285714286</v>
      </c>
      <c r="L11" s="70"/>
      <c r="M11" s="70"/>
      <c r="N11" s="70"/>
      <c r="O11" s="70" t="s">
        <v>1532</v>
      </c>
      <c r="P11" s="70" t="s">
        <v>1532</v>
      </c>
      <c r="Q11" s="70"/>
      <c r="R11" s="70" t="s">
        <v>1532</v>
      </c>
      <c r="S11" s="70" t="s">
        <v>1532</v>
      </c>
      <c r="T11" s="70"/>
      <c r="U11" s="70" t="s">
        <v>1532</v>
      </c>
      <c r="V11" s="70" t="s">
        <v>1532</v>
      </c>
      <c r="W11" s="70"/>
      <c r="X11" s="70"/>
      <c r="Y11" s="70"/>
      <c r="Z11" s="70" t="s">
        <v>1532</v>
      </c>
      <c r="AA11" s="70"/>
      <c r="AB11" s="70" t="s">
        <v>1532</v>
      </c>
      <c r="AC11" s="70"/>
      <c r="AD11" s="70"/>
      <c r="AE11" s="70"/>
      <c r="AF11" s="70"/>
      <c r="AG11" s="70"/>
      <c r="AH11" s="70"/>
      <c r="AI11" s="70"/>
      <c r="AJ11" s="70" t="s">
        <v>1532</v>
      </c>
      <c r="AK11" s="70"/>
      <c r="AL11" s="70"/>
      <c r="AM11" s="70"/>
      <c r="AN11" s="70"/>
      <c r="AO11" s="70"/>
      <c r="AP11" s="70"/>
    </row>
    <row r="12" spans="1:42" ht="15" thickBot="1" x14ac:dyDescent="0.35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14</v>
      </c>
      <c r="J12" s="31">
        <f t="shared" si="6"/>
        <v>14</v>
      </c>
      <c r="K12" s="32">
        <f t="shared" si="7"/>
        <v>0.5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1532</v>
      </c>
      <c r="X12" s="70" t="s">
        <v>1532</v>
      </c>
      <c r="Y12" s="70" t="s">
        <v>1532</v>
      </c>
      <c r="Z12" s="70" t="s">
        <v>1532</v>
      </c>
      <c r="AA12" s="70" t="s">
        <v>1532</v>
      </c>
      <c r="AB12" s="70" t="s">
        <v>1532</v>
      </c>
      <c r="AC12" s="70" t="s">
        <v>1532</v>
      </c>
      <c r="AD12" s="70" t="s">
        <v>1532</v>
      </c>
      <c r="AE12" s="70" t="s">
        <v>1532</v>
      </c>
      <c r="AF12" s="70" t="s">
        <v>1532</v>
      </c>
      <c r="AG12" s="70" t="s">
        <v>1532</v>
      </c>
      <c r="AH12" s="70" t="s">
        <v>1532</v>
      </c>
      <c r="AI12" s="70" t="s">
        <v>1532</v>
      </c>
      <c r="AJ12" s="70" t="s">
        <v>1532</v>
      </c>
      <c r="AK12" s="70"/>
      <c r="AL12" s="70"/>
      <c r="AM12" s="70"/>
      <c r="AN12" s="70"/>
      <c r="AO12" s="70"/>
      <c r="AP12" s="70"/>
    </row>
    <row r="13" spans="1:42" ht="15" thickBot="1" x14ac:dyDescent="0.35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" thickBot="1" x14ac:dyDescent="0.35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" thickBot="1" x14ac:dyDescent="0.35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" thickBot="1" x14ac:dyDescent="0.35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" thickBot="1" x14ac:dyDescent="0.35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11</v>
      </c>
      <c r="J17" s="31">
        <f t="shared" si="6"/>
        <v>17</v>
      </c>
      <c r="K17" s="32">
        <f t="shared" si="7"/>
        <v>0.39285714285714285</v>
      </c>
      <c r="L17" s="70"/>
      <c r="M17" s="70"/>
      <c r="N17" s="70"/>
      <c r="O17" s="70"/>
      <c r="P17" s="70"/>
      <c r="Q17" s="70"/>
      <c r="R17" s="70"/>
      <c r="S17" s="70"/>
      <c r="T17" s="70" t="s">
        <v>1532</v>
      </c>
      <c r="U17" s="70" t="s">
        <v>1532</v>
      </c>
      <c r="V17" s="70" t="s">
        <v>1532</v>
      </c>
      <c r="W17" s="70" t="s">
        <v>1532</v>
      </c>
      <c r="X17" s="70" t="s">
        <v>1532</v>
      </c>
      <c r="Y17" s="70" t="s">
        <v>1532</v>
      </c>
      <c r="Z17" s="70" t="s">
        <v>1532</v>
      </c>
      <c r="AA17" s="70" t="s">
        <v>1532</v>
      </c>
      <c r="AB17" s="70" t="s">
        <v>1532</v>
      </c>
      <c r="AC17" s="70" t="s">
        <v>1532</v>
      </c>
      <c r="AD17" s="70" t="s">
        <v>1532</v>
      </c>
      <c r="AE17" s="70" t="s">
        <v>1532</v>
      </c>
      <c r="AF17" s="70" t="s">
        <v>1532</v>
      </c>
      <c r="AG17" s="70" t="s">
        <v>1532</v>
      </c>
      <c r="AH17" s="70" t="s">
        <v>1532</v>
      </c>
      <c r="AI17" s="70" t="s">
        <v>1532</v>
      </c>
      <c r="AJ17" s="70" t="s">
        <v>1532</v>
      </c>
      <c r="AK17" s="70"/>
      <c r="AL17" s="70"/>
      <c r="AM17" s="70"/>
      <c r="AN17" s="70"/>
      <c r="AO17" s="70"/>
      <c r="AP17" s="70"/>
    </row>
    <row r="18" spans="1:42" ht="15" thickBot="1" x14ac:dyDescent="0.35">
      <c r="A18" t="s">
        <v>26</v>
      </c>
      <c r="B18" t="s">
        <v>1543</v>
      </c>
      <c r="C18" t="s">
        <v>1069</v>
      </c>
      <c r="D18" s="68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14</v>
      </c>
      <c r="J18" s="31">
        <f t="shared" si="6"/>
        <v>14</v>
      </c>
      <c r="K18" s="32">
        <f t="shared" si="7"/>
        <v>0.5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1532</v>
      </c>
      <c r="X18" s="70" t="s">
        <v>1532</v>
      </c>
      <c r="Y18" s="71" t="s">
        <v>1532</v>
      </c>
      <c r="Z18" s="70" t="s">
        <v>1532</v>
      </c>
      <c r="AA18" s="70" t="s">
        <v>1532</v>
      </c>
      <c r="AB18" s="70" t="s">
        <v>1532</v>
      </c>
      <c r="AC18" s="70" t="s">
        <v>1532</v>
      </c>
      <c r="AD18" s="70" t="s">
        <v>1532</v>
      </c>
      <c r="AE18" s="70" t="s">
        <v>1532</v>
      </c>
      <c r="AF18" s="70" t="s">
        <v>1532</v>
      </c>
      <c r="AG18" s="70" t="s">
        <v>1532</v>
      </c>
      <c r="AH18" s="70" t="s">
        <v>1532</v>
      </c>
      <c r="AI18" s="70" t="s">
        <v>1532</v>
      </c>
      <c r="AJ18" s="70" t="s">
        <v>1532</v>
      </c>
      <c r="AK18" s="70"/>
      <c r="AL18" s="70"/>
      <c r="AM18" s="70"/>
      <c r="AN18" s="70"/>
      <c r="AO18" s="70"/>
      <c r="AP18" s="70"/>
    </row>
    <row r="19" spans="1:42" ht="15" thickBot="1" x14ac:dyDescent="0.35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1532</v>
      </c>
      <c r="X19" s="70" t="s">
        <v>1532</v>
      </c>
      <c r="Y19" s="71"/>
      <c r="Z19" s="70"/>
      <c r="AA19" s="70"/>
      <c r="AB19" s="70"/>
      <c r="AC19" s="70"/>
      <c r="AD19" s="70"/>
      <c r="AE19" s="70"/>
      <c r="AF19" s="70"/>
      <c r="AG19" s="70" t="s">
        <v>1532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" thickBot="1" x14ac:dyDescent="0.35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" thickBot="1" x14ac:dyDescent="0.35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" thickBot="1" x14ac:dyDescent="0.35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" thickBot="1" x14ac:dyDescent="0.35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0" t="s">
        <v>1532</v>
      </c>
      <c r="M23" s="70" t="s">
        <v>1532</v>
      </c>
      <c r="N23" s="70" t="s">
        <v>1532</v>
      </c>
      <c r="O23" s="70" t="s">
        <v>1532</v>
      </c>
      <c r="P23" s="70" t="s">
        <v>1532</v>
      </c>
      <c r="Q23" s="70" t="s">
        <v>1532</v>
      </c>
      <c r="R23" s="70" t="s">
        <v>1532</v>
      </c>
      <c r="S23" s="70" t="s">
        <v>1532</v>
      </c>
      <c r="T23" s="70" t="s">
        <v>1532</v>
      </c>
      <c r="U23" s="70" t="s">
        <v>1532</v>
      </c>
      <c r="V23" s="70" t="s">
        <v>1532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" thickBot="1" x14ac:dyDescent="0.35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0" t="s">
        <v>1532</v>
      </c>
      <c r="M24" s="70" t="s">
        <v>1532</v>
      </c>
      <c r="N24" s="70" t="s">
        <v>1532</v>
      </c>
      <c r="O24" s="70" t="s">
        <v>1532</v>
      </c>
      <c r="P24" s="70" t="s">
        <v>1532</v>
      </c>
      <c r="Q24" s="70" t="s">
        <v>1532</v>
      </c>
      <c r="R24" s="70" t="s">
        <v>1532</v>
      </c>
      <c r="S24" s="70" t="s">
        <v>1532</v>
      </c>
      <c r="T24" s="70" t="s">
        <v>1532</v>
      </c>
      <c r="U24" s="70" t="s">
        <v>1532</v>
      </c>
      <c r="V24" s="70" t="s">
        <v>1532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" thickBot="1" x14ac:dyDescent="0.35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16</v>
      </c>
      <c r="J25" s="31">
        <f t="shared" si="6"/>
        <v>12</v>
      </c>
      <c r="K25" s="32">
        <f t="shared" si="7"/>
        <v>0.5714285714285714</v>
      </c>
      <c r="L25" s="70" t="s">
        <v>1532</v>
      </c>
      <c r="M25" s="70" t="s">
        <v>1532</v>
      </c>
      <c r="N25" s="70" t="s">
        <v>1532</v>
      </c>
      <c r="O25" s="70" t="s">
        <v>1532</v>
      </c>
      <c r="P25" s="70" t="s">
        <v>1532</v>
      </c>
      <c r="Q25" s="70" t="s">
        <v>1532</v>
      </c>
      <c r="R25" s="70" t="s">
        <v>1532</v>
      </c>
      <c r="S25" s="70" t="s">
        <v>1532</v>
      </c>
      <c r="T25" s="70" t="s">
        <v>1532</v>
      </c>
      <c r="U25" s="70" t="s">
        <v>1532</v>
      </c>
      <c r="V25" s="70" t="s">
        <v>1532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1532</v>
      </c>
      <c r="AJ25" s="70"/>
      <c r="AK25" s="70"/>
      <c r="AL25" s="70"/>
      <c r="AM25" s="70"/>
      <c r="AN25" s="70"/>
      <c r="AO25" s="70"/>
      <c r="AP25" s="70"/>
    </row>
    <row r="26" spans="1:42" ht="15" thickBot="1" x14ac:dyDescent="0.35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16</v>
      </c>
      <c r="J26" s="31">
        <f t="shared" si="6"/>
        <v>12</v>
      </c>
      <c r="K26" s="32">
        <f t="shared" si="7"/>
        <v>0.5714285714285714</v>
      </c>
      <c r="L26" s="70" t="s">
        <v>1532</v>
      </c>
      <c r="M26" s="70" t="s">
        <v>1532</v>
      </c>
      <c r="N26" s="70" t="s">
        <v>1532</v>
      </c>
      <c r="O26" s="70" t="s">
        <v>1532</v>
      </c>
      <c r="P26" s="70" t="s">
        <v>1532</v>
      </c>
      <c r="Q26" s="70" t="s">
        <v>1532</v>
      </c>
      <c r="R26" s="70" t="s">
        <v>1532</v>
      </c>
      <c r="S26" s="70" t="s">
        <v>1532</v>
      </c>
      <c r="T26" s="70" t="s">
        <v>1532</v>
      </c>
      <c r="U26" s="70" t="s">
        <v>1532</v>
      </c>
      <c r="V26" s="70" t="s">
        <v>1532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1532</v>
      </c>
      <c r="AJ26" s="70"/>
      <c r="AK26" s="70"/>
      <c r="AL26" s="70"/>
      <c r="AM26" s="70"/>
      <c r="AN26" s="70"/>
      <c r="AO26" s="70"/>
      <c r="AP26" s="70"/>
    </row>
    <row r="27" spans="1:42" ht="15" thickBot="1" x14ac:dyDescent="0.35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0"/>
      <c r="M27" s="70"/>
      <c r="N27" s="70"/>
      <c r="O27" s="70" t="s">
        <v>1532</v>
      </c>
      <c r="P27" s="70" t="s">
        <v>1532</v>
      </c>
      <c r="Q27" s="70" t="s">
        <v>1532</v>
      </c>
      <c r="R27" s="70" t="s">
        <v>1532</v>
      </c>
      <c r="S27" s="70" t="s">
        <v>1532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" thickBot="1" x14ac:dyDescent="0.35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0"/>
      <c r="M28" s="70"/>
      <c r="N28" s="70"/>
      <c r="O28" s="70" t="s">
        <v>1532</v>
      </c>
      <c r="P28" s="70" t="s">
        <v>1532</v>
      </c>
      <c r="Q28" s="70" t="s">
        <v>1532</v>
      </c>
      <c r="R28" s="70" t="s">
        <v>1532</v>
      </c>
      <c r="S28" s="70" t="s">
        <v>1532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" thickBot="1" x14ac:dyDescent="0.35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" thickBot="1" x14ac:dyDescent="0.35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5"/>
        <v>4</v>
      </c>
      <c r="J30" s="138">
        <f t="shared" si="6"/>
        <v>24</v>
      </c>
      <c r="K30" s="139">
        <f t="shared" si="7"/>
        <v>0.14285714285714285</v>
      </c>
      <c r="L30" s="140" t="s">
        <v>1532</v>
      </c>
      <c r="M30" s="140" t="s">
        <v>1532</v>
      </c>
      <c r="N30" s="140" t="s">
        <v>1532</v>
      </c>
      <c r="O30" s="140" t="s">
        <v>1532</v>
      </c>
      <c r="P30" s="140" t="s">
        <v>1532</v>
      </c>
      <c r="Q30" s="140" t="s">
        <v>1532</v>
      </c>
      <c r="R30" s="140" t="s">
        <v>1532</v>
      </c>
      <c r="S30" s="140" t="s">
        <v>1532</v>
      </c>
      <c r="T30" s="140" t="s">
        <v>1532</v>
      </c>
      <c r="U30" s="140" t="s">
        <v>1532</v>
      </c>
      <c r="V30" s="140" t="s">
        <v>1532</v>
      </c>
      <c r="W30" s="140" t="s">
        <v>1532</v>
      </c>
      <c r="X30" s="140" t="s">
        <v>1532</v>
      </c>
      <c r="Y30" s="140"/>
      <c r="Z30" s="140" t="s">
        <v>1532</v>
      </c>
      <c r="AA30" s="140" t="s">
        <v>1532</v>
      </c>
      <c r="AB30" s="140" t="s">
        <v>1532</v>
      </c>
      <c r="AC30" s="140" t="s">
        <v>1532</v>
      </c>
      <c r="AD30" s="140" t="s">
        <v>1532</v>
      </c>
      <c r="AE30" s="140" t="s">
        <v>1532</v>
      </c>
      <c r="AF30" s="140" t="s">
        <v>1532</v>
      </c>
      <c r="AG30" s="140" t="s">
        <v>1532</v>
      </c>
      <c r="AH30" s="140" t="s">
        <v>1532</v>
      </c>
      <c r="AI30" s="140" t="s">
        <v>1532</v>
      </c>
      <c r="AJ30" s="140" t="s">
        <v>1532</v>
      </c>
      <c r="AK30" s="140"/>
      <c r="AL30" s="140"/>
      <c r="AM30" s="140"/>
      <c r="AN30" s="140"/>
      <c r="AO30" s="140"/>
      <c r="AP30" s="140"/>
    </row>
    <row r="31" spans="1:42" ht="15" thickBot="1" x14ac:dyDescent="0.35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0" t="s">
        <v>1532</v>
      </c>
      <c r="M31" s="70" t="s">
        <v>1532</v>
      </c>
      <c r="N31" s="70" t="s">
        <v>1532</v>
      </c>
      <c r="O31" s="70" t="s">
        <v>1532</v>
      </c>
      <c r="P31" s="70" t="s">
        <v>1532</v>
      </c>
      <c r="Q31" s="70" t="s">
        <v>1532</v>
      </c>
      <c r="R31" s="70" t="s">
        <v>1532</v>
      </c>
      <c r="S31" s="70" t="s">
        <v>1532</v>
      </c>
      <c r="T31" s="70" t="s">
        <v>1532</v>
      </c>
      <c r="U31" s="70" t="s">
        <v>1532</v>
      </c>
      <c r="V31" s="70" t="s">
        <v>1532</v>
      </c>
      <c r="W31" s="70" t="s">
        <v>1532</v>
      </c>
      <c r="X31" s="70" t="s">
        <v>1532</v>
      </c>
      <c r="Y31" s="70"/>
      <c r="Z31" s="70" t="s">
        <v>1532</v>
      </c>
      <c r="AA31" s="70" t="s">
        <v>1532</v>
      </c>
      <c r="AB31" s="70" t="s">
        <v>1532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" thickBot="1" x14ac:dyDescent="0.35">
      <c r="A32" t="s">
        <v>1201</v>
      </c>
      <c r="B32" s="30" t="s">
        <v>1524</v>
      </c>
      <c r="C32" t="s">
        <v>1070</v>
      </c>
      <c r="D32" t="s">
        <v>1525</v>
      </c>
      <c r="E32" s="65"/>
      <c r="F32" s="30" t="s">
        <v>28</v>
      </c>
      <c r="G32" s="30"/>
      <c r="H32" s="87" t="s">
        <v>1526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1532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" thickBot="1" x14ac:dyDescent="0.35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" thickBot="1" x14ac:dyDescent="0.35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" thickBot="1" x14ac:dyDescent="0.35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" thickBot="1" x14ac:dyDescent="0.35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" thickBot="1" x14ac:dyDescent="0.35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" thickBot="1" x14ac:dyDescent="0.35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" thickBot="1" x14ac:dyDescent="0.35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" thickBot="1" x14ac:dyDescent="0.35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3</v>
      </c>
      <c r="J40" s="31">
        <f t="shared" si="6"/>
        <v>25</v>
      </c>
      <c r="K40" s="32">
        <f t="shared" si="7"/>
        <v>0.10714285714285714</v>
      </c>
      <c r="L40" s="70" t="s">
        <v>1532</v>
      </c>
      <c r="M40" s="70" t="s">
        <v>1532</v>
      </c>
      <c r="N40" s="70" t="s">
        <v>1532</v>
      </c>
      <c r="O40" s="70" t="s">
        <v>1532</v>
      </c>
      <c r="P40" s="70" t="s">
        <v>1532</v>
      </c>
      <c r="Q40" s="70" t="s">
        <v>1532</v>
      </c>
      <c r="R40" s="70" t="s">
        <v>1532</v>
      </c>
      <c r="S40" s="70" t="s">
        <v>1532</v>
      </c>
      <c r="T40" s="70" t="s">
        <v>1532</v>
      </c>
      <c r="U40" s="70" t="s">
        <v>1532</v>
      </c>
      <c r="V40" s="70" t="s">
        <v>1532</v>
      </c>
      <c r="W40" s="70" t="s">
        <v>1532</v>
      </c>
      <c r="X40" s="70" t="s">
        <v>1532</v>
      </c>
      <c r="Y40" s="70" t="s">
        <v>1532</v>
      </c>
      <c r="Z40" s="70" t="s">
        <v>1532</v>
      </c>
      <c r="AA40" s="70" t="s">
        <v>1532</v>
      </c>
      <c r="AB40" s="70" t="s">
        <v>1532</v>
      </c>
      <c r="AC40" s="70" t="s">
        <v>1532</v>
      </c>
      <c r="AD40" s="70" t="s">
        <v>1532</v>
      </c>
      <c r="AE40" s="70" t="s">
        <v>1532</v>
      </c>
      <c r="AF40" s="70" t="s">
        <v>1532</v>
      </c>
      <c r="AG40" s="70" t="s">
        <v>1532</v>
      </c>
      <c r="AH40" s="70" t="s">
        <v>1532</v>
      </c>
      <c r="AI40" s="70" t="s">
        <v>1532</v>
      </c>
      <c r="AJ40" s="70" t="s">
        <v>1532</v>
      </c>
      <c r="AK40" s="70"/>
      <c r="AL40" s="70"/>
      <c r="AM40" s="70"/>
      <c r="AN40" s="70"/>
      <c r="AO40" s="70"/>
      <c r="AP40" s="70"/>
    </row>
    <row r="41" spans="1:42" ht="15" thickBot="1" x14ac:dyDescent="0.35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" thickBot="1" x14ac:dyDescent="0.35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" thickBot="1" x14ac:dyDescent="0.35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" thickBot="1" x14ac:dyDescent="0.35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" thickBot="1" x14ac:dyDescent="0.35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" thickBot="1" x14ac:dyDescent="0.35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0"/>
      <c r="M46" s="70"/>
      <c r="N46" s="70"/>
      <c r="O46" s="70"/>
      <c r="P46" s="70" t="s">
        <v>1532</v>
      </c>
      <c r="Q46" s="70"/>
      <c r="R46" s="70" t="s">
        <v>1532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" thickBot="1" x14ac:dyDescent="0.35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" thickBot="1" x14ac:dyDescent="0.35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" thickBot="1" x14ac:dyDescent="0.35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" thickBot="1" x14ac:dyDescent="0.35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" thickBot="1" x14ac:dyDescent="0.35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" thickBot="1" x14ac:dyDescent="0.35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0"/>
      <c r="M52" s="70"/>
      <c r="N52" s="70"/>
      <c r="O52" s="70"/>
      <c r="P52" s="70" t="s">
        <v>1532</v>
      </c>
      <c r="Q52" s="70"/>
      <c r="R52" s="70" t="s">
        <v>1532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" thickBot="1" x14ac:dyDescent="0.35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" thickBot="1" x14ac:dyDescent="0.35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" thickBot="1" x14ac:dyDescent="0.35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5"/>
        <v>3</v>
      </c>
      <c r="J55" s="31">
        <f t="shared" si="6"/>
        <v>25</v>
      </c>
      <c r="K55" s="32">
        <f t="shared" si="7"/>
        <v>0.10714285714285714</v>
      </c>
      <c r="L55" s="70" t="s">
        <v>1532</v>
      </c>
      <c r="M55" s="70" t="s">
        <v>1532</v>
      </c>
      <c r="N55" s="70" t="s">
        <v>1532</v>
      </c>
      <c r="O55" s="70" t="s">
        <v>1532</v>
      </c>
      <c r="P55" s="70" t="s">
        <v>1532</v>
      </c>
      <c r="Q55" s="70" t="s">
        <v>1532</v>
      </c>
      <c r="R55" s="70" t="s">
        <v>1532</v>
      </c>
      <c r="S55" s="70" t="s">
        <v>1532</v>
      </c>
      <c r="T55" s="70" t="s">
        <v>1532</v>
      </c>
      <c r="U55" s="70" t="s">
        <v>1532</v>
      </c>
      <c r="V55" s="70" t="s">
        <v>1532</v>
      </c>
      <c r="W55" s="70" t="s">
        <v>1532</v>
      </c>
      <c r="X55" s="70" t="s">
        <v>1532</v>
      </c>
      <c r="Y55" s="70" t="s">
        <v>1532</v>
      </c>
      <c r="Z55" s="70" t="s">
        <v>1532</v>
      </c>
      <c r="AA55" s="70" t="s">
        <v>1532</v>
      </c>
      <c r="AB55" s="70" t="s">
        <v>1532</v>
      </c>
      <c r="AC55" s="70" t="s">
        <v>1532</v>
      </c>
      <c r="AD55" s="97" t="s">
        <v>1532</v>
      </c>
      <c r="AE55" s="97" t="s">
        <v>1532</v>
      </c>
      <c r="AF55" s="97" t="s">
        <v>1532</v>
      </c>
      <c r="AG55" s="97" t="s">
        <v>1532</v>
      </c>
      <c r="AH55" s="97" t="s">
        <v>1532</v>
      </c>
      <c r="AI55" s="97" t="s">
        <v>1532</v>
      </c>
      <c r="AJ55" s="97" t="s">
        <v>1532</v>
      </c>
      <c r="AK55" s="97"/>
      <c r="AL55" s="97"/>
      <c r="AM55" s="97"/>
      <c r="AN55" s="97"/>
      <c r="AO55" s="97"/>
      <c r="AP55" s="97"/>
    </row>
    <row r="56" spans="1:42" ht="15" thickBot="1" x14ac:dyDescent="0.35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0" t="s">
        <v>1532</v>
      </c>
      <c r="M56" s="70"/>
      <c r="N56" s="70"/>
      <c r="O56" s="70"/>
      <c r="P56" s="70"/>
      <c r="Q56" s="70"/>
      <c r="R56" s="70"/>
      <c r="S56" s="70"/>
      <c r="T56" s="70" t="s">
        <v>1532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" thickBot="1" x14ac:dyDescent="0.35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0"/>
      <c r="M57" s="70"/>
      <c r="N57" s="70"/>
      <c r="O57" s="70"/>
      <c r="P57" s="70"/>
      <c r="Q57" s="70"/>
      <c r="R57" s="70" t="s">
        <v>1532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" thickBot="1" x14ac:dyDescent="0.35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0"/>
      <c r="M58" s="70"/>
      <c r="N58" s="70"/>
      <c r="O58" s="70"/>
      <c r="P58" s="70" t="s">
        <v>1532</v>
      </c>
      <c r="Q58" s="70"/>
      <c r="R58" s="70" t="s">
        <v>1532</v>
      </c>
      <c r="S58" s="70"/>
      <c r="T58" s="70"/>
      <c r="U58" s="70"/>
      <c r="V58" s="70" t="s">
        <v>1532</v>
      </c>
      <c r="W58" s="70" t="s">
        <v>1532</v>
      </c>
      <c r="X58" s="70" t="s">
        <v>1532</v>
      </c>
      <c r="Y58" s="70" t="s">
        <v>1532</v>
      </c>
      <c r="Z58" s="70" t="s">
        <v>1532</v>
      </c>
      <c r="AA58" s="70" t="s">
        <v>1532</v>
      </c>
      <c r="AB58" s="70" t="s">
        <v>1532</v>
      </c>
      <c r="AC58" s="70" t="s">
        <v>1532</v>
      </c>
      <c r="AD58" s="70" t="s">
        <v>1532</v>
      </c>
      <c r="AE58" s="70" t="s">
        <v>1532</v>
      </c>
      <c r="AF58" s="70" t="s">
        <v>1532</v>
      </c>
      <c r="AG58" s="70" t="s">
        <v>1532</v>
      </c>
      <c r="AH58" s="70" t="s">
        <v>1532</v>
      </c>
      <c r="AI58" s="70" t="s">
        <v>1532</v>
      </c>
      <c r="AJ58" s="70" t="s">
        <v>1532</v>
      </c>
      <c r="AK58" s="70"/>
      <c r="AL58" s="70"/>
      <c r="AM58" s="70"/>
      <c r="AN58" s="70"/>
      <c r="AO58" s="70"/>
      <c r="AP58" s="70"/>
    </row>
    <row r="59" spans="1:42" ht="15" thickBot="1" x14ac:dyDescent="0.35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0" t="s">
        <v>1532</v>
      </c>
      <c r="M59" s="70" t="s">
        <v>1532</v>
      </c>
      <c r="N59" s="70" t="s">
        <v>1532</v>
      </c>
      <c r="O59" s="70" t="s">
        <v>1532</v>
      </c>
      <c r="P59" s="70" t="s">
        <v>1532</v>
      </c>
      <c r="Q59" s="70" t="s">
        <v>1532</v>
      </c>
      <c r="R59" s="70" t="s">
        <v>1532</v>
      </c>
      <c r="S59" s="70" t="s">
        <v>1532</v>
      </c>
      <c r="T59" s="70" t="s">
        <v>1532</v>
      </c>
      <c r="U59" s="70" t="s">
        <v>1532</v>
      </c>
      <c r="V59" s="70" t="s">
        <v>1532</v>
      </c>
      <c r="W59" s="70" t="s">
        <v>1532</v>
      </c>
      <c r="X59" s="70" t="s">
        <v>1532</v>
      </c>
      <c r="Y59" s="70" t="s">
        <v>1532</v>
      </c>
      <c r="Z59" s="70" t="s">
        <v>1532</v>
      </c>
      <c r="AA59" s="70" t="s">
        <v>1532</v>
      </c>
      <c r="AB59" s="70" t="s">
        <v>1532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" thickBot="1" x14ac:dyDescent="0.35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0"/>
      <c r="M60" s="70"/>
      <c r="N60" s="70"/>
      <c r="O60" s="70"/>
      <c r="P60" s="70" t="s">
        <v>1532</v>
      </c>
      <c r="Q60" s="70"/>
      <c r="R60" s="70" t="s">
        <v>1532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" thickBot="1" x14ac:dyDescent="0.35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0"/>
      <c r="M61" s="70"/>
      <c r="N61" s="70"/>
      <c r="O61" s="70"/>
      <c r="P61" s="70" t="s">
        <v>1532</v>
      </c>
      <c r="Q61" s="70"/>
      <c r="R61" s="70" t="s">
        <v>1532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" thickBot="1" x14ac:dyDescent="0.35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0"/>
      <c r="M62" s="70"/>
      <c r="N62" s="70"/>
      <c r="O62" s="70"/>
      <c r="P62" s="70" t="s">
        <v>1532</v>
      </c>
      <c r="Q62" s="70"/>
      <c r="R62" s="70" t="s">
        <v>1532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" thickBot="1" x14ac:dyDescent="0.35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0"/>
      <c r="M63" s="70"/>
      <c r="N63" s="70"/>
      <c r="O63" s="70"/>
      <c r="P63" s="70" t="s">
        <v>1532</v>
      </c>
      <c r="Q63" s="70"/>
      <c r="R63" s="70" t="s">
        <v>1532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" thickBot="1" x14ac:dyDescent="0.35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0"/>
      <c r="M64" s="70"/>
      <c r="N64" s="70"/>
      <c r="O64" s="70"/>
      <c r="P64" s="70" t="s">
        <v>1532</v>
      </c>
      <c r="Q64" s="70"/>
      <c r="R64" s="70" t="s">
        <v>1532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" thickBot="1" x14ac:dyDescent="0.35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0"/>
      <c r="M65" s="70"/>
      <c r="N65" s="70"/>
      <c r="O65" s="70"/>
      <c r="P65" s="70" t="s">
        <v>1532</v>
      </c>
      <c r="Q65" s="70"/>
      <c r="R65" s="70" t="s">
        <v>1532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" thickBot="1" x14ac:dyDescent="0.35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0"/>
      <c r="M66" s="70"/>
      <c r="N66" s="70"/>
      <c r="O66" s="70"/>
      <c r="P66" s="70" t="s">
        <v>1532</v>
      </c>
      <c r="Q66" s="70"/>
      <c r="R66" s="70" t="s">
        <v>1532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" thickBot="1" x14ac:dyDescent="0.35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" thickBot="1" x14ac:dyDescent="0.35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" thickBot="1" x14ac:dyDescent="0.35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" thickBot="1" x14ac:dyDescent="0.35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" thickBot="1" x14ac:dyDescent="0.35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" thickBot="1" x14ac:dyDescent="0.35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25</v>
      </c>
      <c r="J72" s="31">
        <f t="shared" si="6"/>
        <v>3</v>
      </c>
      <c r="K72" s="32">
        <f t="shared" si="7"/>
        <v>0.8928571428571429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1532</v>
      </c>
      <c r="AB72" s="70" t="s">
        <v>1532</v>
      </c>
      <c r="AC72" s="70"/>
      <c r="AD72" s="70"/>
      <c r="AE72" s="70"/>
      <c r="AF72" s="70"/>
      <c r="AG72" s="70"/>
      <c r="AH72" s="70"/>
      <c r="AI72" s="70" t="s">
        <v>1532</v>
      </c>
      <c r="AJ72" s="70"/>
      <c r="AK72" s="70"/>
      <c r="AL72" s="70"/>
      <c r="AM72" s="70"/>
      <c r="AN72" s="70"/>
      <c r="AO72" s="70"/>
      <c r="AP72" s="70"/>
    </row>
    <row r="73" spans="1:42" ht="15" thickBot="1" x14ac:dyDescent="0.35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" thickBot="1" x14ac:dyDescent="0.35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" thickBot="1" x14ac:dyDescent="0.35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1532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" thickBot="1" x14ac:dyDescent="0.35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0" t="s">
        <v>1532</v>
      </c>
      <c r="M76" s="70" t="s">
        <v>1532</v>
      </c>
      <c r="N76" s="70" t="s">
        <v>1532</v>
      </c>
      <c r="O76" s="70"/>
      <c r="P76" s="70" t="s">
        <v>1532</v>
      </c>
      <c r="Q76" s="70" t="s">
        <v>1532</v>
      </c>
      <c r="R76" s="70" t="s">
        <v>1532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" thickBot="1" x14ac:dyDescent="0.35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23</v>
      </c>
      <c r="J77" s="31">
        <f t="shared" si="9"/>
        <v>5</v>
      </c>
      <c r="K77" s="32">
        <f t="shared" si="10"/>
        <v>0.8214285714285714</v>
      </c>
      <c r="L77" s="70"/>
      <c r="M77" s="70"/>
      <c r="N77" s="70"/>
      <c r="O77" s="70"/>
      <c r="P77" s="70" t="s">
        <v>1532</v>
      </c>
      <c r="Q77" s="70"/>
      <c r="R77" s="70" t="s">
        <v>1532</v>
      </c>
      <c r="S77" s="70"/>
      <c r="T77" s="70"/>
      <c r="U77" s="70" t="s">
        <v>1532</v>
      </c>
      <c r="V77" s="70" t="s">
        <v>1532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1532</v>
      </c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" thickBot="1" x14ac:dyDescent="0.35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0"/>
      <c r="M78" s="70"/>
      <c r="N78" s="70"/>
      <c r="O78" s="70"/>
      <c r="P78" s="70" t="s">
        <v>1532</v>
      </c>
      <c r="Q78" s="70"/>
      <c r="R78" s="70" t="s">
        <v>1532</v>
      </c>
      <c r="S78" s="70"/>
      <c r="T78" s="70"/>
      <c r="U78" s="70" t="s">
        <v>1532</v>
      </c>
      <c r="V78" s="70" t="s">
        <v>1532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" thickBot="1" x14ac:dyDescent="0.35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" thickBot="1" x14ac:dyDescent="0.35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" thickBot="1" x14ac:dyDescent="0.35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0"/>
      <c r="M81" s="70"/>
      <c r="N81" s="70"/>
      <c r="O81" s="70"/>
      <c r="P81" s="70"/>
      <c r="Q81" s="70"/>
      <c r="R81" s="70" t="s">
        <v>1532</v>
      </c>
      <c r="S81" s="70"/>
      <c r="T81" s="70"/>
      <c r="U81" s="70" t="s">
        <v>1532</v>
      </c>
      <c r="V81" s="70" t="s">
        <v>1532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" thickBot="1" x14ac:dyDescent="0.35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25</v>
      </c>
      <c r="J82" s="31">
        <f t="shared" si="9"/>
        <v>3</v>
      </c>
      <c r="K82" s="32">
        <f t="shared" si="10"/>
        <v>0.8928571428571429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1532</v>
      </c>
      <c r="AI82" s="70" t="s">
        <v>1532</v>
      </c>
      <c r="AJ82" s="70" t="s">
        <v>1532</v>
      </c>
      <c r="AK82" s="70"/>
      <c r="AL82" s="70"/>
      <c r="AM82" s="70"/>
      <c r="AN82" s="70"/>
      <c r="AO82" s="70"/>
      <c r="AP82" s="70"/>
    </row>
    <row r="83" spans="1:42" ht="15" thickBot="1" x14ac:dyDescent="0.35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" thickBot="1" x14ac:dyDescent="0.35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" thickBot="1" x14ac:dyDescent="0.35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" thickBot="1" x14ac:dyDescent="0.35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" thickBot="1" x14ac:dyDescent="0.35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22</v>
      </c>
      <c r="J87" s="31">
        <f t="shared" si="9"/>
        <v>6</v>
      </c>
      <c r="K87" s="32">
        <f t="shared" si="10"/>
        <v>0.7857142857142857</v>
      </c>
      <c r="L87" s="70" t="s">
        <v>1532</v>
      </c>
      <c r="M87" s="70" t="s">
        <v>1532</v>
      </c>
      <c r="N87" s="70" t="s">
        <v>1532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1532</v>
      </c>
      <c r="AI87" s="70" t="s">
        <v>1532</v>
      </c>
      <c r="AJ87" s="70" t="s">
        <v>1532</v>
      </c>
      <c r="AK87" s="70"/>
      <c r="AL87" s="70"/>
      <c r="AM87" s="70"/>
      <c r="AN87" s="70"/>
      <c r="AO87" s="70"/>
      <c r="AP87" s="70"/>
    </row>
    <row r="88" spans="1:42" ht="15" thickBot="1" x14ac:dyDescent="0.35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23</v>
      </c>
      <c r="J88" s="31">
        <f t="shared" si="9"/>
        <v>5</v>
      </c>
      <c r="K88" s="32">
        <f t="shared" si="10"/>
        <v>0.8214285714285714</v>
      </c>
      <c r="L88" s="70"/>
      <c r="M88" s="70" t="s">
        <v>1532</v>
      </c>
      <c r="N88" s="70" t="s">
        <v>1532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1532</v>
      </c>
      <c r="AI88" s="70" t="s">
        <v>1532</v>
      </c>
      <c r="AJ88" s="70" t="s">
        <v>1532</v>
      </c>
      <c r="AK88" s="70"/>
      <c r="AL88" s="70"/>
      <c r="AM88" s="70"/>
      <c r="AN88" s="70"/>
      <c r="AO88" s="70"/>
      <c r="AP88" s="70"/>
    </row>
    <row r="89" spans="1:42" ht="15" thickBot="1" x14ac:dyDescent="0.35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" thickBot="1" x14ac:dyDescent="0.35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" thickBot="1" x14ac:dyDescent="0.35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" thickBot="1" x14ac:dyDescent="0.35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" thickBot="1" x14ac:dyDescent="0.35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" thickBot="1" x14ac:dyDescent="0.35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0"/>
      <c r="M94" s="70"/>
      <c r="N94" s="70"/>
      <c r="O94" s="70" t="s">
        <v>1532</v>
      </c>
      <c r="P94" s="70" t="s">
        <v>1532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" thickBot="1" x14ac:dyDescent="0.35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" thickBot="1" x14ac:dyDescent="0.35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" thickBot="1" x14ac:dyDescent="0.35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" thickBot="1" x14ac:dyDescent="0.35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" thickBot="1" x14ac:dyDescent="0.35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" thickBot="1" x14ac:dyDescent="0.35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" thickBot="1" x14ac:dyDescent="0.35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0" t="s">
        <v>1532</v>
      </c>
      <c r="M101" s="70" t="s">
        <v>1532</v>
      </c>
      <c r="N101" s="70" t="s">
        <v>1532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" thickBot="1" x14ac:dyDescent="0.35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0" t="s">
        <v>1532</v>
      </c>
      <c r="M102" s="70" t="s">
        <v>1532</v>
      </c>
      <c r="N102" s="70" t="s">
        <v>1532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" thickBot="1" x14ac:dyDescent="0.35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" thickBot="1" x14ac:dyDescent="0.35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" thickBot="1" x14ac:dyDescent="0.35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5" customHeight="1" thickBot="1" x14ac:dyDescent="0.35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" thickBot="1" x14ac:dyDescent="0.35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0"/>
      <c r="M107" s="70" t="s">
        <v>1532</v>
      </c>
      <c r="N107" s="70" t="s">
        <v>1532</v>
      </c>
      <c r="O107" s="70" t="s">
        <v>1532</v>
      </c>
      <c r="P107" s="70" t="s">
        <v>1532</v>
      </c>
      <c r="Q107" s="70" t="s">
        <v>1532</v>
      </c>
      <c r="R107" s="70" t="s">
        <v>1532</v>
      </c>
      <c r="S107" s="70" t="s">
        <v>1532</v>
      </c>
      <c r="T107" s="70" t="s">
        <v>1532</v>
      </c>
      <c r="U107" s="70" t="s">
        <v>1532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" thickBot="1" x14ac:dyDescent="0.35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" thickBot="1" x14ac:dyDescent="0.35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1532</v>
      </c>
      <c r="Y109" s="70"/>
      <c r="Z109" s="70" t="s">
        <v>1532</v>
      </c>
      <c r="AA109" s="70"/>
      <c r="AB109" s="70"/>
      <c r="AC109" s="70"/>
      <c r="AD109" s="70"/>
      <c r="AE109" s="70" t="s">
        <v>1532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" thickBot="1" x14ac:dyDescent="0.35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0"/>
      <c r="M110" s="70"/>
      <c r="N110" s="70"/>
      <c r="O110" s="70"/>
      <c r="P110" s="70" t="s">
        <v>1532</v>
      </c>
      <c r="Q110" s="70"/>
      <c r="R110" s="70" t="s">
        <v>1532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" thickBot="1" x14ac:dyDescent="0.35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0"/>
      <c r="M111" s="70"/>
      <c r="N111" s="70"/>
      <c r="O111" s="70"/>
      <c r="P111" s="70" t="s">
        <v>1532</v>
      </c>
      <c r="Q111" s="70"/>
      <c r="R111" s="70" t="s">
        <v>1532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" thickBot="1" x14ac:dyDescent="0.35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0"/>
      <c r="M112" s="70"/>
      <c r="N112" s="70"/>
      <c r="O112" s="70"/>
      <c r="P112" s="70" t="s">
        <v>1532</v>
      </c>
      <c r="Q112" s="70"/>
      <c r="R112" s="70" t="s">
        <v>1532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" thickBot="1" x14ac:dyDescent="0.35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22</v>
      </c>
      <c r="J113" s="31">
        <f t="shared" si="9"/>
        <v>6</v>
      </c>
      <c r="K113" s="32">
        <f t="shared" si="10"/>
        <v>0.7857142857142857</v>
      </c>
      <c r="L113" s="70" t="s">
        <v>1532</v>
      </c>
      <c r="M113" s="70" t="s">
        <v>1532</v>
      </c>
      <c r="N113" s="70" t="s">
        <v>1532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1532</v>
      </c>
      <c r="AB113" s="70" t="s">
        <v>1532</v>
      </c>
      <c r="AC113" s="70"/>
      <c r="AD113" s="70"/>
      <c r="AE113" s="70"/>
      <c r="AF113" s="70"/>
      <c r="AG113" s="70"/>
      <c r="AH113" s="70"/>
      <c r="AI113" s="70" t="s">
        <v>1532</v>
      </c>
      <c r="AJ113" s="70"/>
      <c r="AK113" s="70"/>
      <c r="AL113" s="70"/>
      <c r="AM113" s="70"/>
      <c r="AN113" s="70"/>
      <c r="AO113" s="70"/>
      <c r="AP113" s="70"/>
    </row>
    <row r="114" spans="1:42" ht="15" thickBot="1" x14ac:dyDescent="0.35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22</v>
      </c>
      <c r="J114" s="31">
        <f t="shared" si="9"/>
        <v>6</v>
      </c>
      <c r="K114" s="32">
        <f t="shared" si="10"/>
        <v>0.7857142857142857</v>
      </c>
      <c r="L114" s="70" t="s">
        <v>1532</v>
      </c>
      <c r="M114" s="70" t="s">
        <v>1532</v>
      </c>
      <c r="N114" s="70" t="s">
        <v>1532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1532</v>
      </c>
      <c r="AB114" s="70" t="s">
        <v>1532</v>
      </c>
      <c r="AC114" s="70"/>
      <c r="AD114" s="70"/>
      <c r="AE114" s="70"/>
      <c r="AF114" s="70"/>
      <c r="AG114" s="70"/>
      <c r="AH114" s="70"/>
      <c r="AI114" s="70" t="s">
        <v>1532</v>
      </c>
      <c r="AJ114" s="70"/>
      <c r="AK114" s="70"/>
      <c r="AL114" s="70"/>
      <c r="AM114" s="70"/>
      <c r="AN114" s="70"/>
      <c r="AO114" s="70"/>
      <c r="AP114" s="70"/>
    </row>
    <row r="115" spans="1:42" ht="15" thickBot="1" x14ac:dyDescent="0.35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" thickBot="1" x14ac:dyDescent="0.35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25</v>
      </c>
      <c r="J116" s="31">
        <f t="shared" si="9"/>
        <v>3</v>
      </c>
      <c r="K116" s="32">
        <f t="shared" si="10"/>
        <v>0.8928571428571429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1532</v>
      </c>
      <c r="AA116" s="70" t="s">
        <v>1532</v>
      </c>
      <c r="AB116" s="70" t="s">
        <v>1532</v>
      </c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" thickBot="1" x14ac:dyDescent="0.35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" thickBot="1" x14ac:dyDescent="0.35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1532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" thickBot="1" x14ac:dyDescent="0.35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" thickBot="1" x14ac:dyDescent="0.35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" thickBot="1" x14ac:dyDescent="0.35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" thickBot="1" x14ac:dyDescent="0.35">
      <c r="A122" t="s">
        <v>52</v>
      </c>
      <c r="B122" s="30" t="s">
        <v>1426</v>
      </c>
      <c r="C122" s="30" t="s">
        <v>1069</v>
      </c>
      <c r="D122" t="s">
        <v>1546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5">
      <c r="A123" t="s">
        <v>52</v>
      </c>
      <c r="B123" s="30" t="s">
        <v>1522</v>
      </c>
      <c r="C123" s="30" t="s">
        <v>1069</v>
      </c>
      <c r="D123" t="s">
        <v>1523</v>
      </c>
      <c r="E123" s="87"/>
      <c r="F123" s="87" t="s">
        <v>28</v>
      </c>
      <c r="G123" s="87"/>
      <c r="H123" s="87" t="s">
        <v>1527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" thickBot="1" x14ac:dyDescent="0.35">
      <c r="A124" t="s">
        <v>52</v>
      </c>
      <c r="B124" s="30" t="s">
        <v>1501</v>
      </c>
      <c r="C124" s="30" t="s">
        <v>1069</v>
      </c>
      <c r="D124" t="s">
        <v>1500</v>
      </c>
      <c r="E124" s="87" t="s">
        <v>73</v>
      </c>
      <c r="F124" s="87" t="s">
        <v>28</v>
      </c>
      <c r="G124" s="87"/>
      <c r="H124" s="87" t="s">
        <v>1502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" thickBot="1" x14ac:dyDescent="0.35">
      <c r="A125" t="s">
        <v>52</v>
      </c>
      <c r="B125" s="30" t="s">
        <v>1504</v>
      </c>
      <c r="C125" s="30" t="s">
        <v>1069</v>
      </c>
      <c r="D125" t="s">
        <v>1503</v>
      </c>
      <c r="E125" s="87" t="s">
        <v>19</v>
      </c>
      <c r="F125" s="87" t="s">
        <v>28</v>
      </c>
      <c r="G125" s="87"/>
      <c r="H125" s="87" t="s">
        <v>1505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" thickBot="1" x14ac:dyDescent="0.35">
      <c r="A126" t="s">
        <v>52</v>
      </c>
      <c r="B126" s="30" t="s">
        <v>1537</v>
      </c>
      <c r="C126" s="30" t="s">
        <v>1069</v>
      </c>
      <c r="D126" t="s">
        <v>1538</v>
      </c>
      <c r="E126" s="87" t="s">
        <v>19</v>
      </c>
      <c r="F126" s="87" t="s">
        <v>28</v>
      </c>
      <c r="G126" s="87"/>
      <c r="H126" s="87" t="s">
        <v>1539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" thickBot="1" x14ac:dyDescent="0.35">
      <c r="A127" t="s">
        <v>52</v>
      </c>
      <c r="B127" s="30" t="s">
        <v>1540</v>
      </c>
      <c r="C127" s="30" t="s">
        <v>1069</v>
      </c>
      <c r="D127" t="s">
        <v>1541</v>
      </c>
      <c r="E127" s="87" t="s">
        <v>19</v>
      </c>
      <c r="F127" s="87" t="s">
        <v>28</v>
      </c>
      <c r="G127" s="87"/>
      <c r="H127" s="87" t="s">
        <v>1542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" thickBot="1" x14ac:dyDescent="0.35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1532</v>
      </c>
      <c r="U128" s="70" t="s">
        <v>1532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" thickBot="1" x14ac:dyDescent="0.35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4</v>
      </c>
      <c r="J129" s="31">
        <f t="shared" si="9"/>
        <v>24</v>
      </c>
      <c r="K129" s="32">
        <f t="shared" si="10"/>
        <v>0.14285714285714285</v>
      </c>
      <c r="L129" s="70" t="s">
        <v>1532</v>
      </c>
      <c r="M129" s="70" t="s">
        <v>1532</v>
      </c>
      <c r="N129" s="70" t="s">
        <v>1532</v>
      </c>
      <c r="O129" s="70" t="s">
        <v>1532</v>
      </c>
      <c r="P129" s="70" t="s">
        <v>1532</v>
      </c>
      <c r="Q129" s="70" t="s">
        <v>1532</v>
      </c>
      <c r="R129" s="70" t="s">
        <v>1532</v>
      </c>
      <c r="S129" s="70" t="s">
        <v>1532</v>
      </c>
      <c r="T129" s="70" t="s">
        <v>1532</v>
      </c>
      <c r="U129" s="70"/>
      <c r="V129" s="70" t="s">
        <v>1532</v>
      </c>
      <c r="W129" s="70" t="s">
        <v>1532</v>
      </c>
      <c r="X129" s="70" t="s">
        <v>1532</v>
      </c>
      <c r="Y129" s="70" t="s">
        <v>1532</v>
      </c>
      <c r="Z129" s="70" t="s">
        <v>1532</v>
      </c>
      <c r="AA129" s="70" t="s">
        <v>1532</v>
      </c>
      <c r="AB129" s="70" t="s">
        <v>1532</v>
      </c>
      <c r="AC129" s="70" t="s">
        <v>1532</v>
      </c>
      <c r="AD129" s="70" t="s">
        <v>1532</v>
      </c>
      <c r="AE129" s="70" t="s">
        <v>1532</v>
      </c>
      <c r="AF129" s="70" t="s">
        <v>1532</v>
      </c>
      <c r="AG129" s="70" t="s">
        <v>1532</v>
      </c>
      <c r="AH129" s="70" t="s">
        <v>1532</v>
      </c>
      <c r="AI129" s="70" t="s">
        <v>1532</v>
      </c>
      <c r="AJ129" s="70" t="s">
        <v>1532</v>
      </c>
      <c r="AK129" s="70"/>
      <c r="AL129" s="70"/>
      <c r="AM129" s="70"/>
      <c r="AN129" s="70"/>
      <c r="AO129" s="70"/>
      <c r="AP129" s="70"/>
    </row>
    <row r="130" spans="1:42" ht="15" thickBot="1" x14ac:dyDescent="0.35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" thickBot="1" x14ac:dyDescent="0.35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" thickBot="1" x14ac:dyDescent="0.35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" thickBot="1" x14ac:dyDescent="0.35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" thickBot="1" x14ac:dyDescent="0.35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0"/>
      <c r="M134" s="70" t="s">
        <v>1532</v>
      </c>
      <c r="N134" s="70" t="s">
        <v>1532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" thickBot="1" x14ac:dyDescent="0.35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" thickBot="1" x14ac:dyDescent="0.35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8"/>
        <v>3</v>
      </c>
      <c r="J136" s="145">
        <f t="shared" si="9"/>
        <v>25</v>
      </c>
      <c r="K136" s="146">
        <f t="shared" si="10"/>
        <v>0.10714285714285714</v>
      </c>
      <c r="L136" s="97" t="s">
        <v>1532</v>
      </c>
      <c r="M136" s="97" t="s">
        <v>1532</v>
      </c>
      <c r="N136" s="97" t="s">
        <v>1532</v>
      </c>
      <c r="O136" s="97" t="s">
        <v>1532</v>
      </c>
      <c r="P136" s="97" t="s">
        <v>1532</v>
      </c>
      <c r="Q136" s="97" t="s">
        <v>1532</v>
      </c>
      <c r="R136" s="97" t="s">
        <v>1532</v>
      </c>
      <c r="S136" s="97" t="s">
        <v>1532</v>
      </c>
      <c r="T136" s="97" t="s">
        <v>1532</v>
      </c>
      <c r="U136" s="97" t="s">
        <v>1532</v>
      </c>
      <c r="V136" s="97" t="s">
        <v>1532</v>
      </c>
      <c r="W136" s="97" t="s">
        <v>1532</v>
      </c>
      <c r="X136" s="97" t="s">
        <v>1532</v>
      </c>
      <c r="Y136" s="97" t="s">
        <v>1532</v>
      </c>
      <c r="Z136" s="97" t="s">
        <v>1532</v>
      </c>
      <c r="AA136" s="97" t="s">
        <v>1532</v>
      </c>
      <c r="AB136" s="97" t="s">
        <v>1532</v>
      </c>
      <c r="AC136" s="97" t="s">
        <v>1532</v>
      </c>
      <c r="AD136" s="97" t="s">
        <v>1532</v>
      </c>
      <c r="AE136" s="97" t="s">
        <v>1532</v>
      </c>
      <c r="AF136" s="97" t="s">
        <v>1532</v>
      </c>
      <c r="AG136" s="97" t="s">
        <v>1532</v>
      </c>
      <c r="AH136" s="97" t="s">
        <v>1532</v>
      </c>
      <c r="AI136" s="97" t="s">
        <v>1532</v>
      </c>
      <c r="AJ136" s="97" t="s">
        <v>1532</v>
      </c>
      <c r="AK136" s="97"/>
      <c r="AL136" s="97"/>
      <c r="AM136" s="97"/>
      <c r="AN136" s="97"/>
      <c r="AO136" s="97"/>
      <c r="AP136" s="97"/>
    </row>
    <row r="137" spans="1:42" ht="15" thickBot="1" x14ac:dyDescent="0.35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1532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" thickBot="1" x14ac:dyDescent="0.35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1532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" thickBot="1" x14ac:dyDescent="0.35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8"/>
        <v>3</v>
      </c>
      <c r="J139" s="31">
        <f t="shared" si="9"/>
        <v>25</v>
      </c>
      <c r="K139" s="32">
        <f t="shared" si="10"/>
        <v>0.10714285714285714</v>
      </c>
      <c r="L139" s="70" t="s">
        <v>1532</v>
      </c>
      <c r="M139" s="70" t="s">
        <v>1532</v>
      </c>
      <c r="N139" s="70" t="s">
        <v>1532</v>
      </c>
      <c r="O139" s="70" t="s">
        <v>1532</v>
      </c>
      <c r="P139" s="70" t="s">
        <v>1532</v>
      </c>
      <c r="Q139" s="70" t="s">
        <v>1532</v>
      </c>
      <c r="R139" s="70" t="s">
        <v>1532</v>
      </c>
      <c r="S139" s="70" t="s">
        <v>1532</v>
      </c>
      <c r="T139" s="70" t="s">
        <v>1532</v>
      </c>
      <c r="U139" s="70" t="s">
        <v>1532</v>
      </c>
      <c r="V139" s="70" t="s">
        <v>1532</v>
      </c>
      <c r="W139" s="70" t="s">
        <v>1532</v>
      </c>
      <c r="X139" s="70" t="s">
        <v>1532</v>
      </c>
      <c r="Y139" s="70" t="s">
        <v>1532</v>
      </c>
      <c r="Z139" s="70" t="s">
        <v>1532</v>
      </c>
      <c r="AA139" s="70" t="s">
        <v>1532</v>
      </c>
      <c r="AB139" s="70" t="s">
        <v>1532</v>
      </c>
      <c r="AC139" s="70" t="s">
        <v>1532</v>
      </c>
      <c r="AD139" s="97" t="s">
        <v>1532</v>
      </c>
      <c r="AE139" s="97" t="s">
        <v>1532</v>
      </c>
      <c r="AF139" s="97" t="s">
        <v>1532</v>
      </c>
      <c r="AG139" s="97" t="s">
        <v>1532</v>
      </c>
      <c r="AH139" s="97" t="s">
        <v>1532</v>
      </c>
      <c r="AI139" s="97" t="s">
        <v>1532</v>
      </c>
      <c r="AJ139" s="97" t="s">
        <v>1532</v>
      </c>
      <c r="AK139" s="97"/>
      <c r="AL139" s="97"/>
      <c r="AM139" s="97"/>
      <c r="AN139" s="97"/>
      <c r="AO139" s="97"/>
      <c r="AP139" s="97"/>
    </row>
    <row r="140" spans="1:42" s="95" customFormat="1" ht="16.2" customHeight="1" thickBot="1" x14ac:dyDescent="0.35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8"/>
        <v>3</v>
      </c>
      <c r="J140" s="31">
        <f t="shared" si="9"/>
        <v>25</v>
      </c>
      <c r="K140" s="32">
        <f t="shared" si="10"/>
        <v>0.10714285714285714</v>
      </c>
      <c r="L140" s="70" t="s">
        <v>1532</v>
      </c>
      <c r="M140" s="70" t="s">
        <v>1532</v>
      </c>
      <c r="N140" s="70" t="s">
        <v>1532</v>
      </c>
      <c r="O140" s="70" t="s">
        <v>1532</v>
      </c>
      <c r="P140" s="70" t="s">
        <v>1532</v>
      </c>
      <c r="Q140" s="70" t="s">
        <v>1532</v>
      </c>
      <c r="R140" s="70" t="s">
        <v>1532</v>
      </c>
      <c r="S140" s="70" t="s">
        <v>1532</v>
      </c>
      <c r="T140" s="70" t="s">
        <v>1532</v>
      </c>
      <c r="U140" s="70" t="s">
        <v>1532</v>
      </c>
      <c r="V140" s="70" t="s">
        <v>1532</v>
      </c>
      <c r="W140" s="70" t="s">
        <v>1532</v>
      </c>
      <c r="X140" s="70" t="s">
        <v>1532</v>
      </c>
      <c r="Y140" s="70" t="s">
        <v>1532</v>
      </c>
      <c r="Z140" s="70" t="s">
        <v>1532</v>
      </c>
      <c r="AA140" s="70" t="s">
        <v>1532</v>
      </c>
      <c r="AB140" s="70" t="s">
        <v>1532</v>
      </c>
      <c r="AC140" s="70" t="s">
        <v>1532</v>
      </c>
      <c r="AD140" s="97" t="s">
        <v>1532</v>
      </c>
      <c r="AE140" s="97" t="s">
        <v>1532</v>
      </c>
      <c r="AF140" s="97" t="s">
        <v>1532</v>
      </c>
      <c r="AG140" s="97" t="s">
        <v>1532</v>
      </c>
      <c r="AH140" s="97" t="s">
        <v>1532</v>
      </c>
      <c r="AI140" s="97" t="s">
        <v>1532</v>
      </c>
      <c r="AJ140" s="97" t="s">
        <v>1532</v>
      </c>
      <c r="AK140" s="97"/>
      <c r="AL140" s="97"/>
      <c r="AM140" s="97"/>
      <c r="AN140" s="97"/>
      <c r="AO140" s="97"/>
      <c r="AP140" s="97"/>
    </row>
    <row r="141" spans="1:42" ht="15" thickBot="1" x14ac:dyDescent="0.35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" thickBot="1" x14ac:dyDescent="0.35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1532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" thickBot="1" x14ac:dyDescent="0.35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0" t="s">
        <v>1532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" thickBot="1" x14ac:dyDescent="0.35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0" t="s">
        <v>1532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" thickBot="1" x14ac:dyDescent="0.35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0"/>
      <c r="M145" s="70"/>
      <c r="N145" s="70"/>
      <c r="O145" s="70"/>
      <c r="P145" s="70" t="s">
        <v>1532</v>
      </c>
      <c r="Q145" s="70" t="s">
        <v>1532</v>
      </c>
      <c r="R145" s="70" t="s">
        <v>1532</v>
      </c>
      <c r="S145" s="70" t="s">
        <v>1532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" thickBot="1" x14ac:dyDescent="0.35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0"/>
      <c r="M146" s="70"/>
      <c r="N146" s="70"/>
      <c r="O146" s="70"/>
      <c r="P146" s="70" t="s">
        <v>1532</v>
      </c>
      <c r="Q146" s="70" t="s">
        <v>1532</v>
      </c>
      <c r="R146" s="70" t="s">
        <v>1532</v>
      </c>
      <c r="S146" s="70" t="s">
        <v>1532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" thickBot="1" x14ac:dyDescent="0.35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0"/>
      <c r="M147" s="70"/>
      <c r="N147" s="70"/>
      <c r="O147" s="70"/>
      <c r="P147" s="70" t="s">
        <v>1532</v>
      </c>
      <c r="Q147" s="70" t="s">
        <v>1532</v>
      </c>
      <c r="R147" s="70" t="s">
        <v>1532</v>
      </c>
      <c r="S147" s="70" t="s">
        <v>1532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" thickBot="1" x14ac:dyDescent="0.35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0"/>
      <c r="M148" s="70"/>
      <c r="N148" s="70"/>
      <c r="O148" s="70"/>
      <c r="P148" s="70" t="s">
        <v>1532</v>
      </c>
      <c r="Q148" s="70" t="s">
        <v>1532</v>
      </c>
      <c r="R148" s="70" t="s">
        <v>1532</v>
      </c>
      <c r="S148" s="70" t="s">
        <v>1532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" thickBot="1" x14ac:dyDescent="0.35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" thickBot="1" x14ac:dyDescent="0.35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25</v>
      </c>
      <c r="J150" s="31">
        <f t="shared" si="12"/>
        <v>3</v>
      </c>
      <c r="K150" s="32">
        <f t="shared" si="13"/>
        <v>0.8928571428571429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1532</v>
      </c>
      <c r="AD150" s="70"/>
      <c r="AE150" s="70" t="s">
        <v>1532</v>
      </c>
      <c r="AF150" s="70"/>
      <c r="AG150" s="70"/>
      <c r="AH150" s="70"/>
      <c r="AI150" s="70"/>
      <c r="AJ150" s="70" t="s">
        <v>1532</v>
      </c>
      <c r="AK150" s="70"/>
      <c r="AL150" s="70"/>
      <c r="AM150" s="70"/>
      <c r="AN150" s="70"/>
      <c r="AO150" s="70"/>
      <c r="AP150" s="70"/>
    </row>
    <row r="151" spans="1:42" ht="15" thickBot="1" x14ac:dyDescent="0.35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1532</v>
      </c>
      <c r="AD151" s="70"/>
      <c r="AE151" s="70" t="s">
        <v>1532</v>
      </c>
      <c r="AF151" s="70"/>
      <c r="AG151" s="70"/>
      <c r="AH151" s="70"/>
      <c r="AI151" s="70"/>
      <c r="AJ151" s="70" t="s">
        <v>1532</v>
      </c>
      <c r="AK151" s="70"/>
      <c r="AL151" s="70"/>
      <c r="AM151" s="70"/>
      <c r="AN151" s="70"/>
      <c r="AO151" s="70"/>
      <c r="AP151" s="70"/>
    </row>
    <row r="152" spans="1:42" ht="15" thickBot="1" x14ac:dyDescent="0.35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" thickBot="1" x14ac:dyDescent="0.35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" thickBot="1" x14ac:dyDescent="0.35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" thickBot="1" x14ac:dyDescent="0.35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26</v>
      </c>
      <c r="J155" s="31">
        <f t="shared" si="12"/>
        <v>2</v>
      </c>
      <c r="K155" s="32">
        <f t="shared" si="13"/>
        <v>0.9285714285714286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1532</v>
      </c>
      <c r="AD155" s="70"/>
      <c r="AE155" s="70"/>
      <c r="AF155" s="70"/>
      <c r="AG155" s="70"/>
      <c r="AH155" s="70"/>
      <c r="AI155" s="70"/>
      <c r="AJ155" s="70" t="s">
        <v>1532</v>
      </c>
      <c r="AK155" s="70"/>
      <c r="AL155" s="70"/>
      <c r="AM155" s="70"/>
      <c r="AN155" s="70"/>
      <c r="AO155" s="70"/>
      <c r="AP155" s="70"/>
    </row>
    <row r="156" spans="1:42" ht="15" thickBot="1" x14ac:dyDescent="0.35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" thickBot="1" x14ac:dyDescent="0.35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" thickBot="1" x14ac:dyDescent="0.35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" thickBot="1" x14ac:dyDescent="0.35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25</v>
      </c>
      <c r="J159" s="31">
        <f t="shared" si="12"/>
        <v>3</v>
      </c>
      <c r="K159" s="32">
        <f t="shared" si="13"/>
        <v>0.8928571428571429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1532</v>
      </c>
      <c r="AD159" s="70"/>
      <c r="AE159" s="70" t="s">
        <v>1532</v>
      </c>
      <c r="AF159" s="70"/>
      <c r="AG159" s="70"/>
      <c r="AH159" s="70"/>
      <c r="AI159" s="70"/>
      <c r="AJ159" s="70" t="s">
        <v>1532</v>
      </c>
      <c r="AK159" s="70"/>
      <c r="AL159" s="70"/>
      <c r="AM159" s="70"/>
      <c r="AN159" s="70"/>
      <c r="AO159" s="70"/>
      <c r="AP159" s="70"/>
    </row>
    <row r="160" spans="1:42" ht="15" thickBot="1" x14ac:dyDescent="0.35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25</v>
      </c>
      <c r="J160" s="31">
        <f t="shared" si="12"/>
        <v>3</v>
      </c>
      <c r="K160" s="32">
        <f t="shared" si="13"/>
        <v>0.8928571428571429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1532</v>
      </c>
      <c r="AD160" s="70"/>
      <c r="AE160" s="70" t="s">
        <v>1532</v>
      </c>
      <c r="AF160" s="70"/>
      <c r="AG160" s="70"/>
      <c r="AH160" s="70"/>
      <c r="AI160" s="70"/>
      <c r="AJ160" s="70" t="s">
        <v>1532</v>
      </c>
      <c r="AK160" s="70"/>
      <c r="AL160" s="70"/>
      <c r="AM160" s="70"/>
      <c r="AN160" s="70"/>
      <c r="AO160" s="70"/>
      <c r="AP160" s="70"/>
    </row>
    <row r="161" spans="1:42" ht="15" thickBot="1" x14ac:dyDescent="0.35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25</v>
      </c>
      <c r="J161" s="31">
        <f t="shared" si="12"/>
        <v>3</v>
      </c>
      <c r="K161" s="32">
        <f t="shared" si="13"/>
        <v>0.8928571428571429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1532</v>
      </c>
      <c r="AD161" s="70"/>
      <c r="AE161" s="70" t="s">
        <v>1532</v>
      </c>
      <c r="AF161" s="70"/>
      <c r="AG161" s="70"/>
      <c r="AH161" s="70"/>
      <c r="AI161" s="70"/>
      <c r="AJ161" s="70" t="s">
        <v>1532</v>
      </c>
      <c r="AK161" s="70"/>
      <c r="AL161" s="70"/>
      <c r="AM161" s="70"/>
      <c r="AN161" s="70"/>
      <c r="AO161" s="70"/>
      <c r="AP161" s="70"/>
    </row>
    <row r="162" spans="1:42" ht="15" thickBot="1" x14ac:dyDescent="0.35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25</v>
      </c>
      <c r="J162" s="31">
        <f t="shared" si="12"/>
        <v>3</v>
      </c>
      <c r="K162" s="32">
        <f t="shared" si="13"/>
        <v>0.8928571428571429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1532</v>
      </c>
      <c r="AD162" s="70"/>
      <c r="AE162" s="70" t="s">
        <v>1532</v>
      </c>
      <c r="AF162" s="70"/>
      <c r="AG162" s="70"/>
      <c r="AH162" s="70"/>
      <c r="AI162" s="70"/>
      <c r="AJ162" s="70" t="s">
        <v>1532</v>
      </c>
      <c r="AK162" s="70"/>
      <c r="AL162" s="70"/>
      <c r="AM162" s="70"/>
      <c r="AN162" s="70"/>
      <c r="AO162" s="70"/>
      <c r="AP162" s="70"/>
    </row>
    <row r="163" spans="1:42" ht="15" thickBot="1" x14ac:dyDescent="0.35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" thickBot="1" x14ac:dyDescent="0.35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" thickBot="1" x14ac:dyDescent="0.35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1532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" thickBot="1" x14ac:dyDescent="0.35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" thickBot="1" x14ac:dyDescent="0.35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0"/>
      <c r="M167" s="70"/>
      <c r="N167" s="70"/>
      <c r="O167" s="70"/>
      <c r="P167" s="70" t="s">
        <v>1532</v>
      </c>
      <c r="Q167" s="70" t="s">
        <v>1532</v>
      </c>
      <c r="R167" s="70" t="s">
        <v>1532</v>
      </c>
      <c r="S167" s="70" t="s">
        <v>1532</v>
      </c>
      <c r="T167" s="70" t="s">
        <v>1532</v>
      </c>
      <c r="U167" s="70" t="s">
        <v>1532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" thickBot="1" x14ac:dyDescent="0.35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0"/>
      <c r="M168" s="70"/>
      <c r="N168" s="70"/>
      <c r="O168" s="70"/>
      <c r="P168" s="70" t="s">
        <v>1532</v>
      </c>
      <c r="Q168" s="70" t="s">
        <v>1532</v>
      </c>
      <c r="R168" s="70" t="s">
        <v>1532</v>
      </c>
      <c r="S168" s="70" t="s">
        <v>1532</v>
      </c>
      <c r="T168" s="70" t="s">
        <v>1532</v>
      </c>
      <c r="U168" s="70" t="s">
        <v>1532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" thickBot="1" x14ac:dyDescent="0.35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1"/>
        <v>4</v>
      </c>
      <c r="J169" s="142">
        <f t="shared" si="12"/>
        <v>24</v>
      </c>
      <c r="K169" s="143">
        <f t="shared" si="13"/>
        <v>0.14285714285714285</v>
      </c>
      <c r="L169" s="144" t="s">
        <v>1532</v>
      </c>
      <c r="M169" s="144" t="s">
        <v>1532</v>
      </c>
      <c r="N169" s="144" t="s">
        <v>1532</v>
      </c>
      <c r="O169" s="144" t="s">
        <v>1532</v>
      </c>
      <c r="P169" s="144" t="s">
        <v>1532</v>
      </c>
      <c r="Q169" s="144" t="s">
        <v>1532</v>
      </c>
      <c r="R169" s="144" t="s">
        <v>1532</v>
      </c>
      <c r="S169" s="144" t="s">
        <v>1532</v>
      </c>
      <c r="T169" s="144" t="s">
        <v>1532</v>
      </c>
      <c r="U169" s="144" t="s">
        <v>1532</v>
      </c>
      <c r="V169" s="144" t="s">
        <v>1532</v>
      </c>
      <c r="W169" s="144" t="s">
        <v>1532</v>
      </c>
      <c r="X169" s="144" t="s">
        <v>1532</v>
      </c>
      <c r="Y169" s="144" t="s">
        <v>1532</v>
      </c>
      <c r="Z169" s="144" t="s">
        <v>1532</v>
      </c>
      <c r="AA169" s="144" t="s">
        <v>1532</v>
      </c>
      <c r="AB169" s="144" t="s">
        <v>1532</v>
      </c>
      <c r="AC169" s="144" t="s">
        <v>1532</v>
      </c>
      <c r="AD169" s="144" t="s">
        <v>1532</v>
      </c>
      <c r="AE169" s="144" t="s">
        <v>1532</v>
      </c>
      <c r="AF169" s="144"/>
      <c r="AG169" s="144" t="s">
        <v>1532</v>
      </c>
      <c r="AH169" s="144" t="s">
        <v>1532</v>
      </c>
      <c r="AI169" s="144" t="s">
        <v>1532</v>
      </c>
      <c r="AJ169" s="144" t="s">
        <v>1532</v>
      </c>
      <c r="AK169" s="144"/>
      <c r="AL169" s="144"/>
      <c r="AM169" s="144"/>
      <c r="AN169" s="144"/>
      <c r="AO169" s="144"/>
      <c r="AP169" s="144"/>
    </row>
    <row r="170" spans="1:42" ht="15" thickBot="1" x14ac:dyDescent="0.35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" thickBot="1" x14ac:dyDescent="0.35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" thickBot="1" x14ac:dyDescent="0.35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1532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" thickBot="1" x14ac:dyDescent="0.35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1532</v>
      </c>
      <c r="AC173" s="70"/>
      <c r="AD173" s="70"/>
      <c r="AE173" s="70" t="s">
        <v>1532</v>
      </c>
      <c r="AF173" s="70"/>
      <c r="AG173" s="70"/>
      <c r="AH173" s="70" t="s">
        <v>1532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" thickBot="1" x14ac:dyDescent="0.35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1532</v>
      </c>
      <c r="U174" s="70"/>
      <c r="V174" s="70"/>
      <c r="W174" s="70"/>
      <c r="X174" s="70"/>
      <c r="Y174" s="70"/>
      <c r="Z174" s="70"/>
      <c r="AA174" s="70"/>
      <c r="AB174" s="70" t="s">
        <v>1532</v>
      </c>
      <c r="AC174" s="70"/>
      <c r="AD174" s="70"/>
      <c r="AE174" s="70" t="s">
        <v>1532</v>
      </c>
      <c r="AF174" s="70"/>
      <c r="AG174" s="70"/>
      <c r="AH174" s="70" t="s">
        <v>1532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" thickBot="1" x14ac:dyDescent="0.35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1"/>
        <v>3</v>
      </c>
      <c r="J175" s="31">
        <f t="shared" si="12"/>
        <v>25</v>
      </c>
      <c r="K175" s="32">
        <f t="shared" si="13"/>
        <v>0.10714285714285714</v>
      </c>
      <c r="L175" s="70" t="s">
        <v>1532</v>
      </c>
      <c r="M175" s="70" t="s">
        <v>1532</v>
      </c>
      <c r="N175" s="70" t="s">
        <v>1532</v>
      </c>
      <c r="O175" s="70" t="s">
        <v>1532</v>
      </c>
      <c r="P175" s="70" t="s">
        <v>1532</v>
      </c>
      <c r="Q175" s="70" t="s">
        <v>1532</v>
      </c>
      <c r="R175" s="70" t="s">
        <v>1532</v>
      </c>
      <c r="S175" s="70" t="s">
        <v>1532</v>
      </c>
      <c r="T175" s="70" t="s">
        <v>1532</v>
      </c>
      <c r="U175" s="70" t="s">
        <v>1532</v>
      </c>
      <c r="V175" s="70" t="s">
        <v>1532</v>
      </c>
      <c r="W175" s="70" t="s">
        <v>1532</v>
      </c>
      <c r="X175" s="70" t="s">
        <v>1532</v>
      </c>
      <c r="Y175" s="70" t="s">
        <v>1532</v>
      </c>
      <c r="Z175" s="70" t="s">
        <v>1532</v>
      </c>
      <c r="AA175" s="70" t="s">
        <v>1532</v>
      </c>
      <c r="AB175" s="70" t="s">
        <v>1532</v>
      </c>
      <c r="AC175" s="70" t="s">
        <v>1532</v>
      </c>
      <c r="AD175" s="97" t="s">
        <v>1532</v>
      </c>
      <c r="AE175" s="97" t="s">
        <v>1532</v>
      </c>
      <c r="AF175" s="97" t="s">
        <v>1532</v>
      </c>
      <c r="AG175" s="97" t="s">
        <v>1532</v>
      </c>
      <c r="AH175" s="97" t="s">
        <v>1532</v>
      </c>
      <c r="AI175" s="97" t="s">
        <v>1532</v>
      </c>
      <c r="AJ175" s="97" t="s">
        <v>1532</v>
      </c>
      <c r="AK175" s="97"/>
      <c r="AL175" s="97"/>
      <c r="AM175" s="97"/>
      <c r="AN175" s="97"/>
      <c r="AO175" s="97"/>
      <c r="AP175" s="97"/>
    </row>
    <row r="176" spans="1:42" ht="15" thickBot="1" x14ac:dyDescent="0.35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1532</v>
      </c>
      <c r="AC176" s="70" t="s">
        <v>1532</v>
      </c>
      <c r="AD176" s="70" t="s">
        <v>1532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" thickBot="1" x14ac:dyDescent="0.35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1532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" thickBot="1" x14ac:dyDescent="0.35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1532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" thickBot="1" x14ac:dyDescent="0.35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" thickBot="1" x14ac:dyDescent="0.35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1532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" thickBot="1" x14ac:dyDescent="0.35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1532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" thickBot="1" x14ac:dyDescent="0.35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1532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" thickBot="1" x14ac:dyDescent="0.35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1532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" thickBot="1" x14ac:dyDescent="0.35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1532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" thickBot="1" x14ac:dyDescent="0.35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1532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" thickBot="1" x14ac:dyDescent="0.35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1532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" thickBot="1" x14ac:dyDescent="0.35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" thickBot="1" x14ac:dyDescent="0.35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0"/>
      <c r="M188" s="70"/>
      <c r="N188" s="70"/>
      <c r="O188" s="70" t="s">
        <v>1532</v>
      </c>
      <c r="P188" s="70" t="s">
        <v>1532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" thickBot="1" x14ac:dyDescent="0.35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" thickBot="1" x14ac:dyDescent="0.35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0" t="s">
        <v>1532</v>
      </c>
      <c r="M190" s="70" t="s">
        <v>1532</v>
      </c>
      <c r="N190" s="70" t="s">
        <v>1532</v>
      </c>
      <c r="O190" s="70" t="s">
        <v>1532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" thickBot="1" x14ac:dyDescent="0.35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" thickBot="1" x14ac:dyDescent="0.35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16</v>
      </c>
      <c r="J192" s="31">
        <f t="shared" si="12"/>
        <v>12</v>
      </c>
      <c r="K192" s="32">
        <f t="shared" si="13"/>
        <v>0.5714285714285714</v>
      </c>
      <c r="L192" s="70"/>
      <c r="M192" s="70"/>
      <c r="N192" s="70"/>
      <c r="O192" s="70" t="s">
        <v>1532</v>
      </c>
      <c r="P192" s="70"/>
      <c r="Q192" s="70" t="s">
        <v>1532</v>
      </c>
      <c r="R192" s="70" t="s">
        <v>1532</v>
      </c>
      <c r="S192" s="70" t="s">
        <v>1532</v>
      </c>
      <c r="T192" s="70" t="s">
        <v>1532</v>
      </c>
      <c r="U192" s="70" t="s">
        <v>1532</v>
      </c>
      <c r="V192" s="70" t="s">
        <v>1532</v>
      </c>
      <c r="W192" s="70" t="s">
        <v>1532</v>
      </c>
      <c r="X192" s="70" t="s">
        <v>1532</v>
      </c>
      <c r="Y192" s="70" t="s">
        <v>1532</v>
      </c>
      <c r="Z192" s="70"/>
      <c r="AA192" s="70"/>
      <c r="AB192" s="70"/>
      <c r="AC192" s="70"/>
      <c r="AD192" s="70"/>
      <c r="AE192" s="70"/>
      <c r="AF192" s="70"/>
      <c r="AG192" s="70" t="s">
        <v>1532</v>
      </c>
      <c r="AH192" s="70"/>
      <c r="AI192" s="70"/>
      <c r="AJ192" s="70" t="s">
        <v>1532</v>
      </c>
      <c r="AK192" s="70"/>
      <c r="AL192" s="70"/>
      <c r="AM192" s="70"/>
      <c r="AN192" s="70"/>
      <c r="AO192" s="70"/>
      <c r="AP192" s="70"/>
    </row>
    <row r="193" spans="1:42" ht="15" thickBot="1" x14ac:dyDescent="0.35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16</v>
      </c>
      <c r="J193" s="31">
        <f t="shared" si="12"/>
        <v>12</v>
      </c>
      <c r="K193" s="32">
        <f t="shared" si="13"/>
        <v>0.5714285714285714</v>
      </c>
      <c r="L193" s="70"/>
      <c r="M193" s="70"/>
      <c r="N193" s="70"/>
      <c r="O193" s="70" t="s">
        <v>1532</v>
      </c>
      <c r="P193" s="70"/>
      <c r="Q193" s="70" t="s">
        <v>1532</v>
      </c>
      <c r="R193" s="70" t="s">
        <v>1532</v>
      </c>
      <c r="S193" s="70" t="s">
        <v>1532</v>
      </c>
      <c r="T193" s="70" t="s">
        <v>1532</v>
      </c>
      <c r="U193" s="70" t="s">
        <v>1532</v>
      </c>
      <c r="V193" s="70" t="s">
        <v>1532</v>
      </c>
      <c r="W193" s="70" t="s">
        <v>1532</v>
      </c>
      <c r="X193" s="70" t="s">
        <v>1532</v>
      </c>
      <c r="Y193" s="70" t="s">
        <v>1532</v>
      </c>
      <c r="Z193" s="70"/>
      <c r="AA193" s="70"/>
      <c r="AB193" s="70"/>
      <c r="AC193" s="70"/>
      <c r="AD193" s="70"/>
      <c r="AE193" s="70"/>
      <c r="AF193" s="70"/>
      <c r="AG193" s="70" t="s">
        <v>1532</v>
      </c>
      <c r="AH193" s="70"/>
      <c r="AI193" s="70"/>
      <c r="AJ193" s="70" t="s">
        <v>1532</v>
      </c>
      <c r="AK193" s="70"/>
      <c r="AL193" s="70"/>
      <c r="AM193" s="70"/>
      <c r="AN193" s="70"/>
      <c r="AO193" s="70"/>
      <c r="AP193" s="70"/>
    </row>
    <row r="194" spans="1:42" ht="15" thickBot="1" x14ac:dyDescent="0.35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26</v>
      </c>
      <c r="J194" s="31">
        <f t="shared" si="12"/>
        <v>2</v>
      </c>
      <c r="K194" s="32">
        <f t="shared" si="13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1532</v>
      </c>
      <c r="AJ194" s="70" t="s">
        <v>1532</v>
      </c>
      <c r="AK194" s="70"/>
      <c r="AL194" s="70"/>
      <c r="AM194" s="70"/>
      <c r="AN194" s="70"/>
      <c r="AO194" s="70"/>
      <c r="AP194" s="70"/>
    </row>
    <row r="195" spans="1:42" ht="15" thickBot="1" x14ac:dyDescent="0.35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" thickBot="1" x14ac:dyDescent="0.35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26</v>
      </c>
      <c r="J196" s="31">
        <f t="shared" si="12"/>
        <v>2</v>
      </c>
      <c r="K196" s="32">
        <f t="shared" si="13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1532</v>
      </c>
      <c r="AJ196" s="70" t="s">
        <v>1532</v>
      </c>
      <c r="AK196" s="70"/>
      <c r="AL196" s="70"/>
      <c r="AM196" s="70"/>
      <c r="AN196" s="70"/>
      <c r="AO196" s="70"/>
      <c r="AP196" s="70"/>
    </row>
    <row r="197" spans="1:42" ht="15" thickBot="1" x14ac:dyDescent="0.35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26</v>
      </c>
      <c r="J197" s="31">
        <f t="shared" si="12"/>
        <v>2</v>
      </c>
      <c r="K197" s="32">
        <f t="shared" si="13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1532</v>
      </c>
      <c r="AJ197" s="70" t="s">
        <v>1532</v>
      </c>
      <c r="AK197" s="70"/>
      <c r="AL197" s="70"/>
      <c r="AM197" s="70"/>
      <c r="AN197" s="70"/>
      <c r="AO197" s="70"/>
      <c r="AP197" s="70"/>
    </row>
    <row r="198" spans="1:42" ht="15" thickBot="1" x14ac:dyDescent="0.35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4</v>
      </c>
      <c r="J198" s="31">
        <f t="shared" si="12"/>
        <v>24</v>
      </c>
      <c r="K198" s="32">
        <f t="shared" si="13"/>
        <v>0.14285714285714285</v>
      </c>
      <c r="L198" s="70"/>
      <c r="M198" s="70" t="s">
        <v>1532</v>
      </c>
      <c r="N198" s="70" t="s">
        <v>1532</v>
      </c>
      <c r="O198" s="70" t="s">
        <v>1532</v>
      </c>
      <c r="P198" s="70" t="s">
        <v>1532</v>
      </c>
      <c r="Q198" s="70" t="s">
        <v>1532</v>
      </c>
      <c r="R198" s="70" t="s">
        <v>1532</v>
      </c>
      <c r="S198" s="70" t="s">
        <v>1532</v>
      </c>
      <c r="T198" s="70" t="s">
        <v>1532</v>
      </c>
      <c r="U198" s="70" t="s">
        <v>1532</v>
      </c>
      <c r="V198" s="70" t="s">
        <v>1532</v>
      </c>
      <c r="W198" s="70" t="s">
        <v>1532</v>
      </c>
      <c r="X198" s="70" t="s">
        <v>1532</v>
      </c>
      <c r="Y198" s="70" t="s">
        <v>1532</v>
      </c>
      <c r="Z198" s="70" t="s">
        <v>1532</v>
      </c>
      <c r="AA198" s="70" t="s">
        <v>1532</v>
      </c>
      <c r="AB198" s="70" t="s">
        <v>1532</v>
      </c>
      <c r="AC198" s="70" t="s">
        <v>1532</v>
      </c>
      <c r="AD198" s="70" t="s">
        <v>1532</v>
      </c>
      <c r="AE198" s="70" t="s">
        <v>1532</v>
      </c>
      <c r="AF198" s="70" t="s">
        <v>1532</v>
      </c>
      <c r="AG198" s="70" t="s">
        <v>1532</v>
      </c>
      <c r="AH198" s="70" t="s">
        <v>1532</v>
      </c>
      <c r="AI198" s="70" t="s">
        <v>1532</v>
      </c>
      <c r="AJ198" s="70" t="s">
        <v>1532</v>
      </c>
      <c r="AK198" s="70"/>
      <c r="AL198" s="70"/>
      <c r="AM198" s="70"/>
      <c r="AN198" s="70"/>
      <c r="AO198" s="70"/>
      <c r="AP198" s="70"/>
    </row>
    <row r="199" spans="1:42" ht="15" thickBot="1" x14ac:dyDescent="0.35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0"/>
    </row>
    <row r="200" spans="1:42" ht="15" thickBot="1" x14ac:dyDescent="0.35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" thickBot="1" x14ac:dyDescent="0.35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" thickBot="1" x14ac:dyDescent="0.35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" thickBot="1" x14ac:dyDescent="0.35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" thickBot="1" x14ac:dyDescent="0.35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" thickBot="1" x14ac:dyDescent="0.35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" thickBot="1" x14ac:dyDescent="0.35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" thickBot="1" x14ac:dyDescent="0.35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" thickBot="1" x14ac:dyDescent="0.35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" thickBot="1" x14ac:dyDescent="0.35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" thickBot="1" x14ac:dyDescent="0.35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" thickBot="1" x14ac:dyDescent="0.35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" thickBot="1" x14ac:dyDescent="0.35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" thickBot="1" x14ac:dyDescent="0.35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" thickBot="1" x14ac:dyDescent="0.35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" thickBot="1" x14ac:dyDescent="0.35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" thickBot="1" x14ac:dyDescent="0.35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" thickBot="1" x14ac:dyDescent="0.35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" thickBot="1" x14ac:dyDescent="0.35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4"/>
        <v>3</v>
      </c>
      <c r="J218" s="31">
        <f t="shared" si="15"/>
        <v>25</v>
      </c>
      <c r="K218" s="32">
        <f t="shared" si="16"/>
        <v>0.10714285714285714</v>
      </c>
      <c r="L218" s="70" t="s">
        <v>1532</v>
      </c>
      <c r="M218" s="70" t="s">
        <v>1532</v>
      </c>
      <c r="N218" s="70" t="s">
        <v>1532</v>
      </c>
      <c r="O218" s="70" t="s">
        <v>1532</v>
      </c>
      <c r="P218" s="70" t="s">
        <v>1532</v>
      </c>
      <c r="Q218" s="70" t="s">
        <v>1532</v>
      </c>
      <c r="R218" s="70" t="s">
        <v>1532</v>
      </c>
      <c r="S218" s="70" t="s">
        <v>1532</v>
      </c>
      <c r="T218" s="70" t="s">
        <v>1532</v>
      </c>
      <c r="U218" s="70" t="s">
        <v>1532</v>
      </c>
      <c r="V218" s="70" t="s">
        <v>1532</v>
      </c>
      <c r="W218" s="70" t="s">
        <v>1532</v>
      </c>
      <c r="X218" s="70" t="s">
        <v>1532</v>
      </c>
      <c r="Y218" s="70" t="s">
        <v>1532</v>
      </c>
      <c r="Z218" s="70" t="s">
        <v>1532</v>
      </c>
      <c r="AA218" s="70" t="s">
        <v>1532</v>
      </c>
      <c r="AB218" s="70" t="s">
        <v>1532</v>
      </c>
      <c r="AC218" s="70" t="s">
        <v>1532</v>
      </c>
      <c r="AD218" s="97" t="s">
        <v>1532</v>
      </c>
      <c r="AE218" s="97" t="s">
        <v>1532</v>
      </c>
      <c r="AF218" s="97" t="s">
        <v>1532</v>
      </c>
      <c r="AG218" s="97" t="s">
        <v>1532</v>
      </c>
      <c r="AH218" s="97" t="s">
        <v>1532</v>
      </c>
      <c r="AI218" s="97" t="s">
        <v>1532</v>
      </c>
      <c r="AJ218" s="97" t="s">
        <v>1532</v>
      </c>
      <c r="AK218" s="97"/>
      <c r="AL218" s="97"/>
      <c r="AM218" s="97"/>
      <c r="AN218" s="97"/>
      <c r="AO218" s="97"/>
      <c r="AP218" s="97"/>
    </row>
    <row r="219" spans="1:42" ht="15" thickBot="1" x14ac:dyDescent="0.35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1532</v>
      </c>
      <c r="AC219" s="70" t="s">
        <v>1532</v>
      </c>
      <c r="AD219" s="70"/>
      <c r="AE219" s="70" t="s">
        <v>1532</v>
      </c>
      <c r="AF219" s="70"/>
      <c r="AG219" s="70"/>
      <c r="AH219" s="70" t="s">
        <v>1532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" thickBot="1" x14ac:dyDescent="0.35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0"/>
      <c r="M220" s="70"/>
      <c r="N220" s="70"/>
      <c r="O220" s="70"/>
      <c r="P220" s="70" t="s">
        <v>1532</v>
      </c>
      <c r="Q220" s="70" t="s">
        <v>1532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" thickBot="1" x14ac:dyDescent="0.35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0" t="s">
        <v>1532</v>
      </c>
      <c r="M221" s="70" t="s">
        <v>1532</v>
      </c>
      <c r="N221" s="70" t="s">
        <v>1532</v>
      </c>
      <c r="O221" s="70" t="s">
        <v>1532</v>
      </c>
      <c r="P221" s="70" t="s">
        <v>1532</v>
      </c>
      <c r="Q221" s="70" t="s">
        <v>1532</v>
      </c>
      <c r="R221" s="70" t="s">
        <v>1532</v>
      </c>
      <c r="S221" s="70" t="s">
        <v>1532</v>
      </c>
      <c r="T221" s="70" t="s">
        <v>1532</v>
      </c>
      <c r="U221" s="70" t="s">
        <v>1532</v>
      </c>
      <c r="V221" s="70" t="s">
        <v>1532</v>
      </c>
      <c r="W221" s="70" t="s">
        <v>1532</v>
      </c>
      <c r="X221" s="70" t="s">
        <v>1532</v>
      </c>
      <c r="Y221" s="70" t="s">
        <v>1532</v>
      </c>
      <c r="Z221" s="70" t="s">
        <v>1532</v>
      </c>
      <c r="AA221" s="70" t="s">
        <v>1532</v>
      </c>
      <c r="AB221" s="70" t="s">
        <v>1532</v>
      </c>
      <c r="AC221" s="70" t="s">
        <v>1532</v>
      </c>
      <c r="AD221" s="70" t="s">
        <v>1532</v>
      </c>
      <c r="AE221" s="70" t="s">
        <v>1532</v>
      </c>
      <c r="AF221" s="70" t="s">
        <v>1532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" thickBot="1" x14ac:dyDescent="0.35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0"/>
      <c r="M222" s="70"/>
      <c r="N222" s="70"/>
      <c r="O222" s="70" t="s">
        <v>1532</v>
      </c>
      <c r="P222" s="70" t="s">
        <v>1532</v>
      </c>
      <c r="Q222" s="70" t="s">
        <v>1532</v>
      </c>
      <c r="R222" s="70" t="s">
        <v>1532</v>
      </c>
      <c r="S222" s="70" t="s">
        <v>1532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" thickBot="1" x14ac:dyDescent="0.35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0"/>
      <c r="M223" s="70"/>
      <c r="N223" s="70"/>
      <c r="O223" s="70" t="s">
        <v>1532</v>
      </c>
      <c r="P223" s="70" t="s">
        <v>1532</v>
      </c>
      <c r="Q223" s="70" t="s">
        <v>1532</v>
      </c>
      <c r="R223" s="70" t="s">
        <v>1532</v>
      </c>
      <c r="S223" s="70" t="s">
        <v>1532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" thickBot="1" x14ac:dyDescent="0.35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" thickBot="1" x14ac:dyDescent="0.35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" thickBot="1" x14ac:dyDescent="0.35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0" t="s">
        <v>1532</v>
      </c>
      <c r="M226" s="70" t="s">
        <v>1532</v>
      </c>
      <c r="N226" s="70" t="s">
        <v>1532</v>
      </c>
      <c r="O226" s="70" t="s">
        <v>1532</v>
      </c>
      <c r="P226" s="70" t="s">
        <v>1532</v>
      </c>
      <c r="Q226" s="70" t="s">
        <v>1532</v>
      </c>
      <c r="R226" s="70" t="s">
        <v>1532</v>
      </c>
      <c r="S226" s="70" t="s">
        <v>1532</v>
      </c>
      <c r="T226" s="70" t="s">
        <v>1532</v>
      </c>
      <c r="U226" s="70"/>
      <c r="V226" s="70" t="s">
        <v>1532</v>
      </c>
      <c r="W226" s="70"/>
      <c r="X226" s="70"/>
      <c r="Y226" s="70"/>
      <c r="Z226" s="70"/>
      <c r="AA226" s="70"/>
      <c r="AB226" s="70"/>
      <c r="AC226" s="70" t="s">
        <v>1532</v>
      </c>
      <c r="AD226" s="70" t="s">
        <v>1532</v>
      </c>
      <c r="AE226" s="70" t="s">
        <v>1532</v>
      </c>
      <c r="AF226" s="70" t="s">
        <v>1532</v>
      </c>
      <c r="AG226" s="70"/>
      <c r="AH226" s="70" t="s">
        <v>1532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" thickBot="1" x14ac:dyDescent="0.35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5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25</v>
      </c>
      <c r="J228" s="31">
        <f t="shared" si="15"/>
        <v>3</v>
      </c>
      <c r="K228" s="32">
        <f t="shared" si="16"/>
        <v>0.8928571428571429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1532</v>
      </c>
      <c r="AB228" s="70" t="s">
        <v>1532</v>
      </c>
      <c r="AC228" s="70"/>
      <c r="AD228" s="70"/>
      <c r="AE228" s="70"/>
      <c r="AF228" s="70"/>
      <c r="AG228" s="70"/>
      <c r="AH228" s="70"/>
      <c r="AI228" s="70" t="s">
        <v>1532</v>
      </c>
      <c r="AJ228" s="70"/>
      <c r="AK228" s="70"/>
      <c r="AL228" s="70"/>
      <c r="AM228" s="70"/>
      <c r="AN228" s="70"/>
      <c r="AO228" s="70"/>
      <c r="AP228" s="70"/>
    </row>
    <row r="229" spans="1:42" ht="12.75" customHeight="1" thickBot="1" x14ac:dyDescent="0.35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3</v>
      </c>
      <c r="J229" s="31">
        <f t="shared" si="15"/>
        <v>25</v>
      </c>
      <c r="K229" s="32">
        <f t="shared" si="16"/>
        <v>0.10714285714285714</v>
      </c>
      <c r="L229" s="70" t="s">
        <v>1532</v>
      </c>
      <c r="M229" s="70" t="s">
        <v>1532</v>
      </c>
      <c r="N229" s="70" t="s">
        <v>1532</v>
      </c>
      <c r="O229" s="70" t="s">
        <v>1532</v>
      </c>
      <c r="P229" s="70" t="s">
        <v>1532</v>
      </c>
      <c r="Q229" s="70" t="s">
        <v>1532</v>
      </c>
      <c r="R229" s="70" t="s">
        <v>1532</v>
      </c>
      <c r="S229" s="70" t="s">
        <v>1532</v>
      </c>
      <c r="T229" s="70" t="s">
        <v>1532</v>
      </c>
      <c r="U229" s="70" t="s">
        <v>1532</v>
      </c>
      <c r="V229" s="70" t="s">
        <v>1532</v>
      </c>
      <c r="W229" s="70" t="s">
        <v>1532</v>
      </c>
      <c r="X229" s="70" t="s">
        <v>1532</v>
      </c>
      <c r="Y229" s="70" t="s">
        <v>1532</v>
      </c>
      <c r="Z229" s="70" t="s">
        <v>1532</v>
      </c>
      <c r="AA229" s="70" t="s">
        <v>1532</v>
      </c>
      <c r="AB229" s="70" t="s">
        <v>1532</v>
      </c>
      <c r="AC229" s="70" t="s">
        <v>1532</v>
      </c>
      <c r="AD229" s="70" t="s">
        <v>1532</v>
      </c>
      <c r="AE229" s="70" t="s">
        <v>1532</v>
      </c>
      <c r="AF229" s="70" t="s">
        <v>1532</v>
      </c>
      <c r="AG229" s="70" t="s">
        <v>1532</v>
      </c>
      <c r="AH229" s="70" t="s">
        <v>1532</v>
      </c>
      <c r="AI229" s="70" t="s">
        <v>1532</v>
      </c>
      <c r="AJ229" s="70" t="s">
        <v>1532</v>
      </c>
      <c r="AK229" s="70"/>
      <c r="AL229" s="70"/>
      <c r="AM229" s="70"/>
      <c r="AN229" s="70"/>
      <c r="AO229" s="70"/>
      <c r="AP229" s="70"/>
    </row>
    <row r="230" spans="1:42" ht="15" thickBot="1" x14ac:dyDescent="0.35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13</v>
      </c>
      <c r="J230" s="31">
        <f t="shared" si="15"/>
        <v>15</v>
      </c>
      <c r="K230" s="32">
        <f t="shared" si="16"/>
        <v>0.4642857142857143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1532</v>
      </c>
      <c r="V230" s="70" t="s">
        <v>1532</v>
      </c>
      <c r="W230" s="70" t="s">
        <v>1532</v>
      </c>
      <c r="X230" s="70" t="s">
        <v>1532</v>
      </c>
      <c r="Y230" s="70"/>
      <c r="Z230" s="70" t="s">
        <v>1532</v>
      </c>
      <c r="AA230" s="70" t="s">
        <v>1532</v>
      </c>
      <c r="AB230" s="70" t="s">
        <v>1532</v>
      </c>
      <c r="AC230" s="70" t="s">
        <v>1532</v>
      </c>
      <c r="AD230" s="70" t="s">
        <v>1532</v>
      </c>
      <c r="AE230" s="70" t="s">
        <v>1532</v>
      </c>
      <c r="AF230" s="70" t="s">
        <v>1532</v>
      </c>
      <c r="AG230" s="70" t="s">
        <v>1532</v>
      </c>
      <c r="AH230" s="70" t="s">
        <v>1532</v>
      </c>
      <c r="AI230" s="70" t="s">
        <v>1532</v>
      </c>
      <c r="AJ230" s="70" t="s">
        <v>1532</v>
      </c>
      <c r="AK230" s="70"/>
      <c r="AL230" s="70"/>
      <c r="AM230" s="70"/>
      <c r="AN230" s="70"/>
      <c r="AO230" s="70"/>
      <c r="AP230" s="70"/>
    </row>
    <row r="231" spans="1:42" ht="15" thickBot="1" x14ac:dyDescent="0.35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" thickBot="1" x14ac:dyDescent="0.35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" thickBot="1" x14ac:dyDescent="0.35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" thickBot="1" x14ac:dyDescent="0.35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" thickBot="1" x14ac:dyDescent="0.35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" thickBot="1" x14ac:dyDescent="0.35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" thickBot="1" x14ac:dyDescent="0.35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" thickBot="1" x14ac:dyDescent="0.35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" thickBot="1" x14ac:dyDescent="0.35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25</v>
      </c>
      <c r="J239" s="31">
        <f t="shared" si="15"/>
        <v>3</v>
      </c>
      <c r="K239" s="32">
        <f t="shared" si="16"/>
        <v>0.8928571428571429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1532</v>
      </c>
      <c r="AB239" s="70" t="s">
        <v>1532</v>
      </c>
      <c r="AC239" s="70"/>
      <c r="AD239" s="70"/>
      <c r="AE239" s="70"/>
      <c r="AF239" s="70"/>
      <c r="AG239" s="70"/>
      <c r="AH239" s="70"/>
      <c r="AI239" s="70" t="s">
        <v>1532</v>
      </c>
      <c r="AJ239" s="70"/>
      <c r="AK239" s="70"/>
      <c r="AL239" s="70"/>
      <c r="AM239" s="70"/>
      <c r="AN239" s="70"/>
      <c r="AO239" s="70"/>
      <c r="AP239" s="70"/>
    </row>
    <row r="240" spans="1:42" ht="15" thickBot="1" x14ac:dyDescent="0.35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" thickBot="1" x14ac:dyDescent="0.35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" thickBot="1" x14ac:dyDescent="0.35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" thickBot="1" x14ac:dyDescent="0.35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" thickBot="1" x14ac:dyDescent="0.35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0"/>
      <c r="M244" s="70"/>
      <c r="N244" s="70"/>
      <c r="O244" s="70" t="s">
        <v>1532</v>
      </c>
      <c r="P244" s="70"/>
      <c r="Q244" s="70"/>
      <c r="R244" s="70" t="s">
        <v>1532</v>
      </c>
      <c r="S244" s="70"/>
      <c r="T244" s="70"/>
      <c r="U244" s="70" t="s">
        <v>1532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" thickBot="1" x14ac:dyDescent="0.35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thickBot="1" x14ac:dyDescent="0.35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0"/>
      <c r="M246" s="70"/>
      <c r="N246" s="70"/>
      <c r="O246" s="70"/>
      <c r="P246" s="70"/>
      <c r="Q246" s="70"/>
      <c r="R246" s="70" t="s">
        <v>1532</v>
      </c>
      <c r="S246" s="70"/>
      <c r="T246" s="70"/>
      <c r="U246" s="70" t="s">
        <v>1532</v>
      </c>
      <c r="V246" s="70"/>
      <c r="W246" s="70"/>
      <c r="X246" s="70"/>
      <c r="Y246" s="70"/>
      <c r="Z246" s="70" t="s">
        <v>1532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" thickBot="1" x14ac:dyDescent="0.35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" thickBot="1" x14ac:dyDescent="0.35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" thickBot="1" x14ac:dyDescent="0.35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0"/>
      <c r="M249" s="70"/>
      <c r="N249" s="70"/>
      <c r="O249" s="70" t="s">
        <v>1532</v>
      </c>
      <c r="P249" s="70"/>
      <c r="Q249" s="70"/>
      <c r="R249" s="70" t="s">
        <v>1532</v>
      </c>
      <c r="S249" s="70"/>
      <c r="T249" s="70"/>
      <c r="U249" s="70" t="s">
        <v>1532</v>
      </c>
      <c r="V249" s="70"/>
      <c r="W249" s="70"/>
      <c r="X249" s="70"/>
      <c r="Y249" s="70"/>
      <c r="Z249" s="70" t="s">
        <v>1532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" thickBot="1" x14ac:dyDescent="0.35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0" t="s">
        <v>1532</v>
      </c>
      <c r="M250" s="70" t="s">
        <v>1532</v>
      </c>
      <c r="N250" s="70" t="s">
        <v>1532</v>
      </c>
      <c r="O250" s="70" t="s">
        <v>1532</v>
      </c>
      <c r="P250" s="70" t="s">
        <v>1532</v>
      </c>
      <c r="Q250" s="70" t="s">
        <v>1532</v>
      </c>
      <c r="R250" s="70" t="s">
        <v>1532</v>
      </c>
      <c r="S250" s="70" t="s">
        <v>1532</v>
      </c>
      <c r="T250" s="70" t="s">
        <v>1532</v>
      </c>
      <c r="U250" s="70" t="s">
        <v>1532</v>
      </c>
      <c r="V250" s="70" t="s">
        <v>1532</v>
      </c>
      <c r="W250" s="70" t="s">
        <v>1532</v>
      </c>
      <c r="X250" s="70" t="s">
        <v>1532</v>
      </c>
      <c r="Y250" s="70" t="s">
        <v>1532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thickBot="1" x14ac:dyDescent="0.35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0"/>
      <c r="M251" s="70" t="s">
        <v>1532</v>
      </c>
      <c r="N251" s="70" t="s">
        <v>1532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thickBot="1" x14ac:dyDescent="0.35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thickBot="1" x14ac:dyDescent="0.35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" thickBot="1" x14ac:dyDescent="0.35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" thickBot="1" x14ac:dyDescent="0.35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" thickBot="1" x14ac:dyDescent="0.35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" thickBot="1" x14ac:dyDescent="0.35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" thickBot="1" x14ac:dyDescent="0.35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0"/>
      <c r="M258" s="70"/>
      <c r="N258" s="70"/>
      <c r="O258" s="70" t="s">
        <v>1532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" thickBot="1" x14ac:dyDescent="0.35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0"/>
      <c r="M259" s="70"/>
      <c r="N259" s="70"/>
      <c r="O259" s="70" t="s">
        <v>1532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" thickBot="1" x14ac:dyDescent="0.35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25</v>
      </c>
      <c r="J260" s="31">
        <f t="shared" si="15"/>
        <v>3</v>
      </c>
      <c r="K260" s="32">
        <f t="shared" si="16"/>
        <v>0.8928571428571429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1532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1532</v>
      </c>
      <c r="AH260" s="70"/>
      <c r="AI260" s="70"/>
      <c r="AJ260" s="70" t="s">
        <v>1532</v>
      </c>
      <c r="AK260" s="70"/>
      <c r="AL260" s="70"/>
      <c r="AM260" s="70"/>
      <c r="AN260" s="70"/>
      <c r="AO260" s="70"/>
      <c r="AP260" s="70"/>
    </row>
    <row r="261" spans="1:42" ht="15" thickBot="1" x14ac:dyDescent="0.35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25</v>
      </c>
      <c r="J261" s="31">
        <f t="shared" si="15"/>
        <v>3</v>
      </c>
      <c r="K261" s="32">
        <f t="shared" si="16"/>
        <v>0.8928571428571429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1532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1532</v>
      </c>
      <c r="AH261" s="70"/>
      <c r="AI261" s="70"/>
      <c r="AJ261" s="70" t="s">
        <v>1532</v>
      </c>
      <c r="AK261" s="70"/>
      <c r="AL261" s="70"/>
      <c r="AM261" s="70"/>
      <c r="AN261" s="70"/>
      <c r="AO261" s="70"/>
      <c r="AP261" s="70"/>
    </row>
    <row r="262" spans="1:42" ht="15" thickBot="1" x14ac:dyDescent="0.35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25</v>
      </c>
      <c r="J262" s="31">
        <f t="shared" si="15"/>
        <v>3</v>
      </c>
      <c r="K262" s="32">
        <f t="shared" si="16"/>
        <v>0.8928571428571429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1532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1532</v>
      </c>
      <c r="AH262" s="70"/>
      <c r="AI262" s="70"/>
      <c r="AJ262" s="70" t="s">
        <v>1532</v>
      </c>
      <c r="AK262" s="70"/>
      <c r="AL262" s="70"/>
      <c r="AM262" s="70"/>
      <c r="AN262" s="70"/>
      <c r="AO262" s="70"/>
      <c r="AP262" s="70"/>
    </row>
    <row r="263" spans="1:42" ht="15" thickBot="1" x14ac:dyDescent="0.35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7</v>
      </c>
      <c r="J263" s="31">
        <f t="shared" si="15"/>
        <v>21</v>
      </c>
      <c r="K263" s="32">
        <f t="shared" si="16"/>
        <v>0.25</v>
      </c>
      <c r="L263" s="70"/>
      <c r="M263" s="70" t="s">
        <v>1532</v>
      </c>
      <c r="N263" s="70" t="s">
        <v>1532</v>
      </c>
      <c r="O263" s="70" t="s">
        <v>1532</v>
      </c>
      <c r="P263" s="70"/>
      <c r="Q263" s="70" t="s">
        <v>1532</v>
      </c>
      <c r="R263" s="70" t="s">
        <v>1532</v>
      </c>
      <c r="S263" s="70" t="s">
        <v>1532</v>
      </c>
      <c r="T263" s="70" t="s">
        <v>1532</v>
      </c>
      <c r="U263" s="70" t="s">
        <v>1532</v>
      </c>
      <c r="V263" s="70" t="s">
        <v>1532</v>
      </c>
      <c r="W263" s="70" t="s">
        <v>1532</v>
      </c>
      <c r="X263" s="70" t="s">
        <v>1532</v>
      </c>
      <c r="Y263" s="70"/>
      <c r="Z263" s="70" t="s">
        <v>1532</v>
      </c>
      <c r="AA263" s="70" t="s">
        <v>1532</v>
      </c>
      <c r="AB263" s="70" t="s">
        <v>1532</v>
      </c>
      <c r="AC263" s="70" t="s">
        <v>1532</v>
      </c>
      <c r="AD263" s="70" t="s">
        <v>1532</v>
      </c>
      <c r="AE263" s="70" t="s">
        <v>1532</v>
      </c>
      <c r="AF263" s="70" t="s">
        <v>1532</v>
      </c>
      <c r="AG263" s="70" t="s">
        <v>1532</v>
      </c>
      <c r="AH263" s="70" t="s">
        <v>1532</v>
      </c>
      <c r="AI263" s="70" t="s">
        <v>1532</v>
      </c>
      <c r="AJ263" s="70"/>
      <c r="AK263" s="70"/>
      <c r="AL263" s="70"/>
      <c r="AM263" s="70"/>
      <c r="AN263" s="70"/>
      <c r="AO263" s="70"/>
      <c r="AP263" s="70"/>
    </row>
    <row r="264" spans="1:42" ht="15" thickBot="1" x14ac:dyDescent="0.35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6</v>
      </c>
      <c r="J264" s="31">
        <f t="shared" si="15"/>
        <v>22</v>
      </c>
      <c r="K264" s="32">
        <f t="shared" si="16"/>
        <v>0.21428571428571427</v>
      </c>
      <c r="L264" s="70"/>
      <c r="M264" s="70" t="s">
        <v>1532</v>
      </c>
      <c r="N264" s="70" t="s">
        <v>1532</v>
      </c>
      <c r="O264" s="70" t="s">
        <v>1532</v>
      </c>
      <c r="P264" s="70" t="s">
        <v>1532</v>
      </c>
      <c r="Q264" s="70" t="s">
        <v>1532</v>
      </c>
      <c r="R264" s="70" t="s">
        <v>1532</v>
      </c>
      <c r="S264" s="70" t="s">
        <v>1532</v>
      </c>
      <c r="T264" s="70"/>
      <c r="U264" s="70"/>
      <c r="V264" s="70" t="s">
        <v>1532</v>
      </c>
      <c r="W264" s="70" t="s">
        <v>1532</v>
      </c>
      <c r="X264" s="70" t="s">
        <v>1532</v>
      </c>
      <c r="Y264" s="70" t="s">
        <v>1532</v>
      </c>
      <c r="Z264" s="70" t="s">
        <v>1532</v>
      </c>
      <c r="AA264" s="70" t="s">
        <v>1532</v>
      </c>
      <c r="AB264" s="70" t="s">
        <v>1532</v>
      </c>
      <c r="AC264" s="70" t="s">
        <v>1532</v>
      </c>
      <c r="AD264" s="70" t="s">
        <v>1532</v>
      </c>
      <c r="AE264" s="70" t="s">
        <v>1532</v>
      </c>
      <c r="AF264" s="70" t="s">
        <v>1532</v>
      </c>
      <c r="AG264" s="70" t="s">
        <v>1532</v>
      </c>
      <c r="AH264" s="70" t="s">
        <v>1532</v>
      </c>
      <c r="AI264" s="70" t="s">
        <v>1532</v>
      </c>
      <c r="AJ264" s="70" t="s">
        <v>1532</v>
      </c>
      <c r="AK264" s="70"/>
      <c r="AL264" s="70"/>
      <c r="AM264" s="70"/>
      <c r="AN264" s="70"/>
      <c r="AO264" s="70"/>
      <c r="AP264" s="70"/>
    </row>
    <row r="265" spans="1:42" ht="15" thickBot="1" x14ac:dyDescent="0.35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0"/>
      <c r="M265" s="70" t="s">
        <v>1532</v>
      </c>
      <c r="N265" s="70" t="s">
        <v>1532</v>
      </c>
      <c r="O265" s="70"/>
      <c r="P265" s="70" t="s">
        <v>1532</v>
      </c>
      <c r="Q265" s="70" t="s">
        <v>1532</v>
      </c>
      <c r="R265" s="70" t="s">
        <v>1532</v>
      </c>
      <c r="S265" s="70" t="s">
        <v>1532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" thickBot="1" x14ac:dyDescent="0.35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4</v>
      </c>
      <c r="J266" s="31">
        <f t="shared" si="15"/>
        <v>24</v>
      </c>
      <c r="K266" s="32">
        <f t="shared" si="16"/>
        <v>0.14285714285714285</v>
      </c>
      <c r="L266" s="70" t="s">
        <v>1532</v>
      </c>
      <c r="M266" s="70" t="s">
        <v>1532</v>
      </c>
      <c r="N266" s="70" t="s">
        <v>1532</v>
      </c>
      <c r="O266" s="70" t="s">
        <v>1532</v>
      </c>
      <c r="P266" s="70" t="s">
        <v>1532</v>
      </c>
      <c r="Q266" s="70" t="s">
        <v>1532</v>
      </c>
      <c r="R266" s="70" t="s">
        <v>1532</v>
      </c>
      <c r="S266" s="70" t="s">
        <v>1532</v>
      </c>
      <c r="T266" s="70" t="s">
        <v>1532</v>
      </c>
      <c r="U266" s="70" t="s">
        <v>1532</v>
      </c>
      <c r="V266" s="70" t="s">
        <v>1532</v>
      </c>
      <c r="W266" s="70" t="s">
        <v>1532</v>
      </c>
      <c r="X266" s="70" t="s">
        <v>1532</v>
      </c>
      <c r="Y266" s="70" t="s">
        <v>1532</v>
      </c>
      <c r="Z266" s="70" t="s">
        <v>1532</v>
      </c>
      <c r="AA266" s="70" t="s">
        <v>1532</v>
      </c>
      <c r="AB266" s="70" t="s">
        <v>1532</v>
      </c>
      <c r="AC266" s="70" t="s">
        <v>1532</v>
      </c>
      <c r="AD266" s="70" t="s">
        <v>1532</v>
      </c>
      <c r="AE266" s="70" t="s">
        <v>1532</v>
      </c>
      <c r="AF266" s="70" t="s">
        <v>1532</v>
      </c>
      <c r="AG266" s="70" t="s">
        <v>1532</v>
      </c>
      <c r="AH266" s="70"/>
      <c r="AI266" s="70" t="s">
        <v>1532</v>
      </c>
      <c r="AJ266" s="70" t="s">
        <v>1532</v>
      </c>
      <c r="AK266" s="70"/>
      <c r="AL266" s="70"/>
      <c r="AM266" s="70"/>
      <c r="AN266" s="70"/>
      <c r="AO266" s="70"/>
      <c r="AP266" s="70"/>
    </row>
    <row r="267" spans="1:42" ht="15" thickBot="1" x14ac:dyDescent="0.35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0"/>
      <c r="M267" s="70"/>
      <c r="N267" s="70"/>
      <c r="O267" s="70"/>
      <c r="P267" s="70"/>
      <c r="Q267" s="70" t="s">
        <v>1532</v>
      </c>
      <c r="R267" s="70" t="s">
        <v>1532</v>
      </c>
      <c r="S267" s="70" t="s">
        <v>1532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" thickBot="1" x14ac:dyDescent="0.35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0"/>
      <c r="M268" s="70"/>
      <c r="N268" s="70"/>
      <c r="O268" s="70"/>
      <c r="P268" s="70" t="s">
        <v>1532</v>
      </c>
      <c r="Q268" s="70" t="s">
        <v>1532</v>
      </c>
      <c r="R268" s="70" t="s">
        <v>1532</v>
      </c>
      <c r="S268" s="70" t="s">
        <v>1532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" thickBot="1" x14ac:dyDescent="0.35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" thickBot="1" x14ac:dyDescent="0.35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" thickBot="1" x14ac:dyDescent="0.35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" thickBot="1" x14ac:dyDescent="0.35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0"/>
      <c r="M272" s="70"/>
      <c r="N272" s="70"/>
      <c r="O272" s="70"/>
      <c r="P272" s="70"/>
      <c r="Q272" s="70"/>
      <c r="R272" s="70" t="s">
        <v>1532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" thickBot="1" x14ac:dyDescent="0.35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" thickBot="1" x14ac:dyDescent="0.35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" thickBot="1" x14ac:dyDescent="0.35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" thickBot="1" x14ac:dyDescent="0.35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" thickBot="1" x14ac:dyDescent="0.35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4"/>
        <v>3</v>
      </c>
      <c r="J277" s="142">
        <f t="shared" si="15"/>
        <v>25</v>
      </c>
      <c r="K277" s="143">
        <f t="shared" si="16"/>
        <v>0.10714285714285714</v>
      </c>
      <c r="L277" s="144" t="s">
        <v>1532</v>
      </c>
      <c r="M277" s="144" t="s">
        <v>1532</v>
      </c>
      <c r="N277" s="144" t="s">
        <v>1532</v>
      </c>
      <c r="O277" s="144" t="s">
        <v>1532</v>
      </c>
      <c r="P277" s="144" t="s">
        <v>1532</v>
      </c>
      <c r="Q277" s="144" t="s">
        <v>1532</v>
      </c>
      <c r="R277" s="144" t="s">
        <v>1532</v>
      </c>
      <c r="S277" s="144" t="s">
        <v>1532</v>
      </c>
      <c r="T277" s="144" t="s">
        <v>1532</v>
      </c>
      <c r="U277" s="144" t="s">
        <v>1532</v>
      </c>
      <c r="V277" s="144" t="s">
        <v>1532</v>
      </c>
      <c r="W277" s="144" t="s">
        <v>1532</v>
      </c>
      <c r="X277" s="144" t="s">
        <v>1532</v>
      </c>
      <c r="Y277" s="144" t="s">
        <v>1532</v>
      </c>
      <c r="Z277" s="144" t="s">
        <v>1532</v>
      </c>
      <c r="AA277" s="144" t="s">
        <v>1532</v>
      </c>
      <c r="AB277" s="144" t="s">
        <v>1532</v>
      </c>
      <c r="AC277" s="144" t="s">
        <v>1532</v>
      </c>
      <c r="AD277" s="144" t="s">
        <v>1532</v>
      </c>
      <c r="AE277" s="144" t="s">
        <v>1532</v>
      </c>
      <c r="AF277" s="144" t="s">
        <v>1532</v>
      </c>
      <c r="AG277" s="144" t="s">
        <v>1532</v>
      </c>
      <c r="AH277" s="144" t="s">
        <v>1532</v>
      </c>
      <c r="AI277" s="144" t="s">
        <v>1532</v>
      </c>
      <c r="AJ277" s="144" t="s">
        <v>1532</v>
      </c>
      <c r="AK277" s="144"/>
      <c r="AL277" s="144"/>
      <c r="AM277" s="144"/>
      <c r="AN277" s="144"/>
      <c r="AO277" s="144"/>
      <c r="AP277" s="144"/>
    </row>
    <row r="278" spans="1:42" ht="15" thickBot="1" x14ac:dyDescent="0.35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" thickBot="1" x14ac:dyDescent="0.35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" thickBot="1" x14ac:dyDescent="0.35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" thickBot="1" x14ac:dyDescent="0.35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" thickBot="1" x14ac:dyDescent="0.35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3</v>
      </c>
      <c r="J282" s="31">
        <f t="shared" si="18"/>
        <v>25</v>
      </c>
      <c r="K282" s="32">
        <f t="shared" si="19"/>
        <v>0.10714285714285714</v>
      </c>
      <c r="L282" s="70" t="s">
        <v>1532</v>
      </c>
      <c r="M282" s="70" t="s">
        <v>1532</v>
      </c>
      <c r="N282" s="70" t="s">
        <v>1532</v>
      </c>
      <c r="O282" s="70" t="s">
        <v>1532</v>
      </c>
      <c r="P282" s="70" t="s">
        <v>1532</v>
      </c>
      <c r="Q282" s="70" t="s">
        <v>1532</v>
      </c>
      <c r="R282" s="70" t="s">
        <v>1532</v>
      </c>
      <c r="S282" s="70" t="s">
        <v>1532</v>
      </c>
      <c r="T282" s="70" t="s">
        <v>1532</v>
      </c>
      <c r="U282" s="70" t="s">
        <v>1532</v>
      </c>
      <c r="V282" s="70" t="s">
        <v>1532</v>
      </c>
      <c r="W282" s="70" t="s">
        <v>1532</v>
      </c>
      <c r="X282" s="70" t="s">
        <v>1532</v>
      </c>
      <c r="Y282" s="70" t="s">
        <v>1532</v>
      </c>
      <c r="Z282" s="70" t="s">
        <v>1532</v>
      </c>
      <c r="AA282" s="70" t="s">
        <v>1532</v>
      </c>
      <c r="AB282" s="70" t="s">
        <v>1532</v>
      </c>
      <c r="AC282" s="70" t="s">
        <v>1532</v>
      </c>
      <c r="AD282" s="70" t="s">
        <v>1532</v>
      </c>
      <c r="AE282" s="70" t="s">
        <v>1532</v>
      </c>
      <c r="AF282" s="70" t="s">
        <v>1532</v>
      </c>
      <c r="AG282" s="70" t="s">
        <v>1532</v>
      </c>
      <c r="AH282" s="70" t="s">
        <v>1532</v>
      </c>
      <c r="AI282" s="70" t="s">
        <v>1532</v>
      </c>
      <c r="AJ282" s="70" t="s">
        <v>1532</v>
      </c>
      <c r="AK282" s="70"/>
      <c r="AL282" s="70"/>
      <c r="AM282" s="70"/>
      <c r="AN282" s="70"/>
      <c r="AO282" s="70"/>
      <c r="AP282" s="70"/>
    </row>
    <row r="283" spans="1:42" ht="15" thickBot="1" x14ac:dyDescent="0.35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" thickBot="1" x14ac:dyDescent="0.35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" thickBot="1" x14ac:dyDescent="0.35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1532</v>
      </c>
      <c r="AC285" s="70"/>
      <c r="AD285" s="70"/>
      <c r="AE285" s="70"/>
      <c r="AF285" s="70"/>
      <c r="AG285" s="70"/>
      <c r="AH285" s="70" t="s">
        <v>1532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" thickBot="1" x14ac:dyDescent="0.35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1532</v>
      </c>
      <c r="AC286" s="70"/>
      <c r="AD286" s="70"/>
      <c r="AE286" s="70"/>
      <c r="AF286" s="70"/>
      <c r="AG286" s="70"/>
      <c r="AH286" s="70" t="s">
        <v>1532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" thickBot="1" x14ac:dyDescent="0.35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0"/>
      <c r="M287" s="70"/>
      <c r="N287" s="70"/>
      <c r="O287" s="70"/>
      <c r="P287" s="70" t="s">
        <v>1532</v>
      </c>
      <c r="Q287" s="70" t="s">
        <v>1532</v>
      </c>
      <c r="R287" s="70" t="s">
        <v>1532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1532</v>
      </c>
      <c r="AC287" s="70"/>
      <c r="AD287" s="70"/>
      <c r="AE287" s="70"/>
      <c r="AF287" s="70"/>
      <c r="AG287" s="70"/>
      <c r="AH287" s="70" t="s">
        <v>1532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" thickBot="1" x14ac:dyDescent="0.35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0" t="s">
        <v>1532</v>
      </c>
      <c r="M288" s="70" t="s">
        <v>1532</v>
      </c>
      <c r="N288" s="70" t="s">
        <v>1532</v>
      </c>
      <c r="O288" s="70" t="s">
        <v>1532</v>
      </c>
      <c r="P288" s="70" t="s">
        <v>1532</v>
      </c>
      <c r="Q288" s="70" t="s">
        <v>1532</v>
      </c>
      <c r="R288" s="70" t="s">
        <v>1532</v>
      </c>
      <c r="S288" s="70" t="s">
        <v>1532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" thickBot="1" x14ac:dyDescent="0.35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0"/>
      <c r="M289" s="70"/>
      <c r="N289" s="70"/>
      <c r="O289" s="70" t="s">
        <v>1532</v>
      </c>
      <c r="P289" s="70" t="s">
        <v>1532</v>
      </c>
      <c r="Q289" s="70" t="s">
        <v>1532</v>
      </c>
      <c r="R289" s="70" t="s">
        <v>1532</v>
      </c>
      <c r="S289" s="70" t="s">
        <v>1532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" thickBot="1" x14ac:dyDescent="0.35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0"/>
      <c r="M290" s="70"/>
      <c r="N290" s="70"/>
      <c r="O290" s="70" t="s">
        <v>1532</v>
      </c>
      <c r="P290" s="70" t="s">
        <v>1532</v>
      </c>
      <c r="Q290" s="70" t="s">
        <v>1532</v>
      </c>
      <c r="R290" s="70" t="s">
        <v>1532</v>
      </c>
      <c r="S290" s="70" t="s">
        <v>1532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" thickBot="1" x14ac:dyDescent="0.35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0"/>
      <c r="M291" s="70"/>
      <c r="N291" s="70"/>
      <c r="O291" s="70" t="s">
        <v>1532</v>
      </c>
      <c r="P291" s="70" t="s">
        <v>1532</v>
      </c>
      <c r="Q291" s="70" t="s">
        <v>1532</v>
      </c>
      <c r="R291" s="70" t="s">
        <v>1532</v>
      </c>
      <c r="S291" s="70" t="s">
        <v>1532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" thickBot="1" x14ac:dyDescent="0.35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0" t="s">
        <v>1532</v>
      </c>
      <c r="M292" s="70" t="s">
        <v>1532</v>
      </c>
      <c r="N292" s="70" t="s">
        <v>1532</v>
      </c>
      <c r="O292" s="70" t="s">
        <v>1532</v>
      </c>
      <c r="P292" s="70" t="s">
        <v>1532</v>
      </c>
      <c r="Q292" s="70" t="s">
        <v>1532</v>
      </c>
      <c r="R292" s="70" t="s">
        <v>1532</v>
      </c>
      <c r="S292" s="70" t="s">
        <v>1532</v>
      </c>
      <c r="T292" s="70" t="s">
        <v>1532</v>
      </c>
      <c r="U292" s="70" t="s">
        <v>1532</v>
      </c>
      <c r="V292" s="70" t="s">
        <v>1532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" thickBot="1" x14ac:dyDescent="0.35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0" t="s">
        <v>1532</v>
      </c>
      <c r="M293" s="70" t="s">
        <v>1532</v>
      </c>
      <c r="N293" s="70" t="s">
        <v>1532</v>
      </c>
      <c r="O293" s="70" t="s">
        <v>1532</v>
      </c>
      <c r="P293" s="70" t="s">
        <v>1532</v>
      </c>
      <c r="Q293" s="70" t="s">
        <v>1532</v>
      </c>
      <c r="R293" s="70" t="s">
        <v>1532</v>
      </c>
      <c r="S293" s="70" t="s">
        <v>1532</v>
      </c>
      <c r="T293" s="70" t="s">
        <v>1532</v>
      </c>
      <c r="U293" s="70" t="s">
        <v>1532</v>
      </c>
      <c r="V293" s="70" t="s">
        <v>1532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" thickBot="1" x14ac:dyDescent="0.35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0"/>
      <c r="M294" s="70"/>
      <c r="N294" s="70"/>
      <c r="O294" s="70"/>
      <c r="P294" s="70" t="s">
        <v>1532</v>
      </c>
      <c r="Q294" s="70" t="s">
        <v>1532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" thickBot="1" x14ac:dyDescent="0.35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0" t="s">
        <v>1532</v>
      </c>
      <c r="M295" s="70"/>
      <c r="N295" s="70"/>
      <c r="O295" s="70" t="s">
        <v>1532</v>
      </c>
      <c r="P295" s="70" t="s">
        <v>1532</v>
      </c>
      <c r="Q295" s="70" t="s">
        <v>1532</v>
      </c>
      <c r="R295" s="70" t="s">
        <v>1532</v>
      </c>
      <c r="S295" s="70" t="s">
        <v>1532</v>
      </c>
      <c r="T295" s="70" t="s">
        <v>1532</v>
      </c>
      <c r="U295" s="70" t="s">
        <v>1532</v>
      </c>
      <c r="V295" s="70" t="s">
        <v>1532</v>
      </c>
      <c r="W295" s="70" t="s">
        <v>1532</v>
      </c>
      <c r="X295" s="70" t="s">
        <v>1532</v>
      </c>
      <c r="Y295" s="70"/>
      <c r="Z295" s="70" t="s">
        <v>1532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" thickBot="1" x14ac:dyDescent="0.35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0" t="s">
        <v>1532</v>
      </c>
      <c r="M296" s="70" t="s">
        <v>1532</v>
      </c>
      <c r="N296" s="70" t="s">
        <v>1532</v>
      </c>
      <c r="O296" s="70" t="s">
        <v>1532</v>
      </c>
      <c r="P296" s="70" t="s">
        <v>1532</v>
      </c>
      <c r="Q296" s="70" t="s">
        <v>1532</v>
      </c>
      <c r="R296" s="70" t="s">
        <v>1532</v>
      </c>
      <c r="S296" s="70" t="s">
        <v>1532</v>
      </c>
      <c r="T296" s="70" t="s">
        <v>1532</v>
      </c>
      <c r="U296" s="70" t="s">
        <v>1532</v>
      </c>
      <c r="V296" s="70" t="s">
        <v>1532</v>
      </c>
      <c r="W296" s="70" t="s">
        <v>1532</v>
      </c>
      <c r="X296" s="70" t="s">
        <v>1532</v>
      </c>
      <c r="Y296" s="70" t="s">
        <v>1532</v>
      </c>
      <c r="Z296" s="70" t="s">
        <v>1532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" thickBot="1" x14ac:dyDescent="0.35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0" t="s">
        <v>1532</v>
      </c>
      <c r="M297" s="70" t="s">
        <v>1532</v>
      </c>
      <c r="N297" s="70" t="s">
        <v>1532</v>
      </c>
      <c r="O297" s="70" t="s">
        <v>1532</v>
      </c>
      <c r="P297" s="70" t="s">
        <v>1532</v>
      </c>
      <c r="Q297" s="70" t="s">
        <v>1532</v>
      </c>
      <c r="R297" s="70" t="s">
        <v>1532</v>
      </c>
      <c r="S297" s="70" t="s">
        <v>1532</v>
      </c>
      <c r="T297" s="70" t="s">
        <v>1532</v>
      </c>
      <c r="U297" s="70" t="s">
        <v>1532</v>
      </c>
      <c r="V297" s="70" t="s">
        <v>1532</v>
      </c>
      <c r="W297" s="70" t="s">
        <v>1532</v>
      </c>
      <c r="X297" s="70" t="s">
        <v>1532</v>
      </c>
      <c r="Y297" s="70" t="s">
        <v>1532</v>
      </c>
      <c r="Z297" s="70" t="s">
        <v>1532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" thickBot="1" x14ac:dyDescent="0.35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7"/>
        <v>23</v>
      </c>
      <c r="J298" s="91">
        <f t="shared" si="18"/>
        <v>5</v>
      </c>
      <c r="K298" s="92">
        <f t="shared" si="19"/>
        <v>0.8214285714285714</v>
      </c>
      <c r="L298" s="93"/>
      <c r="M298" s="93"/>
      <c r="N298" s="93"/>
      <c r="O298" s="93" t="s">
        <v>1532</v>
      </c>
      <c r="P298" s="93" t="s">
        <v>1532</v>
      </c>
      <c r="Q298" s="93" t="s">
        <v>1532</v>
      </c>
      <c r="R298" s="93" t="s">
        <v>1532</v>
      </c>
      <c r="S298" s="93" t="s">
        <v>1532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" thickBot="1" x14ac:dyDescent="0.35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6</v>
      </c>
      <c r="J299" s="31">
        <f t="shared" si="18"/>
        <v>22</v>
      </c>
      <c r="K299" s="32">
        <f t="shared" si="19"/>
        <v>0.21428571428571427</v>
      </c>
      <c r="L299" s="70"/>
      <c r="M299" s="70"/>
      <c r="N299" s="70"/>
      <c r="O299" s="70" t="s">
        <v>1532</v>
      </c>
      <c r="P299" s="70" t="s">
        <v>1532</v>
      </c>
      <c r="Q299" s="70" t="s">
        <v>1532</v>
      </c>
      <c r="R299" s="70" t="s">
        <v>1532</v>
      </c>
      <c r="S299" s="70" t="s">
        <v>1532</v>
      </c>
      <c r="T299" s="70" t="s">
        <v>1532</v>
      </c>
      <c r="U299" s="70" t="s">
        <v>1532</v>
      </c>
      <c r="V299" s="70" t="s">
        <v>1532</v>
      </c>
      <c r="W299" s="70" t="s">
        <v>1532</v>
      </c>
      <c r="X299" s="70" t="s">
        <v>1532</v>
      </c>
      <c r="Y299" s="70" t="s">
        <v>1532</v>
      </c>
      <c r="Z299" s="70" t="s">
        <v>1532</v>
      </c>
      <c r="AA299" s="70" t="s">
        <v>1532</v>
      </c>
      <c r="AB299" s="70" t="s">
        <v>1532</v>
      </c>
      <c r="AC299" s="70" t="s">
        <v>1532</v>
      </c>
      <c r="AD299" s="70" t="s">
        <v>1532</v>
      </c>
      <c r="AE299" s="70" t="s">
        <v>1532</v>
      </c>
      <c r="AF299" s="70" t="s">
        <v>1532</v>
      </c>
      <c r="AG299" s="70" t="s">
        <v>1532</v>
      </c>
      <c r="AH299" s="70" t="s">
        <v>1532</v>
      </c>
      <c r="AI299" s="70" t="s">
        <v>1532</v>
      </c>
      <c r="AJ299" s="70" t="s">
        <v>1532</v>
      </c>
      <c r="AK299" s="70"/>
      <c r="AL299" s="70"/>
      <c r="AM299" s="70"/>
      <c r="AN299" s="70"/>
      <c r="AO299" s="70"/>
      <c r="AP299" s="70"/>
    </row>
    <row r="300" spans="1:42" ht="15" thickBot="1" x14ac:dyDescent="0.35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0"/>
      <c r="M300" s="70"/>
      <c r="N300" s="70"/>
      <c r="O300" s="70" t="s">
        <v>1532</v>
      </c>
      <c r="P300" s="70" t="s">
        <v>1532</v>
      </c>
      <c r="Q300" s="70" t="s">
        <v>1532</v>
      </c>
      <c r="R300" s="70" t="s">
        <v>1532</v>
      </c>
      <c r="S300" s="70" t="s">
        <v>1532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" thickBot="1" x14ac:dyDescent="0.35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0"/>
      <c r="M301" s="70"/>
      <c r="N301" s="70"/>
      <c r="O301" s="70" t="s">
        <v>1532</v>
      </c>
      <c r="P301" s="70" t="s">
        <v>1532</v>
      </c>
      <c r="Q301" s="70" t="s">
        <v>1532</v>
      </c>
      <c r="R301" s="70" t="s">
        <v>1532</v>
      </c>
      <c r="S301" s="70" t="s">
        <v>1532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" thickBot="1" x14ac:dyDescent="0.35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0"/>
      <c r="M302" s="70"/>
      <c r="N302" s="70"/>
      <c r="O302" s="70" t="s">
        <v>1532</v>
      </c>
      <c r="P302" s="70" t="s">
        <v>1532</v>
      </c>
      <c r="Q302" s="70" t="s">
        <v>1532</v>
      </c>
      <c r="R302" s="70" t="s">
        <v>1532</v>
      </c>
      <c r="S302" s="70" t="s">
        <v>1532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" thickBot="1" x14ac:dyDescent="0.35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0"/>
      <c r="M303" s="70"/>
      <c r="N303" s="70"/>
      <c r="O303" s="70" t="s">
        <v>1532</v>
      </c>
      <c r="P303" s="70" t="s">
        <v>1532</v>
      </c>
      <c r="Q303" s="70" t="s">
        <v>1532</v>
      </c>
      <c r="R303" s="70" t="s">
        <v>1532</v>
      </c>
      <c r="S303" s="70" t="s">
        <v>1532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" thickBot="1" x14ac:dyDescent="0.35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0"/>
      <c r="M304" s="70"/>
      <c r="N304" s="70"/>
      <c r="O304" s="70" t="s">
        <v>1532</v>
      </c>
      <c r="P304" s="70" t="s">
        <v>1532</v>
      </c>
      <c r="Q304" s="70" t="s">
        <v>1532</v>
      </c>
      <c r="R304" s="70" t="s">
        <v>1532</v>
      </c>
      <c r="S304" s="70" t="s">
        <v>1532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" thickBot="1" x14ac:dyDescent="0.35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9</v>
      </c>
      <c r="J305" s="31">
        <f t="shared" si="18"/>
        <v>19</v>
      </c>
      <c r="K305" s="32">
        <f t="shared" si="19"/>
        <v>0.32142857142857145</v>
      </c>
      <c r="L305" s="70" t="s">
        <v>1532</v>
      </c>
      <c r="M305" s="70" t="s">
        <v>1532</v>
      </c>
      <c r="N305" s="70" t="s">
        <v>1532</v>
      </c>
      <c r="O305" s="70" t="s">
        <v>1532</v>
      </c>
      <c r="P305" s="70" t="s">
        <v>1532</v>
      </c>
      <c r="Q305" s="70" t="s">
        <v>1532</v>
      </c>
      <c r="R305" s="70" t="s">
        <v>1532</v>
      </c>
      <c r="S305" s="70" t="s">
        <v>1532</v>
      </c>
      <c r="T305" s="70" t="s">
        <v>1532</v>
      </c>
      <c r="U305" s="70" t="s">
        <v>1532</v>
      </c>
      <c r="V305" s="70" t="s">
        <v>1532</v>
      </c>
      <c r="W305" s="70" t="s">
        <v>1532</v>
      </c>
      <c r="X305" s="70"/>
      <c r="Y305" s="70"/>
      <c r="Z305" s="70"/>
      <c r="AA305" s="70"/>
      <c r="AC305" s="70"/>
      <c r="AD305" s="70" t="s">
        <v>1532</v>
      </c>
      <c r="AE305" s="70" t="s">
        <v>1532</v>
      </c>
      <c r="AF305" s="70" t="s">
        <v>1532</v>
      </c>
      <c r="AG305" s="70" t="s">
        <v>1532</v>
      </c>
      <c r="AH305" s="70" t="s">
        <v>1532</v>
      </c>
      <c r="AI305" s="70" t="s">
        <v>1532</v>
      </c>
      <c r="AJ305" s="70" t="s">
        <v>1532</v>
      </c>
      <c r="AK305" s="70"/>
      <c r="AL305" s="70"/>
      <c r="AM305" s="70"/>
      <c r="AN305" s="70"/>
      <c r="AO305" s="70"/>
      <c r="AP305" s="70"/>
    </row>
    <row r="306" spans="1:42" ht="15" thickBot="1" x14ac:dyDescent="0.35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0"/>
      <c r="M306" s="70"/>
      <c r="N306" s="70"/>
      <c r="O306" s="70" t="s">
        <v>1532</v>
      </c>
      <c r="P306" s="70" t="s">
        <v>1532</v>
      </c>
      <c r="Q306" s="70" t="s">
        <v>1532</v>
      </c>
      <c r="R306" s="70" t="s">
        <v>1532</v>
      </c>
      <c r="S306" s="70" t="s">
        <v>1532</v>
      </c>
      <c r="T306" s="70" t="s">
        <v>1532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" thickBot="1" x14ac:dyDescent="0.35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0"/>
      <c r="M307" s="70"/>
      <c r="N307" s="70"/>
      <c r="O307" s="70" t="s">
        <v>1532</v>
      </c>
      <c r="P307" s="70" t="s">
        <v>1532</v>
      </c>
      <c r="Q307" s="70" t="s">
        <v>1532</v>
      </c>
      <c r="R307" s="70" t="s">
        <v>1532</v>
      </c>
      <c r="S307" s="70" t="s">
        <v>1532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" thickBot="1" x14ac:dyDescent="0.35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0"/>
      <c r="M308" s="70"/>
      <c r="N308" s="70"/>
      <c r="O308" s="70" t="s">
        <v>1532</v>
      </c>
      <c r="P308" s="70" t="s">
        <v>1532</v>
      </c>
      <c r="Q308" s="70" t="s">
        <v>1532</v>
      </c>
      <c r="R308" s="70" t="s">
        <v>1532</v>
      </c>
      <c r="S308" s="70" t="s">
        <v>1532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" thickBot="1" x14ac:dyDescent="0.35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0"/>
      <c r="M309" s="70" t="s">
        <v>1532</v>
      </c>
      <c r="N309" s="70" t="s">
        <v>1532</v>
      </c>
      <c r="O309" s="70" t="s">
        <v>1532</v>
      </c>
      <c r="P309" s="70" t="s">
        <v>1532</v>
      </c>
      <c r="Q309" s="70" t="s">
        <v>1532</v>
      </c>
      <c r="R309" s="70" t="s">
        <v>1532</v>
      </c>
      <c r="S309" s="70" t="s">
        <v>1532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" thickBot="1" x14ac:dyDescent="0.35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0"/>
      <c r="M310" s="70"/>
      <c r="N310" s="70"/>
      <c r="O310" s="70" t="s">
        <v>1532</v>
      </c>
      <c r="P310" s="70" t="s">
        <v>1532</v>
      </c>
      <c r="Q310" s="70" t="s">
        <v>1532</v>
      </c>
      <c r="R310" s="70" t="s">
        <v>1532</v>
      </c>
      <c r="S310" s="70" t="s">
        <v>1532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" thickBot="1" x14ac:dyDescent="0.35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3</v>
      </c>
      <c r="J311" s="31">
        <f t="shared" si="18"/>
        <v>25</v>
      </c>
      <c r="K311" s="32">
        <f t="shared" si="19"/>
        <v>0.10714285714285714</v>
      </c>
      <c r="L311" s="70" t="s">
        <v>1532</v>
      </c>
      <c r="M311" s="70" t="s">
        <v>1532</v>
      </c>
      <c r="N311" s="70" t="s">
        <v>1532</v>
      </c>
      <c r="O311" s="70" t="s">
        <v>1532</v>
      </c>
      <c r="P311" s="70" t="s">
        <v>1532</v>
      </c>
      <c r="Q311" s="70" t="s">
        <v>1532</v>
      </c>
      <c r="R311" s="70" t="s">
        <v>1532</v>
      </c>
      <c r="S311" s="70" t="s">
        <v>1532</v>
      </c>
      <c r="T311" s="70" t="s">
        <v>1532</v>
      </c>
      <c r="U311" s="70" t="s">
        <v>1532</v>
      </c>
      <c r="V311" s="70" t="s">
        <v>1532</v>
      </c>
      <c r="W311" s="70" t="s">
        <v>1532</v>
      </c>
      <c r="X311" s="70" t="s">
        <v>1532</v>
      </c>
      <c r="Y311" s="70" t="s">
        <v>1532</v>
      </c>
      <c r="Z311" s="70" t="s">
        <v>1532</v>
      </c>
      <c r="AA311" s="70" t="s">
        <v>1532</v>
      </c>
      <c r="AB311" s="70" t="s">
        <v>1532</v>
      </c>
      <c r="AC311" s="70" t="s">
        <v>1532</v>
      </c>
      <c r="AD311" s="70" t="s">
        <v>1532</v>
      </c>
      <c r="AE311" s="70" t="s">
        <v>1532</v>
      </c>
      <c r="AF311" s="70" t="s">
        <v>1532</v>
      </c>
      <c r="AG311" s="70" t="s">
        <v>1532</v>
      </c>
      <c r="AH311" s="70" t="s">
        <v>1532</v>
      </c>
      <c r="AI311" s="70" t="s">
        <v>1532</v>
      </c>
      <c r="AJ311" s="70" t="s">
        <v>1532</v>
      </c>
      <c r="AK311" s="70"/>
      <c r="AL311" s="70"/>
      <c r="AM311" s="70"/>
      <c r="AN311" s="70"/>
      <c r="AO311" s="70"/>
      <c r="AP311" s="70"/>
    </row>
    <row r="312" spans="1:42" ht="15" thickBot="1" x14ac:dyDescent="0.35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4</v>
      </c>
      <c r="J312" s="31">
        <f t="shared" si="18"/>
        <v>24</v>
      </c>
      <c r="K312" s="32">
        <f t="shared" si="19"/>
        <v>0.14285714285714285</v>
      </c>
      <c r="L312" s="70" t="s">
        <v>1532</v>
      </c>
      <c r="M312" s="70" t="s">
        <v>1532</v>
      </c>
      <c r="N312" s="70" t="s">
        <v>1532</v>
      </c>
      <c r="O312" s="70" t="s">
        <v>1532</v>
      </c>
      <c r="P312" s="70" t="s">
        <v>1532</v>
      </c>
      <c r="Q312" s="70" t="s">
        <v>1532</v>
      </c>
      <c r="R312" s="70" t="s">
        <v>1532</v>
      </c>
      <c r="S312" s="70" t="s">
        <v>1532</v>
      </c>
      <c r="T312" s="70" t="s">
        <v>1532</v>
      </c>
      <c r="U312" s="70" t="s">
        <v>1532</v>
      </c>
      <c r="V312" s="70" t="s">
        <v>1532</v>
      </c>
      <c r="W312" s="70" t="s">
        <v>1532</v>
      </c>
      <c r="X312" s="70" t="s">
        <v>1532</v>
      </c>
      <c r="Y312" s="70" t="s">
        <v>1532</v>
      </c>
      <c r="Z312" s="70" t="s">
        <v>1532</v>
      </c>
      <c r="AA312" s="70" t="s">
        <v>1532</v>
      </c>
      <c r="AB312" s="70" t="s">
        <v>1532</v>
      </c>
      <c r="AC312" s="70" t="s">
        <v>1532</v>
      </c>
      <c r="AD312" s="70" t="s">
        <v>1532</v>
      </c>
      <c r="AE312" s="70" t="s">
        <v>1532</v>
      </c>
      <c r="AF312" s="70" t="s">
        <v>1532</v>
      </c>
      <c r="AG312" s="70" t="s">
        <v>1532</v>
      </c>
      <c r="AH312" s="70" t="s">
        <v>1532</v>
      </c>
      <c r="AI312" s="70" t="s">
        <v>1532</v>
      </c>
      <c r="AJ312" s="70"/>
      <c r="AK312" s="70"/>
      <c r="AL312" s="70"/>
      <c r="AM312" s="70"/>
      <c r="AN312" s="70"/>
      <c r="AO312" s="70"/>
      <c r="AP312" s="70"/>
    </row>
    <row r="313" spans="1:42" ht="15" thickBot="1" x14ac:dyDescent="0.35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3</v>
      </c>
      <c r="J313" s="31">
        <f t="shared" si="18"/>
        <v>25</v>
      </c>
      <c r="K313" s="32">
        <f t="shared" si="19"/>
        <v>0.10714285714285714</v>
      </c>
      <c r="L313" s="70" t="s">
        <v>1532</v>
      </c>
      <c r="M313" s="70" t="s">
        <v>1532</v>
      </c>
      <c r="N313" s="70" t="s">
        <v>1532</v>
      </c>
      <c r="O313" s="70" t="s">
        <v>1532</v>
      </c>
      <c r="P313" s="70" t="s">
        <v>1532</v>
      </c>
      <c r="Q313" s="70" t="s">
        <v>1532</v>
      </c>
      <c r="R313" s="70" t="s">
        <v>1532</v>
      </c>
      <c r="S313" s="70" t="s">
        <v>1532</v>
      </c>
      <c r="T313" s="70" t="s">
        <v>1532</v>
      </c>
      <c r="U313" s="70" t="s">
        <v>1532</v>
      </c>
      <c r="V313" s="70" t="s">
        <v>1532</v>
      </c>
      <c r="W313" s="70" t="s">
        <v>1532</v>
      </c>
      <c r="X313" s="70" t="s">
        <v>1532</v>
      </c>
      <c r="Y313" s="70" t="s">
        <v>1532</v>
      </c>
      <c r="Z313" s="70" t="s">
        <v>1532</v>
      </c>
      <c r="AA313" s="70" t="s">
        <v>1532</v>
      </c>
      <c r="AB313" s="70" t="s">
        <v>1532</v>
      </c>
      <c r="AC313" s="70" t="s">
        <v>1532</v>
      </c>
      <c r="AD313" s="70" t="s">
        <v>1532</v>
      </c>
      <c r="AE313" s="70" t="s">
        <v>1532</v>
      </c>
      <c r="AF313" s="70" t="s">
        <v>1532</v>
      </c>
      <c r="AG313" s="70" t="s">
        <v>1532</v>
      </c>
      <c r="AH313" s="70" t="s">
        <v>1532</v>
      </c>
      <c r="AI313" s="70" t="s">
        <v>1532</v>
      </c>
      <c r="AJ313" s="70" t="s">
        <v>1532</v>
      </c>
      <c r="AK313" s="70"/>
      <c r="AL313" s="70"/>
      <c r="AM313" s="70"/>
      <c r="AN313" s="70"/>
      <c r="AO313" s="70"/>
      <c r="AP313" s="70"/>
    </row>
    <row r="314" spans="1:42" ht="15" thickBot="1" x14ac:dyDescent="0.35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0" t="s">
        <v>1532</v>
      </c>
      <c r="M314" s="70" t="s">
        <v>1532</v>
      </c>
      <c r="N314" s="70" t="s">
        <v>1532</v>
      </c>
      <c r="O314" s="70" t="s">
        <v>1532</v>
      </c>
      <c r="P314" s="70" t="s">
        <v>1532</v>
      </c>
      <c r="Q314" s="70" t="s">
        <v>1532</v>
      </c>
      <c r="R314" s="70" t="s">
        <v>1532</v>
      </c>
      <c r="S314" s="70" t="s">
        <v>1532</v>
      </c>
      <c r="T314" s="70" t="s">
        <v>1532</v>
      </c>
      <c r="U314" s="70" t="s">
        <v>1532</v>
      </c>
      <c r="V314" s="70" t="s">
        <v>1532</v>
      </c>
      <c r="W314" s="70" t="s">
        <v>1532</v>
      </c>
      <c r="X314" s="70" t="s">
        <v>1532</v>
      </c>
      <c r="Y314" s="70" t="s">
        <v>1532</v>
      </c>
      <c r="Z314" s="70" t="s">
        <v>1532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" thickBot="1" x14ac:dyDescent="0.35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0" t="s">
        <v>1532</v>
      </c>
      <c r="M315" s="70" t="s">
        <v>1532</v>
      </c>
      <c r="N315" s="70" t="s">
        <v>1532</v>
      </c>
      <c r="O315" s="70" t="s">
        <v>1532</v>
      </c>
      <c r="P315" s="70" t="s">
        <v>1532</v>
      </c>
      <c r="Q315" s="70" t="s">
        <v>1532</v>
      </c>
      <c r="R315" s="70" t="s">
        <v>1532</v>
      </c>
      <c r="S315" s="70" t="s">
        <v>1532</v>
      </c>
      <c r="T315" s="70" t="s">
        <v>1532</v>
      </c>
      <c r="U315" s="70" t="s">
        <v>1532</v>
      </c>
      <c r="V315" s="70" t="s">
        <v>1532</v>
      </c>
      <c r="W315" s="70" t="s">
        <v>1532</v>
      </c>
      <c r="X315" s="70" t="s">
        <v>1532</v>
      </c>
      <c r="Y315" s="70" t="s">
        <v>1532</v>
      </c>
      <c r="Z315" s="70" t="s">
        <v>1532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" thickBot="1" x14ac:dyDescent="0.35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" thickBot="1" x14ac:dyDescent="0.35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0" t="s">
        <v>1532</v>
      </c>
      <c r="M317" s="70"/>
      <c r="N317" s="70"/>
      <c r="O317" s="70"/>
      <c r="P317" s="70"/>
      <c r="Q317" s="70"/>
      <c r="R317" s="70"/>
      <c r="S317" s="70"/>
      <c r="T317" s="70"/>
      <c r="U317" s="70" t="s">
        <v>1532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" thickBot="1" x14ac:dyDescent="0.35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0" t="s">
        <v>1532</v>
      </c>
      <c r="M318" s="70"/>
      <c r="N318" s="70"/>
      <c r="O318" s="70"/>
      <c r="P318" s="70"/>
      <c r="Q318" s="70"/>
      <c r="R318" s="70"/>
      <c r="S318" s="70"/>
      <c r="T318" s="70"/>
      <c r="U318" s="70" t="s">
        <v>1532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" thickBot="1" x14ac:dyDescent="0.35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" thickBot="1" x14ac:dyDescent="0.35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1532</v>
      </c>
      <c r="T320" s="70"/>
      <c r="U320" s="70" t="s">
        <v>1532</v>
      </c>
      <c r="V320" s="70" t="s">
        <v>1532</v>
      </c>
      <c r="W320" s="70" t="s">
        <v>1532</v>
      </c>
      <c r="X320" s="70" t="s">
        <v>1532</v>
      </c>
      <c r="Y320" s="70" t="s">
        <v>1532</v>
      </c>
      <c r="Z320" s="70"/>
      <c r="AA320" s="70" t="s">
        <v>1532</v>
      </c>
      <c r="AB320" s="70" t="s">
        <v>1532</v>
      </c>
      <c r="AC320" s="70"/>
      <c r="AD320" s="70" t="s">
        <v>1532</v>
      </c>
      <c r="AE320" s="70" t="s">
        <v>1532</v>
      </c>
      <c r="AF320" s="70" t="s">
        <v>1532</v>
      </c>
      <c r="AG320" s="70" t="s">
        <v>1532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" thickBot="1" x14ac:dyDescent="0.35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" thickBot="1" x14ac:dyDescent="0.35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" thickBot="1" x14ac:dyDescent="0.35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" thickBot="1" x14ac:dyDescent="0.35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1532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" thickBot="1" x14ac:dyDescent="0.35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25</v>
      </c>
      <c r="J325" s="31">
        <f t="shared" si="18"/>
        <v>3</v>
      </c>
      <c r="K325" s="32">
        <f t="shared" si="19"/>
        <v>0.8928571428571429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1532</v>
      </c>
      <c r="AB325" s="70" t="s">
        <v>1532</v>
      </c>
      <c r="AC325" s="70"/>
      <c r="AD325" s="70"/>
      <c r="AE325" s="70"/>
      <c r="AF325" s="70"/>
      <c r="AG325" s="70"/>
      <c r="AH325" s="70"/>
      <c r="AI325" s="70" t="s">
        <v>1532</v>
      </c>
      <c r="AJ325" s="70"/>
      <c r="AK325" s="70"/>
      <c r="AL325" s="70"/>
      <c r="AM325" s="70"/>
      <c r="AN325" s="70"/>
      <c r="AO325" s="70"/>
      <c r="AP325" s="70"/>
    </row>
    <row r="326" spans="1:42" ht="15" thickBot="1" x14ac:dyDescent="0.35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25</v>
      </c>
      <c r="J326" s="31">
        <f t="shared" si="18"/>
        <v>3</v>
      </c>
      <c r="K326" s="32">
        <f t="shared" si="19"/>
        <v>0.8928571428571429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1532</v>
      </c>
      <c r="AB326" s="70" t="s">
        <v>1532</v>
      </c>
      <c r="AC326" s="70"/>
      <c r="AD326" s="70"/>
      <c r="AE326" s="70"/>
      <c r="AF326" s="70"/>
      <c r="AG326" s="70"/>
      <c r="AH326" s="70"/>
      <c r="AI326" s="70" t="s">
        <v>1532</v>
      </c>
      <c r="AJ326" s="70"/>
      <c r="AK326" s="70"/>
      <c r="AL326" s="70"/>
      <c r="AM326" s="70"/>
      <c r="AN326" s="70"/>
      <c r="AO326" s="70"/>
      <c r="AP326" s="70"/>
    </row>
    <row r="327" spans="1:42" ht="15" thickBot="1" x14ac:dyDescent="0.35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" thickBot="1" x14ac:dyDescent="0.35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" thickBot="1" x14ac:dyDescent="0.35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" thickBot="1" x14ac:dyDescent="0.35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" thickBot="1" x14ac:dyDescent="0.35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0" t="s">
        <v>1532</v>
      </c>
      <c r="M331" s="70" t="s">
        <v>1532</v>
      </c>
      <c r="N331" s="70" t="s">
        <v>1532</v>
      </c>
      <c r="O331" s="70" t="s">
        <v>1532</v>
      </c>
      <c r="P331" s="70" t="s">
        <v>1532</v>
      </c>
      <c r="Q331" s="70" t="s">
        <v>1532</v>
      </c>
      <c r="R331" s="70" t="s">
        <v>1532</v>
      </c>
      <c r="S331" s="70" t="s">
        <v>1532</v>
      </c>
      <c r="T331" s="70" t="s">
        <v>1532</v>
      </c>
      <c r="U331" s="70" t="s">
        <v>1532</v>
      </c>
      <c r="V331" s="70" t="s">
        <v>1532</v>
      </c>
      <c r="W331" s="70" t="s">
        <v>1532</v>
      </c>
      <c r="X331" s="70" t="s">
        <v>1532</v>
      </c>
      <c r="Y331" s="70" t="s">
        <v>1532</v>
      </c>
      <c r="Z331" s="70" t="s">
        <v>1532</v>
      </c>
      <c r="AA331" s="70" t="s">
        <v>1532</v>
      </c>
      <c r="AB331" s="70" t="s">
        <v>1532</v>
      </c>
      <c r="AC331" s="70"/>
      <c r="AD331" s="70" t="s">
        <v>1532</v>
      </c>
      <c r="AE331" s="70" t="s">
        <v>1532</v>
      </c>
      <c r="AF331" s="70" t="s">
        <v>1532</v>
      </c>
      <c r="AG331" s="70"/>
      <c r="AH331" s="70" t="s">
        <v>1532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ht="15" thickBot="1" x14ac:dyDescent="0.35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" thickBot="1" x14ac:dyDescent="0.35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" thickBot="1" x14ac:dyDescent="0.35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" thickBot="1" x14ac:dyDescent="0.35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0" t="s">
        <v>1532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" thickBot="1" x14ac:dyDescent="0.35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7"/>
        <v>3</v>
      </c>
      <c r="J336" s="31">
        <f t="shared" si="18"/>
        <v>25</v>
      </c>
      <c r="K336" s="32">
        <f t="shared" si="19"/>
        <v>0.10714285714285714</v>
      </c>
      <c r="L336" s="70" t="s">
        <v>1532</v>
      </c>
      <c r="M336" s="70" t="s">
        <v>1532</v>
      </c>
      <c r="N336" s="70" t="s">
        <v>1532</v>
      </c>
      <c r="O336" s="70" t="s">
        <v>1532</v>
      </c>
      <c r="P336" s="70" t="s">
        <v>1532</v>
      </c>
      <c r="Q336" s="70" t="s">
        <v>1532</v>
      </c>
      <c r="R336" s="70" t="s">
        <v>1532</v>
      </c>
      <c r="S336" s="70" t="s">
        <v>1532</v>
      </c>
      <c r="T336" s="70" t="s">
        <v>1532</v>
      </c>
      <c r="U336" s="70" t="s">
        <v>1532</v>
      </c>
      <c r="V336" s="70" t="s">
        <v>1532</v>
      </c>
      <c r="W336" s="70" t="s">
        <v>1532</v>
      </c>
      <c r="X336" s="70" t="s">
        <v>1532</v>
      </c>
      <c r="Y336" s="70" t="s">
        <v>1532</v>
      </c>
      <c r="Z336" s="70" t="s">
        <v>1532</v>
      </c>
      <c r="AA336" s="70" t="s">
        <v>1532</v>
      </c>
      <c r="AB336" s="70" t="s">
        <v>1532</v>
      </c>
      <c r="AC336" s="70" t="s">
        <v>1532</v>
      </c>
      <c r="AD336" s="97" t="s">
        <v>1532</v>
      </c>
      <c r="AE336" s="97" t="s">
        <v>1532</v>
      </c>
      <c r="AF336" s="97" t="s">
        <v>1532</v>
      </c>
      <c r="AG336" s="97" t="s">
        <v>1532</v>
      </c>
      <c r="AH336" s="97" t="s">
        <v>1532</v>
      </c>
      <c r="AI336" s="97" t="s">
        <v>1532</v>
      </c>
      <c r="AJ336" s="97" t="s">
        <v>1532</v>
      </c>
      <c r="AK336" s="97"/>
      <c r="AL336" s="97"/>
      <c r="AM336" s="97"/>
      <c r="AN336" s="97"/>
      <c r="AO336" s="97"/>
      <c r="AP336" s="97"/>
    </row>
    <row r="337" spans="1:42" s="141" customFormat="1" ht="15" thickBot="1" x14ac:dyDescent="0.35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1497</v>
      </c>
      <c r="G337" s="89"/>
      <c r="H337" s="89" t="s">
        <v>1297</v>
      </c>
      <c r="I337" s="142">
        <f t="shared" si="17"/>
        <v>3</v>
      </c>
      <c r="J337" s="142">
        <f t="shared" si="18"/>
        <v>25</v>
      </c>
      <c r="K337" s="143">
        <f t="shared" si="19"/>
        <v>0.10714285714285714</v>
      </c>
      <c r="L337" s="144" t="s">
        <v>1532</v>
      </c>
      <c r="M337" s="144" t="s">
        <v>1532</v>
      </c>
      <c r="N337" s="144" t="s">
        <v>1532</v>
      </c>
      <c r="O337" s="144" t="s">
        <v>1532</v>
      </c>
      <c r="P337" s="144" t="s">
        <v>1532</v>
      </c>
      <c r="Q337" s="144" t="s">
        <v>1532</v>
      </c>
      <c r="R337" s="144" t="s">
        <v>1532</v>
      </c>
      <c r="S337" s="144" t="s">
        <v>1532</v>
      </c>
      <c r="T337" s="144" t="s">
        <v>1532</v>
      </c>
      <c r="U337" s="144" t="s">
        <v>1532</v>
      </c>
      <c r="V337" s="144" t="s">
        <v>1532</v>
      </c>
      <c r="W337" s="144" t="s">
        <v>1532</v>
      </c>
      <c r="X337" s="144" t="s">
        <v>1532</v>
      </c>
      <c r="Y337" s="144" t="s">
        <v>1532</v>
      </c>
      <c r="Z337" s="144" t="s">
        <v>1532</v>
      </c>
      <c r="AA337" s="144" t="s">
        <v>1532</v>
      </c>
      <c r="AB337" s="144" t="s">
        <v>1532</v>
      </c>
      <c r="AC337" s="144" t="s">
        <v>1532</v>
      </c>
      <c r="AD337" s="144" t="s">
        <v>1532</v>
      </c>
      <c r="AE337" s="144" t="s">
        <v>1532</v>
      </c>
      <c r="AF337" s="144" t="s">
        <v>1532</v>
      </c>
      <c r="AG337" s="144" t="s">
        <v>1532</v>
      </c>
      <c r="AH337" s="144" t="s">
        <v>1532</v>
      </c>
      <c r="AI337" s="144" t="s">
        <v>1532</v>
      </c>
      <c r="AJ337" s="144" t="s">
        <v>1532</v>
      </c>
      <c r="AK337" s="144"/>
      <c r="AL337" s="144"/>
      <c r="AM337" s="144"/>
      <c r="AN337" s="144"/>
      <c r="AO337" s="144"/>
      <c r="AP337" s="144"/>
    </row>
    <row r="338" spans="1:42" s="73" customFormat="1" ht="15" thickBot="1" x14ac:dyDescent="0.35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1531</v>
      </c>
      <c r="I338" s="91">
        <f t="shared" si="17"/>
        <v>27</v>
      </c>
      <c r="J338" s="91">
        <f t="shared" si="18"/>
        <v>1</v>
      </c>
      <c r="K338" s="92">
        <f t="shared" si="19"/>
        <v>0.9642857142857143</v>
      </c>
      <c r="L338" s="93"/>
      <c r="M338" s="93"/>
      <c r="N338" s="93"/>
      <c r="O338" s="93"/>
      <c r="P338" s="93" t="s">
        <v>1532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" thickBot="1" x14ac:dyDescent="0.35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0"/>
      <c r="M339" s="70" t="s">
        <v>1532</v>
      </c>
      <c r="N339" s="70" t="s">
        <v>1532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1532</v>
      </c>
      <c r="AB339" s="70" t="s">
        <v>1532</v>
      </c>
      <c r="AC339" s="70"/>
      <c r="AD339" s="70"/>
      <c r="AE339" s="70" t="s">
        <v>1532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" thickBot="1" x14ac:dyDescent="0.35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0"/>
      <c r="M340" s="70" t="s">
        <v>1532</v>
      </c>
      <c r="N340" s="70" t="s">
        <v>1532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1532</v>
      </c>
      <c r="AB340" s="70" t="s">
        <v>1532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" thickBot="1" x14ac:dyDescent="0.35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0"/>
      <c r="M341" s="70" t="s">
        <v>1532</v>
      </c>
      <c r="N341" s="70" t="s">
        <v>1532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1532</v>
      </c>
      <c r="AB341" s="70" t="s">
        <v>1532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" thickBot="1" x14ac:dyDescent="0.35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" thickBot="1" x14ac:dyDescent="0.35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" thickBot="1" x14ac:dyDescent="0.35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0"/>
      <c r="M344" s="70" t="s">
        <v>1532</v>
      </c>
      <c r="N344" s="70" t="s">
        <v>1532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1532</v>
      </c>
      <c r="AB344" s="70" t="s">
        <v>1532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" thickBot="1" x14ac:dyDescent="0.35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0"/>
      <c r="M345" s="70" t="s">
        <v>1532</v>
      </c>
      <c r="N345" s="70" t="s">
        <v>1532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1532</v>
      </c>
      <c r="AB345" s="70" t="s">
        <v>1532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" thickBot="1" x14ac:dyDescent="0.35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0"/>
      <c r="M346" s="70" t="s">
        <v>1532</v>
      </c>
      <c r="N346" s="70" t="s">
        <v>1532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1532</v>
      </c>
      <c r="AB346" s="70" t="s">
        <v>1532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" thickBot="1" x14ac:dyDescent="0.35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0"/>
      <c r="M347" s="70" t="s">
        <v>1532</v>
      </c>
      <c r="N347" s="70" t="s">
        <v>1532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1532</v>
      </c>
      <c r="AB347" s="70" t="s">
        <v>1532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" thickBot="1" x14ac:dyDescent="0.35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1532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" thickBot="1" x14ac:dyDescent="0.35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0"/>
      <c r="M349" s="70" t="s">
        <v>1532</v>
      </c>
      <c r="N349" s="70" t="s">
        <v>1532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1532</v>
      </c>
      <c r="AB349" s="70" t="s">
        <v>1532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" thickBot="1" x14ac:dyDescent="0.35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0"/>
      <c r="M350" s="70" t="s">
        <v>1532</v>
      </c>
      <c r="N350" s="70" t="s">
        <v>1532</v>
      </c>
      <c r="O350" s="70"/>
      <c r="P350" s="70" t="s">
        <v>1532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" thickBot="1" x14ac:dyDescent="0.35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0"/>
      <c r="M351" s="70"/>
      <c r="N351" s="70"/>
    </row>
    <row r="352" spans="1:42" ht="15" thickBot="1" x14ac:dyDescent="0.35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" thickBot="1" x14ac:dyDescent="0.35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" thickBot="1" x14ac:dyDescent="0.35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11</v>
      </c>
      <c r="J354" s="31">
        <f t="shared" si="21"/>
        <v>17</v>
      </c>
      <c r="K354" s="32">
        <f t="shared" si="22"/>
        <v>0.39285714285714285</v>
      </c>
      <c r="L354" s="70"/>
      <c r="M354" s="70"/>
      <c r="N354" s="70"/>
      <c r="O354" s="70" t="s">
        <v>1532</v>
      </c>
      <c r="P354" s="70"/>
      <c r="Q354" s="70" t="s">
        <v>1532</v>
      </c>
      <c r="R354" s="70" t="s">
        <v>1532</v>
      </c>
      <c r="S354" s="70" t="s">
        <v>1532</v>
      </c>
      <c r="T354" s="70" t="s">
        <v>1532</v>
      </c>
      <c r="U354" s="70" t="s">
        <v>1532</v>
      </c>
      <c r="V354" s="70" t="s">
        <v>1532</v>
      </c>
      <c r="W354" s="70" t="s">
        <v>1532</v>
      </c>
      <c r="X354" s="70" t="s">
        <v>1532</v>
      </c>
      <c r="Y354" s="70" t="s">
        <v>1532</v>
      </c>
      <c r="Z354" s="70"/>
      <c r="AA354" s="70"/>
      <c r="AB354" s="70"/>
      <c r="AC354" s="70" t="s">
        <v>1532</v>
      </c>
      <c r="AD354" s="70" t="s">
        <v>1532</v>
      </c>
      <c r="AE354" s="70" t="s">
        <v>1532</v>
      </c>
      <c r="AF354" s="70" t="s">
        <v>1532</v>
      </c>
      <c r="AG354" s="70" t="s">
        <v>1532</v>
      </c>
      <c r="AH354" s="70"/>
      <c r="AI354" s="70" t="s">
        <v>1532</v>
      </c>
      <c r="AJ354" s="70" t="s">
        <v>1532</v>
      </c>
      <c r="AK354" s="70"/>
      <c r="AL354" s="70"/>
      <c r="AM354" s="70"/>
      <c r="AN354" s="70"/>
      <c r="AO354" s="70"/>
      <c r="AP354" s="70"/>
    </row>
    <row r="355" spans="1:42" ht="15" thickBot="1" x14ac:dyDescent="0.35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" thickBot="1" x14ac:dyDescent="0.35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" thickBot="1" x14ac:dyDescent="0.35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" thickBot="1" x14ac:dyDescent="0.35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" thickBot="1" x14ac:dyDescent="0.35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" thickBot="1" x14ac:dyDescent="0.35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1532</v>
      </c>
      <c r="Y360" s="70" t="s">
        <v>1532</v>
      </c>
      <c r="Z360" s="70" t="s">
        <v>1532</v>
      </c>
      <c r="AA360" s="70" t="s">
        <v>1532</v>
      </c>
      <c r="AB360" s="70" t="s">
        <v>1532</v>
      </c>
      <c r="AC360" s="70" t="s">
        <v>1532</v>
      </c>
      <c r="AD360" s="70" t="s">
        <v>1532</v>
      </c>
      <c r="AE360" s="70" t="s">
        <v>1532</v>
      </c>
      <c r="AF360" s="70" t="s">
        <v>1532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" thickBot="1" x14ac:dyDescent="0.35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1532</v>
      </c>
      <c r="Y361" s="70" t="s">
        <v>1532</v>
      </c>
      <c r="Z361" s="70" t="s">
        <v>1532</v>
      </c>
      <c r="AA361" s="70" t="s">
        <v>1532</v>
      </c>
      <c r="AB361" s="70" t="s">
        <v>1532</v>
      </c>
      <c r="AC361" s="70" t="s">
        <v>1532</v>
      </c>
      <c r="AD361" s="70" t="s">
        <v>1532</v>
      </c>
      <c r="AE361" s="70" t="s">
        <v>1532</v>
      </c>
      <c r="AF361" s="70" t="s">
        <v>1532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" thickBot="1" x14ac:dyDescent="0.35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" thickBot="1" x14ac:dyDescent="0.35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" thickBot="1" x14ac:dyDescent="0.35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20"/>
        <v>4</v>
      </c>
      <c r="J364" s="31">
        <f t="shared" si="21"/>
        <v>24</v>
      </c>
      <c r="K364" s="32">
        <f t="shared" si="22"/>
        <v>0.14285714285714285</v>
      </c>
      <c r="L364" s="70" t="s">
        <v>1532</v>
      </c>
      <c r="M364" s="70" t="s">
        <v>1532</v>
      </c>
      <c r="N364" s="70" t="s">
        <v>1532</v>
      </c>
      <c r="O364" s="70" t="s">
        <v>1532</v>
      </c>
      <c r="P364" s="70"/>
      <c r="Q364" s="70" t="s">
        <v>1532</v>
      </c>
      <c r="R364" s="70" t="s">
        <v>1532</v>
      </c>
      <c r="S364" s="70" t="s">
        <v>1532</v>
      </c>
      <c r="T364" s="70" t="s">
        <v>1532</v>
      </c>
      <c r="U364" s="70" t="s">
        <v>1532</v>
      </c>
      <c r="V364" s="70" t="s">
        <v>1532</v>
      </c>
      <c r="W364" s="70" t="s">
        <v>1532</v>
      </c>
      <c r="X364" s="70" t="s">
        <v>1532</v>
      </c>
      <c r="Y364" s="70" t="s">
        <v>1532</v>
      </c>
      <c r="Z364" s="70" t="s">
        <v>1532</v>
      </c>
      <c r="AA364" s="70" t="s">
        <v>1532</v>
      </c>
      <c r="AB364" s="70" t="s">
        <v>1532</v>
      </c>
      <c r="AC364" s="70" t="s">
        <v>1532</v>
      </c>
      <c r="AD364" s="97" t="s">
        <v>1532</v>
      </c>
      <c r="AE364" s="97" t="s">
        <v>1532</v>
      </c>
      <c r="AF364" s="97" t="s">
        <v>1532</v>
      </c>
      <c r="AG364" s="97" t="s">
        <v>1532</v>
      </c>
      <c r="AH364" s="97" t="s">
        <v>1532</v>
      </c>
      <c r="AI364" s="97" t="s">
        <v>1532</v>
      </c>
      <c r="AJ364" s="97" t="s">
        <v>1532</v>
      </c>
      <c r="AK364" s="97"/>
      <c r="AL364" s="97"/>
      <c r="AM364" s="97"/>
      <c r="AN364" s="97"/>
      <c r="AO364" s="97"/>
      <c r="AP364" s="97"/>
    </row>
    <row r="365" spans="1:42" ht="15" thickBot="1" x14ac:dyDescent="0.35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" thickBot="1" x14ac:dyDescent="0.35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0"/>
      <c r="M366" s="70"/>
    </row>
    <row r="367" spans="1:42" ht="15" thickBot="1" x14ac:dyDescent="0.35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1532</v>
      </c>
      <c r="T367" s="70" t="s">
        <v>1532</v>
      </c>
      <c r="U367" s="70" t="s">
        <v>1532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" thickBot="1" x14ac:dyDescent="0.35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" thickBot="1" x14ac:dyDescent="0.35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20"/>
        <v>3</v>
      </c>
      <c r="J369" s="31">
        <f t="shared" si="21"/>
        <v>25</v>
      </c>
      <c r="K369" s="32">
        <f t="shared" si="22"/>
        <v>0.10714285714285714</v>
      </c>
      <c r="L369" s="70" t="s">
        <v>1532</v>
      </c>
      <c r="M369" s="70" t="s">
        <v>1532</v>
      </c>
      <c r="N369" s="70" t="s">
        <v>1532</v>
      </c>
      <c r="O369" s="70" t="s">
        <v>1532</v>
      </c>
      <c r="P369" s="70" t="s">
        <v>1532</v>
      </c>
      <c r="Q369" s="70" t="s">
        <v>1532</v>
      </c>
      <c r="R369" s="70" t="s">
        <v>1532</v>
      </c>
      <c r="S369" s="70" t="s">
        <v>1532</v>
      </c>
      <c r="T369" s="70" t="s">
        <v>1532</v>
      </c>
      <c r="U369" s="70" t="s">
        <v>1532</v>
      </c>
      <c r="V369" s="70" t="s">
        <v>1532</v>
      </c>
      <c r="W369" s="70" t="s">
        <v>1532</v>
      </c>
      <c r="X369" s="70" t="s">
        <v>1532</v>
      </c>
      <c r="Y369" s="70" t="s">
        <v>1532</v>
      </c>
      <c r="Z369" s="70" t="s">
        <v>1532</v>
      </c>
      <c r="AA369" s="70" t="s">
        <v>1532</v>
      </c>
      <c r="AB369" s="70" t="s">
        <v>1532</v>
      </c>
      <c r="AC369" s="70" t="s">
        <v>1532</v>
      </c>
      <c r="AD369" s="97" t="s">
        <v>1532</v>
      </c>
      <c r="AE369" s="97" t="s">
        <v>1532</v>
      </c>
      <c r="AF369" s="97" t="s">
        <v>1532</v>
      </c>
      <c r="AG369" s="97" t="s">
        <v>1532</v>
      </c>
      <c r="AH369" s="97" t="s">
        <v>1532</v>
      </c>
      <c r="AI369" s="97" t="s">
        <v>1532</v>
      </c>
      <c r="AJ369" s="97" t="s">
        <v>1532</v>
      </c>
      <c r="AK369" s="97"/>
      <c r="AL369" s="97"/>
      <c r="AM369" s="97"/>
      <c r="AN369" s="97"/>
      <c r="AO369" s="97"/>
      <c r="AP369" s="97"/>
    </row>
    <row r="370" spans="1:42" ht="15" thickBot="1" x14ac:dyDescent="0.35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1532</v>
      </c>
      <c r="T370" s="70" t="s">
        <v>1532</v>
      </c>
      <c r="U370" s="70" t="s">
        <v>1532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 t="s">
        <v>1473</v>
      </c>
      <c r="AP370" s="70"/>
    </row>
    <row r="371" spans="1:42" ht="15" thickBot="1" x14ac:dyDescent="0.35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" thickBot="1" x14ac:dyDescent="0.35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3</v>
      </c>
      <c r="J372" s="31">
        <f t="shared" si="21"/>
        <v>25</v>
      </c>
      <c r="K372" s="32">
        <f t="shared" si="22"/>
        <v>0.10714285714285714</v>
      </c>
      <c r="L372" s="70" t="s">
        <v>1532</v>
      </c>
      <c r="M372" s="70" t="s">
        <v>1532</v>
      </c>
      <c r="N372" s="70" t="s">
        <v>1532</v>
      </c>
      <c r="O372" s="70" t="s">
        <v>1532</v>
      </c>
      <c r="P372" s="70" t="s">
        <v>1532</v>
      </c>
      <c r="Q372" s="70" t="s">
        <v>1532</v>
      </c>
      <c r="R372" s="70" t="s">
        <v>1532</v>
      </c>
      <c r="S372" s="70" t="s">
        <v>1532</v>
      </c>
      <c r="T372" s="70" t="s">
        <v>1532</v>
      </c>
      <c r="U372" s="70" t="s">
        <v>1532</v>
      </c>
      <c r="V372" s="70" t="s">
        <v>1532</v>
      </c>
      <c r="W372" s="70" t="s">
        <v>1532</v>
      </c>
      <c r="X372" s="70" t="s">
        <v>1532</v>
      </c>
      <c r="Y372" s="70" t="s">
        <v>1532</v>
      </c>
      <c r="Z372" s="70" t="s">
        <v>1532</v>
      </c>
      <c r="AA372" s="70" t="s">
        <v>1532</v>
      </c>
      <c r="AB372" s="70" t="s">
        <v>1532</v>
      </c>
      <c r="AC372" s="70" t="s">
        <v>1532</v>
      </c>
      <c r="AD372" s="70" t="s">
        <v>1532</v>
      </c>
      <c r="AE372" s="70" t="s">
        <v>1532</v>
      </c>
      <c r="AF372" s="70" t="s">
        <v>1532</v>
      </c>
      <c r="AG372" s="70" t="s">
        <v>1532</v>
      </c>
      <c r="AH372" s="70" t="s">
        <v>1532</v>
      </c>
      <c r="AI372" s="70" t="s">
        <v>1532</v>
      </c>
      <c r="AJ372" s="70" t="s">
        <v>1532</v>
      </c>
      <c r="AK372" s="70"/>
      <c r="AL372" s="70"/>
      <c r="AM372" s="70"/>
      <c r="AN372" s="70"/>
      <c r="AO372" s="70"/>
      <c r="AP372" s="70"/>
    </row>
    <row r="373" spans="1:42" ht="15" thickBot="1" x14ac:dyDescent="0.35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0" t="s">
        <v>1532</v>
      </c>
      <c r="M373" s="70" t="s">
        <v>1532</v>
      </c>
      <c r="N373" s="70" t="s">
        <v>1532</v>
      </c>
      <c r="O373" s="70" t="s">
        <v>1532</v>
      </c>
      <c r="P373" s="70" t="s">
        <v>1532</v>
      </c>
      <c r="Q373" s="70" t="s">
        <v>1532</v>
      </c>
      <c r="R373" s="70" t="s">
        <v>1532</v>
      </c>
      <c r="S373" s="70" t="s">
        <v>1532</v>
      </c>
      <c r="T373" s="70" t="s">
        <v>1532</v>
      </c>
      <c r="U373" s="70" t="s">
        <v>1532</v>
      </c>
      <c r="V373" s="70" t="s">
        <v>1532</v>
      </c>
      <c r="W373" s="70" t="s">
        <v>1532</v>
      </c>
      <c r="X373" s="70" t="s">
        <v>1532</v>
      </c>
      <c r="Y373" s="70" t="s">
        <v>1532</v>
      </c>
      <c r="Z373" s="70" t="s">
        <v>1532</v>
      </c>
      <c r="AA373" s="70" t="s">
        <v>1532</v>
      </c>
      <c r="AB373" s="70" t="s">
        <v>1532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" thickBot="1" x14ac:dyDescent="0.35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95" customHeight="1" thickBot="1" x14ac:dyDescent="0.35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" thickBot="1" x14ac:dyDescent="0.35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" thickBot="1" x14ac:dyDescent="0.35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" thickBot="1" x14ac:dyDescent="0.35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" thickBot="1" x14ac:dyDescent="0.35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" thickBot="1" x14ac:dyDescent="0.35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" thickBot="1" x14ac:dyDescent="0.35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" thickBot="1" x14ac:dyDescent="0.35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" thickBot="1" x14ac:dyDescent="0.35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1532</v>
      </c>
      <c r="AD383" s="70" t="s">
        <v>1532</v>
      </c>
      <c r="AE383" s="70" t="s">
        <v>1532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" thickBot="1" x14ac:dyDescent="0.35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" thickBot="1" x14ac:dyDescent="0.35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25</v>
      </c>
      <c r="J385" s="31">
        <f t="shared" si="21"/>
        <v>3</v>
      </c>
      <c r="K385" s="32">
        <f t="shared" si="22"/>
        <v>0.8928571428571429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1532</v>
      </c>
      <c r="AD385" s="70"/>
      <c r="AE385" s="70" t="s">
        <v>1532</v>
      </c>
      <c r="AF385" s="70"/>
      <c r="AG385" s="70"/>
      <c r="AH385" s="70"/>
      <c r="AI385" s="70"/>
      <c r="AJ385" s="70" t="s">
        <v>1532</v>
      </c>
      <c r="AK385" s="70"/>
      <c r="AL385" s="70"/>
      <c r="AM385" s="70"/>
      <c r="AN385" s="70"/>
      <c r="AO385" s="70"/>
      <c r="AP385" s="70"/>
    </row>
    <row r="386" spans="1:42" ht="15" thickBot="1" x14ac:dyDescent="0.35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1532</v>
      </c>
      <c r="AD386" s="70"/>
      <c r="AE386" s="70" t="s">
        <v>1532</v>
      </c>
      <c r="AF386" s="70"/>
      <c r="AG386" s="70"/>
      <c r="AH386" s="70"/>
      <c r="AI386" s="70"/>
      <c r="AJ386" s="70" t="s">
        <v>1532</v>
      </c>
      <c r="AK386" s="70"/>
      <c r="AL386" s="70"/>
      <c r="AM386" s="70"/>
      <c r="AN386" s="70"/>
      <c r="AO386" s="70"/>
      <c r="AP386" s="70"/>
    </row>
    <row r="387" spans="1:42" ht="15" thickBot="1" x14ac:dyDescent="0.35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25</v>
      </c>
      <c r="J387" s="31">
        <f t="shared" si="21"/>
        <v>3</v>
      </c>
      <c r="K387" s="32">
        <f t="shared" si="22"/>
        <v>0.8928571428571429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1532</v>
      </c>
      <c r="AD387" s="70"/>
      <c r="AE387" s="70" t="s">
        <v>1532</v>
      </c>
      <c r="AF387" s="70"/>
      <c r="AG387" s="70"/>
      <c r="AH387" s="70"/>
      <c r="AI387" s="70"/>
      <c r="AJ387" s="70" t="s">
        <v>1532</v>
      </c>
      <c r="AK387" s="70"/>
      <c r="AL387" s="70"/>
      <c r="AM387" s="70"/>
      <c r="AN387" s="70"/>
      <c r="AO387" s="70"/>
      <c r="AP387" s="70"/>
    </row>
    <row r="388" spans="1:42" ht="15" thickBot="1" x14ac:dyDescent="0.35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14</v>
      </c>
      <c r="J388" s="31">
        <f t="shared" si="21"/>
        <v>14</v>
      </c>
      <c r="K388" s="32">
        <f t="shared" si="22"/>
        <v>0.5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1532</v>
      </c>
      <c r="V388" s="70" t="s">
        <v>1532</v>
      </c>
      <c r="W388" s="70" t="s">
        <v>1532</v>
      </c>
      <c r="X388" s="70" t="s">
        <v>1532</v>
      </c>
      <c r="Y388" s="70" t="s">
        <v>1532</v>
      </c>
      <c r="Z388" s="70" t="s">
        <v>1532</v>
      </c>
      <c r="AA388" s="70" t="s">
        <v>1532</v>
      </c>
      <c r="AB388" s="70" t="s">
        <v>1532</v>
      </c>
      <c r="AC388" s="70" t="s">
        <v>1532</v>
      </c>
      <c r="AD388" s="70" t="s">
        <v>1532</v>
      </c>
      <c r="AE388" s="70" t="s">
        <v>1532</v>
      </c>
      <c r="AF388" s="70"/>
      <c r="AG388" s="70"/>
      <c r="AH388" s="70" t="s">
        <v>1532</v>
      </c>
      <c r="AI388" s="70" t="s">
        <v>1532</v>
      </c>
      <c r="AJ388" s="70" t="s">
        <v>1532</v>
      </c>
      <c r="AK388" s="70"/>
      <c r="AL388" s="70"/>
      <c r="AM388" s="70"/>
      <c r="AN388" s="70"/>
      <c r="AO388" s="70"/>
      <c r="AP388" s="70"/>
    </row>
    <row r="389" spans="1:42" ht="15" thickBot="1" x14ac:dyDescent="0.35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0"/>
      <c r="M389" s="70" t="s">
        <v>1532</v>
      </c>
      <c r="N389" s="70" t="s">
        <v>1532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" thickBot="1" x14ac:dyDescent="0.35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0" t="s">
        <v>1532</v>
      </c>
      <c r="M390" s="70" t="s">
        <v>1532</v>
      </c>
      <c r="N390" s="70" t="s">
        <v>1532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" thickBot="1" x14ac:dyDescent="0.35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" thickBot="1" x14ac:dyDescent="0.35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" thickBot="1" x14ac:dyDescent="0.35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0"/>
      <c r="M393" s="70"/>
      <c r="N393" s="70"/>
      <c r="O393" s="70" t="s">
        <v>1532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1532</v>
      </c>
      <c r="AA393" s="70" t="s">
        <v>1532</v>
      </c>
      <c r="AB393" s="70" t="s">
        <v>1532</v>
      </c>
      <c r="AC393" s="70" t="s">
        <v>1532</v>
      </c>
      <c r="AD393" s="70" t="s">
        <v>1532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" thickBot="1" x14ac:dyDescent="0.35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7</v>
      </c>
      <c r="J394" s="31">
        <f t="shared" si="21"/>
        <v>21</v>
      </c>
      <c r="K394" s="32">
        <f t="shared" si="22"/>
        <v>0.25</v>
      </c>
      <c r="L394" s="70"/>
      <c r="M394" s="70"/>
      <c r="N394" s="70"/>
      <c r="O394" s="70"/>
      <c r="P394" s="70" t="s">
        <v>1532</v>
      </c>
      <c r="Q394" s="70" t="s">
        <v>1532</v>
      </c>
      <c r="R394" s="70" t="s">
        <v>1532</v>
      </c>
      <c r="S394" s="70" t="s">
        <v>1532</v>
      </c>
      <c r="T394" s="70" t="s">
        <v>1532</v>
      </c>
      <c r="U394" s="70" t="s">
        <v>1532</v>
      </c>
      <c r="V394" s="70" t="s">
        <v>1532</v>
      </c>
      <c r="W394" s="70" t="s">
        <v>1532</v>
      </c>
      <c r="X394" s="70" t="s">
        <v>1532</v>
      </c>
      <c r="Y394" s="70" t="s">
        <v>1532</v>
      </c>
      <c r="Z394" s="70" t="s">
        <v>1532</v>
      </c>
      <c r="AA394" s="70" t="s">
        <v>1532</v>
      </c>
      <c r="AB394" s="70" t="s">
        <v>1532</v>
      </c>
      <c r="AC394" s="70" t="s">
        <v>1532</v>
      </c>
      <c r="AD394" s="70" t="s">
        <v>1532</v>
      </c>
      <c r="AE394" s="70" t="s">
        <v>1532</v>
      </c>
      <c r="AF394" s="70" t="s">
        <v>1532</v>
      </c>
      <c r="AG394" s="70" t="s">
        <v>1532</v>
      </c>
      <c r="AH394" s="70" t="s">
        <v>1532</v>
      </c>
      <c r="AI394" s="70" t="s">
        <v>1532</v>
      </c>
      <c r="AJ394" s="70" t="s">
        <v>1532</v>
      </c>
      <c r="AK394" s="70"/>
      <c r="AL394" s="70"/>
      <c r="AM394" s="70"/>
      <c r="AN394" s="70"/>
      <c r="AO394" s="70"/>
      <c r="AP394" s="70"/>
    </row>
    <row r="395" spans="1:42" ht="15" thickBot="1" x14ac:dyDescent="0.35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0" t="s">
        <v>1532</v>
      </c>
      <c r="M395" s="70" t="s">
        <v>1532</v>
      </c>
      <c r="N395" s="70" t="s">
        <v>1532</v>
      </c>
      <c r="O395" s="70" t="s">
        <v>1532</v>
      </c>
      <c r="P395" s="70" t="s">
        <v>1532</v>
      </c>
      <c r="Q395" s="70" t="s">
        <v>1532</v>
      </c>
      <c r="R395" s="70" t="s">
        <v>1532</v>
      </c>
      <c r="S395" s="70" t="s">
        <v>1532</v>
      </c>
      <c r="T395" s="70" t="s">
        <v>1532</v>
      </c>
      <c r="U395" s="70" t="s">
        <v>1532</v>
      </c>
      <c r="V395" s="70" t="s">
        <v>1532</v>
      </c>
      <c r="W395" s="70" t="s">
        <v>1532</v>
      </c>
      <c r="X395" s="70" t="s">
        <v>1532</v>
      </c>
      <c r="Y395" s="70" t="s">
        <v>1532</v>
      </c>
      <c r="Z395" s="70" t="s">
        <v>1532</v>
      </c>
      <c r="AA395" s="70" t="s">
        <v>1532</v>
      </c>
      <c r="AB395" s="70" t="s">
        <v>1532</v>
      </c>
      <c r="AC395" s="70" t="s">
        <v>1532</v>
      </c>
      <c r="AD395" s="70" t="s">
        <v>1532</v>
      </c>
      <c r="AE395" s="70" t="s">
        <v>1532</v>
      </c>
      <c r="AF395" s="70" t="s">
        <v>1532</v>
      </c>
      <c r="AG395" s="70" t="s">
        <v>1532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" thickBot="1" x14ac:dyDescent="0.35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0" t="s">
        <v>1532</v>
      </c>
      <c r="M396" s="70" t="s">
        <v>1532</v>
      </c>
      <c r="N396" s="70" t="s">
        <v>1532</v>
      </c>
      <c r="O396" s="70" t="s">
        <v>1532</v>
      </c>
      <c r="P396" s="70" t="s">
        <v>1532</v>
      </c>
      <c r="Q396" s="70" t="s">
        <v>1532</v>
      </c>
      <c r="R396" s="70" t="s">
        <v>1532</v>
      </c>
      <c r="S396" s="70" t="s">
        <v>1532</v>
      </c>
      <c r="T396" s="70" t="s">
        <v>1532</v>
      </c>
      <c r="U396" s="70" t="s">
        <v>1532</v>
      </c>
      <c r="V396" s="70" t="s">
        <v>1532</v>
      </c>
      <c r="W396" s="70" t="s">
        <v>1532</v>
      </c>
      <c r="X396" s="70" t="s">
        <v>1532</v>
      </c>
      <c r="Y396" s="70" t="s">
        <v>1532</v>
      </c>
      <c r="Z396" s="70" t="s">
        <v>1532</v>
      </c>
      <c r="AA396" s="70" t="s">
        <v>1532</v>
      </c>
      <c r="AB396" s="70" t="s">
        <v>1532</v>
      </c>
      <c r="AC396" s="70" t="s">
        <v>1532</v>
      </c>
      <c r="AD396" s="70" t="s">
        <v>1532</v>
      </c>
      <c r="AE396" s="70" t="s">
        <v>1532</v>
      </c>
      <c r="AF396" s="70" t="s">
        <v>1532</v>
      </c>
      <c r="AG396" s="70" t="s">
        <v>1532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" thickBot="1" x14ac:dyDescent="0.35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" thickBot="1" x14ac:dyDescent="0.35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" thickBot="1" x14ac:dyDescent="0.35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3</v>
      </c>
      <c r="J399" s="31">
        <f t="shared" si="21"/>
        <v>25</v>
      </c>
      <c r="K399" s="32">
        <f t="shared" si="22"/>
        <v>0.10714285714285714</v>
      </c>
      <c r="L399" s="70" t="s">
        <v>1532</v>
      </c>
      <c r="M399" s="70" t="s">
        <v>1532</v>
      </c>
      <c r="N399" s="70" t="s">
        <v>1532</v>
      </c>
      <c r="O399" s="70" t="s">
        <v>1532</v>
      </c>
      <c r="P399" s="70" t="s">
        <v>1532</v>
      </c>
      <c r="Q399" s="70" t="s">
        <v>1532</v>
      </c>
      <c r="R399" s="70" t="s">
        <v>1532</v>
      </c>
      <c r="S399" s="70" t="s">
        <v>1532</v>
      </c>
      <c r="T399" s="70" t="s">
        <v>1532</v>
      </c>
      <c r="U399" s="70" t="s">
        <v>1532</v>
      </c>
      <c r="V399" s="70" t="s">
        <v>1532</v>
      </c>
      <c r="W399" s="70" t="s">
        <v>1532</v>
      </c>
      <c r="X399" s="70" t="s">
        <v>1532</v>
      </c>
      <c r="Y399" s="70" t="s">
        <v>1532</v>
      </c>
      <c r="Z399" s="70" t="s">
        <v>1532</v>
      </c>
      <c r="AA399" s="70" t="s">
        <v>1532</v>
      </c>
      <c r="AB399" s="70" t="s">
        <v>1532</v>
      </c>
      <c r="AC399" s="70" t="s">
        <v>1532</v>
      </c>
      <c r="AD399" s="70" t="s">
        <v>1532</v>
      </c>
      <c r="AE399" s="70" t="s">
        <v>1532</v>
      </c>
      <c r="AF399" s="70" t="s">
        <v>1532</v>
      </c>
      <c r="AG399" s="70" t="s">
        <v>1532</v>
      </c>
      <c r="AH399" s="70" t="s">
        <v>1532</v>
      </c>
      <c r="AI399" s="70" t="s">
        <v>1532</v>
      </c>
      <c r="AJ399" s="70" t="s">
        <v>1532</v>
      </c>
      <c r="AK399" s="70"/>
      <c r="AL399" s="70"/>
      <c r="AM399" s="70"/>
      <c r="AN399" s="70"/>
      <c r="AO399" s="70"/>
      <c r="AP399" s="70"/>
    </row>
    <row r="400" spans="1:42" ht="15" thickBot="1" x14ac:dyDescent="0.35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6</v>
      </c>
      <c r="J400" s="31">
        <f t="shared" si="21"/>
        <v>22</v>
      </c>
      <c r="K400" s="32">
        <f t="shared" si="22"/>
        <v>0.21428571428571427</v>
      </c>
      <c r="L400" s="70"/>
      <c r="M400" s="70"/>
      <c r="N400" s="70"/>
      <c r="O400" s="70" t="s">
        <v>1532</v>
      </c>
      <c r="P400" s="70" t="s">
        <v>1532</v>
      </c>
      <c r="Q400" s="70" t="s">
        <v>1532</v>
      </c>
      <c r="R400" s="70" t="s">
        <v>1532</v>
      </c>
      <c r="S400" s="70" t="s">
        <v>1532</v>
      </c>
      <c r="T400" s="70" t="s">
        <v>1532</v>
      </c>
      <c r="U400" s="70" t="s">
        <v>1532</v>
      </c>
      <c r="V400" s="70" t="s">
        <v>1532</v>
      </c>
      <c r="W400" s="70" t="s">
        <v>1532</v>
      </c>
      <c r="X400" s="70" t="s">
        <v>1532</v>
      </c>
      <c r="Y400" s="70" t="s">
        <v>1532</v>
      </c>
      <c r="Z400" s="70" t="s">
        <v>1532</v>
      </c>
      <c r="AA400" s="70" t="s">
        <v>1532</v>
      </c>
      <c r="AB400" s="70" t="s">
        <v>1532</v>
      </c>
      <c r="AC400" s="70" t="s">
        <v>1532</v>
      </c>
      <c r="AD400" s="70" t="s">
        <v>1532</v>
      </c>
      <c r="AE400" s="70" t="s">
        <v>1532</v>
      </c>
      <c r="AF400" s="70" t="s">
        <v>1532</v>
      </c>
      <c r="AG400" s="70" t="s">
        <v>1532</v>
      </c>
      <c r="AH400" s="70" t="s">
        <v>1532</v>
      </c>
      <c r="AI400" s="70" t="s">
        <v>1532</v>
      </c>
      <c r="AJ400" s="70" t="s">
        <v>1532</v>
      </c>
      <c r="AK400" s="70"/>
      <c r="AL400" s="70"/>
      <c r="AM400" s="70"/>
      <c r="AN400" s="70"/>
      <c r="AO400" s="70"/>
      <c r="AP400" s="70"/>
    </row>
    <row r="401" spans="1:42" ht="15" thickBot="1" x14ac:dyDescent="0.35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" thickBot="1" x14ac:dyDescent="0.35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" thickBot="1" x14ac:dyDescent="0.35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5</v>
      </c>
      <c r="J403" s="31">
        <f t="shared" si="21"/>
        <v>23</v>
      </c>
      <c r="K403" s="32">
        <f t="shared" si="22"/>
        <v>0.17857142857142858</v>
      </c>
      <c r="L403" s="70" t="s">
        <v>1532</v>
      </c>
      <c r="M403" s="70" t="s">
        <v>1532</v>
      </c>
      <c r="N403" s="70" t="s">
        <v>1532</v>
      </c>
      <c r="O403" s="70" t="s">
        <v>1532</v>
      </c>
      <c r="P403" s="70"/>
      <c r="Q403" s="70"/>
      <c r="R403" s="70" t="s">
        <v>1532</v>
      </c>
      <c r="S403" s="70" t="s">
        <v>1532</v>
      </c>
      <c r="T403" s="70" t="s">
        <v>1532</v>
      </c>
      <c r="U403" s="70" t="s">
        <v>1532</v>
      </c>
      <c r="V403" s="70" t="s">
        <v>1532</v>
      </c>
      <c r="W403" s="70" t="s">
        <v>1532</v>
      </c>
      <c r="X403" s="70" t="s">
        <v>1532</v>
      </c>
      <c r="Y403" s="70" t="s">
        <v>1532</v>
      </c>
      <c r="Z403" s="70" t="s">
        <v>1532</v>
      </c>
      <c r="AA403" s="70" t="s">
        <v>1532</v>
      </c>
      <c r="AB403" s="70" t="s">
        <v>1532</v>
      </c>
      <c r="AC403" s="70" t="s">
        <v>1532</v>
      </c>
      <c r="AD403" s="70" t="s">
        <v>1532</v>
      </c>
      <c r="AE403" s="70" t="s">
        <v>1532</v>
      </c>
      <c r="AF403" s="70" t="s">
        <v>1532</v>
      </c>
      <c r="AG403" s="70" t="s">
        <v>1532</v>
      </c>
      <c r="AH403" s="70" t="s">
        <v>1532</v>
      </c>
      <c r="AI403" s="70" t="s">
        <v>1532</v>
      </c>
      <c r="AJ403" s="70" t="s">
        <v>1532</v>
      </c>
      <c r="AK403" s="70"/>
      <c r="AL403" s="70"/>
      <c r="AM403" s="70"/>
      <c r="AN403" s="70"/>
      <c r="AO403" s="70"/>
      <c r="AP403" s="70"/>
    </row>
    <row r="404" spans="1:42" ht="15" thickBot="1" x14ac:dyDescent="0.35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" thickBot="1" x14ac:dyDescent="0.35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" thickBot="1" x14ac:dyDescent="0.35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" thickBot="1" x14ac:dyDescent="0.35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" thickBot="1" x14ac:dyDescent="0.35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" thickBot="1" x14ac:dyDescent="0.35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0"/>
      <c r="M409" s="70" t="s">
        <v>1532</v>
      </c>
      <c r="N409" s="70" t="s">
        <v>1532</v>
      </c>
      <c r="O409" s="70" t="s">
        <v>1532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" thickBot="1" x14ac:dyDescent="0.35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0"/>
      <c r="M410" s="70" t="s">
        <v>1532</v>
      </c>
      <c r="N410" s="70" t="s">
        <v>1532</v>
      </c>
      <c r="O410" s="70" t="s">
        <v>1532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" thickBot="1" x14ac:dyDescent="0.35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" thickBot="1" x14ac:dyDescent="0.35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0"/>
      <c r="M412" s="70" t="s">
        <v>1532</v>
      </c>
      <c r="N412" s="70" t="s">
        <v>1532</v>
      </c>
      <c r="O412" s="70" t="s">
        <v>1532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" thickBot="1" x14ac:dyDescent="0.35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3</v>
      </c>
      <c r="J413" s="31">
        <f t="shared" si="24"/>
        <v>25</v>
      </c>
      <c r="K413" s="32">
        <f t="shared" si="25"/>
        <v>0.10714285714285714</v>
      </c>
      <c r="L413" s="70" t="s">
        <v>1532</v>
      </c>
      <c r="M413" s="70" t="s">
        <v>1532</v>
      </c>
      <c r="N413" s="70" t="s">
        <v>1532</v>
      </c>
      <c r="O413" s="70" t="s">
        <v>1532</v>
      </c>
      <c r="P413" s="70" t="s">
        <v>1532</v>
      </c>
      <c r="Q413" s="70" t="s">
        <v>1532</v>
      </c>
      <c r="R413" s="70" t="s">
        <v>1532</v>
      </c>
      <c r="S413" s="70" t="s">
        <v>1532</v>
      </c>
      <c r="T413" s="70" t="s">
        <v>1532</v>
      </c>
      <c r="U413" s="70" t="s">
        <v>1532</v>
      </c>
      <c r="V413" s="70" t="s">
        <v>1532</v>
      </c>
      <c r="W413" s="70" t="s">
        <v>1532</v>
      </c>
      <c r="X413" s="70" t="s">
        <v>1532</v>
      </c>
      <c r="Y413" s="70" t="s">
        <v>1532</v>
      </c>
      <c r="Z413" s="70" t="s">
        <v>1532</v>
      </c>
      <c r="AA413" s="70" t="s">
        <v>1532</v>
      </c>
      <c r="AB413" s="70" t="s">
        <v>1532</v>
      </c>
      <c r="AC413" s="70" t="s">
        <v>1532</v>
      </c>
      <c r="AD413" s="70" t="s">
        <v>1532</v>
      </c>
      <c r="AE413" s="70" t="s">
        <v>1532</v>
      </c>
      <c r="AF413" s="70" t="s">
        <v>1532</v>
      </c>
      <c r="AG413" s="70" t="s">
        <v>1532</v>
      </c>
      <c r="AH413" s="70" t="s">
        <v>1532</v>
      </c>
      <c r="AI413" s="70" t="s">
        <v>1532</v>
      </c>
      <c r="AJ413" s="70" t="s">
        <v>1532</v>
      </c>
      <c r="AK413" s="70"/>
      <c r="AL413" s="70"/>
      <c r="AM413" s="70"/>
      <c r="AN413" s="70"/>
      <c r="AO413" s="70"/>
      <c r="AP413" s="70"/>
    </row>
    <row r="414" spans="1:42" ht="15" thickBot="1" x14ac:dyDescent="0.35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3</v>
      </c>
      <c r="J414" s="31">
        <f t="shared" si="24"/>
        <v>25</v>
      </c>
      <c r="K414" s="32">
        <f t="shared" si="25"/>
        <v>0.10714285714285714</v>
      </c>
      <c r="L414" s="70" t="s">
        <v>1532</v>
      </c>
      <c r="M414" s="70" t="s">
        <v>1532</v>
      </c>
      <c r="N414" s="70" t="s">
        <v>1532</v>
      </c>
      <c r="O414" s="70" t="s">
        <v>1532</v>
      </c>
      <c r="P414" s="70" t="s">
        <v>1532</v>
      </c>
      <c r="Q414" s="70" t="s">
        <v>1532</v>
      </c>
      <c r="R414" s="70" t="s">
        <v>1532</v>
      </c>
      <c r="S414" s="70" t="s">
        <v>1532</v>
      </c>
      <c r="T414" s="70" t="s">
        <v>1532</v>
      </c>
      <c r="U414" s="70" t="s">
        <v>1532</v>
      </c>
      <c r="V414" s="70" t="s">
        <v>1532</v>
      </c>
      <c r="W414" s="70" t="s">
        <v>1532</v>
      </c>
      <c r="X414" s="70" t="s">
        <v>1532</v>
      </c>
      <c r="Y414" s="70" t="s">
        <v>1532</v>
      </c>
      <c r="Z414" s="70" t="s">
        <v>1532</v>
      </c>
      <c r="AA414" s="70" t="s">
        <v>1532</v>
      </c>
      <c r="AB414" s="70" t="s">
        <v>1532</v>
      </c>
      <c r="AC414" s="70" t="s">
        <v>1532</v>
      </c>
      <c r="AD414" s="70" t="s">
        <v>1532</v>
      </c>
      <c r="AE414" s="70" t="s">
        <v>1532</v>
      </c>
      <c r="AF414" s="70" t="s">
        <v>1532</v>
      </c>
      <c r="AG414" s="70" t="s">
        <v>1532</v>
      </c>
      <c r="AH414" s="70" t="s">
        <v>1532</v>
      </c>
      <c r="AI414" s="70" t="s">
        <v>1532</v>
      </c>
      <c r="AJ414" s="70" t="s">
        <v>1532</v>
      </c>
      <c r="AK414" s="70"/>
      <c r="AL414" s="70"/>
      <c r="AM414" s="70"/>
      <c r="AN414" s="70"/>
      <c r="AO414" s="70"/>
      <c r="AP414" s="70"/>
    </row>
    <row r="415" spans="1:42" ht="15" thickBot="1" x14ac:dyDescent="0.35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" thickBot="1" x14ac:dyDescent="0.35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" thickBot="1" x14ac:dyDescent="0.35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" thickBot="1" x14ac:dyDescent="0.35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3"/>
        <v>6</v>
      </c>
      <c r="J418" s="31">
        <f t="shared" si="24"/>
        <v>22</v>
      </c>
      <c r="K418" s="32">
        <f t="shared" si="25"/>
        <v>0.21428571428571427</v>
      </c>
      <c r="L418" s="70"/>
      <c r="M418" s="70"/>
      <c r="N418" s="70"/>
      <c r="O418" s="70" t="s">
        <v>1532</v>
      </c>
      <c r="P418" s="70" t="s">
        <v>1532</v>
      </c>
      <c r="Q418" s="70" t="s">
        <v>1532</v>
      </c>
      <c r="R418" s="70" t="s">
        <v>1532</v>
      </c>
      <c r="S418" s="70" t="s">
        <v>1532</v>
      </c>
      <c r="T418" s="70" t="s">
        <v>1532</v>
      </c>
      <c r="U418" s="70" t="s">
        <v>1532</v>
      </c>
      <c r="V418" s="70" t="s">
        <v>1532</v>
      </c>
      <c r="W418" s="70" t="s">
        <v>1532</v>
      </c>
      <c r="X418" s="70" t="s">
        <v>1532</v>
      </c>
      <c r="Y418" s="70" t="s">
        <v>1532</v>
      </c>
      <c r="Z418" s="70" t="s">
        <v>1532</v>
      </c>
      <c r="AA418" s="70" t="s">
        <v>1532</v>
      </c>
      <c r="AB418" s="70" t="s">
        <v>1532</v>
      </c>
      <c r="AC418" s="70" t="s">
        <v>1532</v>
      </c>
      <c r="AD418" s="70" t="s">
        <v>1532</v>
      </c>
      <c r="AE418" s="70" t="s">
        <v>1532</v>
      </c>
      <c r="AF418" s="70" t="s">
        <v>1532</v>
      </c>
      <c r="AG418" s="70" t="s">
        <v>1532</v>
      </c>
      <c r="AH418" s="70" t="s">
        <v>1532</v>
      </c>
      <c r="AI418" s="70" t="s">
        <v>1532</v>
      </c>
      <c r="AJ418" s="70" t="s">
        <v>1532</v>
      </c>
      <c r="AK418" s="70"/>
      <c r="AL418" s="70"/>
      <c r="AM418" s="70"/>
      <c r="AN418" s="70"/>
      <c r="AO418" s="70"/>
      <c r="AP418" s="70"/>
    </row>
    <row r="419" spans="1:42" ht="15" thickBot="1" x14ac:dyDescent="0.35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" thickBot="1" x14ac:dyDescent="0.35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" thickBot="1" x14ac:dyDescent="0.35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0"/>
      <c r="M421" s="70"/>
      <c r="N421" s="70"/>
      <c r="O421" s="70" t="s">
        <v>1532</v>
      </c>
      <c r="P421" s="70" t="s">
        <v>1532</v>
      </c>
      <c r="Q421" s="70" t="s">
        <v>1532</v>
      </c>
      <c r="R421" s="70" t="s">
        <v>1532</v>
      </c>
      <c r="S421" s="70"/>
      <c r="T421" s="70" t="s">
        <v>1532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" thickBot="1" x14ac:dyDescent="0.35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0"/>
      <c r="M422" s="70"/>
      <c r="N422" s="70"/>
      <c r="O422" s="70" t="s">
        <v>1532</v>
      </c>
      <c r="P422" s="70" t="s">
        <v>1532</v>
      </c>
      <c r="Q422" s="70" t="s">
        <v>1532</v>
      </c>
      <c r="R422" s="70" t="s">
        <v>1532</v>
      </c>
      <c r="S422" s="70"/>
      <c r="T422" s="70" t="s">
        <v>1532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" thickBot="1" x14ac:dyDescent="0.35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0"/>
      <c r="M423" s="70"/>
      <c r="N423" s="70"/>
      <c r="O423" s="70" t="s">
        <v>1532</v>
      </c>
      <c r="P423" s="70" t="s">
        <v>1532</v>
      </c>
      <c r="Q423" s="70" t="s">
        <v>1532</v>
      </c>
      <c r="R423" s="70" t="s">
        <v>1532</v>
      </c>
      <c r="S423" s="70"/>
      <c r="T423" s="70" t="s">
        <v>1532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" thickBot="1" x14ac:dyDescent="0.35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0"/>
      <c r="M424" s="70"/>
      <c r="N424" s="70"/>
      <c r="O424" s="70" t="s">
        <v>1532</v>
      </c>
      <c r="P424" s="70" t="s">
        <v>1532</v>
      </c>
      <c r="Q424" s="70" t="s">
        <v>1532</v>
      </c>
      <c r="R424" s="70" t="s">
        <v>1532</v>
      </c>
      <c r="S424" s="70"/>
      <c r="T424" s="70" t="s">
        <v>1532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" thickBot="1" x14ac:dyDescent="0.35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1532</v>
      </c>
      <c r="AC425" s="70"/>
      <c r="AD425" s="70"/>
      <c r="AE425" s="70" t="s">
        <v>1532</v>
      </c>
      <c r="AF425" s="70"/>
      <c r="AG425" s="70"/>
      <c r="AH425" s="70" t="s">
        <v>1532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" thickBot="1" x14ac:dyDescent="0.35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1532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" thickBot="1" x14ac:dyDescent="0.35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1532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" thickBot="1" x14ac:dyDescent="0.35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1532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" thickBot="1" x14ac:dyDescent="0.35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1532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" thickBot="1" x14ac:dyDescent="0.35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1532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" thickBot="1" x14ac:dyDescent="0.35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1532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" thickBot="1" x14ac:dyDescent="0.35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1532</v>
      </c>
      <c r="AC432" s="70"/>
      <c r="AD432" s="70"/>
      <c r="AE432" s="70"/>
      <c r="AF432" s="70"/>
      <c r="AG432" s="70"/>
      <c r="AH432" s="70" t="s">
        <v>1532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" thickBot="1" x14ac:dyDescent="0.35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1532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" thickBot="1" x14ac:dyDescent="0.35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" thickBot="1" x14ac:dyDescent="0.35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" thickBot="1" x14ac:dyDescent="0.35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" thickBot="1" x14ac:dyDescent="0.35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" thickBot="1" x14ac:dyDescent="0.35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" thickBot="1" x14ac:dyDescent="0.35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" thickBot="1" x14ac:dyDescent="0.35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" thickBot="1" x14ac:dyDescent="0.35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" thickBot="1" x14ac:dyDescent="0.35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" thickBot="1" x14ac:dyDescent="0.35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1532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" thickBot="1" x14ac:dyDescent="0.35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" thickBot="1" x14ac:dyDescent="0.35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" thickBot="1" x14ac:dyDescent="0.35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1532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" thickBot="1" x14ac:dyDescent="0.35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" thickBot="1" x14ac:dyDescent="0.35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" thickBot="1" x14ac:dyDescent="0.35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1532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" thickBot="1" x14ac:dyDescent="0.35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" thickBot="1" x14ac:dyDescent="0.35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" thickBot="1" x14ac:dyDescent="0.35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" thickBot="1" x14ac:dyDescent="0.35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" thickBot="1" x14ac:dyDescent="0.35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" thickBot="1" x14ac:dyDescent="0.35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" thickBot="1" x14ac:dyDescent="0.35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" thickBot="1" x14ac:dyDescent="0.35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1532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" thickBot="1" x14ac:dyDescent="0.35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1532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" thickBot="1" x14ac:dyDescent="0.35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" thickBot="1" x14ac:dyDescent="0.35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" thickBot="1" x14ac:dyDescent="0.35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" thickBot="1" x14ac:dyDescent="0.35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" thickBot="1" x14ac:dyDescent="0.35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1532</v>
      </c>
      <c r="W463" s="70" t="s">
        <v>1532</v>
      </c>
      <c r="X463" s="70" t="s">
        <v>1532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" thickBot="1" x14ac:dyDescent="0.35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1532</v>
      </c>
      <c r="W464" s="70" t="s">
        <v>1532</v>
      </c>
      <c r="X464" s="70" t="s">
        <v>1532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" thickBot="1" x14ac:dyDescent="0.35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" thickBot="1" x14ac:dyDescent="0.35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" thickBot="1" x14ac:dyDescent="0.35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0" t="s">
        <v>1532</v>
      </c>
      <c r="M467" s="70" t="s">
        <v>1532</v>
      </c>
      <c r="N467" s="70" t="s">
        <v>1532</v>
      </c>
      <c r="O467" s="70" t="s">
        <v>1532</v>
      </c>
      <c r="P467" s="70"/>
      <c r="Q467" s="70" t="s">
        <v>1532</v>
      </c>
      <c r="R467" s="70" t="s">
        <v>1532</v>
      </c>
      <c r="S467" s="70" t="s">
        <v>1532</v>
      </c>
      <c r="T467" s="70" t="s">
        <v>1532</v>
      </c>
      <c r="U467" s="70" t="s">
        <v>1532</v>
      </c>
      <c r="V467" s="70" t="s">
        <v>1532</v>
      </c>
      <c r="W467" s="70" t="s">
        <v>1532</v>
      </c>
      <c r="X467" s="70" t="s">
        <v>1532</v>
      </c>
      <c r="Y467" s="70" t="s">
        <v>1532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" thickBot="1" x14ac:dyDescent="0.35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0"/>
      <c r="M468" s="70"/>
      <c r="N468" s="70"/>
      <c r="O468" s="70" t="s">
        <v>1532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" thickBot="1" x14ac:dyDescent="0.35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" thickBot="1" x14ac:dyDescent="0.35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" thickBot="1" x14ac:dyDescent="0.35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6">COUNTIF(L471:AM471,"")</f>
        <v>28</v>
      </c>
      <c r="J471" s="91">
        <f t="shared" ref="J471:J507" si="27">COUNTIF(L471:AM471,"APAGADO")</f>
        <v>0</v>
      </c>
      <c r="K471" s="92">
        <f t="shared" ref="K471:K507" si="28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" thickBot="1" x14ac:dyDescent="0.35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" thickBot="1" x14ac:dyDescent="0.35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" thickBot="1" x14ac:dyDescent="0.35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" thickBot="1" x14ac:dyDescent="0.35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" thickBot="1" x14ac:dyDescent="0.35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0" t="s">
        <v>1532</v>
      </c>
      <c r="M476" s="70" t="s">
        <v>1532</v>
      </c>
      <c r="N476" s="70" t="s">
        <v>1532</v>
      </c>
      <c r="O476" s="70" t="s">
        <v>1532</v>
      </c>
      <c r="P476" s="70" t="s">
        <v>1532</v>
      </c>
      <c r="Q476" s="70" t="s">
        <v>1532</v>
      </c>
      <c r="R476" s="70" t="s">
        <v>1532</v>
      </c>
      <c r="S476" s="70" t="s">
        <v>1532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" thickBot="1" x14ac:dyDescent="0.35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0"/>
      <c r="M477" s="70"/>
      <c r="N477" s="70"/>
      <c r="O477" s="70" t="s">
        <v>1532</v>
      </c>
      <c r="P477" s="70" t="s">
        <v>1532</v>
      </c>
      <c r="Q477" s="70" t="s">
        <v>1532</v>
      </c>
      <c r="R477" s="70" t="s">
        <v>1532</v>
      </c>
      <c r="S477" s="70" t="s">
        <v>1532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" thickBot="1" x14ac:dyDescent="0.35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0" t="s">
        <v>1532</v>
      </c>
      <c r="M478" s="70" t="s">
        <v>1532</v>
      </c>
      <c r="N478" s="70" t="s">
        <v>1532</v>
      </c>
      <c r="O478" s="70" t="s">
        <v>1532</v>
      </c>
      <c r="P478" s="70" t="s">
        <v>1532</v>
      </c>
      <c r="Q478" s="70" t="s">
        <v>1532</v>
      </c>
      <c r="R478" s="70" t="s">
        <v>1532</v>
      </c>
      <c r="S478" s="70" t="s">
        <v>1532</v>
      </c>
      <c r="T478" s="70" t="s">
        <v>1532</v>
      </c>
      <c r="U478" s="70" t="s">
        <v>1532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" thickBot="1" x14ac:dyDescent="0.35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0" t="s">
        <v>1532</v>
      </c>
      <c r="M479" s="70" t="s">
        <v>1532</v>
      </c>
      <c r="N479" s="70" t="s">
        <v>1532</v>
      </c>
      <c r="O479" s="70" t="s">
        <v>1532</v>
      </c>
      <c r="P479" s="70" t="s">
        <v>1532</v>
      </c>
      <c r="Q479" s="70" t="s">
        <v>1532</v>
      </c>
      <c r="R479" s="70" t="s">
        <v>1532</v>
      </c>
      <c r="S479" s="70" t="s">
        <v>1532</v>
      </c>
      <c r="T479" s="70" t="s">
        <v>1532</v>
      </c>
      <c r="U479" s="70" t="s">
        <v>1532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1532</v>
      </c>
      <c r="AE479" s="70" t="s">
        <v>1532</v>
      </c>
      <c r="AF479" s="70" t="s">
        <v>1532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" thickBot="1" x14ac:dyDescent="0.35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3</v>
      </c>
      <c r="J480" s="31">
        <f t="shared" si="27"/>
        <v>25</v>
      </c>
      <c r="K480" s="32">
        <f t="shared" si="28"/>
        <v>0.10714285714285714</v>
      </c>
      <c r="L480" s="70" t="s">
        <v>1532</v>
      </c>
      <c r="M480" s="70" t="s">
        <v>1532</v>
      </c>
      <c r="N480" s="70" t="s">
        <v>1532</v>
      </c>
      <c r="O480" s="70" t="s">
        <v>1532</v>
      </c>
      <c r="P480" s="70" t="s">
        <v>1532</v>
      </c>
      <c r="Q480" s="70" t="s">
        <v>1532</v>
      </c>
      <c r="R480" s="70" t="s">
        <v>1532</v>
      </c>
      <c r="S480" s="70" t="s">
        <v>1532</v>
      </c>
      <c r="T480" s="70" t="s">
        <v>1532</v>
      </c>
      <c r="U480" s="70" t="s">
        <v>1532</v>
      </c>
      <c r="V480" s="70" t="s">
        <v>1532</v>
      </c>
      <c r="W480" s="70" t="s">
        <v>1532</v>
      </c>
      <c r="X480" s="70" t="s">
        <v>1532</v>
      </c>
      <c r="Y480" s="70" t="s">
        <v>1532</v>
      </c>
      <c r="Z480" s="70" t="s">
        <v>1532</v>
      </c>
      <c r="AA480" s="70" t="s">
        <v>1532</v>
      </c>
      <c r="AB480" s="70" t="s">
        <v>1532</v>
      </c>
      <c r="AC480" s="70" t="s">
        <v>1532</v>
      </c>
      <c r="AD480" s="70" t="s">
        <v>1532</v>
      </c>
      <c r="AE480" s="70" t="s">
        <v>1532</v>
      </c>
      <c r="AF480" s="70" t="s">
        <v>1532</v>
      </c>
      <c r="AG480" s="70" t="s">
        <v>1532</v>
      </c>
      <c r="AH480" s="70" t="s">
        <v>1532</v>
      </c>
      <c r="AI480" s="70" t="s">
        <v>1532</v>
      </c>
      <c r="AJ480" s="70" t="s">
        <v>1532</v>
      </c>
      <c r="AK480" s="70"/>
      <c r="AL480" s="70"/>
      <c r="AM480" s="70"/>
      <c r="AN480" s="70"/>
      <c r="AO480" s="70"/>
      <c r="AP480" s="70"/>
    </row>
    <row r="481" spans="1:42" ht="15" thickBot="1" x14ac:dyDescent="0.35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" thickBot="1" x14ac:dyDescent="0.35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3</v>
      </c>
      <c r="J482" s="31">
        <f t="shared" si="27"/>
        <v>25</v>
      </c>
      <c r="K482" s="32">
        <f t="shared" si="28"/>
        <v>0.10714285714285714</v>
      </c>
      <c r="L482" s="70" t="s">
        <v>1532</v>
      </c>
      <c r="M482" s="70" t="s">
        <v>1532</v>
      </c>
      <c r="N482" s="70" t="s">
        <v>1532</v>
      </c>
      <c r="O482" s="70" t="s">
        <v>1532</v>
      </c>
      <c r="P482" s="70" t="s">
        <v>1532</v>
      </c>
      <c r="Q482" s="70" t="s">
        <v>1532</v>
      </c>
      <c r="R482" s="70" t="s">
        <v>1532</v>
      </c>
      <c r="S482" s="70" t="s">
        <v>1532</v>
      </c>
      <c r="T482" s="70" t="s">
        <v>1532</v>
      </c>
      <c r="U482" s="70" t="s">
        <v>1532</v>
      </c>
      <c r="V482" s="70" t="s">
        <v>1532</v>
      </c>
      <c r="W482" s="70" t="s">
        <v>1532</v>
      </c>
      <c r="X482" s="70" t="s">
        <v>1532</v>
      </c>
      <c r="Y482" s="70" t="s">
        <v>1532</v>
      </c>
      <c r="Z482" s="70" t="s">
        <v>1532</v>
      </c>
      <c r="AA482" s="70" t="s">
        <v>1532</v>
      </c>
      <c r="AB482" s="70" t="s">
        <v>1532</v>
      </c>
      <c r="AC482" s="70" t="s">
        <v>1532</v>
      </c>
      <c r="AD482" s="70" t="s">
        <v>1532</v>
      </c>
      <c r="AE482" s="70" t="s">
        <v>1532</v>
      </c>
      <c r="AF482" s="70" t="s">
        <v>1532</v>
      </c>
      <c r="AG482" s="70" t="s">
        <v>1532</v>
      </c>
      <c r="AH482" s="70" t="s">
        <v>1532</v>
      </c>
      <c r="AI482" s="70" t="s">
        <v>1532</v>
      </c>
      <c r="AJ482" s="70" t="s">
        <v>1532</v>
      </c>
      <c r="AK482" s="70"/>
      <c r="AL482" s="70"/>
      <c r="AM482" s="70"/>
      <c r="AN482" s="70"/>
      <c r="AO482" s="70"/>
      <c r="AP482" s="70"/>
    </row>
    <row r="483" spans="1:42" ht="15" thickBot="1" x14ac:dyDescent="0.35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" thickBot="1" x14ac:dyDescent="0.35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" thickBot="1" x14ac:dyDescent="0.35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" thickBot="1" x14ac:dyDescent="0.35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" thickBot="1" x14ac:dyDescent="0.35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" thickBot="1" x14ac:dyDescent="0.35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" thickBot="1" x14ac:dyDescent="0.35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" thickBot="1" x14ac:dyDescent="0.35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" thickBot="1" x14ac:dyDescent="0.35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" thickBot="1" x14ac:dyDescent="0.35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" thickBot="1" x14ac:dyDescent="0.35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" thickBot="1" x14ac:dyDescent="0.35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0" t="s">
        <v>1532</v>
      </c>
      <c r="M494" s="70" t="s">
        <v>1532</v>
      </c>
      <c r="N494" s="70" t="s">
        <v>1532</v>
      </c>
      <c r="O494" s="70" t="s">
        <v>1532</v>
      </c>
      <c r="P494" s="70" t="s">
        <v>1532</v>
      </c>
      <c r="Q494" s="70" t="s">
        <v>1532</v>
      </c>
      <c r="R494" s="70" t="s">
        <v>1532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1532</v>
      </c>
      <c r="AE494" s="70" t="s">
        <v>1532</v>
      </c>
      <c r="AF494" s="70" t="s">
        <v>1532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" thickBot="1" x14ac:dyDescent="0.35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" thickBot="1" x14ac:dyDescent="0.35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" thickBot="1" x14ac:dyDescent="0.35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" thickBot="1" x14ac:dyDescent="0.35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" thickBot="1" x14ac:dyDescent="0.35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" thickBot="1" x14ac:dyDescent="0.35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" thickBot="1" x14ac:dyDescent="0.35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" thickBot="1" x14ac:dyDescent="0.35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" thickBot="1" x14ac:dyDescent="0.35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" thickBot="1" x14ac:dyDescent="0.35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" thickBot="1" x14ac:dyDescent="0.35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" thickBot="1" x14ac:dyDescent="0.35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" thickBot="1" x14ac:dyDescent="0.35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3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3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3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3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3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3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3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3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3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3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3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3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3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3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3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3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3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3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3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3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3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3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3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3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3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3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3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3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3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3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3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3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3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3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3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3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3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3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3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3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3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3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3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3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3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3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3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3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3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3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3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3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3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3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3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3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3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3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3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3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3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3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3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3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3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3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3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3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3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3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3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3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3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3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3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3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3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3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3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3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3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3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3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3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3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3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3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3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3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3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3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3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3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3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3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3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3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3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3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3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3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3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3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3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3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3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3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3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3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3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3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3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3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3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3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3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3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3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3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3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3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3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3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3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3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3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3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3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3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3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3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3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3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3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3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3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3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3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3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3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3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3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3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3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3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3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3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3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3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3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3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3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3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3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3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3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3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3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3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3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3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3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3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3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3">
      <c r="E754" s="30"/>
      <c r="F754" s="30"/>
      <c r="G754" s="30"/>
      <c r="H754" s="30"/>
      <c r="K754" s="13"/>
      <c r="N754" s="70"/>
    </row>
    <row r="755" spans="5:20" x14ac:dyDescent="0.3">
      <c r="E755" s="30"/>
      <c r="F755" s="30"/>
      <c r="G755" s="30"/>
      <c r="H755" s="30"/>
      <c r="K755" s="13"/>
      <c r="N755" s="70"/>
    </row>
    <row r="756" spans="5:20" x14ac:dyDescent="0.3">
      <c r="E756" s="30"/>
      <c r="F756" s="30"/>
      <c r="G756" s="30"/>
      <c r="H756" s="30"/>
      <c r="K756" s="13"/>
      <c r="N756" s="70"/>
    </row>
    <row r="757" spans="5:20" x14ac:dyDescent="0.3">
      <c r="K757" s="13"/>
      <c r="N757" s="70"/>
    </row>
    <row r="758" spans="5:20" x14ac:dyDescent="0.3">
      <c r="N758" s="70"/>
    </row>
    <row r="759" spans="5:20" x14ac:dyDescent="0.3">
      <c r="N759" s="70"/>
    </row>
    <row r="760" spans="5:20" x14ac:dyDescent="0.3">
      <c r="N760" s="70"/>
    </row>
    <row r="761" spans="5:20" x14ac:dyDescent="0.3">
      <c r="N761" s="70"/>
    </row>
    <row r="762" spans="5:20" x14ac:dyDescent="0.3">
      <c r="N762" s="70"/>
    </row>
    <row r="763" spans="5:20" x14ac:dyDescent="0.3">
      <c r="N763" s="70"/>
    </row>
    <row r="764" spans="5:20" x14ac:dyDescent="0.3">
      <c r="N764" s="70"/>
    </row>
    <row r="765" spans="5:20" x14ac:dyDescent="0.3">
      <c r="N765" s="70"/>
    </row>
    <row r="766" spans="5:20" x14ac:dyDescent="0.3">
      <c r="N766" s="70"/>
    </row>
    <row r="767" spans="5:20" x14ac:dyDescent="0.3">
      <c r="N767" s="70"/>
    </row>
    <row r="768" spans="5:20" x14ac:dyDescent="0.3">
      <c r="N768" s="70"/>
    </row>
    <row r="769" spans="14:14" x14ac:dyDescent="0.3">
      <c r="N769" s="70"/>
    </row>
    <row r="770" spans="14:14" x14ac:dyDescent="0.3">
      <c r="N770" s="70"/>
    </row>
    <row r="771" spans="14:14" x14ac:dyDescent="0.3">
      <c r="N771" s="70"/>
    </row>
    <row r="772" spans="14:14" x14ac:dyDescent="0.3">
      <c r="N772" s="70"/>
    </row>
    <row r="773" spans="14:14" x14ac:dyDescent="0.3">
      <c r="N773" s="70"/>
    </row>
    <row r="774" spans="14:14" x14ac:dyDescent="0.3">
      <c r="N774" s="70"/>
    </row>
    <row r="775" spans="14:14" x14ac:dyDescent="0.3">
      <c r="N775" s="70"/>
    </row>
    <row r="776" spans="14:14" x14ac:dyDescent="0.3">
      <c r="N776" s="70"/>
    </row>
    <row r="777" spans="14:14" x14ac:dyDescent="0.3">
      <c r="N777" s="70"/>
    </row>
    <row r="778" spans="14:14" x14ac:dyDescent="0.3">
      <c r="N778" s="70"/>
    </row>
    <row r="779" spans="14:14" x14ac:dyDescent="0.3">
      <c r="N779" s="70"/>
    </row>
    <row r="780" spans="14:14" x14ac:dyDescent="0.3">
      <c r="N780" s="70"/>
    </row>
    <row r="781" spans="14:14" x14ac:dyDescent="0.3">
      <c r="N781" s="70"/>
    </row>
    <row r="782" spans="14:14" x14ac:dyDescent="0.3">
      <c r="N782" s="70"/>
    </row>
    <row r="783" spans="14:14" x14ac:dyDescent="0.3">
      <c r="N783" s="70"/>
    </row>
    <row r="784" spans="14:14" x14ac:dyDescent="0.3">
      <c r="N784" s="70"/>
    </row>
    <row r="785" spans="14:14" x14ac:dyDescent="0.3">
      <c r="N785" s="70"/>
    </row>
    <row r="786" spans="14:14" x14ac:dyDescent="0.3">
      <c r="N786" s="70"/>
    </row>
    <row r="787" spans="14:14" x14ac:dyDescent="0.3">
      <c r="N787" s="70"/>
    </row>
    <row r="788" spans="14:14" x14ac:dyDescent="0.3">
      <c r="N788" s="70"/>
    </row>
    <row r="789" spans="14:14" x14ac:dyDescent="0.3">
      <c r="N789" s="70"/>
    </row>
    <row r="790" spans="14:14" x14ac:dyDescent="0.3">
      <c r="N790" s="70"/>
    </row>
    <row r="791" spans="14:14" x14ac:dyDescent="0.3">
      <c r="N791" s="70"/>
    </row>
    <row r="792" spans="14:14" x14ac:dyDescent="0.3">
      <c r="N792" s="70"/>
    </row>
    <row r="793" spans="14:14" x14ac:dyDescent="0.3">
      <c r="N793" s="70"/>
    </row>
    <row r="794" spans="14:14" x14ac:dyDescent="0.3">
      <c r="N794" s="70"/>
    </row>
    <row r="795" spans="14:14" x14ac:dyDescent="0.3">
      <c r="N795" s="70"/>
    </row>
    <row r="796" spans="14:14" x14ac:dyDescent="0.3">
      <c r="N796" s="70"/>
    </row>
    <row r="797" spans="14:14" x14ac:dyDescent="0.3">
      <c r="N797" s="70"/>
    </row>
    <row r="798" spans="14:14" x14ac:dyDescent="0.3">
      <c r="N798" s="70"/>
    </row>
    <row r="799" spans="14:14" x14ac:dyDescent="0.3">
      <c r="N799" s="70"/>
    </row>
    <row r="800" spans="14:14" x14ac:dyDescent="0.3">
      <c r="N800" s="70"/>
    </row>
    <row r="801" spans="14:14" x14ac:dyDescent="0.3">
      <c r="N801" s="70"/>
    </row>
    <row r="802" spans="14:14" x14ac:dyDescent="0.3">
      <c r="N802" s="70"/>
    </row>
    <row r="803" spans="14:14" x14ac:dyDescent="0.3">
      <c r="N803" s="70"/>
    </row>
    <row r="804" spans="14:14" x14ac:dyDescent="0.3">
      <c r="N804" s="70"/>
    </row>
    <row r="805" spans="14:14" x14ac:dyDescent="0.3">
      <c r="N805" s="70"/>
    </row>
    <row r="806" spans="14:14" x14ac:dyDescent="0.3">
      <c r="N806" s="70"/>
    </row>
    <row r="807" spans="14:14" x14ac:dyDescent="0.3">
      <c r="N807" s="70"/>
    </row>
    <row r="808" spans="14:14" x14ac:dyDescent="0.3">
      <c r="N808" s="70"/>
    </row>
    <row r="809" spans="14:14" x14ac:dyDescent="0.3">
      <c r="N809" s="70"/>
    </row>
    <row r="810" spans="14:14" x14ac:dyDescent="0.3">
      <c r="N810" s="70"/>
    </row>
    <row r="811" spans="14:14" x14ac:dyDescent="0.3">
      <c r="N811" s="70"/>
    </row>
    <row r="812" spans="14:14" x14ac:dyDescent="0.3">
      <c r="N812" s="70"/>
    </row>
    <row r="813" spans="14:14" x14ac:dyDescent="0.3">
      <c r="N813" s="70"/>
    </row>
    <row r="814" spans="14:14" x14ac:dyDescent="0.3">
      <c r="N814" s="70"/>
    </row>
    <row r="815" spans="14:14" x14ac:dyDescent="0.3">
      <c r="N815" s="70"/>
    </row>
    <row r="816" spans="14:14" x14ac:dyDescent="0.3">
      <c r="N816" s="70"/>
    </row>
    <row r="817" spans="14:14" x14ac:dyDescent="0.3">
      <c r="N817" s="70"/>
    </row>
    <row r="818" spans="14:14" x14ac:dyDescent="0.3">
      <c r="N818" s="70"/>
    </row>
    <row r="819" spans="14:14" x14ac:dyDescent="0.3">
      <c r="N819" s="70"/>
    </row>
    <row r="820" spans="14:14" x14ac:dyDescent="0.3">
      <c r="N820" s="70"/>
    </row>
    <row r="821" spans="14:14" x14ac:dyDescent="0.3">
      <c r="N821" s="70"/>
    </row>
    <row r="822" spans="14:14" x14ac:dyDescent="0.3">
      <c r="N822" s="70"/>
    </row>
    <row r="823" spans="14:14" x14ac:dyDescent="0.3">
      <c r="N823" s="70"/>
    </row>
    <row r="824" spans="14:14" x14ac:dyDescent="0.3">
      <c r="N824" s="70"/>
    </row>
    <row r="825" spans="14:14" x14ac:dyDescent="0.3">
      <c r="N825" s="70"/>
    </row>
    <row r="826" spans="14:14" x14ac:dyDescent="0.3">
      <c r="N826" s="70"/>
    </row>
    <row r="827" spans="14:14" x14ac:dyDescent="0.3">
      <c r="N827" s="70"/>
    </row>
    <row r="828" spans="14:14" x14ac:dyDescent="0.3">
      <c r="N828" s="70"/>
    </row>
    <row r="829" spans="14:14" x14ac:dyDescent="0.3">
      <c r="N829" s="70"/>
    </row>
    <row r="830" spans="14:14" x14ac:dyDescent="0.3">
      <c r="N830" s="70"/>
    </row>
    <row r="831" spans="14:14" x14ac:dyDescent="0.3">
      <c r="N831" s="70"/>
    </row>
    <row r="832" spans="14:14" x14ac:dyDescent="0.3">
      <c r="N832" s="70"/>
    </row>
    <row r="833" spans="14:14" x14ac:dyDescent="0.3">
      <c r="N833" s="70"/>
    </row>
    <row r="834" spans="14:14" x14ac:dyDescent="0.3">
      <c r="N834" s="70"/>
    </row>
    <row r="835" spans="14:14" x14ac:dyDescent="0.3">
      <c r="N835" s="70"/>
    </row>
    <row r="836" spans="14:14" x14ac:dyDescent="0.3">
      <c r="N836" s="70"/>
    </row>
    <row r="837" spans="14:14" x14ac:dyDescent="0.3">
      <c r="N837" s="70"/>
    </row>
    <row r="838" spans="14:14" x14ac:dyDescent="0.3">
      <c r="N838" s="70"/>
    </row>
    <row r="839" spans="14:14" x14ac:dyDescent="0.3">
      <c r="N839" s="70"/>
    </row>
    <row r="840" spans="14:14" x14ac:dyDescent="0.3">
      <c r="N840" s="70"/>
    </row>
    <row r="841" spans="14:14" x14ac:dyDescent="0.3">
      <c r="N841" s="70"/>
    </row>
    <row r="842" spans="14:14" x14ac:dyDescent="0.3">
      <c r="N842" s="70"/>
    </row>
    <row r="843" spans="14:14" x14ac:dyDescent="0.3">
      <c r="N843" s="70"/>
    </row>
    <row r="844" spans="14:14" x14ac:dyDescent="0.3">
      <c r="N844" s="70"/>
    </row>
    <row r="845" spans="14:14" x14ac:dyDescent="0.3">
      <c r="N845" s="70"/>
    </row>
    <row r="846" spans="14:14" x14ac:dyDescent="0.3">
      <c r="N846" s="70"/>
    </row>
    <row r="847" spans="14:14" x14ac:dyDescent="0.3">
      <c r="N847" s="70"/>
    </row>
    <row r="848" spans="14:14" x14ac:dyDescent="0.3">
      <c r="N848" s="70"/>
    </row>
    <row r="849" spans="14:14" x14ac:dyDescent="0.3">
      <c r="N849" s="70"/>
    </row>
    <row r="850" spans="14:14" x14ac:dyDescent="0.3">
      <c r="N850" s="70"/>
    </row>
    <row r="851" spans="14:14" x14ac:dyDescent="0.3">
      <c r="N851" s="70"/>
    </row>
    <row r="852" spans="14:14" x14ac:dyDescent="0.3">
      <c r="N852" s="70"/>
    </row>
    <row r="853" spans="14:14" x14ac:dyDescent="0.3">
      <c r="N853" s="70"/>
    </row>
    <row r="854" spans="14:14" x14ac:dyDescent="0.3">
      <c r="N854" s="70"/>
    </row>
    <row r="855" spans="14:14" x14ac:dyDescent="0.3">
      <c r="N855" s="70"/>
    </row>
    <row r="856" spans="14:14" x14ac:dyDescent="0.3">
      <c r="N856" s="70"/>
    </row>
    <row r="857" spans="14:14" x14ac:dyDescent="0.3">
      <c r="N857" s="70"/>
    </row>
    <row r="858" spans="14:14" x14ac:dyDescent="0.3">
      <c r="N858" s="70"/>
    </row>
    <row r="859" spans="14:14" x14ac:dyDescent="0.3">
      <c r="N859" s="70"/>
    </row>
    <row r="860" spans="14:14" x14ac:dyDescent="0.3">
      <c r="N860" s="70"/>
    </row>
    <row r="861" spans="14:14" x14ac:dyDescent="0.3">
      <c r="N861" s="70"/>
    </row>
    <row r="862" spans="14:14" x14ac:dyDescent="0.3">
      <c r="N862" s="70"/>
    </row>
    <row r="863" spans="14:14" x14ac:dyDescent="0.3">
      <c r="N863" s="70"/>
    </row>
    <row r="864" spans="14:14" x14ac:dyDescent="0.3">
      <c r="N864" s="70"/>
    </row>
    <row r="865" spans="14:14" x14ac:dyDescent="0.3">
      <c r="N865" s="70"/>
    </row>
    <row r="866" spans="14:14" x14ac:dyDescent="0.3">
      <c r="N866" s="70"/>
    </row>
    <row r="867" spans="14:14" x14ac:dyDescent="0.3">
      <c r="N867" s="70"/>
    </row>
    <row r="868" spans="14:14" x14ac:dyDescent="0.3">
      <c r="N868" s="70"/>
    </row>
    <row r="869" spans="14:14" x14ac:dyDescent="0.3">
      <c r="N869" s="70"/>
    </row>
    <row r="870" spans="14:14" x14ac:dyDescent="0.3">
      <c r="N870" s="70"/>
    </row>
    <row r="871" spans="14:14" x14ac:dyDescent="0.3">
      <c r="N871" s="70"/>
    </row>
    <row r="872" spans="14:14" x14ac:dyDescent="0.3">
      <c r="N872" s="70"/>
    </row>
    <row r="873" spans="14:14" x14ac:dyDescent="0.3">
      <c r="N873" s="70"/>
    </row>
    <row r="874" spans="14:14" x14ac:dyDescent="0.3">
      <c r="N874" s="70"/>
    </row>
    <row r="875" spans="14:14" x14ac:dyDescent="0.3">
      <c r="N875" s="70"/>
    </row>
    <row r="876" spans="14:14" x14ac:dyDescent="0.3">
      <c r="N876" s="70"/>
    </row>
    <row r="877" spans="14:14" x14ac:dyDescent="0.3">
      <c r="N877" s="70"/>
    </row>
    <row r="878" spans="14:14" x14ac:dyDescent="0.3">
      <c r="N878" s="70"/>
    </row>
    <row r="879" spans="14:14" x14ac:dyDescent="0.3">
      <c r="N879" s="70"/>
    </row>
    <row r="880" spans="14:14" x14ac:dyDescent="0.3">
      <c r="N880" s="70"/>
    </row>
    <row r="881" spans="14:14" x14ac:dyDescent="0.3">
      <c r="N881" s="70"/>
    </row>
    <row r="882" spans="14:14" x14ac:dyDescent="0.3">
      <c r="N882" s="70"/>
    </row>
    <row r="883" spans="14:14" x14ac:dyDescent="0.3">
      <c r="N883" s="70"/>
    </row>
    <row r="884" spans="14:14" x14ac:dyDescent="0.3">
      <c r="N884" s="70"/>
    </row>
    <row r="885" spans="14:14" x14ac:dyDescent="0.3">
      <c r="N885" s="70"/>
    </row>
    <row r="886" spans="14:14" x14ac:dyDescent="0.3">
      <c r="N886" s="70"/>
    </row>
    <row r="887" spans="14:14" x14ac:dyDescent="0.3">
      <c r="N887" s="70"/>
    </row>
    <row r="888" spans="14:14" x14ac:dyDescent="0.3">
      <c r="N888" s="70"/>
    </row>
    <row r="889" spans="14:14" x14ac:dyDescent="0.3">
      <c r="N889" s="70"/>
    </row>
    <row r="890" spans="14:14" x14ac:dyDescent="0.3">
      <c r="N890" s="70"/>
    </row>
    <row r="891" spans="14:14" x14ac:dyDescent="0.3">
      <c r="N891" s="70"/>
    </row>
    <row r="892" spans="14:14" x14ac:dyDescent="0.3">
      <c r="N892" s="70"/>
    </row>
    <row r="893" spans="14:14" x14ac:dyDescent="0.3">
      <c r="N893" s="70"/>
    </row>
    <row r="894" spans="14:14" x14ac:dyDescent="0.3">
      <c r="N894" s="70"/>
    </row>
    <row r="895" spans="14:14" x14ac:dyDescent="0.3">
      <c r="N895" s="70"/>
    </row>
    <row r="896" spans="14:14" x14ac:dyDescent="0.3">
      <c r="N896" s="70"/>
    </row>
    <row r="897" spans="14:14" x14ac:dyDescent="0.3">
      <c r="N897" s="70"/>
    </row>
    <row r="898" spans="14:14" x14ac:dyDescent="0.3">
      <c r="N898" s="70"/>
    </row>
    <row r="899" spans="14:14" x14ac:dyDescent="0.3">
      <c r="N899" s="70"/>
    </row>
    <row r="900" spans="14:14" x14ac:dyDescent="0.3">
      <c r="N900" s="70"/>
    </row>
    <row r="901" spans="14:14" x14ac:dyDescent="0.3">
      <c r="N901" s="70"/>
    </row>
    <row r="902" spans="14:14" x14ac:dyDescent="0.3">
      <c r="N902" s="70"/>
    </row>
    <row r="903" spans="14:14" x14ac:dyDescent="0.3">
      <c r="N903" s="70"/>
    </row>
    <row r="904" spans="14:14" x14ac:dyDescent="0.3">
      <c r="N904" s="70"/>
    </row>
    <row r="905" spans="14:14" x14ac:dyDescent="0.3">
      <c r="N905" s="70"/>
    </row>
    <row r="906" spans="14:14" x14ac:dyDescent="0.3">
      <c r="N906" s="70"/>
    </row>
    <row r="907" spans="14:14" x14ac:dyDescent="0.3">
      <c r="N907" s="70"/>
    </row>
    <row r="908" spans="14:14" x14ac:dyDescent="0.3">
      <c r="N908" s="70"/>
    </row>
    <row r="909" spans="14:14" x14ac:dyDescent="0.3">
      <c r="N909" s="70"/>
    </row>
    <row r="910" spans="14:14" x14ac:dyDescent="0.3">
      <c r="N910" s="70"/>
    </row>
    <row r="911" spans="14:14" x14ac:dyDescent="0.3">
      <c r="N911" s="70"/>
    </row>
    <row r="912" spans="14:14" x14ac:dyDescent="0.3">
      <c r="N912" s="70"/>
    </row>
    <row r="913" spans="14:14" x14ac:dyDescent="0.3">
      <c r="N913" s="70"/>
    </row>
    <row r="914" spans="14:14" x14ac:dyDescent="0.3">
      <c r="N914" s="70"/>
    </row>
    <row r="915" spans="14:14" x14ac:dyDescent="0.3">
      <c r="N915" s="70"/>
    </row>
    <row r="916" spans="14:14" x14ac:dyDescent="0.3">
      <c r="N916" s="70"/>
    </row>
    <row r="917" spans="14:14" x14ac:dyDescent="0.3">
      <c r="N917" s="70"/>
    </row>
    <row r="918" spans="14:14" x14ac:dyDescent="0.3">
      <c r="N918" s="70"/>
    </row>
    <row r="919" spans="14:14" x14ac:dyDescent="0.3">
      <c r="N919" s="70"/>
    </row>
    <row r="920" spans="14:14" x14ac:dyDescent="0.3">
      <c r="N920" s="70"/>
    </row>
    <row r="921" spans="14:14" x14ac:dyDescent="0.3">
      <c r="N921" s="70"/>
    </row>
    <row r="922" spans="14:14" x14ac:dyDescent="0.3">
      <c r="N922" s="70"/>
    </row>
    <row r="923" spans="14:14" x14ac:dyDescent="0.3">
      <c r="N923" s="70"/>
    </row>
    <row r="924" spans="14:14" x14ac:dyDescent="0.3">
      <c r="N924" s="70"/>
    </row>
    <row r="925" spans="14:14" x14ac:dyDescent="0.3">
      <c r="N925" s="70"/>
    </row>
    <row r="926" spans="14:14" x14ac:dyDescent="0.3">
      <c r="N926" s="70"/>
    </row>
    <row r="927" spans="14:14" x14ac:dyDescent="0.3">
      <c r="N927" s="70"/>
    </row>
    <row r="928" spans="14:14" x14ac:dyDescent="0.3">
      <c r="N928" s="70"/>
    </row>
    <row r="929" spans="14:14" x14ac:dyDescent="0.3">
      <c r="N929" s="70"/>
    </row>
    <row r="930" spans="14:14" x14ac:dyDescent="0.3">
      <c r="N930" s="70"/>
    </row>
    <row r="931" spans="14:14" x14ac:dyDescent="0.3">
      <c r="N931" s="70"/>
    </row>
    <row r="932" spans="14:14" x14ac:dyDescent="0.3">
      <c r="N932" s="70"/>
    </row>
    <row r="933" spans="14:14" x14ac:dyDescent="0.3">
      <c r="N933" s="70"/>
    </row>
    <row r="934" spans="14:14" x14ac:dyDescent="0.3">
      <c r="N934" s="70"/>
    </row>
    <row r="935" spans="14:14" x14ac:dyDescent="0.3">
      <c r="N935" s="70"/>
    </row>
    <row r="936" spans="14:14" x14ac:dyDescent="0.3">
      <c r="N936" s="70"/>
    </row>
    <row r="937" spans="14:14" x14ac:dyDescent="0.3">
      <c r="N937" s="70"/>
    </row>
    <row r="938" spans="14:14" x14ac:dyDescent="0.3">
      <c r="N938" s="70"/>
    </row>
    <row r="939" spans="14:14" x14ac:dyDescent="0.3">
      <c r="N939" s="70"/>
    </row>
    <row r="940" spans="14:14" x14ac:dyDescent="0.3">
      <c r="N940" s="70"/>
    </row>
    <row r="941" spans="14:14" x14ac:dyDescent="0.3">
      <c r="N941" s="70"/>
    </row>
    <row r="942" spans="14:14" x14ac:dyDescent="0.3">
      <c r="N942" s="70"/>
    </row>
    <row r="943" spans="14:14" x14ac:dyDescent="0.3">
      <c r="N943" s="70"/>
    </row>
    <row r="944" spans="14:14" x14ac:dyDescent="0.3">
      <c r="N944" s="70"/>
    </row>
    <row r="945" spans="14:14" x14ac:dyDescent="0.3">
      <c r="N945" s="70"/>
    </row>
    <row r="946" spans="14:14" x14ac:dyDescent="0.3">
      <c r="N946" s="70"/>
    </row>
    <row r="947" spans="14:14" x14ac:dyDescent="0.3">
      <c r="N947" s="70"/>
    </row>
    <row r="948" spans="14:14" x14ac:dyDescent="0.3">
      <c r="N948" s="70"/>
    </row>
    <row r="949" spans="14:14" x14ac:dyDescent="0.3">
      <c r="N949" s="70"/>
    </row>
    <row r="950" spans="14:14" x14ac:dyDescent="0.3">
      <c r="N950" s="70"/>
    </row>
    <row r="951" spans="14:14" x14ac:dyDescent="0.3">
      <c r="N951" s="70"/>
    </row>
    <row r="952" spans="14:14" x14ac:dyDescent="0.3">
      <c r="N952" s="70"/>
    </row>
    <row r="953" spans="14:14" x14ac:dyDescent="0.3">
      <c r="N953" s="70"/>
    </row>
    <row r="954" spans="14:14" x14ac:dyDescent="0.3">
      <c r="N954" s="70"/>
    </row>
    <row r="955" spans="14:14" x14ac:dyDescent="0.3">
      <c r="N955" s="70"/>
    </row>
    <row r="956" spans="14:14" x14ac:dyDescent="0.3">
      <c r="N956" s="70"/>
    </row>
    <row r="957" spans="14:14" x14ac:dyDescent="0.3">
      <c r="N957" s="70"/>
    </row>
    <row r="958" spans="14:14" x14ac:dyDescent="0.3">
      <c r="N958" s="70"/>
    </row>
    <row r="959" spans="14:14" x14ac:dyDescent="0.3">
      <c r="N959" s="70"/>
    </row>
    <row r="960" spans="14:14" x14ac:dyDescent="0.3">
      <c r="N960" s="70"/>
    </row>
    <row r="961" spans="14:14" x14ac:dyDescent="0.3">
      <c r="N961" s="70"/>
    </row>
    <row r="962" spans="14:14" x14ac:dyDescent="0.3">
      <c r="N962" s="70"/>
    </row>
    <row r="963" spans="14:14" x14ac:dyDescent="0.3">
      <c r="N963" s="70"/>
    </row>
    <row r="964" spans="14:14" x14ac:dyDescent="0.3">
      <c r="N964" s="70"/>
    </row>
    <row r="965" spans="14:14" x14ac:dyDescent="0.3">
      <c r="N965" s="70"/>
    </row>
    <row r="966" spans="14:14" x14ac:dyDescent="0.3">
      <c r="N966" s="70"/>
    </row>
    <row r="967" spans="14:14" x14ac:dyDescent="0.3">
      <c r="N967" s="70"/>
    </row>
    <row r="968" spans="14:14" x14ac:dyDescent="0.3">
      <c r="N968" s="70"/>
    </row>
    <row r="969" spans="14:14" x14ac:dyDescent="0.3">
      <c r="N969" s="70"/>
    </row>
    <row r="970" spans="14:14" x14ac:dyDescent="0.3">
      <c r="N970" s="70"/>
    </row>
    <row r="971" spans="14:14" x14ac:dyDescent="0.3">
      <c r="N971" s="70"/>
    </row>
    <row r="972" spans="14:14" x14ac:dyDescent="0.3">
      <c r="N972" s="70"/>
    </row>
    <row r="973" spans="14:14" x14ac:dyDescent="0.3">
      <c r="N973" s="70"/>
    </row>
    <row r="974" spans="14:14" x14ac:dyDescent="0.3">
      <c r="N974" s="70"/>
    </row>
    <row r="975" spans="14:14" x14ac:dyDescent="0.3">
      <c r="N975" s="70"/>
    </row>
    <row r="976" spans="14:14" x14ac:dyDescent="0.3">
      <c r="N976" s="70"/>
    </row>
    <row r="977" spans="14:14" x14ac:dyDescent="0.3">
      <c r="N977" s="70"/>
    </row>
    <row r="978" spans="14:14" x14ac:dyDescent="0.3">
      <c r="N978" s="70"/>
    </row>
    <row r="979" spans="14:14" x14ac:dyDescent="0.3">
      <c r="N979" s="70"/>
    </row>
    <row r="980" spans="14:14" x14ac:dyDescent="0.3">
      <c r="N980" s="70"/>
    </row>
    <row r="981" spans="14:14" x14ac:dyDescent="0.3">
      <c r="N981" s="70"/>
    </row>
    <row r="982" spans="14:14" x14ac:dyDescent="0.3">
      <c r="N982" s="70"/>
    </row>
    <row r="983" spans="14:14" x14ac:dyDescent="0.3">
      <c r="N983" s="70"/>
    </row>
    <row r="984" spans="14:14" x14ac:dyDescent="0.3">
      <c r="N984" s="70"/>
    </row>
    <row r="985" spans="14:14" x14ac:dyDescent="0.3">
      <c r="N985" s="70"/>
    </row>
    <row r="986" spans="14:14" x14ac:dyDescent="0.3">
      <c r="N986" s="70"/>
    </row>
    <row r="987" spans="14:14" x14ac:dyDescent="0.3">
      <c r="N987" s="70"/>
    </row>
    <row r="988" spans="14:14" x14ac:dyDescent="0.3">
      <c r="N988" s="70"/>
    </row>
    <row r="989" spans="14:14" x14ac:dyDescent="0.3">
      <c r="N989" s="70"/>
    </row>
    <row r="990" spans="14:14" x14ac:dyDescent="0.3">
      <c r="N990" s="70"/>
    </row>
    <row r="991" spans="14:14" x14ac:dyDescent="0.3">
      <c r="N991" s="70"/>
    </row>
    <row r="992" spans="14:14" x14ac:dyDescent="0.3">
      <c r="N992" s="70"/>
    </row>
    <row r="993" spans="14:14" x14ac:dyDescent="0.3">
      <c r="N993" s="70"/>
    </row>
    <row r="994" spans="14:14" x14ac:dyDescent="0.3">
      <c r="N994" s="70"/>
    </row>
    <row r="995" spans="14:14" x14ac:dyDescent="0.3">
      <c r="N995" s="70"/>
    </row>
    <row r="996" spans="14:14" x14ac:dyDescent="0.3">
      <c r="N996" s="70"/>
    </row>
    <row r="997" spans="14:14" x14ac:dyDescent="0.3">
      <c r="N997" s="70"/>
    </row>
    <row r="998" spans="14:14" x14ac:dyDescent="0.3">
      <c r="N998" s="70"/>
    </row>
    <row r="999" spans="14:14" x14ac:dyDescent="0.3">
      <c r="N999" s="70"/>
    </row>
    <row r="1000" spans="14:14" x14ac:dyDescent="0.3">
      <c r="N1000" s="70"/>
    </row>
    <row r="1001" spans="14:14" x14ac:dyDescent="0.3">
      <c r="N1001" s="70"/>
    </row>
    <row r="1002" spans="14:14" x14ac:dyDescent="0.3">
      <c r="N1002" s="70"/>
    </row>
    <row r="1003" spans="14:14" x14ac:dyDescent="0.3">
      <c r="N1003" s="70"/>
    </row>
    <row r="1004" spans="14:14" x14ac:dyDescent="0.3">
      <c r="N1004" s="70"/>
    </row>
    <row r="1005" spans="14:14" x14ac:dyDescent="0.3">
      <c r="N1005" s="70"/>
    </row>
    <row r="1006" spans="14:14" x14ac:dyDescent="0.3">
      <c r="N1006" s="70"/>
    </row>
    <row r="1007" spans="14:14" x14ac:dyDescent="0.3">
      <c r="N1007" s="70"/>
    </row>
    <row r="1008" spans="14:14" x14ac:dyDescent="0.3">
      <c r="N1008" s="70"/>
    </row>
    <row r="1009" spans="14:14" x14ac:dyDescent="0.3">
      <c r="N1009" s="70"/>
    </row>
    <row r="1010" spans="14:14" x14ac:dyDescent="0.3">
      <c r="N1010" s="70"/>
    </row>
    <row r="1011" spans="14:14" x14ac:dyDescent="0.3">
      <c r="N1011" s="70"/>
    </row>
    <row r="1012" spans="14:14" x14ac:dyDescent="0.3">
      <c r="N1012" s="70"/>
    </row>
    <row r="1013" spans="14:14" x14ac:dyDescent="0.3">
      <c r="N1013" s="70"/>
    </row>
    <row r="1014" spans="14:14" x14ac:dyDescent="0.3">
      <c r="N1014" s="70"/>
    </row>
    <row r="1015" spans="14:14" x14ac:dyDescent="0.3">
      <c r="N1015" s="70"/>
    </row>
    <row r="1016" spans="14:14" x14ac:dyDescent="0.3">
      <c r="N1016" s="70"/>
    </row>
    <row r="1017" spans="14:14" x14ac:dyDescent="0.3">
      <c r="N1017" s="70"/>
    </row>
    <row r="1018" spans="14:14" x14ac:dyDescent="0.3">
      <c r="N1018" s="70"/>
    </row>
    <row r="1019" spans="14:14" x14ac:dyDescent="0.3">
      <c r="N1019" s="70"/>
    </row>
    <row r="1020" spans="14:14" x14ac:dyDescent="0.3">
      <c r="N1020" s="70"/>
    </row>
    <row r="1021" spans="14:14" x14ac:dyDescent="0.3">
      <c r="N1021" s="70"/>
    </row>
    <row r="1022" spans="14:14" x14ac:dyDescent="0.3">
      <c r="N1022" s="70"/>
    </row>
    <row r="1023" spans="14:14" x14ac:dyDescent="0.3">
      <c r="N1023" s="70"/>
    </row>
    <row r="1024" spans="14:14" x14ac:dyDescent="0.3">
      <c r="N1024" s="70"/>
    </row>
    <row r="1025" spans="14:14" x14ac:dyDescent="0.3">
      <c r="N1025" s="70"/>
    </row>
    <row r="1026" spans="14:14" x14ac:dyDescent="0.3">
      <c r="N1026" s="70"/>
    </row>
    <row r="1027" spans="14:14" x14ac:dyDescent="0.3">
      <c r="N1027" s="70"/>
    </row>
    <row r="1028" spans="14:14" x14ac:dyDescent="0.3">
      <c r="N1028" s="70"/>
    </row>
    <row r="1029" spans="14:14" x14ac:dyDescent="0.3">
      <c r="N1029" s="70"/>
    </row>
    <row r="1030" spans="14:14" x14ac:dyDescent="0.3">
      <c r="N1030" s="70"/>
    </row>
    <row r="1031" spans="14:14" x14ac:dyDescent="0.3">
      <c r="N1031" s="70"/>
    </row>
    <row r="1032" spans="14:14" x14ac:dyDescent="0.3">
      <c r="N1032" s="70"/>
    </row>
    <row r="1033" spans="14:14" x14ac:dyDescent="0.3">
      <c r="N1033" s="70"/>
    </row>
    <row r="1034" spans="14:14" x14ac:dyDescent="0.3">
      <c r="N1034" s="70"/>
    </row>
    <row r="1035" spans="14:14" x14ac:dyDescent="0.3">
      <c r="N1035" s="70"/>
    </row>
    <row r="1036" spans="14:14" x14ac:dyDescent="0.3">
      <c r="N1036" s="70"/>
    </row>
    <row r="1037" spans="14:14" x14ac:dyDescent="0.3">
      <c r="N1037" s="70"/>
    </row>
    <row r="1038" spans="14:14" x14ac:dyDescent="0.3">
      <c r="N1038" s="70"/>
    </row>
    <row r="1039" spans="14:14" x14ac:dyDescent="0.3">
      <c r="N1039" s="70"/>
    </row>
    <row r="1040" spans="14:14" x14ac:dyDescent="0.3">
      <c r="N1040" s="70"/>
    </row>
    <row r="1041" spans="14:14" x14ac:dyDescent="0.3">
      <c r="N1041" s="70"/>
    </row>
    <row r="1042" spans="14:14" x14ac:dyDescent="0.3">
      <c r="N1042" s="70"/>
    </row>
    <row r="1043" spans="14:14" x14ac:dyDescent="0.3">
      <c r="N1043" s="70"/>
    </row>
    <row r="1044" spans="14:14" x14ac:dyDescent="0.3">
      <c r="N1044" s="70"/>
    </row>
    <row r="1045" spans="14:14" x14ac:dyDescent="0.3">
      <c r="N1045" s="70"/>
    </row>
    <row r="1046" spans="14:14" x14ac:dyDescent="0.3">
      <c r="N1046" s="70"/>
    </row>
    <row r="1047" spans="14:14" x14ac:dyDescent="0.3">
      <c r="N1047" s="70"/>
    </row>
    <row r="1048" spans="14:14" x14ac:dyDescent="0.3">
      <c r="N1048" s="70"/>
    </row>
    <row r="1049" spans="14:14" x14ac:dyDescent="0.3">
      <c r="N1049" s="70"/>
    </row>
    <row r="1050" spans="14:14" x14ac:dyDescent="0.3">
      <c r="N1050" s="70"/>
    </row>
    <row r="1051" spans="14:14" x14ac:dyDescent="0.3">
      <c r="N1051" s="70"/>
    </row>
    <row r="1052" spans="14:14" x14ac:dyDescent="0.3">
      <c r="N1052" s="70"/>
    </row>
    <row r="1053" spans="14:14" x14ac:dyDescent="0.3">
      <c r="N1053" s="70"/>
    </row>
    <row r="1054" spans="14:14" x14ac:dyDescent="0.3">
      <c r="N1054" s="70"/>
    </row>
    <row r="1055" spans="14:14" x14ac:dyDescent="0.3">
      <c r="N1055" s="70"/>
    </row>
    <row r="1056" spans="14:14" x14ac:dyDescent="0.3">
      <c r="N1056" s="70"/>
    </row>
    <row r="1057" spans="14:14" x14ac:dyDescent="0.3">
      <c r="N1057" s="70"/>
    </row>
    <row r="1058" spans="14:14" x14ac:dyDescent="0.3">
      <c r="N1058" s="70"/>
    </row>
    <row r="1059" spans="14:14" x14ac:dyDescent="0.3">
      <c r="N1059" s="70"/>
    </row>
    <row r="1060" spans="14:14" x14ac:dyDescent="0.3">
      <c r="N1060" s="70"/>
    </row>
    <row r="1061" spans="14:14" x14ac:dyDescent="0.3">
      <c r="N1061" s="70"/>
    </row>
    <row r="1062" spans="14:14" x14ac:dyDescent="0.3">
      <c r="N1062" s="70"/>
    </row>
    <row r="1063" spans="14:14" x14ac:dyDescent="0.3">
      <c r="N1063" s="70"/>
    </row>
    <row r="1064" spans="14:14" x14ac:dyDescent="0.3">
      <c r="N1064" s="70"/>
    </row>
    <row r="1065" spans="14:14" x14ac:dyDescent="0.3">
      <c r="N1065" s="70"/>
    </row>
    <row r="1066" spans="14:14" x14ac:dyDescent="0.3">
      <c r="N1066" s="70"/>
    </row>
    <row r="1067" spans="14:14" x14ac:dyDescent="0.3">
      <c r="N1067" s="70"/>
    </row>
    <row r="1068" spans="14:14" x14ac:dyDescent="0.3">
      <c r="N1068" s="70"/>
    </row>
    <row r="1069" spans="14:14" x14ac:dyDescent="0.3">
      <c r="N1069" s="70"/>
    </row>
    <row r="1070" spans="14:14" x14ac:dyDescent="0.3">
      <c r="N1070" s="70"/>
    </row>
    <row r="1071" spans="14:14" x14ac:dyDescent="0.3">
      <c r="N1071" s="70"/>
    </row>
    <row r="1072" spans="14:14" x14ac:dyDescent="0.3">
      <c r="N1072" s="70"/>
    </row>
    <row r="1073" spans="14:14" x14ac:dyDescent="0.3">
      <c r="N1073" s="70"/>
    </row>
    <row r="1074" spans="14:14" x14ac:dyDescent="0.3">
      <c r="N1074" s="70"/>
    </row>
    <row r="1075" spans="14:14" x14ac:dyDescent="0.3">
      <c r="N1075" s="70"/>
    </row>
    <row r="1076" spans="14:14" x14ac:dyDescent="0.3">
      <c r="N1076" s="70"/>
    </row>
    <row r="1077" spans="14:14" x14ac:dyDescent="0.3">
      <c r="N1077" s="70"/>
    </row>
    <row r="1078" spans="14:14" x14ac:dyDescent="0.3">
      <c r="N1078" s="70"/>
    </row>
    <row r="1079" spans="14:14" x14ac:dyDescent="0.3">
      <c r="N1079" s="70"/>
    </row>
    <row r="1080" spans="14:14" x14ac:dyDescent="0.3">
      <c r="N1080" s="70"/>
    </row>
    <row r="1081" spans="14:14" x14ac:dyDescent="0.3">
      <c r="N1081" s="70"/>
    </row>
    <row r="1082" spans="14:14" x14ac:dyDescent="0.3">
      <c r="N1082" s="70"/>
    </row>
    <row r="1083" spans="14:14" x14ac:dyDescent="0.3">
      <c r="N1083" s="70"/>
    </row>
    <row r="1084" spans="14:14" x14ac:dyDescent="0.3">
      <c r="N1084" s="70"/>
    </row>
    <row r="1085" spans="14:14" x14ac:dyDescent="0.3">
      <c r="N1085" s="70"/>
    </row>
    <row r="1086" spans="14:14" x14ac:dyDescent="0.3">
      <c r="N1086" s="70"/>
    </row>
    <row r="1087" spans="14:14" x14ac:dyDescent="0.3">
      <c r="N1087" s="70"/>
    </row>
    <row r="1088" spans="14:14" x14ac:dyDescent="0.3">
      <c r="N1088" s="70"/>
    </row>
    <row r="1089" spans="14:14" x14ac:dyDescent="0.3">
      <c r="N1089" s="70"/>
    </row>
    <row r="1090" spans="14:14" x14ac:dyDescent="0.3">
      <c r="N1090" s="70"/>
    </row>
    <row r="1091" spans="14:14" x14ac:dyDescent="0.3">
      <c r="N1091" s="70"/>
    </row>
    <row r="1092" spans="14:14" x14ac:dyDescent="0.3">
      <c r="N1092" s="70"/>
    </row>
    <row r="1093" spans="14:14" x14ac:dyDescent="0.3">
      <c r="N1093" s="70"/>
    </row>
    <row r="1094" spans="14:14" x14ac:dyDescent="0.3">
      <c r="N1094" s="70"/>
    </row>
    <row r="1095" spans="14:14" x14ac:dyDescent="0.3">
      <c r="N1095" s="70"/>
    </row>
    <row r="1096" spans="14:14" x14ac:dyDescent="0.3">
      <c r="N1096" s="70"/>
    </row>
    <row r="1097" spans="14:14" x14ac:dyDescent="0.3">
      <c r="N1097" s="70"/>
    </row>
    <row r="1098" spans="14:14" x14ac:dyDescent="0.3">
      <c r="N1098" s="70"/>
    </row>
    <row r="1099" spans="14:14" x14ac:dyDescent="0.3">
      <c r="N1099" s="70"/>
    </row>
    <row r="1100" spans="14:14" x14ac:dyDescent="0.3">
      <c r="N1100" s="70"/>
    </row>
    <row r="1101" spans="14:14" x14ac:dyDescent="0.3">
      <c r="N1101" s="70"/>
    </row>
    <row r="1102" spans="14:14" x14ac:dyDescent="0.3">
      <c r="N1102" s="70"/>
    </row>
    <row r="1103" spans="14:14" x14ac:dyDescent="0.3">
      <c r="N1103" s="70"/>
    </row>
    <row r="1104" spans="14:14" x14ac:dyDescent="0.3">
      <c r="N1104" s="70"/>
    </row>
    <row r="1105" spans="14:14" x14ac:dyDescent="0.3">
      <c r="N1105" s="70"/>
    </row>
    <row r="1106" spans="14:14" x14ac:dyDescent="0.3">
      <c r="N1106" s="70"/>
    </row>
    <row r="1107" spans="14:14" x14ac:dyDescent="0.3">
      <c r="N1107" s="70"/>
    </row>
    <row r="1108" spans="14:14" x14ac:dyDescent="0.3">
      <c r="N1108" s="70"/>
    </row>
    <row r="1109" spans="14:14" x14ac:dyDescent="0.3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101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100" priority="457" operator="equal">
      <formula>$C$255</formula>
    </cfRule>
  </conditionalFormatting>
  <conditionalFormatting sqref="C1:C507 D20 D191 D242:D243 D253:D254 D351:D353 D366 C590:C1048576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6" operator="containsText" text="Radio">
      <formula>NOT(ISERROR(SEARCH("Radio",E486)))</formula>
    </cfRule>
    <cfRule type="containsText" dxfId="93" priority="405" operator="containsText" text="domo">
      <formula>NOT(ISERROR(SEARCH("domo",E486)))</formula>
    </cfRule>
    <cfRule type="containsText" dxfId="92" priority="404" operator="containsText" text="fija">
      <formula>NOT(ISERROR(SEARCH("fija",E486)))</formula>
    </cfRule>
  </conditionalFormatting>
  <conditionalFormatting sqref="E486:E487">
    <cfRule type="containsText" dxfId="91" priority="400" operator="containsText" text="domo">
      <formula>NOT(ISERROR(SEARCH("domo",E486)))</formula>
    </cfRule>
    <cfRule type="containsText" dxfId="90" priority="399" operator="containsText" text="fija">
      <formula>NOT(ISERROR(SEARCH("fija",E486)))</formula>
    </cfRule>
  </conditionalFormatting>
  <conditionalFormatting sqref="E487">
    <cfRule type="containsText" dxfId="89" priority="398" operator="containsText" text="domo">
      <formula>NOT(ISERROR(SEARCH("domo",E487)))</formula>
    </cfRule>
    <cfRule type="containsText" dxfId="88" priority="397" operator="containsText" text="fija">
      <formula>NOT(ISERROR(SEARCH("fija",E487)))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5" operator="containsText" text="domo">
      <formula>NOT(ISERROR(SEARCH("domo",E490)))</formula>
    </cfRule>
    <cfRule type="containsText" dxfId="85" priority="396" operator="containsText" text="Radio">
      <formula>NOT(ISERROR(SEARCH("Radio",E490)))</formula>
    </cfRule>
    <cfRule type="containsText" dxfId="84" priority="394" operator="containsText" text="fija">
      <formula>NOT(ISERROR(SEARCH("fija",E490)))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5" operator="containsText" text="domo">
      <formula>NOT(ISERROR(SEARCH("domo",E491)))</formula>
    </cfRule>
    <cfRule type="containsText" dxfId="79" priority="384" operator="containsText" text="fija">
      <formula>NOT(ISERROR(SEARCH("fija",E491)))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80" operator="containsText" text="domo">
      <formula>NOT(ISERROR(SEARCH("domo",E492)))</formula>
    </cfRule>
    <cfRule type="containsText" dxfId="76" priority="379" operator="containsText" text="fija">
      <formula>NOT(ISERROR(SEARCH("fija",E492)))</formula>
    </cfRule>
  </conditionalFormatting>
  <conditionalFormatting sqref="E493">
    <cfRule type="containsText" dxfId="75" priority="381" operator="containsText" text="Radio">
      <formula>NOT(ISERROR(SEARCH("Radio",E493)))</formula>
    </cfRule>
    <cfRule type="containsText" dxfId="74" priority="377" operator="containsText" text="fija">
      <formula>NOT(ISERROR(SEARCH("fija",E493)))</formula>
    </cfRule>
    <cfRule type="containsText" dxfId="73" priority="378" operator="containsText" text="domo">
      <formula>NOT(ISERROR(SEARCH("domo",E493)))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5">
    <cfRule type="cellIs" dxfId="65" priority="55" operator="equal">
      <formula>"PTP A FO"</formula>
    </cfRule>
    <cfRule type="containsText" dxfId="64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NOT(ISERROR(SEARCH("Caida",N590)))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57" zoomScale="90" zoomScaleNormal="90" workbookViewId="0">
      <selection activeCell="F270" sqref="F270:F278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11" t="s">
        <v>918</v>
      </c>
      <c r="D1" s="112" t="s">
        <v>1475</v>
      </c>
      <c r="E1" s="113" t="s">
        <v>919</v>
      </c>
    </row>
    <row r="2" spans="1:6" ht="15.6" customHeight="1" thickTop="1" x14ac:dyDescent="0.3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3">
      <c r="A3" s="76" t="s">
        <v>1487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3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3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3">
      <c r="A6" s="101" t="s">
        <v>1487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" thickBot="1" x14ac:dyDescent="0.35">
      <c r="A7" s="99"/>
      <c r="B7" s="56" t="s">
        <v>1474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5.6" thickTop="1" thickBot="1" x14ac:dyDescent="0.35">
      <c r="A8" s="99"/>
      <c r="B8" s="115"/>
      <c r="C8" s="114" t="s">
        <v>918</v>
      </c>
      <c r="D8" s="100" t="s">
        <v>1475</v>
      </c>
      <c r="E8" s="106" t="s">
        <v>919</v>
      </c>
      <c r="F8" s="148"/>
    </row>
    <row r="9" spans="1:6" ht="15" customHeight="1" thickTop="1" thickBot="1" x14ac:dyDescent="0.35">
      <c r="A9" s="35" t="s">
        <v>1489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" thickBot="1" x14ac:dyDescent="0.35">
      <c r="A10" t="s">
        <v>1489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11" t="s">
        <v>918</v>
      </c>
      <c r="D12" s="112" t="s">
        <v>1475</v>
      </c>
      <c r="E12" s="113" t="s">
        <v>919</v>
      </c>
    </row>
    <row r="13" spans="1:6" ht="15" customHeight="1" thickTop="1" x14ac:dyDescent="0.3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3">
      <c r="A14" t="s">
        <v>1488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3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3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3">
      <c r="A17" t="s">
        <v>1488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" thickBot="1" x14ac:dyDescent="0.35">
      <c r="B18" s="56" t="s">
        <v>1474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5.6" thickTop="1" thickBot="1" x14ac:dyDescent="0.35">
      <c r="B19" s="115"/>
      <c r="C19" s="114" t="s">
        <v>918</v>
      </c>
      <c r="D19" s="100" t="s">
        <v>1475</v>
      </c>
      <c r="E19" s="106" t="s">
        <v>919</v>
      </c>
      <c r="F19" s="148"/>
    </row>
    <row r="20" spans="1:6" ht="15.6" thickTop="1" thickBot="1" x14ac:dyDescent="0.35">
      <c r="A20" t="s">
        <v>1490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" thickBot="1" x14ac:dyDescent="0.35">
      <c r="A21" t="s">
        <v>1490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11" t="s">
        <v>918</v>
      </c>
      <c r="D23" s="112" t="s">
        <v>1475</v>
      </c>
      <c r="E23" s="113" t="s">
        <v>919</v>
      </c>
    </row>
    <row r="24" spans="1:6" ht="15" thickTop="1" x14ac:dyDescent="0.3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3">
      <c r="A25" t="s">
        <v>1481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3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3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3">
      <c r="A28" t="s">
        <v>1481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" thickBot="1" x14ac:dyDescent="0.35">
      <c r="B29" s="56" t="s">
        <v>1474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5.6" thickTop="1" thickBot="1" x14ac:dyDescent="0.35">
      <c r="B30" s="115"/>
      <c r="C30" s="114" t="s">
        <v>918</v>
      </c>
      <c r="D30" s="100" t="s">
        <v>1475</v>
      </c>
      <c r="E30" s="106" t="s">
        <v>919</v>
      </c>
      <c r="F30" s="148"/>
    </row>
    <row r="31" spans="1:6" ht="15.6" thickTop="1" thickBot="1" x14ac:dyDescent="0.35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" thickBot="1" x14ac:dyDescent="0.35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5.6" thickTop="1" thickBot="1" x14ac:dyDescent="0.35"/>
    <row r="34" spans="1:6" ht="15.6" thickTop="1" thickBot="1" x14ac:dyDescent="0.35">
      <c r="C34" s="111" t="s">
        <v>918</v>
      </c>
      <c r="D34" s="112" t="s">
        <v>1475</v>
      </c>
      <c r="E34" s="113" t="s">
        <v>919</v>
      </c>
    </row>
    <row r="35" spans="1:6" ht="15" thickTop="1" x14ac:dyDescent="0.3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3">
      <c r="A36" t="s">
        <v>1480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3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3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3">
      <c r="A39" t="s">
        <v>1480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" thickBot="1" x14ac:dyDescent="0.35">
      <c r="B40" s="56" t="s">
        <v>1474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5.6" thickTop="1" thickBot="1" x14ac:dyDescent="0.35">
      <c r="B41" s="115"/>
      <c r="C41" s="114" t="s">
        <v>918</v>
      </c>
      <c r="D41" s="100" t="s">
        <v>1475</v>
      </c>
      <c r="E41" s="106" t="s">
        <v>919</v>
      </c>
      <c r="F41" s="148"/>
    </row>
    <row r="42" spans="1:6" ht="15.6" thickTop="1" thickBot="1" x14ac:dyDescent="0.35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" thickBot="1" x14ac:dyDescent="0.35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5.6" thickTop="1" thickBot="1" x14ac:dyDescent="0.35"/>
    <row r="45" spans="1:6" ht="15.6" thickTop="1" thickBot="1" x14ac:dyDescent="0.35">
      <c r="C45" s="111" t="s">
        <v>918</v>
      </c>
      <c r="D45" s="112" t="s">
        <v>1475</v>
      </c>
      <c r="E45" s="113" t="s">
        <v>919</v>
      </c>
    </row>
    <row r="46" spans="1:6" ht="15" thickTop="1" x14ac:dyDescent="0.3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3">
      <c r="A47" t="s">
        <v>1482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3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3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3">
      <c r="A50" t="s">
        <v>1482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" thickBot="1" x14ac:dyDescent="0.35">
      <c r="B51" s="56" t="s">
        <v>1474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5.6" thickTop="1" thickBot="1" x14ac:dyDescent="0.35">
      <c r="B52" s="115"/>
      <c r="C52" s="114" t="s">
        <v>918</v>
      </c>
      <c r="D52" s="100" t="s">
        <v>1475</v>
      </c>
      <c r="E52" s="106" t="s">
        <v>919</v>
      </c>
      <c r="F52" s="148"/>
    </row>
    <row r="53" spans="1:6" ht="15.6" thickTop="1" thickBot="1" x14ac:dyDescent="0.35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" thickBot="1" x14ac:dyDescent="0.35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5.6" thickTop="1" thickBot="1" x14ac:dyDescent="0.35"/>
    <row r="56" spans="1:6" ht="15.6" thickTop="1" thickBot="1" x14ac:dyDescent="0.35">
      <c r="C56" s="111" t="s">
        <v>918</v>
      </c>
      <c r="D56" s="112" t="s">
        <v>1475</v>
      </c>
      <c r="E56" s="113" t="s">
        <v>919</v>
      </c>
    </row>
    <row r="57" spans="1:6" ht="15" thickTop="1" x14ac:dyDescent="0.3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3">
      <c r="A58" t="s">
        <v>1483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3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3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3">
      <c r="A61" t="s">
        <v>1483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" thickBot="1" x14ac:dyDescent="0.35">
      <c r="B62" s="56" t="s">
        <v>1474</v>
      </c>
      <c r="C62" s="135">
        <v>10</v>
      </c>
      <c r="D62" s="108">
        <v>0</v>
      </c>
      <c r="E62" s="74">
        <f>D62/C57</f>
        <v>0</v>
      </c>
      <c r="F62" s="148"/>
    </row>
    <row r="63" spans="1:6" ht="15.6" thickTop="1" thickBot="1" x14ac:dyDescent="0.35">
      <c r="B63" s="115"/>
      <c r="C63" s="114" t="s">
        <v>918</v>
      </c>
      <c r="D63" s="100" t="s">
        <v>1475</v>
      </c>
      <c r="E63" s="106" t="s">
        <v>919</v>
      </c>
      <c r="F63" s="148"/>
    </row>
    <row r="64" spans="1:6" ht="15.6" thickTop="1" thickBot="1" x14ac:dyDescent="0.35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" thickBot="1" x14ac:dyDescent="0.35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5.6" thickTop="1" thickBot="1" x14ac:dyDescent="0.35"/>
    <row r="67" spans="1:6" ht="15.6" thickTop="1" thickBot="1" x14ac:dyDescent="0.35">
      <c r="C67" s="111" t="s">
        <v>918</v>
      </c>
      <c r="D67" s="112" t="s">
        <v>1475</v>
      </c>
      <c r="E67" s="113" t="s">
        <v>919</v>
      </c>
    </row>
    <row r="68" spans="1:6" ht="15" thickTop="1" x14ac:dyDescent="0.3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3">
      <c r="A69" t="s">
        <v>1484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3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3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3">
      <c r="A72" t="s">
        <v>1484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" thickBot="1" x14ac:dyDescent="0.35">
      <c r="B73" s="56" t="s">
        <v>1474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5.6" thickTop="1" thickBot="1" x14ac:dyDescent="0.35">
      <c r="B74" s="115"/>
      <c r="C74" s="114" t="s">
        <v>918</v>
      </c>
      <c r="D74" s="100" t="s">
        <v>1475</v>
      </c>
      <c r="E74" s="106" t="s">
        <v>919</v>
      </c>
      <c r="F74" s="148"/>
    </row>
    <row r="75" spans="1:6" ht="15.6" thickTop="1" thickBot="1" x14ac:dyDescent="0.35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" thickBot="1" x14ac:dyDescent="0.35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5.6" thickTop="1" thickBot="1" x14ac:dyDescent="0.35"/>
    <row r="78" spans="1:6" ht="15.6" thickTop="1" thickBot="1" x14ac:dyDescent="0.35">
      <c r="C78" s="111" t="s">
        <v>918</v>
      </c>
      <c r="D78" s="112" t="s">
        <v>1475</v>
      </c>
      <c r="E78" s="113" t="s">
        <v>919</v>
      </c>
    </row>
    <row r="79" spans="1:6" ht="15" thickTop="1" x14ac:dyDescent="0.3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3">
      <c r="A80" t="s">
        <v>1479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3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3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3">
      <c r="A83" t="s">
        <v>1479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" thickBot="1" x14ac:dyDescent="0.35">
      <c r="B84" s="56" t="s">
        <v>1474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5.6" thickTop="1" thickBot="1" x14ac:dyDescent="0.35">
      <c r="B85" s="115"/>
      <c r="C85" s="114" t="s">
        <v>918</v>
      </c>
      <c r="D85" s="100" t="s">
        <v>1475</v>
      </c>
      <c r="E85" s="106" t="s">
        <v>919</v>
      </c>
      <c r="F85" s="148"/>
    </row>
    <row r="86" spans="1:6" ht="15.6" thickTop="1" thickBot="1" x14ac:dyDescent="0.35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" thickBot="1" x14ac:dyDescent="0.35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5.6" thickTop="1" thickBot="1" x14ac:dyDescent="0.35"/>
    <row r="89" spans="1:6" ht="15.6" thickTop="1" thickBot="1" x14ac:dyDescent="0.35">
      <c r="C89" s="111" t="s">
        <v>918</v>
      </c>
      <c r="D89" s="112" t="s">
        <v>1475</v>
      </c>
      <c r="E89" s="113" t="s">
        <v>919</v>
      </c>
    </row>
    <row r="90" spans="1:6" ht="15" thickTop="1" x14ac:dyDescent="0.3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3">
      <c r="A91" t="s">
        <v>1485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3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3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3">
      <c r="A94" t="s">
        <v>1485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" thickBot="1" x14ac:dyDescent="0.35">
      <c r="B95" s="56" t="s">
        <v>1474</v>
      </c>
      <c r="C95" s="135">
        <v>0</v>
      </c>
      <c r="D95" s="108">
        <v>0</v>
      </c>
      <c r="E95" s="74">
        <f>D95/C90</f>
        <v>0</v>
      </c>
      <c r="F95" s="148"/>
    </row>
    <row r="96" spans="1:6" ht="15.6" thickTop="1" thickBot="1" x14ac:dyDescent="0.35">
      <c r="B96" s="115"/>
      <c r="C96" s="114" t="s">
        <v>918</v>
      </c>
      <c r="D96" s="100" t="s">
        <v>1475</v>
      </c>
      <c r="E96" s="106" t="s">
        <v>919</v>
      </c>
      <c r="F96" s="148"/>
    </row>
    <row r="97" spans="1:6" ht="15.6" thickTop="1" thickBot="1" x14ac:dyDescent="0.35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" thickBot="1" x14ac:dyDescent="0.35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5.6" thickTop="1" thickBot="1" x14ac:dyDescent="0.35"/>
    <row r="100" spans="1:6" ht="15.6" thickTop="1" thickBot="1" x14ac:dyDescent="0.35">
      <c r="C100" s="111" t="s">
        <v>918</v>
      </c>
      <c r="D100" s="112" t="s">
        <v>1475</v>
      </c>
      <c r="E100" s="113" t="s">
        <v>919</v>
      </c>
    </row>
    <row r="101" spans="1:6" ht="15" thickTop="1" x14ac:dyDescent="0.3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3">
      <c r="A102" t="s">
        <v>1486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3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3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3">
      <c r="A105" t="s">
        <v>1486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" thickBot="1" x14ac:dyDescent="0.35">
      <c r="B106" s="56" t="s">
        <v>1474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5.6" thickTop="1" thickBot="1" x14ac:dyDescent="0.35">
      <c r="B107" s="115"/>
      <c r="C107" s="114" t="s">
        <v>918</v>
      </c>
      <c r="D107" s="100" t="s">
        <v>1475</v>
      </c>
      <c r="E107" s="106" t="s">
        <v>919</v>
      </c>
      <c r="F107" s="148"/>
    </row>
    <row r="108" spans="1:6" ht="15.6" thickTop="1" thickBot="1" x14ac:dyDescent="0.35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" thickBot="1" x14ac:dyDescent="0.35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5.6" thickTop="1" thickBot="1" x14ac:dyDescent="0.35"/>
    <row r="111" spans="1:6" ht="15.6" thickTop="1" thickBot="1" x14ac:dyDescent="0.35">
      <c r="C111" s="111" t="s">
        <v>918</v>
      </c>
      <c r="D111" s="112" t="s">
        <v>1475</v>
      </c>
      <c r="E111" s="113" t="s">
        <v>919</v>
      </c>
    </row>
    <row r="112" spans="1:6" ht="15" thickTop="1" x14ac:dyDescent="0.3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3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3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3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3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" thickBot="1" x14ac:dyDescent="0.35">
      <c r="B117" s="56" t="s">
        <v>1474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5.6" thickTop="1" thickBot="1" x14ac:dyDescent="0.35">
      <c r="B118" s="115"/>
      <c r="C118" s="114" t="s">
        <v>918</v>
      </c>
      <c r="D118" s="100" t="s">
        <v>1475</v>
      </c>
      <c r="E118" s="106" t="s">
        <v>919</v>
      </c>
      <c r="F118" s="148"/>
    </row>
    <row r="119" spans="2:6" ht="15.6" thickTop="1" thickBot="1" x14ac:dyDescent="0.35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" thickBot="1" x14ac:dyDescent="0.35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5.6" thickTop="1" thickBot="1" x14ac:dyDescent="0.35"/>
    <row r="122" spans="2:6" ht="15.6" thickTop="1" thickBot="1" x14ac:dyDescent="0.35">
      <c r="C122" s="111" t="s">
        <v>918</v>
      </c>
      <c r="D122" s="112" t="s">
        <v>1475</v>
      </c>
      <c r="E122" s="113" t="s">
        <v>919</v>
      </c>
    </row>
    <row r="123" spans="2:6" ht="15" thickTop="1" x14ac:dyDescent="0.3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3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3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3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3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" thickBot="1" x14ac:dyDescent="0.35">
      <c r="B128" s="56" t="s">
        <v>1474</v>
      </c>
      <c r="C128" s="135"/>
      <c r="D128" s="108">
        <f>D127-C128</f>
        <v>50</v>
      </c>
      <c r="E128" s="74">
        <f>D128/C123</f>
        <v>0.1</v>
      </c>
      <c r="F128" s="148"/>
    </row>
    <row r="129" spans="2:6" ht="15.6" thickTop="1" thickBot="1" x14ac:dyDescent="0.35">
      <c r="B129" s="115"/>
      <c r="C129" s="114" t="s">
        <v>918</v>
      </c>
      <c r="D129" s="100" t="s">
        <v>1475</v>
      </c>
      <c r="E129" s="106" t="s">
        <v>919</v>
      </c>
      <c r="F129" s="148"/>
    </row>
    <row r="130" spans="2:6" ht="15.6" thickTop="1" thickBot="1" x14ac:dyDescent="0.35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" thickBot="1" x14ac:dyDescent="0.35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5.6" thickTop="1" thickBot="1" x14ac:dyDescent="0.35"/>
    <row r="133" spans="2:6" ht="15.6" thickTop="1" thickBot="1" x14ac:dyDescent="0.35">
      <c r="C133" s="111" t="s">
        <v>918</v>
      </c>
      <c r="D133" s="112" t="s">
        <v>1475</v>
      </c>
      <c r="E133" s="113" t="s">
        <v>919</v>
      </c>
    </row>
    <row r="134" spans="2:6" ht="15" thickTop="1" x14ac:dyDescent="0.3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3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3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3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3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" thickBot="1" x14ac:dyDescent="0.35">
      <c r="B139" s="56" t="s">
        <v>1474</v>
      </c>
      <c r="C139" s="135">
        <v>0</v>
      </c>
      <c r="D139" s="108">
        <v>0</v>
      </c>
      <c r="E139" s="74">
        <f>D139/C134</f>
        <v>0</v>
      </c>
      <c r="F139" s="148"/>
    </row>
    <row r="140" spans="2:6" ht="15.6" thickTop="1" thickBot="1" x14ac:dyDescent="0.35">
      <c r="B140" s="115"/>
      <c r="C140" s="114" t="s">
        <v>918</v>
      </c>
      <c r="D140" s="100" t="s">
        <v>1475</v>
      </c>
      <c r="E140" s="106" t="s">
        <v>919</v>
      </c>
      <c r="F140" s="148"/>
    </row>
    <row r="141" spans="2:6" ht="15.6" thickTop="1" thickBot="1" x14ac:dyDescent="0.35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" thickBot="1" x14ac:dyDescent="0.35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5.6" thickTop="1" thickBot="1" x14ac:dyDescent="0.35"/>
    <row r="144" spans="2:6" ht="15.6" thickTop="1" thickBot="1" x14ac:dyDescent="0.35">
      <c r="C144" s="111" t="s">
        <v>918</v>
      </c>
      <c r="D144" s="112" t="s">
        <v>1475</v>
      </c>
      <c r="E144" s="113" t="s">
        <v>919</v>
      </c>
    </row>
    <row r="145" spans="2:6" ht="15" thickTop="1" x14ac:dyDescent="0.3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3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3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3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3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" thickBot="1" x14ac:dyDescent="0.35">
      <c r="B150" s="56" t="s">
        <v>1474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5.6" thickTop="1" thickBot="1" x14ac:dyDescent="0.35">
      <c r="B151" s="115"/>
      <c r="C151" s="114" t="s">
        <v>918</v>
      </c>
      <c r="D151" s="100" t="s">
        <v>1475</v>
      </c>
      <c r="E151" s="106" t="s">
        <v>919</v>
      </c>
      <c r="F151" s="148"/>
    </row>
    <row r="152" spans="2:6" ht="15.6" thickTop="1" thickBot="1" x14ac:dyDescent="0.35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" thickBot="1" x14ac:dyDescent="0.35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5"/>
    <row r="155" spans="2:6" ht="15.6" thickTop="1" thickBot="1" x14ac:dyDescent="0.35">
      <c r="C155" s="111" t="s">
        <v>918</v>
      </c>
      <c r="D155" s="112" t="s">
        <v>1475</v>
      </c>
      <c r="E155" s="113" t="s">
        <v>919</v>
      </c>
    </row>
    <row r="156" spans="2:6" ht="15" thickTop="1" x14ac:dyDescent="0.3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3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3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3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3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" thickBot="1" x14ac:dyDescent="0.35">
      <c r="B161" s="56" t="s">
        <v>1474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5.6" thickTop="1" thickBot="1" x14ac:dyDescent="0.35">
      <c r="B162" s="115"/>
      <c r="C162" s="114" t="s">
        <v>918</v>
      </c>
      <c r="D162" s="100" t="s">
        <v>1475</v>
      </c>
      <c r="E162" s="106" t="s">
        <v>919</v>
      </c>
      <c r="F162" s="148"/>
    </row>
    <row r="163" spans="2:6" ht="15.6" thickTop="1" thickBot="1" x14ac:dyDescent="0.35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" thickBot="1" x14ac:dyDescent="0.35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5.6" thickTop="1" thickBot="1" x14ac:dyDescent="0.35"/>
    <row r="166" spans="2:6" ht="15.6" thickTop="1" thickBot="1" x14ac:dyDescent="0.35">
      <c r="C166" s="111" t="s">
        <v>918</v>
      </c>
      <c r="D166" s="112" t="s">
        <v>1475</v>
      </c>
      <c r="E166" s="113" t="s">
        <v>919</v>
      </c>
    </row>
    <row r="167" spans="2:6" ht="15" thickTop="1" x14ac:dyDescent="0.3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3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3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3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3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" thickBot="1" x14ac:dyDescent="0.35">
      <c r="B172" s="56" t="s">
        <v>1474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5.6" thickTop="1" thickBot="1" x14ac:dyDescent="0.35">
      <c r="B173" s="115"/>
      <c r="C173" s="114" t="s">
        <v>918</v>
      </c>
      <c r="D173" s="100" t="s">
        <v>1475</v>
      </c>
      <c r="E173" s="106" t="s">
        <v>919</v>
      </c>
      <c r="F173" s="148"/>
    </row>
    <row r="174" spans="2:6" ht="15.6" thickTop="1" thickBot="1" x14ac:dyDescent="0.35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" thickBot="1" x14ac:dyDescent="0.35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5.6" thickTop="1" thickBot="1" x14ac:dyDescent="0.35"/>
    <row r="177" spans="2:6" ht="15.6" thickTop="1" thickBot="1" x14ac:dyDescent="0.35">
      <c r="C177" s="111" t="s">
        <v>918</v>
      </c>
      <c r="D177" s="112" t="s">
        <v>1475</v>
      </c>
      <c r="E177" s="113" t="s">
        <v>919</v>
      </c>
    </row>
    <row r="178" spans="2:6" ht="15" thickTop="1" x14ac:dyDescent="0.3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3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3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3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3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" thickBot="1" x14ac:dyDescent="0.35">
      <c r="B183" s="56" t="s">
        <v>1474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5.6" thickTop="1" thickBot="1" x14ac:dyDescent="0.35">
      <c r="B184" s="115"/>
      <c r="C184" s="114" t="s">
        <v>918</v>
      </c>
      <c r="D184" s="100" t="s">
        <v>1475</v>
      </c>
      <c r="E184" s="106" t="s">
        <v>919</v>
      </c>
      <c r="F184" s="148"/>
    </row>
    <row r="185" spans="2:6" ht="15.6" thickTop="1" thickBot="1" x14ac:dyDescent="0.35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" thickBot="1" x14ac:dyDescent="0.35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5.6" thickTop="1" thickBot="1" x14ac:dyDescent="0.35"/>
    <row r="188" spans="2:6" ht="15.6" thickTop="1" thickBot="1" x14ac:dyDescent="0.35">
      <c r="C188" s="111" t="s">
        <v>918</v>
      </c>
      <c r="D188" s="112" t="s">
        <v>1475</v>
      </c>
      <c r="E188" s="113" t="s">
        <v>919</v>
      </c>
    </row>
    <row r="189" spans="2:6" ht="15" thickTop="1" x14ac:dyDescent="0.3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3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3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3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3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" thickBot="1" x14ac:dyDescent="0.35">
      <c r="B194" s="56" t="s">
        <v>1474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5.6" thickTop="1" thickBot="1" x14ac:dyDescent="0.35">
      <c r="B195" s="115"/>
      <c r="C195" s="114" t="s">
        <v>918</v>
      </c>
      <c r="D195" s="100" t="s">
        <v>1475</v>
      </c>
      <c r="E195" s="106" t="s">
        <v>919</v>
      </c>
      <c r="F195" s="148"/>
    </row>
    <row r="196" spans="2:6" ht="15.6" thickTop="1" thickBot="1" x14ac:dyDescent="0.35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" thickBot="1" x14ac:dyDescent="0.35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5.6" thickTop="1" thickBot="1" x14ac:dyDescent="0.35"/>
    <row r="199" spans="2:6" ht="15.6" thickTop="1" thickBot="1" x14ac:dyDescent="0.35">
      <c r="C199" s="111" t="s">
        <v>918</v>
      </c>
      <c r="D199" s="112" t="s">
        <v>1475</v>
      </c>
      <c r="E199" s="113" t="s">
        <v>919</v>
      </c>
    </row>
    <row r="200" spans="2:6" ht="15" thickTop="1" x14ac:dyDescent="0.3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3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3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3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3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" thickBot="1" x14ac:dyDescent="0.35">
      <c r="B205" s="56" t="s">
        <v>1474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5.6" thickTop="1" thickBot="1" x14ac:dyDescent="0.35">
      <c r="B206" s="115"/>
      <c r="C206" s="114" t="s">
        <v>918</v>
      </c>
      <c r="D206" s="100" t="s">
        <v>1475</v>
      </c>
      <c r="E206" s="106" t="s">
        <v>919</v>
      </c>
      <c r="F206" s="148"/>
    </row>
    <row r="207" spans="2:6" ht="15.6" thickTop="1" thickBot="1" x14ac:dyDescent="0.35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" thickBot="1" x14ac:dyDescent="0.35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5.6" thickTop="1" thickBot="1" x14ac:dyDescent="0.35"/>
    <row r="210" spans="2:6" ht="15.6" thickTop="1" thickBot="1" x14ac:dyDescent="0.35">
      <c r="C210" s="111" t="s">
        <v>918</v>
      </c>
      <c r="D210" s="112" t="s">
        <v>1475</v>
      </c>
      <c r="E210" s="113" t="s">
        <v>919</v>
      </c>
    </row>
    <row r="211" spans="2:6" ht="15" thickTop="1" x14ac:dyDescent="0.3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3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3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3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" thickBot="1" x14ac:dyDescent="0.35">
      <c r="B216" s="56" t="s">
        <v>1474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5.6" thickTop="1" thickBot="1" x14ac:dyDescent="0.35">
      <c r="B217" s="115"/>
      <c r="C217" s="114" t="s">
        <v>918</v>
      </c>
      <c r="D217" s="100" t="s">
        <v>1475</v>
      </c>
      <c r="E217" s="106" t="s">
        <v>919</v>
      </c>
      <c r="F217" s="148"/>
    </row>
    <row r="218" spans="2:6" ht="15.6" thickTop="1" thickBot="1" x14ac:dyDescent="0.35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" thickBot="1" x14ac:dyDescent="0.35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" thickTop="1" x14ac:dyDescent="0.3"/>
    <row r="221" spans="2:6" ht="15" thickBot="1" x14ac:dyDescent="0.35"/>
    <row r="222" spans="2:6" ht="15.6" thickTop="1" thickBot="1" x14ac:dyDescent="0.35">
      <c r="C222" s="111" t="s">
        <v>918</v>
      </c>
      <c r="D222" s="112" t="s">
        <v>1475</v>
      </c>
      <c r="E222" s="113" t="s">
        <v>919</v>
      </c>
    </row>
    <row r="223" spans="2:6" ht="15" thickTop="1" x14ac:dyDescent="0.3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3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3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3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3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" thickBot="1" x14ac:dyDescent="0.35">
      <c r="B228" s="56" t="s">
        <v>1474</v>
      </c>
      <c r="C228" s="135">
        <v>9</v>
      </c>
      <c r="D228" s="108">
        <v>21</v>
      </c>
      <c r="E228" s="74" t="s">
        <v>1498</v>
      </c>
      <c r="F228" s="148"/>
    </row>
    <row r="229" spans="2:6" ht="15.6" thickTop="1" thickBot="1" x14ac:dyDescent="0.35">
      <c r="B229" s="115"/>
      <c r="C229" s="114" t="s">
        <v>918</v>
      </c>
      <c r="D229" s="100" t="s">
        <v>1475</v>
      </c>
      <c r="E229" s="106" t="s">
        <v>919</v>
      </c>
      <c r="F229" s="148"/>
    </row>
    <row r="230" spans="2:6" ht="15.6" thickTop="1" thickBot="1" x14ac:dyDescent="0.35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" thickBot="1" x14ac:dyDescent="0.35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" thickTop="1" x14ac:dyDescent="0.3"/>
    <row r="233" spans="2:6" ht="15" thickBot="1" x14ac:dyDescent="0.35"/>
    <row r="234" spans="2:6" ht="15.6" thickTop="1" thickBot="1" x14ac:dyDescent="0.35">
      <c r="C234" s="111" t="s">
        <v>918</v>
      </c>
      <c r="D234" s="112" t="s">
        <v>1475</v>
      </c>
      <c r="E234" s="113" t="s">
        <v>919</v>
      </c>
    </row>
    <row r="235" spans="2:6" ht="15" thickTop="1" x14ac:dyDescent="0.3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3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3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3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3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" thickBot="1" x14ac:dyDescent="0.35">
      <c r="B240" s="56" t="s">
        <v>1474</v>
      </c>
      <c r="C240" s="135">
        <v>9</v>
      </c>
      <c r="D240" s="108">
        <v>21</v>
      </c>
      <c r="E240" s="74">
        <v>4.2099999999999999E-2</v>
      </c>
      <c r="F240" s="148"/>
    </row>
    <row r="241" spans="2:6" ht="15.6" thickTop="1" thickBot="1" x14ac:dyDescent="0.35">
      <c r="B241" s="115"/>
      <c r="C241" s="114" t="s">
        <v>918</v>
      </c>
      <c r="D241" s="100" t="s">
        <v>1475</v>
      </c>
      <c r="E241" s="106" t="s">
        <v>919</v>
      </c>
      <c r="F241" s="148"/>
    </row>
    <row r="242" spans="2:6" ht="15.6" thickTop="1" thickBot="1" x14ac:dyDescent="0.35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" thickBot="1" x14ac:dyDescent="0.35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" thickTop="1" x14ac:dyDescent="0.3"/>
    <row r="245" spans="2:6" ht="15" thickBot="1" x14ac:dyDescent="0.35"/>
    <row r="246" spans="2:6" ht="15.6" thickTop="1" thickBot="1" x14ac:dyDescent="0.35">
      <c r="C246" s="111" t="s">
        <v>918</v>
      </c>
      <c r="D246" s="112" t="s">
        <v>1475</v>
      </c>
      <c r="E246" s="113" t="s">
        <v>919</v>
      </c>
    </row>
    <row r="247" spans="2:6" ht="15" thickTop="1" x14ac:dyDescent="0.3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3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3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3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3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" thickBot="1" x14ac:dyDescent="0.35">
      <c r="B252" s="56" t="s">
        <v>1474</v>
      </c>
      <c r="C252" s="135">
        <v>9</v>
      </c>
      <c r="D252" s="108">
        <v>25</v>
      </c>
      <c r="E252" s="74">
        <v>0.1145</v>
      </c>
      <c r="F252" s="148"/>
    </row>
    <row r="253" spans="2:6" ht="15.6" thickTop="1" thickBot="1" x14ac:dyDescent="0.35">
      <c r="B253" s="115"/>
      <c r="C253" s="114" t="s">
        <v>918</v>
      </c>
      <c r="D253" s="100" t="s">
        <v>1475</v>
      </c>
      <c r="E253" s="106" t="s">
        <v>919</v>
      </c>
      <c r="F253" s="148"/>
    </row>
    <row r="254" spans="2:6" ht="15.6" thickTop="1" thickBot="1" x14ac:dyDescent="0.35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" thickBot="1" x14ac:dyDescent="0.35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" thickTop="1" x14ac:dyDescent="0.3"/>
    <row r="257" spans="2:6" ht="15" thickBot="1" x14ac:dyDescent="0.35"/>
    <row r="258" spans="2:6" ht="15.6" thickTop="1" thickBot="1" x14ac:dyDescent="0.35">
      <c r="C258" s="111" t="s">
        <v>918</v>
      </c>
      <c r="D258" s="112" t="s">
        <v>1475</v>
      </c>
      <c r="E258" s="113" t="s">
        <v>919</v>
      </c>
    </row>
    <row r="259" spans="2:6" ht="15" thickTop="1" x14ac:dyDescent="0.3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3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3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3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3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" thickBot="1" x14ac:dyDescent="0.35">
      <c r="B264" s="56" t="s">
        <v>1474</v>
      </c>
      <c r="C264" s="135">
        <v>9</v>
      </c>
      <c r="D264" s="108">
        <v>26</v>
      </c>
      <c r="E264" s="74">
        <v>5.1999999999999998E-2</v>
      </c>
      <c r="F264" s="148"/>
    </row>
    <row r="265" spans="2:6" ht="15.6" thickTop="1" thickBot="1" x14ac:dyDescent="0.35">
      <c r="B265" s="115"/>
      <c r="C265" s="114" t="s">
        <v>918</v>
      </c>
      <c r="D265" s="100" t="s">
        <v>1475</v>
      </c>
      <c r="E265" s="106" t="s">
        <v>919</v>
      </c>
      <c r="F265" s="148"/>
    </row>
    <row r="266" spans="2:6" ht="15.6" thickTop="1" thickBot="1" x14ac:dyDescent="0.35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" thickBot="1" x14ac:dyDescent="0.35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5.6" thickTop="1" thickBot="1" x14ac:dyDescent="0.35"/>
    <row r="269" spans="2:6" ht="15.6" thickTop="1" thickBot="1" x14ac:dyDescent="0.35">
      <c r="C269" s="111" t="s">
        <v>918</v>
      </c>
      <c r="D269" s="112" t="s">
        <v>1475</v>
      </c>
      <c r="E269" s="113" t="s">
        <v>919</v>
      </c>
    </row>
    <row r="270" spans="2:6" ht="15" thickTop="1" x14ac:dyDescent="0.3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3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3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3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3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" thickBot="1" x14ac:dyDescent="0.35">
      <c r="B275" s="56" t="s">
        <v>1474</v>
      </c>
      <c r="C275" s="135">
        <v>9</v>
      </c>
      <c r="D275" s="108">
        <v>32</v>
      </c>
      <c r="E275" s="74">
        <v>6.4000000000000001E-2</v>
      </c>
      <c r="F275" s="148"/>
    </row>
    <row r="276" spans="2:6" ht="15.6" thickTop="1" thickBot="1" x14ac:dyDescent="0.35">
      <c r="B276" s="115"/>
      <c r="C276" s="114" t="s">
        <v>918</v>
      </c>
      <c r="D276" s="100" t="s">
        <v>1475</v>
      </c>
      <c r="E276" s="106" t="s">
        <v>919</v>
      </c>
      <c r="F276" s="148"/>
    </row>
    <row r="277" spans="2:6" ht="15.6" thickTop="1" thickBot="1" x14ac:dyDescent="0.35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" thickBot="1" x14ac:dyDescent="0.35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5.6" thickTop="1" thickBot="1" x14ac:dyDescent="0.35"/>
    <row r="280" spans="2:6" ht="15.6" thickTop="1" thickBot="1" x14ac:dyDescent="0.35">
      <c r="C280" s="111" t="s">
        <v>918</v>
      </c>
      <c r="D280" s="112" t="s">
        <v>1475</v>
      </c>
      <c r="E280" s="113" t="s">
        <v>919</v>
      </c>
    </row>
    <row r="281" spans="2:6" ht="15" thickTop="1" x14ac:dyDescent="0.3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3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3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3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" thickBot="1" x14ac:dyDescent="0.35">
      <c r="B286" s="56" t="s">
        <v>1474</v>
      </c>
      <c r="C286" s="135">
        <v>0</v>
      </c>
      <c r="D286" s="108">
        <v>0</v>
      </c>
      <c r="E286" s="74">
        <v>0</v>
      </c>
      <c r="F286" s="148"/>
    </row>
    <row r="287" spans="2:6" ht="15.6" thickTop="1" thickBot="1" x14ac:dyDescent="0.35">
      <c r="B287" s="115"/>
      <c r="C287" s="114" t="s">
        <v>918</v>
      </c>
      <c r="D287" s="100" t="s">
        <v>1475</v>
      </c>
      <c r="E287" s="106" t="s">
        <v>919</v>
      </c>
      <c r="F287" s="148"/>
    </row>
    <row r="288" spans="2:6" ht="15.6" thickTop="1" thickBot="1" x14ac:dyDescent="0.35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" thickBot="1" x14ac:dyDescent="0.35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5.6" thickTop="1" thickBot="1" x14ac:dyDescent="0.35"/>
    <row r="291" spans="2:6" ht="15.6" thickTop="1" thickBot="1" x14ac:dyDescent="0.35">
      <c r="C291" s="111" t="s">
        <v>918</v>
      </c>
      <c r="D291" s="112" t="s">
        <v>1475</v>
      </c>
      <c r="E291" s="113" t="s">
        <v>919</v>
      </c>
    </row>
    <row r="292" spans="2:6" ht="15" thickTop="1" x14ac:dyDescent="0.3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3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3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3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" thickBot="1" x14ac:dyDescent="0.35">
      <c r="B297" s="56" t="s">
        <v>1474</v>
      </c>
      <c r="C297" s="135">
        <v>0</v>
      </c>
      <c r="D297" s="108">
        <v>0</v>
      </c>
      <c r="E297" s="74">
        <v>0</v>
      </c>
      <c r="F297" s="148"/>
    </row>
    <row r="298" spans="2:6" ht="15.6" thickTop="1" thickBot="1" x14ac:dyDescent="0.35">
      <c r="B298" s="115"/>
      <c r="C298" s="114" t="s">
        <v>918</v>
      </c>
      <c r="D298" s="100" t="s">
        <v>1475</v>
      </c>
      <c r="E298" s="106" t="s">
        <v>919</v>
      </c>
      <c r="F298" s="148"/>
    </row>
    <row r="299" spans="2:6" ht="15.6" thickTop="1" thickBot="1" x14ac:dyDescent="0.35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" thickBot="1" x14ac:dyDescent="0.35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5.6" thickTop="1" thickBot="1" x14ac:dyDescent="0.35"/>
    <row r="302" spans="2:6" ht="15.6" thickTop="1" thickBot="1" x14ac:dyDescent="0.35">
      <c r="C302" s="111" t="s">
        <v>918</v>
      </c>
      <c r="D302" s="112" t="s">
        <v>1475</v>
      </c>
      <c r="E302" s="113" t="s">
        <v>919</v>
      </c>
    </row>
    <row r="303" spans="2:6" ht="15" thickTop="1" x14ac:dyDescent="0.3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3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3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3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" thickBot="1" x14ac:dyDescent="0.35">
      <c r="B308" s="56" t="s">
        <v>1474</v>
      </c>
      <c r="C308" s="135">
        <v>0</v>
      </c>
      <c r="D308" s="108">
        <v>0</v>
      </c>
      <c r="E308" s="74">
        <v>0</v>
      </c>
      <c r="F308" s="148"/>
    </row>
    <row r="309" spans="2:6" ht="15.6" thickTop="1" thickBot="1" x14ac:dyDescent="0.35">
      <c r="B309" s="115"/>
      <c r="C309" s="114" t="s">
        <v>918</v>
      </c>
      <c r="D309" s="100" t="s">
        <v>1475</v>
      </c>
      <c r="E309" s="106" t="s">
        <v>919</v>
      </c>
      <c r="F309" s="148"/>
    </row>
    <row r="310" spans="2:6" ht="15.6" thickTop="1" thickBot="1" x14ac:dyDescent="0.35">
      <c r="B310" s="102" t="s">
        <v>1069</v>
      </c>
      <c r="C310" s="103">
        <f>BONOMOcam</f>
        <v>271</v>
      </c>
      <c r="D310" s="119">
        <v>0</v>
      </c>
      <c r="E310" s="109">
        <f>D310/C310</f>
        <v>0</v>
      </c>
      <c r="F310" s="148"/>
    </row>
    <row r="311" spans="2:6" ht="15" thickBot="1" x14ac:dyDescent="0.35">
      <c r="B311" s="116" t="s">
        <v>1070</v>
      </c>
      <c r="C311" s="117">
        <f>COSEIDIcam</f>
        <v>229</v>
      </c>
      <c r="D311" s="117">
        <v>0</v>
      </c>
      <c r="E311" s="118">
        <f>D311/C311</f>
        <v>0</v>
      </c>
      <c r="F311" s="149"/>
    </row>
    <row r="312" spans="2:6" ht="15.6" thickTop="1" thickBot="1" x14ac:dyDescent="0.35"/>
    <row r="313" spans="2:6" ht="15.6" thickTop="1" thickBot="1" x14ac:dyDescent="0.35">
      <c r="C313" s="111" t="s">
        <v>918</v>
      </c>
      <c r="D313" s="112" t="s">
        <v>1475</v>
      </c>
      <c r="E313" s="113" t="s">
        <v>919</v>
      </c>
    </row>
    <row r="314" spans="2:6" ht="15" thickTop="1" x14ac:dyDescent="0.3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3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3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3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" thickBot="1" x14ac:dyDescent="0.35">
      <c r="B319" s="56" t="s">
        <v>1474</v>
      </c>
      <c r="C319" s="135">
        <v>0</v>
      </c>
      <c r="D319" s="108">
        <v>0</v>
      </c>
      <c r="E319" s="74">
        <v>0</v>
      </c>
      <c r="F319" s="148"/>
    </row>
    <row r="320" spans="2:6" ht="15.6" thickTop="1" thickBot="1" x14ac:dyDescent="0.35">
      <c r="B320" s="115"/>
      <c r="C320" s="114" t="s">
        <v>918</v>
      </c>
      <c r="D320" s="100" t="s">
        <v>1475</v>
      </c>
      <c r="E320" s="106" t="s">
        <v>919</v>
      </c>
      <c r="F320" s="148"/>
    </row>
    <row r="321" spans="2:6" ht="15.6" thickTop="1" thickBot="1" x14ac:dyDescent="0.35">
      <c r="B321" s="102" t="s">
        <v>1069</v>
      </c>
      <c r="C321" s="103">
        <f>BONOMOcam</f>
        <v>271</v>
      </c>
      <c r="D321" s="119">
        <v>0</v>
      </c>
      <c r="E321" s="109">
        <f>D321/C321</f>
        <v>0</v>
      </c>
      <c r="F321" s="148"/>
    </row>
    <row r="322" spans="2:6" ht="15" thickBot="1" x14ac:dyDescent="0.35">
      <c r="B322" s="116" t="s">
        <v>1070</v>
      </c>
      <c r="C322" s="117">
        <f>COSEIDIcam</f>
        <v>229</v>
      </c>
      <c r="D322" s="117">
        <v>0</v>
      </c>
      <c r="E322" s="118">
        <f>D322/C322</f>
        <v>0</v>
      </c>
      <c r="F322" s="149"/>
    </row>
    <row r="323" spans="2:6" ht="15.6" thickTop="1" thickBot="1" x14ac:dyDescent="0.35"/>
    <row r="324" spans="2:6" ht="15.6" thickTop="1" thickBot="1" x14ac:dyDescent="0.35">
      <c r="C324" s="111" t="s">
        <v>918</v>
      </c>
      <c r="D324" s="112" t="s">
        <v>1475</v>
      </c>
      <c r="E324" s="113" t="s">
        <v>919</v>
      </c>
    </row>
    <row r="325" spans="2:6" ht="15" thickTop="1" x14ac:dyDescent="0.3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3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3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3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" thickBot="1" x14ac:dyDescent="0.35">
      <c r="B330" s="56" t="s">
        <v>1474</v>
      </c>
      <c r="C330" s="135">
        <v>0</v>
      </c>
      <c r="D330" s="108">
        <v>0</v>
      </c>
      <c r="E330" s="74">
        <v>0</v>
      </c>
      <c r="F330" s="148"/>
    </row>
    <row r="331" spans="2:6" ht="15.6" thickTop="1" thickBot="1" x14ac:dyDescent="0.35">
      <c r="B331" s="115"/>
      <c r="C331" s="114" t="s">
        <v>918</v>
      </c>
      <c r="D331" s="100" t="s">
        <v>1475</v>
      </c>
      <c r="E331" s="106" t="s">
        <v>919</v>
      </c>
      <c r="F331" s="148"/>
    </row>
    <row r="332" spans="2:6" ht="15.6" thickTop="1" thickBot="1" x14ac:dyDescent="0.35">
      <c r="B332" s="102" t="s">
        <v>1069</v>
      </c>
      <c r="C332" s="103">
        <f>BONOMOcam</f>
        <v>271</v>
      </c>
      <c r="D332" s="119">
        <v>0</v>
      </c>
      <c r="E332" s="109">
        <f>D332/C332</f>
        <v>0</v>
      </c>
      <c r="F332" s="148"/>
    </row>
    <row r="333" spans="2:6" ht="15" thickBot="1" x14ac:dyDescent="0.35">
      <c r="B333" s="116" t="s">
        <v>1070</v>
      </c>
      <c r="C333" s="117">
        <f>COSEIDIcam</f>
        <v>229</v>
      </c>
      <c r="D333" s="117">
        <v>0</v>
      </c>
      <c r="E333" s="118">
        <f>D333/C333</f>
        <v>0</v>
      </c>
      <c r="F333" s="149"/>
    </row>
    <row r="334" spans="2:6" ht="15.6" thickTop="1" thickBot="1" x14ac:dyDescent="0.35"/>
    <row r="335" spans="2:6" ht="15.6" thickTop="1" thickBot="1" x14ac:dyDescent="0.35">
      <c r="C335" s="111" t="s">
        <v>918</v>
      </c>
      <c r="D335" s="112" t="s">
        <v>1475</v>
      </c>
      <c r="E335" s="113" t="s">
        <v>919</v>
      </c>
    </row>
    <row r="336" spans="2:6" ht="15" thickTop="1" x14ac:dyDescent="0.3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3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3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3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3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" thickBot="1" x14ac:dyDescent="0.35">
      <c r="B341" s="56" t="s">
        <v>1474</v>
      </c>
      <c r="C341" s="135">
        <v>0</v>
      </c>
      <c r="D341" s="108">
        <v>0</v>
      </c>
      <c r="E341" s="74">
        <v>0</v>
      </c>
      <c r="F341" s="148"/>
    </row>
    <row r="342" spans="2:6" ht="15.6" thickTop="1" thickBot="1" x14ac:dyDescent="0.35">
      <c r="B342" s="115"/>
      <c r="C342" s="114" t="s">
        <v>918</v>
      </c>
      <c r="D342" s="100" t="s">
        <v>1475</v>
      </c>
      <c r="E342" s="106" t="s">
        <v>919</v>
      </c>
      <c r="F342" s="148"/>
    </row>
    <row r="343" spans="2:6" ht="15.6" thickTop="1" thickBot="1" x14ac:dyDescent="0.35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" thickBot="1" x14ac:dyDescent="0.35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" thickTop="1" x14ac:dyDescent="0.3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3:16383" ht="18" x14ac:dyDescent="0.35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4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6" thickBot="1" x14ac:dyDescent="0.45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3">
      <c r="A15" t="str">
        <f>'RESUMEN TOTAL'!A18</f>
        <v>ALTAMIRA</v>
      </c>
      <c r="B15" t="str">
        <f>'RESUMEN TOTAL'!B18</f>
        <v>ALT 11</v>
      </c>
      <c r="C15" s="68" t="s">
        <v>1544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3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3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3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3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3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3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3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3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3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3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3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3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3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3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3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3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3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3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3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3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3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3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3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3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3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3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3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3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3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3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3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3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3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3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3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3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3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3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3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3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3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3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3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3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3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3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3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3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3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3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3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3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3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3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3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3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3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3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3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3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3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3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3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3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3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3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3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3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3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3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3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3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3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3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3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3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3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3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3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3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3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3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3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3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3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3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3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3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3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3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3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3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3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3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3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3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3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3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3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3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3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3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3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3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3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3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3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3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3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3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3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3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3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3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3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>
        <f>'RESUMEN TOTAL'!AK150</f>
        <v>0</v>
      </c>
      <c r="AF131" s="70">
        <f>'RESUMEN TOTAL'!AL150</f>
        <v>0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3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>
        <f>'RESUMEN TOTAL'!AK151</f>
        <v>0</v>
      </c>
      <c r="AF132" s="70">
        <f>'RESUMEN TOTAL'!AL151</f>
        <v>0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3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3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3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3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>
        <f>'RESUMEN TOTAL'!AK155</f>
        <v>0</v>
      </c>
      <c r="AF136" s="70">
        <f>'RESUMEN TOTAL'!AL155</f>
        <v>0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3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3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3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3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>
        <f>'RESUMEN TOTAL'!AK159</f>
        <v>0</v>
      </c>
      <c r="AF140" s="70">
        <f>'RESUMEN TOTAL'!AL159</f>
        <v>0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3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>
        <f>'RESUMEN TOTAL'!AK160</f>
        <v>0</v>
      </c>
      <c r="AF141" s="70">
        <f>'RESUMEN TOTAL'!AL160</f>
        <v>0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3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>
        <f>'RESUMEN TOTAL'!AK161</f>
        <v>0</v>
      </c>
      <c r="AF142" s="70">
        <f>'RESUMEN TOTAL'!AL161</f>
        <v>0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3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>
        <f>'RESUMEN TOTAL'!AK162</f>
        <v>0</v>
      </c>
      <c r="AF143" s="70">
        <f>'RESUMEN TOTAL'!AL162</f>
        <v>0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3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3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3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3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3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>
        <f>'RESUMEN TOTAL'!AK169</f>
        <v>0</v>
      </c>
      <c r="AF148" s="70">
        <f>'RESUMEN TOTAL'!AL169</f>
        <v>0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3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3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3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3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3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3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>
        <f>'RESUMEN TOTAL'!AK175</f>
        <v>0</v>
      </c>
      <c r="AF154" s="70">
        <f>'RESUMEN TOTAL'!AL175</f>
        <v>0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3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3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3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3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3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3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3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3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3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3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3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3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3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3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3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3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3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3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3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3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3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3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3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3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3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3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3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3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3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3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3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3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3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3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3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3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3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3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3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3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>
        <f>'RESUMEN TOTAL'!AK218</f>
        <v>0</v>
      </c>
      <c r="AF194" s="70">
        <f>'RESUMEN TOTAL'!AL218</f>
        <v>0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3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3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3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3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3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3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3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3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3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3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>
        <f>'RESUMEN TOTAL'!AK228</f>
        <v>0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3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>
        <f>'RESUMEN TOTAL'!AK229</f>
        <v>0</v>
      </c>
      <c r="AF205" s="70">
        <f>'RESUMEN TOTAL'!AL229</f>
        <v>0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3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>
        <f>'RESUMEN TOTAL'!AK230</f>
        <v>0</v>
      </c>
      <c r="AF206" s="70">
        <f>'RESUMEN TOTAL'!AL230</f>
        <v>0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3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3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3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3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3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3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3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3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3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>
        <f>'RESUMEN TOTAL'!AK239</f>
        <v>0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3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3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3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>
        <f>'RESUMEN TOTAL'!AL244</f>
        <v>0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3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3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>
        <f>'RESUMEN TOTAL'!AL246</f>
        <v>0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3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3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3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3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3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3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3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3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3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3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3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3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>
        <f>'RESUMEN TOTAL'!AK260</f>
        <v>0</v>
      </c>
      <c r="AF232" s="70">
        <f>'RESUMEN TOTAL'!AL260</f>
        <v>0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3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>
        <f>'RESUMEN TOTAL'!AK261</f>
        <v>0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3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>
        <f>'RESUMEN TOTAL'!AK262</f>
        <v>0</v>
      </c>
      <c r="AF234" s="70">
        <f>'RESUMEN TOTAL'!AL262</f>
        <v>0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3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3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>
        <f>'RESUMEN TOTAL'!AK264</f>
        <v>0</v>
      </c>
      <c r="AF236" s="70">
        <f>'RESUMEN TOTAL'!AL264</f>
        <v>0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3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3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>
        <f>'RESUMEN TOTAL'!AK266</f>
        <v>0</v>
      </c>
      <c r="AF238" s="70">
        <f>'RESUMEN TOTAL'!AL266</f>
        <v>0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3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3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3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3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3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3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3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3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3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3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3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>
        <f>'RESUMEN TOTAL'!AK277</f>
        <v>0</v>
      </c>
      <c r="AF249" s="70">
        <f>'RESUMEN TOTAL'!AL277</f>
        <v>0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3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3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3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>
        <f>'RESUMEN TOTAL'!AK280</f>
        <v>0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3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3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>
        <f>'RESUMEN TOTAL'!AK282</f>
        <v>0</v>
      </c>
      <c r="AF254" s="70">
        <f>'RESUMEN TOTAL'!AL282</f>
        <v>0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3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3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3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3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3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3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3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3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3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3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3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3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3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>
        <f>'RESUMEN TOTAL'!AK299</f>
        <v>0</v>
      </c>
      <c r="AF267" s="70">
        <f>'RESUMEN TOTAL'!AL299</f>
        <v>0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3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3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3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3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3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3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>
        <f>'RESUMEN TOTAL'!AK305</f>
        <v>0</v>
      </c>
      <c r="AF273" s="70">
        <f>'RESUMEN TOTAL'!AL305</f>
        <v>0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3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3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3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3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3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3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3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3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3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3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3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3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3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3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3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3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3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>
        <f>'RESUMEN TOTAL'!AK325</f>
        <v>0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3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>
        <f>'RESUMEN TOTAL'!AK326</f>
        <v>0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3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3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3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3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3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3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3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3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3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3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>
        <f>'RESUMEN TOTAL'!AK336</f>
        <v>0</v>
      </c>
      <c r="AF301" s="70">
        <f>'RESUMEN TOTAL'!AL336</f>
        <v>0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3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>
        <f>'RESUMEN TOTAL'!AK337</f>
        <v>0</v>
      </c>
      <c r="AF302" s="70">
        <f>'RESUMEN TOTAL'!AL337</f>
        <v>0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3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3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3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3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3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3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3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3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3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3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3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3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3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3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3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3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3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3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3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3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3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3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3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3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>
        <f>'RESUMEN TOTAL'!AK364</f>
        <v>0</v>
      </c>
      <c r="AF326" s="70">
        <f>'RESUMEN TOTAL'!AL364</f>
        <v>0</v>
      </c>
      <c r="AG326" s="70">
        <f>'RESUMEN TOTAL'!AM364</f>
        <v>0</v>
      </c>
      <c r="AH326" s="70">
        <f>'RESUMEN TOTAL'!AN364</f>
        <v>0</v>
      </c>
      <c r="AI326" s="70">
        <f>'RESUMEN TOTAL'!AO364</f>
        <v>0</v>
      </c>
      <c r="AJ326" s="70">
        <f>'RESUMEN TOTAL'!AP364</f>
        <v>0</v>
      </c>
    </row>
    <row r="327" spans="1:36" x14ac:dyDescent="0.3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3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3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>
        <f>'RESUMEN TOTAL'!AK369</f>
        <v>0</v>
      </c>
      <c r="AF329" s="70">
        <f>'RESUMEN TOTAL'!AL369</f>
        <v>0</v>
      </c>
      <c r="AG329" s="70">
        <f>'RESUMEN TOTAL'!AM369</f>
        <v>0</v>
      </c>
      <c r="AH329" s="70">
        <f>'RESUMEN TOTAL'!AN369</f>
        <v>0</v>
      </c>
      <c r="AI329" s="70">
        <f>'RESUMEN TOTAL'!AO369</f>
        <v>0</v>
      </c>
      <c r="AJ329" s="70">
        <f>'RESUMEN TOTAL'!AP369</f>
        <v>0</v>
      </c>
    </row>
    <row r="330" spans="1:36" x14ac:dyDescent="0.3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 t="str">
        <f>'RESUMEN TOTAL'!AO370</f>
        <v>}</v>
      </c>
      <c r="AJ330" s="70">
        <f>'RESUMEN TOTAL'!AP370</f>
        <v>0</v>
      </c>
    </row>
    <row r="331" spans="1:36" x14ac:dyDescent="0.3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3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>
        <f>'RESUMEN TOTAL'!AK372</f>
        <v>0</v>
      </c>
      <c r="AF332" s="70">
        <f>'RESUMEN TOTAL'!AL372</f>
        <v>0</v>
      </c>
      <c r="AG332" s="70">
        <f>'RESUMEN TOTAL'!AM372</f>
        <v>0</v>
      </c>
      <c r="AH332" s="70">
        <f>'RESUMEN TOTAL'!AN372</f>
        <v>0</v>
      </c>
      <c r="AI332" s="70">
        <f>'RESUMEN TOTAL'!AO372</f>
        <v>0</v>
      </c>
      <c r="AJ332" s="70">
        <f>'RESUMEN TOTAL'!AP372</f>
        <v>0</v>
      </c>
    </row>
    <row r="333" spans="1:36" x14ac:dyDescent="0.3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3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3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3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3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3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3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3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3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3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3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3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3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>
        <f>'RESUMEN TOTAL'!AK385</f>
        <v>0</v>
      </c>
      <c r="AF345" s="70">
        <f>'RESUMEN TOTAL'!AL385</f>
        <v>0</v>
      </c>
      <c r="AG345" s="70">
        <f>'RESUMEN TOTAL'!AM385</f>
        <v>0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3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>
        <f>'RESUMEN TOTAL'!AK386</f>
        <v>0</v>
      </c>
      <c r="AF346" s="70">
        <f>'RESUMEN TOTAL'!AL386</f>
        <v>0</v>
      </c>
      <c r="AG346" s="70">
        <f>'RESUMEN TOTAL'!AM386</f>
        <v>0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3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>
        <f>'RESUMEN TOTAL'!AK387</f>
        <v>0</v>
      </c>
      <c r="AF347" s="70">
        <f>'RESUMEN TOTAL'!AL387</f>
        <v>0</v>
      </c>
      <c r="AG347" s="70">
        <f>'RESUMEN TOTAL'!AM387</f>
        <v>0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3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>
        <f>'RESUMEN TOTAL'!AK388</f>
        <v>0</v>
      </c>
      <c r="AF348" s="70">
        <f>'RESUMEN TOTAL'!AL388</f>
        <v>0</v>
      </c>
      <c r="AG348" s="70">
        <f>'RESUMEN TOTAL'!AM388</f>
        <v>0</v>
      </c>
      <c r="AH348" s="70">
        <f>'RESUMEN TOTAL'!AN388</f>
        <v>0</v>
      </c>
      <c r="AI348" s="70">
        <f>'RESUMEN TOTAL'!AO388</f>
        <v>0</v>
      </c>
      <c r="AJ348" s="70">
        <f>'RESUMEN TOTAL'!AP388</f>
        <v>0</v>
      </c>
    </row>
    <row r="349" spans="1:36" x14ac:dyDescent="0.3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3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3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3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3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3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>
        <f>'RESUMEN TOTAL'!AK394</f>
        <v>0</v>
      </c>
      <c r="AF354" s="70">
        <f>'RESUMEN TOTAL'!AL394</f>
        <v>0</v>
      </c>
      <c r="AG354" s="70">
        <f>'RESUMEN TOTAL'!AM394</f>
        <v>0</v>
      </c>
      <c r="AH354" s="70">
        <f>'RESUMEN TOTAL'!AN394</f>
        <v>0</v>
      </c>
      <c r="AI354" s="70">
        <f>'RESUMEN TOTAL'!AO394</f>
        <v>0</v>
      </c>
      <c r="AJ354" s="70">
        <f>'RESUMEN TOTAL'!AP394</f>
        <v>0</v>
      </c>
    </row>
    <row r="355" spans="1:36" x14ac:dyDescent="0.3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3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3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3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3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>
        <f>'RESUMEN TOTAL'!AK399</f>
        <v>0</v>
      </c>
      <c r="AF359" s="70">
        <f>'RESUMEN TOTAL'!AL399</f>
        <v>0</v>
      </c>
      <c r="AG359" s="70">
        <f>'RESUMEN TOTAL'!AM399</f>
        <v>0</v>
      </c>
      <c r="AH359" s="70">
        <f>'RESUMEN TOTAL'!AN399</f>
        <v>0</v>
      </c>
      <c r="AI359" s="70">
        <f>'RESUMEN TOTAL'!AO399</f>
        <v>0</v>
      </c>
      <c r="AJ359" s="70">
        <f>'RESUMEN TOTAL'!AP399</f>
        <v>0</v>
      </c>
    </row>
    <row r="360" spans="1:36" x14ac:dyDescent="0.3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>
        <f>'RESUMEN TOTAL'!AK400</f>
        <v>0</v>
      </c>
      <c r="AF360" s="70">
        <f>'RESUMEN TOTAL'!AL400</f>
        <v>0</v>
      </c>
      <c r="AG360" s="70">
        <f>'RESUMEN TOTAL'!AM400</f>
        <v>0</v>
      </c>
      <c r="AH360" s="70">
        <f>'RESUMEN TOTAL'!AN400</f>
        <v>0</v>
      </c>
      <c r="AI360" s="70">
        <f>'RESUMEN TOTAL'!AO400</f>
        <v>0</v>
      </c>
      <c r="AJ360" s="70">
        <f>'RESUMEN TOTAL'!AP400</f>
        <v>0</v>
      </c>
    </row>
    <row r="361" spans="1:36" x14ac:dyDescent="0.3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3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3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>
        <f>'RESUMEN TOTAL'!AK403</f>
        <v>0</v>
      </c>
      <c r="AF363" s="70">
        <f>'RESUMEN TOTAL'!AL403</f>
        <v>0</v>
      </c>
      <c r="AG363" s="70">
        <f>'RESUMEN TOTAL'!AM403</f>
        <v>0</v>
      </c>
      <c r="AH363" s="70">
        <f>'RESUMEN TOTAL'!AN403</f>
        <v>0</v>
      </c>
      <c r="AI363" s="70">
        <f>'RESUMEN TOTAL'!AO403</f>
        <v>0</v>
      </c>
      <c r="AJ363" s="70">
        <f>'RESUMEN TOTAL'!AP403</f>
        <v>0</v>
      </c>
    </row>
    <row r="364" spans="1:36" x14ac:dyDescent="0.3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3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3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3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3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3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3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3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3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3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>
        <f>'RESUMEN TOTAL'!AK413</f>
        <v>0</v>
      </c>
      <c r="AF373" s="70">
        <f>'RESUMEN TOTAL'!AL413</f>
        <v>0</v>
      </c>
      <c r="AG373" s="70">
        <f>'RESUMEN TOTAL'!AM413</f>
        <v>0</v>
      </c>
      <c r="AH373" s="70">
        <f>'RESUMEN TOTAL'!AN413</f>
        <v>0</v>
      </c>
      <c r="AI373" s="70">
        <f>'RESUMEN TOTAL'!AO413</f>
        <v>0</v>
      </c>
      <c r="AJ373" s="70">
        <f>'RESUMEN TOTAL'!AP413</f>
        <v>0</v>
      </c>
    </row>
    <row r="374" spans="1:36" x14ac:dyDescent="0.3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>
        <f>'RESUMEN TOTAL'!AK414</f>
        <v>0</v>
      </c>
      <c r="AF374" s="70">
        <f>'RESUMEN TOTAL'!AL414</f>
        <v>0</v>
      </c>
      <c r="AG374" s="70">
        <f>'RESUMEN TOTAL'!AM414</f>
        <v>0</v>
      </c>
      <c r="AH374" s="70">
        <f>'RESUMEN TOTAL'!AN414</f>
        <v>0</v>
      </c>
      <c r="AI374" s="70">
        <f>'RESUMEN TOTAL'!AO414</f>
        <v>0</v>
      </c>
      <c r="AJ374" s="70">
        <f>'RESUMEN TOTAL'!AP414</f>
        <v>0</v>
      </c>
    </row>
    <row r="375" spans="1:36" x14ac:dyDescent="0.3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3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3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3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3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3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3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3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3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3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3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3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3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3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3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3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3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3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3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3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3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3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3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3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3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3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3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3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3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3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3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3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3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3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3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3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3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3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3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3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3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3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3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3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3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3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3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3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3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3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3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3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3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3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3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3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3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3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3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3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3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3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>
        <f>'RESUMEN TOTAL'!AK480</f>
        <v>0</v>
      </c>
      <c r="AF436" s="70">
        <f>'RESUMEN TOTAL'!AL480</f>
        <v>0</v>
      </c>
      <c r="AG436" s="70">
        <f>'RESUMEN TOTAL'!AM480</f>
        <v>0</v>
      </c>
      <c r="AH436" s="70">
        <f>'RESUMEN TOTAL'!AN480</f>
        <v>0</v>
      </c>
      <c r="AI436" s="70">
        <f>'RESUMEN TOTAL'!AO480</f>
        <v>0</v>
      </c>
      <c r="AJ436" s="70">
        <f>'RESUMEN TOTAL'!AP480</f>
        <v>0</v>
      </c>
    </row>
    <row r="437" spans="1:36" x14ac:dyDescent="0.3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3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>
        <f>'RESUMEN TOTAL'!AK482</f>
        <v>0</v>
      </c>
      <c r="AF438" s="70">
        <f>'RESUMEN TOTAL'!AL482</f>
        <v>0</v>
      </c>
      <c r="AG438" s="70">
        <f>'RESUMEN TOTAL'!AM482</f>
        <v>0</v>
      </c>
      <c r="AH438" s="70">
        <f>'RESUMEN TOTAL'!AN482</f>
        <v>0</v>
      </c>
      <c r="AI438" s="70">
        <f>'RESUMEN TOTAL'!AO482</f>
        <v>0</v>
      </c>
      <c r="AJ438" s="70">
        <f>'RESUMEN TOTAL'!AP482</f>
        <v>0</v>
      </c>
    </row>
    <row r="439" spans="1:36" x14ac:dyDescent="0.3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3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3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3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3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3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3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3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3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3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3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3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3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3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3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3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3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3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3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3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3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3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3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3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3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3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3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3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3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3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3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3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3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3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3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3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3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3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3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3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3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3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3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3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3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3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3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3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3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3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3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3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3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3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3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3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3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3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3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3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3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3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3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3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3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3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3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3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3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3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3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3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3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3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3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3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3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3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3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3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3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3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3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3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3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3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3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3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3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3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3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3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3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3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3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3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3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3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3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3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3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3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3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3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3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3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3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3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3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3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3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3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3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3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3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3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E43" zoomScale="80" zoomScaleNormal="80" workbookViewId="0">
      <selection activeCell="AB68" sqref="AB6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1077</v>
      </c>
    </row>
    <row r="2" spans="1:36" ht="15.6" thickTop="1" thickBot="1" x14ac:dyDescent="0.35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5.6" thickTop="1" thickBot="1" x14ac:dyDescent="0.35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0</v>
      </c>
      <c r="AG3" s="46">
        <f>COUNTIFS('RESUMEN TOTAL'!AM8:AM615,"=APAGADO",'RESUMEN TOTAL'!C8:C615,"=BONOMO")</f>
        <v>0</v>
      </c>
      <c r="AH3" s="46">
        <f>COUNTIFS('RESUMEN TOTAL'!AN8:AN615,"=APAGADO",'RESUMEN TOTAL'!C8:C615,"=BONOMO")</f>
        <v>0</v>
      </c>
      <c r="AI3" s="46">
        <f>COUNTIFS('RESUMEN TOTAL'!AO8:AO615,"=APAGADO",'RESUMEN TOTAL'!C8:C615,"=BONOMO")</f>
        <v>0</v>
      </c>
      <c r="AJ3" s="46">
        <f>COUNTIFS('RESUMEN TOTAL'!AP8:AP615,"=APAGADO",'RESUMEN TOTAL'!D8:D615,"=BONOMO")</f>
        <v>0</v>
      </c>
    </row>
    <row r="4" spans="1:36" ht="15.6" thickTop="1" thickBot="1" x14ac:dyDescent="0.35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f t="shared" si="0"/>
        <v>0</v>
      </c>
      <c r="AJ4" s="50">
        <f t="shared" si="0"/>
        <v>0</v>
      </c>
    </row>
    <row r="5" spans="1:36" ht="15.6" thickTop="1" thickBot="1" x14ac:dyDescent="0.35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0</v>
      </c>
      <c r="AF5" s="46">
        <f>COUNTIFS('RESUMEN TOTAL'!AL10:AL617,"=APAGADO",'RESUMEN TOTAL'!C10:C617,"=COSEIDI")</f>
        <v>0</v>
      </c>
      <c r="AG5" s="46">
        <f>COUNTIFS('RESUMEN TOTAL'!AM10:AM617,"=APAGADO",'RESUMEN TOTAL'!C10:C617,"=COSEIDI")</f>
        <v>0</v>
      </c>
      <c r="AH5" s="46">
        <f>COUNTIFS('RESUMEN TOTAL'!AN10:AN617,"=APAGADO",'RESUMEN TOTAL'!C10:C617,"=COSEIDI")</f>
        <v>0</v>
      </c>
      <c r="AI5" s="46">
        <f>COUNTIFS('RESUMEN TOTAL'!AO10:AO617,"=APAGADO",'RESUMEN TOTAL'!C10:C617,"=COSEIDI")</f>
        <v>0</v>
      </c>
      <c r="AJ5" s="46">
        <f>COUNTIFS('RESUMEN TOTAL'!AP10:AP617,"=APAGADO",'RESUMEN TOTAL'!D10:D617,"=COSEIDI")</f>
        <v>0</v>
      </c>
    </row>
    <row r="6" spans="1:36" ht="15.6" thickTop="1" thickBot="1" x14ac:dyDescent="0.35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f t="shared" si="1"/>
        <v>0</v>
      </c>
      <c r="AJ6" s="50">
        <f t="shared" si="1"/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2025-07-25T13:58:50Z</dcterms:modified>
</cp:coreProperties>
</file>