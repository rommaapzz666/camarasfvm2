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54EA99B7-1915-4AC2-9C7D-3D847129765E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<sst xmlns="http://schemas.openxmlformats.org/spreadsheetml/2006/main" count="6098" uniqueCount="2218">
  <si>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</si>
  <si>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</si>
  <si>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</si>
  <si>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</si>
  <si>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</si>
  <si>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</si>
  <si>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</si>
  <si>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</si>
  <si>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</si>
  <si>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</si>
  <si>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</si>
  <si>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</si>
  <si>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</si>
  <si>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</si>
  <si>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</si>
  <si>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</si>
  <si>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</si>
  <si>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</si>
  <si>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</si>
  <si>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</si>
  <si>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</si>
  <si>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</si>
  <si>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</si>
  <si>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</si>
  <si>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</si>
  <si>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</si>
  <si>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</si>
  <si>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</si>
  <si>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</si>
  <si>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</si>
  <si>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</si>
  <si>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</si>
  <si>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</si>
  <si>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</si>
  <si>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</si>
  <si>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</si>
  <si>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</si>
  <si>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</si>
  <si>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</si>
  <si>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</si>
  <si>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</si>
  <si>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</si>
  <si>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</si>
  <si>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</si>
  <si>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</si>
  <si>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</si>
  <si>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</si>
  <si>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</si>
  <si>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</si>
  <si>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</si>
  <si>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</si>
  <si>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</si>
  <si>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</si>
  <si>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</si>
  <si>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</si>
  <si>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</si>
  <si>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</si>
  <si>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</si>
  <si>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</si>
  <si>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</si>
  <si>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</si>
  <si>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</si>
  <si>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</si>
  <si>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</si>
  <si>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</si>
  <si>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</si>
  <si>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</si>
  <si>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</si>
  <si>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</si>
  <si>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</si>
  <si>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</si>
  <si>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</si>
  <si>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</si>
  <si>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</si>
  <si>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</si>
  <si>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</si>
  <si>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</si>
  <si>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</si>
  <si>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</si>
  <si>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</si>
  <si>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</si>
  <si>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</si>
  <si>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</si>
  <si>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</si>
  <si>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</si>
  <si>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</si>
  <si>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</si>
  <si>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</si>
  <si>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</si>
  <si>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</si>
  <si>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</si>
  <si>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</si>
  <si>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</si>
  <si>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</si>
  <si>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</si>
  <si>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</si>
  <si>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</si>
  <si>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</si>
  <si>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</si>
  <si>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</si>
  <si>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</si>
  <si>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</si>
  <si>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</si>
  <si>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</si>
  <si>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</si>
  <si>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</si>
  <si>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</si>
  <si>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</si>
  <si>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</si>
  <si>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</si>
  <si>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</si>
  <si>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</si>
  <si>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</si>
  <si>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</si>
  <si>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</si>
  <si>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</si>
  <si>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</si>
  <si>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</si>
  <si>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</si>
  <si>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</si>
  <si>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</si>
  <si>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</si>
  <si>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</si>
  <si>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</si>
  <si>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</si>
  <si>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</si>
  <si>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</si>
  <si>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</si>
  <si>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</si>
  <si>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</si>
  <si>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</si>
  <si>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</si>
  <si>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</si>
  <si>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</si>
  <si>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</si>
  <si>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</si>
  <si>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</si>
  <si>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</si>
  <si>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</si>
  <si>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</si>
  <si>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</si>
  <si>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</si>
  <si>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</si>
  <si>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</si>
  <si>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</si>
  <si>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</si>
  <si>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</si>
  <si>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</si>
  <si>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</si>
  <si>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</si>
  <si>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</si>
  <si>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</si>
  <si>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</si>
  <si>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</si>
  <si>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</si>
  <si>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</si>
  <si>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</si>
  <si>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</si>
  <si>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</si>
  <si>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</si>
  <si>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</si>
  <si>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</si>
  <si>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</si>
  <si>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</si>
  <si>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</si>
  <si>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</si>
  <si>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</si>
  <si>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</si>
  <si>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</si>
  <si>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</si>
  <si>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</si>
  <si>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</si>
  <si>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</si>
  <si>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</si>
  <si>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</si>
  <si>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</si>
  <si>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</si>
  <si>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</si>
  <si>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</si>
  <si>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</si>
  <si>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</si>
  <si>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</si>
  <si>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</si>
  <si>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</si>
  <si>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</si>
  <si>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</si>
  <si>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</si>
  <si>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</si>
  <si>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</si>
  <si>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</si>
  <si>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</si>
  <si>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</si>
  <si>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</si>
  <si>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</si>
  <si>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</si>
  <si>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</si>
  <si>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</si>
  <si>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</si>
  <si>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</si>
  <si>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</si>
  <si>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</si>
  <si>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</si>
  <si>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</si>
  <si>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</si>
  <si>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</si>
  <si>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</si>
  <si>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</si>
  <si>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</si>
  <si>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</si>
  <si>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</si>
  <si>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</si>
  <si>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</si>
  <si>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</si>
  <si>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</si>
  <si>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</si>
  <si>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</si>
  <si>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</si>
  <si>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</si>
  <si>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</si>
  <si>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</si>
  <si>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</si>
  <si>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</si>
  <si>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</si>
  <si>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</si>
  <si>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</si>
  <si>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</si>
  <si>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</si>
  <si>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</si>
  <si>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</si>
  <si>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</si>
  <si>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</si>
  <si>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</si>
  <si>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</si>
  <si>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</si>
  <si>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</si>
  <si>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</si>
  <si>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</si>
  <si>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</si>
  <si>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</si>
  <si>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</si>
  <si>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</si>
  <si>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</si>
  <si>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</si>
  <si>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</si>
  <si>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</si>
  <si>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</si>
  <si>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</si>
  <si>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</si>
  <si>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</si>
  <si>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</si>
  <si>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</si>
  <si>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</si>
  <si>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</si>
  <si>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</si>
  <si>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</si>
  <si>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</si>
  <si>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</si>
  <si>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</si>
  <si>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</si>
  <si>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</si>
  <si>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</si>
  <si>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</si>
  <si>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</si>
  <si>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</si>
  <si>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</si>
  <si>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</si>
  <si>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</si>
  <si>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</si>
  <si>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</si>
  <si>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</si>
  <si>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</si>
  <si>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</si>
  <si>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</si>
  <si>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</si>
  <si>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</si>
  <si>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</si>
  <si>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</si>
  <si>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</si>
  <si>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</si>
  <si>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</si>
  <si>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</si>
  <si>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</si>
  <si>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</si>
  <si>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</si>
  <si>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</si>
  <si>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</si>
  <si>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</si>
  <si>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</si>
  <si>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</si>
  <si>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</si>
  <si>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</si>
  <si>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</si>
  <si>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</si>
  <si>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</si>
  <si>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</si>
  <si>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</si>
  <si>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</si>
  <si>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</si>
  <si>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</si>
  <si>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</si>
  <si>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</si>
  <si>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</si>
  <si>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</si>
  <si>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</si>
  <si>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</si>
  <si>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</si>
  <si>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</si>
  <si>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</si>
  <si>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</si>
  <si>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</si>
  <si>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</si>
  <si>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</si>
  <si>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</si>
  <si>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</si>
  <si>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</si>
  <si>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</si>
  <si>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</si>
  <si>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</si>
  <si>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</si>
  <si>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</si>
  <si>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</si>
  <si>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</si>
  <si>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</si>
  <si>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</si>
  <si>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</si>
  <si>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</si>
  <si>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</si>
  <si>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</si>
  <si>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</si>
  <si>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</si>
  <si>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</si>
  <si>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</si>
  <si>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</si>
  <si>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</si>
  <si>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</si>
  <si>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</si>
  <si>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</si>
  <si>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</si>
  <si>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</si>
  <si>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</si>
  <si>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</si>
  <si>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</si>
  <si>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</si>
  <si>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</si>
  <si>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</si>
  <si>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</si>
  <si>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</si>
  <si>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</si>
  <si>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</si>
  <si>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</si>
  <si>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</si>
  <si>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</si>
  <si>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</si>
  <si>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</si>
  <si>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</si>
  <si>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</si>
  <si>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</si>
  <si>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</si>
  <si>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</si>
  <si>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</si>
  <si>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</si>
  <si>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</si>
  <si>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</si>
  <si>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</si>
  <si>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</si>
  <si>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</si>
  <si>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</si>
  <si>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</si>
  <si>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</si>
  <si>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</si>
  <si>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</si>
  <si>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</si>
  <si>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</si>
  <si>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</si>
  <si>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</si>
  <si>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</si>
  <si>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</si>
  <si>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</si>
  <si>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</si>
  <si>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</si>
  <si>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</si>
  <si>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</si>
  <si>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</si>
  <si>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</si>
  <si>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</si>
  <si>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</si>
  <si>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</si>
  <si>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</si>
  <si>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</si>
  <si>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</si>
  <si>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</si>
  <si>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</si>
  <si>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</si>
  <si>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</si>
  <si>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</si>
  <si>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</si>
  <si>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</si>
  <si>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</si>
  <si>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</si>
  <si>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</si>
  <si>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</si>
  <si>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</si>
  <si>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</si>
  <si>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</si>
  <si>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</si>
  <si>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</si>
  <si>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</si>
  <si>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</si>
  <si>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</si>
  <si>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</si>
  <si>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</si>
  <si>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</si>
  <si>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</si>
  <si>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</si>
  <si>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</si>
  <si>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</si>
  <si>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</si>
  <si>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</si>
  <si>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</si>
  <si>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</si>
  <si>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</si>
  <si>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</si>
  <si>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</si>
  <si>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</si>
  <si>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</si>
  <si>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</si>
  <si>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</si>
  <si>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</si>
  <si>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</si>
  <si>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</si>
  <si>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</si>
  <si>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</si>
  <si>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</si>
  <si>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</si>
  <si>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</si>
  <si>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</si>
  <si>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</si>
  <si>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</si>
  <si>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</si>
  <si>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</si>
  <si>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</si>
  <si>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</si>
  <si>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</si>
  <si>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</si>
  <si>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</si>
  <si>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</si>
  <si>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</si>
  <si>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</si>
  <si>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</si>
  <si>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</si>
  <si>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</si>
  <si>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</si>
  <si>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</si>
  <si>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</si>
  <si>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</si>
  <si>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</si>
  <si>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</si>
  <si>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</si>
  <si>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</si>
  <si>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</si>
  <si>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</si>
  <si>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</si>
  <si>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</si>
  <si>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</si>
  <si>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</si>
  <si>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</si>
  <si>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</si>
  <si>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</si>
  <si>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</si>
  <si>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</si>
  <si>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</si>
  <si>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</si>
  <si>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</si>
  <si>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</si>
  <si>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</si>
  <si>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</si>
  <si>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</si>
  <si>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</si>
  <si>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</si>
  <si>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</si>
  <si>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</si>
  <si>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</si>
  <si>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</si>
  <si>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</si>
  <si>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</si>
  <si>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</si>
  <si>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</si>
  <si>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</si>
  <si>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</si>
  <si>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</si>
  <si>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</si>
  <si>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</si>
  <si>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</si>
  <si>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</si>
  <si>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</si>
  <si>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</si>
  <si>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</si>
  <si>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</si>
  <si>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</si>
  <si>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</si>
  <si>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</si>
  <si>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</si>
  <si>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</si>
  <si>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</si>
  <si>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</si>
  <si>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</si>
  <si>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</si>
  <si>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</si>
  <si>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</si>
  <si>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</si>
  <si>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</si>
  <si>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</si>
  <si>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</si>
  <si>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</si>
  <si>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</si>
  <si>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</si>
  <si>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</si>
  <si>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</si>
  <si>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</si>
  <si>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</si>
  <si>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</si>
  <si>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</si>
  <si>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</si>
  <si>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</si>
  <si>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</si>
  <si>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</si>
  <si>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</si>
  <si>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</si>
  <si>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</si>
  <si>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</si>
  <si>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</si>
  <si>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</si>
  <si>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</si>
  <si>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</si>
  <si>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</si>
  <si>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</si>
  <si>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</si>
  <si>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</si>
  <si>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</si>
  <si>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</si>
  <si>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</si>
  <si>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</si>
  <si>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</si>
  <si>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</si>
  <si>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</si>
  <si>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</si>
  <si>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</si>
  <si>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</si>
  <si>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</si>
  <si>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</si>
  <si>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</si>
  <si>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</si>
  <si>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</si>
  <si>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</si>
  <si>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</si>
  <si>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</si>
  <si>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</si>
  <si>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</si>
  <si>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</si>
  <si>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</si>
  <si>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</si>
  <si>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</si>
  <si>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</si>
  <si>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</si>
  <si>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</si>
  <si>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</si>
  <si>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</si>
  <si>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</si>
  <si>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</si>
  <si>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</si>
  <si>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</si>
  <si>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</si>
  <si>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</si>
  <si>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</si>
  <si>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</si>
  <si>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</si>
  <si>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</si>
  <si>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</si>
  <si>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</si>
  <si>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</si>
  <si>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</si>
  <si>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</si>
  <si>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</si>
  <si>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</si>
  <si>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</si>
  <si>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</si>
  <si>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</si>
  <si>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</si>
  <si>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</si>
  <si>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</si>
  <si>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</si>
  <si>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</si>
  <si>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</si>
  <si>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</si>
  <si>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</si>
  <si>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</si>
  <si>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</si>
  <si>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</si>
  <si>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</si>
  <si>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</si>
  <si>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</si>
  <si>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</si>
  <si>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</si>
  <si>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</si>
  <si>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</si>
  <si>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</si>
  <si>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</si>
  <si>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</si>
  <si>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</si>
  <si>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</si>
  <si>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</si>
  <si>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</si>
  <si>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</si>
  <si>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</si>
  <si>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</si>
  <si>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</si>
  <si>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</si>
  <si>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</si>
  <si>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</si>
  <si>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</si>
  <si>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</si>
  <si>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</si>
  <si>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</si>
  <si>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</si>
  <si>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</si>
  <si>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</si>
  <si>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</si>
  <si>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</si>
  <si>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</si>
  <si>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</si>
  <si>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</si>
  <si>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</si>
  <si>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</si>
  <si>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</si>
  <si>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</si>
  <si>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</si>
  <si>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</si>
  <si>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</si>
  <si>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</si>
  <si>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</si>
  <si>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</si>
  <si>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</si>
  <si>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</si>
  <si>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</si>
  <si>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</si>
  <si>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</si>
  <si>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</si>
  <si>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</si>
  <si>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</si>
  <si>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</si>
  <si>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</si>
  <si>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</si>
  <si>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</si>
  <si>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</si>
  <si>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</si>
  <si>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</si>
  <si>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</si>
  <si>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</si>
  <si>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</si>
  <si>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</si>
  <si>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</si>
  <si>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</si>
  <si>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</si>
  <si>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</si>
  <si>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</si>
  <si>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</si>
  <si>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</si>
  <si>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</si>
  <si>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</si>
  <si>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</si>
  <si>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</si>
  <si>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</si>
  <si>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</si>
  <si>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</si>
  <si>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</si>
  <si>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</si>
  <si>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</si>
  <si>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</si>
  <si>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</si>
  <si>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</si>
  <si>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</si>
  <si>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</si>
  <si>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</si>
  <si>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</si>
  <si>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</si>
  <si>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</si>
  <si>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</si>
  <si>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</si>
  <si>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</si>
  <si>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</si>
  <si>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</si>
  <si>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</si>
  <si>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</si>
  <si>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</si>
  <si>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</si>
  <si>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</si>
  <si>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</si>
  <si>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</si>
  <si>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</si>
  <si>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</si>
  <si>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</si>
  <si>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</si>
  <si>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</si>
  <si>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</si>
  <si>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</si>
  <si>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</si>
  <si>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</si>
  <si>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</si>
  <si>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</si>
  <si>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</si>
  <si>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</si>
  <si>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</si>
  <si>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</si>
  <si>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</si>
  <si>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</si>
  <si>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</si>
  <si>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</si>
  <si>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</si>
  <si>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</si>
  <si>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</si>
  <si>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</si>
  <si>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</si>
  <si>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</si>
  <si>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</si>
  <si>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</si>
  <si>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</si>
  <si>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</si>
  <si>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</si>
  <si>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</si>
  <si>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</si>
  <si>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</si>
  <si>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</si>
  <si>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</si>
  <si>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</si>
  <si>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</si>
  <si>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</si>
  <si>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</si>
  <si>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</si>
  <si>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</si>
  <si>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</si>
  <si>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</si>
  <si>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</si>
  <si>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</si>
  <si>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</si>
  <si>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</si>
  <si>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</si>
  <si>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</si>
  <si>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</si>
  <si>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</si>
  <si>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</si>
  <si>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</si>
  <si>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</si>
  <si>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</si>
  <si>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</si>
  <si>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</si>
  <si>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</si>
  <si>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</si>
  <si>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</si>
  <si>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</si>
  <si>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</si>
  <si>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</si>
  <si>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</si>
  <si>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</si>
  <si>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</si>
  <si>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</si>
  <si>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</si>
  <si>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</si>
  <si>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</si>
  <si>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</si>
  <si>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</si>
  <si>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</si>
  <si>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</si>
  <si>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</si>
  <si>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</si>
  <si>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</si>
  <si>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</si>
  <si>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</si>
  <si>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</si>
  <si>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</si>
  <si>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</si>
  <si>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</si>
  <si>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</si>
  <si>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</si>
  <si>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</si>
  <si>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</si>
  <si>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</si>
  <si>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</si>
  <si>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</si>
  <si>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</si>
  <si>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</si>
  <si>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</si>
  <si>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</si>
  <si>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</si>
  <si>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</si>
  <si>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</si>
  <si>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</si>
  <si>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</si>
  <si>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</si>
  <si>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</si>
  <si>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</si>
  <si>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</si>
  <si>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</si>
  <si>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</si>
  <si>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</si>
  <si>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</si>
  <si>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</si>
  <si>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</si>
  <si>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</si>
  <si>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</si>
  <si>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</si>
  <si>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</si>
  <si>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</si>
  <si>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</si>
  <si>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</si>
  <si>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</si>
  <si>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</si>
  <si>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</si>
  <si>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</si>
  <si>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</si>
  <si>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</si>
  <si>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</si>
  <si>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</si>
  <si>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</si>
  <si>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</si>
  <si>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</si>
  <si>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</si>
  <si>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</si>
  <si>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</si>
  <si>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</si>
  <si>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</si>
  <si>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</si>
  <si>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</si>
  <si>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</si>
  <si>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</si>
  <si>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</si>
  <si>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</si>
  <si>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</si>
  <si>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</si>
  <si>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</si>
  <si>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</si>
  <si>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</si>
  <si>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</si>
  <si>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</si>
  <si>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</si>
  <si>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</si>
  <si>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</si>
  <si>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</si>
  <si>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</si>
  <si>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</si>
  <si>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</si>
  <si>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</si>
  <si>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</si>
  <si>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</si>
  <si>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</si>
  <si>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</si>
  <si>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</si>
  <si>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</si>
  <si>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</si>
  <si>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</si>
  <si>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</si>
  <si>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</si>
  <si>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</si>
  <si>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</si>
  <si>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</si>
  <si>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</si>
  <si>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</si>
  <si>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</si>
  <si>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</si>
  <si>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</si>
  <si>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</si>
  <si>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</si>
  <si>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</si>
  <si>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</si>
  <si>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</si>
  <si>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</si>
  <si>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</si>
  <si>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</si>
  <si>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</si>
  <si>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</si>
  <si>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</si>
  <si>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</si>
  <si>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</si>
  <si>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</si>
  <si>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</si>
  <si>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</si>
  <si>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</si>
  <si>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</si>
  <si>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</si>
  <si>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</si>
  <si>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</si>
  <si>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</si>
  <si>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</si>
  <si>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</si>
  <si>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</si>
  <si>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</si>
  <si>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</si>
  <si>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</si>
  <si>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</si>
  <si>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</si>
  <si>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</si>
  <si>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</si>
  <si>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</si>
  <si>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</si>
  <si>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</si>
  <si>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</si>
  <si>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</si>
  <si>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</si>
  <si>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</si>
  <si>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</si>
  <si>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</si>
  <si>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</si>
  <si>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</si>
  <si>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</si>
  <si>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</si>
  <si>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</si>
  <si>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</si>
  <si>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</si>
  <si>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</si>
  <si>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</si>
  <si>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</si>
  <si>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</si>
  <si>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</si>
  <si>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</si>
  <si>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</si>
  <si>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</si>
  <si>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</si>
  <si>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</si>
  <si>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</si>
  <si>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</si>
  <si>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</si>
  <si>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</si>
  <si>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</si>
  <si>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</si>
  <si>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</si>
  <si>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</si>
  <si>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</si>
  <si>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</si>
  <si>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</si>
  <si>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</si>
  <si>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</si>
  <si>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</si>
  <si>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</si>
  <si>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</si>
  <si>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</si>
  <si>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</si>
  <si>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</si>
  <si>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</si>
  <si>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</si>
  <si>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</si>
  <si>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</si>
  <si>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</si>
  <si>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</si>
  <si>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</si>
  <si>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</si>
  <si>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</si>
  <si>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</si>
  <si>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</si>
  <si>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</si>
  <si>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</si>
  <si>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</si>
  <si>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</si>
  <si>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</si>
  <si>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</si>
  <si>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</si>
  <si>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</si>
  <si>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</si>
  <si>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</si>
  <si>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</si>
  <si>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</si>
  <si>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</si>
  <si>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</si>
  <si>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</si>
  <si>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</si>
  <si>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</si>
  <si>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</si>
  <si>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</si>
  <si>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</si>
  <si>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</si>
  <si>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</si>
  <si>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</si>
  <si>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</si>
  <si>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</si>
  <si>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</si>
  <si>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</si>
  <si>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</si>
  <si>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</si>
  <si>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</si>
  <si>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</si>
  <si>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</si>
  <si>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</si>
  <si>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</si>
  <si>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</si>
  <si>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</si>
  <si>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</si>
  <si>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</si>
  <si>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</si>
  <si>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</si>
  <si>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</si>
  <si>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</si>
  <si>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</si>
  <si>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</si>
  <si>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</si>
  <si>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</si>
  <si>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</si>
  <si>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</si>
  <si>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</si>
  <si>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</si>
  <si>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</si>
  <si>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</si>
  <si>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</si>
  <si>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</si>
  <si>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</si>
  <si>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</si>
  <si>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</si>
  <si>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</si>
  <si>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</si>
  <si>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</si>
  <si>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</si>
  <si>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</si>
  <si>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</si>
  <si>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</si>
  <si>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</si>
  <si>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</si>
  <si>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</si>
  <si>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</si>
  <si>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</si>
  <si>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</si>
  <si>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</si>
  <si>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</si>
  <si>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</si>
  <si>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</si>
  <si>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</si>
  <si>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</si>
  <si>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</si>
  <si>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</si>
  <si>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</si>
  <si>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</si>
  <si>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</si>
  <si>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</si>
  <si>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</si>
  <si>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</si>
  <si>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</si>
  <si>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</si>
  <si>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</si>
  <si>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</si>
  <si>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</si>
  <si>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</si>
  <si>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</si>
  <si>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</si>
  <si>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</si>
  <si>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</si>
  <si>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</si>
  <si>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</si>
  <si>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</si>
  <si>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</si>
  <si>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</si>
  <si>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</si>
  <si>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</si>
  <si>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</si>
  <si>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</si>
  <si>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</si>
  <si>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</si>
  <si>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</si>
  <si>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</si>
  <si>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</si>
  <si>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</si>
  <si>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</si>
  <si>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</si>
  <si>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</si>
  <si>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</si>
  <si>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</si>
  <si>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</si>
  <si>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</si>
  <si>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</si>
  <si>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</si>
  <si>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</si>
  <si>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</si>
  <si>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</si>
  <si>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</si>
  <si>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</si>
  <si>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</si>
  <si>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</si>
  <si>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</si>
  <si>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</si>
  <si>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</si>
  <si>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</si>
  <si>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</si>
  <si>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</si>
  <si>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</si>
  <si>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</si>
  <si>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</si>
  <si>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</si>
  <si>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</si>
  <si>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</si>
  <si>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</si>
  <si>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</si>
  <si>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</si>
  <si>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</si>
  <si>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</si>
  <si>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</si>
  <si>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</si>
  <si>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</si>
  <si>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</si>
  <si>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</si>
  <si>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</si>
  <si>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</si>
  <si>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</si>
  <si>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</si>
  <si>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</si>
  <si>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</si>
  <si>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</si>
  <si>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</si>
  <si>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</si>
  <si>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</si>
  <si>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</si>
  <si>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</si>
  <si>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</si>
  <si>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</si>
  <si>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</si>
  <si>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</si>
  <si>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</si>
  <si>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</si>
  <si>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</si>
  <si>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</si>
  <si>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</si>
  <si>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</si>
  <si>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</si>
  <si>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</si>
  <si>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</si>
  <si>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</si>
  <si>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</si>
  <si>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</si>
  <si>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</si>
  <si>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</si>
  <si>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</si>
  <si>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</si>
  <si>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</si>
  <si>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</si>
  <si>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</si>
  <si>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</si>
  <si>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</si>
  <si>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</si>
  <si>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</si>
  <si>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</si>
  <si>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</si>
  <si>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</si>
  <si>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</si>
  <si>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</si>
  <si>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</si>
  <si>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</si>
  <si>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</si>
  <si>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</si>
  <si>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</si>
  <si>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</si>
  <si>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</si>
  <si>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</si>
  <si>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</si>
  <si>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</si>
  <si>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</si>
  <si>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</si>
  <si>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</si>
  <si>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</si>
  <si>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</si>
  <si>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</si>
  <si>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</si>
  <si>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</si>
  <si>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</si>
  <si>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</si>
  <si>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</si>
  <si>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</si>
  <si>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</si>
  <si>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</si>
  <si>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</si>
  <si>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</si>
  <si>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</si>
  <si>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</si>
  <si>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</si>
  <si>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</si>
  <si>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</si>
  <si>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</si>
  <si>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</si>
  <si>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</si>
  <si>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</si>
  <si>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</si>
  <si>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</si>
  <si>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</si>
  <si>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</si>
  <si>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</si>
  <si>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</si>
  <si>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</si>
  <si>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</si>
  <si>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</si>
  <si>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</si>
  <si>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</si>
  <si>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</si>
  <si>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</si>
  <si>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</si>
  <si>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</si>
  <si>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</si>
  <si>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</si>
  <si>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</si>
  <si>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</si>
  <si>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</si>
  <si>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</si>
  <si>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</si>
  <si>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</si>
  <si>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</si>
  <si>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</si>
  <si>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</si>
  <si>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</si>
  <si>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</si>
  <si>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</si>
  <si>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</si>
  <si>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</si>
  <si>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</si>
  <si>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</si>
  <si>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</si>
  <si>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</si>
  <si>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</si>
  <si>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</si>
  <si>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</si>
  <si>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</si>
  <si>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</si>
  <si>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</si>
  <si>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</si>
  <si>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</si>
  <si>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</si>
  <si>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</si>
  <si>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</si>
  <si>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</si>
  <si>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</si>
  <si>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</si>
  <si>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</si>
  <si>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</si>
  <si>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</si>
  <si>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</si>
  <si>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</si>
  <si>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</si>
  <si>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</si>
  <si>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</si>
  <si>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</si>
  <si>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</si>
  <si>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</si>
  <si>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</si>
  <si>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</si>
  <si>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</si>
  <si>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</si>
  <si>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</si>
  <si>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</si>
  <si>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</si>
  <si>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</si>
  <si>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</si>
  <si>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</si>
  <si>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</si>
  <si>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</si>
  <si>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</si>
  <si>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</si>
  <si>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</si>
  <si>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</si>
  <si>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</si>
  <si>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</si>
  <si>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</si>
  <si>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</si>
  <si>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</si>
  <si>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</si>
  <si>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</si>
  <si>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</si>
  <si>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</si>
  <si>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</si>
  <si>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</si>
  <si>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</si>
  <si>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</si>
  <si>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</si>
  <si>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</si>
  <si>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</si>
  <si>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</si>
  <si>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</si>
  <si>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</si>
  <si>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</si>
  <si>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</si>
  <si>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</si>
  <si>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</si>
  <si>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</si>
  <si>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</si>
  <si>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</si>
  <si>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</si>
  <si>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</si>
  <si>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</si>
  <si>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</si>
  <si>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</si>
  <si>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</si>
  <si>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</si>
  <si>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</si>
  <si>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</si>
  <si>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</si>
  <si>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</si>
  <si>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</si>
  <si>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</si>
  <si>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</si>
  <si>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</si>
  <si>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</si>
  <si>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</si>
  <si>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</si>
  <si>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</si>
  <si>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</si>
  <si>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</si>
  <si>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</si>
  <si>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</si>
  <si>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</si>
  <si>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</si>
  <si>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</si>
  <si>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</si>
  <si>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</si>
  <si>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</si>
  <si>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</si>
  <si>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</si>
  <si>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</si>
  <si>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</si>
  <si>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</si>
  <si>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</si>
  <si>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</si>
  <si>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</si>
  <si>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</si>
  <si>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</si>
  <si>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</si>
  <si>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</si>
  <si>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</si>
  <si>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</si>
  <si>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</si>
  <si>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</si>
  <si>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</si>
  <si>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</si>
  <si>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</si>
  <si>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</si>
  <si>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</si>
  <si>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</si>
  <si>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</si>
  <si>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</si>
  <si>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</si>
  <si>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</si>
  <si>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</si>
  <si>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</si>
  <si>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</si>
  <si>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</si>
  <si>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</si>
  <si>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</si>
  <si>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</si>
  <si>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</si>
  <si>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</si>
  <si>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</si>
  <si>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</si>
  <si>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</si>
  <si>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</si>
  <si>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</si>
  <si>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</si>
  <si>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</si>
  <si>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</si>
  <si>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</si>
  <si>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</si>
  <si>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</si>
  <si>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</si>
  <si>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</si>
  <si>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</si>
  <si>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</si>
  <si>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</si>
  <si>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</si>
  <si>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</si>
  <si>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</si>
  <si>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</si>
  <si>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</si>
  <si>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</si>
  <si>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</si>
  <si>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</si>
  <si>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</si>
  <si>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</si>
  <si>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</si>
  <si>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</si>
  <si>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</si>
  <si>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</si>
  <si>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</si>
  <si>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</si>
  <si>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</si>
  <si>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</si>
  <si>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</si>
  <si>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</si>
  <si>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</si>
  <si>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</si>
  <si>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</si>
  <si>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</si>
  <si>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</si>
  <si>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</si>
  <si>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</si>
  <si>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</si>
  <si>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</si>
  <si>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</si>
  <si>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</si>
  <si>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</si>
  <si>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</si>
  <si>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</si>
  <si>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</si>
  <si>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</si>
  <si>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</si>
  <si>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</si>
  <si>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</si>
  <si>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</si>
  <si>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</si>
  <si>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</si>
  <si>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</si>
  <si>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</si>
  <si>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</si>
  <si>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</si>
  <si>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</si>
  <si>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</si>
  <si>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</si>
  <si>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</si>
  <si>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</si>
  <si>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</si>
  <si>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</si>
  <si>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</si>
  <si>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</si>
  <si>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</si>
  <si>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</si>
  <si>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</si>
  <si>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</si>
  <si>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</si>
  <si>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</si>
  <si>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</si>
  <si>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</si>
  <si>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</si>
  <si>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</si>
  <si>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</si>
  <si>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</si>
  <si>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</si>
  <si>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</si>
  <si>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</si>
  <si>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</si>
  <si>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</si>
  <si>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</si>
  <si>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</si>
  <si>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</si>
  <si>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</si>
  <si>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</si>
  <si>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</si>
  <si>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</si>
  <si>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</si>
  <si>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</si>
  <si>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</si>
  <si>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</si>
  <si>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</si>
  <si>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</si>
  <si>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</si>
  <si>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</si>
  <si>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</si>
  <si>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</si>
  <si>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</si>
  <si>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</si>
  <si>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</si>
  <si>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</si>
  <si>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</si>
  <si>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</si>
  <si>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</si>
  <si>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</si>
  <si>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</si>
  <si>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</si>
  <si>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</si>
  <si>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</si>
  <si>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</si>
  <si>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</si>
  <si>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</si>
  <si>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</si>
  <si>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</si>
  <si>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</si>
  <si>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</si>
  <si>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</si>
  <si>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</si>
  <si>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</si>
  <si>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</si>
  <si>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</si>
  <si>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</si>
  <si>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</si>
  <si>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</si>
  <si>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</si>
  <si>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</si>
  <si>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</si>
  <si>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</si>
  <si>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</si>
  <si>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</si>
  <si>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</si>
  <si>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</si>
  <si>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</si>
  <si>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</si>
  <si>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</si>
  <si>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</si>
  <si>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</si>
  <si>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</si>
  <si>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</si>
  <si>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</si>
  <si>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</si>
  <si>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</si>
  <si>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</si>
  <si>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</si>
  <si>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</si>
  <si>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</si>
  <si>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</si>
  <si>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</si>
  <si>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</si>
  <si>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</si>
  <si>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</si>
  <si>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</si>
  <si>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</si>
  <si>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</si>
  <si>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</si>
  <si>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</si>
  <si>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</si>
  <si>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</si>
  <si>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</si>
  <si>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</si>
  <si>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</si>
  <si>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</si>
  <si>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</si>
  <si>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</si>
  <si>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</si>
  <si>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</si>
  <si>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</si>
  <si>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</si>
  <si>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</si>
  <si>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</si>
  <si>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</si>
  <si>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</si>
  <si>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</si>
  <si>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</si>
  <si>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</si>
  <si>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</si>
  <si>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</si>
  <si>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</si>
  <si>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</si>
  <si>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</si>
  <si>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</si>
  <si>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</si>
  <si>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</si>
  <si>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</si>
  <si>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</si>
  <si>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</si>
  <si>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</si>
  <si>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</si>
  <si>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</si>
  <si>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</si>
  <si>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</si>
  <si>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</si>
  <si>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</si>
  <si>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</si>
  <si>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</si>
  <si>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</si>
  <si>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</si>
  <si>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</si>
  <si>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</si>
  <si>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</si>
  <si>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</si>
  <si>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</si>
  <si>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</si>
  <si>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</si>
  <si>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</si>
  <si>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</si>
  <si>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</si>
  <si>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</si>
  <si>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</si>
  <si>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</si>
  <si>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</si>
  <si>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</si>
  <si>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</si>
  <si>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</si>
  <si>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</si>
  <si>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</si>
  <si>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</si>
  <si>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</si>
  <si>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</si>
  <si>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</si>
  <si>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</si>
  <si>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</si>
  <si>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</si>
  <si>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</si>
  <si>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</si>
  <si>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</si>
  <si>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</si>
  <si>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</si>
  <si>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</si>
  <si>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</si>
  <si>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</si>
  <si>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</si>
  <si>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</si>
  <si>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</si>
  <si>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</si>
  <si>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</si>
  <si>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</si>
  <si>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</si>
  <si>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</si>
  <si>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</si>
  <si>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</si>
  <si>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</si>
  <si>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</si>
  <si>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</si>
  <si>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</si>
  <si>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</si>
  <si>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</si>
  <si>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</si>
  <si>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</si>
  <si>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</si>
  <si>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</si>
  <si>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</si>
  <si>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</si>
  <si>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</si>
  <si>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</si>
  <si>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</si>
  <si>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</si>
  <si>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</si>
  <si>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</si>
  <si>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</si>
  <si>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</si>
  <si>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</si>
  <si>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</si>
  <si>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</si>
  <si>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</si>
  <si>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</si>
  <si>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</si>
  <si>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</si>
  <si>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</si>
  <si>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</si>
  <si>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</si>
  <si>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</si>
  <si>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</si>
  <si>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</si>
  <si>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</si>
  <si>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</si>
  <si>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</si>
  <si>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</si>
  <si>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</si>
  <si>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</si>
  <si>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</si>
  <si>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</si>
  <si>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</si>
  <si>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</si>
  <si>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</si>
  <si>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</si>
  <si>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</si>
  <si>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</si>
  <si>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</si>
  <si>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</si>
  <si>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</si>
  <si>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</si>
  <si>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</si>
  <si>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</si>
  <si>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</si>
  <si>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</si>
  <si>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</si>
  <si>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</si>
  <si>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</si>
  <si>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</si>
  <si>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</si>
  <si>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</si>
  <si>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</si>
  <si>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</si>
  <si>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</si>
  <si>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</si>
  <si>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</si>
  <si>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</si>
  <si>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</si>
  <si>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</si>
  <si>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</si>
  <si>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</si>
  <si>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</si>
  <si>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</si>
  <si>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</si>
  <si>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</si>
  <si>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</si>
  <si>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</si>
  <si>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</si>
  <si>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</si>
  <si>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</si>
  <si>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</si>
  <si>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</si>
  <si>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</si>
  <si>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</si>
  <si>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</si>
  <si>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</si>
  <si>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</si>
  <si>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</si>
  <si>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</si>
  <si>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</si>
  <si>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</si>
  <si>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</si>
  <si>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</si>
  <si>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</si>
  <si>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</si>
  <si>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</si>
  <si>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</si>
  <si>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</si>
  <si>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</si>
  <si>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</si>
  <si>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</si>
  <si>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</si>
  <si>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</si>
  <si>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</si>
  <si>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</si>
  <si>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</si>
  <si>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</si>
  <si>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</si>
  <si>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</si>
  <si>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</si>
  <si>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</si>
  <si>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</si>
  <si>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</si>
  <si>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</si>
  <si>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</si>
  <si>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</si>
  <si>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</si>
  <si>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</si>
  <si>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</si>
  <si>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</si>
  <si>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</si>
  <si>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</si>
  <si>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</si>
  <si>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</si>
  <si>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</si>
  <si>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</si>
  <si>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</si>
  <si>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</si>
  <si>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</si>
  <si>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</si>
  <si>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</si>
  <si>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</si>
  <si>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</si>
  <si>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</si>
  <si>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</si>
  <si>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</si>
  <si>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</si>
  <si>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</si>
  <si>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</si>
  <si>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</si>
  <si>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</si>
  <si>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</si>
  <si>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</si>
  <si>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</si>
  <si>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</si>
  <si>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</si>
  <si>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</si>
  <si>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</si>
  <si>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</si>
  <si>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</si>
  <si>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</si>
  <si>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</si>
  <si>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</si>
  <si>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</si>
  <si>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</si>
  <si>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</si>
  <si>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</si>
  <si>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</si>
  <si>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</si>
  <si>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</si>
  <si>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</si>
  <si>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</si>
  <si>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</si>
  <si>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</si>
  <si>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</si>
  <si>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</si>
  <si>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</si>
  <si>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</si>
  <si>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</si>
  <si>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</si>
  <si>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</si>
  <si>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</si>
  <si>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</si>
  <si>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</si>
  <si>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</si>
  <si>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</si>
  <si>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</si>
  <si>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</si>
  <si>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</si>
  <si>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</si>
  <si>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</si>
  <si>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</si>
  <si>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</si>
  <si>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</si>
  <si>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</si>
  <si>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</si>
  <si>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</si>
  <si>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</si>
  <si>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</si>
  <si>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</si>
  <si>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</si>
  <si>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</si>
  <si>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</si>
  <si>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</si>
  <si>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</si>
  <si>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</si>
  <si>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</si>
  <si>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</si>
  <si>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</si>
  <si>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</si>
  <si>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</si>
  <si>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</si>
  <si>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</si>
  <si>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</si>
  <si>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</si>
  <si>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</si>
  <si>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</si>
  <si>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</si>
  <si>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</si>
  <si>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</si>
  <si>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</si>
  <si>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</si>
  <si>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</si>
  <si>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</si>
  <si>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</si>
  <si>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</si>
  <si>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</si>
  <si>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</si>
  <si>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</si>
  <si>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</si>
  <si>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</si>
  <si>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</si>
  <si>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</si>
  <si>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</si>
  <si>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</si>
  <si>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</si>
  <si>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</si>
  <si>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</si>
  <si>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</si>
  <si>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</si>
  <si>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</si>
  <si>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</si>
  <si>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</si>
  <si>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</si>
  <si>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</si>
  <si>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</si>
  <si>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</si>
  <si>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</si>
  <si>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</si>
  <si>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</si>
  <si>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</si>
  <si>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</si>
  <si>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</si>
  <si>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</si>
  <si>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</si>
  <si>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</si>
  <si>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</si>
  <si>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</si>
  <si>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</si>
  <si>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</si>
  <si>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</si>
  <si>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</si>
  <si>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</si>
  <si>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</si>
  <si>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</si>
  <si>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</si>
  <si>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</si>
  <si>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</si>
  <si>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</si>
  <si>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</si>
  <si>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</si>
  <si>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</si>
  <si>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</si>
  <si>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</si>
  <si>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</si>
  <si>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</si>
  <si>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</si>
  <si>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</si>
  <si>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</si>
  <si>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</si>
  <si>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</si>
  <si>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</si>
  <si>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</si>
  <si>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</si>
  <si>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</si>
  <si>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</si>
  <si>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</si>
  <si>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</si>
  <si>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</si>
  <si>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</si>
  <si>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</si>
  <si>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</si>
  <si>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</si>
  <si>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</si>
  <si>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</si>
  <si>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</si>
  <si>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</si>
  <si>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</si>
  <si>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</si>
  <si>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</si>
  <si>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</si>
  <si>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</si>
  <si>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</si>
  <si>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</si>
  <si>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</si>
  <si>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</si>
  <si>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</si>
  <si>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</si>
  <si>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</si>
  <si>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</si>
  <si>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</si>
  <si>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</si>
  <si>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</si>
  <si>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</si>
  <si>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</si>
  <si>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</si>
  <si>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</si>
  <si>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</si>
  <si>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</si>
  <si>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</si>
  <si>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</si>
  <si>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</si>
  <si>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</si>
  <si>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</si>
  <si>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</si>
  <si>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</si>
  <si>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</si>
  <si>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</si>
  <si>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</si>
  <si>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</si>
  <si>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</si>
  <si>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</si>
  <si>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</si>
  <si>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</si>
  <si>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</si>
  <si>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</si>
  <si>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</si>
  <si>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</si>
  <si>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</si>
  <si>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</si>
  <si>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</si>
  <si>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</si>
  <si>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</si>
  <si>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</si>
  <si>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</si>
  <si>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</si>
  <si>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</si>
  <si>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</si>
  <si>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</si>
  <si>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</si>
  <si>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</si>
  <si>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</si>
  <si>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</si>
  <si>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</si>
  <si>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</si>
  <si>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</si>
  <si>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</si>
  <si>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</si>
  <si>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</si>
  <si>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</si>
  <si>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</si>
  <si>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</si>
  <si>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</si>
  <si>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</si>
  <si>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</si>
  <si>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</si>
  <si>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</si>
  <si>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</si>
  <si>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</si>
  <si>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</si>
  <si>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</si>
  <si>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</si>
  <si>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</si>
  <si>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</si>
  <si>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</si>
  <si>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</si>
  <si>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</si>
  <si>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</si>
  <si>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</si>
  <si>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</si>
  <si>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</si>
  <si>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</si>
  <si>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</si>
  <si>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</si>
  <si>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</si>
  <si>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</si>
  <si>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</si>
  <si>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</si>
  <si>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</si>
  <si>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</si>
  <si>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</si>
  <si>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</si>
  <si>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</si>
  <si>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</si>
  <si>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</si>
  <si>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</si>
  <si>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</si>
  <si>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</si>
  <si>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</si>
  <si>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</si>
  <si>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</si>
  <si>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</si>
  <si>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</si>
  <si>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</si>
  <si>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</si>
  <si>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</si>
  <si>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</si>
  <si>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</si>
  <si>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</si>
  <si>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</si>
  <si>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</si>
  <si>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</si>
  <si>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</si>
  <si>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</si>
  <si>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</si>
  <si>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</si>
  <si>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</si>
  <si>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</si>
  <si>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</si>
  <si>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</si>
  <si>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</si>
  <si>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</si>
  <si>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</si>
  <si>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</si>
  <si>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</si>
  <si>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</si>
  <si>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</si>
  <si>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</si>
  <si>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</si>
  <si>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</si>
  <si>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</si>
  <si>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</si>
  <si>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</si>
  <si>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</si>
  <si>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</si>
  <si>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</si>
  <si>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</si>
  <si>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</si>
  <si>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</si>
  <si>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</si>
  <si>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</si>
  <si>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</si>
  <si>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</si>
  <si>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</si>
  <si>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</si>
  <si>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</si>
  <si>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</si>
  <si>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</si>
  <si>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</si>
  <si>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</si>
  <si>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</si>
  <si>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</si>
  <si>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</si>
  <si>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</si>
  <si>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</si>
  <si>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</si>
  <si>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</si>
  <si>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</si>
  <si>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</si>
  <si>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</si>
  <si>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</si>
  <si>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</si>
  <si>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</si>
  <si>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</si>
  <si>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</si>
  <si>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</si>
  <si>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</si>
  <si>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</si>
  <si>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</si>
  <si>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</si>
  <si>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</si>
  <si>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</si>
  <si>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</si>
  <si>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</si>
  <si>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</si>
  <si>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</si>
  <si>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</si>
  <si>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</si>
  <si>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</si>
  <si>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</si>
  <si>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</si>
  <si>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</si>
  <si>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</si>
  <si>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</si>
  <si>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</si>
  <si>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</si>
  <si>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</si>
  <si>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</si>
  <si>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</si>
  <si>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</si>
  <si>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</si>
  <si>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</si>
  <si>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</si>
  <si>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</si>
  <si>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</si>
  <si>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</si>
  <si>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</si>
  <si>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</si>
  <si>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</si>
  <si>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</si>
  <si>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</si>
  <si>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</si>
  <si>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</si>
  <si>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</si>
  <si>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</si>
  <si>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</si>
  <si>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</si>
  <si>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</si>
  <si>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</si>
  <si>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</si>
  <si>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</si>
  <si>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</si>
  <si>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</si>
  <si>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</si>
  <si>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</si>
  <si>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</si>
  <si>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</si>
  <si>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</si>
  <si>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</si>
  <si>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</si>
  <si>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</si>
  <si>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</si>
  <si>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</si>
  <si>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</si>
  <si>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</si>
  <si>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</si>
  <si>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</si>
  <si>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</si>
  <si>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</si>
  <si>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</si>
  <si>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</si>
  <si>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</si>
  <si>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</si>
  <si>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</si>
  <si>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</si>
  <si>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</si>
  <si>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</si>
  <si>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</si>
  <si>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</si>
  <si>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</si>
  <si>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</si>
  <si>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</si>
  <si>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</si>
  <si>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</si>
  <si>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</si>
  <si>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</si>
  <si>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</si>
  <si>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</si>
  <si>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</si>
  <si>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</si>
  <si>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</si>
  <si>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</si>
  <si>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</si>
  <si>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</si>
  <si>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</si>
  <si>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</si>
  <si>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</si>
  <si>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</si>
  <si>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</si>
  <si>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</si>
  <si>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</si>
  <si>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</si>
  <si>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</si>
  <si>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</si>
  <si>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</si>
  <si>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</si>
  <si>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</si>
  <si>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</si>
  <si>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</si>
  <si>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</si>
  <si>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</si>
  <si>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</si>
  <si>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</si>
  <si>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</si>
  <si>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</si>
  <si>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</si>
  <si>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</si>
  <si>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</si>
  <si>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</si>
  <si>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</si>
  <si>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</si>
  <si>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</si>
  <si>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</si>
  <si>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</si>
  <si>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</si>
  <si>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</si>
  <si>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</si>
  <si>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</si>
  <si>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</si>
  <si>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</si>
  <si>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</si>
  <si>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</si>
  <si>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</si>
  <si>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</si>
  <si>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</si>
  <si>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</si>
  <si>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</si>
  <si>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</si>
  <si>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</si>
  <si>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</si>
  <si>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</si>
  <si>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</si>
  <si>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</si>
  <si>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</si>
  <si>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</si>
  <si>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</si>
  <si>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</si>
  <si>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</si>
  <si>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</si>
  <si>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</si>
  <si>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</si>
  <si>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</si>
  <si>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</si>
  <si>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</si>
  <si>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</si>
  <si>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</si>
  <si>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</si>
  <si>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</si>
  <si>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</si>
  <si>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</si>
  <si>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</si>
  <si>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</si>
  <si>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</si>
  <si>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</si>
  <si>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</si>
  <si>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</si>
  <si>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</si>
  <si>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</si>
  <si>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</si>
  <si>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11.35%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</si>
</sst>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J328" activePane="bottomRight" state="frozen"/>
      <selection pane="topRight" activeCell="M1" sqref="M1"/>
      <selection pane="bottomLeft" activeCell="A5" sqref="A5"/>
      <selection pane="bottomRight" activeCell="D567" sqref="D566:D56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7.6539101497504161E-2</v>
      </c>
      <c r="AJ1" s="3">
        <f t="shared" si="1"/>
        <v>0.11764705882352941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46</v>
      </c>
      <c r="AJ3" s="126">
        <f t="shared" si="4"/>
        <v>74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20</v>
      </c>
      <c r="AJ4" s="10">
        <f>COUNTIFS(AJ8:AJ670, "=APAGADO",F8:F670,"=Fibra Optica")</f>
        <v>36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7</v>
      </c>
      <c r="AJ5" s="130">
        <f>COUNTIFS(AJ8:AJ670, "=APAGADO",F8:F670,"=RADIO")</f>
        <v>6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2</v>
      </c>
      <c r="AJ6" s="10">
        <f>COUNTIFS(AJ8:AJ670, "=APAGADO",F8:F670,"=PTO A FO")</f>
        <v>12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27</v>
      </c>
      <c r="J24" s="147" t="s">
        <v>1686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2124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27</v>
      </c>
      <c r="J25" s="147" t="s">
        <v>1687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2124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27</v>
      </c>
      <c r="J26" s="147" t="s">
        <v>1688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2124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27</v>
      </c>
      <c r="J27" s="147" t="s">
        <v>1689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2124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27</v>
      </c>
      <c r="J28" s="147" t="s">
        <v>1690</v>
      </c>
      <c r="K28" s="31">
        <f t="shared" si="6"/>
        <v>1</v>
      </c>
      <c r="L28" s="32">
        <f t="shared" si="7"/>
        <v>0.9642857142857143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 t="s">
        <v>2124</v>
      </c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27</v>
      </c>
      <c r="J29" s="147" t="s">
        <v>1691</v>
      </c>
      <c r="K29" s="31">
        <f t="shared" si="6"/>
        <v>1</v>
      </c>
      <c r="L29" s="32">
        <f t="shared" si="7"/>
        <v>0.9642857142857143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 t="s">
        <v>2124</v>
      </c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6</v>
      </c>
      <c r="J34" s="147" t="s">
        <v>1693</v>
      </c>
      <c r="K34" s="134">
        <f t="shared" si="6"/>
        <v>22</v>
      </c>
      <c r="L34" s="135">
        <f t="shared" si="7"/>
        <v>0.21428571428571427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 t="s">
        <v>2124</v>
      </c>
      <c r="AJ34" s="136" t="s">
        <v>2124</v>
      </c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27</v>
      </c>
      <c r="J36" s="87" t="s">
        <v>2162</v>
      </c>
      <c r="K36" s="142">
        <f t="shared" si="6"/>
        <v>1</v>
      </c>
      <c r="L36" s="143">
        <f t="shared" si="7"/>
        <v>0.9642857142857143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 t="s">
        <v>2124</v>
      </c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1737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25</v>
      </c>
      <c r="J95" s="147" t="s">
        <v>1745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 t="s">
        <v>2124</v>
      </c>
      <c r="AJ95" s="70" t="s">
        <v>2124</v>
      </c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19</v>
      </c>
      <c r="J97" s="147" t="s">
        <v>1747</v>
      </c>
      <c r="K97" s="142">
        <f t="shared" si="9"/>
        <v>9</v>
      </c>
      <c r="L97" s="143">
        <f t="shared" si="10"/>
        <v>0.6785714285714286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 t="s">
        <v>2124</v>
      </c>
      <c r="AJ97" s="70" t="s">
        <v>2124</v>
      </c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1765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23</v>
      </c>
      <c r="J118" s="147" t="s">
        <v>1767</v>
      </c>
      <c r="K118" s="142">
        <f t="shared" si="9"/>
        <v>5</v>
      </c>
      <c r="L118" s="143">
        <f t="shared" si="10"/>
        <v>0.8214285714285714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26</v>
      </c>
      <c r="J125" s="148" t="s">
        <v>1774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1334</v>
      </c>
      <c r="I158" s="142">
        <f t="shared" si="8"/>
        <v>28</v>
      </c>
      <c r="J158" s="147" t="s">
        <v>1799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27</v>
      </c>
      <c r="J183" s="147" t="s">
        <v>1822</v>
      </c>
      <c r="K183" s="31">
        <f t="shared" si="12"/>
        <v>1</v>
      </c>
      <c r="L183" s="32">
        <f t="shared" si="13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 t="s">
        <v>2124</v>
      </c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4</v>
      </c>
      <c r="J188" s="87"/>
      <c r="K188" s="138">
        <f t="shared" si="12"/>
        <v>24</v>
      </c>
      <c r="L188" s="139">
        <f t="shared" si="13"/>
        <v>0.14285714285714285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 t="s">
        <v>2124</v>
      </c>
      <c r="AJ188" s="140" t="s">
        <v>2124</v>
      </c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27</v>
      </c>
      <c r="J190" s="147" t="s">
        <v>1827</v>
      </c>
      <c r="K190" s="142">
        <f t="shared" si="12"/>
        <v>1</v>
      </c>
      <c r="L190" s="143">
        <f t="shared" si="13"/>
        <v>0.9642857142857143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 t="s">
        <v>2124</v>
      </c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4</v>
      </c>
      <c r="J194" s="87"/>
      <c r="K194" s="31">
        <f t="shared" si="12"/>
        <v>24</v>
      </c>
      <c r="L194" s="32">
        <f t="shared" si="13"/>
        <v>0.14285714285714285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 t="s">
        <v>2124</v>
      </c>
      <c r="AJ194" s="93" t="s">
        <v>2124</v>
      </c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14</v>
      </c>
      <c r="J195" s="147" t="s">
        <v>1831</v>
      </c>
      <c r="K195" s="142">
        <f t="shared" si="12"/>
        <v>14</v>
      </c>
      <c r="L195" s="143">
        <f t="shared" si="13"/>
        <v>0.5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 t="s">
        <v>2124</v>
      </c>
      <c r="AJ195" s="70" t="s">
        <v>2124</v>
      </c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9</v>
      </c>
      <c r="J196" s="147" t="s">
        <v>1832</v>
      </c>
      <c r="K196" s="31">
        <f t="shared" si="12"/>
        <v>19</v>
      </c>
      <c r="L196" s="32">
        <f t="shared" si="13"/>
        <v>0.32142857142857145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16</v>
      </c>
      <c r="J213" s="87"/>
      <c r="K213" s="31">
        <f t="shared" si="12"/>
        <v>12</v>
      </c>
      <c r="L213" s="32">
        <f t="shared" si="13"/>
        <v>0.5714285714285714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 t="s">
        <v>2124</v>
      </c>
      <c r="AJ213" s="70" t="s">
        <v>2124</v>
      </c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16</v>
      </c>
      <c r="J214" s="87"/>
      <c r="K214" s="31">
        <f t="shared" si="12"/>
        <v>12</v>
      </c>
      <c r="L214" s="32">
        <f t="shared" si="13"/>
        <v>0.5714285714285714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 t="s">
        <v>2124</v>
      </c>
      <c r="AJ214" s="70" t="s">
        <v>2124</v>
      </c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27</v>
      </c>
      <c r="J215" s="147" t="s">
        <v>1847</v>
      </c>
      <c r="K215" s="31">
        <f t="shared" si="12"/>
        <v>1</v>
      </c>
      <c r="L215" s="32">
        <f t="shared" si="13"/>
        <v>0.9642857142857143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27</v>
      </c>
      <c r="J217" s="147" t="s">
        <v>1849</v>
      </c>
      <c r="K217" s="31">
        <f t="shared" si="12"/>
        <v>1</v>
      </c>
      <c r="L217" s="32">
        <f t="shared" si="13"/>
        <v>0.9642857142857143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27</v>
      </c>
      <c r="J218" s="147" t="s">
        <v>1850</v>
      </c>
      <c r="K218" s="31">
        <f t="shared" si="12"/>
        <v>1</v>
      </c>
      <c r="L218" s="32">
        <f t="shared" si="13"/>
        <v>0.9642857142857143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1330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4</v>
      </c>
      <c r="J240" s="87"/>
      <c r="K240" s="31">
        <f t="shared" si="15"/>
        <v>24</v>
      </c>
      <c r="L240" s="32">
        <f t="shared" si="16"/>
        <v>0.14285714285714285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 t="s">
        <v>2124</v>
      </c>
      <c r="AJ240" s="93" t="s">
        <v>2124</v>
      </c>
      <c r="AK240" s="93"/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26</v>
      </c>
      <c r="J243" s="87"/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2124</v>
      </c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27</v>
      </c>
      <c r="J244" s="147" t="s">
        <v>1872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 t="s">
        <v>2124</v>
      </c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27</v>
      </c>
      <c r="J245" s="147" t="s">
        <v>1873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 t="s">
        <v>2124</v>
      </c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27</v>
      </c>
      <c r="J246" s="147" t="s">
        <v>1874</v>
      </c>
      <c r="K246" s="142">
        <f t="shared" si="15"/>
        <v>1</v>
      </c>
      <c r="L246" s="143">
        <f t="shared" si="16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 t="s">
        <v>2124</v>
      </c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27</v>
      </c>
      <c r="J247" s="147" t="s">
        <v>1875</v>
      </c>
      <c r="K247" s="142">
        <f t="shared" si="15"/>
        <v>1</v>
      </c>
      <c r="L247" s="143">
        <f t="shared" si="16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 t="s">
        <v>2124</v>
      </c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26</v>
      </c>
      <c r="J250" s="147" t="s">
        <v>1877</v>
      </c>
      <c r="K250" s="31">
        <f t="shared" si="15"/>
        <v>2</v>
      </c>
      <c r="L250" s="32">
        <f t="shared" si="16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 t="s">
        <v>2124</v>
      </c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4</v>
      </c>
      <c r="J268" s="147" t="s">
        <v>1894</v>
      </c>
      <c r="K268" s="31">
        <f t="shared" si="15"/>
        <v>24</v>
      </c>
      <c r="L268" s="32">
        <f t="shared" si="16"/>
        <v>0.14285714285714285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 t="s">
        <v>2124</v>
      </c>
      <c r="AJ268" s="70" t="s">
        <v>2124</v>
      </c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10</v>
      </c>
      <c r="J272" s="147" t="s">
        <v>1897</v>
      </c>
      <c r="K272" s="31">
        <f t="shared" si="15"/>
        <v>18</v>
      </c>
      <c r="L272" s="32">
        <f t="shared" si="16"/>
        <v>0.35714285714285715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 t="s">
        <v>2124</v>
      </c>
      <c r="AJ272" s="70" t="s">
        <v>2124</v>
      </c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10</v>
      </c>
      <c r="J273" s="147" t="s">
        <v>1898</v>
      </c>
      <c r="K273" s="142">
        <f t="shared" si="15"/>
        <v>18</v>
      </c>
      <c r="L273" s="143">
        <f t="shared" si="16"/>
        <v>0.35714285714285715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 t="s">
        <v>2124</v>
      </c>
      <c r="AJ273" s="70" t="s">
        <v>2124</v>
      </c>
      <c r="AK273" s="70"/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17</v>
      </c>
      <c r="J275" s="147" t="s">
        <v>1900</v>
      </c>
      <c r="K275" s="142">
        <f t="shared" si="15"/>
        <v>11</v>
      </c>
      <c r="L275" s="143">
        <f t="shared" si="16"/>
        <v>0.6071428571428571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4</v>
      </c>
      <c r="J287" s="147" t="s">
        <v>1911</v>
      </c>
      <c r="K287" s="31">
        <f t="shared" si="15"/>
        <v>24</v>
      </c>
      <c r="L287" s="32">
        <f t="shared" si="16"/>
        <v>0.14285714285714285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 t="s">
        <v>2124</v>
      </c>
      <c r="AJ287" s="70" t="s">
        <v>2124</v>
      </c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5</v>
      </c>
      <c r="J288" s="147" t="s">
        <v>1912</v>
      </c>
      <c r="K288" s="31">
        <f t="shared" si="15"/>
        <v>23</v>
      </c>
      <c r="L288" s="32">
        <f t="shared" si="16"/>
        <v>0.17857142857142858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 t="s">
        <v>2124</v>
      </c>
      <c r="AJ288" s="70" t="s">
        <v>2124</v>
      </c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1914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5</v>
      </c>
      <c r="J299" s="147" t="s">
        <v>1922</v>
      </c>
      <c r="K299" s="142">
        <f t="shared" si="15"/>
        <v>23</v>
      </c>
      <c r="L299" s="143">
        <f t="shared" si="16"/>
        <v>0.17857142857142858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 t="s">
        <v>2124</v>
      </c>
      <c r="AJ299" s="70" t="s">
        <v>2124</v>
      </c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6</v>
      </c>
      <c r="J301" s="147" t="s">
        <v>1923</v>
      </c>
      <c r="K301" s="31">
        <f t="shared" ref="K301:K369" si="18">COUNTIF(M301:AN301,"APAGADO")</f>
        <v>22</v>
      </c>
      <c r="L301" s="32">
        <f t="shared" ref="L301:L369" si="19">(I301)/(K301+I301)</f>
        <v>0.21428571428571427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 t="s">
        <v>2124</v>
      </c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8</v>
      </c>
      <c r="J305" s="147" t="s">
        <v>1926</v>
      </c>
      <c r="K305" s="31">
        <f t="shared" si="18"/>
        <v>20</v>
      </c>
      <c r="L305" s="32">
        <f t="shared" si="19"/>
        <v>0.2857142857142857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 t="s">
        <v>2124</v>
      </c>
      <c r="AJ305" s="70" t="s">
        <v>2124</v>
      </c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27</v>
      </c>
      <c r="J311" s="147" t="s">
        <v>1932</v>
      </c>
      <c r="K311" s="31">
        <f t="shared" si="18"/>
        <v>1</v>
      </c>
      <c r="L311" s="32">
        <f t="shared" si="19"/>
        <v>0.9642857142857143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2124</v>
      </c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27</v>
      </c>
      <c r="J312" s="147" t="s">
        <v>1933</v>
      </c>
      <c r="K312" s="31">
        <f t="shared" si="18"/>
        <v>1</v>
      </c>
      <c r="L312" s="32">
        <f t="shared" si="19"/>
        <v>0.9642857142857143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2124</v>
      </c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27</v>
      </c>
      <c r="J313" s="147" t="s">
        <v>1934</v>
      </c>
      <c r="K313" s="31">
        <f t="shared" si="18"/>
        <v>1</v>
      </c>
      <c r="L313" s="32">
        <f t="shared" si="19"/>
        <v>0.9642857142857143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 t="s">
        <v>2124</v>
      </c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27</v>
      </c>
      <c r="J314" s="147" t="s">
        <v>1935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 t="s">
        <v>2124</v>
      </c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27</v>
      </c>
      <c r="J315" s="147" t="s">
        <v>1936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 t="s">
        <v>2124</v>
      </c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27</v>
      </c>
      <c r="J316" s="147" t="s">
        <v>1937</v>
      </c>
      <c r="K316" s="31">
        <f t="shared" si="18"/>
        <v>1</v>
      </c>
      <c r="L316" s="32">
        <f t="shared" si="19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 t="s">
        <v>2124</v>
      </c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17</v>
      </c>
      <c r="J317" s="147" t="s">
        <v>1938</v>
      </c>
      <c r="K317" s="31">
        <f t="shared" si="18"/>
        <v>11</v>
      </c>
      <c r="L317" s="32">
        <f t="shared" si="19"/>
        <v>0.6071428571428571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19</v>
      </c>
      <c r="J318" s="147" t="s">
        <v>1939</v>
      </c>
      <c r="K318" s="31">
        <f t="shared" si="18"/>
        <v>9</v>
      </c>
      <c r="L318" s="32">
        <f t="shared" si="19"/>
        <v>0.6785714285714286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9</v>
      </c>
      <c r="J319" s="147" t="s">
        <v>1940</v>
      </c>
      <c r="K319" s="31">
        <f t="shared" si="18"/>
        <v>19</v>
      </c>
      <c r="L319" s="32">
        <f t="shared" si="19"/>
        <v>0.32142857142857145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 t="s">
        <v>2124</v>
      </c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17</v>
      </c>
      <c r="J320" s="147" t="s">
        <v>1941</v>
      </c>
      <c r="K320" s="31">
        <f t="shared" si="18"/>
        <v>11</v>
      </c>
      <c r="L320" s="32">
        <f t="shared" si="19"/>
        <v>0.6071428571428571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 t="s">
        <v>2124</v>
      </c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27</v>
      </c>
      <c r="J321" s="147" t="s">
        <v>1942</v>
      </c>
      <c r="K321" s="87">
        <f t="shared" si="18"/>
        <v>1</v>
      </c>
      <c r="L321" s="88">
        <f t="shared" si="19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2124</v>
      </c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27</v>
      </c>
      <c r="J322" s="147" t="s">
        <v>1943</v>
      </c>
      <c r="K322" s="31">
        <f t="shared" si="18"/>
        <v>1</v>
      </c>
      <c r="L322" s="32">
        <f t="shared" si="19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 t="s">
        <v>2124</v>
      </c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27</v>
      </c>
      <c r="J323" s="147" t="s">
        <v>1944</v>
      </c>
      <c r="K323" s="31">
        <f t="shared" si="18"/>
        <v>1</v>
      </c>
      <c r="L323" s="32">
        <f t="shared" si="19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 t="s">
        <v>2124</v>
      </c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27</v>
      </c>
      <c r="J324" s="147" t="s">
        <v>1945</v>
      </c>
      <c r="K324" s="31">
        <f t="shared" si="18"/>
        <v>1</v>
      </c>
      <c r="L324" s="32">
        <f t="shared" si="19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 t="s">
        <v>2124</v>
      </c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27</v>
      </c>
      <c r="J325" s="147" t="s">
        <v>1946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 t="s">
        <v>2124</v>
      </c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27</v>
      </c>
      <c r="J326" s="147" t="s">
        <v>1947</v>
      </c>
      <c r="K326" s="31">
        <f t="shared" si="18"/>
        <v>1</v>
      </c>
      <c r="L326" s="32">
        <f t="shared" si="19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 t="s">
        <v>2124</v>
      </c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27</v>
      </c>
      <c r="J327" s="147" t="s">
        <v>1948</v>
      </c>
      <c r="K327" s="31">
        <f t="shared" si="18"/>
        <v>1</v>
      </c>
      <c r="L327" s="32">
        <f t="shared" si="19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 t="s">
        <v>2124</v>
      </c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27</v>
      </c>
      <c r="J328" s="147" t="s">
        <v>1949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 t="s">
        <v>2124</v>
      </c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27</v>
      </c>
      <c r="J329" s="147" t="s">
        <v>1950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2124</v>
      </c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27</v>
      </c>
      <c r="J330" s="147" t="s">
        <v>1951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 t="s">
        <v>2124</v>
      </c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27</v>
      </c>
      <c r="J331" s="147" t="s">
        <v>1952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 t="s">
        <v>2124</v>
      </c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27</v>
      </c>
      <c r="J332" s="147" t="s">
        <v>1953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 t="s">
        <v>2124</v>
      </c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27</v>
      </c>
      <c r="J333" s="147" t="s">
        <v>1954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 t="s">
        <v>2124</v>
      </c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22</v>
      </c>
      <c r="J334" s="87"/>
      <c r="K334" s="31">
        <f t="shared" si="18"/>
        <v>6</v>
      </c>
      <c r="L334" s="32">
        <f t="shared" si="19"/>
        <v>0.7857142857142857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 t="s">
        <v>2124</v>
      </c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22</v>
      </c>
      <c r="J335" s="87"/>
      <c r="K335" s="31">
        <f t="shared" si="18"/>
        <v>6</v>
      </c>
      <c r="L335" s="32">
        <f t="shared" si="19"/>
        <v>0.7857142857142857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 t="s">
        <v>2124</v>
      </c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25</v>
      </c>
      <c r="J336" s="147" t="s">
        <v>1955</v>
      </c>
      <c r="K336" s="31">
        <f t="shared" si="18"/>
        <v>3</v>
      </c>
      <c r="L336" s="32">
        <f t="shared" si="19"/>
        <v>0.8928571428571429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 t="s">
        <v>2124</v>
      </c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21</v>
      </c>
      <c r="J340" s="147" t="s">
        <v>1957</v>
      </c>
      <c r="K340" s="142">
        <f t="shared" si="18"/>
        <v>7</v>
      </c>
      <c r="L340" s="143">
        <f t="shared" si="19"/>
        <v>0.75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 t="s">
        <v>2124</v>
      </c>
      <c r="AJ340" s="70" t="s">
        <v>2124</v>
      </c>
      <c r="AK340" s="70"/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23</v>
      </c>
      <c r="J341" s="147" t="s">
        <v>1958</v>
      </c>
      <c r="K341" s="142">
        <f t="shared" si="18"/>
        <v>5</v>
      </c>
      <c r="L341" s="143">
        <f t="shared" si="19"/>
        <v>0.8214285714285714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 t="s">
        <v>2124</v>
      </c>
      <c r="AJ341" s="70" t="s">
        <v>2124</v>
      </c>
      <c r="AK341" s="70"/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17</v>
      </c>
      <c r="J343" s="147" t="s">
        <v>1960</v>
      </c>
      <c r="K343" s="31">
        <f t="shared" si="18"/>
        <v>11</v>
      </c>
      <c r="L343" s="32">
        <f t="shared" si="19"/>
        <v>0.6071428571428571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 t="s">
        <v>2124</v>
      </c>
      <c r="AJ343" s="70" t="s">
        <v>2124</v>
      </c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23</v>
      </c>
      <c r="J363" s="147" t="s">
        <v>1976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6</v>
      </c>
      <c r="J364" s="73"/>
      <c r="K364" s="31">
        <f t="shared" si="18"/>
        <v>22</v>
      </c>
      <c r="L364" s="32">
        <f t="shared" si="19"/>
        <v>0.21428571428571427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 t="s">
        <v>2124</v>
      </c>
      <c r="AJ364" s="93" t="s">
        <v>2124</v>
      </c>
      <c r="AK364" s="93"/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18</v>
      </c>
      <c r="J377" s="147" t="s">
        <v>1989</v>
      </c>
      <c r="K377" s="31">
        <f t="shared" si="21"/>
        <v>10</v>
      </c>
      <c r="L377" s="32">
        <f t="shared" si="22"/>
        <v>0.6428571428571429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 t="s">
        <v>2124</v>
      </c>
      <c r="AJ377" s="70" t="s">
        <v>2124</v>
      </c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18</v>
      </c>
      <c r="J382" s="87"/>
      <c r="K382" s="31">
        <f t="shared" si="21"/>
        <v>10</v>
      </c>
      <c r="L382" s="32">
        <f t="shared" si="22"/>
        <v>0.6428571428571429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 t="s">
        <v>2124</v>
      </c>
      <c r="AJ382" s="84" t="s">
        <v>2124</v>
      </c>
      <c r="AK382" s="84"/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15</v>
      </c>
      <c r="J383" s="87"/>
      <c r="K383" s="31">
        <f t="shared" si="21"/>
        <v>13</v>
      </c>
      <c r="L383" s="32">
        <f t="shared" si="22"/>
        <v>0.5357142857142857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 t="s">
        <v>2124</v>
      </c>
      <c r="AJ383" s="70" t="s">
        <v>2124</v>
      </c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28</v>
      </c>
      <c r="J387" s="147" t="s">
        <v>1995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4</v>
      </c>
      <c r="J389" s="147" t="s">
        <v>1996</v>
      </c>
      <c r="K389" s="31">
        <f t="shared" si="21"/>
        <v>24</v>
      </c>
      <c r="L389" s="32">
        <f t="shared" si="22"/>
        <v>0.14285714285714285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 t="s">
        <v>2124</v>
      </c>
      <c r="AJ389" s="70" t="s">
        <v>2124</v>
      </c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4</v>
      </c>
      <c r="J390" s="147" t="s">
        <v>1997</v>
      </c>
      <c r="K390" s="31">
        <f t="shared" si="21"/>
        <v>24</v>
      </c>
      <c r="L390" s="32">
        <f t="shared" si="22"/>
        <v>0.14285714285714285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 t="s">
        <v>2124</v>
      </c>
      <c r="AJ390" s="70" t="s">
        <v>2124</v>
      </c>
      <c r="AK390" s="70"/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23</v>
      </c>
      <c r="J396" s="87" t="s">
        <v>2156</v>
      </c>
      <c r="K396" s="142">
        <f t="shared" si="21"/>
        <v>5</v>
      </c>
      <c r="L396" s="143">
        <f t="shared" si="22"/>
        <v>0.8214285714285714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 t="s">
        <v>2124</v>
      </c>
      <c r="AJ396" s="70"/>
      <c r="AK396" s="70"/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5</v>
      </c>
      <c r="J402" s="87"/>
      <c r="K402" s="31">
        <f t="shared" si="21"/>
        <v>23</v>
      </c>
      <c r="L402" s="32">
        <f t="shared" si="22"/>
        <v>0.17857142857142858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 t="s">
        <v>2124</v>
      </c>
      <c r="AJ402" s="93"/>
      <c r="AK402" s="93"/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27</v>
      </c>
      <c r="J420" s="147" t="s">
        <v>2019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 t="s">
        <v>2124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27</v>
      </c>
      <c r="J422" s="147" t="s">
        <v>2021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 t="s">
        <v>2124</v>
      </c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7</v>
      </c>
      <c r="J423" s="87"/>
      <c r="K423" s="31">
        <f t="shared" si="21"/>
        <v>21</v>
      </c>
      <c r="L423" s="32">
        <f t="shared" si="22"/>
        <v>0.25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14</v>
      </c>
      <c r="J428" s="147" t="s">
        <v>2023</v>
      </c>
      <c r="K428" s="31">
        <f t="shared" si="21"/>
        <v>14</v>
      </c>
      <c r="L428" s="32">
        <f t="shared" si="22"/>
        <v>0.5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26</v>
      </c>
      <c r="J429" s="147" t="s">
        <v>2024</v>
      </c>
      <c r="K429" s="142">
        <f t="shared" si="21"/>
        <v>2</v>
      </c>
      <c r="L429" s="143">
        <f t="shared" si="22"/>
        <v>0.9285714285714286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2124</v>
      </c>
      <c r="AJ429" s="70" t="s">
        <v>2124</v>
      </c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27</v>
      </c>
      <c r="J434" s="147" t="s">
        <v>2029</v>
      </c>
      <c r="K434" s="31">
        <f t="shared" si="21"/>
        <v>1</v>
      </c>
      <c r="L434" s="32">
        <f t="shared" si="22"/>
        <v>0.9642857142857143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 t="s">
        <v>2124</v>
      </c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4</v>
      </c>
      <c r="J435" s="147" t="s">
        <v>2030</v>
      </c>
      <c r="K435" s="31">
        <f t="shared" si="21"/>
        <v>24</v>
      </c>
      <c r="L435" s="32">
        <f t="shared" si="22"/>
        <v>0.14285714285714285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 t="s">
        <v>2124</v>
      </c>
      <c r="AJ435" s="70" t="s">
        <v>2124</v>
      </c>
      <c r="AK435" s="70"/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25</v>
      </c>
      <c r="J437" s="87"/>
      <c r="K437" s="31">
        <f t="shared" si="21"/>
        <v>3</v>
      </c>
      <c r="L437" s="32">
        <f t="shared" si="22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 t="s">
        <v>2124</v>
      </c>
      <c r="AJ437" s="70" t="s">
        <v>2124</v>
      </c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25</v>
      </c>
      <c r="J438" s="87"/>
      <c r="K438" s="31">
        <f t="shared" si="21"/>
        <v>3</v>
      </c>
      <c r="L438" s="32">
        <f t="shared" si="22"/>
        <v>0.8928571428571429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 t="s">
        <v>2124</v>
      </c>
      <c r="AJ438" s="70" t="s">
        <v>2124</v>
      </c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27</v>
      </c>
      <c r="J441" s="153"/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 t="s">
        <v>2124</v>
      </c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12</v>
      </c>
      <c r="J444" s="87"/>
      <c r="K444" s="142">
        <f t="shared" si="21"/>
        <v>16</v>
      </c>
      <c r="L444" s="143">
        <f t="shared" si="22"/>
        <v>0.42857142857142855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 t="s">
        <v>2124</v>
      </c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2035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2036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2037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28</v>
      </c>
      <c r="J453" s="147" t="s">
        <v>2040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28</v>
      </c>
      <c r="J454" s="147" t="s">
        <v>2041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28</v>
      </c>
      <c r="J459" s="147" t="s">
        <v>2046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28</v>
      </c>
      <c r="J462" s="87" t="s">
        <v>2172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2058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8</v>
      </c>
      <c r="J490" s="147" t="s">
        <v>2068</v>
      </c>
      <c r="K490" s="31">
        <f t="shared" si="24"/>
        <v>20</v>
      </c>
      <c r="L490" s="32">
        <f t="shared" si="25"/>
        <v>0.2857142857142857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 t="s">
        <v>2124</v>
      </c>
      <c r="AJ490" s="70" t="s">
        <v>2124</v>
      </c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13</v>
      </c>
      <c r="J491" s="147" t="s">
        <v>2069</v>
      </c>
      <c r="K491" s="31">
        <f t="shared" si="24"/>
        <v>15</v>
      </c>
      <c r="L491" s="32">
        <f t="shared" si="25"/>
        <v>0.4642857142857143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 t="s">
        <v>2124</v>
      </c>
      <c r="AJ491" s="70" t="s">
        <v>2124</v>
      </c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21</v>
      </c>
      <c r="J495" s="147" t="s">
        <v>2073</v>
      </c>
      <c r="K495" s="31">
        <f t="shared" si="24"/>
        <v>7</v>
      </c>
      <c r="L495" s="32">
        <f t="shared" si="25"/>
        <v>0.75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 t="s">
        <v>2124</v>
      </c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27</v>
      </c>
      <c r="J498" s="147" t="s">
        <v>2075</v>
      </c>
      <c r="K498" s="142">
        <f t="shared" si="24"/>
        <v>1</v>
      </c>
      <c r="L498" s="143">
        <f t="shared" si="25"/>
        <v>0.9642857142857143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 t="s">
        <v>2124</v>
      </c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22</v>
      </c>
      <c r="J505" s="147" t="s">
        <v>2082</v>
      </c>
      <c r="K505" s="142">
        <f t="shared" si="24"/>
        <v>6</v>
      </c>
      <c r="L505" s="143">
        <f t="shared" si="25"/>
        <v>0.7857142857142857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 t="s">
        <v>2124</v>
      </c>
      <c r="AJ505" s="70" t="s">
        <v>2124</v>
      </c>
      <c r="AK505" s="70"/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27</v>
      </c>
      <c r="J521" s="147" t="s">
        <v>2097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27</v>
      </c>
      <c r="J523" s="147" t="s">
        <v>2205</v>
      </c>
      <c r="K523" s="31">
        <f t="shared" si="27"/>
        <v>1</v>
      </c>
      <c r="L523" s="32">
        <f t="shared" si="28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 t="s">
        <v>2124</v>
      </c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19</v>
      </c>
      <c r="J530" s="87"/>
      <c r="K530" s="142">
        <f t="shared" si="27"/>
        <v>9</v>
      </c>
      <c r="L530" s="143">
        <f t="shared" si="28"/>
        <v>0.6785714285714286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 t="s">
        <v>2124</v>
      </c>
      <c r="AJ530" s="70" t="s">
        <v>2124</v>
      </c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18</v>
      </c>
      <c r="J532" s="87" t="s">
        <v>2190</v>
      </c>
      <c r="K532" s="31">
        <f t="shared" si="27"/>
        <v>10</v>
      </c>
      <c r="L532" s="32">
        <f t="shared" si="28"/>
        <v>0.6428571428571429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18</v>
      </c>
      <c r="J534" s="87" t="s">
        <v>2191</v>
      </c>
      <c r="K534" s="31">
        <f t="shared" si="27"/>
        <v>10</v>
      </c>
      <c r="L534" s="32">
        <f t="shared" si="28"/>
        <v>0.6428571428571429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5</v>
      </c>
      <c r="J542" s="147" t="s">
        <v>2109</v>
      </c>
      <c r="K542" s="31">
        <f t="shared" si="27"/>
        <v>23</v>
      </c>
      <c r="L542" s="32">
        <f t="shared" si="28"/>
        <v>0.17857142857142858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 t="s">
        <v>2124</v>
      </c>
      <c r="AJ542" s="70" t="s">
        <v>2124</v>
      </c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28</v>
      </c>
      <c r="J555" s="147" t="s">
        <v>2117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13</v>
      </c>
      <c r="J558" s="147" t="s">
        <v>2120</v>
      </c>
      <c r="K558" s="142">
        <f t="shared" si="27"/>
        <v>15</v>
      </c>
      <c r="L558" s="143">
        <f t="shared" si="28"/>
        <v>0.4642857142857143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 t="s">
        <v>2124</v>
      </c>
      <c r="AJ558" s="70" t="s">
        <v>2124</v>
      </c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47" zoomScale="90" zoomScaleNormal="90" workbookViewId="0">
      <selection activeCell="B258" sqref="B258:F26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46</v>
      </c>
      <c r="D248" s="54"/>
      <c r="E248" s="55">
        <f>C248/C247</f>
        <v>8.2882882882882883E-2</v>
      </c>
      <c r="F248" s="155"/>
    </row>
    <row r="249" spans="2:6" x14ac:dyDescent="0.25">
      <c r="B249" s="53" t="s">
        <v>1245</v>
      </c>
      <c r="C249" s="67">
        <v>0</v>
      </c>
      <c r="D249" s="103">
        <v>46</v>
      </c>
      <c r="E249" s="55">
        <f>D249/C247</f>
        <v>8.2882882882882883E-2</v>
      </c>
      <c r="F249" s="155"/>
    </row>
    <row r="250" spans="2:6" x14ac:dyDescent="0.25">
      <c r="B250" s="53" t="s">
        <v>1246</v>
      </c>
      <c r="C250" s="67">
        <v>2</v>
      </c>
      <c r="D250" s="103">
        <v>44</v>
      </c>
      <c r="E250" s="55">
        <f>D250/C247</f>
        <v>7.9279279279279274E-2</v>
      </c>
      <c r="F250" s="155"/>
    </row>
    <row r="251" spans="2:6" x14ac:dyDescent="0.25">
      <c r="B251" s="53" t="s">
        <v>16</v>
      </c>
      <c r="C251" s="94">
        <v>7</v>
      </c>
      <c r="D251" s="103">
        <v>37</v>
      </c>
      <c r="E251" s="55">
        <f>D251/C247</f>
        <v>6.6666666666666666E-2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15</v>
      </c>
      <c r="E254" s="105">
        <f>D254/C254</f>
        <v>5.0335570469798654E-2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31</v>
      </c>
      <c r="E255" s="114">
        <f>D255/C255</f>
        <v>0.12109375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74</v>
      </c>
      <c r="D260" s="54"/>
      <c r="E260" s="55">
        <f>C260/C259</f>
        <v>0.13333333333333333</v>
      </c>
      <c r="F260" s="155"/>
    </row>
    <row r="261" spans="2:6" x14ac:dyDescent="0.25">
      <c r="B261" s="53" t="s">
        <v>1245</v>
      </c>
      <c r="C261" s="67">
        <v>2</v>
      </c>
      <c r="D261" s="103">
        <v>72</v>
      </c>
      <c r="E261" s="55">
        <f>D261/C259</f>
        <v>0.12972972972972974</v>
      </c>
      <c r="F261" s="155"/>
    </row>
    <row r="262" spans="2:6" x14ac:dyDescent="0.25">
      <c r="B262" s="53" t="s">
        <v>1246</v>
      </c>
      <c r="C262" s="67">
        <v>3</v>
      </c>
      <c r="D262" s="103">
        <v>69</v>
      </c>
      <c r="E262" s="55">
        <f>D262/C259</f>
        <v>0.12432432432432433</v>
      </c>
      <c r="F262" s="155"/>
    </row>
    <row r="263" spans="2:6" x14ac:dyDescent="0.25">
      <c r="B263" s="53" t="s">
        <v>16</v>
      </c>
      <c r="C263" s="94">
        <v>6</v>
      </c>
      <c r="D263" s="103">
        <v>63</v>
      </c>
      <c r="E263" s="55">
        <f>D263/C259</f>
        <v>0.11351351351351352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 t="s">
        <v>2217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16</v>
      </c>
      <c r="E266" s="105">
        <v>0.05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58</v>
      </c>
      <c r="E267" s="114">
        <v>0.23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 t="str">
        <f>'RESUMEN TOTAL'!AJ28</f>
        <v>APAGADO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 t="str">
        <f>'RESUMEN TOTAL'!AJ29</f>
        <v>APAGADO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 t="str">
        <f>'RESUMEN TOTAL'!AI95</f>
        <v>APAGADO</v>
      </c>
      <c r="AC76" s="70" t="str">
        <f>'RESUMEN TOTAL'!AJ95</f>
        <v>APAGADO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 t="str">
        <f>'RESUMEN TOTAL'!AI97</f>
        <v>APAGADO</v>
      </c>
      <c r="AC78" s="70" t="str">
        <f>'RESUMEN TOTAL'!AJ97</f>
        <v>APAGADO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 t="str">
        <f>'RESUMEN TOTAL'!AI188</f>
        <v>APAGADO</v>
      </c>
      <c r="AC148" s="70" t="str">
        <f>'RESUMEN TOTAL'!AJ188</f>
        <v>APAGADO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 t="str">
        <f>'RESUMEN TOTAL'!AJ190</f>
        <v>APAGADO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 t="str">
        <f>'RESUMEN TOTAL'!AI194</f>
        <v>APAGADO</v>
      </c>
      <c r="AC154" s="70" t="str">
        <f>'RESUMEN TOTAL'!AJ194</f>
        <v>APAGADO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 t="str">
        <f>'RESUMEN TOTAL'!AI195</f>
        <v>APAGADO</v>
      </c>
      <c r="AC155" s="70" t="str">
        <f>'RESUMEN TOTAL'!AJ195</f>
        <v>APAGADO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 t="str">
        <f>'RESUMEN TOTAL'!AI213</f>
        <v>APAGADO</v>
      </c>
      <c r="AC170" s="70" t="str">
        <f>'RESUMEN TOTAL'!AJ213</f>
        <v>APAGADO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 t="str">
        <f>'RESUMEN TOTAL'!AI214</f>
        <v>APAGADO</v>
      </c>
      <c r="AC171" s="70" t="str">
        <f>'RESUMEN TOTAL'!AJ214</f>
        <v>APAGADO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 t="str">
        <f>'RESUMEN TOTAL'!AI240</f>
        <v>APAGADO</v>
      </c>
      <c r="AC194" s="70" t="str">
        <f>'RESUMEN TOTAL'!AJ240</f>
        <v>APAGADO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 t="str">
        <f>'RESUMEN TOTAL'!AJ243</f>
        <v>APAGADO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 t="str">
        <f>'RESUMEN TOTAL'!AJ244</f>
        <v>APAGADO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 t="str">
        <f>'RESUMEN TOTAL'!AJ245</f>
        <v>APAGADO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 t="str">
        <f>'RESUMEN TOTAL'!AJ246</f>
        <v>APAGADO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 t="str">
        <f>'RESUMEN TOTAL'!AJ247</f>
        <v>APAGADO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 t="str">
        <f>'RESUMEN TOTAL'!AI250</f>
        <v>APAGADO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 t="str">
        <f>'RESUMEN TOTAL'!AI268</f>
        <v>APAGADO</v>
      </c>
      <c r="AC220" s="70" t="str">
        <f>'RESUMEN TOTAL'!AJ268</f>
        <v>APAGADO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 t="str">
        <f>'RESUMEN TOTAL'!AI272</f>
        <v>APAGADO</v>
      </c>
      <c r="AC224" s="70" t="str">
        <f>'RESUMEN TOTAL'!AJ272</f>
        <v>APAGADO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 t="str">
        <f>'RESUMEN TOTAL'!AI273</f>
        <v>APAGADO</v>
      </c>
      <c r="AC225" s="70" t="str">
        <f>'RESUMEN TOTAL'!AJ273</f>
        <v>APAGADO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 t="str">
        <f>'RESUMEN TOTAL'!AI287</f>
        <v>APAGADO</v>
      </c>
      <c r="AC236" s="70" t="str">
        <f>'RESUMEN TOTAL'!AJ287</f>
        <v>APAGADO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 t="str">
        <f>'RESUMEN TOTAL'!AI288</f>
        <v>APAGADO</v>
      </c>
      <c r="AC237" s="70" t="str">
        <f>'RESUMEN TOTAL'!AJ288</f>
        <v>APAGADO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 t="str">
        <f>'RESUMEN TOTAL'!AI299</f>
        <v>APAGADO</v>
      </c>
      <c r="AC248" s="70" t="str">
        <f>'RESUMEN TOTAL'!AJ299</f>
        <v>APAGADO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 t="str">
        <f>'RESUMEN TOTAL'!AI301</f>
        <v>APAGADO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 t="str">
        <f>'RESUMEN TOTAL'!AI305</f>
        <v>APAGADO</v>
      </c>
      <c r="AC254" s="70" t="str">
        <f>'RESUMEN TOTAL'!AJ305</f>
        <v>APAGADO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 t="str">
        <f>'RESUMEN TOTAL'!AJ311</f>
        <v>APAGADO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 t="str">
        <f>'RESUMEN TOTAL'!AJ312</f>
        <v>APAGADO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 t="str">
        <f>'RESUMEN TOTAL'!AJ313</f>
        <v>APAGADO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 t="str">
        <f>'RESUMEN TOTAL'!AJ314</f>
        <v>APAGADO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 t="str">
        <f>'RESUMEN TOTAL'!AJ315</f>
        <v>APAGADO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 t="str">
        <f>'RESUMEN TOTAL'!AJ316</f>
        <v>APAGADO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 t="str">
        <f>'RESUMEN TOTAL'!AJ321</f>
        <v>APAGADO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 t="str">
        <f>'RESUMEN TOTAL'!AJ322</f>
        <v>APAGADO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 t="str">
        <f>'RESUMEN TOTAL'!AJ323</f>
        <v>APAGADO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 t="str">
        <f>'RESUMEN TOTAL'!AJ324</f>
        <v>APAGADO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 t="str">
        <f>'RESUMEN TOTAL'!AJ325</f>
        <v>APAGADO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 t="str">
        <f>'RESUMEN TOTAL'!AJ326</f>
        <v>APAGADO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 t="str">
        <f>'RESUMEN TOTAL'!AJ327</f>
        <v>APAGADO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 t="str">
        <f>'RESUMEN TOTAL'!AJ328</f>
        <v>APAGADO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 t="str">
        <f>'RESUMEN TOTAL'!AJ329</f>
        <v>APAGADO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 t="str">
        <f>'RESUMEN TOTAL'!AJ330</f>
        <v>APAGADO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 t="str">
        <f>'RESUMEN TOTAL'!AJ331</f>
        <v>APAGADO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 t="str">
        <f>'RESUMEN TOTAL'!AJ332</f>
        <v>APAGADO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 t="str">
        <f>'RESUMEN TOTAL'!AJ333</f>
        <v>APAGADO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 t="str">
        <f>'RESUMEN TOTAL'!AI340</f>
        <v>APAGADO</v>
      </c>
      <c r="AC282" s="70" t="str">
        <f>'RESUMEN TOTAL'!AJ340</f>
        <v>APAGADO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 t="str">
        <f>'RESUMEN TOTAL'!AI341</f>
        <v>APAGADO</v>
      </c>
      <c r="AC283" s="70" t="str">
        <f>'RESUMEN TOTAL'!AJ341</f>
        <v>APAGADO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 t="str">
        <f>'RESUMEN TOTAL'!AI343</f>
        <v>APAGADO</v>
      </c>
      <c r="AC285" s="70" t="str">
        <f>'RESUMEN TOTAL'!AJ343</f>
        <v>APAGADO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 t="str">
        <f>'RESUMEN TOTAL'!AI364</f>
        <v>APAGADO</v>
      </c>
      <c r="AC301" s="70" t="str">
        <f>'RESUMEN TOTAL'!AJ364</f>
        <v>APAGADO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 t="str">
        <f>'RESUMEN TOTAL'!AI377</f>
        <v>APAGADO</v>
      </c>
      <c r="AC314" s="70" t="str">
        <f>'RESUMEN TOTAL'!AJ377</f>
        <v>APAGADO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 t="str">
        <f>'RESUMEN TOTAL'!AI383</f>
        <v>APAGADO</v>
      </c>
      <c r="AC316" s="70" t="str">
        <f>'RESUMEN TOTAL'!AJ383</f>
        <v>APAGADO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 t="str">
        <f>'RESUMEN TOTAL'!AI389</f>
        <v>APAGADO</v>
      </c>
      <c r="AC322" s="70" t="str">
        <f>'RESUMEN TOTAL'!AJ389</f>
        <v>APAGADO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 t="str">
        <f>'RESUMEN TOTAL'!AI390</f>
        <v>APAGADO</v>
      </c>
      <c r="AC323" s="70" t="str">
        <f>'RESUMEN TOTAL'!AJ390</f>
        <v>APAGADO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 t="str">
        <f>'RESUMEN TOTAL'!AI402</f>
        <v>APAGADO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 t="str">
        <f>'RESUMEN TOTAL'!AI420</f>
        <v>APAGADO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 t="str">
        <f>'RESUMEN TOTAL'!AI422</f>
        <v>APAGADO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 t="str">
        <f>'RESUMEN TOTAL'!AI429</f>
        <v>APAGADO</v>
      </c>
      <c r="AC354" s="70" t="str">
        <f>'RESUMEN TOTAL'!AJ429</f>
        <v>APAGADO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 t="str">
        <f>'RESUMEN TOTAL'!AI434</f>
        <v>APAGADO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 t="str">
        <f>'RESUMEN TOTAL'!AI435</f>
        <v>APAGADO</v>
      </c>
      <c r="AC360" s="70" t="str">
        <f>'RESUMEN TOTAL'!AJ435</f>
        <v>APAGADO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 t="str">
        <f>'RESUMEN TOTAL'!AI444</f>
        <v>APAGADO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 t="str">
        <f>'RESUMEN TOTAL'!AI490</f>
        <v>APAGADO</v>
      </c>
      <c r="AC402" s="70" t="str">
        <f>'RESUMEN TOTAL'!AJ490</f>
        <v>APAGADO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 t="str">
        <f>'RESUMEN TOTAL'!AI491</f>
        <v>APAGADO</v>
      </c>
      <c r="AC403" s="70" t="str">
        <f>'RESUMEN TOTAL'!AJ491</f>
        <v>APAGADO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 t="str">
        <f>'RESUMEN TOTAL'!AJ495</f>
        <v>APAGADO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 t="str">
        <f>'RESUMEN TOTAL'!AJ498</f>
        <v>APAGADO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 t="str">
        <f>'RESUMEN TOTAL'!AI505</f>
        <v>APAGADO</v>
      </c>
      <c r="AC417" s="70" t="str">
        <f>'RESUMEN TOTAL'!AJ505</f>
        <v>APAGADO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 t="str">
        <f>'RESUMEN TOTAL'!AJ523</f>
        <v>APAGADO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 t="str">
        <f>'RESUMEN TOTAL'!AI542</f>
        <v>APAGADO</v>
      </c>
      <c r="AC445" s="70" t="str">
        <f>'RESUMEN TOTAL'!AJ542</f>
        <v>APAGADO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 t="str">
        <f>'RESUMEN TOTAL'!AI558</f>
        <v>APAGADO</v>
      </c>
      <c r="AC460" s="70" t="str">
        <f>'RESUMEN TOTAL'!AJ558</f>
        <v>APAGADO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AB14" sqref="AB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15</v>
      </c>
      <c r="AC3" s="46">
        <f>COUNTIFS('RESUMEN TOTAL'!AJ8:AJ670,"=APAGADO",'RESUMEN TOTAL'!C8:C670,"=BONOMO")</f>
        <v>16</v>
      </c>
      <c r="AD3" s="46">
        <f>COUNTIFS('RESUMEN TOTAL'!AK8:AK670,"=APAGADO",'RESUMEN TOTAL'!C8:C670,"=BONOMO")</f>
        <v>0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5.0335570469798654E-2</v>
      </c>
      <c r="AC4" s="50">
        <v>0.05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31</v>
      </c>
      <c r="AC5" s="46">
        <f>COUNTIFS('RESUMEN TOTAL'!AJ10:AJ672,"=APAGADO",'RESUMEN TOTAL'!C10:C672,"=COSEIDI")</f>
        <v>58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0.12109375</v>
      </c>
      <c r="AC6" s="50">
        <v>0.23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2025-10-24T11:04:59Z</dcterms:modified>
</cp:coreProperties>
</file>