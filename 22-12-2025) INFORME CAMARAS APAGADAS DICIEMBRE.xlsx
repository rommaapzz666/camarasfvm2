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7451D872-9354-4512-A672-FB7FEE665B67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<sst xmlns="http://schemas.openxmlformats.org/spreadsheetml/2006/main" count="6978" uniqueCount="2289">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</sst>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H415" activePane="bottomRight" state="frozen"/>
      <selection pane="topRight" activeCell="M1" sqref="M1"/>
      <selection pane="bottomLeft" activeCell="A5" sqref="A5"/>
      <selection pane="bottomRight" activeCell="C421" sqref="C42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21</v>
      </c>
      <c r="J8" s="147" t="s">
        <v>1667</v>
      </c>
      <c r="K8" s="31">
        <f t="shared" ref="K8:K85" si="6">COUNTIF(M8:AN8,"APAGADO")</f>
        <v>7</v>
      </c>
      <c r="L8" s="32">
        <f t="shared" ref="L8:L85" si="7">(I8)/(K8+I8)</f>
        <v>0.75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21</v>
      </c>
      <c r="J9" s="147" t="s">
        <v>1668</v>
      </c>
      <c r="K9" s="31">
        <f t="shared" si="6"/>
        <v>7</v>
      </c>
      <c r="L9" s="32">
        <f t="shared" si="7"/>
        <v>0.75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21</v>
      </c>
      <c r="J14" s="147" t="s">
        <v>1673</v>
      </c>
      <c r="K14" s="31">
        <f t="shared" si="6"/>
        <v>7</v>
      </c>
      <c r="L14" s="32">
        <f t="shared" si="7"/>
        <v>0.75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6</v>
      </c>
      <c r="J17" s="150" t="s">
        <v>1676</v>
      </c>
      <c r="K17" s="142">
        <f t="shared" si="6"/>
        <v>22</v>
      </c>
      <c r="L17" s="143">
        <f t="shared" si="7"/>
        <v>0.21428571428571427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6</v>
      </c>
      <c r="J19" s="147" t="s">
        <v>1677</v>
      </c>
      <c r="K19" s="31">
        <f t="shared" si="6"/>
        <v>22</v>
      </c>
      <c r="L19" s="32">
        <f t="shared" si="7"/>
        <v>0.21428571428571427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6</v>
      </c>
      <c r="J20" s="147" t="s">
        <v>1678</v>
      </c>
      <c r="K20" s="31">
        <f t="shared" si="6"/>
        <v>22</v>
      </c>
      <c r="L20" s="32">
        <f t="shared" si="7"/>
        <v>0.21428571428571427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6</v>
      </c>
      <c r="J34" s="147" t="s">
        <v>1689</v>
      </c>
      <c r="K34" s="134">
        <f t="shared" si="6"/>
        <v>22</v>
      </c>
      <c r="L34" s="135">
        <f t="shared" si="7"/>
        <v>0.21428571428571427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6</v>
      </c>
      <c r="J36" s="87" t="s">
        <v>2157</v>
      </c>
      <c r="K36" s="142">
        <f t="shared" si="6"/>
        <v>22</v>
      </c>
      <c r="L36" s="143">
        <f t="shared" si="7"/>
        <v>0.21428571428571427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22</v>
      </c>
      <c r="J38" s="147" t="s">
        <v>1690</v>
      </c>
      <c r="K38" s="31">
        <f t="shared" si="6"/>
        <v>6</v>
      </c>
      <c r="L38" s="32">
        <f t="shared" si="7"/>
        <v>0.7857142857142857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22</v>
      </c>
      <c r="J39" s="147" t="s">
        <v>1691</v>
      </c>
      <c r="K39" s="31">
        <f t="shared" si="6"/>
        <v>6</v>
      </c>
      <c r="L39" s="32">
        <f t="shared" si="7"/>
        <v>0.7857142857142857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21</v>
      </c>
      <c r="J43" s="87" t="s">
        <v>2192</v>
      </c>
      <c r="K43" s="31">
        <f t="shared" si="6"/>
        <v>7</v>
      </c>
      <c r="L43" s="32">
        <f t="shared" si="7"/>
        <v>0.75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7</v>
      </c>
      <c r="J89" s="147" t="s">
        <v>1733</v>
      </c>
      <c r="K89" s="31">
        <f t="shared" si="9"/>
        <v>21</v>
      </c>
      <c r="L89" s="32">
        <f t="shared" si="10"/>
        <v>0.25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6</v>
      </c>
      <c r="J99" s="147" t="s">
        <v>1743</v>
      </c>
      <c r="K99" s="142">
        <f t="shared" si="9"/>
        <v>22</v>
      </c>
      <c r="L99" s="143">
        <f t="shared" si="10"/>
        <v>0.21428571428571427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17</v>
      </c>
      <c r="J130" s="147" t="s">
        <v>1773</v>
      </c>
      <c r="K130" s="31">
        <f t="shared" si="9"/>
        <v>11</v>
      </c>
      <c r="L130" s="32">
        <f t="shared" si="10"/>
        <v>0.6071428571428571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6</v>
      </c>
      <c r="J168" s="147" t="s">
        <v>1801</v>
      </c>
      <c r="K168" s="31">
        <f t="shared" si="12"/>
        <v>22</v>
      </c>
      <c r="L168" s="32">
        <f t="shared" si="13"/>
        <v>0.21428571428571427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23</v>
      </c>
      <c r="J169" s="147" t="s">
        <v>1802</v>
      </c>
      <c r="K169" s="31">
        <f t="shared" si="12"/>
        <v>5</v>
      </c>
      <c r="L169" s="32">
        <f t="shared" si="13"/>
        <v>0.8214285714285714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20</v>
      </c>
      <c r="J183" s="147" t="s">
        <v>1815</v>
      </c>
      <c r="K183" s="31">
        <f t="shared" si="12"/>
        <v>8</v>
      </c>
      <c r="L183" s="32">
        <f t="shared" si="13"/>
        <v>0.7142857142857143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7</v>
      </c>
      <c r="J193" s="87"/>
      <c r="K193" s="138">
        <f t="shared" si="12"/>
        <v>21</v>
      </c>
      <c r="L193" s="139">
        <f t="shared" si="13"/>
        <v>0.25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17</v>
      </c>
      <c r="J194" s="147" t="s">
        <v>1822</v>
      </c>
      <c r="K194" s="142">
        <f t="shared" si="12"/>
        <v>11</v>
      </c>
      <c r="L194" s="143">
        <f t="shared" si="13"/>
        <v>0.6071428571428571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14</v>
      </c>
      <c r="J195" s="147" t="s">
        <v>1823</v>
      </c>
      <c r="K195" s="142">
        <f t="shared" si="12"/>
        <v>14</v>
      </c>
      <c r="L195" s="143">
        <f t="shared" si="13"/>
        <v>0.5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6</v>
      </c>
      <c r="J201" s="147" t="s">
        <v>1828</v>
      </c>
      <c r="K201" s="31">
        <f t="shared" si="12"/>
        <v>22</v>
      </c>
      <c r="L201" s="32">
        <f t="shared" si="13"/>
        <v>0.21428571428571427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16</v>
      </c>
      <c r="J211" s="147" t="s">
        <v>1837</v>
      </c>
      <c r="K211" s="142">
        <f t="shared" si="12"/>
        <v>12</v>
      </c>
      <c r="L211" s="143">
        <f t="shared" si="13"/>
        <v>0.5714285714285714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7</v>
      </c>
      <c r="J217" s="147" t="s">
        <v>1842</v>
      </c>
      <c r="K217" s="142">
        <f t="shared" si="12"/>
        <v>21</v>
      </c>
      <c r="L217" s="143">
        <f t="shared" si="13"/>
        <v>0.25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14</v>
      </c>
      <c r="J219" s="87"/>
      <c r="K219" s="31">
        <f t="shared" si="12"/>
        <v>14</v>
      </c>
      <c r="L219" s="32">
        <f t="shared" si="13"/>
        <v>0.5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14</v>
      </c>
      <c r="J220" s="87"/>
      <c r="K220" s="31">
        <f t="shared" si="12"/>
        <v>14</v>
      </c>
      <c r="L220" s="32">
        <f t="shared" si="13"/>
        <v>0.5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21</v>
      </c>
      <c r="J232" s="147" t="s">
        <v>1852</v>
      </c>
      <c r="K232" s="31">
        <f t="shared" si="12"/>
        <v>7</v>
      </c>
      <c r="L232" s="32">
        <f t="shared" si="13"/>
        <v>0.75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7</v>
      </c>
      <c r="J234" s="147" t="s">
        <v>1854</v>
      </c>
      <c r="K234" s="31">
        <f t="shared" si="12"/>
        <v>21</v>
      </c>
      <c r="L234" s="32">
        <f t="shared" si="13"/>
        <v>0.25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7</v>
      </c>
      <c r="J281" s="147" t="s">
        <v>1893</v>
      </c>
      <c r="K281" s="31">
        <f t="shared" si="15"/>
        <v>21</v>
      </c>
      <c r="L281" s="32">
        <f t="shared" si="16"/>
        <v>0.25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16</v>
      </c>
      <c r="J290" s="147" t="s">
        <v>1901</v>
      </c>
      <c r="K290" s="31">
        <f t="shared" si="15"/>
        <v>12</v>
      </c>
      <c r="L290" s="32">
        <f t="shared" si="16"/>
        <v>0.5714285714285714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16</v>
      </c>
      <c r="J291" s="147" t="s">
        <v>1902</v>
      </c>
      <c r="K291" s="31">
        <f t="shared" si="15"/>
        <v>12</v>
      </c>
      <c r="L291" s="32">
        <f t="shared" si="16"/>
        <v>0.5714285714285714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6</v>
      </c>
      <c r="J296" s="147" t="s">
        <v>1907</v>
      </c>
      <c r="K296" s="31">
        <f t="shared" si="15"/>
        <v>22</v>
      </c>
      <c r="L296" s="32">
        <f t="shared" si="16"/>
        <v>0.21428571428571427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6</v>
      </c>
      <c r="J308" s="147" t="s">
        <v>1918</v>
      </c>
      <c r="K308" s="142">
        <f t="shared" si="15"/>
        <v>22</v>
      </c>
      <c r="L308" s="143">
        <f t="shared" si="16"/>
        <v>0.21428571428571427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6</v>
      </c>
      <c r="J310" s="147" t="s">
        <v>1919</v>
      </c>
      <c r="K310" s="31">
        <f t="shared" ref="K310:K380" si="18">COUNTIF(M310:AN310,"APAGADO")</f>
        <v>22</v>
      </c>
      <c r="L310" s="32">
        <f t="shared" ref="L310:L380" si="19">(I310)/(K310+I310)</f>
        <v>0.21428571428571427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6</v>
      </c>
      <c r="J311" s="147" t="s">
        <v>1920</v>
      </c>
      <c r="K311" s="142">
        <f t="shared" si="18"/>
        <v>22</v>
      </c>
      <c r="L311" s="143">
        <f t="shared" si="19"/>
        <v>0.21428571428571427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6</v>
      </c>
      <c r="J312" s="87" t="s">
        <v>2197</v>
      </c>
      <c r="K312" s="142">
        <f t="shared" si="18"/>
        <v>22</v>
      </c>
      <c r="L312" s="143">
        <f t="shared" si="19"/>
        <v>0.21428571428571427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6</v>
      </c>
      <c r="J313" s="147" t="s">
        <v>1921</v>
      </c>
      <c r="K313" s="142">
        <f t="shared" si="18"/>
        <v>22</v>
      </c>
      <c r="L313" s="143">
        <f t="shared" si="19"/>
        <v>0.21428571428571427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8</v>
      </c>
      <c r="J314" s="147" t="s">
        <v>1922</v>
      </c>
      <c r="K314" s="31">
        <f t="shared" si="18"/>
        <v>20</v>
      </c>
      <c r="L314" s="32">
        <f t="shared" si="19"/>
        <v>0.2857142857142857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21</v>
      </c>
      <c r="J326" s="147" t="s">
        <v>1934</v>
      </c>
      <c r="K326" s="31">
        <f t="shared" si="18"/>
        <v>7</v>
      </c>
      <c r="L326" s="32">
        <f t="shared" si="19"/>
        <v>0.75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21</v>
      </c>
      <c r="J327" s="147" t="s">
        <v>1935</v>
      </c>
      <c r="K327" s="31">
        <f t="shared" si="18"/>
        <v>7</v>
      </c>
      <c r="L327" s="32">
        <f t="shared" si="19"/>
        <v>0.75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21</v>
      </c>
      <c r="J328" s="147" t="s">
        <v>1936</v>
      </c>
      <c r="K328" s="31">
        <f t="shared" si="18"/>
        <v>7</v>
      </c>
      <c r="L328" s="32">
        <f t="shared" si="19"/>
        <v>0.75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21</v>
      </c>
      <c r="J329" s="147" t="s">
        <v>1937</v>
      </c>
      <c r="K329" s="31">
        <f t="shared" si="18"/>
        <v>7</v>
      </c>
      <c r="L329" s="32">
        <f t="shared" si="19"/>
        <v>0.75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21</v>
      </c>
      <c r="J330" s="153" t="s">
        <v>2241</v>
      </c>
      <c r="K330" s="31">
        <f t="shared" si="18"/>
        <v>7</v>
      </c>
      <c r="L330" s="32">
        <f t="shared" si="19"/>
        <v>0.75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21</v>
      </c>
      <c r="J331" s="147" t="s">
        <v>2245</v>
      </c>
      <c r="K331" s="31">
        <f t="shared" si="18"/>
        <v>7</v>
      </c>
      <c r="L331" s="32">
        <f t="shared" si="19"/>
        <v>0.75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6</v>
      </c>
      <c r="J351" s="147" t="s">
        <v>1953</v>
      </c>
      <c r="K351" s="142">
        <f t="shared" si="18"/>
        <v>22</v>
      </c>
      <c r="L351" s="143">
        <f t="shared" si="19"/>
        <v>0.21428571428571427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6</v>
      </c>
      <c r="J352" s="147" t="s">
        <v>1954</v>
      </c>
      <c r="K352" s="142">
        <f t="shared" si="18"/>
        <v>22</v>
      </c>
      <c r="L352" s="143">
        <f t="shared" si="19"/>
        <v>0.21428571428571427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7</v>
      </c>
      <c r="J375" s="73"/>
      <c r="K375" s="31">
        <f t="shared" si="18"/>
        <v>21</v>
      </c>
      <c r="L375" s="32">
        <f t="shared" si="19"/>
        <v>0.25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6</v>
      </c>
      <c r="J388" s="147" t="s">
        <v>1985</v>
      </c>
      <c r="K388" s="31">
        <f t="shared" si="21"/>
        <v>22</v>
      </c>
      <c r="L388" s="32">
        <f t="shared" si="22"/>
        <v>0.21428571428571427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6</v>
      </c>
      <c r="J389" s="147" t="s">
        <v>1986</v>
      </c>
      <c r="K389" s="31">
        <f t="shared" si="21"/>
        <v>22</v>
      </c>
      <c r="L389" s="32">
        <f t="shared" si="22"/>
        <v>0.21428571428571427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6</v>
      </c>
      <c r="J393" s="87"/>
      <c r="K393" s="31">
        <f t="shared" si="21"/>
        <v>22</v>
      </c>
      <c r="L393" s="32">
        <f t="shared" si="22"/>
        <v>0.21428571428571427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6</v>
      </c>
      <c r="J399" s="147" t="s">
        <v>1991</v>
      </c>
      <c r="K399" s="87">
        <f t="shared" si="21"/>
        <v>22</v>
      </c>
      <c r="L399" s="88">
        <f t="shared" si="22"/>
        <v>0.21428571428571427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6</v>
      </c>
      <c r="J401" s="147" t="s">
        <v>1992</v>
      </c>
      <c r="K401" s="31">
        <f t="shared" si="21"/>
        <v>22</v>
      </c>
      <c r="L401" s="32">
        <f t="shared" si="22"/>
        <v>0.21428571428571427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6</v>
      </c>
      <c r="J402" s="147" t="s">
        <v>1993</v>
      </c>
      <c r="K402" s="31">
        <f t="shared" si="21"/>
        <v>22</v>
      </c>
      <c r="L402" s="32">
        <f t="shared" si="22"/>
        <v>0.21428571428571427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13</v>
      </c>
      <c r="J407" s="87" t="s">
        <v>2152</v>
      </c>
      <c r="K407" s="142">
        <f t="shared" si="21"/>
        <v>15</v>
      </c>
      <c r="L407" s="143">
        <f t="shared" si="22"/>
        <v>0.4642857142857143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9</v>
      </c>
      <c r="J413" s="147" t="s">
        <v>1998</v>
      </c>
      <c r="K413" s="142">
        <f t="shared" si="21"/>
        <v>19</v>
      </c>
      <c r="L413" s="143">
        <f t="shared" si="22"/>
        <v>0.32142857142857145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6</v>
      </c>
      <c r="J415" s="87"/>
      <c r="K415" s="31">
        <f t="shared" si="21"/>
        <v>22</v>
      </c>
      <c r="L415" s="32">
        <f t="shared" si="22"/>
        <v>0.21428571428571427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11</v>
      </c>
      <c r="J416" s="147" t="s">
        <v>2000</v>
      </c>
      <c r="K416" s="142">
        <f t="shared" si="21"/>
        <v>17</v>
      </c>
      <c r="L416" s="143">
        <f t="shared" si="22"/>
        <v>0.39285714285714285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8</v>
      </c>
      <c r="J420" s="147" t="s">
        <v>2003</v>
      </c>
      <c r="K420" s="31">
        <f t="shared" si="21"/>
        <v>20</v>
      </c>
      <c r="L420" s="32">
        <f t="shared" si="22"/>
        <v>0.2857142857142857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8</v>
      </c>
      <c r="J421" s="147" t="s">
        <v>2004</v>
      </c>
      <c r="K421" s="31">
        <f t="shared" si="21"/>
        <v>20</v>
      </c>
      <c r="L421" s="32">
        <f t="shared" si="22"/>
        <v>0.2857142857142857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2011</v>
      </c>
      <c r="K429" s="31">
        <f t="shared" si="21"/>
        <v>9</v>
      </c>
      <c r="L429" s="32">
        <f t="shared" si="22"/>
        <v>0.6785714285714286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15</v>
      </c>
      <c r="J430" s="147" t="s">
        <v>2012</v>
      </c>
      <c r="K430" s="31">
        <f t="shared" si="21"/>
        <v>13</v>
      </c>
      <c r="L430" s="32">
        <f t="shared" si="22"/>
        <v>0.5357142857142857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8</v>
      </c>
      <c r="J436" s="147" t="s">
        <v>2017</v>
      </c>
      <c r="K436" s="31">
        <f t="shared" si="21"/>
        <v>20</v>
      </c>
      <c r="L436" s="32">
        <f t="shared" si="22"/>
        <v>0.2857142857142857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2018</v>
      </c>
      <c r="K441" s="31">
        <f t="shared" si="21"/>
        <v>13</v>
      </c>
      <c r="L441" s="32">
        <f t="shared" si="22"/>
        <v>0.5357142857142857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6</v>
      </c>
      <c r="J442" s="147" t="s">
        <v>2019</v>
      </c>
      <c r="K442" s="31">
        <f t="shared" si="21"/>
        <v>22</v>
      </c>
      <c r="L442" s="32">
        <f t="shared" si="22"/>
        <v>0.21428571428571427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19</v>
      </c>
      <c r="J446" s="147" t="s">
        <v>2023</v>
      </c>
      <c r="K446" s="31">
        <f t="shared" si="21"/>
        <v>9</v>
      </c>
      <c r="L446" s="32">
        <f t="shared" si="22"/>
        <v>0.6785714285714286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18</v>
      </c>
      <c r="J447" s="147" t="s">
        <v>2024</v>
      </c>
      <c r="K447" s="31">
        <f t="shared" si="21"/>
        <v>10</v>
      </c>
      <c r="L447" s="32">
        <f t="shared" si="22"/>
        <v>0.6428571428571429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24</v>
      </c>
      <c r="J451" s="87"/>
      <c r="K451" s="31">
        <f t="shared" si="21"/>
        <v>4</v>
      </c>
      <c r="L451" s="32">
        <f t="shared" si="22"/>
        <v>0.8571428571428571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24</v>
      </c>
      <c r="J452" s="87"/>
      <c r="K452" s="31">
        <f t="shared" si="21"/>
        <v>4</v>
      </c>
      <c r="L452" s="32">
        <f t="shared" si="22"/>
        <v>0.8571428571428571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6</v>
      </c>
      <c r="J456" s="147" t="s">
        <v>2027</v>
      </c>
      <c r="K456" s="142">
        <f t="shared" si="21"/>
        <v>22</v>
      </c>
      <c r="L456" s="143">
        <f t="shared" si="22"/>
        <v>0.21428571428571427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6</v>
      </c>
      <c r="J457" s="147" t="s">
        <v>2028</v>
      </c>
      <c r="K457" s="142">
        <f t="shared" si="21"/>
        <v>22</v>
      </c>
      <c r="L457" s="143">
        <f t="shared" si="22"/>
        <v>0.21428571428571427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6</v>
      </c>
      <c r="J458" s="87"/>
      <c r="K458" s="142">
        <f t="shared" si="21"/>
        <v>22</v>
      </c>
      <c r="L458" s="143">
        <f t="shared" si="22"/>
        <v>0.21428571428571427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27</v>
      </c>
      <c r="J460" s="153"/>
      <c r="K460" s="142">
        <f t="shared" si="21"/>
        <v>1</v>
      </c>
      <c r="L460" s="143">
        <f t="shared" si="22"/>
        <v>0.9642857142857143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26</v>
      </c>
      <c r="J496" s="147" t="s">
        <v>2055</v>
      </c>
      <c r="K496" s="31">
        <f t="shared" si="24"/>
        <v>2</v>
      </c>
      <c r="L496" s="32">
        <f t="shared" si="25"/>
        <v>0.9285714285714286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26</v>
      </c>
      <c r="J503" s="147" t="s">
        <v>2062</v>
      </c>
      <c r="K503" s="31">
        <f t="shared" si="24"/>
        <v>2</v>
      </c>
      <c r="L503" s="32">
        <f t="shared" si="25"/>
        <v>0.9285714285714286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18</v>
      </c>
      <c r="J505" s="147" t="s">
        <v>2064</v>
      </c>
      <c r="K505" s="31">
        <f t="shared" si="24"/>
        <v>10</v>
      </c>
      <c r="L505" s="32">
        <f t="shared" si="25"/>
        <v>0.6428571428571429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26</v>
      </c>
      <c r="J508" s="147" t="s">
        <v>2067</v>
      </c>
      <c r="K508" s="31">
        <f t="shared" si="24"/>
        <v>2</v>
      </c>
      <c r="L508" s="32">
        <f t="shared" si="25"/>
        <v>0.9285714285714286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6</v>
      </c>
      <c r="J510" s="147" t="s">
        <v>2069</v>
      </c>
      <c r="K510" s="31">
        <f t="shared" si="24"/>
        <v>22</v>
      </c>
      <c r="L510" s="32">
        <f t="shared" si="25"/>
        <v>0.21428571428571427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26</v>
      </c>
      <c r="J511" s="147" t="s">
        <v>2070</v>
      </c>
      <c r="K511" s="31">
        <f t="shared" si="24"/>
        <v>2</v>
      </c>
      <c r="L511" s="32">
        <f t="shared" si="25"/>
        <v>0.9285714285714286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26</v>
      </c>
      <c r="J514" s="147" t="s">
        <v>2072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26</v>
      </c>
      <c r="J515" s="147" t="s">
        <v>2073</v>
      </c>
      <c r="K515" s="31">
        <f t="shared" si="24"/>
        <v>2</v>
      </c>
      <c r="L515" s="32">
        <f t="shared" si="25"/>
        <v>0.9285714285714286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9</v>
      </c>
      <c r="J520" s="147" t="s">
        <v>2078</v>
      </c>
      <c r="K520" s="142">
        <f t="shared" si="24"/>
        <v>19</v>
      </c>
      <c r="L520" s="143">
        <f t="shared" si="25"/>
        <v>0.32142857142857145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16</v>
      </c>
      <c r="J525" s="147" t="s">
        <v>2234</v>
      </c>
      <c r="K525" s="142">
        <f t="shared" si="24"/>
        <v>12</v>
      </c>
      <c r="L525" s="143">
        <f t="shared" si="25"/>
        <v>0.5714285714285714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6</v>
      </c>
      <c r="J539" s="147" t="s">
        <v>2094</v>
      </c>
      <c r="K539" s="142">
        <f t="shared" si="27"/>
        <v>22</v>
      </c>
      <c r="L539" s="143">
        <f t="shared" si="28"/>
        <v>0.21428571428571427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28</v>
      </c>
      <c r="J547" s="87"/>
      <c r="K547" s="142">
        <f t="shared" si="27"/>
        <v>0</v>
      </c>
      <c r="L547" s="143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6</v>
      </c>
      <c r="J548" s="87" t="s">
        <v>2189</v>
      </c>
      <c r="K548" s="142">
        <f t="shared" si="27"/>
        <v>22</v>
      </c>
      <c r="L548" s="143">
        <f t="shared" si="28"/>
        <v>0.21428571428571427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9</v>
      </c>
      <c r="J550" s="147" t="s">
        <v>2099</v>
      </c>
      <c r="K550" s="31">
        <f t="shared" si="27"/>
        <v>19</v>
      </c>
      <c r="L550" s="32">
        <f t="shared" si="28"/>
        <v>0.32142857142857145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9</v>
      </c>
      <c r="J552" s="147" t="s">
        <v>2100</v>
      </c>
      <c r="K552" s="31">
        <f t="shared" si="27"/>
        <v>19</v>
      </c>
      <c r="L552" s="32">
        <f t="shared" si="28"/>
        <v>0.32142857142857145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9</v>
      </c>
      <c r="J553" s="147" t="s">
        <v>2101</v>
      </c>
      <c r="K553" s="142">
        <f t="shared" si="27"/>
        <v>19</v>
      </c>
      <c r="L553" s="143">
        <f t="shared" si="28"/>
        <v>0.32142857142857145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6</v>
      </c>
      <c r="J559" s="147" t="s">
        <v>2105</v>
      </c>
      <c r="K559" s="31">
        <f t="shared" si="27"/>
        <v>22</v>
      </c>
      <c r="L559" s="32">
        <f t="shared" si="28"/>
        <v>0.21428571428571427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6</v>
      </c>
      <c r="J577" s="147" t="s">
        <v>2116</v>
      </c>
      <c r="K577" s="142">
        <f t="shared" si="27"/>
        <v>22</v>
      </c>
      <c r="L577" s="143">
        <f t="shared" si="28"/>
        <v>0.21428571428571427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D271:D274 D284:D286 D359:D364 D373 C374:D374 D390:D394 D406:D408 D411:D412 D470:D473 D540:D541 C664:C1048576 C267:C581">
    <cfRule type="cellIs" dxfId="141" priority="527" operator="equal">
      <formula>$C$268</formula>
    </cfRule>
  </conditionalFormatting>
  <conditionalFormatting sqref="C1:C265 D20:D21 D160:D161 D217:D220 C266:D266 D271:D274 D284:D286 C374:D374 D390:D394 D406:D408 D411:D412 C664:C1048576 D129:D144 D152 D211:D213 D225:D227 D257:D258 D265 D359:D364 D373 D470:D473 D540:D541 C267:C581">
    <cfRule type="cellIs" dxfId="140" priority="526" operator="equal">
      <formula>$C$287</formula>
    </cfRule>
  </conditionalFormatting>
  <conditionalFormatting sqref="D20:D21 D160:D161 D217:D218 D271:D274 D284:D286 D390:D394 D406:D408 D411:D412 C664:C1048576 C1:C581">
    <cfRule type="cellIs" dxfId="139" priority="72" operator="equal">
      <formula>"IPCOMS"</formula>
    </cfRule>
  </conditionalFormatting>
  <conditionalFormatting sqref="E1:E554 E569:E581 E664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3" operator="containsText" text="fija">
      <formula>NOT(ISERROR(SEARCH("fija",E556)))</formula>
    </cfRule>
    <cfRule type="containsText" dxfId="132" priority="474" operator="containsText" text="domo">
      <formula>NOT(ISERROR(SEARCH("domo",E556)))</formula>
    </cfRule>
    <cfRule type="containsText" dxfId="131" priority="475" operator="containsText" text="Radio">
      <formula>NOT(ISERROR(SEARCH("Radio",E556)))</formula>
    </cfRule>
  </conditionalFormatting>
  <conditionalFormatting sqref="E556:E557">
    <cfRule type="containsText" dxfId="130" priority="468" operator="containsText" text="fija">
      <formula>NOT(ISERROR(SEARCH("fija",E556)))</formula>
    </cfRule>
    <cfRule type="containsText" dxfId="129" priority="469" operator="containsText" text="domo">
      <formula>NOT(ISERROR(SEARCH("domo",E556)))</formula>
    </cfRule>
  </conditionalFormatting>
  <conditionalFormatting sqref="E557">
    <cfRule type="containsText" dxfId="128" priority="466" operator="containsText" text="fija">
      <formula>NOT(ISERROR(SEARCH("fija",E557)))</formula>
    </cfRule>
    <cfRule type="containsText" dxfId="127" priority="467" operator="containsText" text="domo">
      <formula>NOT(ISERROR(SEARCH("domo",E557)))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3" operator="containsText" text="fija">
      <formula>NOT(ISERROR(SEARCH("fija",E560)))</formula>
    </cfRule>
    <cfRule type="containsText" dxfId="124" priority="464" operator="containsText" text="domo">
      <formula>NOT(ISERROR(SEARCH("domo",E560)))</formula>
    </cfRule>
    <cfRule type="containsText" dxfId="123" priority="465" operator="containsText" text="Radio">
      <formula>NOT(ISERROR(SEARCH("Radio",E560)))</formula>
    </cfRule>
  </conditionalFormatting>
  <conditionalFormatting sqref="E560:E561">
    <cfRule type="containsText" dxfId="122" priority="458" operator="containsText" text="fija">
      <formula>NOT(ISERROR(SEARCH("fija",E560)))</formula>
    </cfRule>
    <cfRule type="containsText" dxfId="121" priority="459" operator="containsText" text="domo">
      <formula>NOT(ISERROR(SEARCH("domo",E560)))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3" operator="containsText" text="fija">
      <formula>NOT(ISERROR(SEARCH("fija",E561)))</formula>
    </cfRule>
    <cfRule type="containsText" dxfId="118" priority="454" operator="containsText" text="domo">
      <formula>NOT(ISERROR(SEARCH("domo",E561)))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8" operator="containsText" text="fija">
      <formula>NOT(ISERROR(SEARCH("fija",E562)))</formula>
    </cfRule>
    <cfRule type="containsText" dxfId="115" priority="449" operator="containsText" text="domo">
      <formula>NOT(ISERROR(SEARCH("domo",E562)))</formula>
    </cfRule>
  </conditionalFormatting>
  <conditionalFormatting sqref="E563">
    <cfRule type="containsText" dxfId="114" priority="446" operator="containsText" text="fija">
      <formula>NOT(ISERROR(SEARCH("fija",E563)))</formula>
    </cfRule>
    <cfRule type="containsText" dxfId="113" priority="447" operator="containsText" text="domo">
      <formula>NOT(ISERROR(SEARCH("domo",E563)))</formula>
    </cfRule>
    <cfRule type="containsText" dxfId="112" priority="450" operator="containsText" text="Radio">
      <formula>NOT(ISERROR(SEARCH("Radio",E563)))</formula>
    </cfRule>
  </conditionalFormatting>
  <conditionalFormatting sqref="E567">
    <cfRule type="containsText" dxfId="111" priority="744" operator="containsText" text="fija">
      <formula>NOT(ISERROR(SEARCH("fija",E567)))</formula>
    </cfRule>
    <cfRule type="containsText" dxfId="110" priority="745" operator="containsText" text="domo">
      <formula>NOT(ISERROR(SEARCH("domo",E567)))</formula>
    </cfRule>
  </conditionalFormatting>
  <conditionalFormatting sqref="E570:E573">
    <cfRule type="containsText" dxfId="109" priority="476" operator="containsText" text="fija">
      <formula>NOT(ISERROR(SEARCH("fija",E570)))</formula>
    </cfRule>
    <cfRule type="containsText" dxfId="108" priority="477" operator="containsText" text="domo">
      <formula>NOT(ISERROR(SEARCH("domo",E570)))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11:F412">
    <cfRule type="containsText" dxfId="78" priority="57" operator="containsText" text="Radio">
      <formula>NOT(ISERROR(SEARCH("Radio",F411)))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5">
    <cfRule type="containsText" dxfId="74" priority="123" operator="containsText" text="Radio">
      <formula>NOT(ISERROR(SEARCH("Radio",F555)))</formula>
    </cfRule>
    <cfRule type="cellIs" dxfId="73" priority="124" operator="equal">
      <formula>"PTP A FO"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notContainsText" dxfId="56" priority="286" operator="notContains" text="Caida">
      <formula>ISERROR(SEARCH("Caida",O664))</formula>
    </cfRule>
    <cfRule type="containsText" dxfId="55" priority="287" operator="containsText" text="Caida">
      <formula>NOT(ISERROR(SEARCH("Caida",O664)))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231" zoomScale="84" zoomScaleNormal="84" workbookViewId="0">
      <selection activeCell="B234" sqref="B234:F2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2025-12-22T11:09:45Z</dcterms:modified>
</cp:coreProperties>
</file>