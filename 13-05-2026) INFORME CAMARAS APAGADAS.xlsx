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821C9FC5-0563-48A7-81F5-7632763B366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K5" i="25"/>
  <c r="K3" i="25"/>
  <c r="L5" i="25"/>
  <c r="M5" i="25"/>
  <c r="N5" i="25"/>
  <c r="O5" i="25"/>
  <c r="P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H5" i="25"/>
  <c r="AI5" i="25"/>
  <c r="AJ5" i="25"/>
  <c r="L3" i="25"/>
  <c r="M3" i="25"/>
  <c r="N3" i="25"/>
  <c r="O3" i="25"/>
  <c r="P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H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79" i="2"/>
  <c r="Q579" i="2"/>
  <c r="O580" i="2"/>
  <c r="Q580" i="2"/>
  <c r="O581" i="2"/>
  <c r="Q581" i="2"/>
  <c r="O587" i="2"/>
  <c r="Q587" i="2"/>
  <c r="O582" i="2"/>
  <c r="Q582" i="2"/>
  <c r="O583" i="2"/>
  <c r="Q583" i="2"/>
  <c r="O584" i="2"/>
  <c r="Q584" i="2"/>
  <c r="O585" i="2"/>
  <c r="Q585" i="2"/>
  <c r="O586" i="2"/>
  <c r="Q586" i="2"/>
  <c r="O548" i="2"/>
  <c r="Q548" i="2"/>
  <c r="O594" i="2"/>
  <c r="Q594" i="2"/>
  <c r="O595" i="2"/>
  <c r="Q595" i="2"/>
  <c r="O596" i="2"/>
  <c r="Q596" i="2"/>
  <c r="O588" i="2"/>
  <c r="Q588" i="2"/>
  <c r="O589" i="2"/>
  <c r="Q589" i="2"/>
  <c r="O590" i="2"/>
  <c r="Q590" i="2"/>
  <c r="O591" i="2"/>
  <c r="Q591" i="2"/>
  <c r="O592" i="2"/>
  <c r="Q592" i="2"/>
  <c r="O593" i="2"/>
  <c r="Q593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540" i="2" l="1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1" i="2"/>
  <c r="R579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3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2" i="2"/>
  <c r="R590" i="2"/>
  <c r="R595" i="2"/>
  <c r="R481" i="2"/>
  <c r="R477" i="2"/>
  <c r="R470" i="2"/>
  <c r="R467" i="2"/>
  <c r="R465" i="2"/>
  <c r="R461" i="2"/>
  <c r="R589" i="2"/>
  <c r="R584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5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1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7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4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6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2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6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0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8" i="2"/>
  <c r="R583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D196" i="24"/>
  <c r="E196" i="24" s="1"/>
  <c r="AC3" i="2"/>
  <c r="C113" i="24" s="1"/>
  <c r="D114" i="24" s="1"/>
  <c r="E108" i="24"/>
  <c r="B4" i="25"/>
  <c r="AI4" i="25"/>
  <c r="Q43" i="2"/>
  <c r="O43" i="2"/>
  <c r="Q42" i="2"/>
  <c r="O42" i="2"/>
  <c r="C219" i="24" l="1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D197" i="24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D163" i="24"/>
  <c r="E163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<sst xmlns="http://schemas.openxmlformats.org/spreadsheetml/2006/main" count="6491" uniqueCount="2484">
  <si>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</si>
  <si>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</si>
  <si>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</si>
  <si>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</si>
  <si>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</si>
  <si>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</si>
  <si>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</si>
  <si>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</si>
  <si>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</si>
  <si>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</si>
  <si>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</si>
  <si>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</si>
  <si>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</si>
  <si>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</si>
  <si>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</si>
  <si>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</si>
  <si>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</si>
  <si>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</si>
  <si>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</si>
  <si>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</si>
  <si>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</si>
  <si>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</si>
  <si>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</si>
  <si>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</si>
  <si>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</si>
  <si>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</si>
  <si>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</si>
  <si>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</si>
  <si>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</si>
  <si>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</si>
  <si>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</si>
  <si>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</si>
  <si>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</si>
  <si>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</si>
  <si>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</si>
  <si>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</si>
  <si>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</si>
  <si>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</si>
  <si>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</si>
  <si>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</si>
  <si>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</si>
  <si>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</si>
  <si>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</si>
  <si>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</si>
  <si>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</si>
  <si>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</si>
  <si>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</si>
  <si>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</si>
  <si>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</si>
  <si>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</si>
  <si>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</si>
  <si>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</si>
  <si>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</si>
  <si>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</si>
  <si>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</si>
  <si>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</si>
  <si>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</si>
  <si>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</si>
  <si>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</si>
  <si>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</si>
  <si>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</si>
  <si>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</si>
  <si>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</si>
  <si>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</si>
  <si>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</si>
  <si>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</si>
  <si>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</si>
  <si>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</si>
  <si>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</si>
  <si>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</si>
  <si>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</si>
  <si>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</si>
  <si>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</si>
  <si>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</si>
  <si>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</si>
  <si>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</si>
  <si>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</si>
  <si>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</si>
  <si>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</si>
  <si>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</si>
  <si>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</si>
  <si>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</si>
  <si>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</si>
  <si>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</si>
  <si>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</si>
  <si>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</si>
  <si>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</si>
  <si>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</si>
  <si>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</si>
  <si>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</si>
  <si>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</si>
  <si>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</si>
  <si>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</si>
  <si>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</si>
  <si>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</si>
  <si>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</si>
  <si>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</si>
  <si>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</si>
  <si>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</si>
  <si>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</si>
  <si>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</si>
  <si>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</si>
  <si>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</si>
  <si>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</si>
  <si>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</si>
  <si>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</si>
  <si>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</si>
  <si>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</si>
  <si>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</si>
  <si>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</si>
  <si>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</si>
  <si>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</si>
  <si>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</si>
  <si>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</si>
  <si>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</si>
  <si>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</si>
  <si>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</si>
  <si>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</si>
  <si>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</si>
  <si>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</si>
  <si>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</si>
  <si>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</si>
  <si>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</si>
  <si>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</si>
  <si>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</si>
  <si>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</si>
  <si>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</si>
  <si>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</si>
  <si>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</si>
  <si>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</si>
  <si>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</si>
  <si>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</si>
  <si>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</si>
  <si>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</si>
  <si>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</si>
  <si>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</si>
  <si>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</si>
  <si>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</si>
  <si>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</si>
  <si>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</si>
  <si>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</si>
  <si>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</si>
  <si>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</si>
  <si>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</si>
  <si>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</si>
  <si>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</si>
  <si>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</si>
  <si>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</si>
  <si>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</si>
  <si>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</si>
  <si>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</si>
  <si>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</si>
  <si>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</si>
  <si>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</si>
  <si>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</si>
  <si>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</si>
  <si>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</si>
  <si>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</si>
  <si>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</si>
  <si>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</si>
  <si>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</si>
  <si>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</si>
  <si>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</si>
  <si>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</si>
  <si>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</si>
  <si>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</si>
  <si>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</si>
  <si>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</si>
  <si>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</si>
  <si>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</si>
  <si>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</si>
  <si>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</si>
  <si>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</si>
  <si>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</si>
  <si>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</si>
  <si>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</si>
  <si>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</si>
  <si>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</si>
  <si>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</si>
  <si>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</si>
  <si>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</si>
  <si>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</si>
  <si>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</si>
  <si>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</si>
  <si>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</si>
  <si>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</si>
  <si>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</si>
  <si>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</si>
  <si>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</si>
  <si>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</si>
  <si>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</si>
  <si>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</si>
  <si>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</si>
  <si>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</si>
  <si>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</si>
  <si>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</si>
  <si>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</si>
  <si>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</si>
  <si>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</si>
  <si>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</si>
  <si>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</si>
  <si>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</si>
  <si>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</si>
  <si>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</si>
  <si>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</si>
  <si>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</si>
  <si>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</si>
  <si>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</si>
  <si>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</si>
  <si>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</si>
  <si>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</si>
  <si>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</si>
  <si>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</si>
  <si>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</si>
  <si>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</si>
  <si>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</si>
  <si>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</si>
  <si>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</si>
  <si>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</si>
  <si>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</si>
  <si>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</si>
  <si>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</si>
  <si>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</si>
  <si>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</si>
  <si>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</si>
  <si>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</si>
  <si>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</si>
  <si>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</si>
  <si>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</si>
  <si>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</si>
  <si>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</si>
  <si>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</si>
  <si>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</si>
  <si>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</si>
  <si>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</si>
  <si>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</si>
  <si>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</si>
  <si>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</si>
  <si>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</si>
  <si>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</si>
  <si>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</si>
  <si>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</si>
  <si>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</si>
  <si>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</si>
  <si>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</si>
  <si>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</si>
  <si>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</si>
  <si>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</si>
  <si>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</si>
  <si>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</si>
  <si>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</si>
  <si>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</si>
  <si>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</si>
  <si>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</si>
  <si>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</si>
  <si>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</si>
  <si>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</si>
  <si>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</si>
  <si>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</si>
  <si>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</si>
  <si>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</si>
  <si>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</si>
  <si>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</si>
  <si>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</si>
  <si>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</si>
  <si>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</si>
  <si>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</si>
  <si>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</si>
  <si>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</si>
  <si>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</si>
  <si>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</si>
  <si>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</si>
  <si>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</si>
  <si>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</si>
  <si>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</si>
  <si>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</si>
  <si>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</si>
  <si>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</si>
  <si>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</si>
  <si>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</si>
  <si>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</si>
  <si>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</si>
  <si>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</si>
  <si>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</si>
  <si>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</si>
  <si>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</si>
  <si>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</si>
  <si>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</si>
  <si>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</si>
  <si>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</si>
  <si>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</si>
  <si>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</si>
  <si>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</si>
  <si>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</si>
  <si>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</si>
  <si>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</si>
  <si>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</si>
  <si>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</si>
  <si>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</si>
  <si>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</si>
  <si>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</si>
  <si>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</si>
  <si>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</si>
  <si>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</si>
  <si>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</si>
  <si>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</si>
  <si>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</si>
  <si>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</si>
  <si>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</si>
  <si>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</si>
  <si>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</si>
  <si>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</si>
  <si>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</si>
  <si>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</si>
  <si>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</si>
  <si>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</si>
  <si>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</si>
  <si>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</si>
  <si>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</si>
  <si>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</si>
  <si>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</si>
  <si>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</si>
  <si>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</si>
  <si>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</si>
  <si>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</si>
  <si>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</si>
  <si>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</si>
  <si>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</si>
  <si>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</si>
  <si>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</si>
  <si>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</si>
  <si>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</si>
  <si>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</si>
  <si>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</si>
  <si>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</si>
  <si>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</si>
  <si>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</si>
  <si>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</si>
  <si>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</si>
  <si>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</si>
  <si>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</si>
  <si>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</si>
  <si>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</si>
  <si>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</si>
  <si>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</si>
  <si>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</si>
  <si>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</si>
  <si>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</si>
  <si>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</si>
  <si>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</si>
  <si>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</si>
  <si>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</si>
  <si>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</si>
  <si>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</si>
  <si>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</si>
  <si>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</si>
  <si>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</si>
  <si>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</si>
  <si>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</si>
  <si>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</si>
  <si>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</si>
  <si>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</si>
  <si>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</si>
  <si>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</si>
  <si>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</si>
  <si>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</si>
  <si>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</si>
  <si>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</si>
  <si>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</si>
  <si>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</si>
  <si>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</si>
  <si>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</si>
  <si>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</si>
  <si>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</si>
  <si>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</si>
  <si>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</si>
  <si>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</si>
  <si>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</si>
  <si>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</si>
  <si>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</si>
  <si>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</si>
  <si>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</si>
  <si>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</si>
  <si>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</si>
  <si>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</si>
  <si>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</si>
  <si>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</si>
  <si>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</si>
  <si>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</si>
  <si>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</si>
  <si>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</si>
  <si>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</si>
  <si>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</si>
  <si>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</si>
  <si>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</si>
  <si>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</si>
  <si>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</si>
  <si>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</si>
  <si>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</si>
  <si>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</si>
  <si>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</si>
  <si>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</si>
  <si>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</si>
  <si>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</si>
  <si>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</si>
  <si>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</si>
  <si>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</si>
  <si>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</si>
  <si>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</si>
  <si>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</si>
  <si>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</si>
  <si>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</si>
  <si>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</si>
  <si>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</si>
  <si>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</si>
  <si>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</si>
  <si>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</si>
  <si>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</si>
  <si>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</si>
  <si>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</si>
  <si>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</si>
  <si>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</si>
  <si>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</si>
  <si>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</si>
  <si>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</si>
  <si>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</si>
  <si>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</si>
  <si>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</si>
  <si>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</si>
  <si>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</si>
  <si>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</si>
  <si>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</si>
  <si>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</si>
  <si>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</si>
  <si>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</si>
  <si>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</si>
  <si>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</si>
  <si>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</si>
  <si>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</si>
  <si>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</si>
  <si>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</si>
  <si>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</si>
  <si>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</si>
  <si>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</si>
  <si>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</si>
  <si>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</si>
  <si>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</si>
  <si>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</si>
  <si>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</si>
  <si>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</si>
  <si>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</si>
  <si>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</si>
  <si>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</si>
  <si>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</si>
  <si>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</si>
  <si>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</si>
  <si>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</si>
  <si>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</si>
  <si>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</si>
  <si>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</si>
  <si>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</si>
  <si>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</si>
  <si>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</si>
  <si>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</si>
  <si>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</si>
  <si>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</si>
  <si>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</si>
  <si>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</si>
  <si>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</si>
  <si>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</si>
  <si>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</si>
  <si>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</si>
  <si>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</si>
  <si>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</si>
  <si>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</si>
  <si>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</si>
  <si>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</si>
  <si>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</si>
  <si>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</si>
  <si>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</si>
  <si>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</si>
  <si>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</si>
  <si>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</si>
  <si>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</si>
  <si>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</si>
  <si>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</si>
  <si>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</si>
  <si>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</si>
  <si>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</si>
  <si>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</si>
  <si>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</si>
  <si>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</si>
  <si>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</si>
  <si>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</si>
  <si>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</si>
  <si>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</si>
  <si>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</si>
  <si>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</si>
  <si>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</si>
  <si>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</si>
  <si>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</si>
  <si>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</si>
  <si>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</si>
  <si>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</si>
  <si>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</si>
  <si>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</si>
  <si>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</si>
  <si>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</si>
  <si>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</si>
  <si>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</si>
  <si>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</si>
  <si>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</si>
  <si>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</si>
  <si>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</si>
  <si>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</si>
  <si>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</si>
  <si>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</si>
  <si>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</si>
  <si>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</si>
  <si>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</si>
  <si>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</si>
  <si>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</si>
  <si>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</si>
  <si>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</si>
  <si>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</si>
  <si>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</si>
  <si>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</si>
  <si>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</si>
  <si>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</si>
  <si>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</si>
  <si>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</si>
  <si>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</si>
  <si>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</si>
  <si>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</si>
  <si>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</si>
  <si>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</si>
  <si>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</si>
  <si>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</si>
  <si>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</si>
  <si>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</si>
  <si>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</si>
  <si>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</si>
  <si>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</si>
  <si>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</si>
  <si>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</si>
  <si>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</si>
  <si>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</si>
  <si>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</si>
  <si>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</si>
  <si>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</si>
  <si>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</si>
  <si>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</si>
  <si>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</si>
  <si>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</si>
  <si>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</si>
  <si>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</si>
  <si>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</si>
  <si>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</si>
  <si>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</si>
  <si>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</si>
  <si>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</si>
  <si>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</si>
  <si>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</si>
  <si>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</si>
  <si>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</si>
  <si>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</si>
  <si>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</si>
  <si>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</si>
  <si>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</si>
  <si>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</si>
  <si>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</si>
  <si>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</si>
  <si>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</si>
  <si>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</si>
  <si>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</si>
  <si>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</si>
  <si>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</si>
  <si>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</si>
  <si>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</si>
  <si>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</si>
  <si>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</si>
  <si>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</si>
  <si>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</si>
  <si>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</si>
  <si>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</si>
  <si>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</si>
  <si>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</si>
  <si>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</si>
  <si>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</si>
  <si>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</si>
  <si>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</si>
  <si>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</si>
  <si>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</si>
  <si>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</si>
  <si>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</si>
  <si>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</si>
  <si>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</si>
  <si>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</si>
  <si>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</si>
  <si>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</si>
  <si>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</si>
  <si>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</si>
  <si>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</si>
  <si>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</si>
  <si>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</si>
  <si>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</si>
  <si>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</si>
  <si>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</si>
  <si>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</si>
  <si>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</si>
  <si>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</si>
  <si>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</si>
  <si>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</si>
  <si>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</si>
  <si>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</si>
  <si>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</si>
  <si>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</si>
  <si>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</si>
  <si>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</si>
  <si>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</si>
  <si>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</si>
  <si>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</si>
  <si>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</si>
  <si>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</si>
  <si>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</si>
  <si>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</si>
  <si>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</si>
  <si>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</si>
  <si>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</si>
  <si>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</si>
  <si>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</si>
  <si>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</si>
  <si>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</si>
  <si>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</si>
  <si>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</si>
  <si>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</si>
  <si>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</si>
  <si>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</si>
  <si>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</si>
  <si>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</si>
  <si>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</si>
  <si>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</si>
  <si>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</si>
  <si>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</si>
  <si>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</si>
  <si>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</si>
  <si>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</si>
  <si>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</si>
  <si>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</si>
  <si>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</si>
  <si>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</si>
  <si>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</si>
  <si>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</si>
  <si>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</si>
  <si>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</si>
  <si>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</si>
  <si>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</si>
  <si>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</si>
  <si>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</si>
  <si>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</si>
  <si>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</si>
  <si>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</si>
  <si>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</si>
  <si>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</si>
  <si>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</si>
  <si>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</si>
  <si>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</si>
  <si>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</si>
  <si>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</si>
  <si>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</si>
  <si>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</si>
  <si>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</si>
  <si>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</si>
  <si>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</si>
  <si>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</si>
  <si>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</si>
  <si>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</si>
  <si>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</si>
  <si>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</si>
  <si>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</si>
  <si>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</si>
  <si>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</si>
  <si>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</si>
  <si>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</si>
  <si>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</si>
  <si>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</si>
  <si>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</si>
  <si>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</si>
  <si>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</si>
  <si>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</si>
  <si>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</si>
  <si>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</si>
  <si>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</si>
  <si>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</si>
  <si>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</si>
  <si>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</si>
  <si>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</si>
  <si>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</si>
  <si>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</si>
  <si>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</si>
  <si>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</si>
  <si>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</si>
  <si>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</si>
  <si>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</si>
  <si>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</si>
  <si>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</si>
  <si>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</si>
  <si>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</si>
  <si>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</si>
  <si>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</si>
  <si>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</si>
  <si>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</si>
  <si>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</si>
  <si>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</si>
  <si>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</si>
  <si>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</si>
  <si>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</si>
  <si>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</si>
  <si>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</si>
  <si>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</si>
  <si>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</si>
  <si>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</si>
  <si>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</si>
  <si>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</si>
  <si>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</si>
  <si>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</si>
  <si>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</si>
  <si>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</si>
  <si>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</si>
  <si>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</si>
  <si>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</si>
  <si>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</si>
  <si>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</si>
  <si>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</si>
  <si>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</si>
  <si>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</si>
  <si>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</si>
  <si>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</si>
  <si>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</si>
  <si>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</si>
  <si>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</si>
  <si>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</si>
  <si>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</si>
  <si>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</si>
  <si>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</si>
  <si>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</si>
  <si>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</si>
  <si>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</si>
  <si>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</si>
  <si>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</si>
  <si>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</si>
  <si>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</si>
  <si>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</si>
  <si>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</si>
  <si>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</si>
  <si>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</si>
  <si>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</si>
  <si>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</si>
  <si>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</si>
  <si>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</si>
  <si>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</si>
  <si>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</si>
  <si>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</si>
  <si>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</si>
  <si>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</si>
  <si>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</si>
  <si>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</si>
  <si>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</si>
  <si>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</si>
  <si>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</si>
  <si>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</si>
  <si>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</si>
  <si>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</si>
  <si>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</si>
  <si>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</si>
  <si>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</si>
  <si>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</si>
  <si>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</si>
  <si>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</si>
  <si>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</si>
  <si>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</si>
  <si>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</si>
  <si>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</si>
  <si>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</si>
  <si>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</si>
  <si>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</si>
  <si>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</si>
  <si>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</si>
  <si>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</si>
  <si>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</si>
  <si>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</si>
  <si>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</si>
  <si>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</si>
  <si>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</si>
  <si>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</si>
  <si>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</si>
  <si>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</si>
  <si>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</si>
  <si>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</si>
  <si>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</si>
  <si>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</si>
  <si>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</si>
  <si>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</si>
  <si>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</si>
  <si>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</si>
  <si>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</si>
  <si>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</si>
  <si>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</si>
  <si>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</si>
  <si>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</si>
  <si>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</si>
  <si>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</si>
  <si>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</si>
  <si>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</si>
  <si>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</si>
  <si>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</si>
  <si>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</si>
  <si>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</si>
  <si>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</si>
  <si>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</si>
  <si>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</si>
  <si>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</si>
  <si>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</si>
  <si>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</si>
  <si>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</si>
  <si>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</si>
  <si>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</si>
  <si>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</si>
  <si>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</si>
  <si>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</si>
  <si>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</si>
  <si>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</si>
  <si>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</si>
  <si>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</si>
  <si>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</si>
  <si>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</si>
  <si>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</si>
  <si>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</si>
  <si>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</si>
  <si>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</si>
  <si>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</si>
  <si>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</si>
  <si>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</si>
  <si>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</si>
  <si>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</si>
  <si>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</si>
  <si>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</si>
  <si>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</si>
  <si>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</si>
  <si>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</si>
  <si>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</si>
  <si>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</si>
  <si>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</si>
  <si>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</si>
  <si>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</si>
  <si>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</si>
  <si>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</si>
  <si>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</si>
  <si>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</si>
  <si>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</si>
  <si>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</si>
  <si>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</si>
  <si>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</si>
  <si>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</si>
  <si>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</si>
  <si>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</si>
  <si>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</si>
  <si>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</si>
  <si>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</si>
  <si>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</si>
  <si>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</si>
  <si>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</si>
  <si>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</si>
  <si>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</si>
  <si>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</si>
  <si>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</si>
  <si>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</si>
  <si>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</si>
  <si>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</si>
  <si>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</si>
  <si>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</si>
  <si>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</si>
  <si>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</si>
  <si>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</si>
  <si>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</si>
  <si>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</si>
  <si>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</si>
  <si>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</si>
  <si>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</si>
  <si>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</si>
  <si>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</si>
  <si>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</si>
  <si>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</si>
  <si>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</si>
  <si>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</si>
  <si>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</si>
  <si>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</si>
  <si>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</si>
  <si>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</si>
  <si>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</si>
  <si>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</si>
  <si>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</si>
  <si>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</si>
  <si>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</si>
  <si>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</si>
  <si>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</si>
  <si>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</si>
  <si>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</si>
  <si>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</si>
  <si>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</si>
  <si>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</si>
  <si>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</si>
  <si>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</si>
  <si>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</si>
  <si>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</si>
  <si>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</si>
  <si>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</si>
  <si>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</si>
  <si>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</si>
  <si>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</si>
  <si>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</si>
  <si>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</si>
  <si>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</si>
  <si>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</si>
  <si>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</si>
  <si>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</si>
  <si>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</si>
  <si>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</si>
  <si>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</si>
  <si>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</si>
  <si>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</si>
  <si>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</si>
  <si>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</si>
  <si>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</si>
  <si>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</si>
  <si>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</si>
  <si>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</si>
  <si>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</si>
  <si>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</si>
  <si>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</si>
  <si>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</si>
  <si>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</si>
  <si>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</si>
  <si>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</si>
  <si>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</si>
  <si>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</si>
  <si>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</si>
  <si>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</si>
  <si>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</si>
  <si>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</si>
  <si>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</si>
  <si>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</si>
  <si>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</si>
  <si>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</si>
  <si>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</si>
  <si>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</si>
  <si>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</si>
  <si>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</si>
  <si>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</si>
  <si>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</si>
  <si>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</si>
  <si>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</si>
  <si>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</si>
  <si>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</si>
  <si>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</si>
  <si>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</si>
  <si>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</si>
  <si>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</si>
  <si>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</si>
  <si>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</si>
  <si>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</si>
  <si>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</si>
  <si>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</si>
  <si>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</si>
  <si>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</si>
  <si>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</si>
  <si>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</si>
  <si>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</si>
  <si>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</si>
  <si>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</si>
  <si>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</si>
  <si>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</si>
  <si>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</si>
  <si>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</si>
  <si>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</si>
  <si>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</si>
  <si>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</si>
  <si>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</si>
  <si>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</si>
  <si>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</si>
  <si>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</si>
  <si>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</si>
  <si>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</si>
  <si>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</si>
  <si>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</si>
  <si>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</si>
  <si>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</si>
  <si>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</si>
  <si>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</si>
  <si>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</si>
  <si>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</si>
  <si>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</si>
  <si>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</si>
  <si>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</si>
  <si>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</si>
  <si>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</si>
  <si>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</si>
  <si>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</si>
  <si>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</si>
  <si>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</si>
  <si>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</si>
  <si>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</si>
  <si>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</si>
  <si>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</si>
  <si>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</si>
  <si>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</si>
  <si>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</si>
  <si>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</si>
  <si>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</si>
  <si>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</si>
  <si>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</si>
  <si>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</si>
  <si>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</si>
  <si>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</si>
  <si>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</si>
  <si>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</si>
  <si>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</si>
  <si>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</si>
  <si>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</si>
  <si>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</si>
  <si>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</si>
  <si>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</si>
  <si>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</si>
  <si>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</si>
  <si>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</si>
  <si>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</si>
  <si>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</si>
  <si>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</si>
  <si>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</si>
  <si>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</si>
  <si>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</si>
  <si>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</si>
  <si>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</si>
  <si>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</si>
  <si>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</si>
  <si>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</si>
  <si>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</si>
  <si>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</si>
  <si>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</si>
  <si>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</si>
  <si>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</si>
  <si>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</si>
  <si>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</si>
  <si>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</si>
  <si>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</si>
  <si>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</si>
  <si>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</si>
  <si>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</si>
  <si>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</si>
  <si>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</si>
  <si>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</si>
  <si>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</si>
  <si>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</si>
  <si>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</si>
  <si>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</si>
  <si>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</si>
  <si>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</si>
  <si>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</si>
  <si>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</si>
  <si>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</si>
  <si>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</si>
  <si>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</si>
  <si>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</si>
  <si>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</si>
  <si>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</si>
  <si>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</si>
  <si>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</si>
  <si>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</si>
  <si>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</si>
  <si>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</si>
  <si>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</si>
  <si>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</si>
  <si>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</si>
  <si>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</si>
  <si>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</si>
  <si>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</si>
  <si>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</si>
  <si>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</si>
  <si>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</si>
  <si>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</si>
  <si>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</si>
  <si>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</si>
  <si>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</si>
  <si>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</si>
  <si>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</si>
  <si>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</si>
  <si>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</si>
  <si>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</si>
  <si>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</si>
  <si>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</si>
  <si>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</si>
  <si>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</si>
  <si>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</si>
  <si>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</si>
  <si>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</si>
  <si>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</si>
  <si>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</si>
  <si>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</si>
  <si>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</si>
  <si>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</si>
  <si>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</si>
  <si>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</si>
  <si>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</si>
  <si>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</si>
  <si>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</si>
  <si>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</si>
  <si>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</si>
  <si>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</si>
  <si>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</si>
  <si>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</si>
  <si>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</si>
  <si>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</si>
  <si>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</si>
  <si>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</si>
  <si>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</si>
  <si>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</si>
  <si>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</si>
  <si>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</si>
  <si>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</si>
  <si>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</si>
  <si>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</si>
  <si>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</si>
  <si>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</si>
  <si>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</si>
  <si>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</si>
  <si>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</si>
  <si>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</si>
  <si>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</si>
  <si>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</si>
  <si>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</si>
  <si>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</si>
  <si>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</si>
  <si>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</si>
  <si>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</si>
  <si>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</si>
  <si>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</si>
  <si>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</si>
  <si>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</si>
  <si>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</si>
  <si>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</si>
  <si>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</si>
  <si>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</si>
  <si>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</si>
  <si>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</si>
  <si>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</si>
  <si>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</si>
  <si>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</si>
  <si>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</si>
  <si>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</si>
  <si>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</si>
  <si>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</si>
  <si>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</si>
  <si>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</si>
  <si>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</si>
  <si>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</si>
  <si>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</si>
  <si>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</si>
  <si>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</si>
  <si>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</si>
  <si>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</si>
  <si>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</si>
  <si>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</si>
  <si>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</si>
  <si>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</si>
  <si>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</si>
  <si>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</si>
  <si>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</si>
  <si>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</si>
  <si>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</si>
  <si>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</si>
  <si>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</si>
  <si>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</si>
  <si>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</si>
  <si>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</si>
  <si>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</si>
  <si>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</si>
  <si>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</si>
  <si>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</si>
  <si>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</si>
  <si>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</si>
  <si>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</si>
  <si>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</si>
  <si>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</si>
  <si>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</si>
  <si>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</si>
  <si>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</si>
  <si>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</si>
  <si>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</si>
  <si>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</si>
  <si>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</si>
  <si>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</si>
  <si>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</si>
  <si>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</si>
  <si>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</si>
  <si>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</si>
  <si>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</si>
  <si>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</si>
  <si>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</si>
  <si>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</si>
  <si>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</si>
  <si>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</si>
  <si>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</si>
  <si>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</si>
  <si>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</si>
  <si>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</si>
  <si>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</si>
  <si>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</si>
  <si>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</si>
  <si>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</si>
  <si>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</si>
  <si>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</si>
  <si>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</si>
  <si>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</si>
  <si>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</si>
  <si>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</si>
  <si>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</si>
  <si>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</si>
  <si>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</si>
  <si>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</si>
  <si>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</si>
  <si>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</si>
  <si>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</si>
  <si>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</si>
  <si>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</si>
  <si>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</si>
  <si>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</si>
  <si>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</si>
  <si>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</si>
  <si>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</si>
  <si>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</si>
  <si>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</si>
  <si>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</si>
  <si>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</si>
  <si>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</si>
  <si>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</si>
  <si>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</si>
  <si>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</si>
  <si>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</si>
  <si>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</si>
  <si>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</si>
  <si>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</si>
  <si>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</si>
  <si>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</si>
  <si>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</si>
  <si>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</si>
  <si>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</si>
  <si>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</si>
  <si>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</si>
  <si>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</si>
  <si>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</si>
  <si>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</si>
  <si>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</si>
  <si>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</si>
  <si>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</si>
  <si>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</si>
  <si>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</si>
  <si>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</si>
  <si>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</si>
  <si>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</si>
  <si>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</si>
  <si>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</si>
  <si>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</si>
  <si>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</si>
  <si>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</si>
  <si>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</si>
  <si>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</si>
  <si>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</si>
  <si>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</si>
  <si>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</si>
  <si>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</si>
  <si>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</si>
  <si>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</si>
  <si>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</si>
  <si>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</si>
  <si>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</si>
  <si>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</si>
  <si>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</si>
  <si>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</si>
  <si>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</si>
  <si>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</si>
  <si>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</si>
  <si>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</si>
  <si>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</si>
  <si>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</si>
  <si>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</si>
  <si>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</si>
  <si>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</si>
  <si>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</si>
  <si>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</si>
  <si>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</si>
  <si>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</si>
  <si>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</si>
  <si>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</si>
  <si>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</si>
  <si>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</si>
  <si>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</si>
  <si>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</si>
  <si>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</si>
  <si>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</si>
  <si>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</si>
  <si>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</si>
  <si>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</si>
  <si>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</si>
  <si>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</si>
  <si>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</si>
  <si>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</si>
  <si>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</si>
  <si>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</si>
  <si>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</si>
  <si>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</si>
  <si>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</si>
  <si>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</si>
  <si>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</si>
  <si>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</si>
  <si>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</si>
  <si>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</si>
  <si>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</si>
  <si>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</si>
  <si>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</si>
  <si>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</si>
  <si>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</si>
  <si>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</si>
  <si>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</si>
  <si>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</si>
  <si>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</si>
  <si>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</si>
  <si>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</si>
  <si>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</si>
  <si>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</si>
  <si>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</si>
  <si>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</si>
  <si>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</si>
  <si>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</si>
  <si>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</si>
  <si>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</si>
  <si>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</si>
  <si>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</si>
  <si>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</si>
  <si>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</si>
  <si>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</si>
  <si>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</si>
  <si>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</si>
  <si>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</si>
  <si>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</si>
  <si>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</si>
  <si>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</si>
  <si>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</si>
  <si>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</si>
  <si>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</si>
  <si>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</si>
  <si>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</si>
  <si>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</si>
  <si>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</si>
  <si>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</si>
  <si>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</si>
  <si>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</si>
  <si>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</si>
  <si>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</si>
  <si>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</si>
  <si>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</si>
  <si>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</si>
  <si>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</si>
  <si>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</si>
  <si>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</si>
  <si>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</si>
  <si>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</si>
  <si>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</si>
  <si>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</si>
  <si>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</si>
  <si>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</si>
  <si>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</si>
  <si>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</si>
  <si>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</si>
  <si>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</si>
  <si>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</si>
  <si>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</si>
  <si>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</si>
  <si>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</si>
  <si>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</si>
  <si>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</si>
  <si>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</si>
  <si>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</si>
  <si>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</si>
  <si>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</si>
  <si>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</si>
  <si>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</si>
  <si>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</si>
  <si>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</si>
  <si>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</si>
  <si>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</si>
  <si>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</si>
  <si>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</si>
  <si>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</si>
  <si>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</si>
  <si>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</si>
  <si>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</si>
  <si>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</si>
  <si>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</si>
  <si>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</si>
  <si>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</si>
  <si>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</si>
  <si>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</si>
  <si>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</si>
  <si>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</si>
  <si>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</si>
  <si>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</si>
  <si>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</si>
  <si>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</si>
  <si>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</si>
  <si>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</si>
  <si>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</si>
  <si>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</si>
  <si>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</si>
  <si>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</si>
  <si>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</si>
  <si>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</si>
  <si>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</si>
  <si>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</si>
  <si>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</si>
  <si>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</si>
  <si>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</si>
  <si>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</si>
  <si>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</si>
  <si>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</si>
  <si>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</si>
  <si>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</si>
  <si>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</si>
  <si>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</si>
  <si>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</si>
  <si>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</si>
  <si>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</si>
  <si>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</si>
  <si>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</si>
  <si>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</si>
  <si>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</si>
  <si>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</si>
  <si>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</si>
  <si>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</si>
  <si>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</si>
  <si>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</si>
  <si>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</si>
  <si>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</si>
  <si>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</si>
  <si>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</si>
  <si>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</si>
  <si>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</si>
  <si>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</si>
  <si>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</si>
  <si>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</si>
  <si>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</si>
  <si>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</si>
  <si>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</si>
  <si>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</si>
  <si>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</si>
  <si>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</si>
  <si>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</si>
  <si>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</si>
  <si>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</si>
  <si>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</si>
  <si>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</si>
  <si>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</si>
  <si>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</si>
  <si>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</si>
  <si>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</si>
  <si>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</si>
  <si>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</si>
  <si>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</si>
  <si>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</si>
  <si>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</si>
  <si>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</si>
  <si>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</si>
  <si>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</si>
  <si>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</si>
  <si>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</si>
  <si>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</si>
  <si>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</si>
  <si>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</si>
  <si>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</si>
  <si>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</si>
  <si>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</si>
  <si>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</si>
  <si>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</si>
  <si>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</si>
  <si>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</si>
  <si>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</si>
  <si>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</si>
  <si>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</si>
  <si>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</si>
  <si>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</si>
  <si>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</si>
  <si>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</si>
  <si>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</si>
  <si>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</si>
  <si>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</si>
  <si>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</si>
  <si>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</si>
  <si>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</si>
  <si>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</si>
  <si>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</si>
  <si>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</si>
  <si>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</si>
  <si>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</si>
  <si>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</si>
  <si>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</si>
  <si>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</si>
  <si>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</si>
  <si>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</si>
  <si>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</si>
  <si>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</si>
  <si>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</si>
  <si>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</si>
  <si>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</si>
  <si>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</si>
  <si>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</si>
  <si>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</si>
  <si>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</si>
  <si>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</si>
  <si>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</si>
  <si>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</si>
  <si>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</si>
  <si>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</si>
  <si>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</si>
  <si>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</si>
  <si>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</si>
  <si>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</si>
  <si>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</si>
  <si>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</si>
  <si>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</si>
  <si>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</si>
  <si>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</si>
  <si>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</si>
  <si>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</si>
  <si>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</si>
  <si>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</si>
  <si>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</si>
  <si>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</si>
  <si>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</si>
  <si>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</si>
  <si>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</si>
  <si>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</si>
  <si>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</si>
  <si>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</si>
  <si>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</si>
  <si>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</si>
  <si>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</si>
  <si>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</si>
  <si>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</si>
  <si>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</si>
  <si>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</si>
  <si>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</si>
  <si>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</si>
  <si>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</si>
  <si>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</si>
  <si>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</si>
  <si>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</si>
  <si>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</si>
  <si>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</si>
  <si>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</si>
  <si>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</si>
  <si>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</si>
  <si>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</si>
  <si>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</si>
  <si>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</si>
  <si>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</si>
  <si>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</si>
  <si>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</si>
  <si>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</si>
  <si>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</si>
  <si>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</si>
  <si>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</si>
  <si>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</si>
  <si>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</si>
  <si>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</si>
  <si>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</si>
  <si>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</si>
  <si>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</si>
  <si>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</si>
  <si>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</si>
  <si>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</si>
  <si>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</si>
  <si>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</si>
  <si>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</si>
  <si>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</si>
  <si>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</si>
  <si>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</si>
  <si>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</si>
  <si>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</si>
  <si>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</si>
  <si>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</si>
  <si>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</si>
  <si>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</si>
  <si>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</si>
  <si>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</si>
  <si>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</si>
  <si>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</si>
  <si>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</si>
  <si>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</si>
  <si>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</si>
  <si>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</si>
  <si>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</si>
  <si>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</si>
  <si>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</si>
  <si>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</si>
  <si>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</si>
  <si>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</si>
  <si>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</si>
  <si>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</si>
  <si>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</si>
  <si>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</si>
  <si>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</si>
  <si>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</si>
  <si>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</si>
  <si>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</si>
  <si>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</si>
  <si>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</si>
  <si>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</si>
  <si>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</si>
  <si>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</si>
  <si>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</si>
  <si>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</si>
  <si>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</si>
  <si>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</si>
  <si>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</si>
  <si>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</si>
  <si>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</si>
  <si>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</si>
  <si>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</si>
  <si>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</si>
  <si>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</si>
  <si>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</si>
  <si>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</si>
  <si>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</si>
  <si>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</si>
  <si>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</si>
  <si>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</si>
  <si>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</si>
  <si>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</si>
  <si>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</si>
  <si>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</si>
  <si>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</si>
  <si>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</si>
  <si>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</si>
  <si>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</si>
  <si>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</si>
  <si>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</si>
  <si>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</si>
  <si>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</si>
  <si>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</si>
  <si>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</si>
  <si>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</si>
  <si>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</si>
  <si>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</si>
  <si>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</si>
  <si>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</si>
  <si>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</si>
  <si>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</si>
  <si>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</si>
  <si>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</si>
  <si>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</si>
  <si>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</si>
  <si>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</si>
  <si>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</si>
  <si>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</si>
  <si>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</si>
  <si>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</si>
  <si>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</si>
  <si>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</si>
  <si>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</si>
  <si>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</si>
  <si>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</si>
  <si>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</si>
  <si>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</si>
  <si>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</si>
  <si>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</si>
  <si>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</si>
  <si>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</si>
  <si>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</si>
  <si>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</si>
  <si>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</si>
  <si>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</si>
  <si>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</si>
  <si>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</si>
  <si>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</si>
  <si>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</si>
  <si>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</si>
  <si>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</si>
  <si>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</si>
  <si>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</si>
  <si>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</si>
  <si>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</si>
  <si>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</si>
  <si>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</si>
  <si>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</si>
  <si>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</si>
  <si>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</si>
  <si>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</si>
  <si>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</si>
  <si>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</si>
  <si>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</si>
  <si>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</si>
  <si>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</si>
  <si>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</si>
  <si>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</si>
  <si>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</si>
  <si>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</si>
  <si>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</si>
  <si>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</si>
  <si>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</si>
  <si>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</si>
  <si>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</si>
  <si>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</si>
  <si>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</si>
  <si>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</si>
  <si>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</si>
  <si>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</si>
  <si>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</si>
  <si>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</si>
  <si>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</si>
  <si>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</si>
  <si>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</si>
  <si>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</si>
  <si>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</si>
  <si>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</si>
  <si>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</si>
  <si>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</si>
  <si>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</si>
  <si>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</si>
  <si>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</si>
  <si>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</si>
  <si>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</si>
  <si>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</si>
  <si>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</si>
  <si>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</si>
  <si>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</si>
  <si>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</si>
  <si>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</si>
  <si>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</si>
  <si>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</si>
  <si>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</si>
  <si>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</si>
  <si>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</si>
  <si>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</si>
  <si>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</si>
  <si>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</si>
  <si>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</si>
  <si>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</si>
  <si>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</si>
  <si>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</si>
  <si>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</si>
  <si>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</si>
  <si>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</si>
  <si>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</si>
  <si>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</si>
  <si>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</si>
  <si>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</si>
  <si>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</si>
  <si>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</si>
  <si>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</si>
  <si>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</si>
  <si>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</si>
  <si>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</si>
  <si>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</si>
  <si>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</si>
  <si>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</si>
  <si>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</si>
  <si>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</si>
  <si>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</si>
  <si>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</si>
  <si>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</si>
  <si>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</si>
  <si>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</si>
  <si>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</si>
  <si>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</si>
  <si>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</si>
  <si>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</si>
  <si>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</si>
  <si>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</si>
  <si>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</si>
  <si>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</si>
  <si>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</si>
  <si>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</si>
  <si>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</si>
  <si>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</si>
  <si>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</si>
  <si>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</si>
  <si>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</si>
  <si>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</si>
  <si>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</si>
  <si>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</si>
  <si>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</si>
  <si>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</si>
  <si>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</si>
  <si>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</si>
  <si>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</si>
  <si>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</si>
  <si>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</si>
  <si>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</si>
  <si>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</si>
  <si>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</si>
  <si>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</si>
  <si>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</si>
  <si>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</si>
  <si>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</si>
  <si>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</si>
  <si>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</si>
  <si>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</si>
  <si>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</si>
  <si>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</si>
  <si>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</si>
  <si>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</si>
  <si>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</si>
  <si>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</si>
  <si>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</si>
  <si>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</si>
  <si>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</si>
  <si>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</si>
  <si>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</si>
  <si>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</si>
  <si>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</si>
  <si>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</si>
  <si>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</si>
  <si>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</si>
  <si>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</si>
  <si>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</si>
  <si>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</si>
  <si>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</si>
  <si>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</si>
  <si>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</si>
  <si>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</si>
  <si>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</si>
  <si>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</si>
  <si>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</si>
  <si>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</si>
  <si>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</si>
  <si>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</si>
  <si>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</si>
  <si>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</si>
  <si>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</si>
  <si>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</si>
  <si>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</si>
  <si>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</si>
  <si>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</si>
  <si>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</si>
  <si>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</si>
  <si>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</si>
  <si>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</si>
  <si>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</si>
  <si>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</si>
  <si>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</si>
  <si>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</si>
  <si>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</si>
  <si>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</si>
  <si>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</si>
  <si>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</si>
  <si>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</si>
  <si>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</si>
  <si>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</si>
  <si>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</si>
  <si>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</si>
  <si>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</si>
  <si>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</si>
  <si>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</si>
  <si>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</si>
  <si>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</si>
  <si>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</si>
  <si>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</si>
  <si>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</si>
  <si>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</si>
  <si>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</si>
  <si>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</si>
  <si>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</si>
  <si>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</si>
  <si>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</si>
  <si>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</si>
  <si>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</si>
  <si>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</si>
  <si>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</si>
  <si>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</si>
  <si>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</si>
  <si>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</si>
  <si>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</si>
  <si>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</si>
  <si>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</si>
  <si>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</si>
  <si>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</si>
  <si>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</si>
  <si>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</si>
  <si>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</si>
  <si>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</si>
  <si>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</si>
  <si>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</si>
  <si>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</si>
  <si>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</si>
  <si>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</si>
  <si>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</si>
  <si>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</si>
  <si>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</si>
  <si>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</si>
  <si>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</si>
  <si>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</si>
  <si>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</si>
  <si>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</si>
  <si>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</si>
  <si>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</si>
  <si>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</si>
  <si>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</si>
  <si>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</si>
  <si>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</si>
  <si>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</si>
  <si>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</si>
  <si>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</si>
  <si>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</si>
  <si>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</si>
  <si>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</si>
  <si>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</si>
  <si>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</si>
  <si>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</si>
  <si>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</si>
  <si>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</si>
  <si>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</si>
  <si>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</si>
  <si>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</si>
  <si>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</si>
  <si>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</si>
  <si>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</si>
  <si>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</si>
  <si>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</si>
  <si>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</si>
  <si>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</si>
  <si>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</si>
  <si>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</si>
  <si>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</si>
  <si>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</si>
  <si>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</si>
  <si>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</si>
  <si>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</si>
  <si>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</si>
  <si>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</si>
  <si>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</si>
  <si>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</si>
  <si>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</si>
  <si>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</si>
  <si>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</si>
  <si>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</si>
  <si>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</si>
  <si>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</si>
  <si>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</si>
  <si>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</si>
  <si>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</si>
  <si>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</si>
  <si>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</si>
  <si>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</si>
  <si>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</si>
  <si>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</si>
  <si>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</si>
  <si>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</si>
  <si>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</si>
  <si>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</si>
  <si>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</si>
  <si>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</si>
  <si>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</si>
  <si>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</si>
  <si>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</si>
  <si>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</si>
  <si>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</si>
  <si>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</si>
  <si>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</si>
  <si>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</si>
  <si>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</si>
  <si>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</si>
  <si>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</si>
  <si>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</si>
  <si>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</si>
  <si>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</si>
  <si>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</si>
  <si>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</si>
  <si>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</si>
  <si>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</si>
  <si>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</si>
  <si>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</si>
  <si>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</si>
  <si>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</si>
  <si>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</si>
  <si>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</si>
  <si>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</si>
  <si>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</si>
  <si>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</si>
  <si>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</si>
  <si>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</si>
  <si>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</si>
  <si>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</si>
  <si>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</si>
  <si>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</si>
  <si>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</si>
  <si>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</si>
  <si>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</si>
  <si>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</si>
  <si>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</si>
  <si>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</si>
  <si>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</si>
  <si>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</si>
  <si>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</si>
  <si>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</si>
  <si>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</si>
  <si>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</si>
  <si>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</si>
  <si>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</si>
  <si>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</si>
  <si>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</si>
  <si>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</si>
  <si>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</si>
  <si>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</si>
  <si>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</si>
  <si>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</si>
  <si>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</si>
  <si>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</si>
  <si>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</si>
  <si>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</si>
  <si>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</si>
  <si>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</si>
  <si>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</si>
  <si>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</si>
  <si>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</si>
  <si>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</si>
  <si>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</si>
  <si>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</si>
  <si>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</si>
  <si>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</si>
  <si>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</si>
  <si>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</si>
  <si>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</si>
  <si>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</si>
  <si>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</si>
  <si>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</si>
  <si>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</si>
  <si>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</si>
  <si>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</si>
  <si>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</si>
  <si>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</si>
  <si>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</si>
  <si>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</si>
  <si>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</si>
  <si>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</si>
  <si>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</si>
  <si>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</si>
  <si>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</si>
  <si>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</si>
  <si>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</si>
  <si>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</si>
  <si>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</si>
  <si>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</si>
  <si>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</si>
  <si>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</si>
  <si>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</si>
  <si>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</si>
  <si>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</si>
  <si>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</si>
  <si>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</si>
  <si>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</si>
  <si>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</si>
  <si>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</si>
  <si>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</si>
  <si>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</si>
  <si>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</si>
  <si>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</si>
  <si>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</si>
  <si>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</si>
  <si>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</si>
  <si>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</si>
  <si>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</si>
  <si>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</si>
  <si>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</si>
  <si>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</si>
  <si>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</si>
  <si>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</si>
  <si>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</si>
  <si>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</si>
  <si>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</si>
  <si>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</si>
  <si>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</si>
  <si>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</si>
  <si>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</si>
  <si>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</si>
  <si>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</si>
  <si>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</si>
  <si>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</si>
  <si>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</si>
  <si>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</si>
  <si>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</si>
  <si>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</si>
  <si>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</si>
  <si>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</si>
  <si>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</si>
  <si>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</si>
  <si>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</si>
  <si>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</si>
  <si>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</si>
  <si>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</si>
  <si>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</si>
  <si>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</si>
  <si>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</si>
  <si>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</si>
  <si>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</si>
  <si>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</si>
  <si>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</si>
  <si>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</si>
  <si>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</si>
  <si>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</si>
  <si>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</si>
  <si>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</si>
  <si>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</si>
  <si>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</si>
  <si>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</si>
  <si>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</si>
  <si>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</si>
  <si>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</si>
  <si>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</si>
  <si>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</si>
  <si>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</si>
  <si>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</si>
  <si>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</si>
  <si>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</si>
  <si>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</si>
  <si>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</si>
  <si>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</si>
  <si>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</si>
  <si>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</si>
  <si>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</si>
  <si>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</si>
  <si>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</si>
  <si>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</si>
  <si>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</si>
  <si>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</si>
  <si>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</si>
  <si>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</si>
  <si>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</si>
  <si>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</si>
  <si>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</si>
  <si>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</si>
  <si>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</si>
  <si>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</si>
  <si>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</si>
  <si>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</si>
  <si>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</si>
  <si>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</si>
  <si>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</si>
  <si>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</si>
  <si>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</si>
  <si>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</si>
  <si>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</si>
  <si>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</si>
  <si>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</si>
  <si>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</si>
  <si>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</si>
  <si>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</si>
  <si>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</si>
  <si>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</si>
  <si>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</si>
  <si>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</si>
  <si>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</si>
  <si>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</si>
  <si>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</si>
  <si>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</si>
  <si>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</si>
  <si>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</si>
  <si>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</si>
  <si>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</si>
  <si>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</si>
  <si>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</si>
  <si>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</si>
  <si>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</si>
  <si>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</si>
  <si>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</si>
  <si>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</si>
  <si>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</si>
  <si>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</si>
  <si>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</si>
  <si>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</si>
  <si>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</si>
  <si>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</si>
  <si>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</si>
  <si>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</si>
  <si>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</si>
  <si>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</si>
  <si>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</si>
  <si>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</si>
  <si>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</si>
  <si>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</si>
  <si>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</si>
  <si>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</si>
  <si>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</si>
  <si>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</si>
  <si>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</si>
  <si>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</si>
  <si>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</si>
  <si>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</si>
  <si>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</si>
  <si>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</si>
  <si>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</si>
  <si>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</si>
  <si>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</si>
  <si>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</si>
  <si>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</si>
  <si>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</si>
  <si>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</si>
  <si>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</si>
  <si>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</si>
  <si>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</si>
  <si>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</si>
  <si>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</si>
  <si>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</si>
  <si>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</si>
  <si>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</si>
  <si>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</si>
  <si>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</si>
  <si>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</si>
  <si>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</si>
  <si>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</si>
  <si>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</si>
  <si>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</si>
  <si>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</si>
  <si>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</si>
  <si>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</si>
  <si>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</si>
  <si>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</si>
  <si>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</si>
  <si>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</si>
  <si>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</si>
  <si>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</si>
  <si>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</si>
  <si>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</si>
  <si>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</si>
  <si>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</si>
  <si>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</si>
  <si>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</si>
  <si>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</si>
  <si>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</si>
  <si>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</si>
  <si>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</si>
  <si>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</si>
  <si>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</si>
  <si>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</si>
  <si>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</si>
  <si>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</si>
  <si>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</si>
  <si>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</si>
  <si>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</si>
  <si>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</si>
  <si>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</si>
  <si>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</si>
  <si>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</si>
  <si>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</si>
  <si>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</si>
  <si>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</si>
  <si>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</si>
  <si>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</si>
  <si>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</si>
  <si>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</si>
  <si>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</si>
  <si>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</si>
  <si>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</si>
  <si>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</si>
  <si>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</si>
  <si>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</si>
  <si>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</si>
  <si>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</si>
  <si>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</si>
  <si>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</si>
  <si>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</si>
  <si>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</si>
  <si>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</si>
  <si>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</si>
  <si>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</si>
  <si>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</si>
  <si>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</si>
  <si>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</si>
  <si>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</si>
  <si>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</si>
  <si>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</si>
  <si>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</si>
  <si>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</si>
  <si>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</si>
  <si>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</si>
  <si>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</si>
  <si>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</si>
  <si>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</si>
  <si>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</si>
  <si>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</si>
  <si>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</si>
  <si>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</si>
  <si>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</si>
  <si>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</si>
  <si>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</si>
  <si>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</si>
  <si>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</si>
  <si>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</si>
  <si>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</si>
  <si>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</si>
  <si>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</si>
  <si>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</si>
  <si>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</si>
  <si>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</si>
  <si>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</si>
  <si>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</si>
  <si>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</si>
  <si>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</si>
  <si>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</si>
  <si>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</si>
  <si>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</si>
  <si>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</si>
  <si>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</si>
  <si>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</si>
  <si>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</si>
  <si>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</si>
  <si>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</si>
  <si>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</si>
  <si>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</si>
  <si>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</si>
  <si>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</si>
  <si>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</si>
  <si>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</si>
  <si>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</si>
  <si>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</si>
  <si>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</si>
  <si>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</si>
  <si>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</si>
  <si>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</si>
  <si>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</si>
  <si>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</si>
  <si>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</si>
  <si>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</si>
  <si>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</si>
  <si>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</si>
  <si>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</si>
  <si>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</si>
  <si>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</si>
  <si>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</si>
  <si>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</si>
  <si>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</si>
  <si>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</si>
  <si>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</si>
  <si>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</si>
  <si>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</si>
  <si>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</si>
  <si>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</si>
  <si>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</si>
  <si>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</si>
  <si>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</si>
  <si>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</si>
  <si>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</si>
  <si>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</si>
  <si>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</si>
  <si>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</si>
  <si>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</si>
  <si>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</si>
  <si>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</si>
  <si>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</si>
  <si>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CMNO.GRAL.BELGRANO-CRUCE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</si>
  <si>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</si>
  <si>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</si>
  <si>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</si>
  <si>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</si>
  <si>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</si>
  <si>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</si>
  <si>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</si>
  <si>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</si>
  <si>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</si>
  <si>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</si>
  <si>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</si>
  <si>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</si>
  <si>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</si>
  <si>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</si>
  <si>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</si>
  <si>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</si>
  <si>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</si>
  <si>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</si>
  <si>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</si>
  <si>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</si>
  <si>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</si>
  <si>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</si>
  <si>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</si>
  <si>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</si>
  <si>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</si>
  <si>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</si>
  <si>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</si>
  <si>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</si>
  <si>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</si>
  <si>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</si>
  <si>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</si>
  <si>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</si>
  <si>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</si>
  <si>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</si>
  <si>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</si>
  <si>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</si>
  <si>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</si>
  <si>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</si>
  <si>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</si>
  <si>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</si>
  <si>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</si>
  <si>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</si>
  <si>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</si>
  <si>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</si>
  <si>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</si>
  <si>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</si>
  <si>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</si>
  <si>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</si>
  <si>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</si>
  <si>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</si>
  <si>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</si>
  <si>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</si>
  <si>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</si>
  <si>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</si>
  <si>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</si>
  <si>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</si>
  <si>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</si>
  <si>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</si>
  <si>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</si>
  <si>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</si>
  <si>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</si>
  <si>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</si>
  <si>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</si>
  <si>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</si>
  <si>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</si>
  <si>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</si>
  <si>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</si>
  <si>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</si>
  <si>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</si>
  <si>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</si>
  <si>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</si>
  <si>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</si>
  <si>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GPON7</t>
  </si>
  <si>
    <t>GPON 2</t>
  </si>
  <si>
    <t>PON 9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</si>
  <si>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</si>
  <si>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</si>
  <si>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</si>
  <si>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</si>
  <si>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</si>
  <si>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</si>
  <si>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</si>
  <si>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</si>
  <si>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</si>
  <si>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</si>
  <si>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PON 3</t>
  </si>
  <si>
    <t>PON 174</t>
  </si>
  <si>
    <t>PON 254</t>
  </si>
  <si>
    <t>PON 274</t>
  </si>
  <si>
    <t>FO 014</t>
  </si>
  <si>
    <t>PON 034</t>
  </si>
  <si>
    <t>dio 054</t>
  </si>
  <si>
    <t>PON 064</t>
  </si>
  <si>
    <t>dio 094</t>
  </si>
  <si>
    <t>dio 104</t>
  </si>
  <si>
    <t>dio 124</t>
  </si>
  <si>
    <t>PON 154</t>
  </si>
  <si>
    <t>PON 164</t>
  </si>
  <si>
    <t>PON 204</t>
  </si>
  <si>
    <t>PON 214</t>
  </si>
  <si>
    <t>PON 224</t>
  </si>
  <si>
    <t>PON 234</t>
  </si>
  <si>
    <t>PON 244</t>
  </si>
  <si>
    <t>PON 264</t>
  </si>
  <si>
    <t>00-07-5F-B6-B8-F0</t>
  </si>
  <si>
    <t>PON 4</t>
  </si>
  <si>
    <t>PON 04</t>
  </si>
  <si>
    <t>PON 7</t>
  </si>
  <si>
    <t>PON 8</t>
  </si>
  <si>
    <t>YRIGOYEN-ISLAR ORCADAS</t>
  </si>
  <si>
    <t>PON 6</t>
  </si>
  <si>
    <t>PON 1</t>
  </si>
  <si>
    <t>PON 15</t>
  </si>
  <si>
    <t>PON 5</t>
  </si>
  <si>
    <t>PON 2</t>
  </si>
  <si>
    <t>GPON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</si>
</sst>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6"/>
  <sheetViews>
    <sheetView tabSelected="1" zoomScale="110" zoomScaleNormal="110" zoomScaleSheetLayoutView="100" workbookViewId="0">
      <pane xSplit="18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P333" sqref="P333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2" style="8" customWidth="1"/>
    <col min="5" max="5" width="16.85546875" style="8" customWidth="1"/>
    <col min="6" max="6" width="9" hidden="1" customWidth="1"/>
    <col min="7" max="7" width="32.85546875" style="30" customWidth="1"/>
    <col min="8" max="8" width="13.140625" style="30" customWidth="1"/>
    <col min="9" max="9" width="37.5703125" customWidth="1"/>
    <col min="10" max="10" width="18.42578125" style="61" hidden="1" customWidth="1"/>
    <col min="11" max="11" width="12.5703125" style="65" customWidth="1"/>
    <col min="12" max="12" width="9.28515625" style="65" hidden="1" customWidth="1"/>
    <col min="13" max="13" width="12.7109375" style="65" customWidth="1"/>
    <col min="14" max="14" width="9.140625" style="65" hidden="1" customWidth="1"/>
    <col min="15" max="15" width="24" hidden="1" customWidth="1"/>
    <col min="16" max="16" width="16.85546875" customWidth="1"/>
    <col min="17" max="17" width="15.7109375" hidden="1" customWidth="1"/>
    <col min="18" max="18" width="17" style="4" hidden="1" customWidth="1"/>
    <col min="19" max="19" width="13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2350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2357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0.16335227272727273</v>
      </c>
      <c r="W1" s="3">
        <f t="shared" si="0"/>
        <v>0.15857142857142856</v>
      </c>
      <c r="X1" s="3">
        <f t="shared" si="0"/>
        <v>0.15736766809728184</v>
      </c>
      <c r="Y1" s="3">
        <f t="shared" si="0"/>
        <v>0.16453900709219857</v>
      </c>
      <c r="Z1" s="3">
        <f t="shared" si="0"/>
        <v>0.14264919941775836</v>
      </c>
      <c r="AA1" s="3">
        <f t="shared" si="0"/>
        <v>0</v>
      </c>
      <c r="AB1" s="3">
        <f t="shared" si="0"/>
        <v>0</v>
      </c>
      <c r="AC1" s="3">
        <f t="shared" si="0"/>
        <v>0.15007215007215008</v>
      </c>
      <c r="AD1" s="3">
        <f t="shared" si="0"/>
        <v>0.15373563218390804</v>
      </c>
      <c r="AE1" s="3">
        <f t="shared" si="0"/>
        <v>0.16453900709219857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COUNTIF(S7:S750,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>COUNTIF(Z7:Z750, "apagado")</f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0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45</v>
      </c>
      <c r="W4" s="10">
        <f>COUNTIFS(W8:W704, "=APAGADO",K8:K704,"=Fibra Optica")</f>
        <v>44</v>
      </c>
      <c r="X4" s="10">
        <f>COUNTIFS(X8:X704, "=APAGADO",K8:K704,"=Fibra Optica")</f>
        <v>45</v>
      </c>
      <c r="Y4" s="10">
        <f>COUNTIFS(Y8:Y704, "=APAGADO",K8:K704,"=Fibra Optica")</f>
        <v>52</v>
      </c>
      <c r="Z4" s="10">
        <f>COUNTIFS(Z8:Z704, "=APAGADO",K8:K704,"=Fibra Optica")</f>
        <v>44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48</v>
      </c>
      <c r="AD4" s="10">
        <f>COUNTIFS(AD8:AD704, "=APAGADO",K8:K704,"=Fibra Optica")</f>
        <v>43</v>
      </c>
      <c r="AE4" s="10">
        <f>COUNTIFS(AE8:AE704, "=APAGADO",K8:K704,"=Fibra Optica")</f>
        <v>49</v>
      </c>
      <c r="AF4" s="10">
        <f>COUNTIFS(AF8:AF704, "=APAGADO",K8:K704,"=Fibra Optica")</f>
        <v>0</v>
      </c>
      <c r="AG4" s="10">
        <f>COUNTIFS(AG8:AG704, "=APAGADO",K8:K704,"=Fibra Optica")</f>
        <v>0</v>
      </c>
      <c r="AH4" s="10">
        <f>COUNTIFS(AH8:AH704, "=APAGADO",K8:K704,"=Fibra Optica")</f>
        <v>0</v>
      </c>
      <c r="AI4" s="10">
        <f>COUNTIFS(AI8:AI704, "=APAGADO",K8:K704,"=Fibra Optica")</f>
        <v>0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0</v>
      </c>
      <c r="AM4" s="10">
        <f>COUNTIFS(AM8:AM704, "=APAGADO",K8:K704,"=Fibra Optica")</f>
        <v>0</v>
      </c>
      <c r="AN4" s="10">
        <f>COUNTIFS(AN8:AN704, "=APAGADO",K8:K704,"=Fibra Optica")</f>
        <v>0</v>
      </c>
      <c r="AO4" s="10">
        <f>COUNTIFS(AO8:AO704, "=APAGADO",K8:K704,"=Fibra Optica")</f>
        <v>0</v>
      </c>
      <c r="AP4" s="10">
        <f>COUNTIFS(AP8:AP704, "=APAGADO",K8:K704,"=Fibra Optica")</f>
        <v>0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0</v>
      </c>
      <c r="AT4" s="10">
        <f>COUNTIFS(AT8:AT704, "=APAGADO",K8:K704,"=Fibra Optica")</f>
        <v>0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COUNTIFS(S8:S704, "=APAGADO",K8:K704,"=RADIO")</f>
        <v>0</v>
      </c>
      <c r="T5" s="127">
        <f>COUNTIFS(T8:T704, "=APAGADO",K8:K704,"=RADIO")</f>
        <v>0</v>
      </c>
      <c r="U5" s="127">
        <f>COUNTIFS(U8:U704, "=APAGADO",K8:K704,"=RADIO")</f>
        <v>0</v>
      </c>
      <c r="V5" s="127">
        <f>COUNTIFS(V8:V704, "=APAGADO",K8:K704,"=RADIO")</f>
        <v>5</v>
      </c>
      <c r="W5" s="127">
        <f>COUNTIFS(W8:W704, "=APAGADO",K8:K704,"=RADIO")</f>
        <v>5</v>
      </c>
      <c r="X5" s="127">
        <f>COUNTIFS(X8:X704, "=APAGADO",K8:K704,"=RADIO")</f>
        <v>6</v>
      </c>
      <c r="Y5" s="127">
        <f>COUNTIFS(Y8:Y704, "=APAGADO",K8:K704,"=RADIO")</f>
        <v>6</v>
      </c>
      <c r="Z5" s="127">
        <f>COUNTIFS(Z8:Z704, "=APAGADO",K8:K704,"=RADIO")</f>
        <v>5</v>
      </c>
      <c r="AA5" s="127">
        <f>COUNTIFS(AA8:AA704, "=APAGADO",K8:K704,"=RADIO")</f>
        <v>0</v>
      </c>
      <c r="AB5" s="127">
        <f>COUNTIFS(AB8:AB704, "=APAGADO",K8:K704,"=RADIO")</f>
        <v>0</v>
      </c>
      <c r="AC5" s="127">
        <f>COUNTIFS(AC8:AC704, "=APAGADO",K8:K704,"=RADIO")</f>
        <v>6</v>
      </c>
      <c r="AD5" s="127">
        <f>COUNTIFS(AD8:AD704, "=APAGADO",K8:K704,"=RADIO")</f>
        <v>5</v>
      </c>
      <c r="AE5" s="127">
        <f>COUNTIFS(AE8:AE704, "=APAGADO",K8:K704,"=RADIO")</f>
        <v>6</v>
      </c>
      <c r="AF5" s="127">
        <f>COUNTIFS(AF8:AF704, "=APAGADO",K8:K704,"=RADIO")</f>
        <v>0</v>
      </c>
      <c r="AG5" s="127">
        <f>COUNTIFS(AG8:AG704, "=APAGADO",K8:K704,"=RADIO")</f>
        <v>0</v>
      </c>
      <c r="AH5" s="127">
        <f>COUNTIFS(AH8:AH704, "=APAGADO",K8:K704,"=RADIO")</f>
        <v>0</v>
      </c>
      <c r="AI5" s="127">
        <f>COUNTIFS(AI8:AI704, "=APAGADO",K8:K704,"=RADIO")</f>
        <v>0</v>
      </c>
      <c r="AJ5" s="127">
        <f>COUNTIFS(AJ8:AJ704, "=APAGADO",K8:K704,"=RADIO")</f>
        <v>0</v>
      </c>
      <c r="AK5" s="127">
        <f>COUNTIFS(AK8:AK704, "=APAGADO",K8:K704,"=RADIO")</f>
        <v>0</v>
      </c>
      <c r="AL5" s="127">
        <f>COUNTIFS(AL8:AL704, "=APAGADO",K8:K704,"=RADIO")</f>
        <v>0</v>
      </c>
      <c r="AM5" s="127">
        <f>COUNTIFS(AM8:AM704, "=APAGADO",K8:K704,"=RADIO")</f>
        <v>0</v>
      </c>
      <c r="AN5" s="127">
        <f>COUNTIFS(AN8:AN704, "=APAGADO",K8:K704,"=RADIO")</f>
        <v>0</v>
      </c>
      <c r="AO5" s="127">
        <f>COUNTIFS(AO8:AO704, "=APAGADO",K8:K704,"=RADIO")</f>
        <v>0</v>
      </c>
      <c r="AP5" s="127">
        <f>COUNTIFS(AP8:AP704, "=APAGADO",K8:K704,"=RADIO")</f>
        <v>0</v>
      </c>
      <c r="AQ5" s="127">
        <f>COUNTIFS(AQ8:AQ704, "=APAGADO",K8:K704,"=RADIO")</f>
        <v>0</v>
      </c>
      <c r="AR5" s="127">
        <f>COUNTIFS(AR8:AR704, "=APAGADO",K8:K704,"=RADIO")</f>
        <v>0</v>
      </c>
      <c r="AS5" s="127">
        <f>COUNTIFS(AS8:AS704, "=APAGADO",K8:K704,"=RADIO")</f>
        <v>0</v>
      </c>
      <c r="AT5" s="127">
        <f>COUNTIFS(AT8:AT704, "=APAGADO",K8:K704,"=RADIO")</f>
        <v>0</v>
      </c>
      <c r="AU5" s="127">
        <f>COUNTIFS(AU8:AU704, "=APAGADO",L8:L704,"=RADIO")</f>
        <v>0</v>
      </c>
      <c r="AV5" s="127">
        <f>COUNTIFS(AV8:AV704, "=APAGADO",M8:M704,"=RADIO")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0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12</v>
      </c>
      <c r="W6" s="10">
        <f>COUNTIFS(W8:W704, "=APAGADO",K8:K704,"=PTO A FO")</f>
        <v>12</v>
      </c>
      <c r="X6" s="10">
        <f>COUNTIFS(X8:X704, "=APAGADO",K8:K704,"=PTO A FO")</f>
        <v>11</v>
      </c>
      <c r="Y6" s="10">
        <f>COUNTIFS(Y8:Y704, "=APAGADO",K8:K704,"=PTO A FO")</f>
        <v>14</v>
      </c>
      <c r="Z6" s="10">
        <f>COUNTIFS(Z8:Z704, "=APAGADO",K8:K704,"=PTO A FO")</f>
        <v>10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8</v>
      </c>
      <c r="AD6" s="10">
        <f>COUNTIFS(AD8:AD704, "=APAGADO",K8:K704,"=PTO A FO")</f>
        <v>9</v>
      </c>
      <c r="AE6" s="10">
        <f>COUNTIFS(AE8:AE704, "=APAGADO",K8:K704,"=PTO A FO")</f>
        <v>9</v>
      </c>
      <c r="AF6" s="10">
        <f>COUNTIFS(AF8:AF704, "=APAGADO",K8:K704,"=PTO A FO")</f>
        <v>0</v>
      </c>
      <c r="AG6" s="10">
        <f>COUNTIFS(AG8:AG704, "=APAGADO",K8:K704,"=PTO A FO")</f>
        <v>0</v>
      </c>
      <c r="AH6" s="10">
        <f>COUNTIFS(AH8:AH704, "=APAGADO",K8:K704,"=PTO A FO")</f>
        <v>0</v>
      </c>
      <c r="AI6" s="10">
        <f>COUNTIFS(AI8:AI704, "=APAGADO",K8:K704,"=PTO A FO")</f>
        <v>0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0</v>
      </c>
      <c r="AM6" s="10">
        <f>COUNTIFS(AM8:AM704, "=APAGADO",K8:K704,"=PTO A FO")</f>
        <v>0</v>
      </c>
      <c r="AN6" s="10">
        <f>COUNTIFS(AN8:AN704, "=APAGADO",K8:K704,"=PTO A FO")</f>
        <v>0</v>
      </c>
      <c r="AO6" s="10">
        <f>COUNTIFS(AO8:AO704, "=APAGADO",K8:K704,"=PTO A FO")</f>
        <v>0</v>
      </c>
      <c r="AP6" s="10">
        <f>COUNTIFS(AP8:AP704, "=APAGADO",K8:K704,"=PTO A FO")</f>
        <v>0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0</v>
      </c>
      <c r="AT6" s="10">
        <f>COUNTIFS(AT8:AT704, "=APAGADO",K8:K704,"=PTO A FO")</f>
        <v>0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9" s="117" customFormat="1" ht="19.5" customHeight="1" thickTop="1" thickBot="1" x14ac:dyDescent="0.35">
      <c r="A7" s="144" t="s">
        <v>2325</v>
      </c>
      <c r="B7" s="144" t="s">
        <v>2326</v>
      </c>
      <c r="C7" s="144" t="s">
        <v>2327</v>
      </c>
      <c r="D7" s="144" t="s">
        <v>2328</v>
      </c>
      <c r="E7" s="144" t="s">
        <v>2330</v>
      </c>
      <c r="F7" s="35" t="s">
        <v>7</v>
      </c>
      <c r="G7" s="114" t="s">
        <v>2270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2324</v>
      </c>
      <c r="N7" s="114" t="s">
        <v>2266</v>
      </c>
      <c r="O7" s="19" t="s">
        <v>2</v>
      </c>
      <c r="P7" s="19" t="s">
        <v>1630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1633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1634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1636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t="s">
        <v>2367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2366</v>
      </c>
      <c r="L11" s="30"/>
      <c r="M11" s="30" t="s">
        <v>605</v>
      </c>
      <c r="N11" s="30"/>
      <c r="O11" s="31">
        <f t="shared" si="4"/>
        <v>26</v>
      </c>
      <c r="P11" s="136" t="s">
        <v>1638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2223</v>
      </c>
      <c r="W11" s="70" t="s">
        <v>2223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t="s">
        <v>2367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2366</v>
      </c>
      <c r="L12" s="30"/>
      <c r="M12" s="30" t="s">
        <v>606</v>
      </c>
      <c r="N12" s="30"/>
      <c r="O12" s="31">
        <f t="shared" si="4"/>
        <v>26</v>
      </c>
      <c r="P12" s="136" t="s">
        <v>1639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2223</v>
      </c>
      <c r="W12" s="70" t="s">
        <v>2223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1640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2111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2329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1631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2329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1632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8"/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1635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2329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1637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1641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1512</v>
      </c>
      <c r="H20" s="73" t="s">
        <v>1041</v>
      </c>
      <c r="I20" s="73" t="s">
        <v>1513</v>
      </c>
      <c r="J20" s="84" t="s">
        <v>71</v>
      </c>
      <c r="K20" s="84" t="s">
        <v>1278</v>
      </c>
      <c r="L20" s="84"/>
      <c r="M20" s="84" t="s">
        <v>1514</v>
      </c>
      <c r="N20" s="84"/>
      <c r="O20" s="31">
        <f t="shared" si="4"/>
        <v>28</v>
      </c>
      <c r="P20" s="136" t="s">
        <v>1642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1540</v>
      </c>
      <c r="H21" s="73" t="s">
        <v>1041</v>
      </c>
      <c r="I21" s="73" t="s">
        <v>1541</v>
      </c>
      <c r="J21" s="84" t="s">
        <v>71</v>
      </c>
      <c r="K21" s="84" t="s">
        <v>1278</v>
      </c>
      <c r="L21" s="84"/>
      <c r="M21" s="84" t="s">
        <v>1542</v>
      </c>
      <c r="N21" s="84"/>
      <c r="O21" s="31">
        <f t="shared" si="4"/>
        <v>28</v>
      </c>
      <c r="P21" s="136" t="s">
        <v>1643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2365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2267</v>
      </c>
      <c r="O22" s="31">
        <f t="shared" si="4"/>
        <v>22</v>
      </c>
      <c r="P22" s="136" t="s">
        <v>2269</v>
      </c>
      <c r="Q22" s="31">
        <f t="shared" si="5"/>
        <v>6</v>
      </c>
      <c r="R22" s="32">
        <f t="shared" si="6"/>
        <v>0.7857142857142857</v>
      </c>
      <c r="S22" s="70"/>
      <c r="T22" s="70"/>
      <c r="U22" s="70"/>
      <c r="V22" s="70"/>
      <c r="W22" s="70"/>
      <c r="X22" s="70" t="s">
        <v>2223</v>
      </c>
      <c r="Y22" s="70" t="s">
        <v>2223</v>
      </c>
      <c r="Z22" s="70" t="s">
        <v>2223</v>
      </c>
      <c r="AA22" s="70"/>
      <c r="AB22" s="70"/>
      <c r="AC22" s="70" t="s">
        <v>2223</v>
      </c>
      <c r="AD22" s="70" t="s">
        <v>2223</v>
      </c>
      <c r="AE22" s="70" t="s">
        <v>2223</v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2365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22</v>
      </c>
      <c r="P23" s="136" t="s">
        <v>1644</v>
      </c>
      <c r="Q23" s="31">
        <f t="shared" si="5"/>
        <v>6</v>
      </c>
      <c r="R23" s="32">
        <f t="shared" si="6"/>
        <v>0.7857142857142857</v>
      </c>
      <c r="S23" s="70"/>
      <c r="T23" s="70"/>
      <c r="U23" s="70"/>
      <c r="V23" s="70"/>
      <c r="W23" s="70"/>
      <c r="X23" s="70" t="s">
        <v>2223</v>
      </c>
      <c r="Y23" s="70" t="s">
        <v>2223</v>
      </c>
      <c r="Z23" s="70" t="s">
        <v>2223</v>
      </c>
      <c r="AA23" s="70"/>
      <c r="AB23" s="70"/>
      <c r="AC23" s="70" t="s">
        <v>2223</v>
      </c>
      <c r="AD23" s="70" t="s">
        <v>2223</v>
      </c>
      <c r="AE23" s="70" t="s">
        <v>2223</v>
      </c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/>
      <c r="F24" s="73" t="s">
        <v>1171</v>
      </c>
      <c r="G24" s="84" t="s">
        <v>2259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1651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F25" s="73" t="s">
        <v>1171</v>
      </c>
      <c r="G25" s="84" t="s">
        <v>2260</v>
      </c>
      <c r="H25" s="84" t="s">
        <v>1042</v>
      </c>
      <c r="I25" s="73" t="s">
        <v>1565</v>
      </c>
      <c r="J25" s="84" t="s">
        <v>18</v>
      </c>
      <c r="K25" s="84" t="s">
        <v>1278</v>
      </c>
      <c r="L25" s="84"/>
      <c r="M25" s="84" t="s">
        <v>1566</v>
      </c>
      <c r="N25" s="84"/>
      <c r="O25" s="131">
        <f t="shared" si="4"/>
        <v>28</v>
      </c>
      <c r="P25" s="136" t="s">
        <v>2112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F26" s="73" t="s">
        <v>1171</v>
      </c>
      <c r="G26" s="84" t="s">
        <v>2261</v>
      </c>
      <c r="H26" s="84" t="s">
        <v>1042</v>
      </c>
      <c r="I26" s="73" t="s">
        <v>1569</v>
      </c>
      <c r="J26" s="84" t="s">
        <v>71</v>
      </c>
      <c r="K26" s="84" t="s">
        <v>1278</v>
      </c>
      <c r="L26" s="84"/>
      <c r="M26" s="84" t="s">
        <v>1567</v>
      </c>
      <c r="N26" s="84"/>
      <c r="O26" s="131">
        <f t="shared" si="4"/>
        <v>28</v>
      </c>
      <c r="P26" s="136" t="s">
        <v>2113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/>
      <c r="F27" s="73" t="s">
        <v>1171</v>
      </c>
      <c r="G27" s="84" t="s">
        <v>2262</v>
      </c>
      <c r="H27" s="84" t="s">
        <v>1042</v>
      </c>
      <c r="I27" s="73" t="s">
        <v>1569</v>
      </c>
      <c r="J27" s="84" t="s">
        <v>71</v>
      </c>
      <c r="K27" s="84" t="s">
        <v>1278</v>
      </c>
      <c r="L27" s="84"/>
      <c r="M27" s="84" t="s">
        <v>1568</v>
      </c>
      <c r="N27" s="84"/>
      <c r="O27" s="131">
        <f t="shared" si="4"/>
        <v>28</v>
      </c>
      <c r="P27" s="136" t="s">
        <v>2114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/>
      <c r="F28" s="73" t="s">
        <v>1171</v>
      </c>
      <c r="G28" s="84" t="s">
        <v>2263</v>
      </c>
      <c r="H28" s="84" t="s">
        <v>1042</v>
      </c>
      <c r="I28" s="73" t="s">
        <v>2242</v>
      </c>
      <c r="J28" s="84" t="s">
        <v>18</v>
      </c>
      <c r="K28" s="84" t="s">
        <v>1278</v>
      </c>
      <c r="L28" s="84"/>
      <c r="M28" s="84" t="s">
        <v>2243</v>
      </c>
      <c r="N28" s="84"/>
      <c r="O28" s="131">
        <f t="shared" si="4"/>
        <v>28</v>
      </c>
      <c r="P28" s="136" t="s">
        <v>2244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2349</v>
      </c>
      <c r="F29" s="73" t="s">
        <v>1171</v>
      </c>
      <c r="G29" s="84" t="s">
        <v>2359</v>
      </c>
      <c r="H29" s="84" t="s">
        <v>1042</v>
      </c>
      <c r="I29" s="73" t="s">
        <v>2360</v>
      </c>
      <c r="J29" s="84"/>
      <c r="K29" s="84" t="s">
        <v>27</v>
      </c>
      <c r="L29" s="84"/>
      <c r="M29" s="84" t="s">
        <v>2361</v>
      </c>
      <c r="N29" s="84"/>
      <c r="O29" s="131"/>
      <c r="P29" s="136" t="s">
        <v>2395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2349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27</v>
      </c>
      <c r="P30" s="136" t="s">
        <v>1645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 t="s">
        <v>2223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2349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27</v>
      </c>
      <c r="P31" s="136" t="s">
        <v>1646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 t="s">
        <v>2223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2349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20</v>
      </c>
      <c r="P32" s="136" t="s">
        <v>1647</v>
      </c>
      <c r="Q32" s="31">
        <f t="shared" si="8"/>
        <v>8</v>
      </c>
      <c r="R32" s="32">
        <f t="shared" si="9"/>
        <v>0.7142857142857143</v>
      </c>
      <c r="S32" s="70"/>
      <c r="T32" s="70"/>
      <c r="U32" s="70"/>
      <c r="V32" s="70" t="s">
        <v>2223</v>
      </c>
      <c r="W32" s="70" t="s">
        <v>2223</v>
      </c>
      <c r="X32" s="70" t="s">
        <v>2223</v>
      </c>
      <c r="Y32" s="70" t="s">
        <v>2223</v>
      </c>
      <c r="Z32" s="70" t="s">
        <v>2223</v>
      </c>
      <c r="AA32" s="70"/>
      <c r="AB32" s="70"/>
      <c r="AC32" s="70" t="s">
        <v>2223</v>
      </c>
      <c r="AD32" s="70" t="s">
        <v>2223</v>
      </c>
      <c r="AE32" s="70" t="s">
        <v>2223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2349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27</v>
      </c>
      <c r="P33" s="136" t="s">
        <v>1648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 t="s">
        <v>2223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2349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1649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2349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1650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2363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1653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2363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1654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/>
      <c r="F38" t="s">
        <v>1428</v>
      </c>
      <c r="G38" s="30" t="s">
        <v>1603</v>
      </c>
      <c r="H38" t="s">
        <v>1042</v>
      </c>
      <c r="I38" t="s">
        <v>1605</v>
      </c>
      <c r="J38" s="30" t="s">
        <v>71</v>
      </c>
      <c r="K38" s="30" t="s">
        <v>1278</v>
      </c>
      <c r="L38" s="30"/>
      <c r="M38" s="84" t="s">
        <v>1606</v>
      </c>
      <c r="N38" s="84"/>
      <c r="O38" s="31">
        <f t="shared" si="7"/>
        <v>28</v>
      </c>
      <c r="P38" s="136" t="s">
        <v>2117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/>
      <c r="F39" t="s">
        <v>1428</v>
      </c>
      <c r="G39" s="30" t="s">
        <v>1604</v>
      </c>
      <c r="H39" t="s">
        <v>1042</v>
      </c>
      <c r="I39" t="s">
        <v>1605</v>
      </c>
      <c r="J39" s="30" t="s">
        <v>71</v>
      </c>
      <c r="K39" s="30" t="s">
        <v>1278</v>
      </c>
      <c r="L39" s="30"/>
      <c r="M39" s="84" t="s">
        <v>1607</v>
      </c>
      <c r="N39" s="84"/>
      <c r="O39" s="31">
        <f t="shared" si="7"/>
        <v>28</v>
      </c>
      <c r="P39" s="136" t="s">
        <v>2141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/>
      <c r="F40" t="s">
        <v>1428</v>
      </c>
      <c r="G40" s="30" t="s">
        <v>1611</v>
      </c>
      <c r="H40" t="s">
        <v>1042</v>
      </c>
      <c r="I40" t="s">
        <v>1605</v>
      </c>
      <c r="J40" s="30" t="s">
        <v>18</v>
      </c>
      <c r="K40" s="30" t="s">
        <v>1278</v>
      </c>
      <c r="L40" s="30"/>
      <c r="M40" s="84" t="s">
        <v>1609</v>
      </c>
      <c r="N40" s="84"/>
      <c r="O40" s="31">
        <f t="shared" si="7"/>
        <v>28</v>
      </c>
      <c r="P40" s="136" t="s">
        <v>2142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2363</v>
      </c>
      <c r="F41" t="s">
        <v>1428</v>
      </c>
      <c r="G41" s="30" t="s">
        <v>1612</v>
      </c>
      <c r="H41" t="s">
        <v>1042</v>
      </c>
      <c r="I41" t="s">
        <v>1613</v>
      </c>
      <c r="J41" s="30" t="s">
        <v>18</v>
      </c>
      <c r="K41" s="30" t="s">
        <v>27</v>
      </c>
      <c r="L41" s="30"/>
      <c r="M41" s="84" t="s">
        <v>1614</v>
      </c>
      <c r="N41" s="84"/>
      <c r="O41" s="31">
        <f t="shared" si="7"/>
        <v>28</v>
      </c>
      <c r="P41" s="136" t="s">
        <v>2143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2349</v>
      </c>
      <c r="F42" t="s">
        <v>1428</v>
      </c>
      <c r="G42" s="30" t="s">
        <v>2186</v>
      </c>
      <c r="H42" t="s">
        <v>1042</v>
      </c>
      <c r="I42" t="s">
        <v>2190</v>
      </c>
      <c r="J42" s="30" t="s">
        <v>71</v>
      </c>
      <c r="K42" s="30" t="s">
        <v>27</v>
      </c>
      <c r="L42" s="30"/>
      <c r="M42" s="84" t="s">
        <v>2275</v>
      </c>
      <c r="N42" s="84"/>
      <c r="O42" s="31">
        <f t="shared" si="7"/>
        <v>28</v>
      </c>
      <c r="P42" s="136" t="s">
        <v>2187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2349</v>
      </c>
      <c r="F43" t="s">
        <v>1428</v>
      </c>
      <c r="G43" s="30" t="s">
        <v>2188</v>
      </c>
      <c r="H43" t="s">
        <v>1042</v>
      </c>
      <c r="I43" t="s">
        <v>2189</v>
      </c>
      <c r="J43" s="30" t="s">
        <v>71</v>
      </c>
      <c r="K43" s="30" t="s">
        <v>27</v>
      </c>
      <c r="L43" s="30"/>
      <c r="M43" s="84" t="s">
        <v>2276</v>
      </c>
      <c r="N43" s="84"/>
      <c r="O43" s="31">
        <f t="shared" si="7"/>
        <v>28</v>
      </c>
      <c r="P43" s="136" t="s">
        <v>2191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2332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26</v>
      </c>
      <c r="P44" s="136" t="s">
        <v>1659</v>
      </c>
      <c r="Q44" s="31">
        <f t="shared" si="8"/>
        <v>2</v>
      </c>
      <c r="R44" s="32">
        <f t="shared" si="9"/>
        <v>0.9285714285714286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2223</v>
      </c>
      <c r="AD44" s="70"/>
      <c r="AE44" s="70" t="s">
        <v>2223</v>
      </c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2333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1665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/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1666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2369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1688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8" t="s">
        <v>2482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20</v>
      </c>
      <c r="P48" s="136" t="s">
        <v>1701</v>
      </c>
      <c r="Q48" s="131">
        <f t="shared" si="8"/>
        <v>8</v>
      </c>
      <c r="R48" s="132">
        <f t="shared" si="9"/>
        <v>0.7142857142857143</v>
      </c>
      <c r="S48" s="70"/>
      <c r="T48" s="70"/>
      <c r="U48" s="70"/>
      <c r="V48" s="70" t="s">
        <v>2223</v>
      </c>
      <c r="W48" s="70" t="s">
        <v>2223</v>
      </c>
      <c r="X48" s="70" t="s">
        <v>2223</v>
      </c>
      <c r="Y48" s="70" t="s">
        <v>2223</v>
      </c>
      <c r="Z48" s="70" t="s">
        <v>2223</v>
      </c>
      <c r="AA48" s="70"/>
      <c r="AB48" s="70"/>
      <c r="AC48" s="70" t="s">
        <v>2223</v>
      </c>
      <c r="AD48" s="70" t="s">
        <v>2223</v>
      </c>
      <c r="AE48" s="70" t="s">
        <v>2223</v>
      </c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1702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1704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20</v>
      </c>
      <c r="P51" s="136" t="s">
        <v>1705</v>
      </c>
      <c r="Q51" s="131">
        <f t="shared" si="8"/>
        <v>8</v>
      </c>
      <c r="R51" s="132">
        <f t="shared" si="9"/>
        <v>0.7142857142857143</v>
      </c>
      <c r="S51" s="70"/>
      <c r="T51" s="70"/>
      <c r="U51" s="70"/>
      <c r="V51" s="70" t="s">
        <v>2223</v>
      </c>
      <c r="W51" s="70" t="s">
        <v>2223</v>
      </c>
      <c r="X51" s="70" t="s">
        <v>2223</v>
      </c>
      <c r="Y51" s="70" t="s">
        <v>2223</v>
      </c>
      <c r="Z51" s="70" t="s">
        <v>2223</v>
      </c>
      <c r="AA51" s="70"/>
      <c r="AB51" s="70"/>
      <c r="AC51" s="70" t="s">
        <v>2223</v>
      </c>
      <c r="AD51" s="70" t="s">
        <v>2223</v>
      </c>
      <c r="AE51" s="70" t="s">
        <v>2223</v>
      </c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1706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1707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1708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2334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1709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2368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1711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1712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8" t="s">
        <v>2442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1716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2344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1720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1721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1722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1725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2333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1726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2333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1727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2333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1728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2369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1729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2369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1730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t="s">
        <v>2439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1731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25</v>
      </c>
      <c r="P69" s="136" t="s">
        <v>1732</v>
      </c>
      <c r="Q69" s="131">
        <f t="shared" si="11"/>
        <v>3</v>
      </c>
      <c r="R69" s="132">
        <f t="shared" si="12"/>
        <v>0.8928571428571429</v>
      </c>
      <c r="S69" s="70"/>
      <c r="T69" s="70"/>
      <c r="U69" s="70"/>
      <c r="V69" s="70" t="s">
        <v>2223</v>
      </c>
      <c r="W69" s="70" t="s">
        <v>2223</v>
      </c>
      <c r="X69" s="70"/>
      <c r="Y69" s="70"/>
      <c r="Z69" s="70"/>
      <c r="AA69" s="70"/>
      <c r="AB69" s="70"/>
      <c r="AC69" s="70"/>
      <c r="AD69" s="70" t="s">
        <v>2223</v>
      </c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E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1734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2333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23</v>
      </c>
      <c r="P71" s="136" t="s">
        <v>1735</v>
      </c>
      <c r="Q71" s="31">
        <f t="shared" si="11"/>
        <v>5</v>
      </c>
      <c r="R71" s="32">
        <f t="shared" si="12"/>
        <v>0.8214285714285714</v>
      </c>
      <c r="S71" s="70"/>
      <c r="T71" s="70"/>
      <c r="U71" s="70"/>
      <c r="V71" s="70"/>
      <c r="W71" s="70" t="s">
        <v>2223</v>
      </c>
      <c r="X71" s="70" t="s">
        <v>2223</v>
      </c>
      <c r="Y71" s="70" t="s">
        <v>2223</v>
      </c>
      <c r="Z71" s="70" t="s">
        <v>2223</v>
      </c>
      <c r="AA71" s="70"/>
      <c r="AB71" s="70"/>
      <c r="AC71" s="70" t="s">
        <v>2223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2333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1736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t="s">
        <v>2475</v>
      </c>
      <c r="F73" t="s">
        <v>51</v>
      </c>
      <c r="G73" t="s">
        <v>2384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1655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t="s">
        <v>2475</v>
      </c>
      <c r="F74" t="s">
        <v>51</v>
      </c>
      <c r="G74" t="s">
        <v>2385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1656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2364</v>
      </c>
      <c r="C75"/>
      <c r="D75"/>
      <c r="E75" t="s">
        <v>2332</v>
      </c>
      <c r="F75" t="s">
        <v>51</v>
      </c>
      <c r="G75" t="s">
        <v>2386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25</v>
      </c>
      <c r="P75" s="136" t="s">
        <v>1657</v>
      </c>
      <c r="Q75" s="31">
        <f t="shared" si="11"/>
        <v>3</v>
      </c>
      <c r="R75" s="32">
        <f t="shared" si="12"/>
        <v>0.8928571428571429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2223</v>
      </c>
      <c r="AD75" s="70" t="s">
        <v>2223</v>
      </c>
      <c r="AE75" s="70" t="s">
        <v>2223</v>
      </c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2331</v>
      </c>
      <c r="F76" t="s">
        <v>51</v>
      </c>
      <c r="G76" t="s">
        <v>2387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1658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2332</v>
      </c>
      <c r="F77" t="s">
        <v>51</v>
      </c>
      <c r="G77" t="s">
        <v>2388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23</v>
      </c>
      <c r="P77" s="136" t="s">
        <v>2436</v>
      </c>
      <c r="Q77" s="31">
        <f t="shared" si="11"/>
        <v>5</v>
      </c>
      <c r="R77" s="32">
        <f t="shared" si="12"/>
        <v>0.8214285714285714</v>
      </c>
      <c r="S77" s="70"/>
      <c r="T77" s="70"/>
      <c r="U77" s="70"/>
      <c r="V77" s="70" t="s">
        <v>2223</v>
      </c>
      <c r="W77" s="70"/>
      <c r="X77" s="70"/>
      <c r="Y77" s="70" t="s">
        <v>2223</v>
      </c>
      <c r="Z77" s="70" t="s">
        <v>2223</v>
      </c>
      <c r="AA77" s="70"/>
      <c r="AB77" s="70"/>
      <c r="AC77" s="70" t="s">
        <v>2223</v>
      </c>
      <c r="AD77" s="70"/>
      <c r="AE77" s="70" t="s">
        <v>2223</v>
      </c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2365</v>
      </c>
      <c r="F78" t="s">
        <v>51</v>
      </c>
      <c r="G78" t="s">
        <v>2389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1660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2332</v>
      </c>
      <c r="F79" t="s">
        <v>51</v>
      </c>
      <c r="G79" t="s">
        <v>2390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1661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2341</v>
      </c>
      <c r="F80" t="s">
        <v>51</v>
      </c>
      <c r="G80" t="s">
        <v>2391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1662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2333</v>
      </c>
      <c r="F81" t="s">
        <v>51</v>
      </c>
      <c r="G81" t="s">
        <v>2392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1663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2369</v>
      </c>
      <c r="F82" s="73" t="s">
        <v>51</v>
      </c>
      <c r="G82" s="84" t="s">
        <v>2251</v>
      </c>
      <c r="H82" s="84" t="s">
        <v>1041</v>
      </c>
      <c r="I82" s="73" t="s">
        <v>2252</v>
      </c>
      <c r="J82" s="84" t="s">
        <v>18</v>
      </c>
      <c r="K82" s="30" t="s">
        <v>27</v>
      </c>
      <c r="L82" s="84"/>
      <c r="M82" s="84" t="s">
        <v>2253</v>
      </c>
      <c r="N82" s="84"/>
      <c r="O82" s="131">
        <f t="shared" si="10"/>
        <v>23</v>
      </c>
      <c r="P82" s="136" t="s">
        <v>2254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2223</v>
      </c>
      <c r="W82" s="70" t="s">
        <v>2223</v>
      </c>
      <c r="X82" s="70" t="s">
        <v>2223</v>
      </c>
      <c r="Y82" s="70" t="s">
        <v>2223</v>
      </c>
      <c r="Z82" s="70" t="s">
        <v>2223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2333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1664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2333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1667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1668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2332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1669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2332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25</v>
      </c>
      <c r="P87" s="136" t="s">
        <v>1670</v>
      </c>
      <c r="Q87" s="31">
        <f t="shared" si="11"/>
        <v>3</v>
      </c>
      <c r="R87" s="32">
        <f t="shared" si="12"/>
        <v>0.8928571428571429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2223</v>
      </c>
      <c r="AD87" s="70" t="s">
        <v>2223</v>
      </c>
      <c r="AE87" s="70" t="s">
        <v>2223</v>
      </c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2333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1671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2341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1672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1673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2258</v>
      </c>
      <c r="N91" s="89"/>
      <c r="O91" s="31">
        <f t="shared" si="10"/>
        <v>28</v>
      </c>
      <c r="P91" s="136" t="s">
        <v>2307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20</v>
      </c>
      <c r="P92" s="136" t="s">
        <v>1674</v>
      </c>
      <c r="Q92" s="131">
        <f t="shared" si="11"/>
        <v>8</v>
      </c>
      <c r="R92" s="132">
        <f t="shared" si="12"/>
        <v>0.7142857142857143</v>
      </c>
      <c r="S92" s="70"/>
      <c r="T92" s="70"/>
      <c r="U92" s="70"/>
      <c r="V92" s="70" t="s">
        <v>2223</v>
      </c>
      <c r="W92" s="70" t="s">
        <v>2223</v>
      </c>
      <c r="X92" s="70" t="s">
        <v>2223</v>
      </c>
      <c r="Y92" s="70" t="s">
        <v>2223</v>
      </c>
      <c r="Z92" s="70" t="s">
        <v>2223</v>
      </c>
      <c r="AA92" s="70"/>
      <c r="AB92" s="70"/>
      <c r="AC92" s="70" t="s">
        <v>2223</v>
      </c>
      <c r="AD92" s="70" t="s">
        <v>2223</v>
      </c>
      <c r="AE92" s="70" t="s">
        <v>2223</v>
      </c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2333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1675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2316</v>
      </c>
      <c r="N94" s="30"/>
      <c r="O94" s="31">
        <f t="shared" ref="O94:O125" si="13">COUNTIF(S94:AT94,"")</f>
        <v>28</v>
      </c>
      <c r="P94" s="136" t="s">
        <v>1676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t="s">
        <v>2440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1677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2332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2393</v>
      </c>
      <c r="N96" s="30"/>
      <c r="O96" s="31">
        <f t="shared" si="13"/>
        <v>28</v>
      </c>
      <c r="P96" s="136" t="s">
        <v>2394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2332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1678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2332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1679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2332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1680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2333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1681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2333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1682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2333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1683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2333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1684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2332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1685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2369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1686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1687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2369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1689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2331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1690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2331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1691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2331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25</v>
      </c>
      <c r="P110" s="136" t="s">
        <v>1692</v>
      </c>
      <c r="Q110" s="31">
        <f t="shared" si="14"/>
        <v>3</v>
      </c>
      <c r="R110" s="32">
        <f t="shared" si="15"/>
        <v>0.8928571428571429</v>
      </c>
      <c r="S110" s="70"/>
      <c r="T110" s="70"/>
      <c r="U110" s="70"/>
      <c r="V110" s="70"/>
      <c r="W110" s="70"/>
      <c r="X110" s="70" t="s">
        <v>2223</v>
      </c>
      <c r="Y110" s="70"/>
      <c r="Z110" s="70"/>
      <c r="AA110" s="70"/>
      <c r="AB110" s="70"/>
      <c r="AC110" s="70"/>
      <c r="AD110" s="70" t="s">
        <v>2223</v>
      </c>
      <c r="AE110" s="70" t="s">
        <v>2223</v>
      </c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1693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2333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27</v>
      </c>
      <c r="P112" s="136" t="s">
        <v>1694</v>
      </c>
      <c r="Q112" s="31">
        <f t="shared" si="14"/>
        <v>1</v>
      </c>
      <c r="R112" s="32">
        <f t="shared" si="15"/>
        <v>0.9642857142857143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2223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2333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1695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2334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1696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2334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1697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2333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1698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1699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2369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20</v>
      </c>
      <c r="P118" s="136" t="s">
        <v>1700</v>
      </c>
      <c r="Q118" s="31">
        <f t="shared" si="14"/>
        <v>8</v>
      </c>
      <c r="R118" s="32">
        <f t="shared" si="15"/>
        <v>0.7142857142857143</v>
      </c>
      <c r="S118" s="70"/>
      <c r="T118" s="70"/>
      <c r="U118" s="70"/>
      <c r="V118" s="70" t="s">
        <v>2223</v>
      </c>
      <c r="W118" s="70" t="s">
        <v>2223</v>
      </c>
      <c r="X118" s="70" t="s">
        <v>2223</v>
      </c>
      <c r="Y118" s="70" t="s">
        <v>2223</v>
      </c>
      <c r="Z118" s="70" t="s">
        <v>2223</v>
      </c>
      <c r="AA118" s="70"/>
      <c r="AB118" s="70"/>
      <c r="AC118" s="70" t="s">
        <v>2223</v>
      </c>
      <c r="AD118" s="70" t="s">
        <v>2223</v>
      </c>
      <c r="AE118" s="70" t="s">
        <v>2223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t="s">
        <v>2475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1703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1710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2331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1713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t="s">
        <v>2475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1714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2332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1715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t="s">
        <v>2442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1716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1718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1717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2344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1719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1723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t="s">
        <v>2441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2370</v>
      </c>
      <c r="L129" s="30"/>
      <c r="M129" s="30" t="s">
        <v>667</v>
      </c>
      <c r="N129" s="30"/>
      <c r="O129" s="31">
        <f t="shared" si="16"/>
        <v>20</v>
      </c>
      <c r="P129" s="136" t="s">
        <v>1724</v>
      </c>
      <c r="Q129" s="31">
        <f t="shared" si="17"/>
        <v>8</v>
      </c>
      <c r="R129" s="32">
        <f t="shared" si="18"/>
        <v>0.7142857142857143</v>
      </c>
      <c r="S129" s="70"/>
      <c r="T129" s="70"/>
      <c r="U129" s="70"/>
      <c r="V129" s="70" t="s">
        <v>2223</v>
      </c>
      <c r="W129" s="70" t="s">
        <v>2223</v>
      </c>
      <c r="X129" s="70" t="s">
        <v>2223</v>
      </c>
      <c r="Y129" s="70" t="s">
        <v>2223</v>
      </c>
      <c r="Z129" s="70" t="s">
        <v>2223</v>
      </c>
      <c r="AA129" s="70"/>
      <c r="AB129" s="138"/>
      <c r="AC129" s="70" t="s">
        <v>2223</v>
      </c>
      <c r="AD129" s="70" t="s">
        <v>2223</v>
      </c>
      <c r="AE129" s="70" t="s">
        <v>2223</v>
      </c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1733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20</v>
      </c>
      <c r="P131" s="136" t="s">
        <v>1737</v>
      </c>
      <c r="Q131" s="131">
        <f t="shared" si="17"/>
        <v>8</v>
      </c>
      <c r="R131" s="132">
        <f t="shared" si="18"/>
        <v>0.7142857142857143</v>
      </c>
      <c r="S131" s="70"/>
      <c r="T131" s="70"/>
      <c r="U131" s="70"/>
      <c r="V131" s="70" t="s">
        <v>2223</v>
      </c>
      <c r="W131" s="70" t="s">
        <v>2223</v>
      </c>
      <c r="X131" s="70" t="s">
        <v>2223</v>
      </c>
      <c r="Y131" s="70" t="s">
        <v>2223</v>
      </c>
      <c r="Z131" s="70" t="s">
        <v>2223</v>
      </c>
      <c r="AA131" s="70"/>
      <c r="AB131" s="70"/>
      <c r="AC131" s="70" t="s">
        <v>2223</v>
      </c>
      <c r="AD131" s="70" t="s">
        <v>2223</v>
      </c>
      <c r="AE131" s="70" t="s">
        <v>2223</v>
      </c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1738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1739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2365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2267</v>
      </c>
      <c r="O134" s="131">
        <f t="shared" si="16"/>
        <v>28</v>
      </c>
      <c r="P134" s="136" t="s">
        <v>1740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2365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2267</v>
      </c>
      <c r="O135" s="131">
        <f t="shared" si="16"/>
        <v>28</v>
      </c>
      <c r="P135" s="136" t="s">
        <v>1741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1742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2332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1743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2333</v>
      </c>
      <c r="F138" t="s">
        <v>51</v>
      </c>
      <c r="G138" s="30" t="s">
        <v>1616</v>
      </c>
      <c r="H138" s="30" t="s">
        <v>1041</v>
      </c>
      <c r="I138" t="s">
        <v>1617</v>
      </c>
      <c r="J138" s="84" t="s">
        <v>18</v>
      </c>
      <c r="K138" s="84" t="s">
        <v>27</v>
      </c>
      <c r="L138" s="84"/>
      <c r="M138" s="84" t="s">
        <v>2083</v>
      </c>
      <c r="N138" s="84"/>
      <c r="O138" s="131">
        <f t="shared" si="16"/>
        <v>28</v>
      </c>
      <c r="P138" s="136" t="s">
        <v>2144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2369</v>
      </c>
      <c r="F139" s="73" t="s">
        <v>51</v>
      </c>
      <c r="G139" s="84" t="s">
        <v>1534</v>
      </c>
      <c r="H139" s="84" t="s">
        <v>1041</v>
      </c>
      <c r="I139" s="73" t="s">
        <v>1536</v>
      </c>
      <c r="J139" s="84" t="s">
        <v>18</v>
      </c>
      <c r="K139" s="84" t="s">
        <v>27</v>
      </c>
      <c r="L139" s="84"/>
      <c r="M139" s="84" t="s">
        <v>1538</v>
      </c>
      <c r="N139" s="84"/>
      <c r="O139" s="131">
        <f t="shared" si="16"/>
        <v>28</v>
      </c>
      <c r="P139" s="136" t="s">
        <v>1744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2331</v>
      </c>
      <c r="F140" s="73" t="s">
        <v>51</v>
      </c>
      <c r="G140" s="84" t="s">
        <v>1535</v>
      </c>
      <c r="H140" s="84" t="s">
        <v>1041</v>
      </c>
      <c r="I140" s="73" t="s">
        <v>1537</v>
      </c>
      <c r="J140" s="84" t="s">
        <v>18</v>
      </c>
      <c r="K140" s="84" t="s">
        <v>27</v>
      </c>
      <c r="L140" s="84"/>
      <c r="M140" s="84" t="s">
        <v>1539</v>
      </c>
      <c r="N140" s="84"/>
      <c r="O140" s="131">
        <f t="shared" si="16"/>
        <v>28</v>
      </c>
      <c r="P140" s="136" t="s">
        <v>1745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2089</v>
      </c>
      <c r="H141" s="84" t="s">
        <v>1041</v>
      </c>
      <c r="I141" s="73" t="s">
        <v>2090</v>
      </c>
      <c r="J141" s="84" t="s">
        <v>18</v>
      </c>
      <c r="K141" s="84" t="s">
        <v>1278</v>
      </c>
      <c r="L141" s="84"/>
      <c r="M141" s="84" t="s">
        <v>2145</v>
      </c>
      <c r="N141" s="84"/>
      <c r="O141" s="131">
        <f t="shared" si="16"/>
        <v>28</v>
      </c>
      <c r="P141" s="136" t="s">
        <v>2146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2169</v>
      </c>
      <c r="H142" s="84" t="s">
        <v>1041</v>
      </c>
      <c r="I142" s="73" t="s">
        <v>2170</v>
      </c>
      <c r="J142" s="84" t="s">
        <v>18</v>
      </c>
      <c r="K142" s="84" t="s">
        <v>1278</v>
      </c>
      <c r="L142" s="84"/>
      <c r="M142" s="84" t="s">
        <v>2271</v>
      </c>
      <c r="N142" s="84"/>
      <c r="O142" s="131">
        <f t="shared" si="16"/>
        <v>28</v>
      </c>
      <c r="P142" s="136" t="s">
        <v>2171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t="s">
        <v>2441</v>
      </c>
      <c r="F143" s="73" t="s">
        <v>51</v>
      </c>
      <c r="G143" s="84" t="s">
        <v>2198</v>
      </c>
      <c r="H143" s="84" t="s">
        <v>1041</v>
      </c>
      <c r="I143" s="73" t="s">
        <v>2199</v>
      </c>
      <c r="J143" s="84" t="s">
        <v>18</v>
      </c>
      <c r="K143" s="30" t="s">
        <v>2370</v>
      </c>
      <c r="L143" s="84"/>
      <c r="M143" s="84" t="s">
        <v>2200</v>
      </c>
      <c r="N143" s="84"/>
      <c r="O143" s="131">
        <f t="shared" si="16"/>
        <v>20</v>
      </c>
      <c r="P143" s="136" t="s">
        <v>2201</v>
      </c>
      <c r="Q143" s="131">
        <f t="shared" si="17"/>
        <v>8</v>
      </c>
      <c r="R143" s="132">
        <f t="shared" si="18"/>
        <v>0.7142857142857143</v>
      </c>
      <c r="S143" s="70"/>
      <c r="T143" s="70"/>
      <c r="U143" s="70"/>
      <c r="V143" s="70" t="s">
        <v>2223</v>
      </c>
      <c r="W143" s="70" t="s">
        <v>2223</v>
      </c>
      <c r="X143" s="70" t="s">
        <v>2223</v>
      </c>
      <c r="Y143" s="70" t="s">
        <v>2223</v>
      </c>
      <c r="Z143" s="70" t="s">
        <v>2223</v>
      </c>
      <c r="AA143" s="70"/>
      <c r="AB143" s="70"/>
      <c r="AC143" s="70" t="s">
        <v>2223</v>
      </c>
      <c r="AD143" s="70" t="s">
        <v>2223</v>
      </c>
      <c r="AE143" s="70" t="s">
        <v>2223</v>
      </c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28</v>
      </c>
      <c r="P144" s="136" t="s">
        <v>1746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26</v>
      </c>
      <c r="P145" s="136"/>
      <c r="Q145" s="31">
        <f t="shared" si="17"/>
        <v>2</v>
      </c>
      <c r="R145" s="32">
        <f t="shared" si="18"/>
        <v>0.9285714285714286</v>
      </c>
      <c r="S145" s="70"/>
      <c r="T145" s="70"/>
      <c r="U145" s="70"/>
      <c r="V145" s="70"/>
      <c r="W145" s="70"/>
      <c r="X145" s="70" t="s">
        <v>2223</v>
      </c>
      <c r="Y145" s="70"/>
      <c r="Z145" s="70" t="s">
        <v>2223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2342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1747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1748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2336</v>
      </c>
      <c r="F148" t="s">
        <v>165</v>
      </c>
      <c r="G148" t="s">
        <v>2355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2161</v>
      </c>
      <c r="N148" s="30"/>
      <c r="O148" s="31">
        <f t="shared" si="16"/>
        <v>20</v>
      </c>
      <c r="P148" s="136" t="s">
        <v>1749</v>
      </c>
      <c r="Q148" s="31">
        <f t="shared" si="17"/>
        <v>8</v>
      </c>
      <c r="R148" s="32">
        <f t="shared" si="18"/>
        <v>0.7142857142857143</v>
      </c>
      <c r="S148" s="70"/>
      <c r="T148" s="70"/>
      <c r="U148" s="70"/>
      <c r="V148" s="70" t="s">
        <v>2223</v>
      </c>
      <c r="W148" s="70" t="s">
        <v>2223</v>
      </c>
      <c r="X148" s="70" t="s">
        <v>2223</v>
      </c>
      <c r="Y148" s="70" t="s">
        <v>2223</v>
      </c>
      <c r="Z148" s="70" t="s">
        <v>2223</v>
      </c>
      <c r="AA148" s="70"/>
      <c r="AB148" s="70"/>
      <c r="AC148" s="70" t="s">
        <v>2223</v>
      </c>
      <c r="AD148" s="70" t="s">
        <v>2223</v>
      </c>
      <c r="AE148" s="70" t="s">
        <v>2223</v>
      </c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2336</v>
      </c>
      <c r="F149" t="s">
        <v>167</v>
      </c>
      <c r="G149" t="s">
        <v>2356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20</v>
      </c>
      <c r="P149" s="136" t="s">
        <v>1750</v>
      </c>
      <c r="Q149" s="31">
        <f t="shared" si="17"/>
        <v>8</v>
      </c>
      <c r="R149" s="32">
        <f t="shared" si="18"/>
        <v>0.7142857142857143</v>
      </c>
      <c r="S149" s="70"/>
      <c r="T149" s="70"/>
      <c r="U149" s="70"/>
      <c r="V149" s="70" t="s">
        <v>2223</v>
      </c>
      <c r="W149" s="70" t="s">
        <v>2223</v>
      </c>
      <c r="X149" s="70" t="s">
        <v>2223</v>
      </c>
      <c r="Y149" s="70" t="s">
        <v>2223</v>
      </c>
      <c r="Z149" s="70" t="s">
        <v>2223</v>
      </c>
      <c r="AA149" s="70"/>
      <c r="AB149" s="70"/>
      <c r="AC149" s="70" t="s">
        <v>2223</v>
      </c>
      <c r="AD149" s="70" t="s">
        <v>2223</v>
      </c>
      <c r="AE149" s="70" t="s">
        <v>2223</v>
      </c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2358</v>
      </c>
      <c r="N150" s="30"/>
      <c r="O150" s="31">
        <f t="shared" si="16"/>
        <v>27</v>
      </c>
      <c r="P150" s="136" t="s">
        <v>1749</v>
      </c>
      <c r="Q150" s="31">
        <f t="shared" si="17"/>
        <v>1</v>
      </c>
      <c r="R150" s="32">
        <f t="shared" si="18"/>
        <v>0.9642857142857143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2223</v>
      </c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2336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20</v>
      </c>
      <c r="P151" s="136" t="s">
        <v>1751</v>
      </c>
      <c r="Q151" s="31">
        <f t="shared" si="17"/>
        <v>8</v>
      </c>
      <c r="R151" s="32">
        <f t="shared" si="18"/>
        <v>0.7142857142857143</v>
      </c>
      <c r="S151" s="70"/>
      <c r="T151" s="70"/>
      <c r="U151" s="70"/>
      <c r="V151" s="70" t="s">
        <v>2223</v>
      </c>
      <c r="W151" s="70" t="s">
        <v>2223</v>
      </c>
      <c r="X151" s="70" t="s">
        <v>2223</v>
      </c>
      <c r="Y151" s="70" t="s">
        <v>2223</v>
      </c>
      <c r="Z151" s="70" t="s">
        <v>2223</v>
      </c>
      <c r="AA151" s="70"/>
      <c r="AB151" s="70"/>
      <c r="AC151" s="70" t="s">
        <v>2223</v>
      </c>
      <c r="AD151" s="70" t="s">
        <v>2223</v>
      </c>
      <c r="AE151" s="70" t="s">
        <v>2223</v>
      </c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2345</v>
      </c>
      <c r="H152" t="s">
        <v>1042</v>
      </c>
      <c r="I152" t="s">
        <v>2346</v>
      </c>
      <c r="J152" s="30" t="s">
        <v>14</v>
      </c>
      <c r="K152" s="30" t="s">
        <v>1278</v>
      </c>
      <c r="L152"/>
      <c r="M152" s="30" t="s">
        <v>2347</v>
      </c>
      <c r="N152" s="30"/>
      <c r="O152" s="31"/>
      <c r="P152" s="136" t="s">
        <v>2348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2116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2450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1755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2449</v>
      </c>
      <c r="H155" s="73" t="s">
        <v>1041</v>
      </c>
      <c r="I155" s="73" t="s">
        <v>1526</v>
      </c>
      <c r="J155" s="84" t="s">
        <v>45</v>
      </c>
      <c r="K155" s="84" t="s">
        <v>1278</v>
      </c>
      <c r="L155" s="84"/>
      <c r="M155" s="84" t="s">
        <v>1527</v>
      </c>
      <c r="N155" s="84"/>
      <c r="O155" s="31">
        <f t="shared" si="19"/>
        <v>28</v>
      </c>
      <c r="P155" s="136" t="s">
        <v>2312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2448</v>
      </c>
      <c r="H156" s="73" t="s">
        <v>1041</v>
      </c>
      <c r="I156" s="73" t="s">
        <v>2084</v>
      </c>
      <c r="J156" s="84" t="s">
        <v>45</v>
      </c>
      <c r="K156" s="84" t="s">
        <v>1278</v>
      </c>
      <c r="L156" s="84"/>
      <c r="M156" s="84" t="s">
        <v>2087</v>
      </c>
      <c r="N156" s="84"/>
      <c r="O156" s="31">
        <f t="shared" si="19"/>
        <v>28</v>
      </c>
      <c r="P156" s="136" t="s">
        <v>2313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2447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1754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2336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1752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2336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1753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2310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2311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2446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2308</v>
      </c>
      <c r="N162" s="84"/>
      <c r="O162" s="85">
        <f t="shared" si="19"/>
        <v>28</v>
      </c>
      <c r="P162" s="136" t="s">
        <v>2309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1757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2245</v>
      </c>
      <c r="H164" s="73" t="s">
        <v>1042</v>
      </c>
      <c r="I164" s="73" t="s">
        <v>2246</v>
      </c>
      <c r="J164" s="84" t="s">
        <v>14</v>
      </c>
      <c r="K164" s="84" t="s">
        <v>1278</v>
      </c>
      <c r="L164" s="84"/>
      <c r="M164" s="84" t="s">
        <v>2247</v>
      </c>
      <c r="N164" s="84"/>
      <c r="O164" s="131">
        <f t="shared" si="19"/>
        <v>28</v>
      </c>
      <c r="P164" s="136" t="s">
        <v>2314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2315</v>
      </c>
      <c r="N165" s="84"/>
      <c r="O165" s="131">
        <f t="shared" si="19"/>
        <v>28</v>
      </c>
      <c r="P165" s="136" t="s">
        <v>1756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2349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20</v>
      </c>
      <c r="P166" s="136" t="s">
        <v>1758</v>
      </c>
      <c r="Q166" s="31">
        <f t="shared" si="20"/>
        <v>8</v>
      </c>
      <c r="R166" s="32">
        <f t="shared" si="21"/>
        <v>0.7142857142857143</v>
      </c>
      <c r="S166" s="70"/>
      <c r="T166" s="70"/>
      <c r="U166" s="70"/>
      <c r="V166" s="70" t="s">
        <v>2223</v>
      </c>
      <c r="W166" s="70" t="s">
        <v>2223</v>
      </c>
      <c r="X166" s="70" t="s">
        <v>2223</v>
      </c>
      <c r="Y166" s="70" t="s">
        <v>2223</v>
      </c>
      <c r="Z166" s="70" t="s">
        <v>2223</v>
      </c>
      <c r="AA166" s="70"/>
      <c r="AB166" s="70"/>
      <c r="AC166" s="70" t="s">
        <v>2223</v>
      </c>
      <c r="AD166" s="70" t="s">
        <v>2223</v>
      </c>
      <c r="AE166" s="70" t="s">
        <v>2223</v>
      </c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2349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1759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2349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1760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2349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1761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2349</v>
      </c>
      <c r="F170" t="s">
        <v>173</v>
      </c>
      <c r="G170" t="s">
        <v>1518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1521</v>
      </c>
      <c r="N170" s="30"/>
      <c r="O170" s="31">
        <f t="shared" si="19"/>
        <v>28</v>
      </c>
      <c r="P170" s="136" t="s">
        <v>1762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2349</v>
      </c>
      <c r="F171" s="69" t="s">
        <v>173</v>
      </c>
      <c r="G171" s="69" t="s">
        <v>1519</v>
      </c>
      <c r="H171" s="69" t="s">
        <v>1042</v>
      </c>
      <c r="I171" s="69" t="s">
        <v>1520</v>
      </c>
      <c r="J171" s="137" t="s">
        <v>14</v>
      </c>
      <c r="K171" s="137" t="s">
        <v>27</v>
      </c>
      <c r="L171" s="137"/>
      <c r="M171" s="137" t="s">
        <v>1522</v>
      </c>
      <c r="N171" s="137"/>
      <c r="O171" s="139">
        <f t="shared" si="19"/>
        <v>20</v>
      </c>
      <c r="P171" s="140" t="s">
        <v>1763</v>
      </c>
      <c r="Q171" s="139">
        <f t="shared" si="20"/>
        <v>8</v>
      </c>
      <c r="R171" s="141">
        <f t="shared" si="21"/>
        <v>0.7142857142857143</v>
      </c>
      <c r="S171" s="142"/>
      <c r="T171" s="142"/>
      <c r="U171" s="142"/>
      <c r="V171" s="70" t="s">
        <v>2223</v>
      </c>
      <c r="W171" s="70" t="s">
        <v>2223</v>
      </c>
      <c r="X171" s="70" t="s">
        <v>2223</v>
      </c>
      <c r="Y171" s="70" t="s">
        <v>2223</v>
      </c>
      <c r="Z171" s="70" t="s">
        <v>2223</v>
      </c>
      <c r="AA171" s="142"/>
      <c r="AB171" s="142"/>
      <c r="AC171" s="70" t="s">
        <v>2223</v>
      </c>
      <c r="AD171" s="70" t="s">
        <v>2223</v>
      </c>
      <c r="AE171" s="70" t="s">
        <v>2223</v>
      </c>
      <c r="AF171" s="142"/>
      <c r="AG171" s="142"/>
      <c r="AH171" s="70"/>
      <c r="AI171" s="70"/>
      <c r="AJ171" s="142"/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2378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t="s">
        <v>2473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2370</v>
      </c>
      <c r="L173" s="30"/>
      <c r="M173" s="30" t="s">
        <v>1131</v>
      </c>
      <c r="N173" s="30"/>
      <c r="O173" s="31">
        <f t="shared" si="19"/>
        <v>28</v>
      </c>
      <c r="P173" s="136" t="s">
        <v>1775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t="s">
        <v>2473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2370</v>
      </c>
      <c r="L174" s="30"/>
      <c r="M174" s="30" t="s">
        <v>1132</v>
      </c>
      <c r="N174" s="30"/>
      <c r="O174" s="31">
        <f t="shared" si="19"/>
        <v>28</v>
      </c>
      <c r="P174" s="136" t="s">
        <v>2472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20</v>
      </c>
      <c r="P175" s="136" t="s">
        <v>1776</v>
      </c>
      <c r="Q175" s="31">
        <f t="shared" si="20"/>
        <v>8</v>
      </c>
      <c r="R175" s="32">
        <f t="shared" si="21"/>
        <v>0.7142857142857143</v>
      </c>
      <c r="S175" s="70"/>
      <c r="T175" s="70"/>
      <c r="U175" s="70"/>
      <c r="V175" s="70" t="s">
        <v>2223</v>
      </c>
      <c r="W175" s="70" t="s">
        <v>2223</v>
      </c>
      <c r="X175" s="70" t="s">
        <v>2223</v>
      </c>
      <c r="Y175" s="70" t="s">
        <v>2223</v>
      </c>
      <c r="Z175" s="70" t="s">
        <v>2223</v>
      </c>
      <c r="AA175" s="70"/>
      <c r="AB175" s="70"/>
      <c r="AC175" s="70" t="s">
        <v>2223</v>
      </c>
      <c r="AD175" s="70" t="s">
        <v>2223</v>
      </c>
      <c r="AE175" s="70" t="s">
        <v>2223</v>
      </c>
      <c r="AF175" s="70"/>
      <c r="AG175" s="142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20</v>
      </c>
      <c r="P176" s="136" t="s">
        <v>1777</v>
      </c>
      <c r="Q176" s="31">
        <f t="shared" si="20"/>
        <v>8</v>
      </c>
      <c r="R176" s="32">
        <f t="shared" si="21"/>
        <v>0.7142857142857143</v>
      </c>
      <c r="S176" s="70"/>
      <c r="T176" s="70"/>
      <c r="U176" s="70"/>
      <c r="V176" s="70" t="s">
        <v>2223</v>
      </c>
      <c r="W176" s="70" t="s">
        <v>2223</v>
      </c>
      <c r="X176" s="70" t="s">
        <v>2223</v>
      </c>
      <c r="Y176" s="70" t="s">
        <v>2223</v>
      </c>
      <c r="Z176" s="70" t="s">
        <v>2223</v>
      </c>
      <c r="AA176" s="70"/>
      <c r="AB176" s="70"/>
      <c r="AC176" s="70" t="s">
        <v>2223</v>
      </c>
      <c r="AD176" s="70" t="s">
        <v>2223</v>
      </c>
      <c r="AE176" s="70" t="s">
        <v>2223</v>
      </c>
      <c r="AF176" s="70"/>
      <c r="AG176" s="142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2337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28</v>
      </c>
      <c r="P177" s="136" t="s">
        <v>2379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178</v>
      </c>
      <c r="G178" s="84" t="s">
        <v>1523</v>
      </c>
      <c r="H178" s="84" t="s">
        <v>1042</v>
      </c>
      <c r="I178" s="73" t="s">
        <v>1524</v>
      </c>
      <c r="J178" s="84" t="s">
        <v>18</v>
      </c>
      <c r="K178" s="84" t="s">
        <v>1278</v>
      </c>
      <c r="L178" s="84"/>
      <c r="M178" s="84" t="s">
        <v>1525</v>
      </c>
      <c r="N178" s="84"/>
      <c r="O178" s="31">
        <f t="shared" si="19"/>
        <v>28</v>
      </c>
      <c r="P178" s="136" t="s">
        <v>1778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2248</v>
      </c>
      <c r="H179" s="84" t="s">
        <v>1042</v>
      </c>
      <c r="I179" s="73" t="s">
        <v>2249</v>
      </c>
      <c r="J179" s="84" t="s">
        <v>1093</v>
      </c>
      <c r="K179" s="84" t="s">
        <v>1278</v>
      </c>
      <c r="L179" s="84"/>
      <c r="M179" s="84" t="s">
        <v>2250</v>
      </c>
      <c r="N179" s="84"/>
      <c r="O179" s="31">
        <f t="shared" si="19"/>
        <v>28</v>
      </c>
      <c r="P179" s="136" t="s">
        <v>2380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2334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1764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 t="s">
        <v>2473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1765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1766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2337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28</v>
      </c>
      <c r="P183" s="136" t="s">
        <v>1767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2337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1768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1769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2223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 t="s">
        <v>2473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1770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2334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1771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2334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1772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 t="s">
        <v>2473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2370</v>
      </c>
      <c r="L189" s="30"/>
      <c r="M189" s="30" t="s">
        <v>658</v>
      </c>
      <c r="N189" s="30"/>
      <c r="O189" s="31">
        <f t="shared" si="22"/>
        <v>28</v>
      </c>
      <c r="P189" s="136" t="s">
        <v>1773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 t="s">
        <v>2473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2370</v>
      </c>
      <c r="L190" s="30"/>
      <c r="M190" s="30" t="s">
        <v>659</v>
      </c>
      <c r="N190" s="30"/>
      <c r="O190" s="31">
        <f t="shared" si="22"/>
        <v>28</v>
      </c>
      <c r="P190" s="136" t="s">
        <v>1774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178</v>
      </c>
      <c r="G191" s="84" t="s">
        <v>2122</v>
      </c>
      <c r="H191" s="84" t="s">
        <v>1042</v>
      </c>
      <c r="I191" s="73" t="s">
        <v>2123</v>
      </c>
      <c r="J191" s="84" t="s">
        <v>18</v>
      </c>
      <c r="K191" s="84" t="s">
        <v>1278</v>
      </c>
      <c r="L191" s="84"/>
      <c r="M191" s="84" t="s">
        <v>2124</v>
      </c>
      <c r="N191" s="84"/>
      <c r="O191" s="31">
        <f t="shared" si="22"/>
        <v>28</v>
      </c>
      <c r="P191" s="136" t="s">
        <v>2125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2334</v>
      </c>
      <c r="F192" s="73" t="s">
        <v>178</v>
      </c>
      <c r="G192" s="84" t="s">
        <v>2179</v>
      </c>
      <c r="H192" s="84" t="s">
        <v>1042</v>
      </c>
      <c r="I192" s="73" t="s">
        <v>2180</v>
      </c>
      <c r="J192" s="84" t="s">
        <v>18</v>
      </c>
      <c r="K192" s="84" t="s">
        <v>27</v>
      </c>
      <c r="L192" s="84"/>
      <c r="M192" s="84" t="s">
        <v>2277</v>
      </c>
      <c r="N192" s="84"/>
      <c r="O192" s="31">
        <f t="shared" si="22"/>
        <v>28</v>
      </c>
      <c r="P192" s="136" t="s">
        <v>2125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2224</v>
      </c>
      <c r="H193" s="84" t="s">
        <v>1042</v>
      </c>
      <c r="I193" s="73" t="s">
        <v>1505</v>
      </c>
      <c r="J193" s="84" t="s">
        <v>1093</v>
      </c>
      <c r="K193" s="84" t="s">
        <v>1506</v>
      </c>
      <c r="L193" s="84"/>
      <c r="M193" s="84" t="s">
        <v>1507</v>
      </c>
      <c r="N193" s="84"/>
      <c r="O193" s="31">
        <f t="shared" si="22"/>
        <v>28</v>
      </c>
      <c r="P193" s="136" t="s">
        <v>1779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2349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1780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2349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1781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69"/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27</v>
      </c>
      <c r="L196" s="137"/>
      <c r="M196" s="137" t="s">
        <v>687</v>
      </c>
      <c r="N196" s="137"/>
      <c r="O196" s="139">
        <f t="shared" si="22"/>
        <v>20</v>
      </c>
      <c r="P196" s="140"/>
      <c r="Q196" s="139">
        <f t="shared" si="23"/>
        <v>8</v>
      </c>
      <c r="R196" s="141">
        <f t="shared" si="24"/>
        <v>0.7142857142857143</v>
      </c>
      <c r="S196" s="142"/>
      <c r="T196" s="142"/>
      <c r="U196" s="142"/>
      <c r="V196" s="70" t="s">
        <v>2223</v>
      </c>
      <c r="W196" s="70" t="s">
        <v>2223</v>
      </c>
      <c r="X196" s="70" t="s">
        <v>2223</v>
      </c>
      <c r="Y196" s="70" t="s">
        <v>2223</v>
      </c>
      <c r="Z196" s="70" t="s">
        <v>2223</v>
      </c>
      <c r="AA196" s="142"/>
      <c r="AB196" s="142"/>
      <c r="AC196" s="70" t="s">
        <v>2223</v>
      </c>
      <c r="AD196" s="70" t="s">
        <v>2223</v>
      </c>
      <c r="AE196" s="70" t="s">
        <v>2223</v>
      </c>
      <c r="AF196" s="70"/>
      <c r="AG196" s="142"/>
      <c r="AH196" s="70"/>
      <c r="AI196" s="70"/>
      <c r="AJ196" s="142"/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1561</v>
      </c>
      <c r="N197" s="84"/>
      <c r="O197" s="131">
        <f t="shared" si="22"/>
        <v>27</v>
      </c>
      <c r="P197" s="136" t="s">
        <v>1787</v>
      </c>
      <c r="Q197" s="131">
        <f t="shared" si="23"/>
        <v>1</v>
      </c>
      <c r="R197" s="132">
        <f t="shared" si="24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2223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1790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1792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1793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1794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1795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1796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1656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 t="s">
        <v>2443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20</v>
      </c>
      <c r="P205" s="136" t="s">
        <v>1797</v>
      </c>
      <c r="Q205" s="131">
        <f t="shared" si="23"/>
        <v>8</v>
      </c>
      <c r="R205" s="132">
        <f t="shared" si="24"/>
        <v>0.7142857142857143</v>
      </c>
      <c r="S205" s="70"/>
      <c r="T205" s="70"/>
      <c r="U205" s="70"/>
      <c r="V205" s="70" t="s">
        <v>2223</v>
      </c>
      <c r="W205" s="70" t="s">
        <v>2223</v>
      </c>
      <c r="X205" s="70" t="s">
        <v>2223</v>
      </c>
      <c r="Y205" s="70" t="s">
        <v>2223</v>
      </c>
      <c r="Z205" s="70" t="s">
        <v>2223</v>
      </c>
      <c r="AA205" s="70"/>
      <c r="AB205" s="70"/>
      <c r="AC205" s="70" t="s">
        <v>2223</v>
      </c>
      <c r="AD205" s="70" t="s">
        <v>2223</v>
      </c>
      <c r="AE205" s="70" t="s">
        <v>2223</v>
      </c>
      <c r="AF205" s="70"/>
      <c r="AG205" s="142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 t="s">
        <v>2443</v>
      </c>
      <c r="G206" s="73" t="s">
        <v>2351</v>
      </c>
      <c r="H206" s="73" t="s">
        <v>1041</v>
      </c>
      <c r="I206" s="73" t="s">
        <v>2353</v>
      </c>
      <c r="J206" s="84"/>
      <c r="K206" s="84" t="s">
        <v>1278</v>
      </c>
      <c r="M206" s="84" t="s">
        <v>2352</v>
      </c>
      <c r="N206" s="84"/>
      <c r="O206" s="131"/>
      <c r="P206" s="136" t="s">
        <v>2354</v>
      </c>
      <c r="Q206" s="131"/>
      <c r="R206" s="132"/>
      <c r="S206" s="70"/>
      <c r="T206" s="70"/>
      <c r="U206" s="70"/>
      <c r="V206" s="70" t="s">
        <v>2223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 t="s">
        <v>2443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1782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 t="s">
        <v>2443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1783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 t="s">
        <v>2443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28</v>
      </c>
      <c r="P209" s="136" t="s">
        <v>1784</v>
      </c>
      <c r="Q209" s="31">
        <f t="shared" si="26"/>
        <v>0</v>
      </c>
      <c r="R209" s="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>
        <v>12</v>
      </c>
      <c r="B210" t="s">
        <v>2377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2278</v>
      </c>
      <c r="N210" s="30"/>
      <c r="O210" s="31">
        <f t="shared" si="25"/>
        <v>28</v>
      </c>
      <c r="P210" s="136" t="s">
        <v>1785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>
        <v>12</v>
      </c>
      <c r="B211" t="s">
        <v>2376</v>
      </c>
      <c r="C211"/>
      <c r="D211"/>
      <c r="E211" t="s">
        <v>2375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2279</v>
      </c>
      <c r="N211" s="30"/>
      <c r="O211" s="31">
        <f t="shared" si="25"/>
        <v>23</v>
      </c>
      <c r="P211" s="136" t="s">
        <v>1786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2223</v>
      </c>
      <c r="W211" s="70" t="s">
        <v>2223</v>
      </c>
      <c r="X211" s="70" t="s">
        <v>2223</v>
      </c>
      <c r="Y211" s="70" t="s">
        <v>2223</v>
      </c>
      <c r="Z211" s="70" t="s">
        <v>2223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 t="s">
        <v>2443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2264</v>
      </c>
      <c r="N212" s="30"/>
      <c r="O212" s="31">
        <f t="shared" si="25"/>
        <v>28</v>
      </c>
      <c r="P212" s="136" t="s">
        <v>2381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E213" t="s">
        <v>2443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20</v>
      </c>
      <c r="P213" s="136" t="s">
        <v>1788</v>
      </c>
      <c r="Q213" s="31">
        <f t="shared" si="26"/>
        <v>8</v>
      </c>
      <c r="R213" s="32">
        <f t="shared" si="27"/>
        <v>0.7142857142857143</v>
      </c>
      <c r="S213" s="70"/>
      <c r="T213" s="70"/>
      <c r="U213" s="70"/>
      <c r="V213" s="70" t="s">
        <v>2223</v>
      </c>
      <c r="W213" s="70" t="s">
        <v>2223</v>
      </c>
      <c r="X213" s="70" t="s">
        <v>2223</v>
      </c>
      <c r="Y213" s="70" t="s">
        <v>2223</v>
      </c>
      <c r="Z213" s="70" t="s">
        <v>2223</v>
      </c>
      <c r="AA213" s="70"/>
      <c r="AB213" s="70"/>
      <c r="AC213" s="70" t="s">
        <v>2223</v>
      </c>
      <c r="AD213" s="70" t="s">
        <v>2223</v>
      </c>
      <c r="AE213" s="70" t="s">
        <v>2223</v>
      </c>
      <c r="AF213" s="70"/>
      <c r="AG213" s="142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 t="s">
        <v>2443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1789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 t="s">
        <v>2443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28</v>
      </c>
      <c r="P215" s="136" t="s">
        <v>1791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t="s">
        <v>2443</v>
      </c>
      <c r="F216" s="73" t="s">
        <v>206</v>
      </c>
      <c r="G216" s="73" t="s">
        <v>1558</v>
      </c>
      <c r="H216" s="73" t="s">
        <v>1041</v>
      </c>
      <c r="I216" s="73" t="s">
        <v>1559</v>
      </c>
      <c r="J216" s="84" t="s">
        <v>71</v>
      </c>
      <c r="K216" s="84" t="s">
        <v>1278</v>
      </c>
      <c r="L216" s="73"/>
      <c r="M216" s="84" t="s">
        <v>1560</v>
      </c>
      <c r="N216" s="84"/>
      <c r="O216" s="131">
        <f t="shared" si="25"/>
        <v>28</v>
      </c>
      <c r="P216" s="136" t="s">
        <v>1798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 t="s">
        <v>2443</v>
      </c>
      <c r="F217" s="73" t="s">
        <v>206</v>
      </c>
      <c r="G217" s="73" t="s">
        <v>2157</v>
      </c>
      <c r="H217" s="73" t="s">
        <v>1041</v>
      </c>
      <c r="I217" s="73" t="s">
        <v>2158</v>
      </c>
      <c r="J217" s="84" t="s">
        <v>71</v>
      </c>
      <c r="K217" s="84" t="s">
        <v>1278</v>
      </c>
      <c r="M217" s="84" t="s">
        <v>2159</v>
      </c>
      <c r="N217" s="84"/>
      <c r="O217" s="131">
        <f t="shared" si="25"/>
        <v>28</v>
      </c>
      <c r="P217" s="136" t="s">
        <v>2160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1799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1800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2223</v>
      </c>
      <c r="W219" s="70" t="s">
        <v>2223</v>
      </c>
      <c r="X219" s="70" t="s">
        <v>2223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2272</v>
      </c>
      <c r="N220" s="84"/>
      <c r="O220" s="131">
        <f t="shared" si="25"/>
        <v>25</v>
      </c>
      <c r="P220" s="136" t="s">
        <v>1801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2223</v>
      </c>
      <c r="W220" s="70" t="s">
        <v>2223</v>
      </c>
      <c r="X220" s="70" t="s">
        <v>2223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2370</v>
      </c>
      <c r="L221" s="30" t="s">
        <v>2371</v>
      </c>
      <c r="M221" s="30" t="s">
        <v>1490</v>
      </c>
      <c r="N221" s="30"/>
      <c r="O221" s="131">
        <f t="shared" si="25"/>
        <v>25</v>
      </c>
      <c r="P221" s="136" t="s">
        <v>1802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2223</v>
      </c>
      <c r="W221" s="70" t="s">
        <v>2223</v>
      </c>
      <c r="X221" s="70" t="s">
        <v>2223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91</v>
      </c>
      <c r="G222" t="s">
        <v>2211</v>
      </c>
      <c r="H222" t="s">
        <v>1041</v>
      </c>
      <c r="I222" t="s">
        <v>2212</v>
      </c>
      <c r="J222" s="30" t="s">
        <v>14</v>
      </c>
      <c r="K222" s="84" t="s">
        <v>1278</v>
      </c>
      <c r="L222" s="30"/>
      <c r="M222" s="30" t="s">
        <v>2213</v>
      </c>
      <c r="N222" s="30"/>
      <c r="O222" s="131">
        <f t="shared" si="25"/>
        <v>28</v>
      </c>
      <c r="P222" s="136" t="s">
        <v>2214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2382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2383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2343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2280</v>
      </c>
      <c r="N225" s="30"/>
      <c r="O225" s="31">
        <f t="shared" si="25"/>
        <v>28</v>
      </c>
      <c r="P225" s="136" t="s">
        <v>1803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26</v>
      </c>
      <c r="P226" s="136" t="s">
        <v>1804</v>
      </c>
      <c r="Q226" s="131">
        <f t="shared" si="26"/>
        <v>2</v>
      </c>
      <c r="R226" s="132">
        <f t="shared" si="27"/>
        <v>0.9285714285714286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2223</v>
      </c>
      <c r="AE226" s="70" t="s">
        <v>2223</v>
      </c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2343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1805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2343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1806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1807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1808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1562</v>
      </c>
      <c r="H231" s="73" t="s">
        <v>1041</v>
      </c>
      <c r="I231" s="73" t="s">
        <v>1563</v>
      </c>
      <c r="J231" s="84" t="s">
        <v>14</v>
      </c>
      <c r="K231" s="84" t="s">
        <v>1278</v>
      </c>
      <c r="L231" s="84"/>
      <c r="M231" s="84" t="s">
        <v>1564</v>
      </c>
      <c r="N231" s="84"/>
      <c r="O231" s="131">
        <f t="shared" si="25"/>
        <v>23</v>
      </c>
      <c r="P231" s="136" t="s">
        <v>2437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2223</v>
      </c>
      <c r="W231" s="70" t="s">
        <v>2223</v>
      </c>
      <c r="X231" s="70" t="s">
        <v>2223</v>
      </c>
      <c r="Y231" s="70" t="s">
        <v>2223</v>
      </c>
      <c r="Z231" s="70" t="s">
        <v>2223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241</v>
      </c>
      <c r="G232" s="73" t="s">
        <v>2225</v>
      </c>
      <c r="H232" s="73" t="s">
        <v>1041</v>
      </c>
      <c r="I232" s="73" t="s">
        <v>2226</v>
      </c>
      <c r="J232" s="84" t="s">
        <v>14</v>
      </c>
      <c r="K232" s="84" t="s">
        <v>1278</v>
      </c>
      <c r="L232" s="84"/>
      <c r="M232" s="84" t="s">
        <v>2281</v>
      </c>
      <c r="N232" s="84"/>
      <c r="O232" s="131">
        <f t="shared" si="25"/>
        <v>28</v>
      </c>
      <c r="P232" s="136" t="s">
        <v>2227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1809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1810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1811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2219</v>
      </c>
      <c r="H236" s="73" t="s">
        <v>1042</v>
      </c>
      <c r="I236" s="73" t="s">
        <v>2220</v>
      </c>
      <c r="J236" s="84" t="s">
        <v>14</v>
      </c>
      <c r="K236" s="84" t="s">
        <v>1278</v>
      </c>
      <c r="L236" s="84"/>
      <c r="M236" s="84" t="s">
        <v>2282</v>
      </c>
      <c r="N236" s="84"/>
      <c r="O236" s="131">
        <f t="shared" si="25"/>
        <v>28</v>
      </c>
      <c r="P236" s="136" t="s">
        <v>2221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2329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1812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2329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1813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2329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1814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2329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1815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2329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1816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2329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1817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2329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1818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2329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1819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2329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1820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2329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28</v>
      </c>
      <c r="P246" s="136" t="s">
        <v>1821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2329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2273</v>
      </c>
      <c r="N247" s="30"/>
      <c r="O247" s="31">
        <f t="shared" si="28"/>
        <v>28</v>
      </c>
      <c r="P247" s="136" t="s">
        <v>1822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2329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1823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2223</v>
      </c>
      <c r="W248" s="70" t="s">
        <v>2223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2329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28</v>
      </c>
      <c r="P249" s="136" t="s">
        <v>1824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2477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20</v>
      </c>
      <c r="P250" s="136" t="s">
        <v>1825</v>
      </c>
      <c r="Q250" s="31">
        <f t="shared" si="29"/>
        <v>8</v>
      </c>
      <c r="R250" s="32">
        <f t="shared" si="30"/>
        <v>0.7142857142857143</v>
      </c>
      <c r="S250" s="70"/>
      <c r="T250" s="70"/>
      <c r="U250" s="70"/>
      <c r="V250" s="70" t="s">
        <v>2223</v>
      </c>
      <c r="W250" s="70" t="s">
        <v>2223</v>
      </c>
      <c r="X250" s="70" t="s">
        <v>2223</v>
      </c>
      <c r="Y250" s="70" t="s">
        <v>2223</v>
      </c>
      <c r="Z250" s="70" t="s">
        <v>2223</v>
      </c>
      <c r="AA250" s="70"/>
      <c r="AB250" s="70"/>
      <c r="AC250" s="70" t="s">
        <v>2223</v>
      </c>
      <c r="AD250" s="70" t="s">
        <v>2223</v>
      </c>
      <c r="AE250" s="70" t="s">
        <v>2223</v>
      </c>
      <c r="AF250" s="70"/>
      <c r="AG250" s="142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2329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24</v>
      </c>
      <c r="P251" s="136" t="s">
        <v>1826</v>
      </c>
      <c r="Q251" s="31">
        <f t="shared" si="29"/>
        <v>4</v>
      </c>
      <c r="R251" s="32">
        <f t="shared" si="30"/>
        <v>0.8571428571428571</v>
      </c>
      <c r="S251" s="70"/>
      <c r="T251" s="70"/>
      <c r="U251" s="70"/>
      <c r="V251" s="70" t="s">
        <v>2223</v>
      </c>
      <c r="W251" s="70" t="s">
        <v>2223</v>
      </c>
      <c r="X251" s="70" t="s">
        <v>2223</v>
      </c>
      <c r="Y251" s="70" t="s">
        <v>2223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2197</v>
      </c>
      <c r="N252" s="84"/>
      <c r="O252" s="31">
        <f t="shared" si="28"/>
        <v>28</v>
      </c>
      <c r="P252" s="136" t="s">
        <v>2306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1782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2223</v>
      </c>
      <c r="W253" s="70" t="s">
        <v>2223</v>
      </c>
      <c r="X253" s="70" t="s">
        <v>2223</v>
      </c>
      <c r="Y253" s="70" t="s">
        <v>2223</v>
      </c>
      <c r="Z253" s="70" t="s">
        <v>2223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69" t="s">
        <v>2481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20</v>
      </c>
      <c r="P254" s="140" t="s">
        <v>1827</v>
      </c>
      <c r="Q254" s="139">
        <f t="shared" si="29"/>
        <v>8</v>
      </c>
      <c r="R254" s="141">
        <f t="shared" si="30"/>
        <v>0.7142857142857143</v>
      </c>
      <c r="S254" s="142"/>
      <c r="T254" s="142"/>
      <c r="U254" s="142"/>
      <c r="V254" s="70" t="s">
        <v>2223</v>
      </c>
      <c r="W254" s="70" t="s">
        <v>2223</v>
      </c>
      <c r="X254" s="70" t="s">
        <v>2223</v>
      </c>
      <c r="Y254" s="70" t="s">
        <v>2223</v>
      </c>
      <c r="Z254" s="70" t="s">
        <v>2223</v>
      </c>
      <c r="AA254" s="142"/>
      <c r="AB254" s="142"/>
      <c r="AC254" s="70" t="s">
        <v>2223</v>
      </c>
      <c r="AD254" s="70" t="s">
        <v>2223</v>
      </c>
      <c r="AE254" s="70" t="s">
        <v>2223</v>
      </c>
      <c r="AF254" s="70"/>
      <c r="AG254" s="142"/>
      <c r="AH254" s="70"/>
      <c r="AI254" s="70"/>
      <c r="AJ254" s="142"/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2234</v>
      </c>
      <c r="H255" s="69" t="s">
        <v>1042</v>
      </c>
      <c r="I255" s="69" t="s">
        <v>2235</v>
      </c>
      <c r="J255" s="137" t="s">
        <v>71</v>
      </c>
      <c r="K255" s="137" t="s">
        <v>1278</v>
      </c>
      <c r="L255" s="137"/>
      <c r="M255" s="137" t="s">
        <v>2236</v>
      </c>
      <c r="N255" s="137"/>
      <c r="O255" s="139">
        <f t="shared" si="28"/>
        <v>20</v>
      </c>
      <c r="P255" s="140" t="s">
        <v>2237</v>
      </c>
      <c r="Q255" s="139">
        <f t="shared" si="29"/>
        <v>8</v>
      </c>
      <c r="R255" s="141">
        <f t="shared" si="30"/>
        <v>0.7142857142857143</v>
      </c>
      <c r="S255" s="142"/>
      <c r="T255" s="142"/>
      <c r="U255" s="142"/>
      <c r="V255" s="70" t="s">
        <v>2223</v>
      </c>
      <c r="W255" s="70" t="s">
        <v>2223</v>
      </c>
      <c r="X255" s="70" t="s">
        <v>2223</v>
      </c>
      <c r="Y255" s="70" t="s">
        <v>2223</v>
      </c>
      <c r="Z255" s="70" t="s">
        <v>2223</v>
      </c>
      <c r="AA255" s="142"/>
      <c r="AB255" s="142"/>
      <c r="AC255" s="70" t="s">
        <v>2223</v>
      </c>
      <c r="AD255" s="70" t="s">
        <v>2223</v>
      </c>
      <c r="AE255" s="70" t="s">
        <v>2223</v>
      </c>
      <c r="AF255" s="70"/>
      <c r="AG255" s="142"/>
      <c r="AH255" s="70"/>
      <c r="AI255" s="70"/>
      <c r="AJ255" s="142"/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274</v>
      </c>
      <c r="G256" t="s">
        <v>2238</v>
      </c>
      <c r="H256" t="s">
        <v>1042</v>
      </c>
      <c r="I256" t="s">
        <v>2235</v>
      </c>
      <c r="J256" s="30" t="s">
        <v>14</v>
      </c>
      <c r="K256" s="84" t="s">
        <v>1278</v>
      </c>
      <c r="L256" s="30"/>
      <c r="M256" s="30" t="s">
        <v>2283</v>
      </c>
      <c r="N256" s="30"/>
      <c r="O256" s="31">
        <f t="shared" si="28"/>
        <v>28</v>
      </c>
      <c r="P256" s="136" t="s">
        <v>2396</v>
      </c>
      <c r="Q256" s="31">
        <f t="shared" si="29"/>
        <v>0</v>
      </c>
      <c r="R256" s="32">
        <f t="shared" si="30"/>
        <v>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274</v>
      </c>
      <c r="G257" t="s">
        <v>2239</v>
      </c>
      <c r="H257" t="s">
        <v>1042</v>
      </c>
      <c r="I257" t="s">
        <v>2240</v>
      </c>
      <c r="J257" s="30" t="s">
        <v>14</v>
      </c>
      <c r="K257" s="84" t="s">
        <v>1278</v>
      </c>
      <c r="L257" s="30"/>
      <c r="M257" s="30" t="s">
        <v>2323</v>
      </c>
      <c r="N257" s="30"/>
      <c r="O257" s="31">
        <f t="shared" si="28"/>
        <v>28</v>
      </c>
      <c r="P257" s="136" t="s">
        <v>2397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2162</v>
      </c>
      <c r="G258" t="s">
        <v>2163</v>
      </c>
      <c r="H258" t="s">
        <v>1042</v>
      </c>
      <c r="I258" t="s">
        <v>2164</v>
      </c>
      <c r="J258" s="30" t="s">
        <v>18</v>
      </c>
      <c r="K258" s="84" t="s">
        <v>1278</v>
      </c>
      <c r="L258" s="30"/>
      <c r="M258" s="30" t="s">
        <v>2284</v>
      </c>
      <c r="N258" s="30"/>
      <c r="O258" s="131">
        <f t="shared" si="28"/>
        <v>28</v>
      </c>
      <c r="P258" s="136" t="s">
        <v>2165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2162</v>
      </c>
      <c r="G259" t="s">
        <v>2166</v>
      </c>
      <c r="H259" t="s">
        <v>1042</v>
      </c>
      <c r="I259" t="s">
        <v>2167</v>
      </c>
      <c r="J259" s="30" t="s">
        <v>18</v>
      </c>
      <c r="K259" s="84" t="s">
        <v>1278</v>
      </c>
      <c r="L259" s="30"/>
      <c r="M259" s="30" t="s">
        <v>2285</v>
      </c>
      <c r="N259" s="30"/>
      <c r="O259" s="131">
        <f t="shared" si="28"/>
        <v>28</v>
      </c>
      <c r="P259" s="136" t="s">
        <v>2168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25</v>
      </c>
      <c r="P260" s="136" t="s">
        <v>2398</v>
      </c>
      <c r="Q260" s="31">
        <f t="shared" si="29"/>
        <v>3</v>
      </c>
      <c r="R260" s="32">
        <f t="shared" si="30"/>
        <v>0.8928571428571429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2223</v>
      </c>
      <c r="AD260" s="70" t="s">
        <v>2223</v>
      </c>
      <c r="AE260" s="70" t="s">
        <v>2223</v>
      </c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2349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1828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2349</v>
      </c>
      <c r="F262" t="s">
        <v>950</v>
      </c>
      <c r="G262" t="s">
        <v>2318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1829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2317</v>
      </c>
      <c r="H263" t="s">
        <v>1042</v>
      </c>
      <c r="I263" t="s">
        <v>2320</v>
      </c>
      <c r="J263" s="30" t="s">
        <v>45</v>
      </c>
      <c r="K263" s="30" t="s">
        <v>1278</v>
      </c>
      <c r="L263" s="30"/>
      <c r="M263" s="30" t="s">
        <v>2321</v>
      </c>
      <c r="N263" s="30"/>
      <c r="O263" s="31"/>
      <c r="P263" s="136" t="s">
        <v>2423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2319</v>
      </c>
      <c r="H264" t="s">
        <v>1042</v>
      </c>
      <c r="I264" t="s">
        <v>2320</v>
      </c>
      <c r="J264" s="30" t="s">
        <v>14</v>
      </c>
      <c r="K264" s="30" t="s">
        <v>1278</v>
      </c>
      <c r="L264" s="30"/>
      <c r="M264" s="30" t="s">
        <v>2322</v>
      </c>
      <c r="N264" s="30"/>
      <c r="O264" s="31"/>
      <c r="P264" s="136" t="s">
        <v>2399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1830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1831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1832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2400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hidden="1" customHeight="1" thickBot="1" x14ac:dyDescent="0.3">
      <c r="A269">
        <v>1</v>
      </c>
      <c r="B269">
        <v>14</v>
      </c>
      <c r="C269"/>
      <c r="D269"/>
      <c r="E269" t="s">
        <v>2369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1833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hidden="1" customHeight="1" thickBot="1" x14ac:dyDescent="0.3">
      <c r="A270">
        <v>1</v>
      </c>
      <c r="B270">
        <v>14</v>
      </c>
      <c r="C270"/>
      <c r="D270"/>
      <c r="E270" t="s">
        <v>2369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20</v>
      </c>
      <c r="P270" s="136" t="s">
        <v>1834</v>
      </c>
      <c r="Q270" s="31">
        <f t="shared" si="32"/>
        <v>8</v>
      </c>
      <c r="R270" s="32">
        <f t="shared" si="33"/>
        <v>0.7142857142857143</v>
      </c>
      <c r="S270" s="70"/>
      <c r="T270" s="70"/>
      <c r="U270" s="70"/>
      <c r="V270" s="70" t="s">
        <v>2223</v>
      </c>
      <c r="W270" s="70" t="s">
        <v>2223</v>
      </c>
      <c r="X270" s="70" t="s">
        <v>2223</v>
      </c>
      <c r="Y270" s="70" t="s">
        <v>2223</v>
      </c>
      <c r="Z270" s="70" t="s">
        <v>2223</v>
      </c>
      <c r="AA270" s="70"/>
      <c r="AB270" s="70"/>
      <c r="AC270" s="70" t="s">
        <v>2223</v>
      </c>
      <c r="AD270" s="70" t="s">
        <v>2223</v>
      </c>
      <c r="AE270" s="70" t="s">
        <v>2223</v>
      </c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1835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 t="s">
        <v>2444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1837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 t="s">
        <v>2444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2445</v>
      </c>
      <c r="L273" s="30"/>
      <c r="M273" s="30" t="s">
        <v>719</v>
      </c>
      <c r="N273" s="30"/>
      <c r="O273" s="31">
        <f t="shared" si="31"/>
        <v>28</v>
      </c>
      <c r="P273" s="136" t="s">
        <v>1838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2267</v>
      </c>
      <c r="O274" s="131">
        <f t="shared" si="31"/>
        <v>24</v>
      </c>
      <c r="P274" s="136" t="s">
        <v>1840</v>
      </c>
      <c r="Q274" s="131">
        <f t="shared" si="32"/>
        <v>4</v>
      </c>
      <c r="R274" s="132">
        <f t="shared" si="33"/>
        <v>0.8571428571428571</v>
      </c>
      <c r="S274" s="70"/>
      <c r="T274" s="70"/>
      <c r="U274" s="70"/>
      <c r="V274" s="70" t="s">
        <v>2223</v>
      </c>
      <c r="W274" s="70" t="s">
        <v>2223</v>
      </c>
      <c r="X274" s="70" t="s">
        <v>2223</v>
      </c>
      <c r="Y274" s="70" t="s">
        <v>2223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2329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21</v>
      </c>
      <c r="P275" s="136" t="s">
        <v>1841</v>
      </c>
      <c r="Q275" s="31">
        <f t="shared" si="32"/>
        <v>7</v>
      </c>
      <c r="R275" s="32">
        <f t="shared" si="33"/>
        <v>0.75</v>
      </c>
      <c r="S275" s="70"/>
      <c r="T275" s="70"/>
      <c r="U275" s="70"/>
      <c r="V275" s="70"/>
      <c r="W275" s="70" t="s">
        <v>2223</v>
      </c>
      <c r="X275" s="70" t="s">
        <v>2223</v>
      </c>
      <c r="Y275" s="70" t="s">
        <v>2223</v>
      </c>
      <c r="Z275" s="70" t="s">
        <v>2223</v>
      </c>
      <c r="AA275" s="70"/>
      <c r="AB275" s="70"/>
      <c r="AC275" s="70" t="s">
        <v>2223</v>
      </c>
      <c r="AD275" s="70" t="s">
        <v>2223</v>
      </c>
      <c r="AE275" s="70" t="s">
        <v>2223</v>
      </c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2329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1836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2329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1824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1839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>
        <v>1</v>
      </c>
      <c r="B279">
        <v>18</v>
      </c>
      <c r="C279"/>
      <c r="D279"/>
      <c r="E279" t="s">
        <v>2362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2267</v>
      </c>
      <c r="O279" s="31">
        <f t="shared" si="31"/>
        <v>28</v>
      </c>
      <c r="P279" s="136" t="s">
        <v>1842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>
        <v>1</v>
      </c>
      <c r="B280">
        <v>14</v>
      </c>
      <c r="C280"/>
      <c r="D280"/>
      <c r="E280" t="s">
        <v>2369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2265</v>
      </c>
      <c r="N280" s="30"/>
      <c r="O280" s="31">
        <f t="shared" si="31"/>
        <v>28</v>
      </c>
      <c r="P280" s="136" t="s">
        <v>1843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1844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1845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>
        <v>1</v>
      </c>
      <c r="B283">
        <v>14</v>
      </c>
      <c r="C283"/>
      <c r="D283"/>
      <c r="E283" t="s">
        <v>2369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2267</v>
      </c>
      <c r="O283" s="131">
        <f t="shared" si="31"/>
        <v>28</v>
      </c>
      <c r="P283" s="136" t="s">
        <v>1846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>
        <v>1</v>
      </c>
      <c r="B284">
        <v>14</v>
      </c>
      <c r="C284"/>
      <c r="D284"/>
      <c r="E284" t="s">
        <v>2369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2267</v>
      </c>
      <c r="O284" s="131">
        <f t="shared" si="31"/>
        <v>28</v>
      </c>
      <c r="P284" s="136" t="s">
        <v>1847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</v>
      </c>
      <c r="C285"/>
      <c r="D285"/>
      <c r="E285" t="s">
        <v>2333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1848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2223</v>
      </c>
      <c r="W285" s="70" t="s">
        <v>2223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1854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1849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1850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2223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27</v>
      </c>
      <c r="P289" s="136" t="s">
        <v>1851</v>
      </c>
      <c r="Q289" s="131">
        <f t="shared" si="32"/>
        <v>1</v>
      </c>
      <c r="R289" s="1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2223</v>
      </c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1852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2223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</v>
      </c>
      <c r="C291"/>
      <c r="D291"/>
      <c r="E291" t="s">
        <v>2333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1657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2223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2333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28</v>
      </c>
      <c r="P292" s="136" t="s">
        <v>1853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25</v>
      </c>
      <c r="P293" s="136" t="s">
        <v>1855</v>
      </c>
      <c r="Q293" s="131">
        <f t="shared" si="32"/>
        <v>3</v>
      </c>
      <c r="R293" s="132">
        <f t="shared" si="33"/>
        <v>0.8928571428571429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2223</v>
      </c>
      <c r="AD293" s="70" t="s">
        <v>2223</v>
      </c>
      <c r="AE293" s="70" t="s">
        <v>2223</v>
      </c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26</v>
      </c>
      <c r="P294" s="136" t="s">
        <v>1856</v>
      </c>
      <c r="Q294" s="131">
        <f t="shared" si="32"/>
        <v>2</v>
      </c>
      <c r="R294" s="132">
        <f t="shared" si="33"/>
        <v>0.9285714285714286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2223</v>
      </c>
      <c r="AD294" s="70"/>
      <c r="AE294" s="70" t="s">
        <v>2223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1509</v>
      </c>
      <c r="G295" s="73" t="s">
        <v>1508</v>
      </c>
      <c r="H295" s="73" t="s">
        <v>1041</v>
      </c>
      <c r="I295" s="73" t="s">
        <v>1510</v>
      </c>
      <c r="J295" s="84" t="s">
        <v>18</v>
      </c>
      <c r="K295" s="84" t="s">
        <v>1278</v>
      </c>
      <c r="L295" s="84"/>
      <c r="M295" s="84" t="s">
        <v>1511</v>
      </c>
      <c r="N295" s="84"/>
      <c r="O295" s="131">
        <f t="shared" si="31"/>
        <v>28</v>
      </c>
      <c r="P295" s="136" t="s">
        <v>1857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2333</v>
      </c>
      <c r="F296" s="73" t="s">
        <v>1509</v>
      </c>
      <c r="G296" s="73" t="s">
        <v>1618</v>
      </c>
      <c r="H296" s="73" t="s">
        <v>1041</v>
      </c>
      <c r="I296" s="73" t="s">
        <v>1619</v>
      </c>
      <c r="J296" s="84" t="s">
        <v>18</v>
      </c>
      <c r="K296" s="84" t="s">
        <v>27</v>
      </c>
      <c r="L296" s="84"/>
      <c r="M296" s="84" t="s">
        <v>1620</v>
      </c>
      <c r="N296" s="84"/>
      <c r="O296" s="131">
        <f t="shared" si="31"/>
        <v>28</v>
      </c>
      <c r="P296" s="136" t="s">
        <v>2147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8" t="s">
        <v>2476</v>
      </c>
      <c r="F297" s="69" t="s">
        <v>2110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1652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2110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20</v>
      </c>
      <c r="P298" s="136" t="s">
        <v>2115</v>
      </c>
      <c r="Q298" s="131">
        <f t="shared" si="32"/>
        <v>8</v>
      </c>
      <c r="R298" s="132">
        <f t="shared" si="33"/>
        <v>0.7142857142857143</v>
      </c>
      <c r="S298" s="70"/>
      <c r="T298" s="70"/>
      <c r="U298" s="70"/>
      <c r="V298" s="70" t="s">
        <v>2223</v>
      </c>
      <c r="W298" s="70" t="s">
        <v>2223</v>
      </c>
      <c r="X298" s="70" t="s">
        <v>2223</v>
      </c>
      <c r="Y298" s="70" t="s">
        <v>2223</v>
      </c>
      <c r="Z298" s="70" t="s">
        <v>2223</v>
      </c>
      <c r="AA298" s="70"/>
      <c r="AB298" s="70"/>
      <c r="AC298" s="70" t="s">
        <v>2223</v>
      </c>
      <c r="AD298" s="70" t="s">
        <v>2223</v>
      </c>
      <c r="AE298" s="70" t="s">
        <v>2223</v>
      </c>
      <c r="AF298" s="70"/>
      <c r="AG298" s="142"/>
      <c r="AH298" s="70"/>
      <c r="AI298" s="70"/>
      <c r="AJ298" s="70"/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2110</v>
      </c>
      <c r="G299" s="84" t="s">
        <v>2107</v>
      </c>
      <c r="H299" s="73" t="s">
        <v>1042</v>
      </c>
      <c r="I299" s="73" t="s">
        <v>2108</v>
      </c>
      <c r="J299" s="84" t="s">
        <v>18</v>
      </c>
      <c r="K299" s="84" t="s">
        <v>1278</v>
      </c>
      <c r="L299" s="84"/>
      <c r="M299" s="84" t="s">
        <v>2274</v>
      </c>
      <c r="N299" s="84"/>
      <c r="O299" s="131">
        <f t="shared" si="31"/>
        <v>20</v>
      </c>
      <c r="P299" s="136" t="s">
        <v>2109</v>
      </c>
      <c r="Q299" s="131">
        <f t="shared" si="32"/>
        <v>8</v>
      </c>
      <c r="R299" s="132">
        <f t="shared" si="33"/>
        <v>0.7142857142857143</v>
      </c>
      <c r="S299" s="70"/>
      <c r="T299" s="70"/>
      <c r="U299" s="70"/>
      <c r="V299" s="70" t="s">
        <v>2223</v>
      </c>
      <c r="W299" s="70" t="s">
        <v>2223</v>
      </c>
      <c r="X299" s="70" t="s">
        <v>2223</v>
      </c>
      <c r="Y299" s="70" t="s">
        <v>2223</v>
      </c>
      <c r="Z299" s="70" t="s">
        <v>2223</v>
      </c>
      <c r="AA299" s="70"/>
      <c r="AB299" s="70"/>
      <c r="AC299" s="70" t="s">
        <v>2223</v>
      </c>
      <c r="AD299" s="70" t="s">
        <v>2223</v>
      </c>
      <c r="AE299" s="70" t="s">
        <v>2223</v>
      </c>
      <c r="AF299" s="70"/>
      <c r="AG299" s="142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2336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22</v>
      </c>
      <c r="P300" s="136" t="s">
        <v>1858</v>
      </c>
      <c r="Q300" s="31">
        <f t="shared" si="32"/>
        <v>6</v>
      </c>
      <c r="R300" s="32">
        <f t="shared" si="33"/>
        <v>0.7857142857142857</v>
      </c>
      <c r="S300" s="70"/>
      <c r="T300" s="70"/>
      <c r="U300" s="70"/>
      <c r="V300" s="70" t="s">
        <v>2223</v>
      </c>
      <c r="W300" s="70" t="s">
        <v>2223</v>
      </c>
      <c r="X300" s="70" t="s">
        <v>2223</v>
      </c>
      <c r="Y300" s="70" t="s">
        <v>2223</v>
      </c>
      <c r="Z300" s="70" t="s">
        <v>2223</v>
      </c>
      <c r="AA300" s="70"/>
      <c r="AB300" s="70"/>
      <c r="AC300" s="70"/>
      <c r="AD300" s="70"/>
      <c r="AE300" s="70" t="s">
        <v>2223</v>
      </c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2336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22</v>
      </c>
      <c r="P301" s="136" t="s">
        <v>1859</v>
      </c>
      <c r="Q301" s="31">
        <f t="shared" si="32"/>
        <v>6</v>
      </c>
      <c r="R301" s="32">
        <f t="shared" si="33"/>
        <v>0.7857142857142857</v>
      </c>
      <c r="S301" s="70"/>
      <c r="T301" s="70"/>
      <c r="U301" s="70"/>
      <c r="V301" s="70" t="s">
        <v>2223</v>
      </c>
      <c r="W301" s="70" t="s">
        <v>2223</v>
      </c>
      <c r="X301" s="70" t="s">
        <v>2223</v>
      </c>
      <c r="Y301" s="70" t="s">
        <v>2223</v>
      </c>
      <c r="Z301" s="70" t="s">
        <v>2223</v>
      </c>
      <c r="AA301" s="70"/>
      <c r="AB301" s="70"/>
      <c r="AC301" s="70"/>
      <c r="AD301" s="70"/>
      <c r="AE301" s="70" t="s">
        <v>2223</v>
      </c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2336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22</v>
      </c>
      <c r="P302" s="136" t="s">
        <v>1860</v>
      </c>
      <c r="Q302" s="31">
        <f t="shared" si="32"/>
        <v>6</v>
      </c>
      <c r="R302" s="32">
        <f t="shared" si="33"/>
        <v>0.7857142857142857</v>
      </c>
      <c r="S302" s="70"/>
      <c r="T302" s="70"/>
      <c r="U302" s="70"/>
      <c r="V302" s="70" t="s">
        <v>2223</v>
      </c>
      <c r="W302" s="70" t="s">
        <v>2223</v>
      </c>
      <c r="X302" s="70" t="s">
        <v>2223</v>
      </c>
      <c r="Y302" s="70" t="s">
        <v>2223</v>
      </c>
      <c r="Z302" s="70" t="s">
        <v>2223</v>
      </c>
      <c r="AA302" s="70"/>
      <c r="AB302" s="70"/>
      <c r="AC302" s="70"/>
      <c r="AD302" s="70"/>
      <c r="AE302" s="70" t="s">
        <v>2223</v>
      </c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2336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20</v>
      </c>
      <c r="P303" s="136" t="s">
        <v>1861</v>
      </c>
      <c r="Q303" s="31">
        <f t="shared" si="32"/>
        <v>8</v>
      </c>
      <c r="R303" s="32">
        <f t="shared" si="33"/>
        <v>0.7142857142857143</v>
      </c>
      <c r="S303" s="70"/>
      <c r="T303" s="70"/>
      <c r="U303" s="70"/>
      <c r="V303" s="70" t="s">
        <v>2223</v>
      </c>
      <c r="W303" s="70" t="s">
        <v>2223</v>
      </c>
      <c r="X303" s="70" t="s">
        <v>2223</v>
      </c>
      <c r="Y303" s="70" t="s">
        <v>2223</v>
      </c>
      <c r="Z303" s="70" t="s">
        <v>2223</v>
      </c>
      <c r="AA303" s="70"/>
      <c r="AB303" s="70"/>
      <c r="AC303" s="70" t="s">
        <v>2223</v>
      </c>
      <c r="AD303" s="70" t="s">
        <v>2223</v>
      </c>
      <c r="AE303" s="70" t="s">
        <v>2223</v>
      </c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2336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20</v>
      </c>
      <c r="P304" s="136" t="s">
        <v>1862</v>
      </c>
      <c r="Q304" s="31">
        <f t="shared" si="32"/>
        <v>8</v>
      </c>
      <c r="R304" s="32">
        <f t="shared" si="33"/>
        <v>0.7142857142857143</v>
      </c>
      <c r="S304" s="70"/>
      <c r="T304" s="70"/>
      <c r="U304" s="70"/>
      <c r="V304" s="70" t="s">
        <v>2223</v>
      </c>
      <c r="W304" s="70" t="s">
        <v>2223</v>
      </c>
      <c r="X304" s="70" t="s">
        <v>2223</v>
      </c>
      <c r="Y304" s="70" t="s">
        <v>2223</v>
      </c>
      <c r="Z304" s="70" t="s">
        <v>2223</v>
      </c>
      <c r="AA304" s="70"/>
      <c r="AB304" s="70"/>
      <c r="AC304" s="70" t="s">
        <v>2223</v>
      </c>
      <c r="AD304" s="70" t="s">
        <v>2223</v>
      </c>
      <c r="AE304" s="70" t="s">
        <v>2223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2335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1863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2335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1864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/>
      <c r="B307"/>
      <c r="C307"/>
      <c r="D307"/>
      <c r="E307" t="s">
        <v>2349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20</v>
      </c>
      <c r="P307" s="136" t="s">
        <v>1866</v>
      </c>
      <c r="Q307" s="31">
        <f t="shared" si="32"/>
        <v>8</v>
      </c>
      <c r="R307" s="32">
        <f t="shared" si="33"/>
        <v>0.7142857142857143</v>
      </c>
      <c r="S307" s="70"/>
      <c r="T307" s="70"/>
      <c r="U307" s="70"/>
      <c r="V307" s="70" t="s">
        <v>2223</v>
      </c>
      <c r="W307" s="70" t="s">
        <v>2223</v>
      </c>
      <c r="X307" s="70" t="s">
        <v>2223</v>
      </c>
      <c r="Y307" s="70" t="s">
        <v>2223</v>
      </c>
      <c r="Z307" s="70" t="s">
        <v>2223</v>
      </c>
      <c r="AA307" s="70"/>
      <c r="AB307" s="70"/>
      <c r="AC307" s="70" t="s">
        <v>2223</v>
      </c>
      <c r="AD307" s="70" t="s">
        <v>2223</v>
      </c>
      <c r="AE307" s="70" t="s">
        <v>2223</v>
      </c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 s="69"/>
      <c r="B308" s="69"/>
      <c r="C308" s="69"/>
      <c r="D308" s="69"/>
      <c r="E308" t="s">
        <v>2349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20</v>
      </c>
      <c r="P308" s="140" t="s">
        <v>1867</v>
      </c>
      <c r="Q308" s="139">
        <f t="shared" si="32"/>
        <v>8</v>
      </c>
      <c r="R308" s="141">
        <f t="shared" si="33"/>
        <v>0.7142857142857143</v>
      </c>
      <c r="S308" s="142"/>
      <c r="T308" s="142"/>
      <c r="U308" s="142"/>
      <c r="V308" s="70" t="s">
        <v>2223</v>
      </c>
      <c r="W308" s="70" t="s">
        <v>2223</v>
      </c>
      <c r="X308" s="70" t="s">
        <v>2223</v>
      </c>
      <c r="Y308" s="70" t="s">
        <v>2223</v>
      </c>
      <c r="Z308" s="70" t="s">
        <v>2223</v>
      </c>
      <c r="AA308" s="142"/>
      <c r="AB308" s="142"/>
      <c r="AC308" s="70" t="s">
        <v>2223</v>
      </c>
      <c r="AD308" s="70" t="s">
        <v>2223</v>
      </c>
      <c r="AE308" s="70" t="s">
        <v>2223</v>
      </c>
      <c r="AF308" s="70"/>
      <c r="AG308" s="70"/>
      <c r="AH308" s="70"/>
      <c r="AI308" s="70"/>
      <c r="AJ308" s="142"/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2349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28</v>
      </c>
      <c r="P309" s="136" t="s">
        <v>1868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hidden="1" thickBot="1" x14ac:dyDescent="0.3">
      <c r="A310"/>
      <c r="B310"/>
      <c r="C310"/>
      <c r="D310"/>
      <c r="E310" t="s">
        <v>2349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20</v>
      </c>
      <c r="P310" s="136" t="s">
        <v>1871</v>
      </c>
      <c r="Q310" s="31">
        <f t="shared" si="32"/>
        <v>8</v>
      </c>
      <c r="R310" s="32">
        <f t="shared" si="33"/>
        <v>0.7142857142857143</v>
      </c>
      <c r="S310" s="70"/>
      <c r="T310" s="70"/>
      <c r="U310" s="70"/>
      <c r="V310" s="70" t="s">
        <v>2223</v>
      </c>
      <c r="W310" s="70" t="s">
        <v>2223</v>
      </c>
      <c r="X310" s="70" t="s">
        <v>2223</v>
      </c>
      <c r="Y310" s="70" t="s">
        <v>2223</v>
      </c>
      <c r="Z310" s="70" t="s">
        <v>2223</v>
      </c>
      <c r="AA310" s="70"/>
      <c r="AB310" s="70"/>
      <c r="AC310" s="70" t="s">
        <v>2223</v>
      </c>
      <c r="AD310" s="70" t="s">
        <v>2223</v>
      </c>
      <c r="AE310" s="70" t="s">
        <v>2223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2349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1869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2349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20</v>
      </c>
      <c r="P312" s="136" t="s">
        <v>1870</v>
      </c>
      <c r="Q312" s="31">
        <f t="shared" si="32"/>
        <v>8</v>
      </c>
      <c r="R312" s="32">
        <f t="shared" si="33"/>
        <v>0.7142857142857143</v>
      </c>
      <c r="S312" s="70"/>
      <c r="T312" s="70"/>
      <c r="U312" s="70"/>
      <c r="V312" s="70" t="s">
        <v>2223</v>
      </c>
      <c r="W312" s="70" t="s">
        <v>2223</v>
      </c>
      <c r="X312" s="70" t="s">
        <v>2223</v>
      </c>
      <c r="Y312" s="70" t="s">
        <v>2223</v>
      </c>
      <c r="Z312" s="70" t="s">
        <v>2223</v>
      </c>
      <c r="AA312" s="70"/>
      <c r="AB312" s="70"/>
      <c r="AC312" s="70" t="s">
        <v>2223</v>
      </c>
      <c r="AD312" s="70" t="s">
        <v>2223</v>
      </c>
      <c r="AE312" s="70" t="s">
        <v>2223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 t="s">
        <v>2451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28</v>
      </c>
      <c r="P313" s="136" t="s">
        <v>1872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2336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1875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2336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1876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/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27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hidden="1" thickBot="1" x14ac:dyDescent="0.3">
      <c r="A317"/>
      <c r="B317"/>
      <c r="C317"/>
      <c r="D317"/>
      <c r="E317" t="s">
        <v>2452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20</v>
      </c>
      <c r="P317" s="136" t="s">
        <v>1878</v>
      </c>
      <c r="Q317" s="131">
        <f t="shared" si="32"/>
        <v>8</v>
      </c>
      <c r="R317" s="132">
        <f t="shared" si="33"/>
        <v>0.7142857142857143</v>
      </c>
      <c r="S317" s="70"/>
      <c r="T317" s="70"/>
      <c r="U317" s="70"/>
      <c r="V317" s="70" t="s">
        <v>2223</v>
      </c>
      <c r="W317" s="70" t="s">
        <v>2223</v>
      </c>
      <c r="X317" s="70" t="s">
        <v>2223</v>
      </c>
      <c r="Y317" s="70" t="s">
        <v>2223</v>
      </c>
      <c r="Z317" s="70" t="s">
        <v>2223</v>
      </c>
      <c r="AA317" s="70"/>
      <c r="AB317" s="70"/>
      <c r="AC317" s="70" t="s">
        <v>2223</v>
      </c>
      <c r="AD317" s="70" t="s">
        <v>2223</v>
      </c>
      <c r="AE317" s="70" t="s">
        <v>2223</v>
      </c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/>
      <c r="B318"/>
      <c r="C318"/>
      <c r="D318"/>
      <c r="E318" t="s">
        <v>2452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1597</v>
      </c>
      <c r="N318" s="84"/>
      <c r="O318" s="131">
        <f t="shared" si="31"/>
        <v>28</v>
      </c>
      <c r="P318" s="136" t="s">
        <v>2106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hidden="1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20</v>
      </c>
      <c r="P319" s="136" t="s">
        <v>2148</v>
      </c>
      <c r="Q319" s="131">
        <f t="shared" si="32"/>
        <v>8</v>
      </c>
      <c r="R319" s="132">
        <f t="shared" si="33"/>
        <v>0.7142857142857143</v>
      </c>
      <c r="S319" s="70"/>
      <c r="T319" s="70"/>
      <c r="U319" s="70"/>
      <c r="V319" s="70" t="s">
        <v>2223</v>
      </c>
      <c r="W319" s="70" t="s">
        <v>2223</v>
      </c>
      <c r="X319" s="70" t="s">
        <v>2223</v>
      </c>
      <c r="Y319" s="70" t="s">
        <v>2223</v>
      </c>
      <c r="Z319" s="70" t="s">
        <v>2223</v>
      </c>
      <c r="AA319" s="70"/>
      <c r="AB319" s="70"/>
      <c r="AC319" s="70" t="s">
        <v>2223</v>
      </c>
      <c r="AD319" s="70" t="s">
        <v>2223</v>
      </c>
      <c r="AE319" s="70" t="s">
        <v>2223</v>
      </c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hidden="1" thickBot="1" x14ac:dyDescent="0.3">
      <c r="A320"/>
      <c r="B320"/>
      <c r="C320"/>
      <c r="D320"/>
      <c r="E320" t="s">
        <v>2451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23</v>
      </c>
      <c r="P320" s="136" t="s">
        <v>1882</v>
      </c>
      <c r="Q320" s="31">
        <f t="shared" si="32"/>
        <v>5</v>
      </c>
      <c r="R320" s="32">
        <f t="shared" si="33"/>
        <v>0.8214285714285714</v>
      </c>
      <c r="S320" s="70"/>
      <c r="T320" s="70"/>
      <c r="U320" s="70"/>
      <c r="V320" s="70" t="s">
        <v>2223</v>
      </c>
      <c r="W320" s="70" t="s">
        <v>2223</v>
      </c>
      <c r="X320" s="70"/>
      <c r="Y320" s="70" t="s">
        <v>2223</v>
      </c>
      <c r="Z320" s="70"/>
      <c r="AA320" s="70"/>
      <c r="AB320" s="70"/>
      <c r="AC320" s="70"/>
      <c r="AD320" s="70" t="s">
        <v>2223</v>
      </c>
      <c r="AE320" s="70" t="s">
        <v>2223</v>
      </c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hidden="1" thickBot="1" x14ac:dyDescent="0.3">
      <c r="A321"/>
      <c r="B321"/>
      <c r="C321"/>
      <c r="D321"/>
      <c r="E321" t="s">
        <v>2451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28</v>
      </c>
      <c r="P321" s="136" t="s">
        <v>1883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2335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1865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 t="s">
        <v>2451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28</v>
      </c>
      <c r="P323" s="136" t="s">
        <v>1873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 t="s">
        <v>2451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28</v>
      </c>
      <c r="P324" s="136" t="s">
        <v>1874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2336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1877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/>
      <c r="B326"/>
      <c r="C326"/>
      <c r="D326"/>
      <c r="E326" t="s">
        <v>2452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20</v>
      </c>
      <c r="P326" s="136" t="s">
        <v>1879</v>
      </c>
      <c r="Q326" s="31">
        <f t="shared" si="32"/>
        <v>8</v>
      </c>
      <c r="R326" s="32">
        <f t="shared" si="33"/>
        <v>0.7142857142857143</v>
      </c>
      <c r="S326" s="70"/>
      <c r="T326" s="70"/>
      <c r="U326" s="70"/>
      <c r="V326" s="70" t="s">
        <v>2223</v>
      </c>
      <c r="W326" s="70" t="s">
        <v>2223</v>
      </c>
      <c r="X326" s="70" t="s">
        <v>2223</v>
      </c>
      <c r="Y326" s="70" t="s">
        <v>2223</v>
      </c>
      <c r="Z326" s="70" t="s">
        <v>2223</v>
      </c>
      <c r="AA326" s="70"/>
      <c r="AB326" s="70"/>
      <c r="AC326" s="70" t="s">
        <v>2223</v>
      </c>
      <c r="AD326" s="70" t="s">
        <v>2223</v>
      </c>
      <c r="AE326" s="70" t="s">
        <v>2223</v>
      </c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hidden="1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20</v>
      </c>
      <c r="P327" s="136" t="s">
        <v>1880</v>
      </c>
      <c r="Q327" s="131">
        <f t="shared" si="32"/>
        <v>8</v>
      </c>
      <c r="R327" s="132">
        <f t="shared" si="33"/>
        <v>0.7142857142857143</v>
      </c>
      <c r="S327" s="70"/>
      <c r="T327" s="70"/>
      <c r="U327" s="70"/>
      <c r="V327" s="70" t="s">
        <v>2223</v>
      </c>
      <c r="W327" s="70" t="s">
        <v>2223</v>
      </c>
      <c r="X327" s="70" t="s">
        <v>2223</v>
      </c>
      <c r="Y327" s="70" t="s">
        <v>2223</v>
      </c>
      <c r="Z327" s="70" t="s">
        <v>2223</v>
      </c>
      <c r="AA327" s="70"/>
      <c r="AB327" s="70"/>
      <c r="AC327" s="70" t="s">
        <v>2223</v>
      </c>
      <c r="AD327" s="70" t="s">
        <v>2223</v>
      </c>
      <c r="AE327" s="70" t="s">
        <v>2223</v>
      </c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hidden="1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20</v>
      </c>
      <c r="P328" s="136" t="s">
        <v>1881</v>
      </c>
      <c r="Q328" s="131">
        <f t="shared" si="32"/>
        <v>8</v>
      </c>
      <c r="R328" s="132">
        <f t="shared" si="33"/>
        <v>0.7142857142857143</v>
      </c>
      <c r="S328" s="70"/>
      <c r="T328" s="70"/>
      <c r="U328" s="70"/>
      <c r="V328" s="70" t="s">
        <v>2223</v>
      </c>
      <c r="W328" s="70" t="s">
        <v>2223</v>
      </c>
      <c r="X328" s="70" t="s">
        <v>2223</v>
      </c>
      <c r="Y328" s="70" t="s">
        <v>2223</v>
      </c>
      <c r="Z328" s="70" t="s">
        <v>2223</v>
      </c>
      <c r="AA328" s="70"/>
      <c r="AB328" s="71"/>
      <c r="AC328" s="70" t="s">
        <v>2223</v>
      </c>
      <c r="AD328" s="70" t="s">
        <v>2223</v>
      </c>
      <c r="AE328" s="70" t="s">
        <v>2223</v>
      </c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hidden="1" thickBot="1" x14ac:dyDescent="0.3">
      <c r="A329"/>
      <c r="B329"/>
      <c r="C329"/>
      <c r="D329"/>
      <c r="E329" t="s">
        <v>2451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28</v>
      </c>
      <c r="P329" s="136" t="s">
        <v>1884</v>
      </c>
      <c r="Q329" s="31">
        <f t="shared" ref="Q329:Q392" si="35">COUNTIF(S329:AT329,"APAGADO")</f>
        <v>0</v>
      </c>
      <c r="R329" s="32">
        <f t="shared" ref="R329:R392" si="36"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>
        <v>12</v>
      </c>
      <c r="B330" t="s">
        <v>2376</v>
      </c>
      <c r="C330"/>
      <c r="D330"/>
      <c r="E330" t="s">
        <v>2375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1885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2376</v>
      </c>
      <c r="C331"/>
      <c r="D331"/>
      <c r="E331" t="s">
        <v>2375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28</v>
      </c>
      <c r="P331" s="136" t="s">
        <v>1886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2376</v>
      </c>
      <c r="C332"/>
      <c r="D332"/>
      <c r="E332" t="s">
        <v>2375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1887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thickBot="1" x14ac:dyDescent="0.3">
      <c r="A333"/>
      <c r="B333"/>
      <c r="C333"/>
      <c r="D333"/>
      <c r="E333"/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1888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2223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/>
      <c r="B334"/>
      <c r="C334"/>
      <c r="D334"/>
      <c r="E334" t="s">
        <v>2349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1889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2349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1890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2223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2349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1891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2223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2349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1892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2349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1893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>
        <v>2</v>
      </c>
      <c r="B339">
        <v>2</v>
      </c>
      <c r="C339"/>
      <c r="D339"/>
      <c r="E339" t="s">
        <v>2363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20</v>
      </c>
      <c r="P339" s="136" t="s">
        <v>1894</v>
      </c>
      <c r="Q339" s="31">
        <f t="shared" si="35"/>
        <v>8</v>
      </c>
      <c r="R339" s="32">
        <f t="shared" si="36"/>
        <v>0.7142857142857143</v>
      </c>
      <c r="S339" s="70"/>
      <c r="T339" s="70"/>
      <c r="U339" s="70"/>
      <c r="V339" s="70" t="s">
        <v>2223</v>
      </c>
      <c r="W339" s="70" t="s">
        <v>2223</v>
      </c>
      <c r="X339" s="70" t="s">
        <v>2223</v>
      </c>
      <c r="Y339" s="70" t="s">
        <v>2223</v>
      </c>
      <c r="Z339" s="70" t="s">
        <v>2223</v>
      </c>
      <c r="AA339" s="70"/>
      <c r="AB339" s="70"/>
      <c r="AC339" s="70" t="s">
        <v>2223</v>
      </c>
      <c r="AD339" s="70" t="s">
        <v>2223</v>
      </c>
      <c r="AE339" s="70" t="s">
        <v>2223</v>
      </c>
      <c r="AF339" s="70"/>
      <c r="AG339" s="142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>
        <v>2</v>
      </c>
      <c r="B340">
        <v>2</v>
      </c>
      <c r="C340"/>
      <c r="D340"/>
      <c r="E340" t="s">
        <v>2363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27</v>
      </c>
      <c r="P340" s="136" t="s">
        <v>1895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2223</v>
      </c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2363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27</v>
      </c>
      <c r="P341" s="136" t="s">
        <v>1896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2223</v>
      </c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2363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27</v>
      </c>
      <c r="P342" s="136" t="s">
        <v>1897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2223</v>
      </c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2363</v>
      </c>
      <c r="F343" t="s">
        <v>352</v>
      </c>
      <c r="G343" t="s">
        <v>2195</v>
      </c>
      <c r="H343" t="s">
        <v>1042</v>
      </c>
      <c r="I343" s="68" t="s">
        <v>2181</v>
      </c>
      <c r="J343" s="84" t="s">
        <v>14</v>
      </c>
      <c r="K343" s="30" t="s">
        <v>27</v>
      </c>
      <c r="L343" s="30"/>
      <c r="M343" s="30" t="s">
        <v>2196</v>
      </c>
      <c r="N343" s="30"/>
      <c r="O343" s="31">
        <f t="shared" si="34"/>
        <v>27</v>
      </c>
      <c r="P343" s="136" t="s">
        <v>2182</v>
      </c>
      <c r="Q343" s="31">
        <f t="shared" si="35"/>
        <v>1</v>
      </c>
      <c r="R343" s="32">
        <f t="shared" si="36"/>
        <v>0.9642857142857143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2223</v>
      </c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2363</v>
      </c>
      <c r="F344" t="s">
        <v>352</v>
      </c>
      <c r="G344" t="s">
        <v>2183</v>
      </c>
      <c r="H344" t="s">
        <v>1042</v>
      </c>
      <c r="I344" s="68" t="s">
        <v>2184</v>
      </c>
      <c r="J344" s="84" t="s">
        <v>14</v>
      </c>
      <c r="K344" s="30" t="s">
        <v>27</v>
      </c>
      <c r="L344" s="30"/>
      <c r="M344" s="30" t="s">
        <v>2286</v>
      </c>
      <c r="N344" s="30"/>
      <c r="O344" s="31">
        <f t="shared" si="34"/>
        <v>27</v>
      </c>
      <c r="P344" s="136" t="s">
        <v>2185</v>
      </c>
      <c r="Q344" s="31">
        <f t="shared" si="35"/>
        <v>1</v>
      </c>
      <c r="R344" s="32">
        <f t="shared" si="36"/>
        <v>0.9642857142857143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2223</v>
      </c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2349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1902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2349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27</v>
      </c>
      <c r="P346" s="136" t="s">
        <v>1903</v>
      </c>
      <c r="Q346" s="31">
        <f t="shared" si="35"/>
        <v>1</v>
      </c>
      <c r="R346" s="32">
        <f t="shared" si="36"/>
        <v>0.9642857142857143</v>
      </c>
      <c r="S346" s="70"/>
      <c r="T346" s="70"/>
      <c r="U346" s="70"/>
      <c r="V346" s="70"/>
      <c r="W346" s="70"/>
      <c r="X346" s="70"/>
      <c r="Y346" s="70" t="s">
        <v>2223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2349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28</v>
      </c>
      <c r="P347" s="136" t="s">
        <v>1904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2349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27</v>
      </c>
      <c r="P348" s="136" t="s">
        <v>1905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2223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2349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27</v>
      </c>
      <c r="P349" s="136" t="s">
        <v>1906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2223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2349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28</v>
      </c>
      <c r="P350" s="136" t="s">
        <v>1907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2349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28</v>
      </c>
      <c r="P351" s="136" t="s">
        <v>1908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2349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1909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2349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1910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2349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20</v>
      </c>
      <c r="P354" s="136"/>
      <c r="Q354" s="31">
        <f t="shared" si="35"/>
        <v>8</v>
      </c>
      <c r="R354" s="32">
        <f t="shared" si="36"/>
        <v>0.7142857142857143</v>
      </c>
      <c r="S354" s="70"/>
      <c r="T354" s="70"/>
      <c r="U354" s="70"/>
      <c r="V354" s="70" t="s">
        <v>2223</v>
      </c>
      <c r="W354" s="70" t="s">
        <v>2223</v>
      </c>
      <c r="X354" s="70" t="s">
        <v>2223</v>
      </c>
      <c r="Y354" s="70" t="s">
        <v>2223</v>
      </c>
      <c r="Z354" s="70" t="s">
        <v>2223</v>
      </c>
      <c r="AA354" s="70"/>
      <c r="AB354" s="70"/>
      <c r="AC354" s="70" t="s">
        <v>2223</v>
      </c>
      <c r="AD354" s="70" t="s">
        <v>2223</v>
      </c>
      <c r="AE354" s="70" t="s">
        <v>2223</v>
      </c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2349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20</v>
      </c>
      <c r="P355" s="136"/>
      <c r="Q355" s="31">
        <f t="shared" si="35"/>
        <v>8</v>
      </c>
      <c r="R355" s="32">
        <f t="shared" si="36"/>
        <v>0.7142857142857143</v>
      </c>
      <c r="S355" s="70"/>
      <c r="T355" s="70"/>
      <c r="U355" s="70"/>
      <c r="V355" s="70" t="s">
        <v>2223</v>
      </c>
      <c r="W355" s="70" t="s">
        <v>2223</v>
      </c>
      <c r="X355" s="70" t="s">
        <v>2223</v>
      </c>
      <c r="Y355" s="70" t="s">
        <v>2223</v>
      </c>
      <c r="Z355" s="70" t="s">
        <v>2223</v>
      </c>
      <c r="AA355" s="70"/>
      <c r="AB355" s="70"/>
      <c r="AC355" s="70" t="s">
        <v>2223</v>
      </c>
      <c r="AD355" s="70" t="s">
        <v>2223</v>
      </c>
      <c r="AE355" s="70" t="s">
        <v>2223</v>
      </c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2349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20</v>
      </c>
      <c r="P356" s="136" t="s">
        <v>1911</v>
      </c>
      <c r="Q356" s="31">
        <f t="shared" si="35"/>
        <v>8</v>
      </c>
      <c r="R356" s="32">
        <f t="shared" si="36"/>
        <v>0.7142857142857143</v>
      </c>
      <c r="S356" s="70"/>
      <c r="T356" s="70"/>
      <c r="U356" s="70"/>
      <c r="V356" s="70" t="s">
        <v>2223</v>
      </c>
      <c r="W356" s="70" t="s">
        <v>2223</v>
      </c>
      <c r="X356" s="70" t="s">
        <v>2223</v>
      </c>
      <c r="Y356" s="70" t="s">
        <v>2223</v>
      </c>
      <c r="Z356" s="70" t="s">
        <v>2223</v>
      </c>
      <c r="AA356" s="70"/>
      <c r="AB356" s="70"/>
      <c r="AC356" s="70" t="s">
        <v>2223</v>
      </c>
      <c r="AD356" s="70" t="s">
        <v>2223</v>
      </c>
      <c r="AE356" s="70" t="s">
        <v>2223</v>
      </c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2349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1898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2349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1899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2349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20</v>
      </c>
      <c r="P359" s="136" t="s">
        <v>1900</v>
      </c>
      <c r="Q359" s="31">
        <f t="shared" si="35"/>
        <v>8</v>
      </c>
      <c r="R359" s="32">
        <f t="shared" si="36"/>
        <v>0.7142857142857143</v>
      </c>
      <c r="S359" s="70"/>
      <c r="T359" s="70"/>
      <c r="U359" s="70"/>
      <c r="V359" s="70" t="s">
        <v>2223</v>
      </c>
      <c r="W359" s="70" t="s">
        <v>2223</v>
      </c>
      <c r="X359" s="70" t="s">
        <v>2223</v>
      </c>
      <c r="Y359" s="70" t="s">
        <v>2223</v>
      </c>
      <c r="Z359" s="70" t="s">
        <v>2223</v>
      </c>
      <c r="AA359" s="70"/>
      <c r="AB359" s="70"/>
      <c r="AC359" s="70" t="s">
        <v>2223</v>
      </c>
      <c r="AD359" s="70" t="s">
        <v>2223</v>
      </c>
      <c r="AE359" s="70" t="s">
        <v>2223</v>
      </c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2349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20</v>
      </c>
      <c r="P360" s="136" t="s">
        <v>1901</v>
      </c>
      <c r="Q360" s="31">
        <f t="shared" si="35"/>
        <v>8</v>
      </c>
      <c r="R360" s="32">
        <f t="shared" si="36"/>
        <v>0.7142857142857143</v>
      </c>
      <c r="S360" s="70"/>
      <c r="T360" s="70"/>
      <c r="U360" s="70"/>
      <c r="V360" s="70" t="s">
        <v>2223</v>
      </c>
      <c r="W360" s="70" t="s">
        <v>2223</v>
      </c>
      <c r="X360" s="70" t="s">
        <v>2223</v>
      </c>
      <c r="Y360" s="70" t="s">
        <v>2223</v>
      </c>
      <c r="Z360" s="70" t="s">
        <v>2223</v>
      </c>
      <c r="AA360" s="70"/>
      <c r="AB360" s="70"/>
      <c r="AC360" s="70" t="s">
        <v>2223</v>
      </c>
      <c r="AD360" s="70" t="s">
        <v>2223</v>
      </c>
      <c r="AE360" s="70" t="s">
        <v>2223</v>
      </c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2401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2402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1913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1914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2329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2178</v>
      </c>
      <c r="N365" s="30"/>
      <c r="O365" s="31">
        <f t="shared" si="34"/>
        <v>28</v>
      </c>
      <c r="P365" s="136" t="s">
        <v>1915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2329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2287</v>
      </c>
      <c r="N366" s="30"/>
      <c r="O366" s="31">
        <f t="shared" si="34"/>
        <v>28</v>
      </c>
      <c r="P366" s="136" t="s">
        <v>1916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2329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1917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2329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1918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2329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1919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2329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1920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14</v>
      </c>
      <c r="C371"/>
      <c r="D371"/>
      <c r="E371" t="s">
        <v>2369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1921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2369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1922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1297</v>
      </c>
      <c r="G373" s="73" t="s">
        <v>1543</v>
      </c>
      <c r="H373" s="73" t="s">
        <v>1041</v>
      </c>
      <c r="I373" s="73" t="s">
        <v>1546</v>
      </c>
      <c r="J373" s="84" t="s">
        <v>71</v>
      </c>
      <c r="K373" s="84" t="s">
        <v>1278</v>
      </c>
      <c r="L373"/>
      <c r="M373" s="84" t="s">
        <v>1547</v>
      </c>
      <c r="N373" s="84"/>
      <c r="O373" s="31">
        <f t="shared" si="34"/>
        <v>28</v>
      </c>
      <c r="P373" s="136" t="s">
        <v>1923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1297</v>
      </c>
      <c r="G374" s="73" t="s">
        <v>1544</v>
      </c>
      <c r="H374" s="73" t="s">
        <v>1041</v>
      </c>
      <c r="I374" s="73" t="s">
        <v>1548</v>
      </c>
      <c r="J374" s="73" t="s">
        <v>71</v>
      </c>
      <c r="K374" s="84" t="s">
        <v>1278</v>
      </c>
      <c r="L374"/>
      <c r="M374" s="84" t="s">
        <v>1549</v>
      </c>
      <c r="N374" s="84"/>
      <c r="O374" s="31">
        <f t="shared" si="34"/>
        <v>20</v>
      </c>
      <c r="P374" s="136" t="s">
        <v>1924</v>
      </c>
      <c r="Q374" s="31">
        <f t="shared" si="35"/>
        <v>8</v>
      </c>
      <c r="R374" s="32">
        <f t="shared" si="36"/>
        <v>0.7142857142857143</v>
      </c>
      <c r="S374" s="70"/>
      <c r="T374" s="70"/>
      <c r="U374" s="70"/>
      <c r="V374" s="70" t="s">
        <v>2223</v>
      </c>
      <c r="W374" s="70" t="s">
        <v>2223</v>
      </c>
      <c r="X374" s="70" t="s">
        <v>2223</v>
      </c>
      <c r="Y374" s="70" t="s">
        <v>2223</v>
      </c>
      <c r="Z374" s="70" t="s">
        <v>2223</v>
      </c>
      <c r="AA374" s="70"/>
      <c r="AB374" s="70"/>
      <c r="AC374" s="70" t="s">
        <v>2223</v>
      </c>
      <c r="AD374" s="70" t="s">
        <v>2223</v>
      </c>
      <c r="AE374" s="70" t="s">
        <v>2223</v>
      </c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1545</v>
      </c>
      <c r="H375" s="73" t="s">
        <v>1041</v>
      </c>
      <c r="I375" s="73" t="s">
        <v>1550</v>
      </c>
      <c r="J375" s="73" t="s">
        <v>71</v>
      </c>
      <c r="K375" s="84" t="s">
        <v>1278</v>
      </c>
      <c r="L375"/>
      <c r="M375" s="84" t="s">
        <v>1551</v>
      </c>
      <c r="N375" s="84"/>
      <c r="O375" s="31">
        <f t="shared" si="34"/>
        <v>28</v>
      </c>
      <c r="P375" s="136" t="s">
        <v>1925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1600</v>
      </c>
      <c r="H376" s="73" t="s">
        <v>1041</v>
      </c>
      <c r="I376" s="73" t="s">
        <v>1601</v>
      </c>
      <c r="J376" s="73" t="s">
        <v>18</v>
      </c>
      <c r="K376" s="84" t="s">
        <v>1278</v>
      </c>
      <c r="L376"/>
      <c r="M376" s="84" t="s">
        <v>1602</v>
      </c>
      <c r="N376" s="84"/>
      <c r="O376" s="31">
        <f t="shared" si="34"/>
        <v>28</v>
      </c>
      <c r="P376" s="136" t="s">
        <v>2101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2329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1912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2362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2267</v>
      </c>
      <c r="O378" s="31">
        <f t="shared" si="34"/>
        <v>24</v>
      </c>
      <c r="P378" s="136" t="s">
        <v>1926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2223</v>
      </c>
      <c r="W378" s="70" t="s">
        <v>2223</v>
      </c>
      <c r="X378" s="70" t="s">
        <v>2223</v>
      </c>
      <c r="Y378" s="70" t="s">
        <v>2223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 t="s">
        <v>2478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1927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 t="s">
        <v>2478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2403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 t="s">
        <v>2478</v>
      </c>
      <c r="F381" s="73" t="s">
        <v>371</v>
      </c>
      <c r="G381" s="73" t="s">
        <v>2128</v>
      </c>
      <c r="H381" s="73" t="s">
        <v>1041</v>
      </c>
      <c r="I381" s="73" t="s">
        <v>2129</v>
      </c>
      <c r="J381" s="84" t="s">
        <v>71</v>
      </c>
      <c r="K381" s="30" t="s">
        <v>1278</v>
      </c>
      <c r="L381"/>
      <c r="M381" s="84" t="s">
        <v>2130</v>
      </c>
      <c r="N381" s="84" t="s">
        <v>2267</v>
      </c>
      <c r="O381" s="131">
        <f t="shared" si="34"/>
        <v>28</v>
      </c>
      <c r="P381" s="136" t="s">
        <v>2131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 t="s">
        <v>2444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2404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2362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2267</v>
      </c>
      <c r="O383" s="31">
        <f t="shared" si="34"/>
        <v>28</v>
      </c>
      <c r="P383" s="136" t="s">
        <v>1928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2362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2267</v>
      </c>
      <c r="O384" s="31">
        <f t="shared" si="34"/>
        <v>28</v>
      </c>
      <c r="P384" s="136" t="s">
        <v>1929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2362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2267</v>
      </c>
      <c r="O385" s="31">
        <f t="shared" si="34"/>
        <v>28</v>
      </c>
      <c r="P385" s="136" t="s">
        <v>1930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2362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2267</v>
      </c>
      <c r="O386" s="31">
        <f t="shared" si="34"/>
        <v>28</v>
      </c>
      <c r="P386" s="136" t="s">
        <v>1931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2082</v>
      </c>
      <c r="N387" s="84" t="s">
        <v>2267</v>
      </c>
      <c r="O387" s="131">
        <f t="shared" si="34"/>
        <v>22</v>
      </c>
      <c r="P387" s="136" t="s">
        <v>2268</v>
      </c>
      <c r="Q387" s="131">
        <f t="shared" si="35"/>
        <v>6</v>
      </c>
      <c r="R387" s="132">
        <f t="shared" si="36"/>
        <v>0.7857142857142857</v>
      </c>
      <c r="S387" s="70"/>
      <c r="T387" s="70"/>
      <c r="U387" s="70"/>
      <c r="V387" s="70" t="s">
        <v>2223</v>
      </c>
      <c r="W387" s="70" t="s">
        <v>2223</v>
      </c>
      <c r="X387" s="70" t="s">
        <v>2223</v>
      </c>
      <c r="Y387" s="70"/>
      <c r="Z387" s="70"/>
      <c r="AA387" s="70"/>
      <c r="AB387" s="70"/>
      <c r="AC387" s="70" t="s">
        <v>2223</v>
      </c>
      <c r="AD387" s="70" t="s">
        <v>2223</v>
      </c>
      <c r="AE387" s="70" t="s">
        <v>2223</v>
      </c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>
        <v>1</v>
      </c>
      <c r="B388">
        <v>15</v>
      </c>
      <c r="C388"/>
      <c r="D388"/>
      <c r="E388" t="s">
        <v>2365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22</v>
      </c>
      <c r="P388" s="136" t="s">
        <v>1933</v>
      </c>
      <c r="Q388" s="85">
        <f t="shared" si="35"/>
        <v>6</v>
      </c>
      <c r="R388" s="86">
        <f t="shared" si="36"/>
        <v>0.7857142857142857</v>
      </c>
      <c r="S388" s="87"/>
      <c r="T388" s="87"/>
      <c r="U388" s="87"/>
      <c r="V388" s="87"/>
      <c r="W388" s="87"/>
      <c r="X388" s="70" t="s">
        <v>2223</v>
      </c>
      <c r="Y388" s="70" t="s">
        <v>2223</v>
      </c>
      <c r="Z388" s="70" t="s">
        <v>2223</v>
      </c>
      <c r="AA388" s="87"/>
      <c r="AB388" s="87"/>
      <c r="AC388" s="70" t="s">
        <v>2223</v>
      </c>
      <c r="AD388" s="70" t="s">
        <v>2223</v>
      </c>
      <c r="AE388" s="70" t="s">
        <v>2223</v>
      </c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2362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2267</v>
      </c>
      <c r="O389" s="31">
        <f t="shared" si="34"/>
        <v>28</v>
      </c>
      <c r="P389" s="136" t="s">
        <v>1934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2362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2267</v>
      </c>
      <c r="O390" s="31">
        <f t="shared" si="34"/>
        <v>28</v>
      </c>
      <c r="P390" s="136" t="s">
        <v>1935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2362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2267</v>
      </c>
      <c r="O391" s="31">
        <f t="shared" si="34"/>
        <v>28</v>
      </c>
      <c r="P391" s="136" t="s">
        <v>1936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2362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2267</v>
      </c>
      <c r="O392" s="139">
        <f t="shared" si="34"/>
        <v>20</v>
      </c>
      <c r="P392" s="140" t="s">
        <v>1943</v>
      </c>
      <c r="Q392" s="139">
        <f t="shared" si="35"/>
        <v>8</v>
      </c>
      <c r="R392" s="141">
        <f t="shared" si="36"/>
        <v>0.7142857142857143</v>
      </c>
      <c r="S392" s="142"/>
      <c r="T392" s="142"/>
      <c r="U392" s="142"/>
      <c r="V392" s="70" t="s">
        <v>2223</v>
      </c>
      <c r="W392" s="70" t="s">
        <v>2223</v>
      </c>
      <c r="X392" s="70" t="s">
        <v>2223</v>
      </c>
      <c r="Y392" s="70" t="s">
        <v>2223</v>
      </c>
      <c r="Z392" s="70" t="s">
        <v>2223</v>
      </c>
      <c r="AA392" s="142"/>
      <c r="AB392" s="142"/>
      <c r="AC392" s="70" t="s">
        <v>2223</v>
      </c>
      <c r="AD392" s="70" t="s">
        <v>2223</v>
      </c>
      <c r="AE392" s="70" t="s">
        <v>2223</v>
      </c>
      <c r="AF392" s="70"/>
      <c r="AG392" s="142"/>
      <c r="AH392" s="70"/>
      <c r="AI392" s="70"/>
      <c r="AJ392" s="142"/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2362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2267</v>
      </c>
      <c r="O393" s="139">
        <f t="shared" ref="O393:O456" si="37">COUNTIF(S393:AT393,"")</f>
        <v>20</v>
      </c>
      <c r="P393" s="140" t="s">
        <v>1944</v>
      </c>
      <c r="Q393" s="139">
        <f t="shared" ref="Q393:Q456" si="38">COUNTIF(S393:AT393,"APAGADO")</f>
        <v>8</v>
      </c>
      <c r="R393" s="141">
        <f t="shared" ref="R393:R456" si="39">(O393)/(Q393+O393)</f>
        <v>0.7142857142857143</v>
      </c>
      <c r="S393" s="142"/>
      <c r="T393" s="142"/>
      <c r="U393" s="142"/>
      <c r="V393" s="70" t="s">
        <v>2223</v>
      </c>
      <c r="W393" s="70" t="s">
        <v>2223</v>
      </c>
      <c r="X393" s="70" t="s">
        <v>2223</v>
      </c>
      <c r="Y393" s="70" t="s">
        <v>2223</v>
      </c>
      <c r="Z393" s="70" t="s">
        <v>2223</v>
      </c>
      <c r="AA393" s="142"/>
      <c r="AB393" s="142"/>
      <c r="AC393" s="70" t="s">
        <v>2223</v>
      </c>
      <c r="AD393" s="70" t="s">
        <v>2223</v>
      </c>
      <c r="AE393" s="70" t="s">
        <v>2223</v>
      </c>
      <c r="AF393" s="70"/>
      <c r="AG393" s="142"/>
      <c r="AH393" s="70"/>
      <c r="AI393" s="70"/>
      <c r="AJ393" s="142"/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2267</v>
      </c>
      <c r="O394" s="31">
        <f t="shared" si="37"/>
        <v>27</v>
      </c>
      <c r="P394" s="136" t="s">
        <v>1945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2223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2288</v>
      </c>
      <c r="N395" s="84"/>
      <c r="O395" s="131">
        <f t="shared" si="37"/>
        <v>28</v>
      </c>
      <c r="P395" s="136" t="s">
        <v>1946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1947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1948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2362</v>
      </c>
      <c r="F398" t="s">
        <v>389</v>
      </c>
      <c r="G398" t="s">
        <v>1598</v>
      </c>
      <c r="H398" t="s">
        <v>1041</v>
      </c>
      <c r="I398" t="s">
        <v>2257</v>
      </c>
      <c r="J398" s="30" t="s">
        <v>18</v>
      </c>
      <c r="K398" s="30" t="s">
        <v>27</v>
      </c>
      <c r="L398" s="30"/>
      <c r="M398" s="84" t="s">
        <v>1599</v>
      </c>
      <c r="N398" s="84"/>
      <c r="O398" s="31">
        <f t="shared" si="37"/>
        <v>22</v>
      </c>
      <c r="P398" s="136" t="s">
        <v>2405</v>
      </c>
      <c r="Q398" s="136" t="s">
        <v>2406</v>
      </c>
      <c r="R398" s="136" t="s">
        <v>2407</v>
      </c>
      <c r="S398" s="136" t="s">
        <v>2408</v>
      </c>
      <c r="T398" s="136" t="s">
        <v>2409</v>
      </c>
      <c r="U398" s="136" t="s">
        <v>2410</v>
      </c>
      <c r="V398" s="136" t="s">
        <v>2411</v>
      </c>
      <c r="W398" s="136" t="s">
        <v>2412</v>
      </c>
      <c r="X398" s="136" t="s">
        <v>2413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389</v>
      </c>
      <c r="G399" t="s">
        <v>2217</v>
      </c>
      <c r="H399" t="s">
        <v>1041</v>
      </c>
      <c r="I399" t="s">
        <v>2218</v>
      </c>
      <c r="J399" s="30" t="s">
        <v>18</v>
      </c>
      <c r="K399" s="84" t="s">
        <v>1278</v>
      </c>
      <c r="L399" s="30"/>
      <c r="M399" s="84" t="s">
        <v>2289</v>
      </c>
      <c r="N399" s="84"/>
      <c r="O399" s="31">
        <f t="shared" si="37"/>
        <v>28</v>
      </c>
      <c r="P399" s="136" t="s">
        <v>2414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hidden="1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20</v>
      </c>
      <c r="P400" s="136"/>
      <c r="Q400" s="31">
        <f t="shared" si="38"/>
        <v>8</v>
      </c>
      <c r="R400" s="32">
        <f t="shared" si="39"/>
        <v>0.7142857142857143</v>
      </c>
      <c r="S400" s="70"/>
      <c r="T400" s="70"/>
      <c r="U400" s="70"/>
      <c r="V400" s="70" t="s">
        <v>2223</v>
      </c>
      <c r="W400" s="70" t="s">
        <v>2223</v>
      </c>
      <c r="X400" s="70" t="s">
        <v>2223</v>
      </c>
      <c r="Y400" s="70" t="s">
        <v>2223</v>
      </c>
      <c r="Z400" s="70" t="s">
        <v>2223</v>
      </c>
      <c r="AA400" s="70"/>
      <c r="AB400" s="70"/>
      <c r="AC400" s="70" t="s">
        <v>2223</v>
      </c>
      <c r="AD400" s="70" t="s">
        <v>2223</v>
      </c>
      <c r="AE400" s="70" t="s">
        <v>2223</v>
      </c>
      <c r="AF400" s="70"/>
      <c r="AG400" s="142"/>
      <c r="AH400" s="70"/>
      <c r="AI400" s="70"/>
      <c r="AJ400" s="70"/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2362</v>
      </c>
      <c r="F401" s="69" t="s">
        <v>396</v>
      </c>
      <c r="G401" s="69" t="s">
        <v>397</v>
      </c>
      <c r="H401" s="69" t="s">
        <v>1041</v>
      </c>
      <c r="I401" s="69" t="s">
        <v>398</v>
      </c>
      <c r="J401" s="137" t="s">
        <v>71</v>
      </c>
      <c r="K401" s="137" t="s">
        <v>27</v>
      </c>
      <c r="L401" s="137"/>
      <c r="M401" s="137" t="s">
        <v>774</v>
      </c>
      <c r="N401" s="137" t="s">
        <v>2267</v>
      </c>
      <c r="O401" s="139">
        <f t="shared" si="37"/>
        <v>20</v>
      </c>
      <c r="P401" s="140" t="s">
        <v>1937</v>
      </c>
      <c r="Q401" s="139">
        <f t="shared" si="38"/>
        <v>8</v>
      </c>
      <c r="R401" s="141">
        <f t="shared" si="39"/>
        <v>0.7142857142857143</v>
      </c>
      <c r="S401" s="142"/>
      <c r="T401" s="142"/>
      <c r="U401" s="142"/>
      <c r="V401" s="70" t="s">
        <v>2223</v>
      </c>
      <c r="W401" s="70" t="s">
        <v>2223</v>
      </c>
      <c r="X401" s="70" t="s">
        <v>2223</v>
      </c>
      <c r="Y401" s="70" t="s">
        <v>2223</v>
      </c>
      <c r="Z401" s="70" t="s">
        <v>2223</v>
      </c>
      <c r="AA401" s="142"/>
      <c r="AB401" s="142"/>
      <c r="AC401" s="70" t="s">
        <v>2223</v>
      </c>
      <c r="AD401" s="70" t="s">
        <v>2223</v>
      </c>
      <c r="AE401" s="70" t="s">
        <v>2223</v>
      </c>
      <c r="AF401" s="70"/>
      <c r="AG401" s="142"/>
      <c r="AH401" s="70"/>
      <c r="AI401" s="70"/>
      <c r="AJ401" s="142"/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2362</v>
      </c>
      <c r="F402" s="69" t="s">
        <v>396</v>
      </c>
      <c r="G402" s="69" t="s">
        <v>399</v>
      </c>
      <c r="H402" s="69" t="s">
        <v>1041</v>
      </c>
      <c r="I402" s="69" t="s">
        <v>398</v>
      </c>
      <c r="J402" s="137" t="s">
        <v>71</v>
      </c>
      <c r="K402" s="137" t="s">
        <v>27</v>
      </c>
      <c r="L402" s="137"/>
      <c r="M402" s="137" t="s">
        <v>775</v>
      </c>
      <c r="N402" s="137" t="s">
        <v>2267</v>
      </c>
      <c r="O402" s="139">
        <f t="shared" si="37"/>
        <v>20</v>
      </c>
      <c r="P402" s="140" t="s">
        <v>1938</v>
      </c>
      <c r="Q402" s="139">
        <f t="shared" si="38"/>
        <v>8</v>
      </c>
      <c r="R402" s="141">
        <f t="shared" si="39"/>
        <v>0.7142857142857143</v>
      </c>
      <c r="S402" s="142"/>
      <c r="T402" s="142"/>
      <c r="U402" s="142"/>
      <c r="V402" s="70" t="s">
        <v>2223</v>
      </c>
      <c r="W402" s="70" t="s">
        <v>2223</v>
      </c>
      <c r="X402" s="70" t="s">
        <v>2223</v>
      </c>
      <c r="Y402" s="70" t="s">
        <v>2223</v>
      </c>
      <c r="Z402" s="70" t="s">
        <v>2223</v>
      </c>
      <c r="AA402" s="142"/>
      <c r="AB402" s="142"/>
      <c r="AC402" s="70" t="s">
        <v>2223</v>
      </c>
      <c r="AD402" s="70" t="s">
        <v>2223</v>
      </c>
      <c r="AE402" s="70" t="s">
        <v>2223</v>
      </c>
      <c r="AF402" s="70"/>
      <c r="AG402" s="142"/>
      <c r="AH402" s="70"/>
      <c r="AI402" s="70"/>
      <c r="AJ402" s="142"/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2362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2267</v>
      </c>
      <c r="O403" s="31">
        <f t="shared" si="37"/>
        <v>28</v>
      </c>
      <c r="P403" s="136" t="s">
        <v>1939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2362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2267</v>
      </c>
      <c r="O404" s="31">
        <f t="shared" si="37"/>
        <v>28</v>
      </c>
      <c r="P404" s="136" t="s">
        <v>1940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2362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2267</v>
      </c>
      <c r="O405" s="31">
        <f t="shared" si="37"/>
        <v>28</v>
      </c>
      <c r="P405" s="136" t="s">
        <v>1941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2362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2267</v>
      </c>
      <c r="O406" s="31">
        <f t="shared" si="37"/>
        <v>28</v>
      </c>
      <c r="P406" s="136" t="s">
        <v>1942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hidden="1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20</v>
      </c>
      <c r="P407" s="140"/>
      <c r="Q407" s="139">
        <f t="shared" si="38"/>
        <v>8</v>
      </c>
      <c r="R407" s="141">
        <f t="shared" si="39"/>
        <v>0.7142857142857143</v>
      </c>
      <c r="S407" s="142"/>
      <c r="T407" s="142"/>
      <c r="U407" s="142"/>
      <c r="V407" s="71" t="s">
        <v>2223</v>
      </c>
      <c r="W407" s="71" t="s">
        <v>2223</v>
      </c>
      <c r="X407" s="70" t="s">
        <v>2223</v>
      </c>
      <c r="Y407" s="70" t="s">
        <v>2223</v>
      </c>
      <c r="Z407" s="70" t="s">
        <v>2223</v>
      </c>
      <c r="AA407" s="148"/>
      <c r="AB407" s="148"/>
      <c r="AC407" s="70" t="s">
        <v>2223</v>
      </c>
      <c r="AD407" s="70" t="s">
        <v>2223</v>
      </c>
      <c r="AE407" s="70" t="s">
        <v>2223</v>
      </c>
      <c r="AF407" s="70"/>
      <c r="AG407" s="142"/>
      <c r="AH407" s="70"/>
      <c r="AI407" s="70"/>
      <c r="AJ407" s="148"/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28</v>
      </c>
      <c r="P408" s="136" t="s">
        <v>1949</v>
      </c>
      <c r="Q408" s="131">
        <f t="shared" si="38"/>
        <v>0</v>
      </c>
      <c r="R408" s="132">
        <f t="shared" si="39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2415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28</v>
      </c>
      <c r="P411" s="136" t="s">
        <v>1950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1854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 t="s">
        <v>2451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2370</v>
      </c>
      <c r="L413" s="30"/>
      <c r="M413" s="30" t="s">
        <v>783</v>
      </c>
      <c r="N413" s="30"/>
      <c r="O413" s="31">
        <f t="shared" si="37"/>
        <v>20</v>
      </c>
      <c r="P413" s="136" t="s">
        <v>1951</v>
      </c>
      <c r="Q413" s="31">
        <f t="shared" si="38"/>
        <v>8</v>
      </c>
      <c r="R413" s="32">
        <f t="shared" si="39"/>
        <v>0.7142857142857143</v>
      </c>
      <c r="S413" s="70"/>
      <c r="T413" s="70"/>
      <c r="U413" s="70"/>
      <c r="V413" s="70" t="s">
        <v>2223</v>
      </c>
      <c r="W413" s="70" t="s">
        <v>2223</v>
      </c>
      <c r="X413" s="70" t="s">
        <v>2223</v>
      </c>
      <c r="Y413" s="70" t="s">
        <v>2223</v>
      </c>
      <c r="Z413" s="70" t="s">
        <v>2223</v>
      </c>
      <c r="AA413" s="70"/>
      <c r="AB413" s="70"/>
      <c r="AC413" s="70" t="s">
        <v>2223</v>
      </c>
      <c r="AD413" s="70" t="s">
        <v>2223</v>
      </c>
      <c r="AE413" s="70" t="s">
        <v>2223</v>
      </c>
      <c r="AF413" s="70"/>
      <c r="AG413" s="142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t="s">
        <v>2451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2370</v>
      </c>
      <c r="L414" s="30"/>
      <c r="M414" s="30" t="s">
        <v>784</v>
      </c>
      <c r="N414" s="30"/>
      <c r="O414" s="31">
        <f t="shared" si="37"/>
        <v>20</v>
      </c>
      <c r="P414" s="136" t="s">
        <v>1952</v>
      </c>
      <c r="Q414" s="31">
        <f t="shared" si="38"/>
        <v>8</v>
      </c>
      <c r="R414" s="32">
        <f t="shared" si="39"/>
        <v>0.7142857142857143</v>
      </c>
      <c r="S414" s="70"/>
      <c r="T414" s="70"/>
      <c r="U414" s="70"/>
      <c r="V414" s="70" t="s">
        <v>2223</v>
      </c>
      <c r="W414" s="70" t="s">
        <v>2223</v>
      </c>
      <c r="X414" s="70" t="s">
        <v>2223</v>
      </c>
      <c r="Y414" s="70" t="s">
        <v>2223</v>
      </c>
      <c r="Z414" s="70" t="s">
        <v>2223</v>
      </c>
      <c r="AA414" s="70"/>
      <c r="AB414" s="70"/>
      <c r="AC414" s="70" t="s">
        <v>2223</v>
      </c>
      <c r="AD414" s="70" t="s">
        <v>2223</v>
      </c>
      <c r="AE414" s="70" t="s">
        <v>2223</v>
      </c>
      <c r="AF414" s="70"/>
      <c r="AG414" s="142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t="s">
        <v>2451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20</v>
      </c>
      <c r="P415" s="136" t="s">
        <v>1953</v>
      </c>
      <c r="Q415" s="131">
        <f t="shared" si="38"/>
        <v>8</v>
      </c>
      <c r="R415" s="132">
        <f t="shared" si="39"/>
        <v>0.7142857142857143</v>
      </c>
      <c r="S415" s="70"/>
      <c r="T415" s="70"/>
      <c r="U415" s="70"/>
      <c r="V415" s="70" t="s">
        <v>2223</v>
      </c>
      <c r="W415" s="70" t="s">
        <v>2223</v>
      </c>
      <c r="X415" s="70" t="s">
        <v>2223</v>
      </c>
      <c r="Y415" s="70" t="s">
        <v>2223</v>
      </c>
      <c r="Z415" s="70" t="s">
        <v>2223</v>
      </c>
      <c r="AA415" s="70"/>
      <c r="AB415" s="70"/>
      <c r="AC415" s="70" t="s">
        <v>2223</v>
      </c>
      <c r="AD415" s="70" t="s">
        <v>2223</v>
      </c>
      <c r="AE415" s="70" t="s">
        <v>2223</v>
      </c>
      <c r="AF415" s="70"/>
      <c r="AG415" s="142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 t="s">
        <v>2451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20</v>
      </c>
      <c r="P416" s="136" t="s">
        <v>1954</v>
      </c>
      <c r="Q416" s="131">
        <f t="shared" si="38"/>
        <v>8</v>
      </c>
      <c r="R416" s="132">
        <f t="shared" si="39"/>
        <v>0.7142857142857143</v>
      </c>
      <c r="S416" s="70"/>
      <c r="T416" s="70"/>
      <c r="U416" s="70"/>
      <c r="V416" s="70" t="s">
        <v>2223</v>
      </c>
      <c r="W416" s="70" t="s">
        <v>2223</v>
      </c>
      <c r="X416" s="70" t="s">
        <v>2223</v>
      </c>
      <c r="Y416" s="70" t="s">
        <v>2223</v>
      </c>
      <c r="Z416" s="70" t="s">
        <v>2223</v>
      </c>
      <c r="AA416" s="70"/>
      <c r="AB416" s="70"/>
      <c r="AC416" s="70" t="s">
        <v>2223</v>
      </c>
      <c r="AD416" s="70" t="s">
        <v>2223</v>
      </c>
      <c r="AE416" s="70" t="s">
        <v>2223</v>
      </c>
      <c r="AF416" s="70"/>
      <c r="AG416" s="142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183</v>
      </c>
      <c r="G417" s="73" t="s">
        <v>1515</v>
      </c>
      <c r="H417" s="73" t="s">
        <v>1042</v>
      </c>
      <c r="I417" s="73" t="s">
        <v>1516</v>
      </c>
      <c r="J417" s="84" t="s">
        <v>71</v>
      </c>
      <c r="K417" s="84" t="s">
        <v>1278</v>
      </c>
      <c r="L417" s="84"/>
      <c r="M417" s="84" t="s">
        <v>2302</v>
      </c>
      <c r="N417" s="84"/>
      <c r="O417" s="131">
        <f t="shared" si="37"/>
        <v>28</v>
      </c>
      <c r="P417" s="136" t="s">
        <v>2304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183</v>
      </c>
      <c r="G418" s="73" t="s">
        <v>1517</v>
      </c>
      <c r="H418" s="73" t="s">
        <v>1042</v>
      </c>
      <c r="I418" s="73" t="s">
        <v>1516</v>
      </c>
      <c r="J418" s="84" t="s">
        <v>71</v>
      </c>
      <c r="K418" s="84" t="s">
        <v>1278</v>
      </c>
      <c r="L418" s="84"/>
      <c r="M418" s="84" t="s">
        <v>2303</v>
      </c>
      <c r="N418" s="84"/>
      <c r="O418" s="131">
        <f t="shared" si="37"/>
        <v>28</v>
      </c>
      <c r="P418" s="136" t="s">
        <v>2305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1594</v>
      </c>
      <c r="H419" s="73" t="s">
        <v>1042</v>
      </c>
      <c r="I419" s="73" t="s">
        <v>1595</v>
      </c>
      <c r="J419" s="84" t="s">
        <v>71</v>
      </c>
      <c r="K419" s="84" t="s">
        <v>1278</v>
      </c>
      <c r="L419" s="84"/>
      <c r="M419" s="84" t="s">
        <v>1596</v>
      </c>
      <c r="N419" s="84"/>
      <c r="O419" s="131">
        <f t="shared" si="37"/>
        <v>28</v>
      </c>
      <c r="P419" s="136" t="s">
        <v>2105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2102</v>
      </c>
      <c r="H420" s="73" t="s">
        <v>1042</v>
      </c>
      <c r="I420" s="73" t="s">
        <v>2103</v>
      </c>
      <c r="J420" s="89" t="s">
        <v>18</v>
      </c>
      <c r="K420" s="84" t="s">
        <v>1278</v>
      </c>
      <c r="L420" s="84"/>
      <c r="M420" s="84" t="s">
        <v>2290</v>
      </c>
      <c r="N420" s="84"/>
      <c r="O420" s="131">
        <f t="shared" si="37"/>
        <v>26</v>
      </c>
      <c r="P420" s="136" t="s">
        <v>2104</v>
      </c>
      <c r="Q420" s="131">
        <f t="shared" si="38"/>
        <v>2</v>
      </c>
      <c r="R420" s="132">
        <f t="shared" si="39"/>
        <v>0.9285714285714286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2223</v>
      </c>
      <c r="AE420" s="70" t="s">
        <v>2223</v>
      </c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2210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2151</v>
      </c>
      <c r="N421" s="84"/>
      <c r="O421" s="31">
        <f t="shared" si="37"/>
        <v>28</v>
      </c>
      <c r="P421" s="136" t="s">
        <v>2152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2210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28</v>
      </c>
      <c r="P422" s="136" t="s">
        <v>1955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2210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1956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2210</v>
      </c>
      <c r="G424" s="73" t="s">
        <v>2206</v>
      </c>
      <c r="H424" s="73" t="s">
        <v>1042</v>
      </c>
      <c r="I424" s="73" t="s">
        <v>2207</v>
      </c>
      <c r="J424" s="89" t="s">
        <v>18</v>
      </c>
      <c r="K424" s="84" t="s">
        <v>1278</v>
      </c>
      <c r="L424" s="84"/>
      <c r="M424" s="84" t="s">
        <v>2208</v>
      </c>
      <c r="N424" s="84"/>
      <c r="O424" s="131">
        <f t="shared" si="37"/>
        <v>28</v>
      </c>
      <c r="P424" s="136" t="s">
        <v>2209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20</v>
      </c>
      <c r="P425" s="136"/>
      <c r="Q425" s="31">
        <f t="shared" si="38"/>
        <v>8</v>
      </c>
      <c r="R425" s="32">
        <f t="shared" si="39"/>
        <v>0.7142857142857143</v>
      </c>
      <c r="S425" s="70"/>
      <c r="T425" s="70"/>
      <c r="U425" s="71"/>
      <c r="V425" s="71" t="s">
        <v>2223</v>
      </c>
      <c r="W425" s="71" t="s">
        <v>2223</v>
      </c>
      <c r="X425" s="70" t="s">
        <v>2223</v>
      </c>
      <c r="Y425" s="70" t="s">
        <v>2223</v>
      </c>
      <c r="Z425" s="70" t="s">
        <v>2223</v>
      </c>
      <c r="AA425" s="71"/>
      <c r="AB425" s="71"/>
      <c r="AC425" s="70" t="s">
        <v>2223</v>
      </c>
      <c r="AD425" s="70" t="s">
        <v>2223</v>
      </c>
      <c r="AE425" s="70" t="s">
        <v>2223</v>
      </c>
      <c r="AF425" s="71"/>
      <c r="AG425" s="148"/>
      <c r="AH425" s="71"/>
      <c r="AI425" s="71"/>
      <c r="AJ425" s="71"/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1959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2223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2349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2417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23</v>
      </c>
      <c r="P428" s="136" t="s">
        <v>1961</v>
      </c>
      <c r="Q428" s="131">
        <f t="shared" si="38"/>
        <v>5</v>
      </c>
      <c r="R428" s="132">
        <f t="shared" si="39"/>
        <v>0.8214285714285714</v>
      </c>
      <c r="S428" s="70"/>
      <c r="T428" s="70"/>
      <c r="U428" s="70"/>
      <c r="V428" s="70" t="s">
        <v>2223</v>
      </c>
      <c r="W428" s="70"/>
      <c r="X428" s="70"/>
      <c r="Y428" s="70"/>
      <c r="Z428" s="70" t="s">
        <v>2223</v>
      </c>
      <c r="AA428" s="70"/>
      <c r="AB428" s="70"/>
      <c r="AC428" s="70" t="s">
        <v>2223</v>
      </c>
      <c r="AD428" s="70" t="s">
        <v>2223</v>
      </c>
      <c r="AE428" s="70" t="s">
        <v>2223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 t="s">
        <v>2479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2370</v>
      </c>
      <c r="L429" s="30"/>
      <c r="M429" s="30" t="s">
        <v>1117</v>
      </c>
      <c r="N429" s="30"/>
      <c r="O429" s="31">
        <f t="shared" si="37"/>
        <v>28</v>
      </c>
      <c r="P429" s="136" t="s">
        <v>1962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 t="s">
        <v>2479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2370</v>
      </c>
      <c r="L430" s="30"/>
      <c r="M430" s="30" t="s">
        <v>1118</v>
      </c>
      <c r="N430" s="30"/>
      <c r="O430" s="31">
        <f t="shared" si="37"/>
        <v>28</v>
      </c>
      <c r="P430" s="136" t="s">
        <v>1963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1957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20</v>
      </c>
      <c r="P432" s="136" t="s">
        <v>1958</v>
      </c>
      <c r="Q432" s="131">
        <f t="shared" si="38"/>
        <v>8</v>
      </c>
      <c r="R432" s="132">
        <f t="shared" si="39"/>
        <v>0.7142857142857143</v>
      </c>
      <c r="S432" s="70"/>
      <c r="T432" s="70"/>
      <c r="U432" s="70"/>
      <c r="V432" s="70" t="s">
        <v>2223</v>
      </c>
      <c r="W432" s="70" t="s">
        <v>2223</v>
      </c>
      <c r="X432" s="70" t="s">
        <v>2223</v>
      </c>
      <c r="Y432" s="70" t="s">
        <v>2223</v>
      </c>
      <c r="Z432" s="70" t="s">
        <v>2223</v>
      </c>
      <c r="AA432" s="70"/>
      <c r="AB432" s="70"/>
      <c r="AC432" s="70" t="s">
        <v>2223</v>
      </c>
      <c r="AD432" s="70" t="s">
        <v>2223</v>
      </c>
      <c r="AE432" s="70" t="s">
        <v>2223</v>
      </c>
      <c r="AF432" s="70"/>
      <c r="AG432" s="142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1960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27</v>
      </c>
      <c r="P434" s="136" t="s">
        <v>1932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2223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1103</v>
      </c>
      <c r="G435" s="73" t="s">
        <v>1529</v>
      </c>
      <c r="H435" s="73" t="s">
        <v>1042</v>
      </c>
      <c r="I435" s="73" t="s">
        <v>1530</v>
      </c>
      <c r="J435" s="84" t="s">
        <v>1093</v>
      </c>
      <c r="K435" s="84" t="s">
        <v>1278</v>
      </c>
      <c r="L435" s="84"/>
      <c r="M435" s="84" t="s">
        <v>1532</v>
      </c>
      <c r="N435" s="84"/>
      <c r="O435" s="31">
        <f t="shared" si="37"/>
        <v>28</v>
      </c>
      <c r="P435" s="136" t="s">
        <v>1964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1531</v>
      </c>
      <c r="J436" s="84" t="s">
        <v>1093</v>
      </c>
      <c r="K436" s="84" t="s">
        <v>1278</v>
      </c>
      <c r="L436" s="84"/>
      <c r="M436" s="84" t="s">
        <v>1533</v>
      </c>
      <c r="N436" s="84"/>
      <c r="O436" s="31">
        <f t="shared" si="37"/>
        <v>28</v>
      </c>
      <c r="P436" s="136" t="s">
        <v>1965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2192</v>
      </c>
      <c r="H437" s="73" t="s">
        <v>1042</v>
      </c>
      <c r="I437" s="73" t="s">
        <v>2193</v>
      </c>
      <c r="J437" s="84" t="s">
        <v>1093</v>
      </c>
      <c r="K437" s="84" t="s">
        <v>1278</v>
      </c>
      <c r="L437" s="84"/>
      <c r="M437" s="84" t="s">
        <v>2291</v>
      </c>
      <c r="N437" s="84"/>
      <c r="O437" s="31">
        <f t="shared" si="37"/>
        <v>28</v>
      </c>
      <c r="P437" s="136" t="s">
        <v>2424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1968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1969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1966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1967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20</v>
      </c>
      <c r="P442" s="136" t="s">
        <v>1973</v>
      </c>
      <c r="Q442" s="131">
        <f t="shared" si="38"/>
        <v>8</v>
      </c>
      <c r="R442" s="132">
        <f t="shared" si="39"/>
        <v>0.7142857142857143</v>
      </c>
      <c r="S442" s="70"/>
      <c r="T442" s="70"/>
      <c r="U442" s="70"/>
      <c r="V442" s="70" t="s">
        <v>2223</v>
      </c>
      <c r="W442" s="70" t="s">
        <v>2223</v>
      </c>
      <c r="X442" s="70" t="s">
        <v>2223</v>
      </c>
      <c r="Y442" s="70" t="s">
        <v>2223</v>
      </c>
      <c r="Z442" s="70" t="s">
        <v>2223</v>
      </c>
      <c r="AA442" s="70"/>
      <c r="AB442" s="70"/>
      <c r="AC442" s="70" t="s">
        <v>2223</v>
      </c>
      <c r="AD442" s="70" t="s">
        <v>2223</v>
      </c>
      <c r="AE442" s="70" t="s">
        <v>2223</v>
      </c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 t="s">
        <v>2442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28</v>
      </c>
      <c r="P443" s="136" t="s">
        <v>1976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hidden="1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20</v>
      </c>
      <c r="P444" s="140"/>
      <c r="Q444" s="139">
        <f t="shared" si="38"/>
        <v>8</v>
      </c>
      <c r="R444" s="141">
        <f t="shared" si="39"/>
        <v>0.7142857142857143</v>
      </c>
      <c r="S444" s="142"/>
      <c r="T444" s="142"/>
      <c r="U444" s="142"/>
      <c r="V444" s="70" t="s">
        <v>2223</v>
      </c>
      <c r="W444" s="70" t="s">
        <v>2223</v>
      </c>
      <c r="X444" s="70" t="s">
        <v>2223</v>
      </c>
      <c r="Y444" s="70" t="s">
        <v>2223</v>
      </c>
      <c r="Z444" s="70" t="s">
        <v>2223</v>
      </c>
      <c r="AA444" s="142"/>
      <c r="AB444" s="142"/>
      <c r="AC444" s="70" t="s">
        <v>2223</v>
      </c>
      <c r="AD444" s="70" t="s">
        <v>2223</v>
      </c>
      <c r="AE444" s="70" t="s">
        <v>2223</v>
      </c>
      <c r="AF444" s="70"/>
      <c r="AG444" s="142"/>
      <c r="AH444" s="70"/>
      <c r="AI444" s="70"/>
      <c r="AJ444" s="142"/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 t="s">
        <v>2451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2370</v>
      </c>
      <c r="L445" s="30"/>
      <c r="M445" s="30" t="s">
        <v>1388</v>
      </c>
      <c r="N445" s="30"/>
      <c r="O445" s="31">
        <f t="shared" si="37"/>
        <v>28</v>
      </c>
      <c r="P445" s="136" t="s">
        <v>1977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 t="s">
        <v>2451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2370</v>
      </c>
      <c r="L446" s="30"/>
      <c r="M446" s="30" t="s">
        <v>1389</v>
      </c>
      <c r="N446" s="30"/>
      <c r="O446" s="31">
        <f t="shared" si="37"/>
        <v>28</v>
      </c>
      <c r="P446" s="136" t="s">
        <v>1978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 t="s">
        <v>2451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2370</v>
      </c>
      <c r="L447" s="30" t="s">
        <v>2372</v>
      </c>
      <c r="M447" s="30" t="s">
        <v>805</v>
      </c>
      <c r="N447" s="30"/>
      <c r="O447" s="31">
        <f t="shared" si="37"/>
        <v>28</v>
      </c>
      <c r="P447" s="136" t="s">
        <v>1982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 t="s">
        <v>2451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2370</v>
      </c>
      <c r="L448" s="30" t="s">
        <v>2372</v>
      </c>
      <c r="M448" s="30" t="s">
        <v>806</v>
      </c>
      <c r="N448" s="30"/>
      <c r="O448" s="31">
        <f t="shared" si="37"/>
        <v>28</v>
      </c>
      <c r="P448" s="136" t="s">
        <v>1983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 t="s">
        <v>2457</v>
      </c>
      <c r="F449" t="s">
        <v>442</v>
      </c>
      <c r="G449" t="s">
        <v>451</v>
      </c>
      <c r="H449" t="s">
        <v>1042</v>
      </c>
      <c r="I449" t="s">
        <v>2373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28</v>
      </c>
      <c r="P449" s="136" t="s">
        <v>1970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t="s">
        <v>2451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2368</v>
      </c>
      <c r="L450" s="30"/>
      <c r="M450" s="30" t="s">
        <v>1387</v>
      </c>
      <c r="N450" s="30"/>
      <c r="O450" s="31">
        <f t="shared" si="37"/>
        <v>28</v>
      </c>
      <c r="P450" s="136" t="s">
        <v>1971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 t="s">
        <v>2458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1972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 t="s">
        <v>2459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2418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 t="s">
        <v>2460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28</v>
      </c>
      <c r="P453" s="136" t="s">
        <v>1974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 t="s">
        <v>2474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1975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t="s">
        <v>2461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2419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hidden="1" thickBot="1" x14ac:dyDescent="0.3">
      <c r="A456" s="69"/>
      <c r="B456" s="69"/>
      <c r="C456" s="69"/>
      <c r="D456" s="69"/>
      <c r="E456" s="69" t="s">
        <v>2462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20</v>
      </c>
      <c r="P456" s="140"/>
      <c r="Q456" s="139">
        <f t="shared" si="38"/>
        <v>8</v>
      </c>
      <c r="R456" s="141">
        <f t="shared" si="39"/>
        <v>0.7142857142857143</v>
      </c>
      <c r="S456" s="142"/>
      <c r="T456" s="142"/>
      <c r="U456" s="142"/>
      <c r="V456" s="70" t="s">
        <v>2223</v>
      </c>
      <c r="W456" s="70" t="s">
        <v>2223</v>
      </c>
      <c r="X456" s="70" t="s">
        <v>2223</v>
      </c>
      <c r="Y456" s="70" t="s">
        <v>2223</v>
      </c>
      <c r="Z456" s="70" t="s">
        <v>2223</v>
      </c>
      <c r="AA456" s="142"/>
      <c r="AB456" s="142"/>
      <c r="AC456" s="70" t="s">
        <v>2223</v>
      </c>
      <c r="AD456" s="70" t="s">
        <v>2223</v>
      </c>
      <c r="AE456" s="70" t="s">
        <v>2223</v>
      </c>
      <c r="AF456" s="70"/>
      <c r="AG456" s="142"/>
      <c r="AH456" s="70"/>
      <c r="AI456" s="70"/>
      <c r="AJ456" s="142"/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 t="s">
        <v>2463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2420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 t="s">
        <v>2464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1979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t="s">
        <v>2465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1980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1981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t="s">
        <v>2466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28</v>
      </c>
      <c r="P461" s="136" t="s">
        <v>1984</v>
      </c>
      <c r="Q461" s="31">
        <f t="shared" si="41"/>
        <v>0</v>
      </c>
      <c r="R461" s="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t="s">
        <v>2467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28</v>
      </c>
      <c r="P462" s="136" t="s">
        <v>1985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 t="s">
        <v>2468</v>
      </c>
      <c r="F463" s="73" t="s">
        <v>1570</v>
      </c>
      <c r="G463" s="73" t="s">
        <v>1571</v>
      </c>
      <c r="H463" s="73" t="s">
        <v>1042</v>
      </c>
      <c r="I463" s="135" t="s">
        <v>1572</v>
      </c>
      <c r="J463" s="84" t="s">
        <v>14</v>
      </c>
      <c r="K463" s="84" t="s">
        <v>1278</v>
      </c>
      <c r="L463" s="84"/>
      <c r="M463" s="84" t="s">
        <v>1573</v>
      </c>
      <c r="N463" s="84"/>
      <c r="O463" s="31">
        <f t="shared" si="40"/>
        <v>28</v>
      </c>
      <c r="P463" s="136" t="s">
        <v>2421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 t="s">
        <v>2469</v>
      </c>
      <c r="F464" s="73" t="s">
        <v>1570</v>
      </c>
      <c r="G464" s="73" t="s">
        <v>1582</v>
      </c>
      <c r="H464" s="73" t="s">
        <v>1042</v>
      </c>
      <c r="I464" s="135" t="s">
        <v>1583</v>
      </c>
      <c r="J464" s="84" t="s">
        <v>18</v>
      </c>
      <c r="K464" s="84" t="s">
        <v>1278</v>
      </c>
      <c r="L464" s="84"/>
      <c r="M464" s="84" t="s">
        <v>1584</v>
      </c>
      <c r="N464" s="84"/>
      <c r="O464" s="31">
        <f t="shared" si="40"/>
        <v>28</v>
      </c>
      <c r="P464" s="136" t="s">
        <v>2422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t="s">
        <v>2470</v>
      </c>
      <c r="F465" s="73" t="s">
        <v>1576</v>
      </c>
      <c r="G465" s="73" t="s">
        <v>1575</v>
      </c>
      <c r="H465" s="73" t="s">
        <v>1042</v>
      </c>
      <c r="I465" s="135" t="s">
        <v>1577</v>
      </c>
      <c r="J465" s="84" t="s">
        <v>71</v>
      </c>
      <c r="K465" s="84" t="s">
        <v>1278</v>
      </c>
      <c r="L465" s="84"/>
      <c r="M465" s="84" t="s">
        <v>1578</v>
      </c>
      <c r="N465" s="84"/>
      <c r="O465" s="31">
        <f t="shared" si="40"/>
        <v>28</v>
      </c>
      <c r="P465" s="136" t="s">
        <v>2425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 t="s">
        <v>2455</v>
      </c>
      <c r="F466" s="73" t="s">
        <v>1570</v>
      </c>
      <c r="G466" s="73" t="s">
        <v>1626</v>
      </c>
      <c r="H466" s="73" t="s">
        <v>1042</v>
      </c>
      <c r="I466" s="135" t="s">
        <v>1624</v>
      </c>
      <c r="J466" s="84" t="s">
        <v>71</v>
      </c>
      <c r="K466" s="84" t="s">
        <v>1278</v>
      </c>
      <c r="L466" s="84"/>
      <c r="M466" s="84" t="s">
        <v>1628</v>
      </c>
      <c r="N466" s="84"/>
      <c r="O466" s="31">
        <f t="shared" si="40"/>
        <v>28</v>
      </c>
      <c r="P466" s="136" t="s">
        <v>2426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 t="s">
        <v>2471</v>
      </c>
      <c r="F467" s="73" t="s">
        <v>1570</v>
      </c>
      <c r="G467" s="73" t="s">
        <v>1627</v>
      </c>
      <c r="H467" s="73" t="s">
        <v>1042</v>
      </c>
      <c r="I467" s="135" t="s">
        <v>1625</v>
      </c>
      <c r="J467" s="84" t="s">
        <v>71</v>
      </c>
      <c r="K467" s="84" t="s">
        <v>1278</v>
      </c>
      <c r="L467" s="84"/>
      <c r="M467" s="84" t="s">
        <v>1629</v>
      </c>
      <c r="N467" s="84"/>
      <c r="O467" s="31">
        <f t="shared" si="40"/>
        <v>28</v>
      </c>
      <c r="P467" s="136" t="s">
        <v>2427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t="s">
        <v>2456</v>
      </c>
      <c r="F468" s="73" t="s">
        <v>1570</v>
      </c>
      <c r="G468" s="73" t="s">
        <v>2126</v>
      </c>
      <c r="H468" s="73" t="s">
        <v>1042</v>
      </c>
      <c r="I468" s="135" t="s">
        <v>2127</v>
      </c>
      <c r="J468" s="84"/>
      <c r="K468" s="84" t="s">
        <v>1278</v>
      </c>
      <c r="L468" s="84"/>
      <c r="M468" s="84" t="s">
        <v>2292</v>
      </c>
      <c r="N468" s="84"/>
      <c r="O468" s="31">
        <f t="shared" si="40"/>
        <v>28</v>
      </c>
      <c r="P468" s="136" t="s">
        <v>2428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20</v>
      </c>
      <c r="P469" s="136" t="s">
        <v>1986</v>
      </c>
      <c r="Q469" s="131">
        <f t="shared" si="41"/>
        <v>8</v>
      </c>
      <c r="R469" s="132">
        <f t="shared" si="42"/>
        <v>0.7142857142857143</v>
      </c>
      <c r="S469" s="70"/>
      <c r="T469" s="70"/>
      <c r="U469" s="70"/>
      <c r="V469" s="70" t="s">
        <v>2223</v>
      </c>
      <c r="W469" s="70" t="s">
        <v>2223</v>
      </c>
      <c r="X469" s="70" t="s">
        <v>2223</v>
      </c>
      <c r="Y469" s="70" t="s">
        <v>2223</v>
      </c>
      <c r="Z469" s="70" t="s">
        <v>2223</v>
      </c>
      <c r="AA469" s="70"/>
      <c r="AB469" s="70"/>
      <c r="AC469" s="70" t="s">
        <v>2223</v>
      </c>
      <c r="AD469" s="70" t="s">
        <v>2223</v>
      </c>
      <c r="AE469" s="70" t="s">
        <v>2223</v>
      </c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20</v>
      </c>
      <c r="P470" s="136" t="s">
        <v>1987</v>
      </c>
      <c r="Q470" s="131">
        <f t="shared" si="41"/>
        <v>8</v>
      </c>
      <c r="R470" s="132">
        <f t="shared" si="42"/>
        <v>0.7142857142857143</v>
      </c>
      <c r="S470" s="70"/>
      <c r="T470" s="70"/>
      <c r="U470" s="70"/>
      <c r="V470" s="70" t="s">
        <v>2223</v>
      </c>
      <c r="W470" s="70" t="s">
        <v>2223</v>
      </c>
      <c r="X470" s="70" t="s">
        <v>2223</v>
      </c>
      <c r="Y470" s="70" t="s">
        <v>2223</v>
      </c>
      <c r="Z470" s="70" t="s">
        <v>2223</v>
      </c>
      <c r="AA470" s="70"/>
      <c r="AB470" s="70"/>
      <c r="AC470" s="70" t="s">
        <v>2223</v>
      </c>
      <c r="AD470" s="70" t="s">
        <v>2223</v>
      </c>
      <c r="AE470" s="70" t="s">
        <v>2223</v>
      </c>
      <c r="AF470" s="70"/>
      <c r="AG470" s="142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20</v>
      </c>
      <c r="P471" s="136"/>
      <c r="Q471" s="131">
        <f t="shared" si="41"/>
        <v>8</v>
      </c>
      <c r="R471" s="132">
        <f t="shared" si="42"/>
        <v>0.7142857142857143</v>
      </c>
      <c r="S471" s="70"/>
      <c r="T471" s="70"/>
      <c r="U471" s="70"/>
      <c r="V471" s="70" t="s">
        <v>2223</v>
      </c>
      <c r="W471" s="70" t="s">
        <v>2223</v>
      </c>
      <c r="X471" s="70" t="s">
        <v>2223</v>
      </c>
      <c r="Y471" s="70" t="s">
        <v>2223</v>
      </c>
      <c r="Z471" s="70" t="s">
        <v>2223</v>
      </c>
      <c r="AA471" s="70"/>
      <c r="AB471" s="70"/>
      <c r="AC471" s="70" t="s">
        <v>2223</v>
      </c>
      <c r="AD471" s="70" t="s">
        <v>2223</v>
      </c>
      <c r="AE471" s="70" t="s">
        <v>2223</v>
      </c>
      <c r="AF471" s="70"/>
      <c r="AG471" s="142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420</v>
      </c>
      <c r="G472" s="84" t="s">
        <v>2098</v>
      </c>
      <c r="H472" t="s">
        <v>1041</v>
      </c>
      <c r="I472" s="73" t="s">
        <v>2099</v>
      </c>
      <c r="J472" s="84" t="s">
        <v>14</v>
      </c>
      <c r="K472" s="84" t="s">
        <v>1278</v>
      </c>
      <c r="L472" s="84"/>
      <c r="M472" s="84" t="s">
        <v>2293</v>
      </c>
      <c r="N472" s="84"/>
      <c r="O472" s="131">
        <f t="shared" si="40"/>
        <v>28</v>
      </c>
      <c r="P472" s="136" t="s">
        <v>2100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G473" s="84" t="s">
        <v>2222</v>
      </c>
      <c r="H473" t="s">
        <v>1041</v>
      </c>
      <c r="I473" s="73" t="s">
        <v>2241</v>
      </c>
      <c r="J473" s="84" t="s">
        <v>71</v>
      </c>
      <c r="K473" s="84" t="s">
        <v>1278</v>
      </c>
      <c r="L473" s="84"/>
      <c r="M473" s="84" t="s">
        <v>2301</v>
      </c>
      <c r="N473" s="84"/>
      <c r="O473" s="131">
        <f t="shared" si="40"/>
        <v>20</v>
      </c>
      <c r="P473" s="136"/>
      <c r="Q473" s="131">
        <f t="shared" si="41"/>
        <v>8</v>
      </c>
      <c r="R473" s="132">
        <f t="shared" si="42"/>
        <v>0.7142857142857143</v>
      </c>
      <c r="S473" s="70"/>
      <c r="T473" s="70"/>
      <c r="U473" s="70"/>
      <c r="V473" s="70" t="s">
        <v>2223</v>
      </c>
      <c r="W473" s="70" t="s">
        <v>2223</v>
      </c>
      <c r="X473" s="70" t="s">
        <v>2223</v>
      </c>
      <c r="Y473" s="70" t="s">
        <v>2223</v>
      </c>
      <c r="Z473" s="70" t="s">
        <v>2223</v>
      </c>
      <c r="AA473" s="70"/>
      <c r="AB473" s="70"/>
      <c r="AC473" s="70" t="s">
        <v>2223</v>
      </c>
      <c r="AD473" s="70" t="s">
        <v>2223</v>
      </c>
      <c r="AE473" s="70" t="s">
        <v>2223</v>
      </c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1988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2223</v>
      </c>
      <c r="W474" s="70" t="s">
        <v>2223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2329</v>
      </c>
      <c r="F475" t="s">
        <v>466</v>
      </c>
      <c r="G475" t="s">
        <v>467</v>
      </c>
      <c r="H475" t="s">
        <v>1041</v>
      </c>
      <c r="I475" t="s">
        <v>1580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1989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2223</v>
      </c>
      <c r="W475" s="70" t="s">
        <v>2223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2338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1990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2338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1991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2339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1992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2339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1993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1994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>
        <v>6</v>
      </c>
      <c r="B481">
        <v>14</v>
      </c>
      <c r="C481"/>
      <c r="D481"/>
      <c r="E481" t="s">
        <v>2453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1995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2339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1996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2223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1997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2374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1998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2340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1999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2340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2000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2339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2001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2002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1574</v>
      </c>
      <c r="H489" s="73" t="s">
        <v>1041</v>
      </c>
      <c r="I489" s="135" t="s">
        <v>1579</v>
      </c>
      <c r="J489" s="73" t="s">
        <v>14</v>
      </c>
      <c r="K489" s="73" t="s">
        <v>1278</v>
      </c>
      <c r="M489" s="84" t="s">
        <v>1581</v>
      </c>
      <c r="N489" s="84"/>
      <c r="O489" s="85">
        <f t="shared" si="40"/>
        <v>28</v>
      </c>
      <c r="P489" s="136" t="s">
        <v>2118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1592</v>
      </c>
      <c r="H490" s="73" t="s">
        <v>1041</v>
      </c>
      <c r="I490" s="135" t="s">
        <v>1585</v>
      </c>
      <c r="J490" s="73" t="s">
        <v>18</v>
      </c>
      <c r="K490" s="73" t="s">
        <v>1278</v>
      </c>
      <c r="M490" s="84" t="s">
        <v>1593</v>
      </c>
      <c r="N490" s="84"/>
      <c r="O490" s="85">
        <f t="shared" si="40"/>
        <v>20</v>
      </c>
      <c r="P490" s="136" t="s">
        <v>2119</v>
      </c>
      <c r="Q490" s="85">
        <f t="shared" si="41"/>
        <v>8</v>
      </c>
      <c r="R490" s="86">
        <f t="shared" si="42"/>
        <v>0.7142857142857143</v>
      </c>
      <c r="S490" s="70"/>
      <c r="T490" s="87"/>
      <c r="U490" s="87"/>
      <c r="V490" s="70" t="s">
        <v>2223</v>
      </c>
      <c r="W490" s="70" t="s">
        <v>2223</v>
      </c>
      <c r="X490" s="70" t="s">
        <v>2223</v>
      </c>
      <c r="Y490" s="70" t="s">
        <v>2223</v>
      </c>
      <c r="Z490" s="70" t="s">
        <v>2223</v>
      </c>
      <c r="AA490" s="87"/>
      <c r="AB490" s="87"/>
      <c r="AC490" s="70" t="s">
        <v>2223</v>
      </c>
      <c r="AD490" s="70" t="s">
        <v>2223</v>
      </c>
      <c r="AE490" s="70" t="s">
        <v>2223</v>
      </c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1587</v>
      </c>
      <c r="H491" s="73" t="s">
        <v>1041</v>
      </c>
      <c r="I491" s="135" t="s">
        <v>1586</v>
      </c>
      <c r="J491" s="73" t="s">
        <v>1093</v>
      </c>
      <c r="K491" s="73" t="s">
        <v>1278</v>
      </c>
      <c r="M491" s="84" t="s">
        <v>1591</v>
      </c>
      <c r="N491" s="84"/>
      <c r="O491" s="85">
        <f t="shared" si="40"/>
        <v>28</v>
      </c>
      <c r="P491" s="136" t="s">
        <v>2120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1588</v>
      </c>
      <c r="H492" s="73" t="s">
        <v>1041</v>
      </c>
      <c r="I492" s="135" t="s">
        <v>1589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2121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2232</v>
      </c>
      <c r="H493" s="73" t="s">
        <v>1041</v>
      </c>
      <c r="I493" s="135" t="s">
        <v>2233</v>
      </c>
      <c r="J493" s="30" t="s">
        <v>14</v>
      </c>
      <c r="K493" s="73" t="s">
        <v>1278</v>
      </c>
      <c r="M493" s="84" t="s">
        <v>2255</v>
      </c>
      <c r="N493" s="84"/>
      <c r="O493" s="85">
        <f t="shared" si="40"/>
        <v>24</v>
      </c>
      <c r="P493" s="136" t="s">
        <v>2256</v>
      </c>
      <c r="Q493" s="85">
        <f t="shared" si="41"/>
        <v>4</v>
      </c>
      <c r="R493" s="86">
        <f t="shared" si="42"/>
        <v>0.8571428571428571</v>
      </c>
      <c r="S493" s="87"/>
      <c r="T493" s="87"/>
      <c r="U493" s="87"/>
      <c r="V493" s="87"/>
      <c r="W493" s="87"/>
      <c r="X493" s="87"/>
      <c r="Y493" s="87"/>
      <c r="Z493" s="70" t="s">
        <v>2223</v>
      </c>
      <c r="AA493" s="87"/>
      <c r="AB493" s="87"/>
      <c r="AC493" s="70" t="s">
        <v>2223</v>
      </c>
      <c r="AD493" s="70" t="s">
        <v>2223</v>
      </c>
      <c r="AE493" s="70" t="s">
        <v>2223</v>
      </c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2003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2429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2375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2005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2375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2006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2430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2431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2223</v>
      </c>
      <c r="Y499" s="70" t="s">
        <v>2223</v>
      </c>
      <c r="Z499" s="70"/>
      <c r="AA499" s="70"/>
      <c r="AB499" s="70"/>
      <c r="AC499" s="70"/>
      <c r="AD499" s="70"/>
      <c r="AE499" s="70" t="s">
        <v>2223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2432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12</v>
      </c>
      <c r="B502" t="s">
        <v>2377</v>
      </c>
      <c r="C502"/>
      <c r="D502"/>
      <c r="E502" t="s">
        <v>2375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2375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2007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2375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2008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2375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2009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2375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2010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2377</v>
      </c>
      <c r="C507"/>
      <c r="D507"/>
      <c r="E507" t="s">
        <v>2375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2011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2334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2021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 t="s">
        <v>2442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2368</v>
      </c>
      <c r="L509" s="30"/>
      <c r="M509" s="30" t="s">
        <v>841</v>
      </c>
      <c r="N509" s="30"/>
      <c r="O509" s="31">
        <f t="shared" si="40"/>
        <v>22</v>
      </c>
      <c r="P509" s="136" t="s">
        <v>2025</v>
      </c>
      <c r="Q509" s="31">
        <f t="shared" si="41"/>
        <v>6</v>
      </c>
      <c r="R509" s="32">
        <f t="shared" si="42"/>
        <v>0.7857142857142857</v>
      </c>
      <c r="S509" s="70"/>
      <c r="T509" s="70"/>
      <c r="U509" s="70"/>
      <c r="V509" s="70" t="s">
        <v>2223</v>
      </c>
      <c r="W509" s="70" t="s">
        <v>2223</v>
      </c>
      <c r="X509" s="70" t="s">
        <v>2223</v>
      </c>
      <c r="Y509" s="70" t="s">
        <v>2223</v>
      </c>
      <c r="Z509" s="70"/>
      <c r="AA509" s="70"/>
      <c r="AB509" s="70"/>
      <c r="AC509" s="70"/>
      <c r="AD509" s="70" t="s">
        <v>2223</v>
      </c>
      <c r="AE509" s="70" t="s">
        <v>2223</v>
      </c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2334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2026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2027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22</v>
      </c>
      <c r="P512" s="136" t="s">
        <v>2028</v>
      </c>
      <c r="Q512" s="31">
        <f t="shared" si="41"/>
        <v>6</v>
      </c>
      <c r="R512" s="32">
        <f t="shared" si="42"/>
        <v>0.7857142857142857</v>
      </c>
      <c r="S512" s="70"/>
      <c r="T512" s="70"/>
      <c r="U512" s="70"/>
      <c r="V512" s="70" t="s">
        <v>2223</v>
      </c>
      <c r="W512" s="70" t="s">
        <v>2223</v>
      </c>
      <c r="X512" s="70" t="s">
        <v>2223</v>
      </c>
      <c r="Y512" s="70" t="s">
        <v>2223</v>
      </c>
      <c r="Z512" s="70"/>
      <c r="AA512" s="70"/>
      <c r="AB512" s="70"/>
      <c r="AC512" s="70"/>
      <c r="AD512" s="70" t="s">
        <v>2223</v>
      </c>
      <c r="AE512" s="70" t="s">
        <v>2223</v>
      </c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2030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2334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2031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2334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2032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 t="s">
        <v>2442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2370</v>
      </c>
      <c r="L516" s="30"/>
      <c r="M516" s="30" t="s">
        <v>1125</v>
      </c>
      <c r="N516" s="30"/>
      <c r="O516" s="31">
        <f t="shared" si="40"/>
        <v>22</v>
      </c>
      <c r="P516" s="136" t="s">
        <v>2035</v>
      </c>
      <c r="Q516" s="31">
        <f t="shared" si="41"/>
        <v>6</v>
      </c>
      <c r="R516" s="32">
        <f t="shared" si="42"/>
        <v>0.7857142857142857</v>
      </c>
      <c r="S516" s="70"/>
      <c r="T516" s="70"/>
      <c r="U516" s="70"/>
      <c r="V516" s="70" t="s">
        <v>2223</v>
      </c>
      <c r="W516" s="70" t="s">
        <v>2223</v>
      </c>
      <c r="X516" s="70" t="s">
        <v>2223</v>
      </c>
      <c r="Y516" s="70" t="s">
        <v>2223</v>
      </c>
      <c r="Z516" s="70"/>
      <c r="AA516" s="70"/>
      <c r="AB516" s="70"/>
      <c r="AC516" s="70"/>
      <c r="AD516" s="70" t="s">
        <v>2223</v>
      </c>
      <c r="AE516" s="70" t="s">
        <v>2223</v>
      </c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t="s">
        <v>2442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2370</v>
      </c>
      <c r="L517" s="30"/>
      <c r="M517" s="30" t="s">
        <v>1126</v>
      </c>
      <c r="N517" s="30"/>
      <c r="O517" s="31">
        <f t="shared" si="40"/>
        <v>22</v>
      </c>
      <c r="P517" s="136" t="s">
        <v>2036</v>
      </c>
      <c r="Q517" s="31">
        <f t="shared" si="41"/>
        <v>6</v>
      </c>
      <c r="R517" s="32">
        <f t="shared" si="42"/>
        <v>0.7857142857142857</v>
      </c>
      <c r="S517" s="70"/>
      <c r="T517" s="70"/>
      <c r="U517" s="70"/>
      <c r="V517" s="70" t="s">
        <v>2223</v>
      </c>
      <c r="W517" s="70" t="s">
        <v>2223</v>
      </c>
      <c r="X517" s="70" t="s">
        <v>2223</v>
      </c>
      <c r="Y517" s="70" t="s">
        <v>2223</v>
      </c>
      <c r="Z517" s="70"/>
      <c r="AA517" s="70"/>
      <c r="AB517" s="70"/>
      <c r="AC517" s="70"/>
      <c r="AD517" s="70" t="s">
        <v>2223</v>
      </c>
      <c r="AE517" s="70" t="s">
        <v>2223</v>
      </c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2037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 t="s">
        <v>2442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2370</v>
      </c>
      <c r="L519" s="30"/>
      <c r="M519" s="30" t="s">
        <v>1504</v>
      </c>
      <c r="N519" s="30"/>
      <c r="O519" s="131">
        <f t="shared" si="40"/>
        <v>22</v>
      </c>
      <c r="P519" s="136" t="s">
        <v>2038</v>
      </c>
      <c r="Q519" s="131">
        <f t="shared" si="41"/>
        <v>6</v>
      </c>
      <c r="R519" s="132">
        <f t="shared" si="42"/>
        <v>0.7857142857142857</v>
      </c>
      <c r="S519" s="70"/>
      <c r="T519" s="70"/>
      <c r="U519" s="70"/>
      <c r="V519" s="70" t="s">
        <v>2223</v>
      </c>
      <c r="W519" s="70" t="s">
        <v>2223</v>
      </c>
      <c r="X519" s="70" t="s">
        <v>2223</v>
      </c>
      <c r="Y519" s="70" t="s">
        <v>2223</v>
      </c>
      <c r="Z519" s="70"/>
      <c r="AA519" s="70"/>
      <c r="AB519" s="70"/>
      <c r="AC519" s="70"/>
      <c r="AD519" s="70" t="s">
        <v>2223</v>
      </c>
      <c r="AE519" s="70" t="s">
        <v>2223</v>
      </c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505</v>
      </c>
      <c r="G520" s="84" t="s">
        <v>1552</v>
      </c>
      <c r="H520" s="84" t="s">
        <v>1042</v>
      </c>
      <c r="I520" s="73" t="s">
        <v>1553</v>
      </c>
      <c r="J520" s="84" t="s">
        <v>14</v>
      </c>
      <c r="K520" s="84" t="s">
        <v>1278</v>
      </c>
      <c r="L520" s="84"/>
      <c r="M520" s="84" t="s">
        <v>1554</v>
      </c>
      <c r="N520" s="84"/>
      <c r="O520" s="131">
        <f t="shared" si="40"/>
        <v>28</v>
      </c>
      <c r="P520" s="136" t="s">
        <v>2039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t="s">
        <v>2442</v>
      </c>
      <c r="F521" t="s">
        <v>505</v>
      </c>
      <c r="G521" t="s">
        <v>513</v>
      </c>
      <c r="H521" t="s">
        <v>1042</v>
      </c>
      <c r="I521" t="s">
        <v>2194</v>
      </c>
      <c r="J521" s="30" t="s">
        <v>18</v>
      </c>
      <c r="K521" s="30" t="s">
        <v>2370</v>
      </c>
      <c r="L521" s="30"/>
      <c r="M521" s="30" t="s">
        <v>829</v>
      </c>
      <c r="N521" s="30"/>
      <c r="O521" s="31">
        <f t="shared" ref="O521:O584" si="43">COUNTIF(S521:AT521,"")</f>
        <v>22</v>
      </c>
      <c r="P521" s="136" t="s">
        <v>2012</v>
      </c>
      <c r="Q521" s="31">
        <f t="shared" ref="Q521:Q584" si="44">COUNTIF(S521:AT521,"APAGADO")</f>
        <v>6</v>
      </c>
      <c r="R521" s="32">
        <f t="shared" ref="R521:R584" si="45">(O521)/(Q521+O521)</f>
        <v>0.7857142857142857</v>
      </c>
      <c r="S521" s="70"/>
      <c r="T521" s="70"/>
      <c r="U521" s="70"/>
      <c r="V521" s="70" t="s">
        <v>2223</v>
      </c>
      <c r="W521" s="70" t="s">
        <v>2223</v>
      </c>
      <c r="X521" s="70" t="s">
        <v>2223</v>
      </c>
      <c r="Y521" s="70" t="s">
        <v>2223</v>
      </c>
      <c r="Z521" s="70"/>
      <c r="AA521" s="70"/>
      <c r="AB521" s="70"/>
      <c r="AC521" s="70"/>
      <c r="AD521" s="70" t="s">
        <v>2223</v>
      </c>
      <c r="AE521" s="70" t="s">
        <v>2223</v>
      </c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22</v>
      </c>
      <c r="P522" s="136" t="s">
        <v>2013</v>
      </c>
      <c r="Q522" s="31">
        <f t="shared" si="44"/>
        <v>6</v>
      </c>
      <c r="R522" s="32">
        <f t="shared" si="45"/>
        <v>0.7857142857142857</v>
      </c>
      <c r="S522" s="70"/>
      <c r="T522" s="70"/>
      <c r="U522" s="70"/>
      <c r="V522" s="70" t="s">
        <v>2223</v>
      </c>
      <c r="W522" s="70" t="s">
        <v>2223</v>
      </c>
      <c r="X522" s="70" t="s">
        <v>2223</v>
      </c>
      <c r="Y522" s="70" t="s">
        <v>2223</v>
      </c>
      <c r="Z522" s="70"/>
      <c r="AA522" s="70"/>
      <c r="AB522" s="70"/>
      <c r="AC522" s="70"/>
      <c r="AD522" s="70" t="s">
        <v>2223</v>
      </c>
      <c r="AE522" s="70" t="s">
        <v>2223</v>
      </c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2334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2014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2334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2015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2016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20</v>
      </c>
      <c r="P526" s="136" t="s">
        <v>2017</v>
      </c>
      <c r="Q526" s="31">
        <f t="shared" si="44"/>
        <v>8</v>
      </c>
      <c r="R526" s="32">
        <f t="shared" si="45"/>
        <v>0.7142857142857143</v>
      </c>
      <c r="S526" s="70"/>
      <c r="T526" s="70"/>
      <c r="U526" s="70"/>
      <c r="V526" s="70" t="s">
        <v>2223</v>
      </c>
      <c r="W526" s="70" t="s">
        <v>2223</v>
      </c>
      <c r="X526" s="70" t="s">
        <v>2223</v>
      </c>
      <c r="Y526" s="70" t="s">
        <v>2223</v>
      </c>
      <c r="Z526" s="70" t="s">
        <v>2223</v>
      </c>
      <c r="AA526" s="70"/>
      <c r="AB526" s="70"/>
      <c r="AC526" s="70" t="s">
        <v>2223</v>
      </c>
      <c r="AD526" s="70" t="s">
        <v>2223</v>
      </c>
      <c r="AE526" s="70" t="s">
        <v>2223</v>
      </c>
      <c r="AF526" s="70"/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 t="s">
        <v>2442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2370</v>
      </c>
      <c r="L527" s="30"/>
      <c r="M527" s="30" t="s">
        <v>834</v>
      </c>
      <c r="N527" s="30"/>
      <c r="O527" s="31">
        <f t="shared" si="43"/>
        <v>28</v>
      </c>
      <c r="P527" s="136" t="s">
        <v>2018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2019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2020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22</v>
      </c>
      <c r="P530" s="136" t="s">
        <v>2022</v>
      </c>
      <c r="Q530" s="31">
        <f t="shared" si="44"/>
        <v>6</v>
      </c>
      <c r="R530" s="32">
        <f t="shared" si="45"/>
        <v>0.7857142857142857</v>
      </c>
      <c r="S530" s="70"/>
      <c r="T530" s="70"/>
      <c r="U530" s="70"/>
      <c r="V530" s="70" t="s">
        <v>2223</v>
      </c>
      <c r="W530" s="70" t="s">
        <v>2223</v>
      </c>
      <c r="X530" s="70" t="s">
        <v>2223</v>
      </c>
      <c r="Y530" s="70" t="s">
        <v>2223</v>
      </c>
      <c r="Z530" s="70"/>
      <c r="AA530" s="70"/>
      <c r="AB530" s="70"/>
      <c r="AC530" s="70"/>
      <c r="AD530" s="70" t="s">
        <v>2223</v>
      </c>
      <c r="AE530" s="70" t="s">
        <v>2223</v>
      </c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28</v>
      </c>
      <c r="P531" s="136" t="s">
        <v>2023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 t="s">
        <v>2483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2368</v>
      </c>
      <c r="L532" s="30"/>
      <c r="M532" s="30" t="s">
        <v>840</v>
      </c>
      <c r="N532" s="30"/>
      <c r="O532" s="31">
        <f t="shared" si="43"/>
        <v>27</v>
      </c>
      <c r="P532" s="136" t="s">
        <v>2024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2223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2334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2029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2434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 t="s">
        <v>2442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2370</v>
      </c>
      <c r="L535" s="30"/>
      <c r="M535" s="30" t="s">
        <v>657</v>
      </c>
      <c r="N535" s="30"/>
      <c r="O535" s="31">
        <f t="shared" si="43"/>
        <v>28</v>
      </c>
      <c r="P535" s="136" t="s">
        <v>2033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 t="s">
        <v>2442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2370</v>
      </c>
      <c r="L536" s="30"/>
      <c r="M536" s="30" t="s">
        <v>849</v>
      </c>
      <c r="N536" s="30"/>
      <c r="O536" s="31">
        <f t="shared" si="43"/>
        <v>28</v>
      </c>
      <c r="P536" s="136" t="s">
        <v>2034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505</v>
      </c>
      <c r="G537" s="84" t="s">
        <v>1555</v>
      </c>
      <c r="H537" s="84" t="s">
        <v>1042</v>
      </c>
      <c r="I537" s="73" t="s">
        <v>1556</v>
      </c>
      <c r="J537" s="84" t="s">
        <v>14</v>
      </c>
      <c r="K537" s="84" t="s">
        <v>1278</v>
      </c>
      <c r="L537" s="84"/>
      <c r="M537" s="84" t="s">
        <v>1557</v>
      </c>
      <c r="N537" s="84"/>
      <c r="O537" s="131">
        <f t="shared" si="43"/>
        <v>28</v>
      </c>
      <c r="P537" s="136" t="s">
        <v>2040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2172</v>
      </c>
      <c r="H538" s="84" t="s">
        <v>1042</v>
      </c>
      <c r="I538" s="73" t="s">
        <v>2173</v>
      </c>
      <c r="J538" s="30" t="s">
        <v>71</v>
      </c>
      <c r="K538" s="84" t="s">
        <v>1278</v>
      </c>
      <c r="L538" s="84"/>
      <c r="M538" s="84" t="s">
        <v>2294</v>
      </c>
      <c r="N538" s="84"/>
      <c r="O538" s="131">
        <f t="shared" si="43"/>
        <v>28</v>
      </c>
      <c r="P538" s="136" t="s">
        <v>2174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2175</v>
      </c>
      <c r="H539" s="84" t="s">
        <v>1042</v>
      </c>
      <c r="I539" s="73" t="s">
        <v>2176</v>
      </c>
      <c r="J539" s="84" t="s">
        <v>14</v>
      </c>
      <c r="K539" s="84" t="s">
        <v>1278</v>
      </c>
      <c r="L539" s="84"/>
      <c r="M539" s="84" t="s">
        <v>2295</v>
      </c>
      <c r="N539" s="84"/>
      <c r="O539" s="131">
        <f t="shared" si="43"/>
        <v>28</v>
      </c>
      <c r="P539" s="136" t="s">
        <v>2177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2362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2267</v>
      </c>
      <c r="O540" s="31">
        <f t="shared" si="43"/>
        <v>28</v>
      </c>
      <c r="P540" s="136" t="s">
        <v>2041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2362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2267</v>
      </c>
      <c r="O541" s="31">
        <f t="shared" si="43"/>
        <v>28</v>
      </c>
      <c r="P541" s="136" t="s">
        <v>2042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 s="88">
        <v>1</v>
      </c>
      <c r="B542" s="88">
        <v>18</v>
      </c>
      <c r="C542" s="88"/>
      <c r="D542" s="88"/>
      <c r="E542" s="88" t="s">
        <v>2362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2267</v>
      </c>
      <c r="O542" s="31">
        <f t="shared" si="43"/>
        <v>20</v>
      </c>
      <c r="P542" s="136"/>
      <c r="Q542" s="31">
        <f t="shared" si="44"/>
        <v>8</v>
      </c>
      <c r="R542" s="32">
        <f t="shared" si="45"/>
        <v>0.7142857142857143</v>
      </c>
      <c r="S542" s="70"/>
      <c r="T542" s="70"/>
      <c r="U542" s="70"/>
      <c r="V542" s="70" t="s">
        <v>2223</v>
      </c>
      <c r="W542" s="70" t="s">
        <v>2223</v>
      </c>
      <c r="X542" s="70" t="s">
        <v>2223</v>
      </c>
      <c r="Y542" s="70" t="s">
        <v>2223</v>
      </c>
      <c r="Z542" s="70" t="s">
        <v>2223</v>
      </c>
      <c r="AA542" s="70"/>
      <c r="AB542" s="70"/>
      <c r="AC542" s="70" t="s">
        <v>2223</v>
      </c>
      <c r="AD542" s="70" t="s">
        <v>2223</v>
      </c>
      <c r="AE542" s="70" t="s">
        <v>2223</v>
      </c>
      <c r="AF542" s="70"/>
      <c r="AG542" s="142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2362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2267</v>
      </c>
      <c r="O543" s="31">
        <f t="shared" si="43"/>
        <v>25</v>
      </c>
      <c r="P543" s="136" t="s">
        <v>2043</v>
      </c>
      <c r="Q543" s="31">
        <f t="shared" si="44"/>
        <v>3</v>
      </c>
      <c r="R543" s="32">
        <f t="shared" si="45"/>
        <v>0.8928571428571429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2223</v>
      </c>
      <c r="AD543" s="70" t="s">
        <v>2223</v>
      </c>
      <c r="AE543" s="70" t="s">
        <v>2223</v>
      </c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2362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2267</v>
      </c>
      <c r="O544" s="31">
        <f t="shared" si="43"/>
        <v>25</v>
      </c>
      <c r="P544" s="136" t="s">
        <v>2044</v>
      </c>
      <c r="Q544" s="31">
        <f t="shared" si="44"/>
        <v>3</v>
      </c>
      <c r="R544" s="32">
        <f t="shared" si="45"/>
        <v>0.8928571428571429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2223</v>
      </c>
      <c r="AD544" s="70" t="s">
        <v>2223</v>
      </c>
      <c r="AE544" s="70" t="s">
        <v>2223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2362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2267</v>
      </c>
      <c r="O545" s="31">
        <f t="shared" si="43"/>
        <v>28</v>
      </c>
      <c r="P545" s="136" t="s">
        <v>2045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2362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2267</v>
      </c>
      <c r="O546" s="31">
        <f t="shared" si="43"/>
        <v>28</v>
      </c>
      <c r="P546" s="136" t="s">
        <v>2046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2362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2267</v>
      </c>
      <c r="O547" s="31">
        <f t="shared" si="43"/>
        <v>28</v>
      </c>
      <c r="P547" s="136" t="s">
        <v>2047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 t="s">
        <v>2478</v>
      </c>
      <c r="F548" t="s">
        <v>376</v>
      </c>
      <c r="G548" s="30" t="s">
        <v>2132</v>
      </c>
      <c r="H548" s="73" t="s">
        <v>1041</v>
      </c>
      <c r="I548" t="s">
        <v>2133</v>
      </c>
      <c r="J548" s="84" t="s">
        <v>45</v>
      </c>
      <c r="K548" s="30" t="s">
        <v>2370</v>
      </c>
      <c r="L548" s="30"/>
      <c r="M548" s="30" t="s">
        <v>2134</v>
      </c>
      <c r="N548" s="30" t="s">
        <v>2267</v>
      </c>
      <c r="O548" s="31">
        <f t="shared" si="43"/>
        <v>20</v>
      </c>
      <c r="P548" s="136" t="s">
        <v>2135</v>
      </c>
      <c r="Q548" s="31">
        <f t="shared" si="44"/>
        <v>8</v>
      </c>
      <c r="R548" s="32">
        <f t="shared" si="45"/>
        <v>0.7142857142857143</v>
      </c>
      <c r="S548" s="70"/>
      <c r="T548" s="70"/>
      <c r="U548" s="70"/>
      <c r="V548" s="70" t="s">
        <v>2223</v>
      </c>
      <c r="W548" s="70" t="s">
        <v>2223</v>
      </c>
      <c r="X548" s="70" t="s">
        <v>2223</v>
      </c>
      <c r="Y548" s="70" t="s">
        <v>2223</v>
      </c>
      <c r="Z548" s="70" t="s">
        <v>2223</v>
      </c>
      <c r="AA548" s="70"/>
      <c r="AB548" s="70"/>
      <c r="AC548" s="70" t="s">
        <v>2223</v>
      </c>
      <c r="AD548" s="70" t="s">
        <v>2223</v>
      </c>
      <c r="AE548" s="70" t="s">
        <v>2223</v>
      </c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2048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>
        <v>6</v>
      </c>
      <c r="B550">
        <v>1</v>
      </c>
      <c r="C550"/>
      <c r="D550"/>
      <c r="E550" t="s">
        <v>2438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2049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20</v>
      </c>
      <c r="P551" s="136" t="s">
        <v>2050</v>
      </c>
      <c r="Q551" s="131">
        <f t="shared" si="44"/>
        <v>8</v>
      </c>
      <c r="R551" s="132">
        <f t="shared" si="45"/>
        <v>0.7142857142857143</v>
      </c>
      <c r="S551" s="70"/>
      <c r="T551" s="70"/>
      <c r="U551" s="70"/>
      <c r="V551" s="70" t="s">
        <v>2223</v>
      </c>
      <c r="W551" s="70" t="s">
        <v>2223</v>
      </c>
      <c r="X551" s="70" t="s">
        <v>2223</v>
      </c>
      <c r="Y551" s="70" t="s">
        <v>2223</v>
      </c>
      <c r="Z551" s="70" t="s">
        <v>2223</v>
      </c>
      <c r="AA551" s="70"/>
      <c r="AB551" s="70"/>
      <c r="AC551" s="70" t="s">
        <v>2223</v>
      </c>
      <c r="AD551" s="70" t="s">
        <v>2223</v>
      </c>
      <c r="AE551" s="70" t="s">
        <v>2223</v>
      </c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2051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2338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20</v>
      </c>
      <c r="P553" s="136" t="s">
        <v>2052</v>
      </c>
      <c r="Q553" s="31">
        <f t="shared" si="44"/>
        <v>8</v>
      </c>
      <c r="R553" s="32">
        <f t="shared" si="45"/>
        <v>0.7142857142857143</v>
      </c>
      <c r="S553" s="70"/>
      <c r="T553" s="70"/>
      <c r="U553" s="70"/>
      <c r="V553" s="70" t="s">
        <v>2223</v>
      </c>
      <c r="W553" s="70" t="s">
        <v>2223</v>
      </c>
      <c r="X553" s="70" t="s">
        <v>2223</v>
      </c>
      <c r="Y553" s="70" t="s">
        <v>2223</v>
      </c>
      <c r="Z553" s="70" t="s">
        <v>2223</v>
      </c>
      <c r="AA553" s="70"/>
      <c r="AB553" s="70"/>
      <c r="AC553" s="70" t="s">
        <v>2223</v>
      </c>
      <c r="AD553" s="70" t="s">
        <v>2223</v>
      </c>
      <c r="AE553" s="70" t="s">
        <v>2223</v>
      </c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2053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2149</v>
      </c>
      <c r="J555" s="84" t="s">
        <v>14</v>
      </c>
      <c r="K555" s="84" t="s">
        <v>1278</v>
      </c>
      <c r="L555" s="30"/>
      <c r="M555" s="30" t="s">
        <v>2296</v>
      </c>
      <c r="N555" s="30"/>
      <c r="O555" s="31">
        <f t="shared" si="43"/>
        <v>20</v>
      </c>
      <c r="P555" s="136" t="s">
        <v>2150</v>
      </c>
      <c r="Q555" s="31">
        <f t="shared" si="44"/>
        <v>8</v>
      </c>
      <c r="R555" s="32">
        <f t="shared" si="45"/>
        <v>0.7142857142857143</v>
      </c>
      <c r="S555" s="70"/>
      <c r="T555" s="70"/>
      <c r="U555" s="70"/>
      <c r="V555" s="70" t="s">
        <v>2223</v>
      </c>
      <c r="W555" s="70" t="s">
        <v>2223</v>
      </c>
      <c r="X555" s="70" t="s">
        <v>2223</v>
      </c>
      <c r="Y555" s="70" t="s">
        <v>2223</v>
      </c>
      <c r="Z555" s="70" t="s">
        <v>2223</v>
      </c>
      <c r="AA555" s="70"/>
      <c r="AB555" s="70"/>
      <c r="AC555" s="70" t="s">
        <v>2223</v>
      </c>
      <c r="AD555" s="70" t="s">
        <v>2223</v>
      </c>
      <c r="AE555" s="70" t="s">
        <v>2223</v>
      </c>
      <c r="AF555" s="70"/>
      <c r="AG555" s="142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470</v>
      </c>
      <c r="G556" t="s">
        <v>2091</v>
      </c>
      <c r="H556" t="s">
        <v>1041</v>
      </c>
      <c r="I556" s="73" t="s">
        <v>2092</v>
      </c>
      <c r="J556" s="84" t="s">
        <v>14</v>
      </c>
      <c r="K556" s="84" t="s">
        <v>1278</v>
      </c>
      <c r="L556" s="30"/>
      <c r="M556" s="30" t="s">
        <v>2297</v>
      </c>
      <c r="N556" s="30"/>
      <c r="O556" s="31">
        <f t="shared" si="43"/>
        <v>27</v>
      </c>
      <c r="P556" s="136" t="s">
        <v>2093</v>
      </c>
      <c r="Q556" s="31">
        <f t="shared" si="44"/>
        <v>1</v>
      </c>
      <c r="R556" s="32">
        <f t="shared" si="45"/>
        <v>0.9642857142857143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2223</v>
      </c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2096</v>
      </c>
      <c r="G557" s="73" t="s">
        <v>2094</v>
      </c>
      <c r="H557" t="s">
        <v>1041</v>
      </c>
      <c r="I557" s="73" t="s">
        <v>2095</v>
      </c>
      <c r="J557" s="84" t="s">
        <v>14</v>
      </c>
      <c r="K557" s="84" t="s">
        <v>1278</v>
      </c>
      <c r="L557" s="84"/>
      <c r="M557" s="84" t="s">
        <v>2298</v>
      </c>
      <c r="N557" s="84"/>
      <c r="O557" s="131">
        <f t="shared" si="43"/>
        <v>28</v>
      </c>
      <c r="P557" s="136" t="s">
        <v>2097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28</v>
      </c>
      <c r="P558" s="136" t="s">
        <v>2054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2055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2056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2057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 t="s">
        <v>2480</v>
      </c>
      <c r="F562" s="73" t="s">
        <v>557</v>
      </c>
      <c r="G562" s="73" t="s">
        <v>1608</v>
      </c>
      <c r="H562" s="73" t="s">
        <v>1042</v>
      </c>
      <c r="I562" s="73" t="s">
        <v>1615</v>
      </c>
      <c r="J562" s="84" t="s">
        <v>1093</v>
      </c>
      <c r="K562" s="84" t="s">
        <v>1278</v>
      </c>
      <c r="L562" s="84"/>
      <c r="M562" s="84" t="s">
        <v>1610</v>
      </c>
      <c r="N562" s="84"/>
      <c r="O562" s="131">
        <f t="shared" si="43"/>
        <v>28</v>
      </c>
      <c r="P562" s="136" t="s">
        <v>2139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557</v>
      </c>
      <c r="G563" s="73" t="s">
        <v>2085</v>
      </c>
      <c r="H563" s="73" t="s">
        <v>1042</v>
      </c>
      <c r="I563" s="73" t="s">
        <v>2086</v>
      </c>
      <c r="J563" s="30" t="s">
        <v>14</v>
      </c>
      <c r="K563" s="84" t="s">
        <v>1278</v>
      </c>
      <c r="L563" s="84"/>
      <c r="M563" s="84" t="s">
        <v>2088</v>
      </c>
      <c r="N563" s="84"/>
      <c r="O563" s="131">
        <f t="shared" si="43"/>
        <v>20</v>
      </c>
      <c r="P563" s="136"/>
      <c r="Q563" s="131">
        <f t="shared" si="44"/>
        <v>8</v>
      </c>
      <c r="R563" s="132">
        <f t="shared" si="45"/>
        <v>0.7142857142857143</v>
      </c>
      <c r="S563" s="70"/>
      <c r="T563" s="70"/>
      <c r="U563" s="70"/>
      <c r="V563" s="70" t="s">
        <v>2223</v>
      </c>
      <c r="W563" s="70" t="s">
        <v>2223</v>
      </c>
      <c r="X563" s="70" t="s">
        <v>2223</v>
      </c>
      <c r="Y563" s="70" t="s">
        <v>2223</v>
      </c>
      <c r="Z563" s="70" t="s">
        <v>2223</v>
      </c>
      <c r="AA563" s="70"/>
      <c r="AB563" s="70"/>
      <c r="AC563" s="70" t="s">
        <v>2223</v>
      </c>
      <c r="AD563" s="70" t="s">
        <v>2223</v>
      </c>
      <c r="AE563" s="70" t="s">
        <v>2223</v>
      </c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1621</v>
      </c>
      <c r="H564" s="73" t="s">
        <v>1042</v>
      </c>
      <c r="I564" s="73" t="s">
        <v>1622</v>
      </c>
      <c r="J564" s="84" t="s">
        <v>14</v>
      </c>
      <c r="K564" s="84" t="s">
        <v>1278</v>
      </c>
      <c r="L564" s="84"/>
      <c r="M564" s="84" t="s">
        <v>1623</v>
      </c>
      <c r="N564" s="84"/>
      <c r="O564" s="131">
        <f t="shared" si="43"/>
        <v>28</v>
      </c>
      <c r="P564" s="136" t="s">
        <v>2140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t="s">
        <v>562</v>
      </c>
      <c r="G565" t="s">
        <v>1027</v>
      </c>
      <c r="H565" t="s">
        <v>1042</v>
      </c>
      <c r="I565" t="s">
        <v>563</v>
      </c>
      <c r="J565" s="30" t="s">
        <v>71</v>
      </c>
      <c r="K565" s="84" t="s">
        <v>1278</v>
      </c>
      <c r="L565" s="30"/>
      <c r="M565" s="30" t="s">
        <v>863</v>
      </c>
      <c r="N565" s="30"/>
      <c r="O565" s="31">
        <f t="shared" si="43"/>
        <v>20</v>
      </c>
      <c r="P565" s="136" t="s">
        <v>2136</v>
      </c>
      <c r="Q565" s="31">
        <f t="shared" si="44"/>
        <v>8</v>
      </c>
      <c r="R565" s="32">
        <f t="shared" si="45"/>
        <v>0.7142857142857143</v>
      </c>
      <c r="S565" s="70"/>
      <c r="T565" s="70"/>
      <c r="U565" s="70"/>
      <c r="V565" s="70" t="s">
        <v>2223</v>
      </c>
      <c r="W565" s="70" t="s">
        <v>2223</v>
      </c>
      <c r="X565" s="70" t="s">
        <v>2223</v>
      </c>
      <c r="Y565" s="70" t="s">
        <v>2223</v>
      </c>
      <c r="Z565" s="70" t="s">
        <v>2223</v>
      </c>
      <c r="AA565" s="70"/>
      <c r="AB565" s="70"/>
      <c r="AC565" s="70" t="s">
        <v>2223</v>
      </c>
      <c r="AD565" s="70" t="s">
        <v>2223</v>
      </c>
      <c r="AE565" s="70" t="s">
        <v>2223</v>
      </c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hidden="1" thickBot="1" x14ac:dyDescent="0.3">
      <c r="A566"/>
      <c r="B566"/>
      <c r="C566"/>
      <c r="D566"/>
      <c r="E566" t="s">
        <v>2479</v>
      </c>
      <c r="F566" t="s">
        <v>562</v>
      </c>
      <c r="G566" t="s">
        <v>1028</v>
      </c>
      <c r="H566" t="s">
        <v>1042</v>
      </c>
      <c r="I566" t="s">
        <v>564</v>
      </c>
      <c r="J566" s="30" t="s">
        <v>14</v>
      </c>
      <c r="K566" s="30" t="s">
        <v>2370</v>
      </c>
      <c r="L566" s="30"/>
      <c r="M566" s="30" t="s">
        <v>864</v>
      </c>
      <c r="N566" s="30"/>
      <c r="O566" s="31">
        <f t="shared" si="43"/>
        <v>28</v>
      </c>
      <c r="P566" s="136" t="s">
        <v>2058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hidden="1" thickBot="1" x14ac:dyDescent="0.3">
      <c r="A567"/>
      <c r="B567"/>
      <c r="C567"/>
      <c r="D567"/>
      <c r="E567"/>
      <c r="F567" t="s">
        <v>562</v>
      </c>
      <c r="G567" t="s">
        <v>565</v>
      </c>
      <c r="H567" t="s">
        <v>1042</v>
      </c>
      <c r="I567" t="s">
        <v>566</v>
      </c>
      <c r="J567" s="30" t="s">
        <v>71</v>
      </c>
      <c r="K567" s="84" t="s">
        <v>1278</v>
      </c>
      <c r="L567" s="30"/>
      <c r="M567" s="30" t="s">
        <v>865</v>
      </c>
      <c r="N567" s="30"/>
      <c r="O567" s="31">
        <f t="shared" si="43"/>
        <v>20</v>
      </c>
      <c r="P567" s="136" t="s">
        <v>2137</v>
      </c>
      <c r="Q567" s="31">
        <f t="shared" si="44"/>
        <v>8</v>
      </c>
      <c r="R567" s="32">
        <f t="shared" si="45"/>
        <v>0.7142857142857143</v>
      </c>
      <c r="S567" s="70"/>
      <c r="T567" s="70"/>
      <c r="U567" s="70"/>
      <c r="V567" s="70" t="s">
        <v>2223</v>
      </c>
      <c r="W567" s="70" t="s">
        <v>2223</v>
      </c>
      <c r="X567" s="70" t="s">
        <v>2223</v>
      </c>
      <c r="Y567" s="70" t="s">
        <v>2223</v>
      </c>
      <c r="Z567" s="70" t="s">
        <v>2223</v>
      </c>
      <c r="AA567" s="70"/>
      <c r="AB567" s="70"/>
      <c r="AC567" s="70" t="s">
        <v>2223</v>
      </c>
      <c r="AD567" s="70" t="s">
        <v>2223</v>
      </c>
      <c r="AE567" s="70" t="s">
        <v>2223</v>
      </c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hidden="1" thickBot="1" x14ac:dyDescent="0.3">
      <c r="A568"/>
      <c r="B568"/>
      <c r="C568"/>
      <c r="D568"/>
      <c r="E568" t="s">
        <v>2479</v>
      </c>
      <c r="F568" t="s">
        <v>562</v>
      </c>
      <c r="G568" t="s">
        <v>567</v>
      </c>
      <c r="H568" t="s">
        <v>1042</v>
      </c>
      <c r="I568" t="s">
        <v>568</v>
      </c>
      <c r="J568" s="30" t="s">
        <v>14</v>
      </c>
      <c r="K568" s="30" t="s">
        <v>2370</v>
      </c>
      <c r="L568" s="30"/>
      <c r="M568" s="30" t="s">
        <v>866</v>
      </c>
      <c r="N568" s="30"/>
      <c r="O568" s="31">
        <f t="shared" si="43"/>
        <v>28</v>
      </c>
      <c r="P568" s="136" t="s">
        <v>2059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hidden="1" thickBot="1" x14ac:dyDescent="0.3">
      <c r="A569"/>
      <c r="B569"/>
      <c r="C569"/>
      <c r="D569"/>
      <c r="E569"/>
      <c r="F569" s="73" t="s">
        <v>562</v>
      </c>
      <c r="G569" s="73" t="s">
        <v>569</v>
      </c>
      <c r="H569" s="73" t="s">
        <v>1042</v>
      </c>
      <c r="I569" s="73" t="s">
        <v>570</v>
      </c>
      <c r="J569" s="84" t="s">
        <v>14</v>
      </c>
      <c r="K569" s="84" t="s">
        <v>1278</v>
      </c>
      <c r="L569" s="84"/>
      <c r="M569" s="84" t="s">
        <v>867</v>
      </c>
      <c r="N569" s="84"/>
      <c r="O569" s="131">
        <f t="shared" si="43"/>
        <v>28</v>
      </c>
      <c r="P569" s="136" t="s">
        <v>2060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hidden="1" thickBot="1" x14ac:dyDescent="0.3">
      <c r="A570"/>
      <c r="B570"/>
      <c r="C570"/>
      <c r="D570"/>
      <c r="E570"/>
      <c r="F570" t="s">
        <v>165</v>
      </c>
      <c r="G570" t="s">
        <v>571</v>
      </c>
      <c r="H570" t="s">
        <v>1042</v>
      </c>
      <c r="I570" t="s">
        <v>1071</v>
      </c>
      <c r="J570" s="30" t="s">
        <v>18</v>
      </c>
      <c r="K570" s="30" t="s">
        <v>19</v>
      </c>
      <c r="L570" s="30"/>
      <c r="M570" s="30" t="s">
        <v>1373</v>
      </c>
      <c r="N570" s="30"/>
      <c r="O570" s="31">
        <f t="shared" si="43"/>
        <v>28</v>
      </c>
      <c r="P570" s="136" t="s">
        <v>2138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>
        <v>6</v>
      </c>
      <c r="B571">
        <v>12</v>
      </c>
      <c r="C571"/>
      <c r="D571"/>
      <c r="E571" t="s">
        <v>2336</v>
      </c>
      <c r="F571" t="s">
        <v>165</v>
      </c>
      <c r="G571" t="s">
        <v>1029</v>
      </c>
      <c r="H571" t="s">
        <v>1042</v>
      </c>
      <c r="I571" t="s">
        <v>1072</v>
      </c>
      <c r="J571" s="30" t="s">
        <v>71</v>
      </c>
      <c r="K571" s="30" t="s">
        <v>27</v>
      </c>
      <c r="L571" s="30"/>
      <c r="M571" s="30" t="s">
        <v>868</v>
      </c>
      <c r="N571" s="30"/>
      <c r="O571" s="31">
        <f t="shared" si="43"/>
        <v>20</v>
      </c>
      <c r="P571" s="136" t="s">
        <v>2061</v>
      </c>
      <c r="Q571" s="31">
        <f t="shared" si="44"/>
        <v>8</v>
      </c>
      <c r="R571" s="32">
        <f t="shared" si="45"/>
        <v>0.7142857142857143</v>
      </c>
      <c r="S571" s="70"/>
      <c r="T571" s="70"/>
      <c r="U571" s="70"/>
      <c r="V571" s="70" t="s">
        <v>2223</v>
      </c>
      <c r="W571" s="70" t="s">
        <v>2223</v>
      </c>
      <c r="X571" s="70" t="s">
        <v>2223</v>
      </c>
      <c r="Y571" s="70" t="s">
        <v>2223</v>
      </c>
      <c r="Z571" s="70" t="s">
        <v>2223</v>
      </c>
      <c r="AA571" s="70"/>
      <c r="AB571" s="70"/>
      <c r="AC571" s="70" t="s">
        <v>2223</v>
      </c>
      <c r="AD571" s="70" t="s">
        <v>2223</v>
      </c>
      <c r="AE571" s="70" t="s">
        <v>2223</v>
      </c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>
        <v>6</v>
      </c>
      <c r="B572">
        <v>12</v>
      </c>
      <c r="C572"/>
      <c r="D572"/>
      <c r="E572" t="s">
        <v>2336</v>
      </c>
      <c r="F572" t="s">
        <v>165</v>
      </c>
      <c r="G572" t="s">
        <v>1030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869</v>
      </c>
      <c r="N572" s="30"/>
      <c r="O572" s="31">
        <f t="shared" si="43"/>
        <v>20</v>
      </c>
      <c r="P572" s="136" t="s">
        <v>2062</v>
      </c>
      <c r="Q572" s="31">
        <f t="shared" si="44"/>
        <v>8</v>
      </c>
      <c r="R572" s="32">
        <f t="shared" si="45"/>
        <v>0.7142857142857143</v>
      </c>
      <c r="S572" s="70"/>
      <c r="T572" s="70"/>
      <c r="U572" s="70"/>
      <c r="V572" s="70" t="s">
        <v>2223</v>
      </c>
      <c r="W572" s="70" t="s">
        <v>2223</v>
      </c>
      <c r="X572" s="70" t="s">
        <v>2223</v>
      </c>
      <c r="Y572" s="70" t="s">
        <v>2223</v>
      </c>
      <c r="Z572" s="70" t="s">
        <v>2223</v>
      </c>
      <c r="AA572" s="70"/>
      <c r="AB572" s="70"/>
      <c r="AC572" s="70" t="s">
        <v>2223</v>
      </c>
      <c r="AD572" s="70" t="s">
        <v>2223</v>
      </c>
      <c r="AE572" s="70" t="s">
        <v>2223</v>
      </c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>
        <v>6</v>
      </c>
      <c r="B573">
        <v>12</v>
      </c>
      <c r="C573"/>
      <c r="D573"/>
      <c r="E573" t="s">
        <v>2336</v>
      </c>
      <c r="F573" t="s">
        <v>165</v>
      </c>
      <c r="G573" t="s">
        <v>1031</v>
      </c>
      <c r="H573" t="s">
        <v>1042</v>
      </c>
      <c r="I573" t="s">
        <v>1086</v>
      </c>
      <c r="J573" s="30" t="s">
        <v>14</v>
      </c>
      <c r="K573" s="30" t="s">
        <v>27</v>
      </c>
      <c r="L573" s="30"/>
      <c r="M573" s="30" t="s">
        <v>870</v>
      </c>
      <c r="N573" s="30"/>
      <c r="O573" s="31">
        <f t="shared" si="43"/>
        <v>20</v>
      </c>
      <c r="P573" s="136" t="s">
        <v>2063</v>
      </c>
      <c r="Q573" s="31">
        <f t="shared" si="44"/>
        <v>8</v>
      </c>
      <c r="R573" s="32">
        <f t="shared" si="45"/>
        <v>0.7142857142857143</v>
      </c>
      <c r="S573" s="70"/>
      <c r="T573" s="70"/>
      <c r="U573" s="70"/>
      <c r="V573" s="70" t="s">
        <v>2223</v>
      </c>
      <c r="W573" s="70" t="s">
        <v>2223</v>
      </c>
      <c r="X573" s="70" t="s">
        <v>2223</v>
      </c>
      <c r="Y573" s="70" t="s">
        <v>2223</v>
      </c>
      <c r="Z573" s="70" t="s">
        <v>2223</v>
      </c>
      <c r="AA573" s="70"/>
      <c r="AB573" s="70"/>
      <c r="AC573" s="70" t="s">
        <v>2223</v>
      </c>
      <c r="AD573" s="70" t="s">
        <v>2223</v>
      </c>
      <c r="AE573" s="70" t="s">
        <v>2223</v>
      </c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>
        <v>6</v>
      </c>
      <c r="B574">
        <v>12</v>
      </c>
      <c r="C574"/>
      <c r="D574"/>
      <c r="E574" t="s">
        <v>2336</v>
      </c>
      <c r="F574" t="s">
        <v>165</v>
      </c>
      <c r="G574" t="s">
        <v>572</v>
      </c>
      <c r="H574" t="s">
        <v>1042</v>
      </c>
      <c r="I574" t="s">
        <v>1073</v>
      </c>
      <c r="J574" s="30" t="s">
        <v>14</v>
      </c>
      <c r="K574" s="30" t="s">
        <v>1035</v>
      </c>
      <c r="L574" s="30"/>
      <c r="M574" s="30" t="s">
        <v>1197</v>
      </c>
      <c r="N574" s="30"/>
      <c r="O574" s="31">
        <f t="shared" si="43"/>
        <v>20</v>
      </c>
      <c r="P574" s="136" t="s">
        <v>2064</v>
      </c>
      <c r="Q574" s="31">
        <f t="shared" si="44"/>
        <v>8</v>
      </c>
      <c r="R574" s="32">
        <f t="shared" si="45"/>
        <v>0.7142857142857143</v>
      </c>
      <c r="S574" s="70"/>
      <c r="T574" s="70"/>
      <c r="U574" s="70"/>
      <c r="V574" s="70" t="s">
        <v>2223</v>
      </c>
      <c r="W574" s="70" t="s">
        <v>2223</v>
      </c>
      <c r="X574" s="70" t="s">
        <v>2223</v>
      </c>
      <c r="Y574" s="70" t="s">
        <v>2223</v>
      </c>
      <c r="Z574" s="70" t="s">
        <v>2223</v>
      </c>
      <c r="AA574" s="70"/>
      <c r="AB574" s="70"/>
      <c r="AC574" s="70" t="s">
        <v>2223</v>
      </c>
      <c r="AD574" s="70" t="s">
        <v>2223</v>
      </c>
      <c r="AE574" s="70" t="s">
        <v>2223</v>
      </c>
      <c r="AF574" s="70"/>
      <c r="AG574" s="142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>
        <v>6</v>
      </c>
      <c r="B575">
        <v>12</v>
      </c>
      <c r="C575"/>
      <c r="D575"/>
      <c r="E575" t="s">
        <v>2336</v>
      </c>
      <c r="F575" t="s">
        <v>573</v>
      </c>
      <c r="G575" t="s">
        <v>1032</v>
      </c>
      <c r="H575" t="s">
        <v>1042</v>
      </c>
      <c r="I575" t="s">
        <v>575</v>
      </c>
      <c r="J575" s="30" t="s">
        <v>71</v>
      </c>
      <c r="K575" s="30" t="s">
        <v>27</v>
      </c>
      <c r="L575" s="30"/>
      <c r="M575" s="30" t="s">
        <v>872</v>
      </c>
      <c r="N575" s="30"/>
      <c r="O575" s="31">
        <f t="shared" si="43"/>
        <v>20</v>
      </c>
      <c r="P575" s="136" t="s">
        <v>2066</v>
      </c>
      <c r="Q575" s="31">
        <f t="shared" si="44"/>
        <v>8</v>
      </c>
      <c r="R575" s="32">
        <f t="shared" si="45"/>
        <v>0.7142857142857143</v>
      </c>
      <c r="S575" s="70"/>
      <c r="T575" s="70"/>
      <c r="U575" s="70"/>
      <c r="V575" s="70" t="s">
        <v>2223</v>
      </c>
      <c r="W575" s="70" t="s">
        <v>2223</v>
      </c>
      <c r="X575" s="70" t="s">
        <v>2223</v>
      </c>
      <c r="Y575" s="70" t="s">
        <v>2223</v>
      </c>
      <c r="Z575" s="70" t="s">
        <v>2223</v>
      </c>
      <c r="AA575" s="70"/>
      <c r="AB575" s="70"/>
      <c r="AC575" s="70" t="s">
        <v>2223</v>
      </c>
      <c r="AD575" s="70" t="s">
        <v>2223</v>
      </c>
      <c r="AE575" s="70" t="s">
        <v>2223</v>
      </c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hidden="1" thickBot="1" x14ac:dyDescent="0.3">
      <c r="A576">
        <v>6</v>
      </c>
      <c r="B576">
        <v>12</v>
      </c>
      <c r="C576"/>
      <c r="D576"/>
      <c r="E576" t="s">
        <v>2336</v>
      </c>
      <c r="F576" t="s">
        <v>573</v>
      </c>
      <c r="G576" t="s">
        <v>1033</v>
      </c>
      <c r="H576" t="s">
        <v>1042</v>
      </c>
      <c r="I576" t="s">
        <v>576</v>
      </c>
      <c r="J576" s="30" t="s">
        <v>71</v>
      </c>
      <c r="K576" s="30" t="s">
        <v>27</v>
      </c>
      <c r="L576" s="30"/>
      <c r="M576" s="30" t="s">
        <v>873</v>
      </c>
      <c r="N576" s="30"/>
      <c r="O576" s="31">
        <f t="shared" si="43"/>
        <v>20</v>
      </c>
      <c r="P576" s="136" t="s">
        <v>2067</v>
      </c>
      <c r="Q576" s="31">
        <f t="shared" si="44"/>
        <v>8</v>
      </c>
      <c r="R576" s="32">
        <f t="shared" si="45"/>
        <v>0.7142857142857143</v>
      </c>
      <c r="S576" s="70"/>
      <c r="T576" s="70"/>
      <c r="U576" s="70"/>
      <c r="V576" s="70" t="s">
        <v>2223</v>
      </c>
      <c r="W576" s="70" t="s">
        <v>2223</v>
      </c>
      <c r="X576" s="70" t="s">
        <v>2223</v>
      </c>
      <c r="Y576" s="70" t="s">
        <v>2223</v>
      </c>
      <c r="Z576" s="70" t="s">
        <v>2223</v>
      </c>
      <c r="AA576" s="70"/>
      <c r="AB576" s="70"/>
      <c r="AC576" s="70" t="s">
        <v>2223</v>
      </c>
      <c r="AD576" s="70" t="s">
        <v>2223</v>
      </c>
      <c r="AE576" s="70" t="s">
        <v>2223</v>
      </c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>
        <v>6</v>
      </c>
      <c r="B577">
        <v>12</v>
      </c>
      <c r="C577"/>
      <c r="D577"/>
      <c r="E577" t="s">
        <v>2336</v>
      </c>
      <c r="F577" t="s">
        <v>573</v>
      </c>
      <c r="G577" t="s">
        <v>574</v>
      </c>
      <c r="H577" t="s">
        <v>1042</v>
      </c>
      <c r="I577" t="s">
        <v>575</v>
      </c>
      <c r="J577" s="30" t="s">
        <v>71</v>
      </c>
      <c r="K577" s="30" t="s">
        <v>27</v>
      </c>
      <c r="L577" s="30"/>
      <c r="M577" s="30" t="s">
        <v>871</v>
      </c>
      <c r="N577" s="30"/>
      <c r="O577" s="31">
        <f t="shared" si="43"/>
        <v>20</v>
      </c>
      <c r="P577" s="136" t="s">
        <v>2065</v>
      </c>
      <c r="Q577" s="31">
        <f t="shared" si="44"/>
        <v>8</v>
      </c>
      <c r="R577" s="32">
        <f t="shared" si="45"/>
        <v>0.7142857142857143</v>
      </c>
      <c r="S577" s="70"/>
      <c r="T577" s="70"/>
      <c r="U577" s="70"/>
      <c r="V577" s="70" t="s">
        <v>2223</v>
      </c>
      <c r="W577" s="70" t="s">
        <v>2223</v>
      </c>
      <c r="X577" s="70" t="s">
        <v>2223</v>
      </c>
      <c r="Y577" s="70" t="s">
        <v>2223</v>
      </c>
      <c r="Z577" s="70" t="s">
        <v>2223</v>
      </c>
      <c r="AA577" s="70"/>
      <c r="AB577" s="70"/>
      <c r="AC577" s="70" t="s">
        <v>2223</v>
      </c>
      <c r="AD577" s="70" t="s">
        <v>2223</v>
      </c>
      <c r="AE577" s="70" t="s">
        <v>2223</v>
      </c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>
        <v>6</v>
      </c>
      <c r="B578">
        <v>12</v>
      </c>
      <c r="C578"/>
      <c r="D578"/>
      <c r="E578" t="s">
        <v>2336</v>
      </c>
      <c r="F578" t="s">
        <v>573</v>
      </c>
      <c r="G578" t="s">
        <v>577</v>
      </c>
      <c r="H578" t="s">
        <v>1042</v>
      </c>
      <c r="I578" t="s">
        <v>576</v>
      </c>
      <c r="J578" s="30" t="s">
        <v>71</v>
      </c>
      <c r="K578" s="30" t="s">
        <v>27</v>
      </c>
      <c r="L578" s="30"/>
      <c r="M578" s="30" t="s">
        <v>874</v>
      </c>
      <c r="N578" s="30"/>
      <c r="O578" s="31">
        <f t="shared" si="43"/>
        <v>20</v>
      </c>
      <c r="P578" s="136" t="s">
        <v>2068</v>
      </c>
      <c r="Q578" s="31">
        <f t="shared" si="44"/>
        <v>8</v>
      </c>
      <c r="R578" s="32">
        <f t="shared" si="45"/>
        <v>0.7142857142857143</v>
      </c>
      <c r="S578" s="70"/>
      <c r="T578" s="70"/>
      <c r="U578" s="70"/>
      <c r="V578" s="70" t="s">
        <v>2223</v>
      </c>
      <c r="W578" s="70" t="s">
        <v>2223</v>
      </c>
      <c r="X578" s="70" t="s">
        <v>2223</v>
      </c>
      <c r="Y578" s="70" t="s">
        <v>2223</v>
      </c>
      <c r="Z578" s="70" t="s">
        <v>2223</v>
      </c>
      <c r="AA578" s="70"/>
      <c r="AB578" s="70"/>
      <c r="AC578" s="70" t="s">
        <v>2223</v>
      </c>
      <c r="AD578" s="70" t="s">
        <v>2223</v>
      </c>
      <c r="AE578" s="70" t="s">
        <v>2223</v>
      </c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hidden="1" thickBot="1" x14ac:dyDescent="0.3">
      <c r="A579"/>
      <c r="B579"/>
      <c r="C579"/>
      <c r="D579"/>
      <c r="E579"/>
      <c r="F579" s="73" t="s">
        <v>578</v>
      </c>
      <c r="G579" s="73" t="s">
        <v>579</v>
      </c>
      <c r="H579" s="73" t="s">
        <v>1042</v>
      </c>
      <c r="I579" s="73" t="s">
        <v>580</v>
      </c>
      <c r="J579" s="84" t="s">
        <v>14</v>
      </c>
      <c r="K579" s="84" t="s">
        <v>1278</v>
      </c>
      <c r="L579" s="84"/>
      <c r="M579" s="84" t="s">
        <v>875</v>
      </c>
      <c r="N579" s="84"/>
      <c r="O579" s="131">
        <f t="shared" si="43"/>
        <v>28</v>
      </c>
      <c r="P579" s="136" t="s">
        <v>2153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/>
      <c r="B580"/>
      <c r="C580"/>
      <c r="D580"/>
      <c r="E580"/>
      <c r="F580" s="73" t="s">
        <v>578</v>
      </c>
      <c r="G580" s="73" t="s">
        <v>2202</v>
      </c>
      <c r="H580" s="73" t="s">
        <v>1042</v>
      </c>
      <c r="I580" s="73" t="s">
        <v>2203</v>
      </c>
      <c r="J580" s="84" t="s">
        <v>14</v>
      </c>
      <c r="K580" s="84" t="s">
        <v>1278</v>
      </c>
      <c r="L580" s="84"/>
      <c r="M580" s="84" t="s">
        <v>2204</v>
      </c>
      <c r="N580" s="84"/>
      <c r="O580" s="131">
        <f t="shared" si="43"/>
        <v>28</v>
      </c>
      <c r="P580" s="136" t="s">
        <v>2205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ht="14.25" hidden="1" customHeight="1" thickBot="1" x14ac:dyDescent="0.3">
      <c r="A581"/>
      <c r="B581"/>
      <c r="C581"/>
      <c r="D581"/>
      <c r="E581"/>
      <c r="F581" s="73" t="s">
        <v>578</v>
      </c>
      <c r="G581" s="73" t="s">
        <v>2215</v>
      </c>
      <c r="H581" s="73" t="s">
        <v>1042</v>
      </c>
      <c r="I581" s="73" t="s">
        <v>2216</v>
      </c>
      <c r="J581" s="84" t="s">
        <v>14</v>
      </c>
      <c r="K581" s="84" t="s">
        <v>1278</v>
      </c>
      <c r="L581" s="84"/>
      <c r="M581" s="84" t="s">
        <v>2299</v>
      </c>
      <c r="N581" s="84"/>
      <c r="O581" s="131">
        <f t="shared" si="43"/>
        <v>28</v>
      </c>
      <c r="P581" s="136" t="s">
        <v>2435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/>
      <c r="B582"/>
      <c r="C582"/>
      <c r="D582"/>
      <c r="E582"/>
      <c r="F582" t="s">
        <v>581</v>
      </c>
      <c r="G582" t="s">
        <v>583</v>
      </c>
      <c r="H582" t="s">
        <v>1042</v>
      </c>
      <c r="I582" t="s">
        <v>584</v>
      </c>
      <c r="J582" s="30" t="s">
        <v>14</v>
      </c>
      <c r="K582" s="30" t="s">
        <v>19</v>
      </c>
      <c r="L582" s="30"/>
      <c r="M582" s="30" t="s">
        <v>877</v>
      </c>
      <c r="N582" s="30"/>
      <c r="O582" s="31">
        <f t="shared" si="43"/>
        <v>28</v>
      </c>
      <c r="P582" s="136" t="s">
        <v>2155</v>
      </c>
      <c r="Q582" s="31">
        <f t="shared" si="44"/>
        <v>0</v>
      </c>
      <c r="R582" s="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/>
      <c r="B583"/>
      <c r="C583"/>
      <c r="D583"/>
      <c r="E583"/>
      <c r="F583" t="s">
        <v>581</v>
      </c>
      <c r="G583" t="s">
        <v>585</v>
      </c>
      <c r="H583" t="s">
        <v>1042</v>
      </c>
      <c r="I583" t="s">
        <v>586</v>
      </c>
      <c r="J583" s="30" t="s">
        <v>14</v>
      </c>
      <c r="K583" s="30" t="s">
        <v>19</v>
      </c>
      <c r="L583" s="30"/>
      <c r="M583" s="30" t="s">
        <v>878</v>
      </c>
      <c r="N583" s="30"/>
      <c r="O583" s="31">
        <f t="shared" si="43"/>
        <v>28</v>
      </c>
      <c r="P583" s="136" t="s">
        <v>2156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hidden="1" thickBot="1" x14ac:dyDescent="0.3">
      <c r="A584">
        <v>4</v>
      </c>
      <c r="B584">
        <v>12</v>
      </c>
      <c r="C584"/>
      <c r="D584"/>
      <c r="E584" t="s">
        <v>2334</v>
      </c>
      <c r="F584" t="s">
        <v>581</v>
      </c>
      <c r="G584" s="30" t="s">
        <v>1094</v>
      </c>
      <c r="H584" s="30" t="s">
        <v>1042</v>
      </c>
      <c r="I584" t="s">
        <v>1096</v>
      </c>
      <c r="J584" s="30" t="s">
        <v>1093</v>
      </c>
      <c r="K584" s="30" t="s">
        <v>27</v>
      </c>
      <c r="L584" s="30"/>
      <c r="M584" s="30" t="s">
        <v>1101</v>
      </c>
      <c r="N584" s="30"/>
      <c r="O584" s="31">
        <f t="shared" si="43"/>
        <v>28</v>
      </c>
      <c r="P584" s="136" t="s">
        <v>2070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>
        <v>4</v>
      </c>
      <c r="B585">
        <v>12</v>
      </c>
      <c r="C585"/>
      <c r="D585"/>
      <c r="E585" t="s">
        <v>2334</v>
      </c>
      <c r="F585" t="s">
        <v>581</v>
      </c>
      <c r="G585" s="30" t="s">
        <v>1095</v>
      </c>
      <c r="H585" s="30" t="s">
        <v>1042</v>
      </c>
      <c r="I585" t="s">
        <v>1096</v>
      </c>
      <c r="J585" s="30" t="s">
        <v>1093</v>
      </c>
      <c r="K585" s="30" t="s">
        <v>27</v>
      </c>
      <c r="L585" s="30"/>
      <c r="M585" s="30" t="s">
        <v>1102</v>
      </c>
      <c r="N585" s="30"/>
      <c r="O585" s="31">
        <f t="shared" ref="O585:O596" si="46">COUNTIF(S585:AT585,"")</f>
        <v>28</v>
      </c>
      <c r="P585" s="136" t="s">
        <v>2069</v>
      </c>
      <c r="Q585" s="31">
        <f t="shared" ref="Q585:Q596" si="47">COUNTIF(S585:AT585,"APAGADO")</f>
        <v>0</v>
      </c>
      <c r="R585" s="32">
        <f t="shared" ref="R585:R596" si="48">(O585)/(Q585+O585)</f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>
        <v>4</v>
      </c>
      <c r="B586">
        <v>12</v>
      </c>
      <c r="C586"/>
      <c r="D586"/>
      <c r="E586" t="s">
        <v>2334</v>
      </c>
      <c r="F586" t="s">
        <v>581</v>
      </c>
      <c r="G586" s="30" t="s">
        <v>1178</v>
      </c>
      <c r="H586" s="30" t="s">
        <v>1042</v>
      </c>
      <c r="I586" t="s">
        <v>1179</v>
      </c>
      <c r="J586" s="30" t="s">
        <v>14</v>
      </c>
      <c r="K586" s="30" t="s">
        <v>27</v>
      </c>
      <c r="L586" s="30"/>
      <c r="M586" s="30" t="s">
        <v>1180</v>
      </c>
      <c r="N586" s="30"/>
      <c r="O586" s="31">
        <f t="shared" si="46"/>
        <v>23</v>
      </c>
      <c r="P586" s="136" t="s">
        <v>2071</v>
      </c>
      <c r="Q586" s="31">
        <f t="shared" si="47"/>
        <v>5</v>
      </c>
      <c r="R586" s="32">
        <f t="shared" si="48"/>
        <v>0.8214285714285714</v>
      </c>
      <c r="S586" s="70"/>
      <c r="T586" s="70"/>
      <c r="U586" s="70"/>
      <c r="V586" s="70"/>
      <c r="W586" s="70"/>
      <c r="X586" s="70"/>
      <c r="Y586" s="70" t="s">
        <v>2223</v>
      </c>
      <c r="Z586" s="70" t="s">
        <v>2223</v>
      </c>
      <c r="AA586" s="70"/>
      <c r="AB586" s="70"/>
      <c r="AC586" s="70" t="s">
        <v>2223</v>
      </c>
      <c r="AD586" s="70" t="s">
        <v>2223</v>
      </c>
      <c r="AE586" s="70" t="s">
        <v>2223</v>
      </c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/>
      <c r="B587"/>
      <c r="C587"/>
      <c r="D587"/>
      <c r="E587"/>
      <c r="F587" t="s">
        <v>581</v>
      </c>
      <c r="G587" t="s">
        <v>1034</v>
      </c>
      <c r="H587" t="s">
        <v>1042</v>
      </c>
      <c r="I587" t="s">
        <v>582</v>
      </c>
      <c r="J587" s="30" t="s">
        <v>14</v>
      </c>
      <c r="K587" s="30" t="s">
        <v>19</v>
      </c>
      <c r="L587" s="30"/>
      <c r="M587" s="30" t="s">
        <v>876</v>
      </c>
      <c r="N587" s="30"/>
      <c r="O587" s="31">
        <f t="shared" si="46"/>
        <v>28</v>
      </c>
      <c r="P587" s="136" t="s">
        <v>2154</v>
      </c>
      <c r="Q587" s="31">
        <f t="shared" si="47"/>
        <v>0</v>
      </c>
      <c r="R587" s="32">
        <f t="shared" si="48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s="73" customFormat="1" ht="15.75" hidden="1" thickBot="1" x14ac:dyDescent="0.3">
      <c r="A588"/>
      <c r="B588"/>
      <c r="C588"/>
      <c r="D588"/>
      <c r="E588"/>
      <c r="F588" s="73" t="s">
        <v>589</v>
      </c>
      <c r="G588" s="73" t="s">
        <v>587</v>
      </c>
      <c r="H588" s="73" t="s">
        <v>1041</v>
      </c>
      <c r="I588" s="73" t="s">
        <v>588</v>
      </c>
      <c r="J588" s="84" t="s">
        <v>18</v>
      </c>
      <c r="K588" s="84" t="s">
        <v>1278</v>
      </c>
      <c r="L588" s="84"/>
      <c r="M588" s="84" t="s">
        <v>1404</v>
      </c>
      <c r="N588" s="84"/>
      <c r="O588" s="131">
        <f t="shared" si="46"/>
        <v>28</v>
      </c>
      <c r="P588" s="136" t="s">
        <v>2075</v>
      </c>
      <c r="Q588" s="131">
        <f t="shared" si="47"/>
        <v>0</v>
      </c>
      <c r="R588" s="1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142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hidden="1" thickBot="1" x14ac:dyDescent="0.3">
      <c r="A589"/>
      <c r="B589"/>
      <c r="C589"/>
      <c r="D589"/>
      <c r="E589"/>
      <c r="F589" s="73" t="s">
        <v>589</v>
      </c>
      <c r="G589" s="73" t="s">
        <v>1417</v>
      </c>
      <c r="H589" s="73" t="s">
        <v>1041</v>
      </c>
      <c r="I589" s="73" t="s">
        <v>1418</v>
      </c>
      <c r="J589" s="84" t="s">
        <v>45</v>
      </c>
      <c r="K589" s="84" t="s">
        <v>1278</v>
      </c>
      <c r="L589" s="84"/>
      <c r="M589" s="84" t="s">
        <v>1423</v>
      </c>
      <c r="N589" s="84"/>
      <c r="O589" s="131">
        <f t="shared" si="46"/>
        <v>28</v>
      </c>
      <c r="P589" s="136" t="s">
        <v>2076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/>
      <c r="B590"/>
      <c r="C590"/>
      <c r="D590"/>
      <c r="E590"/>
      <c r="F590" s="73" t="s">
        <v>589</v>
      </c>
      <c r="G590" s="73" t="s">
        <v>1420</v>
      </c>
      <c r="H590" s="73" t="s">
        <v>1041</v>
      </c>
      <c r="I590" s="73" t="s">
        <v>1419</v>
      </c>
      <c r="J590" s="84" t="s">
        <v>71</v>
      </c>
      <c r="K590" s="84" t="s">
        <v>1278</v>
      </c>
      <c r="L590" s="84"/>
      <c r="M590" s="84" t="s">
        <v>1424</v>
      </c>
      <c r="N590" s="84"/>
      <c r="O590" s="131">
        <f t="shared" si="46"/>
        <v>28</v>
      </c>
      <c r="P590" s="136" t="s">
        <v>2077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/>
      <c r="B591"/>
      <c r="C591"/>
      <c r="D591"/>
      <c r="E591"/>
      <c r="F591" s="73" t="s">
        <v>589</v>
      </c>
      <c r="G591" s="73" t="s">
        <v>1421</v>
      </c>
      <c r="H591" s="73" t="s">
        <v>1041</v>
      </c>
      <c r="I591" s="73" t="s">
        <v>1422</v>
      </c>
      <c r="J591" s="84" t="s">
        <v>71</v>
      </c>
      <c r="K591" s="84" t="s">
        <v>1278</v>
      </c>
      <c r="L591" s="84"/>
      <c r="M591" s="84" t="s">
        <v>1425</v>
      </c>
      <c r="N591" s="84"/>
      <c r="O591" s="131">
        <f t="shared" si="46"/>
        <v>28</v>
      </c>
      <c r="P591" s="136" t="s">
        <v>2078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s="73" customFormat="1" ht="15.75" hidden="1" thickBot="1" x14ac:dyDescent="0.3">
      <c r="A592"/>
      <c r="B592"/>
      <c r="C592"/>
      <c r="D592"/>
      <c r="E592"/>
      <c r="F592" s="73" t="s">
        <v>589</v>
      </c>
      <c r="G592" s="73" t="s">
        <v>2079</v>
      </c>
      <c r="H592" s="73" t="s">
        <v>1041</v>
      </c>
      <c r="I592" s="73" t="s">
        <v>2080</v>
      </c>
      <c r="J592" s="84" t="s">
        <v>14</v>
      </c>
      <c r="K592" s="84" t="s">
        <v>1278</v>
      </c>
      <c r="L592" s="84"/>
      <c r="M592" s="84" t="s">
        <v>2300</v>
      </c>
      <c r="N592" s="84"/>
      <c r="O592" s="131">
        <f t="shared" si="46"/>
        <v>28</v>
      </c>
      <c r="P592" s="136" t="s">
        <v>2081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hidden="1" thickBot="1" x14ac:dyDescent="0.3">
      <c r="A593"/>
      <c r="B593"/>
      <c r="C593"/>
      <c r="D593"/>
      <c r="E593"/>
      <c r="F593" s="73" t="s">
        <v>589</v>
      </c>
      <c r="G593" s="73" t="s">
        <v>2228</v>
      </c>
      <c r="H593" s="73" t="s">
        <v>1041</v>
      </c>
      <c r="I593" s="73" t="s">
        <v>2229</v>
      </c>
      <c r="J593" s="84" t="s">
        <v>14</v>
      </c>
      <c r="K593" s="84" t="s">
        <v>1278</v>
      </c>
      <c r="L593" s="84"/>
      <c r="M593" s="84" t="s">
        <v>2230</v>
      </c>
      <c r="N593" s="84"/>
      <c r="O593" s="131">
        <f t="shared" si="46"/>
        <v>28</v>
      </c>
      <c r="P593" s="136" t="s">
        <v>2231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590</v>
      </c>
      <c r="H594" s="73" t="s">
        <v>1042</v>
      </c>
      <c r="I594" s="73" t="s">
        <v>591</v>
      </c>
      <c r="J594" s="84" t="s">
        <v>18</v>
      </c>
      <c r="K594" s="84" t="s">
        <v>1278</v>
      </c>
      <c r="L594" s="84"/>
      <c r="M594" s="84" t="s">
        <v>1346</v>
      </c>
      <c r="N594" s="84"/>
      <c r="O594" s="131">
        <f t="shared" si="46"/>
        <v>28</v>
      </c>
      <c r="P594" s="136" t="s">
        <v>2072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297</v>
      </c>
      <c r="G595" s="73" t="s">
        <v>592</v>
      </c>
      <c r="H595" s="73" t="s">
        <v>1042</v>
      </c>
      <c r="I595" s="73" t="s">
        <v>593</v>
      </c>
      <c r="J595" s="84" t="s">
        <v>18</v>
      </c>
      <c r="K595" s="84" t="s">
        <v>1278</v>
      </c>
      <c r="L595" s="84"/>
      <c r="M595" s="84" t="s">
        <v>1343</v>
      </c>
      <c r="N595" s="84"/>
      <c r="O595" s="131">
        <f t="shared" si="46"/>
        <v>28</v>
      </c>
      <c r="P595" s="136" t="s">
        <v>2073</v>
      </c>
      <c r="Q595" s="131">
        <f t="shared" si="47"/>
        <v>0</v>
      </c>
      <c r="R595" s="132">
        <f t="shared" si="48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/>
    </row>
    <row r="596" spans="1:49" ht="17.25" hidden="1" customHeight="1" thickBot="1" x14ac:dyDescent="0.3">
      <c r="A596"/>
      <c r="B596"/>
      <c r="C596"/>
      <c r="D596"/>
      <c r="E596"/>
      <c r="F596" s="73" t="s">
        <v>589</v>
      </c>
      <c r="G596" s="73" t="s">
        <v>594</v>
      </c>
      <c r="H596" s="73" t="s">
        <v>1041</v>
      </c>
      <c r="I596" s="73" t="s">
        <v>595</v>
      </c>
      <c r="J596" s="84" t="s">
        <v>14</v>
      </c>
      <c r="K596" s="84" t="s">
        <v>1278</v>
      </c>
      <c r="L596" s="84"/>
      <c r="M596" s="84" t="s">
        <v>1477</v>
      </c>
      <c r="N596" s="84"/>
      <c r="O596" s="131">
        <f t="shared" si="46"/>
        <v>28</v>
      </c>
      <c r="P596" s="136" t="s">
        <v>2074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9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4"/>
      <c r="K597" s="84"/>
      <c r="L597" s="84"/>
      <c r="M597" s="84"/>
      <c r="N597" s="84"/>
      <c r="O597" s="145"/>
      <c r="P597" s="136"/>
      <c r="Q597" s="145"/>
      <c r="R597" s="146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x14ac:dyDescent="0.25">
      <c r="P598" s="136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  <c r="S602"/>
    </row>
    <row r="603" spans="1:49" x14ac:dyDescent="0.25">
      <c r="P603" s="136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6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P846" s="136"/>
      <c r="R846" s="13"/>
      <c r="U846" s="70"/>
    </row>
    <row r="847" spans="10:48" x14ac:dyDescent="0.25">
      <c r="P847" s="136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</sheetData>
  <autoFilter ref="A7:AV596" xr:uid="{00000000-0001-0000-0000-000000000000}">
    <filterColumn colId="4">
      <filters blank="1"/>
    </filterColumn>
    <filterColumn colId="10">
      <filters>
        <filter val="Fibra Optica"/>
      </filters>
    </filterColumn>
    <sortState xmlns:xlrd2="http://schemas.microsoft.com/office/spreadsheetml/2017/richdata2" ref="A8:AV596">
      <sortCondition descending="1" ref="G7:G596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181" priority="2462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180" priority="2461" operator="equal">
      <formula>$H$300</formula>
    </cfRule>
  </conditionalFormatting>
  <conditionalFormatting sqref="H1:H597 I20:I21 I164:I165 I224:I225 I260 I284:I287 I297:I299 I403:I407 I419:I421 I424:I425 H679:H1048576">
    <cfRule type="cellIs" dxfId="179" priority="2007" operator="equal">
      <formula>"IPCOMS"</formula>
    </cfRule>
  </conditionalFormatting>
  <conditionalFormatting sqref="J1:J568 J583:J597 J679:J1048576">
    <cfRule type="containsText" dxfId="178" priority="2467" operator="containsText" text="fija">
      <formula>NOT(ISERROR(SEARCH("fija",J1)))</formula>
    </cfRule>
    <cfRule type="containsText" dxfId="177" priority="2468" operator="containsText" text="domo">
      <formula>NOT(ISERROR(SEARCH("domo",J1)))</formula>
    </cfRule>
  </conditionalFormatting>
  <conditionalFormatting sqref="J1:J597 J679:J1048576">
    <cfRule type="cellIs" dxfId="176" priority="2463" operator="equal">
      <formula>$J$10</formula>
    </cfRule>
  </conditionalFormatting>
  <conditionalFormatting sqref="J34:J35 J162:N232 J236:N401">
    <cfRule type="containsText" dxfId="175" priority="1935" operator="containsText" text="Radio">
      <formula>NOT(ISERROR(SEARCH("Radio",J34)))</formula>
    </cfRule>
  </conditionalFormatting>
  <conditionalFormatting sqref="J135:J148 L148:N148">
    <cfRule type="containsText" dxfId="174" priority="1949" operator="containsText" text="Radio">
      <formula>NOT(ISERROR(SEARCH("Radio",J135)))</formula>
    </cfRule>
  </conditionalFormatting>
  <conditionalFormatting sqref="J403:J407">
    <cfRule type="containsText" dxfId="173" priority="1968" operator="containsText" text="Radio">
      <formula>NOT(ISERROR(SEARCH("Radio",J403)))</formula>
    </cfRule>
  </conditionalFormatting>
  <conditionalFormatting sqref="J570">
    <cfRule type="containsText" dxfId="172" priority="2410" operator="containsText" text="Radio">
      <formula>NOT(ISERROR(SEARCH("Radio",J570)))</formula>
    </cfRule>
    <cfRule type="containsText" dxfId="171" priority="2409" operator="containsText" text="domo">
      <formula>NOT(ISERROR(SEARCH("domo",J570)))</formula>
    </cfRule>
    <cfRule type="containsText" dxfId="170" priority="2408" operator="containsText" text="fija">
      <formula>NOT(ISERROR(SEARCH("fija",J570)))</formula>
    </cfRule>
  </conditionalFormatting>
  <conditionalFormatting sqref="J570:J571">
    <cfRule type="containsText" dxfId="169" priority="2404" operator="containsText" text="domo">
      <formula>NOT(ISERROR(SEARCH("domo",J570)))</formula>
    </cfRule>
    <cfRule type="containsText" dxfId="168" priority="2403" operator="containsText" text="fija">
      <formula>NOT(ISERROR(SEARCH("fija",J570)))</formula>
    </cfRule>
  </conditionalFormatting>
  <conditionalFormatting sqref="J571">
    <cfRule type="containsText" dxfId="167" priority="2405" operator="containsText" text="Radio">
      <formula>NOT(ISERROR(SEARCH("Radio",J571)))</formula>
    </cfRule>
    <cfRule type="containsText" dxfId="166" priority="2402" operator="containsText" text="domo">
      <formula>NOT(ISERROR(SEARCH("domo",J571)))</formula>
    </cfRule>
    <cfRule type="containsText" dxfId="165" priority="2401" operator="containsText" text="fija">
      <formula>NOT(ISERROR(SEARCH("fija",J571)))</formula>
    </cfRule>
  </conditionalFormatting>
  <conditionalFormatting sqref="J574">
    <cfRule type="containsText" dxfId="164" priority="2400" operator="containsText" text="Radio">
      <formula>NOT(ISERROR(SEARCH("Radio",J574)))</formula>
    </cfRule>
    <cfRule type="containsText" dxfId="163" priority="2399" operator="containsText" text="domo">
      <formula>NOT(ISERROR(SEARCH("domo",J574)))</formula>
    </cfRule>
    <cfRule type="containsText" dxfId="162" priority="2398" operator="containsText" text="fija">
      <formula>NOT(ISERROR(SEARCH("fija",J574)))</formula>
    </cfRule>
  </conditionalFormatting>
  <conditionalFormatting sqref="J574:J575">
    <cfRule type="containsText" dxfId="161" priority="2394" operator="containsText" text="domo">
      <formula>NOT(ISERROR(SEARCH("domo",J574)))</formula>
    </cfRule>
    <cfRule type="containsText" dxfId="160" priority="2393" operator="containsText" text="fija">
      <formula>NOT(ISERROR(SEARCH("fija",J574)))</formula>
    </cfRule>
  </conditionalFormatting>
  <conditionalFormatting sqref="J575 J48:N134 K135:K136 J234:K235 J402:K402 K403:K407 J408:N423 J424:K425 J426:N568 J583:N597 J679:N1048576 M402:N402 L402:L407">
    <cfRule type="containsText" dxfId="159" priority="2395" operator="containsText" text="Radio">
      <formula>NOT(ISERROR(SEARCH("Radio",J48)))</formula>
    </cfRule>
  </conditionalFormatting>
  <conditionalFormatting sqref="J575:J576">
    <cfRule type="containsText" dxfId="158" priority="2389" operator="containsText" text="domo">
      <formula>NOT(ISERROR(SEARCH("domo",J575)))</formula>
    </cfRule>
    <cfRule type="containsText" dxfId="157" priority="2388" operator="containsText" text="fija">
      <formula>NOT(ISERROR(SEARCH("fija",J575)))</formula>
    </cfRule>
  </conditionalFormatting>
  <conditionalFormatting sqref="J576">
    <cfRule type="containsText" dxfId="156" priority="2390" operator="containsText" text="Radio">
      <formula>NOT(ISERROR(SEARCH("Radio",J576)))</formula>
    </cfRule>
  </conditionalFormatting>
  <conditionalFormatting sqref="J576:J577">
    <cfRule type="containsText" dxfId="155" priority="2384" operator="containsText" text="domo">
      <formula>NOT(ISERROR(SEARCH("domo",J576)))</formula>
    </cfRule>
    <cfRule type="containsText" dxfId="154" priority="2383" operator="containsText" text="fija">
      <formula>NOT(ISERROR(SEARCH("fija",J576)))</formula>
    </cfRule>
  </conditionalFormatting>
  <conditionalFormatting sqref="J577">
    <cfRule type="containsText" dxfId="153" priority="2385" operator="containsText" text="Radio">
      <formula>NOT(ISERROR(SEARCH("Radio",J577)))</formula>
    </cfRule>
    <cfRule type="containsText" dxfId="152" priority="2382" operator="containsText" text="domo">
      <formula>NOT(ISERROR(SEARCH("domo",J577)))</formula>
    </cfRule>
    <cfRule type="containsText" dxfId="151" priority="2381" operator="containsText" text="fija">
      <formula>NOT(ISERROR(SEARCH("fija",J577)))</formula>
    </cfRule>
  </conditionalFormatting>
  <conditionalFormatting sqref="J581">
    <cfRule type="containsText" dxfId="150" priority="2680" operator="containsText" text="domo">
      <formula>NOT(ISERROR(SEARCH("domo",J581)))</formula>
    </cfRule>
    <cfRule type="containsText" dxfId="149" priority="2679" operator="containsText" text="fija">
      <formula>NOT(ISERROR(SEARCH("fija",J581)))</formula>
    </cfRule>
  </conditionalFormatting>
  <conditionalFormatting sqref="J584:J587">
    <cfRule type="containsText" dxfId="148" priority="2411" operator="containsText" text="fija">
      <formula>NOT(ISERROR(SEARCH("fija",J584)))</formula>
    </cfRule>
    <cfRule type="containsText" dxfId="147" priority="2412" operator="containsText" text="domo">
      <formula>NOT(ISERROR(SEARCH("domo",J584)))</formula>
    </cfRule>
  </conditionalFormatting>
  <conditionalFormatting sqref="J233:K233">
    <cfRule type="containsText" dxfId="146" priority="1970" operator="containsText" text="Radio">
      <formula>NOT(ISERROR(SEARCH("Radio",J233)))</formula>
    </cfRule>
  </conditionalFormatting>
  <conditionalFormatting sqref="J37:L47">
    <cfRule type="containsText" dxfId="145" priority="1940" operator="containsText" text="Radio">
      <formula>NOT(ISERROR(SEARCH("Radio",J37)))</formula>
    </cfRule>
  </conditionalFormatting>
  <conditionalFormatting sqref="J1:N36">
    <cfRule type="containsText" dxfId="144" priority="2005" operator="containsText" text="Radio">
      <formula>NOT(ISERROR(SEARCH("Radio",J1)))</formula>
    </cfRule>
  </conditionalFormatting>
  <conditionalFormatting sqref="J149:N161">
    <cfRule type="containsText" dxfId="143" priority="1943" operator="containsText" text="Radio">
      <formula>NOT(ISERROR(SEARCH("Radio",J149)))</formula>
    </cfRule>
  </conditionalFormatting>
  <conditionalFormatting sqref="J581:N581 K582">
    <cfRule type="containsText" dxfId="142" priority="2936" operator="containsText" text="Radio">
      <formula>NOT(ISERROR(SEARCH("Radio",J581)))</formula>
    </cfRule>
  </conditionalFormatting>
  <conditionalFormatting sqref="K1:K136 K162:K597 K679:K1048576">
    <cfRule type="cellIs" dxfId="141" priority="2009" operator="equal">
      <formula>"GPON"</formula>
    </cfRule>
    <cfRule type="cellIs" dxfId="140" priority="2008" operator="equal">
      <formula>"GPON"</formula>
    </cfRule>
  </conditionalFormatting>
  <conditionalFormatting sqref="K139">
    <cfRule type="cellIs" dxfId="139" priority="1997" operator="equal">
      <formula>"GPON"</formula>
    </cfRule>
    <cfRule type="cellIs" dxfId="138" priority="1996" operator="equal">
      <formula>"GPON"</formula>
    </cfRule>
    <cfRule type="cellIs" dxfId="137" priority="2001" operator="equal">
      <formula>"PTP A FO"</formula>
    </cfRule>
    <cfRule type="cellIs" dxfId="136" priority="2000" operator="equal">
      <formula>"PTP A FO"</formula>
    </cfRule>
    <cfRule type="cellIs" dxfId="135" priority="1999" operator="equal">
      <formula>$K$13</formula>
    </cfRule>
    <cfRule type="containsText" dxfId="134" priority="1998" operator="containsText" text="Radio">
      <formula>NOT(ISERROR(SEARCH("Radio",K139)))</formula>
    </cfRule>
  </conditionalFormatting>
  <conditionalFormatting sqref="K142:K149">
    <cfRule type="containsText" dxfId="133" priority="1973" operator="containsText" text="Radio">
      <formula>NOT(ISERROR(SEARCH("Radio",K142)))</formula>
    </cfRule>
    <cfRule type="cellIs" dxfId="132" priority="1974" operator="equal">
      <formula>$K$13</formula>
    </cfRule>
    <cfRule type="cellIs" dxfId="131" priority="1975" operator="equal">
      <formula>"PTP A FO"</formula>
    </cfRule>
    <cfRule type="cellIs" dxfId="130" priority="1976" operator="equal">
      <formula>"PTP A FO"</formula>
    </cfRule>
  </conditionalFormatting>
  <conditionalFormatting sqref="K142:K161">
    <cfRule type="cellIs" dxfId="129" priority="1941" operator="equal">
      <formula>"GPON"</formula>
    </cfRule>
    <cfRule type="cellIs" dxfId="128" priority="1942" operator="equal">
      <formula>"GPON"</formula>
    </cfRule>
  </conditionalFormatting>
  <conditionalFormatting sqref="K146:K147">
    <cfRule type="containsText" dxfId="127" priority="1936" operator="containsText" text="Radio">
      <formula>NOT(ISERROR(SEARCH("Radio",K146)))</formula>
    </cfRule>
    <cfRule type="cellIs" dxfId="126" priority="1937" operator="equal">
      <formula>$K$13</formula>
    </cfRule>
    <cfRule type="cellIs" dxfId="125" priority="1938" operator="equal">
      <formula>"PTP A FO"</formula>
    </cfRule>
    <cfRule type="cellIs" dxfId="124" priority="1939" operator="equal">
      <formula>"PTP A FO"</formula>
    </cfRule>
  </conditionalFormatting>
  <conditionalFormatting sqref="K233:K235">
    <cfRule type="cellIs" dxfId="123" priority="1988" operator="equal">
      <formula>"PTP A FO"</formula>
    </cfRule>
    <cfRule type="cellIs" dxfId="122" priority="1987" operator="equal">
      <formula>$K$13</formula>
    </cfRule>
    <cfRule type="cellIs" dxfId="121" priority="1989" operator="equal">
      <formula>"PTP A FO"</formula>
    </cfRule>
  </conditionalFormatting>
  <conditionalFormatting sqref="K234:K235">
    <cfRule type="cellIs" dxfId="120" priority="1985" operator="equal">
      <formula>"PTP A FO"</formula>
    </cfRule>
    <cfRule type="cellIs" dxfId="119" priority="1983" operator="equal">
      <formula>$K$13</formula>
    </cfRule>
    <cfRule type="cellIs" dxfId="118" priority="1984" operator="equal">
      <formula>"PTP A FO"</formula>
    </cfRule>
  </conditionalFormatting>
  <conditionalFormatting sqref="K424:K425">
    <cfRule type="cellIs" dxfId="117" priority="1995" operator="equal">
      <formula>"PTP A FO"</formula>
    </cfRule>
    <cfRule type="cellIs" dxfId="116" priority="1994" operator="equal">
      <formula>"PTP A FO"</formula>
    </cfRule>
    <cfRule type="cellIs" dxfId="115" priority="1993" operator="equal">
      <formula>$K$13</formula>
    </cfRule>
    <cfRule type="containsText" dxfId="114" priority="1992" operator="containsText" text="Radio">
      <formula>NOT(ISERROR(SEARCH("Radio",K424)))</formula>
    </cfRule>
  </conditionalFormatting>
  <conditionalFormatting sqref="K569">
    <cfRule type="cellIs" dxfId="113" priority="2059" operator="equal">
      <formula>"PTP A FO"</formula>
    </cfRule>
    <cfRule type="containsText" dxfId="112" priority="2058" operator="containsText" text="Radio">
      <formula>NOT(ISERROR(SEARCH("Radio",K569)))</formula>
    </cfRule>
  </conditionalFormatting>
  <conditionalFormatting sqref="K1:L134 K135:K136 K162:L232 K236:L423 K424:K425 K426:L568 K581:L581 K582 K583:L597 K679:L1048576">
    <cfRule type="cellIs" dxfId="111" priority="2660" operator="equal">
      <formula>"PTP A FO"</formula>
    </cfRule>
  </conditionalFormatting>
  <conditionalFormatting sqref="K1:L134 K135:K136 K162:L232 K236:L423 K424:K425 K426:L597 K679:L1048576">
    <cfRule type="cellIs" dxfId="110" priority="2465" operator="equal">
      <formula>"PTP A FO"</formula>
    </cfRule>
  </conditionalFormatting>
  <conditionalFormatting sqref="K1:L134 K135:K136 K236:L423 K424:K425 K426:L597 K679:L1048576 K162:L232">
    <cfRule type="cellIs" dxfId="109" priority="2464" operator="equal">
      <formula>$K$13</formula>
    </cfRule>
  </conditionalFormatting>
  <conditionalFormatting sqref="K149:L161">
    <cfRule type="cellIs" dxfId="108" priority="1944" operator="equal">
      <formula>$K$13</formula>
    </cfRule>
    <cfRule type="cellIs" dxfId="107" priority="1946" operator="equal">
      <formula>"PTP A FO"</formula>
    </cfRule>
    <cfRule type="cellIs" dxfId="106" priority="1945" operator="equal">
      <formula>"PTP A FO"</formula>
    </cfRule>
  </conditionalFormatting>
  <conditionalFormatting sqref="L148">
    <cfRule type="cellIs" dxfId="105" priority="1950" operator="equal">
      <formula>$K$13</formula>
    </cfRule>
    <cfRule type="cellIs" dxfId="104" priority="1951" operator="equal">
      <formula>"PTP A FO"</formula>
    </cfRule>
    <cfRule type="cellIs" dxfId="103" priority="1952" operator="equal">
      <formula>"PTP A FO"</formula>
    </cfRule>
  </conditionalFormatting>
  <conditionalFormatting sqref="R7:R397 R399:R597">
    <cfRule type="cellIs" dxfId="102" priority="2896" operator="greaterThan">
      <formula>0.8</formula>
    </cfRule>
    <cfRule type="cellIs" dxfId="101" priority="2895" operator="lessThan">
      <formula>0.8</formula>
    </cfRule>
  </conditionalFormatting>
  <conditionalFormatting sqref="S37:W38">
    <cfRule type="cellIs" dxfId="100" priority="754" operator="equal">
      <formula>"APAGADO"</formula>
    </cfRule>
  </conditionalFormatting>
  <conditionalFormatting sqref="S426:W426 Y426:AV426">
    <cfRule type="cellIs" dxfId="99" priority="693" operator="equal">
      <formula>"APAGADO"</formula>
    </cfRule>
  </conditionalFormatting>
  <conditionalFormatting sqref="S326:Z328">
    <cfRule type="cellIs" dxfId="98" priority="298" operator="equal">
      <formula>"APAGADO"</formula>
    </cfRule>
  </conditionalFormatting>
  <conditionalFormatting sqref="S121:AA121">
    <cfRule type="cellIs" dxfId="97" priority="786" operator="equal">
      <formula>"APAGADO"</formula>
    </cfRule>
  </conditionalFormatting>
  <conditionalFormatting sqref="S39:AT94">
    <cfRule type="cellIs" dxfId="96" priority="89" operator="equal">
      <formula>"APAGADO"</formula>
    </cfRule>
  </conditionalFormatting>
  <conditionalFormatting sqref="S96:AT120">
    <cfRule type="cellIs" dxfId="95" priority="91" operator="equal">
      <formula>"APAGADO"</formula>
    </cfRule>
  </conditionalFormatting>
  <conditionalFormatting sqref="S236:AT325">
    <cfRule type="cellIs" dxfId="94" priority="67" operator="equal">
      <formula>"APAGADO"</formula>
    </cfRule>
  </conditionalFormatting>
  <conditionalFormatting sqref="S329:AT351">
    <cfRule type="cellIs" dxfId="93" priority="66" operator="equal">
      <formula>"APAGADO"</formula>
    </cfRule>
  </conditionalFormatting>
  <conditionalFormatting sqref="S353:AT397">
    <cfRule type="cellIs" dxfId="92" priority="53" operator="equal">
      <formula>"APAGADO"</formula>
    </cfRule>
  </conditionalFormatting>
  <conditionalFormatting sqref="S399:AT402">
    <cfRule type="cellIs" dxfId="91" priority="55" operator="equal">
      <formula>"APAGADO"</formula>
    </cfRule>
  </conditionalFormatting>
  <conditionalFormatting sqref="S8:AV36">
    <cfRule type="cellIs" dxfId="90" priority="1040" operator="equal">
      <formula>"APAGADO"</formula>
    </cfRule>
  </conditionalFormatting>
  <conditionalFormatting sqref="S122:AV232">
    <cfRule type="cellIs" dxfId="89" priority="75" operator="equal">
      <formula>"APAGADO"</formula>
    </cfRule>
  </conditionalFormatting>
  <conditionalFormatting sqref="S409:AV416">
    <cfRule type="cellIs" dxfId="88" priority="48" operator="equal">
      <formula>"APAGADO"</formula>
    </cfRule>
  </conditionalFormatting>
  <conditionalFormatting sqref="S427:AV597">
    <cfRule type="cellIs" dxfId="87" priority="4" operator="equal">
      <formula>"APAGADO"</formula>
    </cfRule>
  </conditionalFormatting>
  <conditionalFormatting sqref="S679:AV755 AC679:AN1048576">
    <cfRule type="cellIs" dxfId="86" priority="2042" operator="equal">
      <formula>"apagado"</formula>
    </cfRule>
  </conditionalFormatting>
  <conditionalFormatting sqref="S679:AV1048576">
    <cfRule type="notContainsText" dxfId="85" priority="2925" operator="notContains" text="Caida">
      <formula>ISERROR(SEARCH("Caida",S679))</formula>
    </cfRule>
    <cfRule type="containsText" dxfId="84" priority="2592" operator="containsText" text="Caida">
      <formula>NOT(ISERROR(SEARCH("Caida",S679)))</formula>
    </cfRule>
  </conditionalFormatting>
  <conditionalFormatting sqref="U679:U1198">
    <cfRule type="notContainsText" dxfId="83" priority="2221" operator="notContains" text="Caida">
      <formula>ISERROR(SEARCH("Caida",U679))</formula>
    </cfRule>
    <cfRule type="containsText" dxfId="82" priority="2222" operator="containsText" text="Caida">
      <formula>NOT(ISERROR(SEARCH("Caida",U679)))</formula>
    </cfRule>
    <cfRule type="cellIs" dxfId="81" priority="2223" operator="lessThan">
      <formula>0.8</formula>
    </cfRule>
    <cfRule type="cellIs" dxfId="80" priority="2224" operator="greaterThan">
      <formula>0.8</formula>
    </cfRule>
    <cfRule type="cellIs" dxfId="79" priority="2247" operator="greaterThan">
      <formula>0.8</formula>
    </cfRule>
    <cfRule type="cellIs" dxfId="78" priority="2351" operator="equal">
      <formula>"APAGADO"</formula>
    </cfRule>
  </conditionalFormatting>
  <conditionalFormatting sqref="U679:U1048576">
    <cfRule type="cellIs" dxfId="77" priority="2241" operator="equal">
      <formula>$U$16</formula>
    </cfRule>
  </conditionalFormatting>
  <conditionalFormatting sqref="U417:AV423">
    <cfRule type="cellIs" dxfId="76" priority="47" operator="equal">
      <formula>"APAGADO"</formula>
    </cfRule>
  </conditionalFormatting>
  <conditionalFormatting sqref="V234:W234">
    <cfRule type="cellIs" dxfId="75" priority="766" operator="equal">
      <formula>"APAGADO"</formula>
    </cfRule>
  </conditionalFormatting>
  <conditionalFormatting sqref="V408:AG408">
    <cfRule type="cellIs" dxfId="74" priority="734" operator="equal">
      <formula>"APAGADO"</formula>
    </cfRule>
  </conditionalFormatting>
  <conditionalFormatting sqref="X425:X426">
    <cfRule type="cellIs" dxfId="73" priority="622" operator="equal">
      <formula>"APAGADO"</formula>
    </cfRule>
  </conditionalFormatting>
  <conditionalFormatting sqref="X406:Z407">
    <cfRule type="cellIs" dxfId="72" priority="341" operator="equal">
      <formula>"APAGADO"</formula>
    </cfRule>
  </conditionalFormatting>
  <conditionalFormatting sqref="X37:AJ37 S95:AM95 AO95:AT95 AF233:AF235 AA328 S352:AH352 AJ352:AT352 T403:U403 S403:S408 T404:T407 U404:U408 S408:T408 AI408:AK408 AQ408:AR408 S417:T425 AO679:AV1048576">
    <cfRule type="cellIs" dxfId="71" priority="2041" operator="equal">
      <formula>"APAGADO"</formula>
    </cfRule>
  </conditionalFormatting>
  <conditionalFormatting sqref="X38:AK38">
    <cfRule type="cellIs" dxfId="70" priority="1818" operator="equal">
      <formula>"APAGADO"</formula>
    </cfRule>
  </conditionalFormatting>
  <conditionalFormatting sqref="Y425:Z425">
    <cfRule type="cellIs" dxfId="69" priority="335" operator="equal">
      <formula>"APAGADO"</formula>
    </cfRule>
  </conditionalFormatting>
  <conditionalFormatting sqref="Y398:AT398">
    <cfRule type="cellIs" dxfId="68" priority="342" operator="equal">
      <formula>"APAGADO"</formula>
    </cfRule>
  </conditionalFormatting>
  <conditionalFormatting sqref="AA326:AB327">
    <cfRule type="cellIs" dxfId="67" priority="685" operator="equal">
      <formula>"APAGADO"</formula>
    </cfRule>
  </conditionalFormatting>
  <conditionalFormatting sqref="AC425:AE425">
    <cfRule type="cellIs" dxfId="66" priority="45" operator="equal">
      <formula>"APAGADO"</formula>
    </cfRule>
  </conditionalFormatting>
  <conditionalFormatting sqref="AC407:AG407">
    <cfRule type="cellIs" dxfId="65" priority="52" operator="equal">
      <formula>"APAGADO"</formula>
    </cfRule>
  </conditionalFormatting>
  <conditionalFormatting sqref="AC326:AT328">
    <cfRule type="cellIs" dxfId="64" priority="1" operator="equal">
      <formula>"APAGADO"</formula>
    </cfRule>
  </conditionalFormatting>
  <conditionalFormatting sqref="AC121:AV121">
    <cfRule type="cellIs" dxfId="63" priority="954" operator="equal">
      <formula>"APAGADO"</formula>
    </cfRule>
  </conditionalFormatting>
  <conditionalFormatting sqref="AD406:AG406">
    <cfRule type="cellIs" dxfId="62" priority="154" operator="equal">
      <formula>"APAGADO"</formula>
    </cfRule>
  </conditionalFormatting>
  <conditionalFormatting sqref="AH406:AH408">
    <cfRule type="cellIs" dxfId="61" priority="1895" operator="equal">
      <formula>"APAGADO"</formula>
    </cfRule>
  </conditionalFormatting>
  <conditionalFormatting sqref="AH234:AI234">
    <cfRule type="cellIs" dxfId="60" priority="1823" operator="equal">
      <formula>"APAGADO"</formula>
    </cfRule>
  </conditionalFormatting>
  <conditionalFormatting sqref="AI406:AI407">
    <cfRule type="cellIs" dxfId="59" priority="1787" operator="equal">
      <formula>"APAGADO"</formula>
    </cfRule>
  </conditionalFormatting>
  <conditionalFormatting sqref="AL234:AP234">
    <cfRule type="cellIs" dxfId="58" priority="1364" operator="equal">
      <formula>"APAGADO"</formula>
    </cfRule>
  </conditionalFormatting>
  <conditionalFormatting sqref="AL406:AP408">
    <cfRule type="cellIs" dxfId="57" priority="1345" operator="equal">
      <formula>"APAGADO"</formula>
    </cfRule>
  </conditionalFormatting>
  <conditionalFormatting sqref="AL37:AV38">
    <cfRule type="cellIs" dxfId="56" priority="961" operator="equal">
      <formula>"APAGADO"</formula>
    </cfRule>
  </conditionalFormatting>
  <conditionalFormatting sqref="AR234:AV234">
    <cfRule type="cellIs" dxfId="55" priority="935" operator="equal">
      <formula>"APAGADO"</formula>
    </cfRule>
  </conditionalFormatting>
  <conditionalFormatting sqref="AS407:AS408">
    <cfRule type="cellIs" dxfId="54" priority="1207" operator="equal">
      <formula>"APAGADO"</formula>
    </cfRule>
  </conditionalFormatting>
  <conditionalFormatting sqref="AT408:AU408">
    <cfRule type="cellIs" dxfId="53" priority="1093" operator="equal">
      <formula>"APAGADO"</formula>
    </cfRule>
  </conditionalFormatting>
  <conditionalFormatting sqref="AU39:AV120">
    <cfRule type="cellIs" dxfId="52" priority="955" operator="equal">
      <formula>"APAGADO"</formula>
    </cfRule>
  </conditionalFormatting>
  <conditionalFormatting sqref="AU236:AV402">
    <cfRule type="cellIs" dxfId="51" priority="884" operator="equal">
      <formula>"APAGADO"</formula>
    </cfRule>
  </conditionalFormatting>
  <conditionalFormatting sqref="AV406:AV408">
    <cfRule type="cellIs" dxfId="50" priority="903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>
        <f>'RESUMEN TOTAL'!AF205</f>
        <v>0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>
        <f>'RESUMEN TOTAL'!AF323</f>
        <v>0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>
        <f>'RESUMEN TOTAL'!AF324</f>
        <v>0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>
        <f>'RESUMEN TOTAL'!AF326</f>
        <v>0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>
        <f>'RESUMEN TOTAL'!AF392</f>
        <v>0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>
        <f>'RESUMEN TOTAL'!AF393</f>
        <v>0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>
        <f>'RESUMEN TOTAL'!AF428</f>
        <v>0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>
        <f>'RESUMEN TOTAL'!AF542</f>
        <v>0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 t="str">
        <f>'RESUMEN TOTAL'!AC565</f>
        <v>APAGADO</v>
      </c>
      <c r="Q438" s="70" t="str">
        <f>'RESUMEN TOTAL'!AD565</f>
        <v>APAGADO</v>
      </c>
      <c r="R438" s="70" t="str">
        <f>'RESUMEN TOTAL'!AE565</f>
        <v>APAGADO</v>
      </c>
      <c r="S438" s="70">
        <f>'RESUMEN TOTAL'!AF565</f>
        <v>0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FO A GPON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 t="str">
        <f>'RESUMEN TOTAL'!Z567</f>
        <v>APAGADO</v>
      </c>
      <c r="N440" s="70">
        <f>'RESUMEN TOTAL'!AA567</f>
        <v>0</v>
      </c>
      <c r="O440" s="70">
        <f>'RESUMEN TOTAL'!AB567</f>
        <v>0</v>
      </c>
      <c r="P440" s="70" t="str">
        <f>'RESUMEN TOTAL'!AC567</f>
        <v>APAGADO</v>
      </c>
      <c r="Q440" s="70" t="str">
        <f>'RESUMEN TOTAL'!AD567</f>
        <v>APAGADO</v>
      </c>
      <c r="R440" s="70" t="str">
        <f>'RESUMEN TOTAL'!AE567</f>
        <v>APAGADO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 t="str">
        <f>'RESUMEN TOTAL'!Z571</f>
        <v>APAGADO</v>
      </c>
      <c r="N443" s="70">
        <f>'RESUMEN TOTAL'!AA571</f>
        <v>0</v>
      </c>
      <c r="O443" s="70">
        <f>'RESUMEN TOTAL'!AB571</f>
        <v>0</v>
      </c>
      <c r="P443" s="70" t="str">
        <f>'RESUMEN TOTAL'!AC571</f>
        <v>APAGADO</v>
      </c>
      <c r="Q443" s="70" t="str">
        <f>'RESUMEN TOTAL'!AD571</f>
        <v>APAGADO</v>
      </c>
      <c r="R443" s="70" t="str">
        <f>'RESUMEN TOTAL'!AE571</f>
        <v>APAGADO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 t="str">
        <f>'RESUMEN TOTAL'!AC572</f>
        <v>APAGADO</v>
      </c>
      <c r="Q444" s="70" t="str">
        <f>'RESUMEN TOTAL'!AD572</f>
        <v>APAGADO</v>
      </c>
      <c r="R444" s="70" t="str">
        <f>'RESUMEN TOTAL'!AE572</f>
        <v>APAGADO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 t="str">
        <f>'RESUMEN TOTAL'!AC573</f>
        <v>APAGADO</v>
      </c>
      <c r="Q445" s="70" t="str">
        <f>'RESUMEN TOTAL'!AD573</f>
        <v>APAGADO</v>
      </c>
      <c r="R445" s="70" t="str">
        <f>'RESUMEN TOTAL'!AE573</f>
        <v>APAGADO</v>
      </c>
      <c r="S445" s="70">
        <f>'RESUMEN TOTAL'!AF573</f>
        <v>0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PTO A FO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 t="str">
        <f>'RESUMEN TOTAL'!Z574</f>
        <v>APAGADO</v>
      </c>
      <c r="N446" s="70">
        <f>'RESUMEN TOTAL'!AA574</f>
        <v>0</v>
      </c>
      <c r="O446" s="70">
        <f>'RESUMEN TOTAL'!AB574</f>
        <v>0</v>
      </c>
      <c r="P446" s="70" t="str">
        <f>'RESUMEN TOTAL'!AC574</f>
        <v>APAGADO</v>
      </c>
      <c r="Q446" s="70" t="str">
        <f>'RESUMEN TOTAL'!AD574</f>
        <v>APAGADO</v>
      </c>
      <c r="R446" s="70" t="str">
        <f>'RESUMEN TOTAL'!AE574</f>
        <v>APAGADO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 t="str">
        <f>'RESUMEN TOTAL'!Z575</f>
        <v>APAGADO</v>
      </c>
      <c r="N447" s="70">
        <f>'RESUMEN TOTAL'!AA575</f>
        <v>0</v>
      </c>
      <c r="O447" s="70">
        <f>'RESUMEN TOTAL'!AB575</f>
        <v>0</v>
      </c>
      <c r="P447" s="70" t="str">
        <f>'RESUMEN TOTAL'!AC575</f>
        <v>APAGADO</v>
      </c>
      <c r="Q447" s="70" t="str">
        <f>'RESUMEN TOTAL'!AD575</f>
        <v>APAGADO</v>
      </c>
      <c r="R447" s="70" t="str">
        <f>'RESUMEN TOTAL'!AE575</f>
        <v>APAGADO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 t="str">
        <f>'RESUMEN TOTAL'!Z576</f>
        <v>APAGADO</v>
      </c>
      <c r="N448" s="70">
        <f>'RESUMEN TOTAL'!AA576</f>
        <v>0</v>
      </c>
      <c r="O448" s="70">
        <f>'RESUMEN TOTAL'!AB576</f>
        <v>0</v>
      </c>
      <c r="P448" s="70" t="str">
        <f>'RESUMEN TOTAL'!AC576</f>
        <v>APAGADO</v>
      </c>
      <c r="Q448" s="70" t="str">
        <f>'RESUMEN TOTAL'!AD576</f>
        <v>APAGADO</v>
      </c>
      <c r="R448" s="70" t="str">
        <f>'RESUMEN TOTAL'!AE576</f>
        <v>APAGADO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 t="str">
        <f>'RESUMEN TOTAL'!Z577</f>
        <v>APAGADO</v>
      </c>
      <c r="N449" s="70">
        <f>'RESUMEN TOTAL'!AA577</f>
        <v>0</v>
      </c>
      <c r="O449" s="70">
        <f>'RESUMEN TOTAL'!AB577</f>
        <v>0</v>
      </c>
      <c r="P449" s="70" t="str">
        <f>'RESUMEN TOTAL'!AC577</f>
        <v>APAGADO</v>
      </c>
      <c r="Q449" s="70" t="str">
        <f>'RESUMEN TOTAL'!AD577</f>
        <v>APAGADO</v>
      </c>
      <c r="R449" s="70" t="str">
        <f>'RESUMEN TOTAL'!AE577</f>
        <v>APAGADO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 t="str">
        <f>'RESUMEN TOTAL'!Z578</f>
        <v>APAGADO</v>
      </c>
      <c r="N450" s="70">
        <f>'RESUMEN TOTAL'!AA578</f>
        <v>0</v>
      </c>
      <c r="O450" s="70">
        <f>'RESUMEN TOTAL'!AB578</f>
        <v>0</v>
      </c>
      <c r="P450" s="70" t="str">
        <f>'RESUMEN TOTAL'!AC578</f>
        <v>APAGADO</v>
      </c>
      <c r="Q450" s="70" t="str">
        <f>'RESUMEN TOTAL'!AD578</f>
        <v>APAGADO</v>
      </c>
      <c r="R450" s="70" t="str">
        <f>'RESUMEN TOTAL'!AE578</f>
        <v>APAGADO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SAN LUIS</v>
      </c>
      <c r="B451" t="str">
        <f>'RESUMEN TOTAL'!G581</f>
        <v>VSL 03</v>
      </c>
      <c r="C451" t="str">
        <f>'RESUMEN TOTAL'!I581</f>
        <v>1314 y 1371</v>
      </c>
      <c r="D451" s="30" t="str">
        <f>'RESUMEN TOTAL'!J581</f>
        <v>DOMO</v>
      </c>
      <c r="E451" s="30" t="str">
        <f>'RESUMEN TOTAL'!K581</f>
        <v>GPON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 t="str">
        <f>'RESUMEN TOTAL'!Y586</f>
        <v>APAGADO</v>
      </c>
      <c r="M456" s="70" t="str">
        <f>'RESUMEN TOTAL'!Z586</f>
        <v>APAGADO</v>
      </c>
      <c r="N456" s="70">
        <f>'RESUMEN TOTAL'!AA586</f>
        <v>0</v>
      </c>
      <c r="O456" s="70">
        <f>'RESUMEN TOTAL'!AB586</f>
        <v>0</v>
      </c>
      <c r="P456" s="70" t="str">
        <f>'RESUMEN TOTAL'!AC586</f>
        <v>APAGADO</v>
      </c>
      <c r="Q456" s="70" t="str">
        <f>'RESUMEN TOTAL'!AD586</f>
        <v>APAGADO</v>
      </c>
      <c r="R456" s="70" t="str">
        <f>'RESUMEN TOTAL'!AE586</f>
        <v>APAGADO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 05</v>
      </c>
      <c r="C457" t="str">
        <f>'RESUMEN TOTAL'!I588</f>
        <v>DIAG. GRANADEROS Y 214 BIS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ZEBALLOS</v>
      </c>
      <c r="B458" t="str">
        <f>'RESUMEN TOTAL'!G589</f>
        <v>ZEB 06</v>
      </c>
      <c r="C458" t="str">
        <f>'RESUMEN TOTAL'!I589</f>
        <v>Peron e/Ituzaingo y Buenos Aires</v>
      </c>
      <c r="D458" s="30" t="str">
        <f>'RESUMEN TOTAL'!J589</f>
        <v>FIJA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 07 (Fija 1)</v>
      </c>
      <c r="C459" t="str">
        <f>'RESUMEN TOTAL'!I590</f>
        <v xml:space="preserve">Quinquela Martn y 861 </v>
      </c>
      <c r="D459" s="30" t="str">
        <f>'RESUMEN TOTAL'!J590</f>
        <v>Fija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08 (Fija 2)</v>
      </c>
      <c r="C460" t="str">
        <f>'RESUMEN TOTAL'!I591</f>
        <v>Quinquela Martin y 861</v>
      </c>
      <c r="D460" s="30" t="str">
        <f>'RESUMEN TOTAL'!J591</f>
        <v>Fija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P6" sqref="P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TOTAL'!H8:H627,"=BONOMO")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TOTAL'!W8:W704,"=APAGADO",'RESUMEN TOTAL'!H8:H704,"=BONOMO")</f>
        <v>44</v>
      </c>
      <c r="K3" s="46">
        <f>COUNTIFS('RESUMEN TOTAL'!X8:X704,"=APAGADO",'RESUMEN TOTAL'!I8:I704,"=BONOMO")</f>
        <v>0</v>
      </c>
      <c r="L3" s="46">
        <f>COUNTIFS('RESUMEN TOTAL'!Y8:Y704,"=APAGADO",'RESUMEN TOTAL'!J8:J704,"=BONOMO")</f>
        <v>0</v>
      </c>
      <c r="M3" s="46">
        <f>COUNTIFS('RESUMEN TOTAL'!Z8:Z704,"=APAGADO",'RESUMEN TOTAL'!K8:K704,"=BONOMO")</f>
        <v>0</v>
      </c>
      <c r="N3" s="46">
        <f>COUNTIFS('RESUMEN TOTAL'!AA8:AA704,"=APAGADO",'RESUMEN TOTAL'!L8:L704,"=BONOMO")</f>
        <v>0</v>
      </c>
      <c r="O3" s="46">
        <f>COUNTIFS('RESUMEN TOTAL'!AB8:AB704,"=APAGADO",'RESUMEN TOTAL'!M8:M704,"=BONOMO")</f>
        <v>0</v>
      </c>
      <c r="P3" s="46">
        <f>COUNTIFS('RESUMEN TOTAL'!AC8:AC704,"=APAGADO",'RESUMEN TOTAL'!N8:N704,"=BONOMO")</f>
        <v>0</v>
      </c>
      <c r="Q3" s="46">
        <f>COUNTIFS('RESUMEN TOTAL'!AD8:AD704,"=APAGADO",'RESUMEN TOTAL'!O8:O704,"=BONOMO")</f>
        <v>0</v>
      </c>
      <c r="R3" s="46">
        <f>COUNTIFS('RESUMEN TOTAL'!AE8:AE704,"=APAGADO",'RESUMEN TOTAL'!P8:P704,"=BONOMO")</f>
        <v>0</v>
      </c>
      <c r="S3" s="46">
        <f>COUNTIFS('RESUMEN TOTAL'!AF8:AF704,"=APAGADO",'RESUMEN TOTAL'!Q8:Q704,"=BONOMO")</f>
        <v>0</v>
      </c>
      <c r="T3" s="46">
        <f>COUNTIFS('RESUMEN TOTAL'!AG8:AG704,"=APAGADO",'RESUMEN TOTAL'!R8:R704,"=BONOMO")</f>
        <v>0</v>
      </c>
      <c r="U3" s="46">
        <f>COUNTIFS('RESUMEN TOTAL'!AH8:AH704,"=APAGADO",'RESUMEN TOTAL'!S8:S704,"=BONOMO")</f>
        <v>0</v>
      </c>
      <c r="V3" s="46">
        <f>COUNTIFS('RESUMEN TOTAL'!AI8:AI704,"=APAGADO",'RESUMEN TOTAL'!T8:T704,"=BONOMO")</f>
        <v>0</v>
      </c>
      <c r="W3" s="46">
        <f>COUNTIFS('RESUMEN TOTAL'!AJ8:AJ704,"=APAGADO",'RESUMEN TOTAL'!U8:U704,"=BONOMO")</f>
        <v>0</v>
      </c>
      <c r="X3" s="46">
        <f>COUNTIFS('RESUMEN TOTAL'!AK8:AK704,"=APAGADO",'RESUMEN TOTAL'!V8:V704,"=BONOMO")</f>
        <v>0</v>
      </c>
      <c r="Y3" s="46">
        <f>COUNTIFS('RESUMEN TOTAL'!AL8:AL704,"=APAGADO",'RESUMEN TOTAL'!W8:W704,"=BONOMO")</f>
        <v>0</v>
      </c>
      <c r="Z3" s="46">
        <f>COUNTIFS('RESUMEN TOTAL'!AM8:AM704,"=APAGADO",'RESUMEN TOTAL'!X8:X704,"=BONOMO")</f>
        <v>0</v>
      </c>
      <c r="AA3" s="46">
        <f>COUNTIFS('RESUMEN TOTAL'!AN8:AN704,"=APAGADO",'RESUMEN TOTAL'!Y8:Y704,"=BONOMO")</f>
        <v>0</v>
      </c>
      <c r="AB3" s="46">
        <f>COUNTIFS('RESUMEN TOTAL'!AO8:AO704,"=APAGADO",'RESUMEN TOTAL'!Z8:Z704,"=BONOMO")</f>
        <v>0</v>
      </c>
      <c r="AC3" s="46">
        <f>COUNTIFS('RESUMEN TOTAL'!AP8:AP704,"=APAGADO",'RESUMEN TOTAL'!AA8:AA704,"=BONOMO")</f>
        <v>0</v>
      </c>
      <c r="AD3" s="46">
        <f>COUNTIFS('RESUMEN TOTAL'!AQ8:AQ704,"=APAGADO",'RESUMEN TOTAL'!AB8:AB704,"=BONOMO")</f>
        <v>0</v>
      </c>
      <c r="AE3" s="46">
        <f>COUNTIFS('RESUMEN TOTAL'!AR8:AR704,"=APAGADO",'RESUMEN TOTAL'!AC8:AC704,"=BONOMO")</f>
        <v>0</v>
      </c>
      <c r="AF3" s="46">
        <f>COUNTIFS('RESUMEN TOTAL'!AS8:AS704,"=APAGADO",'RESUMEN TOTAL'!AD8:AD704,"=BONOMO")</f>
        <v>0</v>
      </c>
      <c r="AG3" s="46">
        <f>COUNTIFS('RESUMEN TOTAL'!AT8:AT704,"=APAGADO",'RESUMEN TOTAL'!AE8:AE704,"=BONOMO")</f>
        <v>0</v>
      </c>
      <c r="AH3" s="46">
        <f>COUNTIFS('RESUMEN TOTAL'!AU8:AU704,"=APAGADO",'RESUMEN TOTAL'!AF8:AF704,"=BONOMO")</f>
        <v>0</v>
      </c>
      <c r="AI3" s="46">
        <f>COUNTIFS('RESUMEN TOTAL'!AV8:AV704,"=APAGADO",'RESUMEN TOTAL'!AG8:AG704,"=BONOMO")</f>
        <v>0</v>
      </c>
      <c r="AJ3" s="46">
        <f>COUNTIFS('RESUMEN TOTAL'!AW8:AW704,"=APAGADO",'RESUMEN TOTAL'!AH8:AH704,"=BONOMO")</f>
        <v>0</v>
      </c>
    </row>
    <row r="4" spans="1:36" ht="16.5" thickTop="1" thickBot="1" x14ac:dyDescent="0.3">
      <c r="A4" s="48" t="s">
        <v>1042</v>
      </c>
      <c r="B4" s="41">
        <f>COUNTIFS('RESUMEN TOTAL'!H8:H627,"=COSEIDI")</f>
        <v>281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67</v>
      </c>
      <c r="K5" s="46">
        <f>COUNTIFS('RESUMEN TOTAL'!X10:X706,"=APAGADO",'RESUMEN TOTAL'!I10:I706,"=COSEIDI")</f>
        <v>0</v>
      </c>
      <c r="L5" s="46">
        <f>COUNTIFS('RESUMEN TOTAL'!Y10:Y706,"=APAGADO",'RESUMEN TOTAL'!J10:J706,"=COSEIDI")</f>
        <v>0</v>
      </c>
      <c r="M5" s="46">
        <f>COUNTIFS('RESUMEN TOTAL'!Z10:Z706,"=APAGADO",'RESUMEN TOTAL'!K10:K706,"=COSEIDI")</f>
        <v>0</v>
      </c>
      <c r="N5" s="46">
        <f>COUNTIFS('RESUMEN TOTAL'!AA10:AA706,"=APAGADO",'RESUMEN TOTAL'!L10:L706,"=COSEIDI")</f>
        <v>0</v>
      </c>
      <c r="O5" s="46">
        <f>COUNTIFS('RESUMEN TOTAL'!AB10:AB706,"=APAGADO",'RESUMEN TOTAL'!M10:M706,"=COSEIDI")</f>
        <v>0</v>
      </c>
      <c r="P5" s="46">
        <f>COUNTIFS('RESUMEN TOTAL'!AC10:AC706,"=APAGADO",'RESUMEN TOTAL'!N10:N706,"=COSEIDI")</f>
        <v>0</v>
      </c>
      <c r="Q5" s="46">
        <f>COUNTIFS('RESUMEN TOTAL'!AD10:AD706,"=APAGADO",'RESUMEN TOTAL'!O10:O706,"=COSEIDI")</f>
        <v>0</v>
      </c>
      <c r="R5" s="46">
        <f>COUNTIFS('RESUMEN TOTAL'!AE10:AE706,"=APAGADO",'RESUMEN TOTAL'!P10:P706,"=COSEIDI")</f>
        <v>0</v>
      </c>
      <c r="S5" s="46">
        <f>COUNTIFS('RESUMEN TOTAL'!AF10:AF706,"=APAGADO",'RESUMEN TOTAL'!Q10:Q706,"=COSEIDI")</f>
        <v>0</v>
      </c>
      <c r="T5" s="46">
        <f>COUNTIFS('RESUMEN TOTAL'!AG10:AG706,"=APAGADO",'RESUMEN TOTAL'!R10:R706,"=COSEIDI")</f>
        <v>0</v>
      </c>
      <c r="U5" s="46">
        <f>COUNTIFS('RESUMEN TOTAL'!AH10:AH706,"=APAGADO",'RESUMEN TOTAL'!S10:S706,"=COSEIDI")</f>
        <v>0</v>
      </c>
      <c r="V5" s="46">
        <f>COUNTIFS('RESUMEN TOTAL'!AI10:AI706,"=APAGADO",'RESUMEN TOTAL'!T10:T706,"=COSEIDI")</f>
        <v>0</v>
      </c>
      <c r="W5" s="46">
        <f>COUNTIFS('RESUMEN TOTAL'!AJ10:AJ706,"=APAGADO",'RESUMEN TOTAL'!U10:U706,"=COSEIDI")</f>
        <v>0</v>
      </c>
      <c r="X5" s="46">
        <f>COUNTIFS('RESUMEN TOTAL'!AK10:AK706,"=APAGADO",'RESUMEN TOTAL'!V10:V706,"=COSEIDI")</f>
        <v>0</v>
      </c>
      <c r="Y5" s="46">
        <f>COUNTIFS('RESUMEN TOTAL'!AL10:AL706,"=APAGADO",'RESUMEN TOTAL'!W10:W706,"=COSEIDI")</f>
        <v>0</v>
      </c>
      <c r="Z5" s="46">
        <f>COUNTIFS('RESUMEN TOTAL'!AM10:AM706,"=APAGADO",'RESUMEN TOTAL'!X10:X706,"=COSEIDI")</f>
        <v>0</v>
      </c>
      <c r="AA5" s="46">
        <f>COUNTIFS('RESUMEN TOTAL'!AN10:AN706,"=APAGADO",'RESUMEN TOTAL'!Y10:Y706,"=COSEIDI")</f>
        <v>0</v>
      </c>
      <c r="AB5" s="46">
        <f>COUNTIFS('RESUMEN TOTAL'!AO10:AO706,"=APAGADO",'RESUMEN TOTAL'!Z10:Z706,"=COSEIDI")</f>
        <v>0</v>
      </c>
      <c r="AC5" s="46">
        <f>COUNTIFS('RESUMEN TOTAL'!AP10:AP706,"=APAGADO",'RESUMEN TOTAL'!AA10:AA706,"=COSEIDI")</f>
        <v>0</v>
      </c>
      <c r="AD5" s="46">
        <f>COUNTIFS('RESUMEN TOTAL'!AQ10:AQ706,"=APAGADO",'RESUMEN TOTAL'!AB10:AB706,"=COSEIDI")</f>
        <v>0</v>
      </c>
      <c r="AE5" s="46">
        <f>COUNTIFS('RESUMEN TOTAL'!AR10:AR706,"=APAGADO",'RESUMEN TOTAL'!AC10:AC706,"=COSEIDI")</f>
        <v>0</v>
      </c>
      <c r="AF5" s="46">
        <f>COUNTIFS('RESUMEN TOTAL'!AS10:AS706,"=APAGADO",'RESUMEN TOTAL'!AD10:AD706,"=COSEIDI")</f>
        <v>0</v>
      </c>
      <c r="AG5" s="46">
        <f>COUNTIFS('RESUMEN TOTAL'!AT10:AT706,"=APAGADO",'RESUMEN TOTAL'!AE10:AE706,"=COSEIDI")</f>
        <v>0</v>
      </c>
      <c r="AH5" s="46">
        <f>COUNTIFS('RESUMEN TOTAL'!AU10:AU706,"=APAGADO",'RESUMEN TOTAL'!AF10:AF706,"=COSEIDI")</f>
        <v>0</v>
      </c>
      <c r="AI5" s="46">
        <f>COUNTIFS('RESUMEN TOTAL'!AV10:AV706,"=APAGADO",'RESUMEN TOTAL'!AG10:AG706,"=COSEIDI")</f>
        <v>0</v>
      </c>
      <c r="AJ5" s="46">
        <f>COUNTIFS('RESUMEN TOTAL'!AW10:AW706,"=APAGADO",'RESUMEN TOTAL'!AH10:AH706,"=COSEIDI")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23" zoomScaleNormal="100" workbookViewId="0">
      <selection activeCell="D143" sqref="D1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589</v>
      </c>
      <c r="D2" s="98"/>
      <c r="E2" s="103"/>
      <c r="F2" s="151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2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-2.8862478777589132E-2</v>
      </c>
      <c r="F4" s="152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-4.7538200339558571E-2</v>
      </c>
      <c r="F5" s="152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-7.4702886247877756E-2</v>
      </c>
      <c r="F6" s="152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2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2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2"/>
    </row>
    <row r="10" spans="1:6" ht="15.75" thickBot="1" x14ac:dyDescent="0.3">
      <c r="A10" t="s">
        <v>1448</v>
      </c>
      <c r="B10" s="109" t="s">
        <v>1042</v>
      </c>
      <c r="C10" s="110">
        <f>COSEIDIcam</f>
        <v>281</v>
      </c>
      <c r="D10" s="110">
        <v>68</v>
      </c>
      <c r="E10" s="111">
        <f>D10/C10</f>
        <v>0.24199288256227758</v>
      </c>
      <c r="F10" s="153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589</v>
      </c>
      <c r="D13" s="98"/>
      <c r="E13" s="103"/>
      <c r="F13" s="151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0.14770797962648557</v>
      </c>
      <c r="F14" s="152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0.14261460101867574</v>
      </c>
      <c r="F15" s="152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0.13073005093378609</v>
      </c>
      <c r="F16" s="152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0.12224108658743633</v>
      </c>
      <c r="F17" s="152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2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2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2"/>
    </row>
    <row r="21" spans="1:6" ht="15.75" thickBot="1" x14ac:dyDescent="0.3">
      <c r="A21" t="s">
        <v>1449</v>
      </c>
      <c r="B21" s="109" t="s">
        <v>1042</v>
      </c>
      <c r="C21" s="110">
        <f>COSEIDIcam</f>
        <v>281</v>
      </c>
      <c r="D21" s="110">
        <v>55</v>
      </c>
      <c r="E21" s="111">
        <f>D21/C21</f>
        <v>0.19572953736654805</v>
      </c>
      <c r="F21" s="153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589</v>
      </c>
      <c r="D24" s="98"/>
      <c r="E24" s="103"/>
      <c r="F24" s="151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2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-1.0186757215619695E-2</v>
      </c>
      <c r="F26" s="152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-2.2071307300509338E-2</v>
      </c>
      <c r="F27" s="152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-2.2071307300509338E-2</v>
      </c>
      <c r="F28" s="152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2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2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2"/>
    </row>
    <row r="32" spans="1:6" ht="15.75" thickBot="1" x14ac:dyDescent="0.3">
      <c r="B32" s="109" t="s">
        <v>1042</v>
      </c>
      <c r="C32" s="110">
        <f>COSEIDIcam</f>
        <v>281</v>
      </c>
      <c r="D32" s="110">
        <v>52</v>
      </c>
      <c r="E32" s="111">
        <f>D32/C32</f>
        <v>0.18505338078291814</v>
      </c>
      <c r="F32" s="153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589</v>
      </c>
      <c r="D35" s="98"/>
      <c r="E35" s="103"/>
      <c r="F35" s="151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0.19524617996604415</v>
      </c>
      <c r="F36" s="152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0.18505942275042445</v>
      </c>
      <c r="F37" s="152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0.16468590831918506</v>
      </c>
      <c r="F38" s="152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0.15619694397283532</v>
      </c>
      <c r="F39" s="152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2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2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2"/>
    </row>
    <row r="43" spans="1:6" ht="15.75" thickBot="1" x14ac:dyDescent="0.3">
      <c r="B43" s="109" t="s">
        <v>1042</v>
      </c>
      <c r="C43" s="110">
        <f>COSEIDIcam</f>
        <v>281</v>
      </c>
      <c r="D43" s="110">
        <v>68</v>
      </c>
      <c r="E43" s="111">
        <f>D43/C43</f>
        <v>0.24199288256227758</v>
      </c>
      <c r="F43" s="153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589</v>
      </c>
      <c r="D46" s="98"/>
      <c r="E46" s="103"/>
      <c r="F46" s="151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0.18845500848896435</v>
      </c>
      <c r="F47" s="152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0.18336162988115451</v>
      </c>
      <c r="F48" s="152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0.16298811544991512</v>
      </c>
      <c r="F49" s="152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0.15449915110356535</v>
      </c>
      <c r="F50" s="152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2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2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2"/>
    </row>
    <row r="54" spans="1:6" ht="15.75" thickBot="1" x14ac:dyDescent="0.3">
      <c r="B54" s="109" t="s">
        <v>1042</v>
      </c>
      <c r="C54" s="110">
        <f>COSEIDIcam</f>
        <v>281</v>
      </c>
      <c r="D54" s="110">
        <f>Hoja1!J5</f>
        <v>67</v>
      </c>
      <c r="E54" s="111">
        <f>D54/C54</f>
        <v>0.23843416370106763</v>
      </c>
      <c r="F54" s="153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589</v>
      </c>
      <c r="D57" s="98"/>
      <c r="E57" s="103"/>
      <c r="F57" s="151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0.18675721561969441</v>
      </c>
      <c r="F58" s="152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0.1731748726655348</v>
      </c>
      <c r="F59" s="152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0.15280135823429541</v>
      </c>
      <c r="F60" s="152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0.14261460101867574</v>
      </c>
      <c r="F61" s="152"/>
    </row>
    <row r="62" spans="1:6" ht="15.75" thickBot="1" x14ac:dyDescent="0.3">
      <c r="B62" s="56"/>
      <c r="C62" s="128"/>
      <c r="D62" s="101"/>
      <c r="E62" s="74">
        <f>D62/C57</f>
        <v>0</v>
      </c>
      <c r="F62" s="152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2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2"/>
    </row>
    <row r="65" spans="1:6" ht="15.75" thickBot="1" x14ac:dyDescent="0.3">
      <c r="B65" s="109" t="s">
        <v>1042</v>
      </c>
      <c r="C65" s="110">
        <f>COSEIDIcam</f>
        <v>281</v>
      </c>
      <c r="D65" s="110">
        <v>68</v>
      </c>
      <c r="E65" s="111">
        <f>D65/C65</f>
        <v>0.24199288256227758</v>
      </c>
      <c r="F65" s="153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589</v>
      </c>
      <c r="D68" s="98"/>
      <c r="E68" s="103"/>
      <c r="F68" s="151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0.19694397283531409</v>
      </c>
      <c r="F69" s="152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0.17826825127334464</v>
      </c>
      <c r="F70" s="152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0.15789473684210525</v>
      </c>
      <c r="F71" s="152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0.14770797962648557</v>
      </c>
      <c r="F72" s="152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2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2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2"/>
    </row>
    <row r="76" spans="1:6" ht="15.75" thickBot="1" x14ac:dyDescent="0.3">
      <c r="B76" s="109" t="s">
        <v>1042</v>
      </c>
      <c r="C76" s="110">
        <f>COSEIDIcam</f>
        <v>281</v>
      </c>
      <c r="D76" s="110">
        <v>78</v>
      </c>
      <c r="E76" s="111">
        <f>D76/C76</f>
        <v>0.27758007117437722</v>
      </c>
      <c r="F76" s="153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589</v>
      </c>
      <c r="D79" s="98"/>
      <c r="E79" s="103"/>
      <c r="F79" s="151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0.166383701188455</v>
      </c>
      <c r="F80" s="152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0.15619694397283532</v>
      </c>
      <c r="F81" s="152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0.13582342954159593</v>
      </c>
      <c r="F82" s="152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0.12733446519524619</v>
      </c>
      <c r="F83" s="152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2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2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2"/>
    </row>
    <row r="87" spans="1:6" ht="15.75" thickBot="1" x14ac:dyDescent="0.3">
      <c r="B87" s="109" t="s">
        <v>1042</v>
      </c>
      <c r="C87" s="110">
        <f>COSEIDIcam</f>
        <v>281</v>
      </c>
      <c r="D87" s="110">
        <v>62</v>
      </c>
      <c r="E87" s="111">
        <f>D87/C87</f>
        <v>0.2206405693950178</v>
      </c>
      <c r="F87" s="153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589</v>
      </c>
      <c r="D90" s="98"/>
      <c r="E90" s="103"/>
      <c r="F90" s="151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2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-8.4889643463497456E-3</v>
      </c>
      <c r="F92" s="152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-1.8675721561969439E-2</v>
      </c>
      <c r="F93" s="152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-2.7164685908319185E-2</v>
      </c>
      <c r="F94" s="152"/>
    </row>
    <row r="95" spans="1:6" ht="15.75" thickBot="1" x14ac:dyDescent="0.3">
      <c r="B95" s="56"/>
      <c r="C95" s="128"/>
      <c r="D95" s="101"/>
      <c r="E95" s="74">
        <f>D95/C90</f>
        <v>0</v>
      </c>
      <c r="F95" s="152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2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2"/>
    </row>
    <row r="98" spans="1:6" ht="15.75" thickBot="1" x14ac:dyDescent="0.3">
      <c r="B98" s="109" t="s">
        <v>1042</v>
      </c>
      <c r="C98" s="110">
        <f>COSEIDIcam</f>
        <v>281</v>
      </c>
      <c r="D98" s="110">
        <f>Hoja1!N5</f>
        <v>0</v>
      </c>
      <c r="E98" s="111">
        <f>D98/C98</f>
        <v>0</v>
      </c>
      <c r="F98" s="153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589</v>
      </c>
      <c r="D101" s="98"/>
      <c r="E101" s="103"/>
      <c r="F101" s="151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0.23938879456706283</v>
      </c>
      <c r="F102" s="152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0.23938879456706283</v>
      </c>
      <c r="F103" s="152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0.22071307300509338</v>
      </c>
      <c r="F104" s="152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0.17147707979626486</v>
      </c>
      <c r="F105" s="152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2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2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2"/>
    </row>
    <row r="109" spans="1:6" ht="15.75" thickBot="1" x14ac:dyDescent="0.3">
      <c r="B109" s="109" t="s">
        <v>1042</v>
      </c>
      <c r="C109" s="110">
        <f>COSEIDIcam</f>
        <v>281</v>
      </c>
      <c r="D109" s="110">
        <v>72</v>
      </c>
      <c r="E109" s="111">
        <f>D109/C109</f>
        <v>0.25622775800711745</v>
      </c>
      <c r="F109" s="153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589</v>
      </c>
      <c r="D112" s="98"/>
      <c r="E112" s="103"/>
      <c r="F112" s="151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0.1765704584040747</v>
      </c>
      <c r="F113" s="152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0.1697792869269949</v>
      </c>
      <c r="F114" s="152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0.14940577249575551</v>
      </c>
      <c r="F115" s="152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0.13921901528013583</v>
      </c>
      <c r="F116" s="152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2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2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2"/>
    </row>
    <row r="120" spans="2:6" ht="15.75" thickBot="1" x14ac:dyDescent="0.3">
      <c r="B120" s="109" t="s">
        <v>1042</v>
      </c>
      <c r="C120" s="110">
        <f>COSEIDIcam</f>
        <v>281</v>
      </c>
      <c r="D120" s="110">
        <v>63</v>
      </c>
      <c r="E120" s="111">
        <f>D120/C120</f>
        <v>0.22419928825622776</v>
      </c>
      <c r="F120" s="153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589</v>
      </c>
      <c r="D123" s="98"/>
      <c r="E123" s="103"/>
      <c r="F123" s="151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0.18166383701188454</v>
      </c>
      <c r="F124" s="152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0.1731748726655348</v>
      </c>
      <c r="F125" s="152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0.15280135823429541</v>
      </c>
      <c r="F126" s="152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0.14431239388794567</v>
      </c>
      <c r="F127" s="152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2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2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2"/>
    </row>
    <row r="131" spans="2:6" ht="15.75" thickBot="1" x14ac:dyDescent="0.3">
      <c r="B131" s="109" t="s">
        <v>1042</v>
      </c>
      <c r="C131" s="110">
        <f>COSEIDIcam</f>
        <v>281</v>
      </c>
      <c r="D131" s="110">
        <v>67</v>
      </c>
      <c r="E131" s="111">
        <f>D131/C131</f>
        <v>0.23843416370106763</v>
      </c>
      <c r="F131" s="153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589</v>
      </c>
      <c r="D134" s="98"/>
      <c r="E134" s="103"/>
      <c r="F134" s="151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0.19694397283531409</v>
      </c>
      <c r="F135" s="152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0.18166383701188454</v>
      </c>
      <c r="F136" s="152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0.16129032258064516</v>
      </c>
      <c r="F137" s="152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0.15110356536502548</v>
      </c>
      <c r="F138" s="152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2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2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2"/>
    </row>
    <row r="142" spans="2:6" ht="15.75" thickBot="1" x14ac:dyDescent="0.3">
      <c r="B142" s="109" t="s">
        <v>1042</v>
      </c>
      <c r="C142" s="110">
        <f>COSEIDIcam</f>
        <v>281</v>
      </c>
      <c r="D142" s="110">
        <v>72</v>
      </c>
      <c r="E142" s="111">
        <f>D142/C142</f>
        <v>0.25622775800711745</v>
      </c>
      <c r="F142" s="153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589</v>
      </c>
      <c r="D145" s="98"/>
      <c r="E145" s="103"/>
      <c r="F145" s="151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2"/>
    </row>
    <row r="147" spans="2:6" x14ac:dyDescent="0.25">
      <c r="B147" s="53" t="s">
        <v>1220</v>
      </c>
      <c r="C147" s="67">
        <v>0</v>
      </c>
      <c r="D147" s="100">
        <f>C146-C147</f>
        <v>131</v>
      </c>
      <c r="E147" s="55">
        <f>D147/C145</f>
        <v>0.22241086587436332</v>
      </c>
      <c r="F147" s="152"/>
    </row>
    <row r="148" spans="2:6" x14ac:dyDescent="0.25">
      <c r="B148" s="53" t="s">
        <v>1221</v>
      </c>
      <c r="C148" s="67">
        <v>11</v>
      </c>
      <c r="D148" s="100">
        <f>D147-C148</f>
        <v>120</v>
      </c>
      <c r="E148" s="55">
        <f>D148/C145</f>
        <v>0.2037351443123939</v>
      </c>
      <c r="F148" s="152"/>
    </row>
    <row r="149" spans="2:6" x14ac:dyDescent="0.25">
      <c r="B149" s="53" t="s">
        <v>15</v>
      </c>
      <c r="C149" s="91">
        <v>5</v>
      </c>
      <c r="D149" s="100">
        <f>D148-C149</f>
        <v>115</v>
      </c>
      <c r="E149" s="55">
        <f>D149/C145</f>
        <v>0.19524617996604415</v>
      </c>
      <c r="F149" s="152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2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2"/>
    </row>
    <row r="152" spans="2:6" ht="16.5" thickTop="1" thickBot="1" x14ac:dyDescent="0.3">
      <c r="B152" s="95" t="s">
        <v>1041</v>
      </c>
      <c r="C152" s="96">
        <v>307</v>
      </c>
      <c r="D152" s="112">
        <v>84</v>
      </c>
      <c r="E152" s="102">
        <f>D152/C152</f>
        <v>0.2736156351791531</v>
      </c>
      <c r="F152" s="152"/>
    </row>
    <row r="153" spans="2:6" ht="15.75" thickBot="1" x14ac:dyDescent="0.3">
      <c r="B153" s="109" t="s">
        <v>1042</v>
      </c>
      <c r="C153" s="110">
        <f>COSEIDIcam</f>
        <v>281</v>
      </c>
      <c r="D153" s="110">
        <v>47</v>
      </c>
      <c r="E153" s="111">
        <f>D153/C153</f>
        <v>0.16725978647686832</v>
      </c>
      <c r="F153" s="153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589</v>
      </c>
      <c r="D156" s="98"/>
      <c r="E156" s="103"/>
      <c r="F156" s="151">
        <v>46127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2"/>
    </row>
    <row r="158" spans="2:6" x14ac:dyDescent="0.25">
      <c r="B158" s="53" t="s">
        <v>1220</v>
      </c>
      <c r="C158" s="67">
        <v>9</v>
      </c>
      <c r="D158" s="100">
        <f>C157-C158</f>
        <v>-9</v>
      </c>
      <c r="E158" s="55">
        <f>D158/C156</f>
        <v>-1.5280135823429542E-2</v>
      </c>
      <c r="F158" s="152"/>
    </row>
    <row r="159" spans="2:6" x14ac:dyDescent="0.25">
      <c r="B159" s="53" t="s">
        <v>1221</v>
      </c>
      <c r="C159" s="67">
        <v>12</v>
      </c>
      <c r="D159" s="100">
        <f>D158-C159</f>
        <v>-21</v>
      </c>
      <c r="E159" s="55">
        <f>D159/C156</f>
        <v>-3.5653650254668934E-2</v>
      </c>
      <c r="F159" s="152"/>
    </row>
    <row r="160" spans="2:6" x14ac:dyDescent="0.25">
      <c r="B160" s="53" t="s">
        <v>15</v>
      </c>
      <c r="C160" s="91">
        <f>'RESUMEN TOTAL'!AG5</f>
        <v>0</v>
      </c>
      <c r="D160" s="100">
        <f>D159-C160</f>
        <v>-21</v>
      </c>
      <c r="E160" s="55">
        <f>D160/C156</f>
        <v>-3.5653650254668934E-2</v>
      </c>
      <c r="F160" s="152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2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2"/>
    </row>
    <row r="163" spans="2:6" ht="16.5" thickTop="1" thickBot="1" x14ac:dyDescent="0.3">
      <c r="B163" s="95" t="s">
        <v>1041</v>
      </c>
      <c r="C163" s="96">
        <v>307</v>
      </c>
      <c r="D163" s="112">
        <f>Hoja1!T3</f>
        <v>0</v>
      </c>
      <c r="E163" s="102">
        <f>D163/C163</f>
        <v>0</v>
      </c>
      <c r="F163" s="152"/>
    </row>
    <row r="164" spans="2:6" ht="15.75" thickBot="1" x14ac:dyDescent="0.3">
      <c r="B164" s="109" t="s">
        <v>1042</v>
      </c>
      <c r="C164" s="110">
        <f>COSEIDIcam</f>
        <v>281</v>
      </c>
      <c r="D164" s="110">
        <v>47</v>
      </c>
      <c r="E164" s="111">
        <f>D164/C164</f>
        <v>0.16725978647686832</v>
      </c>
      <c r="F164" s="153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589</v>
      </c>
      <c r="D167" s="98"/>
      <c r="E167" s="103"/>
      <c r="F167" s="151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2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-3.3955857385398981E-3</v>
      </c>
      <c r="F169" s="152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-2.3769100169779286E-2</v>
      </c>
      <c r="F170" s="152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-3.2258064516129031E-2</v>
      </c>
      <c r="F171" s="152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-3.2258064516129031E-2</v>
      </c>
      <c r="F172" s="152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2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2"/>
    </row>
    <row r="175" spans="2:6" ht="15.75" thickBot="1" x14ac:dyDescent="0.3">
      <c r="B175" s="109" t="s">
        <v>1042</v>
      </c>
      <c r="C175" s="110">
        <f>COSEIDIcam</f>
        <v>281</v>
      </c>
      <c r="D175" s="110">
        <v>40</v>
      </c>
      <c r="E175" s="111">
        <f>D175/C175</f>
        <v>0.14234875444839859</v>
      </c>
      <c r="F175" s="153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589</v>
      </c>
      <c r="D178" s="98"/>
      <c r="E178" s="103"/>
      <c r="F178" s="151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2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-3.3955857385398983E-2</v>
      </c>
      <c r="F180" s="152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-5.4329371816638369E-2</v>
      </c>
      <c r="F181" s="152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-6.2818336162988112E-2</v>
      </c>
      <c r="F182" s="152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2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2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2"/>
    </row>
    <row r="186" spans="2:6" ht="15.75" thickBot="1" x14ac:dyDescent="0.3">
      <c r="B186" s="109" t="s">
        <v>1042</v>
      </c>
      <c r="C186" s="110">
        <f>COSEIDIcam</f>
        <v>281</v>
      </c>
      <c r="D186" s="110">
        <f>Hoja1!V5</f>
        <v>0</v>
      </c>
      <c r="E186" s="111">
        <f>D186/C186</f>
        <v>0</v>
      </c>
      <c r="F186" s="153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589</v>
      </c>
      <c r="D189" s="98"/>
      <c r="E189" s="103"/>
      <c r="F189" s="151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2"/>
    </row>
    <row r="191" spans="2:6" x14ac:dyDescent="0.25">
      <c r="B191" s="53" t="s">
        <v>1220</v>
      </c>
      <c r="C191" s="67">
        <v>3</v>
      </c>
      <c r="D191" s="100">
        <f>C190-C191</f>
        <v>-3</v>
      </c>
      <c r="E191" s="55">
        <f>D191/C189</f>
        <v>-5.0933786078098476E-3</v>
      </c>
      <c r="F191" s="152"/>
    </row>
    <row r="192" spans="2:6" x14ac:dyDescent="0.25">
      <c r="B192" s="53" t="s">
        <v>1221</v>
      </c>
      <c r="C192" s="67">
        <v>8</v>
      </c>
      <c r="D192" s="100">
        <f>D191-C192</f>
        <v>-11</v>
      </c>
      <c r="E192" s="55">
        <f>D192/C189</f>
        <v>-1.8675721561969439E-2</v>
      </c>
      <c r="F192" s="152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-2.7164685908319185E-2</v>
      </c>
      <c r="F193" s="152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2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2"/>
    </row>
    <row r="196" spans="2:6" ht="16.5" thickTop="1" thickBot="1" x14ac:dyDescent="0.3">
      <c r="B196" s="95" t="s">
        <v>1041</v>
      </c>
      <c r="C196" s="96">
        <v>307</v>
      </c>
      <c r="D196" s="112">
        <f>Hoja1!W3</f>
        <v>0</v>
      </c>
      <c r="E196" s="102">
        <f>D196/C196</f>
        <v>0</v>
      </c>
      <c r="F196" s="152"/>
    </row>
    <row r="197" spans="2:6" ht="15.75" thickBot="1" x14ac:dyDescent="0.3">
      <c r="B197" s="109" t="s">
        <v>1042</v>
      </c>
      <c r="C197" s="110">
        <f>COSEIDIcam</f>
        <v>281</v>
      </c>
      <c r="D197" s="110">
        <f>Hoja1!W5</f>
        <v>0</v>
      </c>
      <c r="E197" s="111">
        <f>D197/C197</f>
        <v>0</v>
      </c>
      <c r="F197" s="153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589</v>
      </c>
      <c r="D200" s="98"/>
      <c r="E200" s="103"/>
      <c r="F200" s="151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2"/>
    </row>
    <row r="202" spans="2:6" x14ac:dyDescent="0.25">
      <c r="B202" s="53" t="s">
        <v>1220</v>
      </c>
      <c r="C202" s="67">
        <v>8</v>
      </c>
      <c r="D202" s="100">
        <f>C201-C202</f>
        <v>-8</v>
      </c>
      <c r="E202" s="55">
        <f>D202/C200</f>
        <v>-1.3582342954159592E-2</v>
      </c>
      <c r="F202" s="152"/>
    </row>
    <row r="203" spans="2:6" x14ac:dyDescent="0.25">
      <c r="B203" s="53" t="s">
        <v>1221</v>
      </c>
      <c r="C203" s="67">
        <v>8</v>
      </c>
      <c r="D203" s="100">
        <f>D202-C203</f>
        <v>-16</v>
      </c>
      <c r="E203" s="55">
        <f>D203/C200</f>
        <v>-2.7164685908319185E-2</v>
      </c>
      <c r="F203" s="152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-3.9049235993208829E-2</v>
      </c>
      <c r="F204" s="152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2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2"/>
    </row>
    <row r="207" spans="2:6" ht="16.5" thickTop="1" thickBot="1" x14ac:dyDescent="0.3">
      <c r="B207" s="95" t="s">
        <v>1041</v>
      </c>
      <c r="C207" s="96">
        <v>307</v>
      </c>
      <c r="D207" s="112">
        <f>Hoja1!X3</f>
        <v>0</v>
      </c>
      <c r="E207" s="102">
        <f>D207/C207</f>
        <v>0</v>
      </c>
      <c r="F207" s="152"/>
    </row>
    <row r="208" spans="2:6" ht="15.75" thickBot="1" x14ac:dyDescent="0.3">
      <c r="B208" s="109" t="s">
        <v>1042</v>
      </c>
      <c r="C208" s="110">
        <f>COSEIDIcam</f>
        <v>281</v>
      </c>
      <c r="D208" s="110">
        <f>Hoja1!X5</f>
        <v>0</v>
      </c>
      <c r="E208" s="111">
        <f>D208/C208</f>
        <v>0</v>
      </c>
      <c r="F208" s="153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589</v>
      </c>
      <c r="D211" s="98"/>
      <c r="E211" s="103"/>
      <c r="F211" s="151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2"/>
    </row>
    <row r="213" spans="2:6" x14ac:dyDescent="0.25">
      <c r="B213" s="53" t="s">
        <v>1220</v>
      </c>
      <c r="C213" s="67">
        <v>9</v>
      </c>
      <c r="D213" s="100">
        <f>C212-C213</f>
        <v>-9</v>
      </c>
      <c r="E213" s="55">
        <f>D213/C211</f>
        <v>-1.5280135823429542E-2</v>
      </c>
      <c r="F213" s="152"/>
    </row>
    <row r="214" spans="2:6" x14ac:dyDescent="0.25">
      <c r="B214" s="53" t="s">
        <v>1221</v>
      </c>
      <c r="C214" s="67">
        <v>12</v>
      </c>
      <c r="D214" s="100">
        <f>D213-C214</f>
        <v>-21</v>
      </c>
      <c r="E214" s="55">
        <f>D214/C211</f>
        <v>-3.5653650254668934E-2</v>
      </c>
      <c r="F214" s="152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-4.4142614601018676E-2</v>
      </c>
      <c r="F215" s="152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2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2"/>
    </row>
    <row r="218" spans="2:6" ht="16.5" thickTop="1" thickBot="1" x14ac:dyDescent="0.3">
      <c r="B218" s="95" t="s">
        <v>1041</v>
      </c>
      <c r="C218" s="96">
        <v>307</v>
      </c>
      <c r="D218" s="112">
        <f>Hoja1!Y3</f>
        <v>0</v>
      </c>
      <c r="E218" s="102">
        <f>D218/C218</f>
        <v>0</v>
      </c>
      <c r="F218" s="152"/>
    </row>
    <row r="219" spans="2:6" ht="15.75" thickBot="1" x14ac:dyDescent="0.3">
      <c r="B219" s="109" t="s">
        <v>1042</v>
      </c>
      <c r="C219" s="110">
        <f>COSEIDIcam</f>
        <v>281</v>
      </c>
      <c r="D219" s="110">
        <f>Hoja1!Y5</f>
        <v>0</v>
      </c>
      <c r="E219" s="111">
        <f>D219/C219</f>
        <v>0</v>
      </c>
      <c r="F219" s="153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589</v>
      </c>
      <c r="D223" s="98"/>
      <c r="E223" s="103"/>
      <c r="F223" s="151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2"/>
    </row>
    <row r="225" spans="2:6" x14ac:dyDescent="0.25">
      <c r="B225" s="53" t="s">
        <v>1220</v>
      </c>
      <c r="C225" s="67">
        <v>3</v>
      </c>
      <c r="D225" s="100">
        <f>C224-C225</f>
        <v>96</v>
      </c>
      <c r="E225" s="55">
        <f>D225/C223</f>
        <v>0.16298811544991512</v>
      </c>
      <c r="F225" s="152"/>
    </row>
    <row r="226" spans="2:6" x14ac:dyDescent="0.25">
      <c r="B226" s="53" t="s">
        <v>1221</v>
      </c>
      <c r="C226" s="67">
        <v>12</v>
      </c>
      <c r="D226" s="100">
        <f>D225-C226</f>
        <v>84</v>
      </c>
      <c r="E226" s="55">
        <f>D226/C223</f>
        <v>0.14261460101867574</v>
      </c>
      <c r="F226" s="152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0.13412563667232597</v>
      </c>
      <c r="F227" s="152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2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2"/>
    </row>
    <row r="230" spans="2:6" ht="16.5" thickTop="1" thickBot="1" x14ac:dyDescent="0.3">
      <c r="B230" s="95" t="s">
        <v>1041</v>
      </c>
      <c r="C230" s="96">
        <v>307</v>
      </c>
      <c r="D230" s="112">
        <v>58</v>
      </c>
      <c r="E230" s="102">
        <f>D230/C230</f>
        <v>0.18892508143322476</v>
      </c>
      <c r="F230" s="152"/>
    </row>
    <row r="231" spans="2:6" ht="15.75" thickBot="1" x14ac:dyDescent="0.3">
      <c r="B231" s="109" t="s">
        <v>1042</v>
      </c>
      <c r="C231" s="110">
        <f>COSEIDIcam</f>
        <v>281</v>
      </c>
      <c r="D231" s="110">
        <v>41</v>
      </c>
      <c r="E231" s="111">
        <f>D231/C231</f>
        <v>0.14590747330960854</v>
      </c>
      <c r="F231" s="153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589</v>
      </c>
      <c r="D235" s="98"/>
      <c r="E235" s="103"/>
      <c r="F235" s="151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2"/>
    </row>
    <row r="237" spans="2:6" x14ac:dyDescent="0.25">
      <c r="B237" s="53" t="s">
        <v>1220</v>
      </c>
      <c r="C237" s="67">
        <v>14</v>
      </c>
      <c r="D237" s="100">
        <f>C236-C237</f>
        <v>84</v>
      </c>
      <c r="E237" s="55">
        <f>D237/C235</f>
        <v>0.14261460101867574</v>
      </c>
      <c r="F237" s="152"/>
    </row>
    <row r="238" spans="2:6" x14ac:dyDescent="0.25">
      <c r="B238" s="53" t="s">
        <v>1221</v>
      </c>
      <c r="C238" s="67">
        <v>12</v>
      </c>
      <c r="D238" s="100">
        <f>D237-C238</f>
        <v>72</v>
      </c>
      <c r="E238" s="55">
        <f>D238/C235</f>
        <v>0.12224108658743633</v>
      </c>
      <c r="F238" s="152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0.11375212224108659</v>
      </c>
      <c r="F239" s="152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2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2"/>
    </row>
    <row r="242" spans="2:6" ht="16.5" thickTop="1" thickBot="1" x14ac:dyDescent="0.3">
      <c r="B242" s="95" t="s">
        <v>1041</v>
      </c>
      <c r="C242" s="96">
        <v>307</v>
      </c>
      <c r="D242" s="112">
        <v>57</v>
      </c>
      <c r="E242" s="102">
        <f>D242/C242</f>
        <v>0.18566775244299674</v>
      </c>
      <c r="F242" s="152"/>
    </row>
    <row r="243" spans="2:6" ht="15.75" thickBot="1" x14ac:dyDescent="0.3">
      <c r="B243" s="109" t="s">
        <v>1042</v>
      </c>
      <c r="C243" s="110">
        <f>COSEIDIcam</f>
        <v>281</v>
      </c>
      <c r="D243" s="110">
        <v>41</v>
      </c>
      <c r="E243" s="111">
        <f>D243/C243</f>
        <v>0.14590747330960854</v>
      </c>
      <c r="F243" s="153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589</v>
      </c>
      <c r="D247" s="98"/>
      <c r="E247" s="103"/>
      <c r="F247" s="151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2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0.19524617996604415</v>
      </c>
      <c r="F249" s="152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0.17487266553480477</v>
      </c>
      <c r="F250" s="152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0.166383701188455</v>
      </c>
      <c r="F251" s="152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2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2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2"/>
    </row>
    <row r="255" spans="2:6" ht="15.75" thickBot="1" x14ac:dyDescent="0.3">
      <c r="B255" s="109" t="s">
        <v>1042</v>
      </c>
      <c r="C255" s="110">
        <f>COSEIDIcam</f>
        <v>281</v>
      </c>
      <c r="D255" s="110">
        <v>63</v>
      </c>
      <c r="E255" s="111">
        <f>D255/C255</f>
        <v>0.22419928825622776</v>
      </c>
      <c r="F255" s="153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589</v>
      </c>
      <c r="D259" s="98"/>
      <c r="E259" s="103"/>
      <c r="F259" s="151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2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0.18505942275042445</v>
      </c>
      <c r="F261" s="152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0.16468590831918506</v>
      </c>
      <c r="F262" s="152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0.15619694397283532</v>
      </c>
      <c r="F263" s="152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2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2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2"/>
    </row>
    <row r="267" spans="2:6" ht="15.75" thickBot="1" x14ac:dyDescent="0.3">
      <c r="B267" s="109" t="s">
        <v>1042</v>
      </c>
      <c r="C267" s="110">
        <f>COSEIDIcam</f>
        <v>281</v>
      </c>
      <c r="D267" s="110">
        <v>59</v>
      </c>
      <c r="E267" s="111">
        <f>D267/C267</f>
        <v>0.20996441281138789</v>
      </c>
      <c r="F267" s="153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589</v>
      </c>
      <c r="D270" s="98"/>
      <c r="E270" s="103"/>
      <c r="F270" s="151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2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-1.0186757215619695E-2</v>
      </c>
      <c r="F272" s="152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-2.7164685908319185E-2</v>
      </c>
      <c r="F273" s="152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-3.7351443123938878E-2</v>
      </c>
      <c r="F274" s="152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2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2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2"/>
    </row>
    <row r="278" spans="2:6" ht="15.75" thickBot="1" x14ac:dyDescent="0.3">
      <c r="B278" s="109" t="s">
        <v>1042</v>
      </c>
      <c r="C278" s="110">
        <f>COSEIDIcam</f>
        <v>281</v>
      </c>
      <c r="D278" s="110">
        <f>Hoja1!AD5</f>
        <v>0</v>
      </c>
      <c r="E278" s="111">
        <f>D278/C278</f>
        <v>0</v>
      </c>
      <c r="F278" s="153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589</v>
      </c>
      <c r="D281" s="98"/>
      <c r="E281" s="103"/>
      <c r="F281" s="151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2"/>
    </row>
    <row r="283" spans="2:6" x14ac:dyDescent="0.25">
      <c r="B283" s="53" t="s">
        <v>1220</v>
      </c>
      <c r="C283" s="67">
        <v>0</v>
      </c>
      <c r="D283" s="100">
        <f>C282-C283</f>
        <v>0</v>
      </c>
      <c r="E283" s="55">
        <f>D283/C281</f>
        <v>0</v>
      </c>
      <c r="F283" s="152"/>
    </row>
    <row r="284" spans="2:6" x14ac:dyDescent="0.25">
      <c r="B284" s="53" t="s">
        <v>1221</v>
      </c>
      <c r="C284" s="67">
        <v>10</v>
      </c>
      <c r="D284" s="100">
        <f>D283-C284</f>
        <v>-10</v>
      </c>
      <c r="E284" s="55">
        <f>D284/C281</f>
        <v>-1.6977928692699491E-2</v>
      </c>
      <c r="F284" s="152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-2.3769100169779286E-2</v>
      </c>
      <c r="F285" s="152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2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2"/>
    </row>
    <row r="288" spans="2:6" ht="16.5" thickTop="1" thickBot="1" x14ac:dyDescent="0.3">
      <c r="B288" s="95" t="s">
        <v>1041</v>
      </c>
      <c r="C288" s="96">
        <v>307</v>
      </c>
      <c r="D288" s="112">
        <f>Hoja1!AE3</f>
        <v>0</v>
      </c>
      <c r="E288" s="102">
        <f>D288/C288</f>
        <v>0</v>
      </c>
      <c r="F288" s="152"/>
    </row>
    <row r="289" spans="2:6" ht="15.75" thickBot="1" x14ac:dyDescent="0.3">
      <c r="B289" s="109" t="s">
        <v>1042</v>
      </c>
      <c r="C289" s="110">
        <f>COSEIDIcam</f>
        <v>281</v>
      </c>
      <c r="D289" s="110">
        <f>Hoja1!AE5</f>
        <v>0</v>
      </c>
      <c r="E289" s="111">
        <f>D289/C289</f>
        <v>0</v>
      </c>
      <c r="F289" s="153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589</v>
      </c>
      <c r="D292" s="98"/>
      <c r="E292" s="103"/>
      <c r="F292" s="151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2"/>
    </row>
    <row r="294" spans="2:6" x14ac:dyDescent="0.25">
      <c r="B294" s="53" t="s">
        <v>1220</v>
      </c>
      <c r="C294" s="67">
        <v>9</v>
      </c>
      <c r="D294" s="100">
        <f>C293-C294</f>
        <v>-9</v>
      </c>
      <c r="E294" s="55">
        <f>D294/C292</f>
        <v>-1.5280135823429542E-2</v>
      </c>
      <c r="F294" s="152"/>
    </row>
    <row r="295" spans="2:6" x14ac:dyDescent="0.25">
      <c r="B295" s="53" t="s">
        <v>1221</v>
      </c>
      <c r="C295" s="67">
        <v>12</v>
      </c>
      <c r="D295" s="100">
        <f>D294-C295</f>
        <v>-21</v>
      </c>
      <c r="E295" s="55">
        <f>D295/C292</f>
        <v>-3.5653650254668934E-2</v>
      </c>
      <c r="F295" s="152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-4.5840407470288627E-2</v>
      </c>
      <c r="F296" s="152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2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2"/>
    </row>
    <row r="299" spans="2:6" ht="16.5" thickTop="1" thickBot="1" x14ac:dyDescent="0.3">
      <c r="B299" s="95" t="s">
        <v>1041</v>
      </c>
      <c r="C299" s="96">
        <v>307</v>
      </c>
      <c r="D299" s="112">
        <f>Hoja1!AF3</f>
        <v>0</v>
      </c>
      <c r="E299" s="102">
        <f>D299/C299</f>
        <v>0</v>
      </c>
      <c r="F299" s="152"/>
    </row>
    <row r="300" spans="2:6" ht="15.75" thickBot="1" x14ac:dyDescent="0.3">
      <c r="B300" s="109" t="s">
        <v>1042</v>
      </c>
      <c r="C300" s="110">
        <f>COSEIDIcam</f>
        <v>281</v>
      </c>
      <c r="D300" s="110">
        <f>Hoja1!AF5</f>
        <v>0</v>
      </c>
      <c r="E300" s="111">
        <f>D300/C300</f>
        <v>0</v>
      </c>
      <c r="F300" s="153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589</v>
      </c>
      <c r="D303" s="98"/>
      <c r="E303" s="103"/>
      <c r="F303" s="151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2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0.19185059422750425</v>
      </c>
      <c r="F305" s="152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0.17147707979626486</v>
      </c>
      <c r="F306" s="152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0.16298811544991512</v>
      </c>
      <c r="F307" s="152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2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2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2"/>
    </row>
    <row r="311" spans="2:6" ht="15.75" thickBot="1" x14ac:dyDescent="0.3">
      <c r="B311" s="109" t="s">
        <v>1042</v>
      </c>
      <c r="C311" s="110">
        <f>COSEIDIcam</f>
        <v>281</v>
      </c>
      <c r="D311" s="110">
        <v>69</v>
      </c>
      <c r="E311" s="111">
        <f>D311/C311</f>
        <v>0.24555160142348753</v>
      </c>
      <c r="F311" s="153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589</v>
      </c>
      <c r="D314" s="98"/>
      <c r="E314" s="103"/>
      <c r="F314" s="151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2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0.18336162988115451</v>
      </c>
      <c r="F316" s="152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0.17487266553480477</v>
      </c>
      <c r="F317" s="152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0.166383701188455</v>
      </c>
      <c r="F318" s="152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2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2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2"/>
    </row>
    <row r="322" spans="2:6" ht="15.75" thickBot="1" x14ac:dyDescent="0.3">
      <c r="B322" s="109" t="s">
        <v>1042</v>
      </c>
      <c r="C322" s="110">
        <f>COSEIDIcam</f>
        <v>281</v>
      </c>
      <c r="D322" s="110">
        <v>67</v>
      </c>
      <c r="E322" s="102">
        <f>D322/C322</f>
        <v>0.23843416370106763</v>
      </c>
      <c r="F322" s="153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589</v>
      </c>
      <c r="D325" s="98"/>
      <c r="E325" s="103"/>
      <c r="F325" s="151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2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-1.0186757215619695E-2</v>
      </c>
      <c r="F327" s="152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-3.0560271646859084E-2</v>
      </c>
      <c r="F328" s="152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-3.9049235993208829E-2</v>
      </c>
      <c r="F329" s="152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2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2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2"/>
    </row>
    <row r="333" spans="2:6" ht="15.75" thickBot="1" x14ac:dyDescent="0.3">
      <c r="B333" s="109" t="s">
        <v>1042</v>
      </c>
      <c r="C333" s="110">
        <f>COSEIDIcam</f>
        <v>281</v>
      </c>
      <c r="D333" s="110">
        <v>66</v>
      </c>
      <c r="E333" s="111">
        <f>D333/C333</f>
        <v>0.23487544483985764</v>
      </c>
      <c r="F333" s="153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589</v>
      </c>
      <c r="D337" s="98"/>
      <c r="E337" s="103"/>
      <c r="F337" s="151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2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2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2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2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2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2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2"/>
    </row>
    <row r="345" spans="2:6" ht="15.75" thickBot="1" x14ac:dyDescent="0.3">
      <c r="B345" s="109" t="s">
        <v>1042</v>
      </c>
      <c r="C345" s="110">
        <f>COSEIDIcam</f>
        <v>281</v>
      </c>
      <c r="D345" s="110">
        <v>77</v>
      </c>
      <c r="E345" s="111">
        <f>D345/C345</f>
        <v>0.27402135231316727</v>
      </c>
      <c r="F345" s="153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2026-05-14T18:30:29Z</dcterms:modified>
</cp:coreProperties>
</file>